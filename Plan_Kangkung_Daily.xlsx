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2204C0F9-8128-4092-BCC9-5A124EC96FE3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bojongsari" sheetId="4" r:id="rId4"/>
    <sheet name="bojongsari_dt" sheetId="5" r:id="rId5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" i="3" l="1"/>
  <c r="J49" i="3"/>
  <c r="J48" i="3"/>
  <c r="J47" i="3"/>
  <c r="J46" i="3"/>
  <c r="J45" i="3"/>
  <c r="J44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J43" i="3"/>
  <c r="J42" i="3"/>
  <c r="J41" i="3"/>
  <c r="J40" i="3"/>
  <c r="J39" i="3"/>
  <c r="J38" i="3"/>
  <c r="J37" i="3"/>
  <c r="M37" i="3"/>
  <c r="H255" i="3"/>
  <c r="G255" i="3"/>
  <c r="F255" i="3"/>
  <c r="E255" i="3"/>
  <c r="D255" i="3"/>
  <c r="C255" i="3"/>
  <c r="H254" i="3"/>
  <c r="G254" i="3"/>
  <c r="F254" i="3"/>
  <c r="E254" i="3"/>
  <c r="D254" i="3"/>
  <c r="C254" i="3"/>
  <c r="H253" i="3"/>
  <c r="G253" i="3"/>
  <c r="F253" i="3"/>
  <c r="E253" i="3"/>
  <c r="D253" i="3"/>
  <c r="C253" i="3"/>
  <c r="H252" i="3"/>
  <c r="G252" i="3"/>
  <c r="F252" i="3"/>
  <c r="E252" i="3"/>
  <c r="D252" i="3"/>
  <c r="C252" i="3"/>
  <c r="H251" i="3"/>
  <c r="G251" i="3"/>
  <c r="F251" i="3"/>
  <c r="E251" i="3"/>
  <c r="D251" i="3"/>
  <c r="C251" i="3"/>
  <c r="H250" i="3"/>
  <c r="G250" i="3"/>
  <c r="F250" i="3"/>
  <c r="E250" i="3"/>
  <c r="D250" i="3"/>
  <c r="C250" i="3"/>
  <c r="H249" i="3"/>
  <c r="G249" i="3"/>
  <c r="F249" i="3"/>
  <c r="E249" i="3"/>
  <c r="D249" i="3"/>
  <c r="C249" i="3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48" i="4"/>
  <c r="D47" i="4"/>
  <c r="D46" i="4"/>
  <c r="D45" i="4"/>
  <c r="D44" i="4"/>
  <c r="D43" i="4"/>
  <c r="D42" i="4"/>
  <c r="D41" i="4"/>
  <c r="D40" i="4"/>
  <c r="D39" i="4"/>
  <c r="A55" i="4"/>
  <c r="D55" i="4" l="1"/>
  <c r="D54" i="4"/>
  <c r="D53" i="4"/>
  <c r="D52" i="4"/>
  <c r="D51" i="4"/>
  <c r="D50" i="4"/>
  <c r="D49" i="4"/>
  <c r="A64" i="4"/>
  <c r="A63" i="4"/>
  <c r="D63" i="4" s="1"/>
  <c r="A62" i="4"/>
  <c r="D62" i="4" s="1"/>
  <c r="A61" i="4"/>
  <c r="D61" i="4" s="1"/>
  <c r="A60" i="4"/>
  <c r="D60" i="4" s="1"/>
  <c r="A59" i="4"/>
  <c r="D59" i="4" s="1"/>
  <c r="A58" i="4"/>
  <c r="D58" i="4" s="1"/>
  <c r="A57" i="4"/>
  <c r="D57" i="4" s="1"/>
  <c r="A56" i="4"/>
  <c r="D56" i="4" s="1"/>
  <c r="D64" i="4"/>
  <c r="A69" i="4"/>
  <c r="D69" i="4" s="1"/>
  <c r="A68" i="4"/>
  <c r="D68" i="4" s="1"/>
  <c r="A67" i="4"/>
  <c r="D67" i="4" s="1"/>
  <c r="A66" i="4"/>
  <c r="D66" i="4" s="1"/>
  <c r="A65" i="4"/>
  <c r="D65" i="4" s="1"/>
  <c r="A73" i="4"/>
  <c r="D73" i="4" s="1"/>
  <c r="A72" i="4"/>
  <c r="D72" i="4" s="1"/>
  <c r="A71" i="4"/>
  <c r="D71" i="4" s="1"/>
  <c r="A70" i="4"/>
  <c r="D70" i="4" s="1"/>
  <c r="A80" i="4"/>
  <c r="D80" i="4" s="1"/>
  <c r="A79" i="4"/>
  <c r="D79" i="4" s="1"/>
  <c r="A78" i="4"/>
  <c r="D78" i="4" s="1"/>
  <c r="A77" i="4"/>
  <c r="D77" i="4" s="1"/>
  <c r="A76" i="4"/>
  <c r="D76" i="4" s="1"/>
  <c r="A75" i="4"/>
  <c r="D75" i="4" s="1"/>
  <c r="A74" i="4"/>
  <c r="D74" i="4" s="1"/>
  <c r="A86" i="4"/>
  <c r="D86" i="4" s="1"/>
  <c r="A85" i="4"/>
  <c r="D85" i="4" s="1"/>
  <c r="A84" i="4"/>
  <c r="D84" i="4" s="1"/>
  <c r="A83" i="4"/>
  <c r="D83" i="4" s="1"/>
  <c r="A82" i="4"/>
  <c r="D82" i="4" s="1"/>
  <c r="A81" i="4"/>
  <c r="D81" i="4" s="1"/>
  <c r="A90" i="4"/>
  <c r="D90" i="4" s="1"/>
  <c r="A89" i="4"/>
  <c r="D89" i="4" s="1"/>
  <c r="A88" i="4"/>
  <c r="D88" i="4" s="1"/>
  <c r="A87" i="4"/>
  <c r="D87" i="4" s="1"/>
  <c r="A98" i="4" l="1"/>
  <c r="D98" i="4" s="1"/>
  <c r="A97" i="4"/>
  <c r="D97" i="4" s="1"/>
  <c r="A96" i="4"/>
  <c r="D96" i="4" s="1"/>
  <c r="A95" i="4"/>
  <c r="D95" i="4" s="1"/>
  <c r="A94" i="4"/>
  <c r="D94" i="4" s="1"/>
  <c r="A93" i="4"/>
  <c r="D93" i="4" s="1"/>
  <c r="A92" i="4"/>
  <c r="D92" i="4" s="1"/>
  <c r="A91" i="4"/>
  <c r="D91" i="4" s="1"/>
  <c r="J32" i="3" l="1"/>
  <c r="J31" i="3"/>
  <c r="J30" i="3"/>
  <c r="M32" i="3"/>
  <c r="M31" i="3"/>
  <c r="M30" i="3"/>
  <c r="M26" i="3"/>
  <c r="J26" i="3"/>
  <c r="M24" i="3"/>
  <c r="J24" i="3"/>
  <c r="H248" i="3"/>
  <c r="G248" i="3"/>
  <c r="F248" i="3"/>
  <c r="E248" i="3"/>
  <c r="D248" i="3"/>
  <c r="C248" i="3"/>
  <c r="H247" i="3"/>
  <c r="G247" i="3"/>
  <c r="F247" i="3"/>
  <c r="E247" i="3"/>
  <c r="D247" i="3"/>
  <c r="C247" i="3"/>
  <c r="H246" i="3"/>
  <c r="G246" i="3"/>
  <c r="F246" i="3"/>
  <c r="E246" i="3"/>
  <c r="D246" i="3"/>
  <c r="C246" i="3"/>
  <c r="H245" i="3"/>
  <c r="G245" i="3"/>
  <c r="F245" i="3"/>
  <c r="E245" i="3"/>
  <c r="D245" i="3"/>
  <c r="C245" i="3"/>
  <c r="H244" i="3"/>
  <c r="G244" i="3"/>
  <c r="F244" i="3"/>
  <c r="E244" i="3"/>
  <c r="D244" i="3"/>
  <c r="C244" i="3"/>
  <c r="H243" i="3"/>
  <c r="G243" i="3"/>
  <c r="F243" i="3"/>
  <c r="E243" i="3"/>
  <c r="D243" i="3"/>
  <c r="C243" i="3"/>
  <c r="H242" i="3"/>
  <c r="G242" i="3"/>
  <c r="F242" i="3"/>
  <c r="E242" i="3"/>
  <c r="D242" i="3"/>
  <c r="C242" i="3"/>
  <c r="M29" i="3" l="1"/>
  <c r="J29" i="3"/>
  <c r="M28" i="3"/>
  <c r="J28" i="3"/>
  <c r="M27" i="3"/>
  <c r="J27" i="3"/>
  <c r="M25" i="3"/>
  <c r="J25" i="3"/>
  <c r="M23" i="3"/>
  <c r="J23" i="3"/>
  <c r="M33" i="3"/>
  <c r="J33" i="3"/>
  <c r="M34" i="3"/>
  <c r="J34" i="3"/>
  <c r="M35" i="3"/>
  <c r="J35" i="3"/>
  <c r="M36" i="3"/>
  <c r="J36" i="3"/>
  <c r="M16" i="3"/>
  <c r="J16" i="3"/>
  <c r="H241" i="3"/>
  <c r="G241" i="3"/>
  <c r="F241" i="3"/>
  <c r="E241" i="3"/>
  <c r="D241" i="3"/>
  <c r="C241" i="3"/>
  <c r="H240" i="3"/>
  <c r="G240" i="3"/>
  <c r="F240" i="3"/>
  <c r="E240" i="3"/>
  <c r="D240" i="3"/>
  <c r="C240" i="3"/>
  <c r="H239" i="3"/>
  <c r="G239" i="3"/>
  <c r="F239" i="3"/>
  <c r="E239" i="3"/>
  <c r="D239" i="3"/>
  <c r="C239" i="3"/>
  <c r="H238" i="3"/>
  <c r="G238" i="3"/>
  <c r="F238" i="3"/>
  <c r="E238" i="3"/>
  <c r="D238" i="3"/>
  <c r="C238" i="3"/>
  <c r="H237" i="3"/>
  <c r="G237" i="3"/>
  <c r="F237" i="3"/>
  <c r="E237" i="3"/>
  <c r="D237" i="3"/>
  <c r="C237" i="3"/>
  <c r="H236" i="3"/>
  <c r="G236" i="3"/>
  <c r="F236" i="3"/>
  <c r="E236" i="3"/>
  <c r="D236" i="3"/>
  <c r="C236" i="3"/>
  <c r="H235" i="3"/>
  <c r="G235" i="3"/>
  <c r="F235" i="3"/>
  <c r="E235" i="3"/>
  <c r="D235" i="3"/>
  <c r="C235" i="3"/>
  <c r="H234" i="3"/>
  <c r="G234" i="3"/>
  <c r="F234" i="3"/>
  <c r="E234" i="3"/>
  <c r="D234" i="3"/>
  <c r="C234" i="3"/>
  <c r="H233" i="3"/>
  <c r="G233" i="3"/>
  <c r="F233" i="3"/>
  <c r="E233" i="3"/>
  <c r="D233" i="3"/>
  <c r="C233" i="3"/>
  <c r="H232" i="3"/>
  <c r="G232" i="3"/>
  <c r="F232" i="3"/>
  <c r="E232" i="3"/>
  <c r="D232" i="3"/>
  <c r="C232" i="3"/>
  <c r="J22" i="3" l="1"/>
  <c r="J21" i="3"/>
  <c r="J20" i="3"/>
  <c r="J19" i="3"/>
  <c r="J18" i="3"/>
  <c r="J17" i="3"/>
  <c r="M22" i="3"/>
  <c r="M21" i="3"/>
  <c r="M20" i="3"/>
  <c r="M19" i="3"/>
  <c r="M18" i="3"/>
  <c r="M17" i="3"/>
  <c r="H231" i="3"/>
  <c r="G231" i="3"/>
  <c r="F231" i="3"/>
  <c r="E231" i="3"/>
  <c r="D231" i="3"/>
  <c r="C231" i="3"/>
  <c r="H230" i="3"/>
  <c r="G230" i="3"/>
  <c r="F230" i="3"/>
  <c r="E230" i="3"/>
  <c r="D230" i="3"/>
  <c r="C230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M8" i="3"/>
  <c r="M6" i="3"/>
  <c r="M5" i="3"/>
  <c r="M4" i="3"/>
  <c r="M3" i="3"/>
  <c r="M2" i="3"/>
  <c r="J8" i="3"/>
  <c r="J6" i="3"/>
  <c r="J5" i="3"/>
  <c r="J4" i="3"/>
  <c r="J3" i="3"/>
  <c r="J2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<sst xmlns="http://schemas.openxmlformats.org/spreadsheetml/2006/main" count="3343" uniqueCount="838">
  <si>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</si>
  <si>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</si>
  <si>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</si>
  <si>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</si>
  <si>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</si>
  <si>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</si>
  <si>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</si>
  <si>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</si>
  <si>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</si>
  <si>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</si>
  <si>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</si>
  <si>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</si>
  <si>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</si>
  <si>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</si>
  <si>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</si>
  <si>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</si>
  <si>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</si>
  <si>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</si>
  <si>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</si>
  <si>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</si>
  <si>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</si>
  <si>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</si>
  <si>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</si>
  <si>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</si>
  <si>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</si>
  <si>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</si>
  <si>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</si>
  <si>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</si>
  <si>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</si>
  <si>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</si>
  <si>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</si>
  <si>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</si>
  <si>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</si>
  <si>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</si>
  <si>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</si>
  <si>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</si>
  <si>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</si>
  <si>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</si>
  <si>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</si>
  <si>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</si>
  <si>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</si>
  <si>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</si>
  <si>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</si>
  <si>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</si>
  <si>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</si>
  <si>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</si>
  <si>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</si>
  <si>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</si>
  <si>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</si>
  <si>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</si>
  <si>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</si>
  <si>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</si>
  <si>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</si>
  <si>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</si>
  <si>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</si>
  <si>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</si>
  <si>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</si>
  <si>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</si>
  <si>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</si>
  <si>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</si>
  <si>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</si>
  <si>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</si>
  <si>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</si>
  <si>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</si>
  <si>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</si>
  <si>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</si>
  <si>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</si>
  <si>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</si>
  <si>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</si>
  <si>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</si>
  <si>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</si>
  <si>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</si>
  <si>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</si>
  <si>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</si>
  <si>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</si>
  <si>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</si>
  <si>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</si>
  <si>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</si>
  <si>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</si>
  <si>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</si>
  <si>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</si>
  <si>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</si>
  <si>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</si>
  <si>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</si>
  <si>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</si>
  <si>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</si>
  <si>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</si>
  <si>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</si>
  <si>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</si>
  <si>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</si>
  <si>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</si>
  <si>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</si>
  <si>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</si>
  <si>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</si>
  <si>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</si>
  <si>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</si>
  <si>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</si>
  <si>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</si>
  <si>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</si>
  <si>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</si>
  <si>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</si>
  <si>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</si>
  <si>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</si>
  <si>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</si>
  <si>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</si>
  <si>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</si>
  <si>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</si>
  <si>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</si>
  <si>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</si>
  <si>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</si>
  <si>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</si>
  <si>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</si>
  <si>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</si>
  <si>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</si>
  <si>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</si>
  <si>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</si>
  <si>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</si>
  <si>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</si>
  <si>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</si>
  <si>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</si>
  <si>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</si>
  <si>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</si>
  <si>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</si>
  <si>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</si>
  <si>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</si>
  <si>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</si>
  <si>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</si>
  <si>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</si>
  <si>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</si>
  <si>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</si>
  <si>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</si>
  <si>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</si>
  <si>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</si>
  <si>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</si>
  <si>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</si>
  <si>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</si>
  <si>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</si>
  <si>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</si>
  <si>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</si>
  <si>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</si>
  <si>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</si>
  <si>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</si>
  <si>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</si>
  <si>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</si>
  <si>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</si>
  <si>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</si>
  <si>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</si>
  <si>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</si>
  <si>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</si>
  <si>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</si>
  <si>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</si>
  <si>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</si>
  <si>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</si>
  <si>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</si>
  <si>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</si>
  <si>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</si>
  <si>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</si>
  <si>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</si>
  <si>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</si>
  <si>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</si>
  <si>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</si>
  <si>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</si>
  <si>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</si>
  <si>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</si>
  <si>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</si>
  <si>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</si>
  <si>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</si>
  <si>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</si>
  <si>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</si>
  <si>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</si>
  <si>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</si>
  <si>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</si>
  <si>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</si>
  <si>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</si>
  <si>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</si>
  <si>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</si>
  <si>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</si>
  <si>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</si>
  <si>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</si>
  <si>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</si>
  <si>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</si>
  <si>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</si>
  <si>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</si>
  <si>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</si>
  <si>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</si>
  <si>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</si>
  <si>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</si>
  <si>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</si>
  <si>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</si>
  <si>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</si>
  <si>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</si>
  <si>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</si>
  <si>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</si>
  <si>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</si>
  <si>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</si>
  <si>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</si>
  <si>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</si>
  <si>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</si>
  <si>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</si>
  <si>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</si>
  <si>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</si>
  <si>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</si>
  <si>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</si>
  <si>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</si>
  <si>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</si>
  <si>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</si>
  <si>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</si>
  <si>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</si>
  <si>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</si>
  <si>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</si>
  <si>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</si>
  <si>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</si>
  <si>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</si>
  <si>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</si>
  <si>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</si>
  <si>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</si>
  <si>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</si>
  <si>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</si>
  <si>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</si>
  <si>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</si>
  <si>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</si>
  <si>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</si>
  <si>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</si>
  <si>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</si>
  <si>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</si>
  <si>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</si>
  <si>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</si>
  <si>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</si>
  <si>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</si>
  <si>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</si>
  <si>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</si>
  <si>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</si>
  <si>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</si>
  <si>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</si>
  <si>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</si>
  <si>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</si>
  <si>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</si>
  <si>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</si>
  <si>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</si>
  <si>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</si>
  <si>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</si>
  <si>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</si>
  <si>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</si>
  <si>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</si>
  <si>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</si>
  <si>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</si>
  <si>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</si>
  <si>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</si>
  <si>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</si>
  <si>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</si>
  <si>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</si>
  <si>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</si>
  <si>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</si>
  <si>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</si>
  <si>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</si>
  <si>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</si>
  <si>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</si>
  <si>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</si>
  <si>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</si>
  <si>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</si>
  <si>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</si>
  <si>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</si>
  <si>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</si>
  <si>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</si>
  <si>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</si>
  <si>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</si>
  <si>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</si>
  <si>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</si>
  <si>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</si>
  <si>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</si>
  <si>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</si>
  <si>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</si>
  <si>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</si>
  <si>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</si>
  <si>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</si>
  <si>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</si>
  <si>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</si>
  <si>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</si>
  <si>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</si>
  <si>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</si>
  <si>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</si>
  <si>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</si>
  <si>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</si>
  <si>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</si>
  <si>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</si>
  <si>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</si>
  <si>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</si>
  <si>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</si>
  <si>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</si>
  <si>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</si>
  <si>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</si>
  <si>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</si>
  <si>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</si>
  <si>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</si>
  <si>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</si>
  <si>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</si>
  <si>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</si>
  <si>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</si>
  <si>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</si>
  <si>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</si>
  <si>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</si>
  <si>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</si>
  <si>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</si>
  <si>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</si>
  <si>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</si>
  <si>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</si>
  <si>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</si>
  <si>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</si>
  <si>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</si>
  <si>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</si>
  <si>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</si>
  <si>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</si>
  <si>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</si>
  <si>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</si>
  <si>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</si>
  <si>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</si>
  <si>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</si>
  <si>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</si>
  <si>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</si>
  <si>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</si>
  <si>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</si>
  <si>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</si>
  <si>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</si>
  <si>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</si>
  <si>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</si>
  <si>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</si>
  <si>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</si>
  <si>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</si>
  <si>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</si>
  <si>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</si>
  <si>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</si>
  <si>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</si>
  <si>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</si>
  <si>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</si>
  <si>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</si>
  <si>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</si>
  <si>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</si>
  <si>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</si>
  <si>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</si>
  <si>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</si>
  <si>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</si>
  <si>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</si>
  <si>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</si>
  <si>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</si>
  <si>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</si>
  <si>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</si>
  <si>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</si>
  <si>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</si>
  <si>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</si>
  <si>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</si>
  <si>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</si>
  <si>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</si>
  <si>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</si>
  <si>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</si>
  <si>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</si>
  <si>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</si>
  <si>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</si>
  <si>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</si>
  <si>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</si>
  <si>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</si>
  <si>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</si>
  <si>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</si>
  <si>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</si>
  <si>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</si>
  <si>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</si>
  <si>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</si>
  <si>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</si>
  <si>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</si>
  <si>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</si>
  <si>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</si>
  <si>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</si>
  <si>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</si>
  <si>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</si>
  <si>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</si>
  <si>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</si>
  <si>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</si>
  <si>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</si>
  <si>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</si>
  <si>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</si>
  <si>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</si>
  <si>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</si>
  <si>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</si>
  <si>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</si>
  <si>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</si>
  <si>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</si>
  <si>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</si>
  <si>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</si>
  <si>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</si>
  <si>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</si>
  <si>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</si>
  <si>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</si>
  <si>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</si>
  <si>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</si>
  <si>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</si>
  <si>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</si>
  <si>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</si>
  <si>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</si>
  <si>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</si>
  <si>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</si>
  <si>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</si>
  <si>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</si>
  <si>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</si>
  <si>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</si>
  <si>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</si>
  <si>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</si>
  <si>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</si>
  <si>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</si>
  <si>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</si>
  <si>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</si>
  <si>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</si>
  <si>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</si>
  <si>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</si>
  <si>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</si>
  <si>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</si>
  <si>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</si>
  <si>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</si>
  <si>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</si>
  <si>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</si>
  <si>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</si>
  <si>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</si>
  <si>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</si>
  <si>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</si>
  <si>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</si>
  <si>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</si>
  <si>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</si>
  <si>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</si>
  <si>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</si>
  <si>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</si>
  <si>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</si>
  <si>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</si>
  <si>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</si>
  <si>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</si>
  <si>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</si>
  <si>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</si>
  <si>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</si>
  <si>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</si>
  <si>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</si>
  <si>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</si>
  <si>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</si>
  <si>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</si>
  <si>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</si>
  <si>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</si>
  <si>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</si>
  <si>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</si>
  <si>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</si>
  <si>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</si>
  <si>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</si>
  <si>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</si>
  <si>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</si>
  <si>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</si>
  <si>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</si>
  <si>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</si>
  <si>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</si>
  <si>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</si>
  <si>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</si>
  <si>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</si>
  <si>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</si>
  <si>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</si>
  <si>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</si>
  <si>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</si>
  <si>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</si>
  <si>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</si>
  <si>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</si>
  <si>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</si>
  <si>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</si>
  <si>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</si>
  <si>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</si>
  <si>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</si>
  <si>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</si>
  <si>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</si>
  <si>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</si>
  <si>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</si>
  <si>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</si>
  <si>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</si>
  <si>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</si>
  <si>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</si>
  <si>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</si>
  <si>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</si>
  <si>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</si>
  <si>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</si>
  <si>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</si>
  <si>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</si>
  <si>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</si>
  <si>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</si>
  <si>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</si>
  <si>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</si>
  <si>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</si>
  <si>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</si>
  <si>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</si>
  <si>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</si>
  <si>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</si>
  <si>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</si>
  <si>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</si>
  <si>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</si>
  <si>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</si>
  <si>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</si>
  <si>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</si>
  <si>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</si>
  <si>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</si>
  <si>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</si>
  <si>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</si>
  <si>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</si>
  <si>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</si>
  <si>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</si>
  <si>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</si>
  <si>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</si>
  <si>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</si>
  <si>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</si>
  <si>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</si>
  <si>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</si>
  <si>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</si>
  <si>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</si>
  <si>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</si>
  <si>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</si>
  <si>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</si>
  <si>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</si>
  <si>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</si>
  <si>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</si>
  <si>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</si>
  <si>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</si>
  <si>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</si>
  <si>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</si>
  <si>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</si>
  <si>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</si>
  <si>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</si>
  <si>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</si>
  <si>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</si>
  <si>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</si>
  <si>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</si>
  <si>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</si>
  <si>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</si>
  <si>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</si>
  <si>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</si>
  <si>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</si>
  <si>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</si>
  <si>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</si>
  <si>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</si>
  <si>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</si>
  <si>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</si>
  <si>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</si>
  <si>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</si>
  <si>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</si>
  <si>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</si>
  <si>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</si>
  <si>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</si>
  <si>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</si>
  <si>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</si>
  <si>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</si>
  <si>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</si>
  <si>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</si>
  <si>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</si>
  <si>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</si>
  <si>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</si>
  <si>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</si>
  <si>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</si>
  <si>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</si>
  <si>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</si>
  <si>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</si>
  <si>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</si>
  <si>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</si>
  <si>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</si>
  <si>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</si>
  <si>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</si>
  <si>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</si>
  <si>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</si>
  <si>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</si>
  <si>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</si>
  <si>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</si>
  <si>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</si>
  <si>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</si>
  <si>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</si>
  <si>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</si>
  <si>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</si>
  <si>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</si>
  <si>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</si>
  <si>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</si>
  <si>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</si>
  <si>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</si>
  <si>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</si>
  <si>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</si>
  <si>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</si>
  <si>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</si>
  <si>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</si>
  <si>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</si>
  <si>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</si>
  <si>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</si>
  <si>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</si>
  <si>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</si>
  <si>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</si>
  <si>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</si>
  <si>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</si>
  <si>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</si>
  <si>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</si>
  <si>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</si>
  <si>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</si>
  <si>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</si>
  <si>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</si>
  <si>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</si>
  <si>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</si>
  <si>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</si>
  <si>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</si>
  <si>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</si>
  <si>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</si>
  <si>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</si>
  <si>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</si>
  <si>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</si>
  <si>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</si>
  <si>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</si>
  <si>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</si>
  <si>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</si>
  <si>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</si>
  <si>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</si>
  <si>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</si>
  <si>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</si>
  <si>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</si>
  <si>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</si>
  <si>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</si>
  <si>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</si>
  <si>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</si>
  <si>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</si>
  <si>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</si>
  <si>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</si>
  <si>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</si>
  <si>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</si>
  <si>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</si>
  <si>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</si>
  <si>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</si>
  <si>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</si>
  <si>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</si>
  <si>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</si>
  <si>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</si>
  <si>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</si>
  <si>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</si>
  <si>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</si>
  <si>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</si>
  <si>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</si>
  <si>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</si>
  <si>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</si>
  <si>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</si>
  <si>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</si>
  <si>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</si>
  <si>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</si>
  <si>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</si>
  <si>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</si>
  <si>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</si>
  <si>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</si>
  <si>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</si>
  <si>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</si>
  <si>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</si>
  <si>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</si>
  <si>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</si>
  <si>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</si>
  <si>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</si>
  <si>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</si>
  <si>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</si>
  <si>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</si>
  <si>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</si>
  <si>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</si>
  <si>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</si>
  <si>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</si>
  <si>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</si>
  <si>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</si>
  <si>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</si>
  <si>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</si>
  <si>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</si>
  <si>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</si>
  <si>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</si>
  <si>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</si>
  <si>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</si>
  <si>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</si>
  <si>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</si>
  <si>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</si>
  <si>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</si>
  <si>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</si>
  <si>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</si>
  <si>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</si>
  <si>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</si>
  <si>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</si>
  <si>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</si>
  <si>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</si>
  <si>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</si>
  <si>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</si>
  <si>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</si>
  <si>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</si>
  <si>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</si>
  <si>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</si>
  <si>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</si>
  <si>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</si>
  <si>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</si>
  <si>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</si>
  <si>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</si>
  <si>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</si>
  <si>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</si>
  <si>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</si>
  <si>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</si>
  <si>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</si>
  <si>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</si>
  <si>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</si>
  <si>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</si>
  <si>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</si>
  <si>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</si>
  <si>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</si>
  <si>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</si>
  <si>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</si>
  <si>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</si>
  <si>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</si>
  <si>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</si>
  <si>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</si>
  <si>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</si>
  <si>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</si>
  <si>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</si>
  <si>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</si>
  <si>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</si>
  <si>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</si>
  <si>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</si>
  <si>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</si>
  <si>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</si>
  <si>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</si>
  <si>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</si>
  <si>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</si>
  <si>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</si>
  <si>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</si>
  <si>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</si>
  <si>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</si>
  <si>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</si>
  <si>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</si>
  <si>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</si>
  <si>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</si>
  <si>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</si>
  <si>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</si>
  <si>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</si>
  <si>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</si>
  <si>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</si>
  <si>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</si>
  <si>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</si>
  <si>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</si>
  <si>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</si>
  <si>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</si>
  <si>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</si>
  <si>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</si>
  <si>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</si>
  <si>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</si>
  <si>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</si>
  <si>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</si>
  <si>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</si>
  <si>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</si>
  <si>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</si>
  <si>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</si>
  <si>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</si>
  <si>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</si>
  <si>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</si>
  <si>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</si>
  <si>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</si>
  <si>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</si>
  <si>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</si>
  <si>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</si>
  <si>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</si>
  <si>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</si>
  <si>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</si>
  <si>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</si>
  <si>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</si>
  <si>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</si>
  <si>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</si>
  <si>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</si>
  <si>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</si>
  <si>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</si>
  <si>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</si>
  <si>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</si>
  <si>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</si>
  <si>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</si>
  <si>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</si>
  <si>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</si>
  <si>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</si>
  <si>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</si>
  <si>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</si>
  <si>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</si>
  <si>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</si>
  <si>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</si>
  <si>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</si>
  <si>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</si>
  <si>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</si>
  <si>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</si>
  <si>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</si>
  <si>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</si>
  <si>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</si>
  <si>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</si>
  <si>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</si>
  <si>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</si>
  <si>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</si>
  <si>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</si>
  <si>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</si>
  <si>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</si>
  <si>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</si>
  <si>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</si>
  <si>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</si>
  <si>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</si>
  <si>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</si>
  <si>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</si>
  <si>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</si>
  <si>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</si>
  <si>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</si>
  <si>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</si>
  <si>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</si>
  <si>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</si>
  <si>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</si>
  <si>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</si>
  <si>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</si>
  <si>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</si>
  <si>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</si>
  <si>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</si>
  <si>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</si>
  <si>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</si>
  <si>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</si>
  <si>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</si>
  <si>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</si>
  <si>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</si>
  <si>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</si>
  <si>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</si>
  <si>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</si>
  <si>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</si>
  <si>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</si>
  <si>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</si>
  <si>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</si>
  <si>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</si>
  <si>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</si>
  <si>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</si>
  <si>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</si>
  <si>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</si>
  <si>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BS-BC4</t>
  </si>
  <si>
    <t>BS-BC5</t>
  </si>
  <si>
    <t>BS-BC6</t>
  </si>
  <si>
    <t>BS-BC7</t>
  </si>
  <si>
    <t>BS-BC8</t>
  </si>
  <si>
    <t>BS-BC9</t>
  </si>
  <si>
    <t>BS-BC3</t>
  </si>
  <si>
    <t>BS-BC2</t>
  </si>
  <si>
    <t>BS-BC1</t>
  </si>
  <si>
    <t>BS-BC0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</si>
</sst>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" fontId="0" fillId="0" borderId="0" xfId="3" applyNumberFormat="1" applyFont="1"/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1103"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zoomScale="77" zoomScaleNormal="146" workbookViewId="0">
      <selection activeCell="V21" sqref="V21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3">
        <f ca="1">TODAY()</f>
        <v>45997</v>
      </c>
      <c r="C1" s="83"/>
      <c r="D1" s="83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10</v>
      </c>
      <c r="R6" s="25">
        <f t="shared" ca="1" si="1"/>
        <v>10</v>
      </c>
      <c r="S6" s="25">
        <f t="shared" ca="1" si="1"/>
        <v>10</v>
      </c>
      <c r="T6" s="25">
        <f t="shared" ca="1" si="1"/>
        <v>10</v>
      </c>
      <c r="U6" s="25">
        <f t="shared" ca="1" si="1"/>
        <v>11</v>
      </c>
      <c r="V6" s="25">
        <f ca="1">IF(V7="","",$B$1-V7)</f>
        <v>11</v>
      </c>
      <c r="W6" s="25">
        <f ca="1">IF(W7="","",$B$1-W7)</f>
        <v>11</v>
      </c>
      <c r="X6" s="25">
        <f ca="1">IF(X7="","",$B$1-X7)</f>
        <v>11</v>
      </c>
      <c r="Y6" s="55"/>
    </row>
    <row r="7" spans="1:25" ht="38.25" customHeight="1" x14ac:dyDescent="0.25">
      <c r="B7" s="84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5"/>
      <c r="Y8" s="55"/>
    </row>
    <row r="9" spans="1:25" x14ac:dyDescent="0.25">
      <c r="B9" s="85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6"/>
      <c r="C10" s="31">
        <f t="shared" ref="C10:H10" ca="1" si="2">IF(C11="","",$B$1-C11)</f>
        <v>15</v>
      </c>
      <c r="D10" s="25">
        <f t="shared" ca="1" si="2"/>
        <v>15</v>
      </c>
      <c r="E10" s="25">
        <f t="shared" ca="1" si="2"/>
        <v>15</v>
      </c>
      <c r="F10" s="25">
        <f t="shared" ca="1" si="2"/>
        <v>15</v>
      </c>
      <c r="G10" s="25">
        <f t="shared" ca="1" si="2"/>
        <v>15</v>
      </c>
      <c r="H10" s="25">
        <f t="shared" ca="1" si="2"/>
        <v>15</v>
      </c>
      <c r="J10" s="25">
        <f t="shared" ref="J10:P10" ca="1" si="3">IF(J11="","",$B$1-J11)</f>
        <v>15</v>
      </c>
      <c r="K10" s="25">
        <f t="shared" ca="1" si="3"/>
        <v>13</v>
      </c>
      <c r="L10" s="25">
        <f t="shared" ca="1" si="3"/>
        <v>13</v>
      </c>
      <c r="M10" s="25">
        <f t="shared" ca="1" si="3"/>
        <v>13</v>
      </c>
      <c r="N10" s="25">
        <f t="shared" ca="1" si="3"/>
        <v>13</v>
      </c>
      <c r="O10" s="25">
        <f t="shared" ca="1" si="3"/>
        <v>13</v>
      </c>
      <c r="P10" s="25">
        <f t="shared" ca="1" si="3"/>
        <v>13</v>
      </c>
      <c r="R10" s="25">
        <f t="shared" ref="R10:W10" ca="1" si="4">IF(R11="","",$B$1-R11)</f>
        <v>13</v>
      </c>
      <c r="S10" s="25">
        <f t="shared" ca="1" si="4"/>
        <v>12</v>
      </c>
      <c r="T10" s="25">
        <f t="shared" ca="1" si="4"/>
        <v>12</v>
      </c>
      <c r="U10" s="25">
        <f t="shared" ca="1" si="4"/>
        <v>11</v>
      </c>
      <c r="V10" s="25">
        <f t="shared" ca="1" si="4"/>
        <v>11</v>
      </c>
      <c r="W10" s="25">
        <f t="shared" ca="1" si="4"/>
        <v>11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16</v>
      </c>
      <c r="D14" s="25">
        <f t="shared" ca="1" si="5"/>
        <v>16</v>
      </c>
      <c r="E14" s="25">
        <f t="shared" ca="1" si="5"/>
        <v>16</v>
      </c>
      <c r="F14" s="25">
        <f t="shared" ca="1" si="5"/>
        <v>16</v>
      </c>
      <c r="G14" s="25">
        <f t="shared" ca="1" si="5"/>
        <v>16</v>
      </c>
      <c r="H14" s="25">
        <f t="shared" ca="1" si="5"/>
        <v>16</v>
      </c>
      <c r="J14" s="25">
        <f t="shared" ref="J14:P14" ca="1" si="6">IF(J15="","",$B$1-J15)</f>
        <v>16</v>
      </c>
      <c r="K14" s="25">
        <f t="shared" ca="1" si="6"/>
        <v>14</v>
      </c>
      <c r="L14" s="25">
        <f t="shared" ca="1" si="6"/>
        <v>14</v>
      </c>
      <c r="M14" s="25">
        <f t="shared" ca="1" si="6"/>
        <v>14</v>
      </c>
      <c r="N14" s="25">
        <f t="shared" ca="1" si="6"/>
        <v>14</v>
      </c>
      <c r="O14" s="25">
        <f t="shared" ca="1" si="6"/>
        <v>14</v>
      </c>
      <c r="P14" s="25">
        <f t="shared" ca="1" si="6"/>
        <v>14</v>
      </c>
      <c r="R14" s="25">
        <f t="shared" ref="R14:W14" ca="1" si="7">IF(R15="","",$B$1-R15)</f>
        <v>14</v>
      </c>
      <c r="S14" s="25">
        <f t="shared" ca="1" si="7"/>
        <v>12</v>
      </c>
      <c r="T14" s="25">
        <f t="shared" ca="1" si="7"/>
        <v>12</v>
      </c>
      <c r="U14" s="25">
        <f t="shared" ca="1" si="7"/>
        <v>12</v>
      </c>
      <c r="V14" s="25">
        <f t="shared" ca="1" si="7"/>
        <v>12</v>
      </c>
      <c r="W14" s="25">
        <f t="shared" ca="1" si="7"/>
        <v>12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29</v>
      </c>
      <c r="K20" s="25">
        <f ca="1">IF(K21="","",$B$1-K21)</f>
        <v>29</v>
      </c>
      <c r="X20" s="25"/>
      <c r="AF20" s="25"/>
      <c r="AG20" s="25"/>
      <c r="AH20" s="25">
        <f ca="1">IF(AH21="","",$B$1-AH21)</f>
        <v>29</v>
      </c>
      <c r="AI20" s="25">
        <f ca="1">IF(AI21="","",$B$1-AI21)</f>
        <v>29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32</v>
      </c>
      <c r="G24" s="25">
        <f t="shared" ca="1" si="8"/>
        <v>32</v>
      </c>
      <c r="H24" s="25">
        <f t="shared" ca="1" si="8"/>
        <v>32</v>
      </c>
      <c r="J24" s="25">
        <f ca="1">IF(J25="","",$B$1-J25)</f>
        <v>32</v>
      </c>
      <c r="K24" s="25">
        <f t="shared" ref="K24:AI24" ca="1" si="9">IF(K25="","",$B$1-K25)</f>
        <v>5</v>
      </c>
      <c r="L24" s="25">
        <f t="shared" ca="1" si="9"/>
        <v>5</v>
      </c>
      <c r="M24" s="25">
        <f t="shared" ca="1" si="9"/>
        <v>5</v>
      </c>
      <c r="N24" s="25">
        <f t="shared" ca="1" si="9"/>
        <v>6</v>
      </c>
      <c r="O24" s="25">
        <f t="shared" ca="1" si="9"/>
        <v>6</v>
      </c>
      <c r="P24" s="25">
        <f t="shared" ca="1" si="9"/>
        <v>6</v>
      </c>
      <c r="R24" s="25">
        <f t="shared" ca="1" si="9"/>
        <v>6</v>
      </c>
      <c r="S24" s="25">
        <f t="shared" ca="1" si="9"/>
        <v>3</v>
      </c>
      <c r="T24" s="25">
        <f t="shared" ca="1" si="9"/>
        <v>3</v>
      </c>
      <c r="U24" s="25">
        <f t="shared" ca="1" si="9"/>
        <v>3</v>
      </c>
      <c r="V24" s="25">
        <f t="shared" ca="1" si="9"/>
        <v>3</v>
      </c>
      <c r="W24" s="25">
        <f t="shared" ca="1" si="9"/>
        <v>3</v>
      </c>
      <c r="X24" s="25">
        <f t="shared" ca="1" si="9"/>
        <v>3</v>
      </c>
      <c r="Z24" s="25">
        <f t="shared" ca="1" si="9"/>
        <v>33</v>
      </c>
      <c r="AA24" s="25">
        <f t="shared" ca="1" si="9"/>
        <v>30</v>
      </c>
      <c r="AB24" s="25">
        <f t="shared" ca="1" si="9"/>
        <v>30</v>
      </c>
      <c r="AC24" s="25">
        <f t="shared" ca="1" si="9"/>
        <v>30</v>
      </c>
      <c r="AD24" s="25">
        <f t="shared" ca="1" si="9"/>
        <v>30</v>
      </c>
      <c r="AE24" s="25">
        <f t="shared" ca="1" si="9"/>
        <v>30</v>
      </c>
      <c r="AF24" s="25">
        <f t="shared" ca="1" si="9"/>
        <v>30</v>
      </c>
      <c r="AG24" s="25">
        <f t="shared" ca="1" si="9"/>
        <v>30</v>
      </c>
      <c r="AH24" s="25">
        <f t="shared" ca="1" si="9"/>
        <v>29</v>
      </c>
      <c r="AI24" s="25">
        <f t="shared" ca="1" si="9"/>
        <v>29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17</v>
      </c>
      <c r="D28" s="25">
        <f t="shared" ca="1" si="10"/>
        <v>17</v>
      </c>
      <c r="E28" s="25">
        <f t="shared" ca="1" si="10"/>
        <v>17</v>
      </c>
      <c r="F28" s="25">
        <f t="shared" ca="1" si="10"/>
        <v>17</v>
      </c>
      <c r="G28" s="25">
        <f t="shared" ca="1" si="10"/>
        <v>17</v>
      </c>
      <c r="H28" s="25">
        <f t="shared" ca="1" si="10"/>
        <v>17</v>
      </c>
      <c r="J28" s="25">
        <f ca="1">IF(J29="","",$B$1-J29)</f>
        <v>17</v>
      </c>
      <c r="K28" s="25">
        <f t="shared" ref="K28:P28" ca="1" si="11">IF(K29="","",$B$1-K29)</f>
        <v>10</v>
      </c>
      <c r="L28" s="25">
        <f t="shared" ca="1" si="11"/>
        <v>10</v>
      </c>
      <c r="M28" s="25">
        <f t="shared" ca="1" si="11"/>
        <v>10</v>
      </c>
      <c r="N28" s="25">
        <f t="shared" ca="1" si="11"/>
        <v>10</v>
      </c>
      <c r="O28" s="25">
        <f t="shared" ca="1" si="11"/>
        <v>9</v>
      </c>
      <c r="P28" s="25">
        <f t="shared" ca="1" si="11"/>
        <v>9</v>
      </c>
      <c r="R28" s="25">
        <f t="shared" ref="R28:X28" ca="1" si="12">IF(R29="","",$B$1-R29)</f>
        <v>9</v>
      </c>
      <c r="S28" s="25">
        <f ca="1">IF(S29="","",$B$1-S29)</f>
        <v>5</v>
      </c>
      <c r="T28" s="25">
        <f ca="1">IF(T29="","",$B$1-T29)</f>
        <v>5</v>
      </c>
      <c r="U28" s="25">
        <f ca="1">IF(U29="","",$B$1-U29)</f>
        <v>5</v>
      </c>
      <c r="V28" s="25">
        <f ca="1">IF(V29="","",$B$1-V29)</f>
        <v>5</v>
      </c>
      <c r="W28" s="25">
        <f t="shared" ca="1" si="12"/>
        <v>3</v>
      </c>
      <c r="X28" s="25">
        <f t="shared" ca="1" si="12"/>
        <v>3</v>
      </c>
      <c r="Z28" s="25">
        <f t="shared" ref="Z28:AI28" ca="1" si="13">IF(Z29="","",$B$1-Z29)</f>
        <v>3</v>
      </c>
      <c r="AA28" s="25">
        <f t="shared" ca="1" si="13"/>
        <v>31</v>
      </c>
      <c r="AB28" s="25">
        <f t="shared" ca="1" si="13"/>
        <v>31</v>
      </c>
      <c r="AC28" s="25">
        <f t="shared" ca="1" si="13"/>
        <v>31</v>
      </c>
      <c r="AD28" s="25">
        <f t="shared" ca="1" si="13"/>
        <v>31</v>
      </c>
      <c r="AE28" s="25">
        <f t="shared" ca="1" si="13"/>
        <v>31</v>
      </c>
      <c r="AF28" s="25">
        <f t="shared" ca="1" si="13"/>
        <v>31</v>
      </c>
      <c r="AG28" s="25">
        <f t="shared" ca="1" si="13"/>
        <v>31</v>
      </c>
      <c r="AH28" s="25">
        <f t="shared" ca="1" si="13"/>
        <v>29</v>
      </c>
      <c r="AI28" s="25">
        <f t="shared" ca="1" si="13"/>
        <v>29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7" t="s">
        <v>184</v>
      </c>
      <c r="I30" s="88"/>
      <c r="J30" s="89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3">
        <v>45978</v>
      </c>
      <c r="C36" s="83"/>
      <c r="D36" s="83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25</v>
      </c>
      <c r="D41" s="25">
        <f t="shared" ca="1" si="14"/>
        <v>25</v>
      </c>
      <c r="E41" s="25">
        <f t="shared" ca="1" si="14"/>
        <v>25</v>
      </c>
      <c r="F41" s="25">
        <f t="shared" ca="1" si="14"/>
        <v>25</v>
      </c>
      <c r="G41" s="25">
        <f t="shared" ca="1" si="14"/>
        <v>24</v>
      </c>
      <c r="H41" s="25">
        <f t="shared" ca="1" si="14"/>
        <v>24</v>
      </c>
      <c r="J41" s="25">
        <f t="shared" ca="1" si="14"/>
        <v>24</v>
      </c>
      <c r="K41" s="25">
        <f t="shared" ca="1" si="14"/>
        <v>24</v>
      </c>
      <c r="L41" s="25">
        <f t="shared" ca="1" si="14"/>
        <v>24</v>
      </c>
      <c r="M41" s="25">
        <f t="shared" ca="1" si="14"/>
        <v>24</v>
      </c>
      <c r="N41" s="25">
        <f t="shared" ca="1" si="14"/>
        <v>24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27</v>
      </c>
      <c r="D45" s="25">
        <f ca="1">IF(D46="","",$B$1-D46)</f>
        <v>27</v>
      </c>
      <c r="E45" s="25">
        <f ca="1">IF(E46="","",$B$1-E46)</f>
        <v>26</v>
      </c>
      <c r="F45" s="25">
        <f ca="1">IF(F46="","",$B$1-F46)</f>
        <v>26</v>
      </c>
      <c r="H45" s="25">
        <f ca="1">IF(H46="","",$B$1-H46)</f>
        <v>26</v>
      </c>
      <c r="J45" s="25">
        <f t="shared" ref="J45:P45" ca="1" si="15">IF(J46="","",$B$1-J46)</f>
        <v>26</v>
      </c>
      <c r="K45" s="25">
        <f t="shared" ca="1" si="15"/>
        <v>26</v>
      </c>
      <c r="L45" s="25">
        <f t="shared" ca="1" si="15"/>
        <v>26</v>
      </c>
      <c r="M45" s="25">
        <f t="shared" ca="1" si="15"/>
        <v>26</v>
      </c>
      <c r="N45" s="25">
        <f t="shared" ca="1" si="15"/>
        <v>25</v>
      </c>
      <c r="O45" s="25">
        <f t="shared" ca="1" si="15"/>
        <v>25</v>
      </c>
      <c r="P45" s="25">
        <f t="shared" ca="1" si="15"/>
        <v>25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28</v>
      </c>
      <c r="D49" s="25">
        <f ca="1">IF(D50="","",$B$1-D50)</f>
        <v>28</v>
      </c>
      <c r="E49" s="25">
        <f ca="1">IF(E50="","",$B$1-E50)</f>
        <v>28</v>
      </c>
      <c r="F49" s="25">
        <f ca="1">IF(F50="","",$B$1-F50)</f>
        <v>28</v>
      </c>
      <c r="H49" s="25">
        <f ca="1">IF(H50="","",$B$1-H50)</f>
        <v>28</v>
      </c>
      <c r="J49" s="25">
        <f t="shared" ref="J49:P49" ca="1" si="16">IF(J50="","",$B$1-J50)</f>
        <v>28</v>
      </c>
      <c r="K49" s="25">
        <f t="shared" ca="1" si="16"/>
        <v>28</v>
      </c>
      <c r="L49" s="25">
        <f t="shared" ca="1" si="16"/>
        <v>27</v>
      </c>
      <c r="M49" s="25">
        <f t="shared" ca="1" si="16"/>
        <v>27</v>
      </c>
      <c r="N49" s="25">
        <f t="shared" ca="1" si="16"/>
        <v>27</v>
      </c>
      <c r="O49" s="25">
        <f t="shared" ca="1" si="16"/>
        <v>27</v>
      </c>
      <c r="P49" s="25">
        <f t="shared" ca="1" si="16"/>
        <v>27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7" t="s">
        <v>184</v>
      </c>
      <c r="G51" s="88"/>
      <c r="H51" s="89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20</v>
      </c>
      <c r="D58" s="25">
        <f t="shared" ca="1" si="17"/>
        <v>20</v>
      </c>
      <c r="E58" s="25">
        <f t="shared" ca="1" si="17"/>
        <v>20</v>
      </c>
      <c r="F58" s="25">
        <f t="shared" ca="1" si="17"/>
        <v>20</v>
      </c>
      <c r="G58" s="25">
        <f t="shared" ca="1" si="17"/>
        <v>20</v>
      </c>
      <c r="H58" s="25">
        <f t="shared" ca="1" si="17"/>
        <v>20</v>
      </c>
      <c r="J58" s="25">
        <f t="shared" ref="J58:P58" ca="1" si="18">IF(J59="","",$B$1-J59)</f>
        <v>20</v>
      </c>
      <c r="K58" s="25">
        <f t="shared" ca="1" si="18"/>
        <v>19</v>
      </c>
      <c r="L58" s="25">
        <f t="shared" ca="1" si="18"/>
        <v>19</v>
      </c>
      <c r="M58" s="25">
        <f t="shared" ca="1" si="18"/>
        <v>19</v>
      </c>
      <c r="N58" s="25">
        <f t="shared" ca="1" si="18"/>
        <v>19</v>
      </c>
      <c r="O58" s="25">
        <f t="shared" ca="1" si="18"/>
        <v>19</v>
      </c>
      <c r="P58" s="25">
        <f t="shared" ca="1" si="18"/>
        <v>19</v>
      </c>
      <c r="R58" s="25">
        <f t="shared" ref="R58:X58" ca="1" si="19">IF(R59="","",$B$1-R59)</f>
        <v>19</v>
      </c>
      <c r="S58" s="25">
        <f t="shared" ca="1" si="19"/>
        <v>18</v>
      </c>
      <c r="T58" s="25">
        <f t="shared" ca="1" si="19"/>
        <v>18</v>
      </c>
      <c r="U58" s="25">
        <f t="shared" ca="1" si="19"/>
        <v>18</v>
      </c>
      <c r="V58" s="25">
        <f t="shared" ca="1" si="19"/>
        <v>18</v>
      </c>
      <c r="W58" s="25">
        <f t="shared" ca="1" si="19"/>
        <v>18</v>
      </c>
      <c r="X58" s="25">
        <f t="shared" ca="1" si="19"/>
        <v>18</v>
      </c>
      <c r="Z58" s="25">
        <f ca="1">IF(Z59="","",$B$1-Z59)</f>
        <v>18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4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5"/>
      <c r="AC60" s="55"/>
    </row>
    <row r="61" spans="1:29" x14ac:dyDescent="0.25">
      <c r="B61" s="85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6"/>
      <c r="C62" s="25" t="str">
        <f t="shared" ref="C62:H62" si="20">IF(C63="","",$B$1-C63)</f>
        <v/>
      </c>
      <c r="D62" s="25">
        <f t="shared" ca="1" si="20"/>
        <v>21</v>
      </c>
      <c r="E62" s="25">
        <f t="shared" ca="1" si="20"/>
        <v>21</v>
      </c>
      <c r="F62" s="25">
        <f t="shared" ca="1" si="20"/>
        <v>21</v>
      </c>
      <c r="G62" s="25">
        <f t="shared" ca="1" si="20"/>
        <v>21</v>
      </c>
      <c r="H62" s="25">
        <f t="shared" ca="1" si="20"/>
        <v>21</v>
      </c>
      <c r="J62" s="25">
        <f t="shared" ref="J62:P62" ca="1" si="21">IF(J63="","",$B$1-J63)</f>
        <v>21</v>
      </c>
      <c r="K62" s="25">
        <f t="shared" ca="1" si="21"/>
        <v>21</v>
      </c>
      <c r="L62" s="25">
        <f t="shared" ca="1" si="21"/>
        <v>21</v>
      </c>
      <c r="M62" s="25">
        <f t="shared" ca="1" si="21"/>
        <v>22</v>
      </c>
      <c r="N62" s="25">
        <f t="shared" ca="1" si="21"/>
        <v>22</v>
      </c>
      <c r="O62" s="25">
        <f t="shared" ca="1" si="21"/>
        <v>22</v>
      </c>
      <c r="P62" s="25">
        <f t="shared" ca="1" si="21"/>
        <v>22</v>
      </c>
      <c r="R62" s="25">
        <f t="shared" ref="R62:X62" ca="1" si="22">IF(R63="","",$B$1-R63)</f>
        <v>22</v>
      </c>
      <c r="S62" s="25">
        <f t="shared" ca="1" si="22"/>
        <v>22</v>
      </c>
      <c r="T62" s="25">
        <f t="shared" ca="1" si="22"/>
        <v>22</v>
      </c>
      <c r="U62" s="25">
        <f t="shared" ca="1" si="22"/>
        <v>23</v>
      </c>
      <c r="V62" s="25">
        <f t="shared" ca="1" si="22"/>
        <v>23</v>
      </c>
      <c r="W62" s="25">
        <f t="shared" ca="1" si="22"/>
        <v>23</v>
      </c>
      <c r="X62" s="25">
        <f t="shared" ca="1" si="22"/>
        <v>23</v>
      </c>
      <c r="Z62" s="25">
        <f ca="1">IF(Z63="","",$B$1-Z63)</f>
        <v>23</v>
      </c>
      <c r="AA62" s="25">
        <f ca="1">IF(AA63="","",$B$1-AA63)</f>
        <v>23</v>
      </c>
      <c r="AB62" s="25">
        <f ca="1">IF(AB63="","",$B$1-AB63)</f>
        <v>23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6</v>
      </c>
      <c r="D71" s="25">
        <f t="shared" ca="1" si="23"/>
        <v>6</v>
      </c>
      <c r="E71" s="25">
        <f t="shared" ca="1" si="23"/>
        <v>6</v>
      </c>
      <c r="F71" s="25">
        <f t="shared" ca="1" si="23"/>
        <v>7</v>
      </c>
      <c r="G71" s="25">
        <f t="shared" ca="1" si="23"/>
        <v>7</v>
      </c>
      <c r="H71" s="25">
        <f t="shared" ca="1" si="23"/>
        <v>7</v>
      </c>
      <c r="J71" s="25">
        <f ca="1">IF(J72="","",$B$1-J72)</f>
        <v>7</v>
      </c>
      <c r="K71" s="25">
        <f t="shared" ref="K71:P71" ca="1" si="24">IF(K72="","",$B$1-K72)</f>
        <v>7</v>
      </c>
      <c r="L71" s="25">
        <f t="shared" ca="1" si="24"/>
        <v>7</v>
      </c>
      <c r="M71" s="25">
        <f t="shared" ca="1" si="24"/>
        <v>7</v>
      </c>
      <c r="N71" s="25">
        <f t="shared" ca="1" si="24"/>
        <v>8</v>
      </c>
      <c r="O71" s="25">
        <f t="shared" ca="1" si="24"/>
        <v>8</v>
      </c>
      <c r="P71" s="25">
        <f t="shared" ca="1" si="24"/>
        <v>8</v>
      </c>
      <c r="R71" s="25">
        <f t="shared" ref="R71:X71" ca="1" si="25">IF(R72="","",$B$1-R72)</f>
        <v>8</v>
      </c>
      <c r="S71" s="25">
        <f t="shared" ca="1" si="25"/>
        <v>8</v>
      </c>
      <c r="T71" s="25">
        <f t="shared" ca="1" si="25"/>
        <v>8</v>
      </c>
      <c r="U71" s="25">
        <f t="shared" ca="1" si="25"/>
        <v>8</v>
      </c>
      <c r="V71" s="25">
        <f t="shared" ca="1" si="25"/>
        <v>9</v>
      </c>
      <c r="W71" s="25">
        <f t="shared" ca="1" si="25"/>
        <v>9</v>
      </c>
      <c r="X71" s="25">
        <f t="shared" ca="1" si="25"/>
        <v>9</v>
      </c>
      <c r="Z71" s="25">
        <f ca="1">IF(Z72="","",$B$1-Z72)</f>
        <v>9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0" t="s">
        <v>196</v>
      </c>
    </row>
    <row r="73" spans="1:28" x14ac:dyDescent="0.25">
      <c r="B73" s="54"/>
      <c r="AB73" s="81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1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2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02" priority="123">
      <formula>LEN(TRIM(C72))=0</formula>
    </cfRule>
    <cfRule type="notContainsBlanks" dxfId="1101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00" priority="89">
      <formula>LEN(TRIM(C42))=0</formula>
    </cfRule>
    <cfRule type="notContainsBlanks" dxfId="1099" priority="90">
      <formula>LEN(TRIM(C42))&gt;0</formula>
    </cfRule>
    <cfRule type="containsBlanks" dxfId="1098" priority="91">
      <formula>LEN(TRIM(C42))=0</formula>
    </cfRule>
    <cfRule type="notContainsBlanks" dxfId="1097" priority="92">
      <formula>LEN(TRIM(C42))&gt;0</formula>
    </cfRule>
  </conditionalFormatting>
  <conditionalFormatting sqref="C46:F46">
    <cfRule type="containsBlanks" dxfId="1096" priority="103">
      <formula>LEN(TRIM(C46))=0</formula>
    </cfRule>
    <cfRule type="notContainsBlanks" dxfId="1095" priority="104">
      <formula>LEN(TRIM(C46))&gt;0</formula>
    </cfRule>
  </conditionalFormatting>
  <conditionalFormatting sqref="C50:F50">
    <cfRule type="containsBlanks" dxfId="1094" priority="243">
      <formula>LEN(TRIM(C50))=0</formula>
    </cfRule>
    <cfRule type="notContainsBlanks" dxfId="1093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092" priority="190">
      <formula>LEN(TRIM(C7))=0</formula>
    </cfRule>
    <cfRule type="notContainsBlanks" dxfId="1091" priority="191">
      <formula>LEN(TRIM(C7))&gt;0</formula>
    </cfRule>
  </conditionalFormatting>
  <conditionalFormatting sqref="C11:H11">
    <cfRule type="containsBlanks" dxfId="1090" priority="236">
      <formula>LEN(TRIM(C11))=0</formula>
    </cfRule>
    <cfRule type="notContainsBlanks" dxfId="1089" priority="237">
      <formula>LEN(TRIM(C11))&gt;0</formula>
    </cfRule>
  </conditionalFormatting>
  <conditionalFormatting sqref="C15:H15">
    <cfRule type="containsBlanks" dxfId="1088" priority="55">
      <formula>LEN(TRIM(C15))=0</formula>
    </cfRule>
    <cfRule type="notContainsBlanks" dxfId="1087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086" priority="151">
      <formula>LEN(TRIM(C25))=0</formula>
    </cfRule>
    <cfRule type="notContainsBlanks" dxfId="1085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084" priority="57">
      <formula>LEN(TRIM(C29))=0</formula>
    </cfRule>
    <cfRule type="notContainsBlanks" dxfId="1083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082" priority="93">
      <formula>LEN(TRIM(C42))=0</formula>
    </cfRule>
    <cfRule type="notContainsBlanks" dxfId="1081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080" priority="157">
      <formula>LEN(TRIM(C59))=0</formula>
    </cfRule>
    <cfRule type="notContainsBlanks" dxfId="1079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078" priority="73">
      <formula>LEN(TRIM(C63))=0</formula>
    </cfRule>
    <cfRule type="notContainsBlanks" dxfId="1077" priority="74">
      <formula>LEN(TRIM(C63))&gt;0</formula>
    </cfRule>
  </conditionalFormatting>
  <conditionalFormatting sqref="C72:H72">
    <cfRule type="containsBlanks" dxfId="1076" priority="9">
      <formula>LEN(TRIM(C72))=0</formula>
    </cfRule>
    <cfRule type="notContainsBlanks" dxfId="1075" priority="10">
      <formula>LEN(TRIM(C72))&gt;0</formula>
    </cfRule>
  </conditionalFormatting>
  <conditionalFormatting sqref="C76:H76">
    <cfRule type="containsBlanks" dxfId="1074" priority="188">
      <formula>LEN(TRIM(C76))=0</formula>
    </cfRule>
    <cfRule type="notContainsBlanks" dxfId="1073" priority="189">
      <formula>LEN(TRIM(C76))&gt;0</formula>
    </cfRule>
  </conditionalFormatting>
  <conditionalFormatting sqref="D63:H63">
    <cfRule type="containsBlanks" dxfId="1072" priority="71">
      <formula>LEN(TRIM(D63))=0</formula>
    </cfRule>
    <cfRule type="notContainsBlanks" dxfId="1071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070" priority="222">
      <formula>LEN(TRIM(E46))=0</formula>
    </cfRule>
    <cfRule type="notContainsBlanks" dxfId="1069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068" priority="7">
      <formula>LEN(TRIM(F72))=0</formula>
    </cfRule>
    <cfRule type="notContainsBlanks" dxfId="1067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066" priority="176">
      <formula>LEN(TRIM(G42))=0</formula>
    </cfRule>
    <cfRule type="notContainsBlanks" dxfId="1065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064" priority="99">
      <formula>LEN(TRIM(H46))=0</formula>
    </cfRule>
    <cfRule type="notContainsBlanks" dxfId="1063" priority="100">
      <formula>LEN(TRIM(H46))&gt;0</formula>
    </cfRule>
    <cfRule type="containsBlanks" dxfId="1062" priority="101">
      <formula>LEN(TRIM(H46))=0</formula>
    </cfRule>
    <cfRule type="notContainsBlanks" dxfId="1061" priority="102">
      <formula>LEN(TRIM(H46))&gt;0</formula>
    </cfRule>
  </conditionalFormatting>
  <conditionalFormatting sqref="H50">
    <cfRule type="containsBlanks" dxfId="1060" priority="107">
      <formula>LEN(TRIM(H50))=0</formula>
    </cfRule>
    <cfRule type="notContainsBlanks" dxfId="1059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058" priority="214">
      <formula>LEN(TRIM(J72))=0</formula>
    </cfRule>
    <cfRule type="notContainsBlanks" dxfId="1057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056" priority="109">
      <formula>LEN(TRIM(J21))=0</formula>
    </cfRule>
    <cfRule type="notContainsBlanks" dxfId="1055" priority="110">
      <formula>LEN(TRIM(J21))&gt;0</formula>
    </cfRule>
  </conditionalFormatting>
  <conditionalFormatting sqref="J63:L63">
    <cfRule type="containsBlanks" dxfId="1054" priority="155">
      <formula>LEN(TRIM(J63))=0</formula>
    </cfRule>
    <cfRule type="notContainsBlanks" dxfId="1053" priority="156">
      <formula>LEN(TRIM(J63))&gt;0</formula>
    </cfRule>
  </conditionalFormatting>
  <conditionalFormatting sqref="J46:M46">
    <cfRule type="containsBlanks" dxfId="1052" priority="95">
      <formula>LEN(TRIM(J46))=0</formula>
    </cfRule>
    <cfRule type="notContainsBlanks" dxfId="1051" priority="96">
      <formula>LEN(TRIM(J46))&gt;0</formula>
    </cfRule>
  </conditionalFormatting>
  <conditionalFormatting sqref="J72:M72">
    <cfRule type="containsBlanks" dxfId="1050" priority="127">
      <formula>LEN(TRIM(J72))=0</formula>
    </cfRule>
    <cfRule type="notContainsBlanks" dxfId="1049" priority="128">
      <formula>LEN(TRIM(J72))&gt;0</formula>
    </cfRule>
  </conditionalFormatting>
  <conditionalFormatting sqref="J42:N42">
    <cfRule type="containsBlanks" dxfId="1048" priority="85">
      <formula>LEN(TRIM(J42))=0</formula>
    </cfRule>
    <cfRule type="notContainsBlanks" dxfId="1047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046" priority="149">
      <formula>LEN(TRIM(J7))=0</formula>
    </cfRule>
    <cfRule type="notContainsBlanks" dxfId="1045" priority="150">
      <formula>LEN(TRIM(J7))&gt;0</formula>
    </cfRule>
  </conditionalFormatting>
  <conditionalFormatting sqref="J11:P11">
    <cfRule type="containsBlanks" dxfId="1044" priority="51">
      <formula>LEN(TRIM(J11))=0</formula>
    </cfRule>
    <cfRule type="notContainsBlanks" dxfId="1043" priority="52">
      <formula>LEN(TRIM(J11))&gt;0</formula>
    </cfRule>
  </conditionalFormatting>
  <conditionalFormatting sqref="J15:P15">
    <cfRule type="containsBlanks" dxfId="1042" priority="53">
      <formula>LEN(TRIM(J15))=0</formula>
    </cfRule>
    <cfRule type="notContainsBlanks" dxfId="1041" priority="54">
      <formula>LEN(TRIM(J15))&gt;0</formula>
    </cfRule>
  </conditionalFormatting>
  <conditionalFormatting sqref="J25:P25">
    <cfRule type="containsBlanks" dxfId="1040" priority="5">
      <formula>LEN(TRIM(J25))=0</formula>
    </cfRule>
    <cfRule type="notContainsBlanks" dxfId="1039" priority="6">
      <formula>LEN(TRIM(J25))&gt;0</formula>
    </cfRule>
  </conditionalFormatting>
  <conditionalFormatting sqref="J29:P29">
    <cfRule type="containsBlanks" dxfId="1038" priority="15">
      <formula>LEN(TRIM(J29))=0</formula>
    </cfRule>
    <cfRule type="notContainsBlanks" dxfId="1037" priority="16">
      <formula>LEN(TRIM(J29))&gt;0</formula>
    </cfRule>
  </conditionalFormatting>
  <conditionalFormatting sqref="J42:P42">
    <cfRule type="containsBlanks" dxfId="1036" priority="87">
      <formula>LEN(TRIM(J42))=0</formula>
    </cfRule>
    <cfRule type="notContainsBlanks" dxfId="1035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034" priority="97">
      <formula>LEN(TRIM(J46))=0</formula>
    </cfRule>
    <cfRule type="notContainsBlanks" dxfId="1033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032" priority="105">
      <formula>LEN(TRIM(J50))=0</formula>
    </cfRule>
    <cfRule type="notContainsBlanks" dxfId="1031" priority="106">
      <formula>LEN(TRIM(J50))&gt;0</formula>
    </cfRule>
  </conditionalFormatting>
  <conditionalFormatting sqref="J59:P59">
    <cfRule type="containsBlanks" dxfId="1030" priority="69">
      <formula>LEN(TRIM(J59))=0</formula>
    </cfRule>
    <cfRule type="notContainsBlanks" dxfId="1029" priority="70">
      <formula>LEN(TRIM(J59))&gt;0</formula>
    </cfRule>
  </conditionalFormatting>
  <conditionalFormatting sqref="J63:P63">
    <cfRule type="containsBlanks" dxfId="1028" priority="77">
      <formula>LEN(TRIM(J63))=0</formula>
    </cfRule>
    <cfRule type="notContainsBlanks" dxfId="1027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026" priority="11">
      <formula>LEN(TRIM(J72))=0</formula>
    </cfRule>
    <cfRule type="notContainsBlanks" dxfId="1025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024" priority="186">
      <formula>LEN(TRIM(J76))=0</formula>
    </cfRule>
    <cfRule type="notContainsBlanks" dxfId="1023" priority="187">
      <formula>LEN(TRIM(J76))&gt;0</formula>
    </cfRule>
  </conditionalFormatting>
  <conditionalFormatting sqref="K11:P11">
    <cfRule type="containsBlanks" dxfId="1022" priority="153">
      <formula>LEN(TRIM(K11))=0</formula>
    </cfRule>
    <cfRule type="notContainsBlanks" dxfId="1021" priority="154">
      <formula>LEN(TRIM(K11))&gt;0</formula>
    </cfRule>
  </conditionalFormatting>
  <conditionalFormatting sqref="K59:P59">
    <cfRule type="containsBlanks" dxfId="1020" priority="159">
      <formula>LEN(TRIM(K59))=0</formula>
    </cfRule>
    <cfRule type="notContainsBlanks" dxfId="1019" priority="160">
      <formula>LEN(TRIM(K59))&gt;0</formula>
    </cfRule>
    <cfRule type="containsBlanks" dxfId="1018" priority="161">
      <formula>LEN(TRIM(K59))=0</formula>
    </cfRule>
    <cfRule type="notContainsBlanks" dxfId="1017" priority="162">
      <formula>LEN(TRIM(K59))&gt;0</formula>
    </cfRule>
  </conditionalFormatting>
  <conditionalFormatting sqref="L76:P76">
    <cfRule type="containsBlanks" dxfId="1016" priority="199">
      <formula>LEN(TRIM(L76))=0</formula>
    </cfRule>
    <cfRule type="notContainsBlanks" dxfId="1015" priority="200">
      <formula>LEN(TRIM(L76))&gt;0</formula>
    </cfRule>
  </conditionalFormatting>
  <conditionalFormatting sqref="M50:P50">
    <cfRule type="containsBlanks" dxfId="1014" priority="226">
      <formula>LEN(TRIM(M50))=0</formula>
    </cfRule>
    <cfRule type="notContainsBlanks" dxfId="1013" priority="227">
      <formula>LEN(TRIM(M50))&gt;0</formula>
    </cfRule>
  </conditionalFormatting>
  <conditionalFormatting sqref="M63:P63">
    <cfRule type="containsBlanks" dxfId="1012" priority="75">
      <formula>LEN(TRIM(M63))=0</formula>
    </cfRule>
    <cfRule type="notContainsBlanks" dxfId="1011" priority="76">
      <formula>LEN(TRIM(M63))&gt;0</formula>
    </cfRule>
  </conditionalFormatting>
  <conditionalFormatting sqref="N46:P46">
    <cfRule type="containsBlanks" dxfId="1010" priority="178">
      <formula>LEN(TRIM(N46))=0</formula>
    </cfRule>
    <cfRule type="notContainsBlanks" dxfId="1009" priority="179">
      <formula>LEN(TRIM(N46))&gt;0</formula>
    </cfRule>
    <cfRule type="containsBlanks" dxfId="1008" priority="220">
      <formula>LEN(TRIM(N46))=0</formula>
    </cfRule>
    <cfRule type="notContainsBlanks" dxfId="1007" priority="221">
      <formula>LEN(TRIM(N46))&gt;0</formula>
    </cfRule>
  </conditionalFormatting>
  <conditionalFormatting sqref="O46:P46">
    <cfRule type="containsBlanks" dxfId="1006" priority="224">
      <formula>LEN(TRIM(O46))=0</formula>
    </cfRule>
    <cfRule type="notContainsBlanks" dxfId="1005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04" priority="145">
      <formula>LEN(TRIM(P7))=0</formula>
    </cfRule>
    <cfRule type="notContainsBlanks" dxfId="1003" priority="146">
      <formula>LEN(TRIM(P7))&gt;0</formula>
    </cfRule>
    <cfRule type="containsBlanks" dxfId="1002" priority="147">
      <formula>LEN(TRIM(P7))=0</formula>
    </cfRule>
    <cfRule type="notContainsBlanks" dxfId="1001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00" priority="48">
      <formula>LEN(TRIM(R11))&gt;0</formula>
    </cfRule>
  </conditionalFormatting>
  <conditionalFormatting sqref="R15">
    <cfRule type="containsBlanks" dxfId="999" priority="49">
      <formula>LEN(TRIM(R15))=0</formula>
    </cfRule>
    <cfRule type="notContainsBlanks" dxfId="998" priority="50">
      <formula>LEN(TRIM(R15))&gt;0</formula>
    </cfRule>
  </conditionalFormatting>
  <conditionalFormatting sqref="R59">
    <cfRule type="containsBlanks" dxfId="997" priority="63">
      <formula>LEN(TRIM(R59))=0</formula>
    </cfRule>
    <cfRule type="notContainsBlanks" dxfId="996" priority="64">
      <formula>LEN(TRIM(R59))&gt;0</formula>
    </cfRule>
    <cfRule type="containsBlanks" dxfId="995" priority="65">
      <formula>LEN(TRIM(R59))=0</formula>
    </cfRule>
    <cfRule type="notContainsBlanks" dxfId="994" priority="66">
      <formula>LEN(TRIM(R59))&gt;0</formula>
    </cfRule>
  </conditionalFormatting>
  <conditionalFormatting sqref="R72">
    <cfRule type="containsBlanks" dxfId="993" priority="212">
      <formula>LEN(TRIM(R72))=0</formula>
    </cfRule>
    <cfRule type="notContainsBlanks" dxfId="992" priority="213">
      <formula>LEN(TRIM(R72))&gt;0</formula>
    </cfRule>
  </conditionalFormatting>
  <conditionalFormatting sqref="R63:S63">
    <cfRule type="containsBlanks" dxfId="991" priority="166">
      <formula>LEN(TRIM(R63))=0</formula>
    </cfRule>
    <cfRule type="notContainsBlanks" dxfId="990" priority="167">
      <formula>LEN(TRIM(R63))&gt;0</formula>
    </cfRule>
  </conditionalFormatting>
  <conditionalFormatting sqref="R76:S76">
    <cfRule type="containsBlanks" dxfId="989" priority="182">
      <formula>LEN(TRIM(R76))=0</formula>
    </cfRule>
    <cfRule type="notContainsBlanks" dxfId="988" priority="183">
      <formula>LEN(TRIM(R76))&gt;0</formula>
    </cfRule>
  </conditionalFormatting>
  <conditionalFormatting sqref="R7:T7">
    <cfRule type="containsBlanks" dxfId="987" priority="17">
      <formula>LEN(TRIM(R7))=0</formula>
    </cfRule>
    <cfRule type="notContainsBlanks" dxfId="986" priority="18">
      <formula>LEN(TRIM(R7))&gt;0</formula>
    </cfRule>
    <cfRule type="containsBlanks" dxfId="985" priority="19">
      <formula>LEN(TRIM(R7))=0</formula>
    </cfRule>
    <cfRule type="notContainsBlanks" dxfId="984" priority="20">
      <formula>LEN(TRIM(R7))&gt;0</formula>
    </cfRule>
  </conditionalFormatting>
  <conditionalFormatting sqref="R11:T11">
    <cfRule type="containsBlanks" dxfId="983" priority="41">
      <formula>LEN(TRIM(R11))=0</formula>
    </cfRule>
    <cfRule type="notContainsBlanks" dxfId="982" priority="42">
      <formula>LEN(TRIM(R11))&gt;0</formula>
    </cfRule>
  </conditionalFormatting>
  <conditionalFormatting sqref="R63:T63">
    <cfRule type="containsBlanks" dxfId="981" priority="168">
      <formula>LEN(TRIM(R63))=0</formula>
    </cfRule>
    <cfRule type="notContainsBlanks" dxfId="980" priority="169">
      <formula>LEN(TRIM(R63))&gt;0</formula>
    </cfRule>
    <cfRule type="containsBlanks" dxfId="979" priority="174">
      <formula>LEN(TRIM(R63))=0</formula>
    </cfRule>
    <cfRule type="notContainsBlanks" dxfId="978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977" priority="21">
      <formula>LEN(TRIM(R7))=0</formula>
    </cfRule>
    <cfRule type="notContainsBlanks" dxfId="976" priority="22">
      <formula>LEN(TRIM(R7))&gt;0</formula>
    </cfRule>
  </conditionalFormatting>
  <conditionalFormatting sqref="R25:X25">
    <cfRule type="containsBlanks" dxfId="975" priority="33">
      <formula>LEN(TRIM(R25))=0</formula>
    </cfRule>
    <cfRule type="notContainsBlanks" dxfId="974" priority="34">
      <formula>LEN(TRIM(R25))&gt;0</formula>
    </cfRule>
  </conditionalFormatting>
  <conditionalFormatting sqref="R29:X29">
    <cfRule type="containsBlanks" dxfId="973" priority="3">
      <formula>LEN(TRIM(R29))=0</formula>
    </cfRule>
    <cfRule type="notContainsBlanks" dxfId="972" priority="4">
      <formula>LEN(TRIM(R29))&gt;0</formula>
    </cfRule>
  </conditionalFormatting>
  <conditionalFormatting sqref="R59:X59">
    <cfRule type="containsBlanks" dxfId="971" priority="67">
      <formula>LEN(TRIM(R59))=0</formula>
    </cfRule>
    <cfRule type="notContainsBlanks" dxfId="970" priority="68">
      <formula>LEN(TRIM(R59))&gt;0</formula>
    </cfRule>
  </conditionalFormatting>
  <conditionalFormatting sqref="R72:X72">
    <cfRule type="containsBlanks" dxfId="969" priority="13">
      <formula>LEN(TRIM(R72))=0</formula>
    </cfRule>
    <cfRule type="notContainsBlanks" dxfId="968" priority="14">
      <formula>LEN(TRIM(R72))&gt;0</formula>
    </cfRule>
  </conditionalFormatting>
  <conditionalFormatting sqref="R76:X76">
    <cfRule type="containsBlanks" dxfId="967" priority="184">
      <formula>LEN(TRIM(R76))=0</formula>
    </cfRule>
    <cfRule type="notContainsBlanks" dxfId="966" priority="185">
      <formula>LEN(TRIM(R76))&gt;0</formula>
    </cfRule>
  </conditionalFormatting>
  <conditionalFormatting sqref="S15:W15">
    <cfRule type="containsBlanks" dxfId="965" priority="205">
      <formula>LEN(TRIM(S15))=0</formula>
    </cfRule>
    <cfRule type="notContainsBlanks" dxfId="964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963" priority="164">
      <formula>LEN(TRIM(S59))=0</formula>
    </cfRule>
    <cfRule type="notContainsBlanks" dxfId="962" priority="165">
      <formula>LEN(TRIM(S59))&gt;0</formula>
    </cfRule>
  </conditionalFormatting>
  <conditionalFormatting sqref="U11:X11 R11">
    <cfRule type="containsBlanks" dxfId="961" priority="47">
      <formula>LEN(TRIM(R11))=0</formula>
    </cfRule>
  </conditionalFormatting>
  <conditionalFormatting sqref="U63:X63">
    <cfRule type="containsBlanks" dxfId="960" priority="79">
      <formula>LEN(TRIM(U63))=0</formula>
    </cfRule>
    <cfRule type="notContainsBlanks" dxfId="959" priority="80">
      <formula>LEN(TRIM(U63))&gt;0</formula>
    </cfRule>
    <cfRule type="containsBlanks" dxfId="958" priority="81">
      <formula>LEN(TRIM(U63))=0</formula>
    </cfRule>
    <cfRule type="notContainsBlanks" dxfId="957" priority="82">
      <formula>LEN(TRIM(U63))&gt;0</formula>
    </cfRule>
    <cfRule type="containsBlanks" dxfId="956" priority="83">
      <formula>LEN(TRIM(U63))=0</formula>
    </cfRule>
    <cfRule type="notContainsBlanks" dxfId="955" priority="84">
      <formula>LEN(TRIM(U63))&gt;0</formula>
    </cfRule>
  </conditionalFormatting>
  <conditionalFormatting sqref="V11:W11">
    <cfRule type="containsBlanks" dxfId="954" priority="43">
      <formula>LEN(TRIM(V11))=0</formula>
    </cfRule>
    <cfRule type="notContainsBlanks" dxfId="953" priority="44">
      <formula>LEN(TRIM(V11))&gt;0</formula>
    </cfRule>
  </conditionalFormatting>
  <conditionalFormatting sqref="W15:X15">
    <cfRule type="containsBlanks" dxfId="952" priority="195">
      <formula>LEN(TRIM(W15))=0</formula>
    </cfRule>
    <cfRule type="notContainsBlanks" dxfId="951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950" priority="207">
      <formula>LEN(TRIM(W33))=0</formula>
    </cfRule>
    <cfRule type="notContainsBlanks" dxfId="949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948" priority="276">
      <formula>LEN(TRIM(X21))=0</formula>
    </cfRule>
    <cfRule type="notContainsBlanks" dxfId="947" priority="277">
      <formula>LEN(TRIM(X21))&gt;0</formula>
    </cfRule>
    <cfRule type="containsBlanks" dxfId="946" priority="278">
      <formula>LEN(TRIM(X21))=0</formula>
    </cfRule>
    <cfRule type="notContainsBlanks" dxfId="945" priority="279">
      <formula>LEN(TRIM(X21))&gt;0</formula>
    </cfRule>
    <cfRule type="containsBlanks" dxfId="944" priority="280">
      <formula>LEN(TRIM(X21))=0</formula>
    </cfRule>
    <cfRule type="notContainsBlanks" dxfId="943" priority="281">
      <formula>LEN(TRIM(X21))&gt;0</formula>
    </cfRule>
    <cfRule type="containsBlanks" dxfId="942" priority="282">
      <formula>LEN(TRIM(X21))=0</formula>
    </cfRule>
    <cfRule type="notContainsBlanks" dxfId="941" priority="283">
      <formula>LEN(TRIM(X21))&gt;0</formula>
    </cfRule>
    <cfRule type="containsBlanks" dxfId="940" priority="284">
      <formula>LEN(TRIM(X21))=0</formula>
    </cfRule>
    <cfRule type="notContainsBlanks" dxfId="939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938" priority="59">
      <formula>LEN(TRIM(Z59))=0</formula>
    </cfRule>
    <cfRule type="notContainsBlanks" dxfId="937" priority="60">
      <formula>LEN(TRIM(Z59))&gt;0</formula>
    </cfRule>
  </conditionalFormatting>
  <conditionalFormatting sqref="Z72">
    <cfRule type="containsBlanks" dxfId="936" priority="129">
      <formula>LEN(TRIM(Z72))=0</formula>
    </cfRule>
    <cfRule type="notContainsBlanks" dxfId="935" priority="130">
      <formula>LEN(TRIM(Z72))&gt;0</formula>
    </cfRule>
  </conditionalFormatting>
  <conditionalFormatting sqref="Z76">
    <cfRule type="containsBlanks" dxfId="934" priority="210">
      <formula>LEN(TRIM(Z76))=0</formula>
    </cfRule>
    <cfRule type="notContainsBlanks" dxfId="933" priority="211">
      <formula>LEN(TRIM(Z76))&gt;0</formula>
    </cfRule>
  </conditionalFormatting>
  <conditionalFormatting sqref="Z63:AA63">
    <cfRule type="containsBlanks" dxfId="932" priority="170">
      <formula>LEN(TRIM(Z63))=0</formula>
    </cfRule>
    <cfRule type="notContainsBlanks" dxfId="931" priority="171">
      <formula>LEN(TRIM(Z63))&gt;0</formula>
    </cfRule>
  </conditionalFormatting>
  <conditionalFormatting sqref="Z59:AB59">
    <cfRule type="containsBlanks" dxfId="930" priority="61">
      <formula>LEN(TRIM(Z59))=0</formula>
    </cfRule>
    <cfRule type="notContainsBlanks" dxfId="929" priority="62">
      <formula>LEN(TRIM(Z59))&gt;0</formula>
    </cfRule>
  </conditionalFormatting>
  <conditionalFormatting sqref="Z63:AB63">
    <cfRule type="containsBlanks" dxfId="928" priority="172">
      <formula>LEN(TRIM(Z63))=0</formula>
    </cfRule>
    <cfRule type="notContainsBlanks" dxfId="927" priority="173">
      <formula>LEN(TRIM(Z63))&gt;0</formula>
    </cfRule>
    <cfRule type="containsBlanks" dxfId="926" priority="180">
      <formula>LEN(TRIM(Z63))=0</formula>
    </cfRule>
    <cfRule type="notContainsBlanks" dxfId="925" priority="181">
      <formula>LEN(TRIM(Z63))&gt;0</formula>
    </cfRule>
  </conditionalFormatting>
  <conditionalFormatting sqref="Z25:AI25">
    <cfRule type="containsBlanks" dxfId="924" priority="115">
      <formula>LEN(TRIM(Z25))=0</formula>
    </cfRule>
    <cfRule type="notContainsBlanks" dxfId="923" priority="116">
      <formula>LEN(TRIM(Z25))&gt;0</formula>
    </cfRule>
  </conditionalFormatting>
  <conditionalFormatting sqref="Z29:AI29">
    <cfRule type="containsBlanks" dxfId="922" priority="1">
      <formula>LEN(TRIM(Z29))=0</formula>
    </cfRule>
    <cfRule type="notContainsBlanks" dxfId="921" priority="2">
      <formula>LEN(TRIM(Z29))&gt;0</formula>
    </cfRule>
  </conditionalFormatting>
  <conditionalFormatting sqref="AA59:AB59">
    <cfRule type="containsBlanks" dxfId="920" priority="141">
      <formula>LEN(TRIM(AA59))=0</formula>
    </cfRule>
    <cfRule type="notContainsBlanks" dxfId="919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918" priority="268">
      <formula>LEN(TRIM(AF21))=0</formula>
    </cfRule>
    <cfRule type="notContainsBlanks" dxfId="917" priority="269">
      <formula>LEN(TRIM(AF21))&gt;0</formula>
    </cfRule>
    <cfRule type="containsBlanks" dxfId="916" priority="270">
      <formula>LEN(TRIM(AF21))=0</formula>
    </cfRule>
    <cfRule type="notContainsBlanks" dxfId="915" priority="271">
      <formula>LEN(TRIM(AF21))&gt;0</formula>
    </cfRule>
    <cfRule type="containsBlanks" dxfId="914" priority="272">
      <formula>LEN(TRIM(AF21))=0</formula>
    </cfRule>
    <cfRule type="notContainsBlanks" dxfId="913" priority="273">
      <formula>LEN(TRIM(AF21))&gt;0</formula>
    </cfRule>
    <cfRule type="containsBlanks" dxfId="912" priority="274">
      <formula>LEN(TRIM(AF21))=0</formula>
    </cfRule>
    <cfRule type="notContainsBlanks" dxfId="911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10" priority="111">
      <formula>LEN(TRIM(AF21))=0</formula>
    </cfRule>
    <cfRule type="notContainsBlanks" dxfId="909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08" priority="286">
      <formula>LEN(TRIM(AG33))=0</formula>
    </cfRule>
    <cfRule type="notContainsBlanks" dxfId="907" priority="287">
      <formula>LEN(TRIM(AG33))&gt;0</formula>
    </cfRule>
    <cfRule type="containsBlanks" dxfId="906" priority="288">
      <formula>LEN(TRIM(AG33))=0</formula>
    </cfRule>
    <cfRule type="notContainsBlanks" dxfId="905" priority="289">
      <formula>LEN(TRIM(AG33))&gt;0</formula>
    </cfRule>
    <cfRule type="containsBlanks" dxfId="904" priority="290">
      <formula>LEN(TRIM(AG33))=0</formula>
    </cfRule>
    <cfRule type="notContainsBlanks" dxfId="903" priority="291">
      <formula>LEN(TRIM(AG33))&gt;0</formula>
    </cfRule>
    <cfRule type="containsBlanks" dxfId="902" priority="292">
      <formula>LEN(TRIM(AG33))=0</formula>
    </cfRule>
    <cfRule type="notContainsBlanks" dxfId="901" priority="293">
      <formula>LEN(TRIM(AG33))&gt;0</formula>
    </cfRule>
    <cfRule type="containsBlanks" dxfId="900" priority="294">
      <formula>LEN(TRIM(AG33))=0</formula>
    </cfRule>
    <cfRule type="notContainsBlanks" dxfId="899" priority="295">
      <formula>LEN(TRIM(AG33))&gt;0</formula>
    </cfRule>
    <cfRule type="containsBlanks" dxfId="898" priority="296">
      <formula>LEN(TRIM(AG33))=0</formula>
    </cfRule>
    <cfRule type="notContainsBlanks" dxfId="897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sheetPr filterMode="1"/>
  <dimension ref="A1:CY234"/>
  <sheetViews>
    <sheetView zoomScale="75" zoomScaleNormal="92" workbookViewId="0">
      <pane xSplit="2" ySplit="13" topLeftCell="C67" activePane="bottomRight" state="frozen"/>
      <selection pane="topRight" activeCell="C1" sqref="C1"/>
      <selection pane="bottomLeft" activeCell="A14" sqref="A14"/>
      <selection pane="bottomRight" activeCell="G67" sqref="G67:G105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2">
        <v>45695</v>
      </c>
      <c r="B1" s="92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AN3" s="4"/>
      <c r="AO3" s="4"/>
      <c r="AP3" s="4"/>
      <c r="AQ3" s="4"/>
      <c r="AR3" s="4"/>
      <c r="AS3" s="4"/>
      <c r="AT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3" t="s">
        <v>3</v>
      </c>
      <c r="C8" s="94"/>
      <c r="D8" s="94"/>
      <c r="E8" s="94"/>
      <c r="F8" s="94"/>
      <c r="G8" s="94"/>
      <c r="H8" s="94"/>
      <c r="I8" s="94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0</v>
      </c>
      <c r="BR8" s="15">
        <f t="shared" si="6"/>
        <v>0</v>
      </c>
      <c r="BS8" s="15">
        <f t="shared" si="6"/>
        <v>0</v>
      </c>
    </row>
    <row r="9" spans="1:103" s="18" customFormat="1" ht="16.5" customHeight="1" x14ac:dyDescent="0.25">
      <c r="A9" s="12"/>
      <c r="B9" s="95" t="s">
        <v>4</v>
      </c>
      <c r="C9" s="96"/>
      <c r="D9" s="96"/>
      <c r="E9" s="96"/>
      <c r="F9" s="96"/>
      <c r="G9" s="96"/>
      <c r="H9" s="96"/>
      <c r="I9" s="96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0</v>
      </c>
      <c r="AU9" s="17">
        <f t="shared" si="8"/>
        <v>0</v>
      </c>
      <c r="AV9" s="17">
        <f t="shared" si="8"/>
        <v>0</v>
      </c>
      <c r="AW9" s="17">
        <f t="shared" si="8"/>
        <v>0</v>
      </c>
      <c r="AX9" s="17">
        <f t="shared" si="8"/>
        <v>0</v>
      </c>
      <c r="AY9" s="17">
        <f t="shared" si="8"/>
        <v>0</v>
      </c>
      <c r="AZ9" s="17">
        <f t="shared" si="8"/>
        <v>0</v>
      </c>
      <c r="BA9" s="17">
        <f t="shared" si="8"/>
        <v>0</v>
      </c>
      <c r="BB9" s="17">
        <f t="shared" si="8"/>
        <v>0</v>
      </c>
      <c r="BC9" s="17">
        <f t="shared" si="8"/>
        <v>0</v>
      </c>
      <c r="BD9" s="17">
        <f t="shared" si="8"/>
        <v>0</v>
      </c>
      <c r="BE9" s="17">
        <f t="shared" si="8"/>
        <v>0</v>
      </c>
      <c r="BF9" s="17">
        <f t="shared" si="8"/>
        <v>0</v>
      </c>
      <c r="BG9" s="17">
        <f t="shared" si="8"/>
        <v>0</v>
      </c>
      <c r="BH9" s="17">
        <f t="shared" si="8"/>
        <v>0</v>
      </c>
      <c r="BI9" s="17">
        <f t="shared" si="8"/>
        <v>0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97" t="s">
        <v>5</v>
      </c>
      <c r="C10" s="98"/>
      <c r="D10" s="98"/>
      <c r="E10" s="98"/>
      <c r="F10" s="98"/>
      <c r="G10" s="98"/>
      <c r="H10" s="98"/>
      <c r="I10" s="98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14</v>
      </c>
      <c r="BB10" s="19">
        <f t="shared" si="10"/>
        <v>14</v>
      </c>
      <c r="BC10" s="19">
        <f t="shared" si="10"/>
        <v>8</v>
      </c>
      <c r="BD10" s="19">
        <f t="shared" si="10"/>
        <v>16</v>
      </c>
      <c r="BE10" s="19">
        <f t="shared" si="10"/>
        <v>17</v>
      </c>
      <c r="BF10" s="19">
        <f t="shared" si="10"/>
        <v>14</v>
      </c>
      <c r="BG10" s="19">
        <f t="shared" si="10"/>
        <v>14</v>
      </c>
      <c r="BH10" s="19">
        <f t="shared" si="10"/>
        <v>7</v>
      </c>
      <c r="BI10" s="19">
        <f t="shared" si="10"/>
        <v>0</v>
      </c>
      <c r="BJ10" s="19">
        <f t="shared" si="10"/>
        <v>9</v>
      </c>
      <c r="BK10" s="19">
        <f t="shared" si="10"/>
        <v>10</v>
      </c>
      <c r="BL10" s="19">
        <f t="shared" si="10"/>
        <v>7</v>
      </c>
      <c r="BM10" s="19">
        <f t="shared" si="10"/>
        <v>7</v>
      </c>
      <c r="BN10" s="19">
        <f t="shared" si="10"/>
        <v>0</v>
      </c>
      <c r="BO10" s="19">
        <f t="shared" si="10"/>
        <v>0</v>
      </c>
      <c r="BP10" s="19">
        <f t="shared" si="10"/>
        <v>0</v>
      </c>
      <c r="BQ10" s="19">
        <f t="shared" si="10"/>
        <v>0</v>
      </c>
      <c r="BR10" s="19">
        <f t="shared" si="10"/>
        <v>0</v>
      </c>
      <c r="BS10" s="19">
        <f t="shared" si="10"/>
        <v>0</v>
      </c>
    </row>
    <row r="11" spans="1:103" s="22" customFormat="1" ht="16.5" customHeight="1" x14ac:dyDescent="0.25">
      <c r="A11" s="12"/>
      <c r="B11" s="99" t="s">
        <v>6</v>
      </c>
      <c r="C11" s="100"/>
      <c r="D11" s="100"/>
      <c r="E11" s="100"/>
      <c r="F11" s="100"/>
      <c r="G11" s="100"/>
      <c r="H11" s="100"/>
      <c r="I11" s="100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7</v>
      </c>
      <c r="BC11" s="21">
        <f t="shared" si="12"/>
        <v>7</v>
      </c>
      <c r="BD11" s="21">
        <f t="shared" si="12"/>
        <v>0</v>
      </c>
      <c r="BE11" s="21">
        <f t="shared" si="12"/>
        <v>9</v>
      </c>
      <c r="BF11" s="21">
        <f t="shared" si="12"/>
        <v>10</v>
      </c>
      <c r="BG11" s="21">
        <f t="shared" si="12"/>
        <v>7</v>
      </c>
      <c r="BH11" s="21">
        <f t="shared" si="12"/>
        <v>7</v>
      </c>
      <c r="BI11" s="21">
        <f t="shared" si="12"/>
        <v>0</v>
      </c>
      <c r="BJ11" s="21">
        <f t="shared" si="12"/>
        <v>0</v>
      </c>
      <c r="BK11" s="21">
        <f t="shared" si="12"/>
        <v>0</v>
      </c>
      <c r="BL11" s="21">
        <f t="shared" si="12"/>
        <v>0</v>
      </c>
      <c r="BM11" s="21">
        <f t="shared" si="12"/>
        <v>0</v>
      </c>
      <c r="BN11" s="21">
        <f t="shared" si="12"/>
        <v>0</v>
      </c>
      <c r="BO11" s="21">
        <f t="shared" si="12"/>
        <v>0</v>
      </c>
      <c r="BP11" s="21">
        <f t="shared" si="12"/>
        <v>0</v>
      </c>
      <c r="BQ11" s="21">
        <f t="shared" si="12"/>
        <v>0</v>
      </c>
      <c r="BR11" s="21">
        <f t="shared" si="12"/>
        <v>0</v>
      </c>
      <c r="BS11" s="21">
        <f t="shared" si="12"/>
        <v>0</v>
      </c>
    </row>
    <row r="12" spans="1:103" s="24" customFormat="1" ht="16.5" hidden="1" customHeight="1" x14ac:dyDescent="0.25">
      <c r="A12" s="12"/>
      <c r="B12" s="90" t="s">
        <v>7</v>
      </c>
      <c r="C12" s="91"/>
      <c r="D12" s="91"/>
      <c r="E12" s="91"/>
      <c r="F12" s="91"/>
      <c r="G12" s="91"/>
      <c r="H12" s="91"/>
      <c r="I12" s="91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1916</v>
      </c>
      <c r="AU12" s="23">
        <f t="shared" si="14"/>
        <v>1913</v>
      </c>
      <c r="AV12" s="23">
        <f t="shared" si="14"/>
        <v>1923</v>
      </c>
      <c r="AW12" s="23">
        <f t="shared" si="14"/>
        <v>1921</v>
      </c>
      <c r="AX12" s="23">
        <f t="shared" si="14"/>
        <v>1908</v>
      </c>
      <c r="AY12" s="23">
        <f t="shared" si="14"/>
        <v>1913</v>
      </c>
      <c r="AZ12" s="23">
        <f t="shared" si="14"/>
        <v>1917</v>
      </c>
      <c r="BA12" s="23">
        <f t="shared" si="14"/>
        <v>1923</v>
      </c>
      <c r="BB12" s="23">
        <f t="shared" si="14"/>
        <v>1930</v>
      </c>
      <c r="BC12" s="23">
        <f t="shared" si="14"/>
        <v>1936</v>
      </c>
      <c r="BD12" s="23">
        <f t="shared" si="14"/>
        <v>1935</v>
      </c>
      <c r="BE12" s="23">
        <f t="shared" si="14"/>
        <v>1925</v>
      </c>
      <c r="BF12" s="23">
        <f t="shared" si="14"/>
        <v>1926</v>
      </c>
      <c r="BG12" s="23">
        <f t="shared" si="14"/>
        <v>1930</v>
      </c>
      <c r="BH12" s="23">
        <f t="shared" si="14"/>
        <v>1937</v>
      </c>
      <c r="BI12" s="23">
        <f t="shared" si="14"/>
        <v>1951</v>
      </c>
      <c r="BJ12" s="23">
        <f t="shared" si="14"/>
        <v>1942</v>
      </c>
      <c r="BK12" s="23">
        <f t="shared" si="14"/>
        <v>1941</v>
      </c>
      <c r="BL12" s="23">
        <f t="shared" si="14"/>
        <v>1951</v>
      </c>
      <c r="BM12" s="23">
        <f t="shared" si="14"/>
        <v>1942</v>
      </c>
      <c r="BN12" s="23">
        <f t="shared" si="14"/>
        <v>1948</v>
      </c>
      <c r="BO12" s="23">
        <f t="shared" si="14"/>
        <v>1951</v>
      </c>
      <c r="BP12" s="23">
        <f t="shared" si="14"/>
        <v>1951</v>
      </c>
      <c r="BQ12" s="23">
        <f t="shared" si="14"/>
        <v>1958</v>
      </c>
      <c r="BR12" s="23">
        <f>COUNTIF(BR33:BR1972,"")</f>
        <v>1940</v>
      </c>
      <c r="BS12" s="23">
        <f>COUNTIF(BS28:BS1972,"")</f>
        <v>1945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hidden="1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76">
        <f>$A$2</f>
        <v>2</v>
      </c>
      <c r="G14" s="35" cm="1">
        <f t="array" ref="G14">IFERROR(INDEX($J$5:$AVW$5,_xlfn.AGGREGATE(14,6,(COLUMN($J14:$AVW14)-COLUMN($J14)+1)/($J14:$AVW14="T"),1)),"")</f>
        <v>45981</v>
      </c>
      <c r="H14" s="79">
        <f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hidden="1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76">
        <f>$A$2</f>
        <v>2</v>
      </c>
      <c r="G15" s="35" cm="1">
        <f t="array" ref="G15">IFERROR(INDEX($J$5:$AVW$5,_xlfn.AGGREGATE(14,6,(COLUMN($J15:$AVW15)-COLUMN($J15)+1)/($J15:$AVW15="T"),1)),"")</f>
        <v>45981</v>
      </c>
      <c r="H15" s="79">
        <f>COUNTIF($J15:$AVV15,"T")</f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hidden="1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76">
        <f>$A$2</f>
        <v>2</v>
      </c>
      <c r="G16" s="35" cm="1">
        <f t="array" ref="G16">IFERROR(INDEX($J$5:$AVW$5,_xlfn.AGGREGATE(14,6,(COLUMN($J16:$AVW16)-COLUMN($J16)+1)/($J16:$AVW16="T"),1)),"")</f>
        <v>45981</v>
      </c>
      <c r="H16" s="79">
        <f>COUNTIF($J16:$AVV16,"T")</f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hidden="1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76">
        <f>$A$2</f>
        <v>2</v>
      </c>
      <c r="G17" s="35" cm="1">
        <f t="array" ref="G17">IFERROR(INDEX($J$5:$AVW$5,_xlfn.AGGREGATE(14,6,(COLUMN($J17:$AVW17)-COLUMN($J17)+1)/($J17:$AVW17="T"),1)),"")</f>
        <v>45981</v>
      </c>
      <c r="H17" s="79">
        <f>COUNTIF($J17:$AVV17,"T")</f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hidden="1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76">
        <f>$A$2</f>
        <v>2</v>
      </c>
      <c r="G18" s="35" cm="1">
        <f t="array" ref="G18">IFERROR(INDEX($J$5:$AVW$5,_xlfn.AGGREGATE(14,6,(COLUMN($J18:$AVW18)-COLUMN($J18)+1)/($J18:$AVW18="T"),1)),"")</f>
        <v>45981</v>
      </c>
      <c r="H18" s="79">
        <f>COUNTIF($J18:$AVV18,"T")</f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hidden="1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76">
        <f>$A$2</f>
        <v>2</v>
      </c>
      <c r="G19" s="35" cm="1">
        <f t="array" ref="G19">IFERROR(INDEX($J$5:$AVW$5,_xlfn.AGGREGATE(14,6,(COLUMN($J19:$AVW19)-COLUMN($J19)+1)/($J19:$AVW19="T"),1)),"")</f>
        <v>45981</v>
      </c>
      <c r="H19" s="79">
        <f>COUNTIF($J19:$AVV19,"T")</f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hidden="1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76">
        <f>$A$2</f>
        <v>2</v>
      </c>
      <c r="G20" s="35" cm="1">
        <f t="array" ref="G20">IFERROR(INDEX($J$5:$AVW$5,_xlfn.AGGREGATE(14,6,(COLUMN($J20:$AVW20)-COLUMN($J20)+1)/($J20:$AVW20="T"),1)),"")</f>
        <v>45981</v>
      </c>
      <c r="H20" s="79">
        <f>COUNTIF($J20:$AVV20,"T")</f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hidden="1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76">
        <f>$A$2</f>
        <v>2</v>
      </c>
      <c r="G21" s="35" cm="1">
        <f t="array" ref="G21">IFERROR(INDEX($J$5:$AVW$5,_xlfn.AGGREGATE(14,6,(COLUMN($J21:$AVW21)-COLUMN($J21)+1)/($J21:$AVW21="T"),1)),"")</f>
        <v>45983</v>
      </c>
      <c r="H21" s="79">
        <f>COUNTIF($J21:$AVV21,"T")</f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hidden="1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76">
        <f>$A$2</f>
        <v>2</v>
      </c>
      <c r="G22" s="35" cm="1">
        <f t="array" ref="G22">IFERROR(INDEX($J$5:$AVW$5,_xlfn.AGGREGATE(14,6,(COLUMN($J22:$AVW22)-COLUMN($J22)+1)/($J22:$AVW22="T"),1)),"")</f>
        <v>45983</v>
      </c>
      <c r="H22" s="79">
        <f>COUNTIF($J22:$AVV22,"T")</f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hidden="1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76">
        <f>$A$2</f>
        <v>2</v>
      </c>
      <c r="G23" s="35" cm="1">
        <f t="array" ref="G23">IFERROR(INDEX($J$5:$AVW$5,_xlfn.AGGREGATE(14,6,(COLUMN($J23:$AVW23)-COLUMN($J23)+1)/($J23:$AVW23="T"),1)),"")</f>
        <v>45983</v>
      </c>
      <c r="H23" s="79">
        <f>COUNTIF($J23:$AVV23,"T")</f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hidden="1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76">
        <f>$A$2</f>
        <v>2</v>
      </c>
      <c r="G24" s="35" cm="1">
        <f t="array" ref="G24">IFERROR(INDEX($J$5:$AVW$5,_xlfn.AGGREGATE(14,6,(COLUMN($J24:$AVW24)-COLUMN($J24)+1)/($J24:$AVW24="T"),1)),"")</f>
        <v>45983</v>
      </c>
      <c r="H24" s="79">
        <f>COUNTIF($J24:$AVV24,"T")</f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hidden="1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76">
        <f>$A$2</f>
        <v>2</v>
      </c>
      <c r="G25" s="35" cm="1">
        <f t="array" ref="G25">IFERROR(INDEX($J$5:$AVW$5,_xlfn.AGGREGATE(14,6,(COLUMN($J25:$AVW25)-COLUMN($J25)+1)/($J25:$AVW25="T"),1)),"")</f>
        <v>45983</v>
      </c>
      <c r="H25" s="79">
        <f>COUNTIF($J25:$AVV25,"T")</f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hidden="1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76">
        <f>$A$2</f>
        <v>2</v>
      </c>
      <c r="G26" s="35" cm="1">
        <f t="array" ref="G26">IFERROR(INDEX($J$5:$AVW$5,_xlfn.AGGREGATE(14,6,(COLUMN($J26:$AVW26)-COLUMN($J26)+1)/($J26:$AVW26="T"),1)),"")</f>
        <v>45983</v>
      </c>
      <c r="H26" s="79">
        <f>COUNTIF($J26:$AVV26,"T")</f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hidden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76">
        <f>$A$2</f>
        <v>2</v>
      </c>
      <c r="G27" s="35" cm="1">
        <f t="array" ref="G27">IFERROR(INDEX($J$5:$AVW$5,_xlfn.AGGREGATE(14,6,(COLUMN($J27:$AVW27)-COLUMN($J27)+1)/($J27:$AVW27="T"),1)),"")</f>
        <v>45983</v>
      </c>
      <c r="H27" s="79">
        <f>COUNTIF($J27:$AVV27,"T")</f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hidden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76">
        <f>$A$2</f>
        <v>2</v>
      </c>
      <c r="G28" s="35" cm="1">
        <f t="array" ref="G28">IFERROR(INDEX($J$5:$AVW$5,_xlfn.AGGREGATE(14,6,(COLUMN($J28:$AVW28)-COLUMN($J28)+1)/($J28:$AVW28="T"),1)),"")</f>
        <v>45985</v>
      </c>
      <c r="H28" s="79">
        <f>COUNTIF($J28:$AVV28,"T")</f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hidden="1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76">
        <f>$A$2</f>
        <v>2</v>
      </c>
      <c r="G29" s="35" cm="1">
        <f t="array" ref="G29">IFERROR(INDEX($J$5:$AVW$5,_xlfn.AGGREGATE(14,6,(COLUMN($J29:$AVW29)-COLUMN($J29)+1)/($J29:$AVW29="T"),1)),"")</f>
        <v>45985</v>
      </c>
      <c r="H29" s="79">
        <f>COUNTIF($J29:$AVV29,"T")</f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hidden="1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76">
        <f>$A$2</f>
        <v>2</v>
      </c>
      <c r="G30" s="35" cm="1">
        <f t="array" ref="G30">IFERROR(INDEX($J$5:$AVW$5,_xlfn.AGGREGATE(14,6,(COLUMN($J30:$AVW30)-COLUMN($J30)+1)/($J30:$AVW30="T"),1)),"")</f>
        <v>45985</v>
      </c>
      <c r="H30" s="79">
        <f>COUNTIF($J30:$AVV30,"T")</f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hidden="1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76">
        <f>$A$2</f>
        <v>2</v>
      </c>
      <c r="G31" s="35" cm="1">
        <f t="array" ref="G31">IFERROR(INDEX($J$5:$AVW$5,_xlfn.AGGREGATE(14,6,(COLUMN($J31:$AVW31)-COLUMN($J31)+1)/($J31:$AVW31="T"),1)),"")</f>
        <v>45985</v>
      </c>
      <c r="H31" s="79">
        <f>COUNTIF($J31:$AVV31,"T")</f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hidden="1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76">
        <f>$A$2</f>
        <v>2</v>
      </c>
      <c r="G32" s="35" cm="1">
        <f t="array" ref="G32">IFERROR(INDEX($J$5:$AVW$5,_xlfn.AGGREGATE(14,6,(COLUMN($J32:$AVW32)-COLUMN($J32)+1)/($J32:$AVW32="T"),1)),"")</f>
        <v>45985</v>
      </c>
      <c r="H32" s="79">
        <f>COUNTIF($J32:$AVV32,"T")</f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hidden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>$A$2</f>
        <v>2</v>
      </c>
      <c r="G33" s="35" t="str" cm="1">
        <f t="array" ref="G33">IFERROR(INDEX($J$5:$AVW$5,_xlfn.AGGREGATE(14,6,(COLUMN($J33:$AVW33)-COLUMN($J33)+1)/($J33:$AVW33="T"),1)),"")</f>
        <v/>
      </c>
      <c r="H33" s="79">
        <f>COUNTIF($J33:$AVV33,"T")</f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hidden="1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76">
        <f>$A$2</f>
        <v>2</v>
      </c>
      <c r="G34" s="35" cm="1">
        <f t="array" ref="G34">IFERROR(INDEX($J$5:$AVW$5,_xlfn.AGGREGATE(14,6,(COLUMN($J34:$AVW34)-COLUMN($J34)+1)/($J34:$AVW34="T"),1)),"")</f>
        <v>45982</v>
      </c>
      <c r="H34" s="79">
        <f>COUNTIF($J34:$AVV34,"T")</f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hidden="1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76">
        <f>$A$2</f>
        <v>2</v>
      </c>
      <c r="G35" s="35" cm="1">
        <f t="array" ref="G35">IFERROR(INDEX($J$5:$AVW$5,_xlfn.AGGREGATE(14,6,(COLUMN($J35:$AVW35)-COLUMN($J35)+1)/($J35:$AVW35="T"),1)),"")</f>
        <v>45982</v>
      </c>
      <c r="H35" s="79">
        <f>COUNTIF($J35:$AVV35,"T")</f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hidden="1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76">
        <f>$A$2</f>
        <v>2</v>
      </c>
      <c r="G36" s="35" cm="1">
        <f t="array" ref="G36">IFERROR(INDEX($J$5:$AVW$5,_xlfn.AGGREGATE(14,6,(COLUMN($J36:$AVW36)-COLUMN($J36)+1)/($J36:$AVW36="T"),1)),"")</f>
        <v>45982</v>
      </c>
      <c r="H36" s="79">
        <f>COUNTIF($J36:$AVV36,"T")</f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hidden="1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76">
        <f>$A$2</f>
        <v>2</v>
      </c>
      <c r="G37" s="35" cm="1">
        <f t="array" ref="G37">IFERROR(INDEX($J$5:$AVW$5,_xlfn.AGGREGATE(14,6,(COLUMN($J37:$AVW37)-COLUMN($J37)+1)/($J37:$AVW37="T"),1)),"")</f>
        <v>45982</v>
      </c>
      <c r="H37" s="79">
        <f>COUNTIF($J37:$AVV37,"T")</f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hidden="1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76">
        <f>$A$2</f>
        <v>2</v>
      </c>
      <c r="G38" s="35" cm="1">
        <f t="array" ref="G38">IFERROR(INDEX($J$5:$AVW$5,_xlfn.AGGREGATE(14,6,(COLUMN($J38:$AVW38)-COLUMN($J38)+1)/($J38:$AVW38="T"),1)),"")</f>
        <v>45982</v>
      </c>
      <c r="H38" s="79">
        <f>COUNTIF($J38:$AVV38,"T")</f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hidden="1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76">
        <f>$A$2</f>
        <v>2</v>
      </c>
      <c r="G39" s="35" cm="1">
        <f t="array" ref="G39">IFERROR(INDEX($J$5:$AVW$5,_xlfn.AGGREGATE(14,6,(COLUMN($J39:$AVW39)-COLUMN($J39)+1)/($J39:$AVW39="T"),1)),"")</f>
        <v>45982</v>
      </c>
      <c r="H39" s="79">
        <f>COUNTIF($J39:$AVV39,"T")</f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hidden="1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76">
        <f>$A$2</f>
        <v>2</v>
      </c>
      <c r="G40" s="35" cm="1">
        <f t="array" ref="G40">IFERROR(INDEX($J$5:$AVW$5,_xlfn.AGGREGATE(14,6,(COLUMN($J40:$AVW40)-COLUMN($J40)+1)/($J40:$AVW40="T"),1)),"")</f>
        <v>45982</v>
      </c>
      <c r="H40" s="79">
        <f>COUNTIF($J40:$AVV40,"T")</f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hidden="1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76">
        <f>$A$2</f>
        <v>2</v>
      </c>
      <c r="G41" s="35" cm="1">
        <f t="array" ref="G41">IFERROR(INDEX($J$5:$AVW$5,_xlfn.AGGREGATE(14,6,(COLUMN($J41:$AVW41)-COLUMN($J41)+1)/($J41:$AVW41="T"),1)),"")</f>
        <v>45984</v>
      </c>
      <c r="H41" s="79">
        <f>COUNTIF($J41:$AVV41,"T")</f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hidden="1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76">
        <f>$A$2</f>
        <v>2</v>
      </c>
      <c r="G42" s="35" cm="1">
        <f t="array" ref="G42">IFERROR(INDEX($J$5:$AVW$5,_xlfn.AGGREGATE(14,6,(COLUMN($J42:$AVW42)-COLUMN($J42)+1)/($J42:$AVW42="T"),1)),"")</f>
        <v>45984</v>
      </c>
      <c r="H42" s="79">
        <f>COUNTIF($J42:$AVV42,"T")</f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hidden="1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76">
        <f>$A$2</f>
        <v>2</v>
      </c>
      <c r="G43" s="35" cm="1">
        <f t="array" ref="G43">IFERROR(INDEX($J$5:$AVW$5,_xlfn.AGGREGATE(14,6,(COLUMN($J43:$AVW43)-COLUMN($J43)+1)/($J43:$AVW43="T"),1)),"")</f>
        <v>45984</v>
      </c>
      <c r="H43" s="79">
        <f>COUNTIF($J43:$AVV43,"T")</f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hidden="1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76">
        <f>$A$2</f>
        <v>2</v>
      </c>
      <c r="G44" s="35" cm="1">
        <f t="array" ref="G44">IFERROR(INDEX($J$5:$AVW$5,_xlfn.AGGREGATE(14,6,(COLUMN($J44:$AVW44)-COLUMN($J44)+1)/($J44:$AVW44="T"),1)),"")</f>
        <v>45984</v>
      </c>
      <c r="H44" s="79">
        <f>COUNTIF($J44:$AVV44,"T")</f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hidden="1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76">
        <f>$A$2</f>
        <v>2</v>
      </c>
      <c r="G45" s="35" cm="1">
        <f t="array" ref="G45">IFERROR(INDEX($J$5:$AVW$5,_xlfn.AGGREGATE(14,6,(COLUMN($J45:$AVW45)-COLUMN($J45)+1)/($J45:$AVW45="T"),1)),"")</f>
        <v>45984</v>
      </c>
      <c r="H45" s="79">
        <f>COUNTIF($J45:$AVV45,"T")</f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hidden="1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76">
        <f>$A$2</f>
        <v>2</v>
      </c>
      <c r="G46" s="35" cm="1">
        <f t="array" ref="G46">IFERROR(INDEX($J$5:$AVW$5,_xlfn.AGGREGATE(14,6,(COLUMN($J46:$AVW46)-COLUMN($J46)+1)/($J46:$AVW46="T"),1)),"")</f>
        <v>45984</v>
      </c>
      <c r="H46" s="79">
        <f>COUNTIF($J46:$AVV46,"T")</f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hidden="1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76">
        <f>$A$2</f>
        <v>2</v>
      </c>
      <c r="G47" s="35" cm="1">
        <f t="array" ref="G47">IFERROR(INDEX($J$5:$AVW$5,_xlfn.AGGREGATE(14,6,(COLUMN($J47:$AVW47)-COLUMN($J47)+1)/($J47:$AVW47="T"),1)),"")</f>
        <v>45984</v>
      </c>
      <c r="H47" s="79">
        <f>COUNTIF($J47:$AVV47,"T")</f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hidden="1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76">
        <f>$A$2</f>
        <v>2</v>
      </c>
      <c r="G48" s="35" cm="1">
        <f t="array" ref="G48">IFERROR(INDEX($J$5:$AVW$5,_xlfn.AGGREGATE(14,6,(COLUMN($J48:$AVW48)-COLUMN($J48)+1)/($J48:$AVW48="T"),1)),"")</f>
        <v>45985</v>
      </c>
      <c r="H48" s="79">
        <f>COUNTIF($J48:$AVV48,"T")</f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hidden="1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76">
        <f>$A$2</f>
        <v>2</v>
      </c>
      <c r="G49" s="35" cm="1">
        <f t="array" ref="G49">IFERROR(INDEX($J$5:$AVW$5,_xlfn.AGGREGATE(14,6,(COLUMN($J49:$AVW49)-COLUMN($J49)+1)/($J49:$AVW49="T"),1)),"")</f>
        <v>45985</v>
      </c>
      <c r="H49" s="79">
        <f>COUNTIF($J49:$AVV49,"T")</f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hidden="1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>$A$2</f>
        <v>2</v>
      </c>
      <c r="G50" s="35" cm="1">
        <f t="array" ref="G50">IFERROR(INDEX($J$5:$AVW$5,_xlfn.AGGREGATE(14,6,(COLUMN($J50:$AVW50)-COLUMN($J50)+1)/($J50:$AVW50="T"),1)),"")</f>
        <v>45986</v>
      </c>
      <c r="H50" s="79">
        <f>COUNTIF($J50:$AVV50,"T")</f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hidden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>$A$2</f>
        <v>2</v>
      </c>
      <c r="G51" s="35" cm="1">
        <f t="array" ref="G51">IFERROR(INDEX($J$5:$AVW$5,_xlfn.AGGREGATE(14,6,(COLUMN($J51:$AVW51)-COLUMN($J51)+1)/($J51:$AVW51="T"),1)),"")</f>
        <v>45986</v>
      </c>
      <c r="H51" s="79">
        <f>COUNTIF($J51:$AVV51,"T")</f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hidden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>$A$2</f>
        <v>2</v>
      </c>
      <c r="G52" s="35" cm="1">
        <f t="array" ref="G52">IFERROR(INDEX($J$5:$AVW$5,_xlfn.AGGREGATE(14,6,(COLUMN($J52:$AVW52)-COLUMN($J52)+1)/($J52:$AVW52="T"),1)),"")</f>
        <v>45986</v>
      </c>
      <c r="H52" s="79">
        <f>COUNTIF($J52:$AVV52,"T")</f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hidden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>$A$2</f>
        <v>2</v>
      </c>
      <c r="G53" s="35" t="str" cm="1">
        <f t="array" ref="G53">IFERROR(INDEX($J$5:$AVW$5,_xlfn.AGGREGATE(14,6,(COLUMN($J53:$AVW53)-COLUMN($J53)+1)/($J53:$AVW53="T"),1)),"")</f>
        <v/>
      </c>
      <c r="H53" s="79">
        <f>COUNTIF($J53:$AVV53,"T")</f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hidden="1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>$A$2</f>
        <v>2</v>
      </c>
      <c r="G54" s="35" t="str" cm="1">
        <f t="array" ref="G54">IFERROR(INDEX($J$5:$AVW$5,_xlfn.AGGREGATE(14,6,(COLUMN($J54:$AVW54)-COLUMN($J54)+1)/($J54:$AVW54="T"),1)),"")</f>
        <v/>
      </c>
      <c r="H54" s="79">
        <f>COUNTIF($J54:$AVV54,"T")</f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hidden="1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>$A$2</f>
        <v>2</v>
      </c>
      <c r="G55" s="35" t="str" cm="1">
        <f t="array" ref="G55">IFERROR(INDEX($J$5:$AVW$5,_xlfn.AGGREGATE(14,6,(COLUMN($J55:$AVW55)-COLUMN($J55)+1)/($J55:$AVW55="T"),1)),"")</f>
        <v/>
      </c>
      <c r="H55" s="79">
        <f>COUNTIF($J55:$AVV55,"T")</f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hidden="1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>$A$2</f>
        <v>2</v>
      </c>
      <c r="G56" s="35" t="str" cm="1">
        <f t="array" ref="G56">IFERROR(INDEX($J$5:$AVW$5,_xlfn.AGGREGATE(14,6,(COLUMN($J56:$AVW56)-COLUMN($J56)+1)/($J56:$AVW56="T"),1)),"")</f>
        <v/>
      </c>
      <c r="H56" s="79">
        <f>COUNTIF($J56:$AVV56,"T")</f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hidden="1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>$A$2</f>
        <v>2</v>
      </c>
      <c r="G57" s="35" t="str" cm="1">
        <f t="array" ref="G57">IFERROR(INDEX($J$5:$AVW$5,_xlfn.AGGREGATE(14,6,(COLUMN($J57:$AVW57)-COLUMN($J57)+1)/($J57:$AVW57="T"),1)),"")</f>
        <v/>
      </c>
      <c r="H57" s="79">
        <f>COUNTIF($J57:$AVV57,"T")</f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hidden="1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>$A$2</f>
        <v>2</v>
      </c>
      <c r="G58" s="35" t="str" cm="1">
        <f t="array" ref="G58">IFERROR(INDEX($J$5:$AVW$5,_xlfn.AGGREGATE(14,6,(COLUMN($J58:$AVW58)-COLUMN($J58)+1)/($J58:$AVW58="T"),1)),"")</f>
        <v/>
      </c>
      <c r="H58" s="79">
        <f>COUNTIF($J58:$AVV58,"T")</f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hidden="1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>$A$2</f>
        <v>2</v>
      </c>
      <c r="G59" s="35" cm="1">
        <f t="array" ref="G59">IFERROR(INDEX($J$5:$AVW$5,_xlfn.AGGREGATE(14,6,(COLUMN($J59:$AVW59)-COLUMN($J59)+1)/($J59:$AVW59="T"),1)),"")</f>
        <v>45987</v>
      </c>
      <c r="H59" s="79">
        <f>COUNTIF($J59:$AVV59,"T")</f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hidden="1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>$A$2</f>
        <v>2</v>
      </c>
      <c r="G60" s="35" cm="1">
        <f t="array" ref="G60">IFERROR(INDEX($J$5:$AVW$5,_xlfn.AGGREGATE(14,6,(COLUMN($J60:$AVW60)-COLUMN($J60)+1)/($J60:$AVW60="T"),1)),"")</f>
        <v>45987</v>
      </c>
      <c r="H60" s="79">
        <f>COUNTIF($J60:$AVV60,"T")</f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hidden="1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>$A$2</f>
        <v>2</v>
      </c>
      <c r="G61" s="35" cm="1">
        <f t="array" ref="G61">IFERROR(INDEX($J$5:$AVW$5,_xlfn.AGGREGATE(14,6,(COLUMN($J61:$AVW61)-COLUMN($J61)+1)/($J61:$AVW61="T"),1)),"")</f>
        <v>45987</v>
      </c>
      <c r="H61" s="79">
        <f>COUNTIF($J61:$AVV61,"T")</f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hidden="1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>$A$2</f>
        <v>2</v>
      </c>
      <c r="G62" s="35" cm="1">
        <f t="array" ref="G62">IFERROR(INDEX($J$5:$AVW$5,_xlfn.AGGREGATE(14,6,(COLUMN($J62:$AVW62)-COLUMN($J62)+1)/($J62:$AVW62="T"),1)),"")</f>
        <v>45987</v>
      </c>
      <c r="H62" s="79">
        <f>COUNTIF($J62:$AVV62,"T")</f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hidden="1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>$A$2</f>
        <v>2</v>
      </c>
      <c r="G63" s="35" cm="1">
        <f t="array" ref="G63">IFERROR(INDEX($J$5:$AVW$5,_xlfn.AGGREGATE(14,6,(COLUMN($J63:$AVW63)-COLUMN($J63)+1)/($J63:$AVW63="T"),1)),"")</f>
        <v>45986</v>
      </c>
      <c r="H63" s="79">
        <f>COUNTIF($J63:$AVV63,"T")</f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hidden="1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>$A$2</f>
        <v>2</v>
      </c>
      <c r="G64" s="35" cm="1">
        <f t="array" ref="G64">IFERROR(INDEX($J$5:$AVW$5,_xlfn.AGGREGATE(14,6,(COLUMN($J64:$AVW64)-COLUMN($J64)+1)/($J64:$AVW64="T"),1)),"")</f>
        <v>45986</v>
      </c>
      <c r="H64" s="79">
        <f>COUNTIF($J64:$AVV64,"T")</f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hidden="1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>$A$2</f>
        <v>2</v>
      </c>
      <c r="G65" s="35" cm="1">
        <f t="array" ref="G65">IFERROR(INDEX($J$5:$AVW$5,_xlfn.AGGREGATE(14,6,(COLUMN($J65:$AVW65)-COLUMN($J65)+1)/($J65:$AVW65="T"),1)),"")</f>
        <v>45986</v>
      </c>
      <c r="H65" s="79">
        <f>COUNTIF($J65:$AVV65,"T")</f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hidden="1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>$A$2</f>
        <v>2</v>
      </c>
      <c r="G66" s="35" cm="1">
        <f t="array" ref="G66">IFERROR(INDEX($J$5:$AVW$5,_xlfn.AGGREGATE(14,6,(COLUMN($J66:$AVW66)-COLUMN($J66)+1)/($J66:$AVW66="T"),1)),"")</f>
        <v>45986</v>
      </c>
      <c r="H66" s="79">
        <f>COUNTIF($J66:$AVV66,"T")</f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>$A$2</f>
        <v>2</v>
      </c>
      <c r="G67" s="35" cm="1">
        <f t="array" ref="G67">IFERROR(INDEX($J$5:$AVW$5,_xlfn.AGGREGATE(14,6,(COLUMN($J67:$AVW67)-COLUMN($J67)+1)/($J67:$AVW67="T"),1)),"")</f>
        <v>45997</v>
      </c>
      <c r="H67" s="79">
        <f>COUNTIF($J67:$AVV67,"T")</f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>$A$2</f>
        <v>2</v>
      </c>
      <c r="G68" s="35" cm="1">
        <f t="array" ref="G68">IFERROR(INDEX($J$5:$AVW$5,_xlfn.AGGREGATE(14,6,(COLUMN($J68:$AVW68)-COLUMN($J68)+1)/($J68:$AVW68="T"),1)),"")</f>
        <v>45997</v>
      </c>
      <c r="H68" s="79">
        <f>COUNTIF($J68:$AVV68,"T")</f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hidden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>$A$2</f>
        <v>2</v>
      </c>
      <c r="G69" s="35" cm="1">
        <f t="array" ref="G69">IFERROR(INDEX($J$5:$AVW$5,_xlfn.AGGREGATE(14,6,(COLUMN($J69:$AVW69)-COLUMN($J69)+1)/($J69:$AVW69="T"),1)),"")</f>
        <v>45996</v>
      </c>
      <c r="H69" s="79">
        <f>COUNTIF($J69:$AVV69,"T")</f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hidden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>$A$2</f>
        <v>2</v>
      </c>
      <c r="G70" s="35" cm="1">
        <f t="array" ref="G70">IFERROR(INDEX($J$5:$AVW$5,_xlfn.AGGREGATE(14,6,(COLUMN($J70:$AVW70)-COLUMN($J70)+1)/($J70:$AVW70="T"),1)),"")</f>
        <v>45996</v>
      </c>
      <c r="H70" s="79">
        <f>COUNTIF($J70:$AVV70,"T")</f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hidden="1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>$A$2</f>
        <v>2</v>
      </c>
      <c r="G71" s="35" cm="1">
        <f t="array" ref="G71">IFERROR(INDEX($J$5:$AVW$5,_xlfn.AGGREGATE(14,6,(COLUMN($J71:$AVW71)-COLUMN($J71)+1)/($J71:$AVW71="T"),1)),"")</f>
        <v>45996</v>
      </c>
      <c r="H71" s="79">
        <f>COUNTIF($J71:$AVV71,"T")</f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hidden="1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>$A$2</f>
        <v>2</v>
      </c>
      <c r="G72" s="35" cm="1">
        <f t="array" ref="G72">IFERROR(INDEX($J$5:$AVW$5,_xlfn.AGGREGATE(14,6,(COLUMN($J72:$AVW72)-COLUMN($J72)+1)/($J72:$AVW72="T"),1)),"")</f>
        <v>45995</v>
      </c>
      <c r="H72" s="79">
        <f>COUNTIF($J72:$AVV72,"T")</f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hidden="1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>$A$2</f>
        <v>2</v>
      </c>
      <c r="G73" s="35" cm="1">
        <f t="array" ref="G73">IFERROR(INDEX($J$5:$AVW$5,_xlfn.AGGREGATE(14,6,(COLUMN($J73:$AVW73)-COLUMN($J73)+1)/($J73:$AVW73="T"),1)),"")</f>
        <v>45995</v>
      </c>
      <c r="H73" s="79">
        <f>COUNTIF($J73:$AVV73,"T")</f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hidden="1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>$A$2</f>
        <v>2</v>
      </c>
      <c r="G74" s="35" cm="1">
        <f t="array" ref="G74">IFERROR(INDEX($J$5:$AVW$5,_xlfn.AGGREGATE(14,6,(COLUMN($J74:$AVW74)-COLUMN($J74)+1)/($J74:$AVW74="T"),1)),"")</f>
        <v>45995</v>
      </c>
      <c r="H74" s="79">
        <f>COUNTIF($J74:$AVV74,"T")</f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hidden="1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>$A$2</f>
        <v>2</v>
      </c>
      <c r="G75" s="35" cm="1">
        <f t="array" ref="G75">IFERROR(INDEX($J$5:$AVW$5,_xlfn.AGGREGATE(14,6,(COLUMN($J75:$AVW75)-COLUMN($J75)+1)/($J75:$AVW75="T"),1)),"")</f>
        <v>45995</v>
      </c>
      <c r="H75" s="79">
        <f>COUNTIF($J75:$AVV75,"T")</f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hidden="1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>$A$2</f>
        <v>2</v>
      </c>
      <c r="G76" s="35" cm="1">
        <f t="array" ref="G76">IFERROR(INDEX($J$5:$AVW$5,_xlfn.AGGREGATE(14,6,(COLUMN($J76:$AVW76)-COLUMN($J76)+1)/($J76:$AVW76="T"),1)),"")</f>
        <v>45994</v>
      </c>
      <c r="H76" s="79">
        <f>COUNTIF($J76:$AVV76,"T")</f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hidden="1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>$A$2</f>
        <v>2</v>
      </c>
      <c r="G77" s="35" cm="1">
        <f t="array" ref="G77">IFERROR(INDEX($J$5:$AVW$5,_xlfn.AGGREGATE(14,6,(COLUMN($J77:$AVW77)-COLUMN($J77)+1)/($J77:$AVW77="T"),1)),"")</f>
        <v>45994</v>
      </c>
      <c r="H77" s="79">
        <f>COUNTIF($J77:$AVV77,"T")</f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hidden="1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hidden="1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>$A$2</f>
        <v>2</v>
      </c>
      <c r="G79" s="35" cm="1">
        <f t="array" ref="G79">IFERROR(INDEX($J$5:$AVW$5,_xlfn.AGGREGATE(14,6,(COLUMN($J79:$AVW79)-COLUMN($J79)+1)/($J79:$AVW79="T"),1)),"")</f>
        <v>45992</v>
      </c>
      <c r="H79" s="79">
        <f>COUNTIF($J79:$AVV79,"T")</f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hidden="1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>$A$2</f>
        <v>2</v>
      </c>
      <c r="G80" s="35" cm="1">
        <f t="array" ref="G80">IFERROR(INDEX($J$5:$AVW$5,_xlfn.AGGREGATE(14,6,(COLUMN($J80:$AVW80)-COLUMN($J80)+1)/($J80:$AVW80="T"),1)),"")</f>
        <v>45992</v>
      </c>
      <c r="H80" s="79">
        <f>COUNTIF($J80:$AVV80,"T")</f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hidden="1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>$A$2</f>
        <v>2</v>
      </c>
      <c r="G81" s="35" cm="1">
        <f t="array" ref="G81">IFERROR(INDEX($J$5:$AVW$5,_xlfn.AGGREGATE(14,6,(COLUMN($J81:$AVW81)-COLUMN($J81)+1)/($J81:$AVW81="T"),1)),"")</f>
        <v>45992</v>
      </c>
      <c r="H81" s="79">
        <f>COUNTIF($J81:$AVV81,"T")</f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hidden="1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>$A$2</f>
        <v>2</v>
      </c>
      <c r="G82" s="35" cm="1">
        <f t="array" ref="G82">IFERROR(INDEX($J$5:$AVW$5,_xlfn.AGGREGATE(14,6,(COLUMN($J82:$AVW82)-COLUMN($J82)+1)/($J82:$AVW82="T"),1)),"")</f>
        <v>45992</v>
      </c>
      <c r="H82" s="79">
        <f>COUNTIF($J82:$AVV82,"T")</f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hidden="1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>$A$2</f>
        <v>2</v>
      </c>
      <c r="G83" s="35" cm="1">
        <f t="array" ref="G83">IFERROR(INDEX($J$5:$AVW$5,_xlfn.AGGREGATE(14,6,(COLUMN($J83:$AVW83)-COLUMN($J83)+1)/($J83:$AVW83="T"),1)),"")</f>
        <v>45988</v>
      </c>
      <c r="H83" s="79">
        <f>COUNTIF($J83:$AVV83,"T")</f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hidden="1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>$A$2</f>
        <v>2</v>
      </c>
      <c r="G84" s="35" cm="1">
        <f t="array" ref="G84">IFERROR(INDEX($J$5:$AVW$5,_xlfn.AGGREGATE(14,6,(COLUMN($J84:$AVW84)-COLUMN($J84)+1)/($J84:$AVW84="T"),1)),"")</f>
        <v>45988</v>
      </c>
      <c r="H84" s="79">
        <f>COUNTIF($J84:$AVV84,"T")</f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hidden="1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>$A$2</f>
        <v>2</v>
      </c>
      <c r="G85" s="35" cm="1">
        <f t="array" ref="G85">IFERROR(INDEX($J$5:$AVW$5,_xlfn.AGGREGATE(14,6,(COLUMN($J85:$AVW85)-COLUMN($J85)+1)/($J85:$AVW85="T"),1)),"")</f>
        <v>45988</v>
      </c>
      <c r="H85" s="79">
        <f>COUNTIF($J85:$AVV85,"T")</f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hidden="1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>$A$2</f>
        <v>2</v>
      </c>
      <c r="G86" s="35" cm="1">
        <f t="array" ref="G86">IFERROR(INDEX($J$5:$AVW$5,_xlfn.AGGREGATE(14,6,(COLUMN($J86:$AVW86)-COLUMN($J86)+1)/($J86:$AVW86="T"),1)),"")</f>
        <v>45987</v>
      </c>
      <c r="H86" s="79">
        <f>COUNTIF($J86:$AVV86,"T")</f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hidden="1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>$A$2</f>
        <v>2</v>
      </c>
      <c r="G87" s="35" cm="1">
        <f t="array" ref="G87">IFERROR(INDEX($J$5:$AVW$5,_xlfn.AGGREGATE(14,6,(COLUMN($J87:$AVW87)-COLUMN($J87)+1)/($J87:$AVW87="T"),1)),"")</f>
        <v>45987</v>
      </c>
      <c r="H87" s="79">
        <f>COUNTIF($J87:$AVV87,"T")</f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hidden="1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>$A$2</f>
        <v>2</v>
      </c>
      <c r="G88" s="35" cm="1">
        <f t="array" ref="G88">IFERROR(INDEX($J$5:$AVW$5,_xlfn.AGGREGATE(14,6,(COLUMN($J88:$AVW88)-COLUMN($J88)+1)/($J88:$AVW88="T"),1)),"")</f>
        <v>45987</v>
      </c>
      <c r="H88" s="79">
        <f>COUNTIF($J88:$AVV88,"T")</f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hidden="1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>$A$2</f>
        <v>2</v>
      </c>
      <c r="G89" s="35" cm="1">
        <f t="array" ref="G89">IFERROR(INDEX($J$5:$AVW$5,_xlfn.AGGREGATE(14,6,(COLUMN($J89:$AVW89)-COLUMN($J89)+1)/($J89:$AVW89="T"),1)),"")</f>
        <v>45987</v>
      </c>
      <c r="H89" s="79">
        <f>COUNTIF($J89:$AVV89,"T")</f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hidden="1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>$A$2</f>
        <v>2</v>
      </c>
      <c r="G90" s="35" cm="1">
        <f t="array" ref="G90">IFERROR(INDEX($J$5:$AVW$5,_xlfn.AGGREGATE(14,6,(COLUMN($J90:$AVW90)-COLUMN($J90)+1)/($J90:$AVW90="T"),1)),"")</f>
        <v>45980</v>
      </c>
      <c r="H90" s="79">
        <f>COUNTIF($J90:$AVV90,"T")</f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hidden="1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>$A$2</f>
        <v>2</v>
      </c>
      <c r="G91" s="35" cm="1">
        <f t="array" ref="G91">IFERROR(INDEX($J$5:$AVW$5,_xlfn.AGGREGATE(14,6,(COLUMN($J91:$AVW91)-COLUMN($J91)+1)/($J91:$AVW91="T"),1)),"")</f>
        <v>45980</v>
      </c>
      <c r="H91" s="79">
        <f>COUNTIF($J91:$AVV91,"T")</f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hidden="1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>$A$2</f>
        <v>2</v>
      </c>
      <c r="G92" s="35" cm="1">
        <f t="array" ref="G92">IFERROR(INDEX($J$5:$AVW$5,_xlfn.AGGREGATE(14,6,(COLUMN($J92:$AVW92)-COLUMN($J92)+1)/($J92:$AVW92="T"),1)),"")</f>
        <v>45980</v>
      </c>
      <c r="H92" s="79">
        <f>COUNTIF($J92:$AVV92,"T")</f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hidden="1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>$A$2</f>
        <v>2</v>
      </c>
      <c r="G93" s="35" cm="1">
        <f t="array" ref="G93">IFERROR(INDEX($J$5:$AVW$5,_xlfn.AGGREGATE(14,6,(COLUMN($J93:$AVW93)-COLUMN($J93)+1)/($J93:$AVW93="T"),1)),"")</f>
        <v>45980</v>
      </c>
      <c r="H93" s="79">
        <f>COUNTIF($J93:$AVV93,"T")</f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hidden="1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>$A$2</f>
        <v>2</v>
      </c>
      <c r="G94" s="35" cm="1">
        <f t="array" ref="G94">IFERROR(INDEX($J$5:$AVW$5,_xlfn.AGGREGATE(14,6,(COLUMN($J94:$AVW94)-COLUMN($J94)+1)/($J94:$AVW94="T"),1)),"")</f>
        <v>45980</v>
      </c>
      <c r="H94" s="79">
        <f>COUNTIF($J94:$AVV94,"T")</f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hidden="1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>$A$2</f>
        <v>2</v>
      </c>
      <c r="G95" s="35" cm="1">
        <f t="array" ref="G95">IFERROR(INDEX($J$5:$AVW$5,_xlfn.AGGREGATE(14,6,(COLUMN($J95:$AVW95)-COLUMN($J95)+1)/($J95:$AVW95="T"),1)),"")</f>
        <v>45980</v>
      </c>
      <c r="H95" s="79">
        <f>COUNTIF($J95:$AVV95,"T")</f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hidden="1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>$A$2</f>
        <v>2</v>
      </c>
      <c r="G96" s="35" cm="1">
        <f t="array" ref="G96">IFERROR(INDEX($J$5:$AVW$5,_xlfn.AGGREGATE(14,6,(COLUMN($J96:$AVW96)-COLUMN($J96)+1)/($J96:$AVW96="T"),1)),"")</f>
        <v>45980</v>
      </c>
      <c r="H96" s="79">
        <f>COUNTIF($J96:$AVV96,"T")</f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hidden="1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t="str" cm="1">
        <f t="array" ref="E97">IFERROR(INDEX($J$5:$AVX$5, _xlfn.AGGREGATE(15,6, COLUMN(J97:AVX97)-COLUMN(J97)+1 / (J97:AVX97="T"), F97)), "")</f>
        <v/>
      </c>
      <c r="F97" s="76">
        <f>$A$2</f>
        <v>2</v>
      </c>
      <c r="G97" s="35" cm="1">
        <f t="array" ref="G97">IFERROR(INDEX($J$5:$AVW$5,_xlfn.AGGREGATE(14,6,(COLUMN($J97:$AVW97)-COLUMN($J97)+1)/($J97:$AVW97="T"),1)),"")</f>
        <v>45968</v>
      </c>
      <c r="H97" s="79">
        <f>COUNTIF($J97:$AVV97,"T")</f>
        <v>1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hidden="1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t="str" cm="1">
        <f t="array" ref="E98">IFERROR(INDEX($J$5:$AVX$5, _xlfn.AGGREGATE(15,6, COLUMN(J98:AVX98)-COLUMN(J98)+1 / (J98:AVX98="T"), F98)), "")</f>
        <v/>
      </c>
      <c r="F98" s="76">
        <f>$A$2</f>
        <v>2</v>
      </c>
      <c r="G98" s="35" cm="1">
        <f t="array" ref="G98">IFERROR(INDEX($J$5:$AVW$5,_xlfn.AGGREGATE(14,6,(COLUMN($J98:$AVW98)-COLUMN($J98)+1)/($J98:$AVW98="T"),1)),"")</f>
        <v>45968</v>
      </c>
      <c r="H98" s="79">
        <f>COUNTIF($J98:$AVV98,"T")</f>
        <v>1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>$A$2</f>
        <v>2</v>
      </c>
      <c r="G99" s="35" cm="1">
        <f t="array" ref="G99">IFERROR(INDEX($J$5:$AVW$5,_xlfn.AGGREGATE(14,6,(COLUMN($J99:$AVW99)-COLUMN($J99)+1)/($J99:$AVW99="T"),1)),"")</f>
        <v>45997</v>
      </c>
      <c r="H99" s="79">
        <f>COUNTIF($J99:$AVV99,"T")</f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>$A$2</f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>COUNTIF($J100:$AVV100,"T")</f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>$A$2</f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>COUNTIF($J101:$AVV101,"T")</f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>$A$2</f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>COUNTIF($J102:$AVV102,"T")</f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hidden="1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>$A$2</f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>COUNTIF($J103:$AVV103,"T")</f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hidden="1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>$A$2</f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>COUNTIF($J104:$AVV104,"T")</f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>$A$2</f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>COUNTIF($J105:$AVV105,"T")</f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hidden="1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>$A$2</f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>COUNTIF($J106:$AVV106,"T")</f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hidden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>$A$2</f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>COUNTIF($J107:$AVV107,"T")</f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hidden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>$A$2</f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>COUNTIF($J108:$AVV108,"T")</f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hidden="1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>$A$2</f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>COUNTIF($J109:$AVV109,"T")</f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hidden="1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>$A$2</f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>COUNTIF($J110:$AVV110,"T")</f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hidden="1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>$A$2</f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>COUNTIF($J111:$AVV111,"T")</f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hidden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>$A$2</f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>COUNTIF($J112:$AVV112,"T")</f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hidden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>$A$2</f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>COUNTIF($J113:$AVV113,"T")</f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hidden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>$A$2</f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>COUNTIF($J114:$AVV114,"T")</f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hidden="1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>$A$2</f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>COUNTIF($J115:$AVV115,"T")</f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hidden="1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>$A$2</f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>COUNTIF($J116:$AVV116,"T")</f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hidden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>$A$2</f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>COUNTIF($J117:$AVV117,"T")</f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hidden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>$A$2</f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>COUNTIF($J118:$AVV118,"T")</f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hidden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>$A$2</f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>COUNTIF($J119:$AVV119,"T")</f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hidden="1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>$A$2</f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>COUNTIF($J120:$AVV120,"T")</f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hidden="1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>$A$2</f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>COUNTIF($J121:$AVV121,"T")</f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hidden="1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>$A$2</f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>COUNTIF($J122:$AVV122,"T")</f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hidden="1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>$A$2</f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>COUNTIF($J123:$AVV123,"T")</f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hidden="1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>$A$2</f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>COUNTIF($J124:$AVV124,"T")</f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hidden="1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>$A$2</f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>COUNTIF($J125:$AVV125,"T")</f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hidden="1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>$A$2</f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>COUNTIF($J126:$AVV126,"T")</f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hidden="1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>$A$2</f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>COUNTIF($J127:$AVV127,"T")</f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hidden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>$A$2</f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>COUNTIF($J128:$AVV128,"T")</f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hidden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>$A$2</f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>COUNTIF($J129:$AVV129,"T")</f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hidden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>$A$2</f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>COUNTIF($J130:$AVV130,"T")</f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hidden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t="str" cm="1">
        <f t="array" ref="E131">IFERROR(INDEX($J$5:$AVX$5, _xlfn.AGGREGATE(15,6, COLUMN(J131:AVX131)-COLUMN(J131)+1 / (J131:AVX131="T"), F131)), "")</f>
        <v/>
      </c>
      <c r="F131" s="76">
        <f>$A$2</f>
        <v>2</v>
      </c>
      <c r="G131" s="35" cm="1">
        <f t="array" ref="G131">IFERROR(INDEX($J$5:$AVW$5,_xlfn.AGGREGATE(14,6,(COLUMN($J131:$AVW131)-COLUMN($J131)+1)/($J131:$AVW131="T"),1)),"")</f>
        <v>45969</v>
      </c>
      <c r="H131" s="79">
        <f>COUNTIF($J131:$AVV131,"T")</f>
        <v>1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hidden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t="str" cm="1">
        <f t="array" ref="E132">IFERROR(INDEX($J$5:$AVX$5, _xlfn.AGGREGATE(15,6, COLUMN(J132:AVX132)-COLUMN(J132)+1 / (J132:AVX132="T"), F132)), "")</f>
        <v/>
      </c>
      <c r="F132" s="76">
        <f>$A$2</f>
        <v>2</v>
      </c>
      <c r="G132" s="35" cm="1">
        <f t="array" ref="G132">IFERROR(INDEX($J$5:$AVW$5,_xlfn.AGGREGATE(14,6,(COLUMN($J132:$AVW132)-COLUMN($J132)+1)/($J132:$AVW132="T"),1)),"")</f>
        <v>45969</v>
      </c>
      <c r="H132" s="79">
        <f>COUNTIF($J132:$AVV132,"T")</f>
        <v>1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hidden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t="str" cm="1">
        <f t="array" ref="E133">IFERROR(INDEX($J$5:$AVX$5, _xlfn.AGGREGATE(15,6, COLUMN(J133:AVX133)-COLUMN(J133)+1 / (J133:AVX133="T"), F133)), "")</f>
        <v/>
      </c>
      <c r="F133" s="76">
        <f>$A$2</f>
        <v>2</v>
      </c>
      <c r="G133" s="35" cm="1">
        <f t="array" ref="G133">IFERROR(INDEX($J$5:$AVW$5,_xlfn.AGGREGATE(14,6,(COLUMN($J133:$AVW133)-COLUMN($J133)+1)/($J133:$AVW133="T"),1)),"")</f>
        <v>45969</v>
      </c>
      <c r="H133" s="79">
        <f>COUNTIF($J133:$AVV133,"T")</f>
        <v>1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hidden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t="str" cm="1">
        <f t="array" ref="E134">IFERROR(INDEX($J$5:$AVX$5, _xlfn.AGGREGATE(15,6, COLUMN(J134:AVX134)-COLUMN(J134)+1 / (J134:AVX134="T"), F134)), "")</f>
        <v/>
      </c>
      <c r="F134" s="76">
        <f>$A$2</f>
        <v>2</v>
      </c>
      <c r="G134" s="35" cm="1">
        <f t="array" ref="G134">IFERROR(INDEX($J$5:$AVW$5,_xlfn.AGGREGATE(14,6,(COLUMN($J134:$AVW134)-COLUMN($J134)+1)/($J134:$AVW134="T"),1)),"")</f>
        <v>45969</v>
      </c>
      <c r="H134" s="79">
        <f>COUNTIF($J134:$AVV134,"T")</f>
        <v>1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hidden="1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t="str" cm="1">
        <f t="array" ref="E135">IFERROR(INDEX($J$5:$AVX$5, _xlfn.AGGREGATE(15,6, COLUMN(J135:AVX135)-COLUMN(J135)+1 / (J135:AVX135="T"), F135)), "")</f>
        <v/>
      </c>
      <c r="F135" s="76">
        <f>$A$2</f>
        <v>2</v>
      </c>
      <c r="G135" s="35" cm="1">
        <f t="array" ref="G135">IFERROR(INDEX($J$5:$AVW$5,_xlfn.AGGREGATE(14,6,(COLUMN($J135:$AVW135)-COLUMN($J135)+1)/($J135:$AVW135="T"),1)),"")</f>
        <v>45969</v>
      </c>
      <c r="H135" s="79">
        <f>COUNTIF($J135:$AVV135,"T")</f>
        <v>1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hidden="1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t="str" cm="1">
        <f t="array" ref="E136">IFERROR(INDEX($J$5:$AVX$5, _xlfn.AGGREGATE(15,6, COLUMN(J136:AVX136)-COLUMN(J136)+1 / (J136:AVX136="T"), F136)), "")</f>
        <v/>
      </c>
      <c r="F136" s="76">
        <f>$A$2</f>
        <v>2</v>
      </c>
      <c r="G136" s="35" cm="1">
        <f t="array" ref="G136">IFERROR(INDEX($J$5:$AVW$5,_xlfn.AGGREGATE(14,6,(COLUMN($J136:$AVW136)-COLUMN($J136)+1)/($J136:$AVW136="T"),1)),"")</f>
        <v>45969</v>
      </c>
      <c r="H136" s="79">
        <f>COUNTIF($J136:$AVV136,"T")</f>
        <v>1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hidden="1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t="str" cm="1">
        <f t="array" ref="E137">IFERROR(INDEX($J$5:$AVX$5, _xlfn.AGGREGATE(15,6, COLUMN(J137:AVX137)-COLUMN(J137)+1 / (J137:AVX137="T"), F137)), "")</f>
        <v/>
      </c>
      <c r="F137" s="76">
        <f>$A$2</f>
        <v>2</v>
      </c>
      <c r="G137" s="35" cm="1">
        <f t="array" ref="G137">IFERROR(INDEX($J$5:$AVW$5,_xlfn.AGGREGATE(14,6,(COLUMN($J137:$AVW137)-COLUMN($J137)+1)/($J137:$AVW137="T"),1)),"")</f>
        <v>45969</v>
      </c>
      <c r="H137" s="79">
        <f>COUNTIF($J137:$AVV137,"T")</f>
        <v>1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hidden="1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t="str" cm="1">
        <f t="array" ref="E138">IFERROR(INDEX($J$5:$AVX$5, _xlfn.AGGREGATE(15,6, COLUMN(J138:AVX138)-COLUMN(J138)+1 / (J138:AVX138="T"), F138)), "")</f>
        <v/>
      </c>
      <c r="F138" s="76">
        <f>$A$2</f>
        <v>2</v>
      </c>
      <c r="G138" s="35" cm="1">
        <f t="array" ref="G138">IFERROR(INDEX($J$5:$AVW$5,_xlfn.AGGREGATE(14,6,(COLUMN($J138:$AVW138)-COLUMN($J138)+1)/($J138:$AVW138="T"),1)),"")</f>
        <v>45970</v>
      </c>
      <c r="H138" s="79">
        <f>COUNTIF($J138:$AVV138,"T")</f>
        <v>1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hidden="1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t="str" cm="1">
        <f t="array" ref="E139">IFERROR(INDEX($J$5:$AVX$5, _xlfn.AGGREGATE(15,6, COLUMN(J139:AVX139)-COLUMN(J139)+1 / (J139:AVX139="T"), F139)), "")</f>
        <v/>
      </c>
      <c r="F139" s="76">
        <f>$A$2</f>
        <v>2</v>
      </c>
      <c r="G139" s="35" cm="1">
        <f t="array" ref="G139">IFERROR(INDEX($J$5:$AVW$5,_xlfn.AGGREGATE(14,6,(COLUMN($J139:$AVW139)-COLUMN($J139)+1)/($J139:$AVW139="T"),1)),"")</f>
        <v>45970</v>
      </c>
      <c r="H139" s="79">
        <f>COUNTIF($J139:$AVV139,"T")</f>
        <v>1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hidden="1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t="str" cm="1">
        <f t="array" ref="E140">IFERROR(INDEX($J$5:$AVX$5, _xlfn.AGGREGATE(15,6, COLUMN(J140:AVX140)-COLUMN(J140)+1 / (J140:AVX140="T"), F140)), "")</f>
        <v/>
      </c>
      <c r="F140" s="76">
        <f>$A$2</f>
        <v>2</v>
      </c>
      <c r="G140" s="35" cm="1">
        <f t="array" ref="G140">IFERROR(INDEX($J$5:$AVW$5,_xlfn.AGGREGATE(14,6,(COLUMN($J140:$AVW140)-COLUMN($J140)+1)/($J140:$AVW140="T"),1)),"")</f>
        <v>45970</v>
      </c>
      <c r="H140" s="79">
        <f>COUNTIF($J140:$AVV140,"T")</f>
        <v>1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hidden="1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t="str" cm="1">
        <f t="array" ref="E141">IFERROR(INDEX($J$5:$AVX$5, _xlfn.AGGREGATE(15,6, COLUMN(J141:AVX141)-COLUMN(J141)+1 / (J141:AVX141="T"), F141)), "")</f>
        <v/>
      </c>
      <c r="F141" s="76">
        <f>$A$2</f>
        <v>2</v>
      </c>
      <c r="G141" s="35" cm="1">
        <f t="array" ref="G141">IFERROR(INDEX($J$5:$AVW$5,_xlfn.AGGREGATE(14,6,(COLUMN($J141:$AVW141)-COLUMN($J141)+1)/($J141:$AVW141="T"),1)),"")</f>
        <v>45970</v>
      </c>
      <c r="H141" s="79">
        <f>COUNTIF($J141:$AVV141,"T")</f>
        <v>1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hidden="1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t="str" cm="1">
        <f t="array" ref="E142">IFERROR(INDEX($J$5:$AVX$5, _xlfn.AGGREGATE(15,6, COLUMN(J142:AVX142)-COLUMN(J142)+1 / (J142:AVX142="T"), F142)), "")</f>
        <v/>
      </c>
      <c r="F142" s="76">
        <f>$A$2</f>
        <v>2</v>
      </c>
      <c r="G142" s="35" cm="1">
        <f t="array" ref="G142">IFERROR(INDEX($J$5:$AVW$5,_xlfn.AGGREGATE(14,6,(COLUMN($J142:$AVW142)-COLUMN($J142)+1)/($J142:$AVW142="T"),1)),"")</f>
        <v>45970</v>
      </c>
      <c r="H142" s="79">
        <f>COUNTIF($J142:$AVV142,"T")</f>
        <v>1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hidden="1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t="str" cm="1">
        <f t="array" ref="E143">IFERROR(INDEX($J$5:$AVX$5, _xlfn.AGGREGATE(15,6, COLUMN(J143:AVX143)-COLUMN(J143)+1 / (J143:AVX143="T"), F143)), "")</f>
        <v/>
      </c>
      <c r="F143" s="76">
        <f>$A$2</f>
        <v>2</v>
      </c>
      <c r="G143" s="35" cm="1">
        <f t="array" ref="G143">IFERROR(INDEX($J$5:$AVW$5,_xlfn.AGGREGATE(14,6,(COLUMN($J143:$AVW143)-COLUMN($J143)+1)/($J143:$AVW143="T"),1)),"")</f>
        <v>45970</v>
      </c>
      <c r="H143" s="79">
        <f>COUNTIF($J143:$AVV143,"T")</f>
        <v>1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hidden="1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t="str" cm="1">
        <f t="array" ref="E144">IFERROR(INDEX($J$5:$AVX$5, _xlfn.AGGREGATE(15,6, COLUMN(J144:AVX144)-COLUMN(J144)+1 / (J144:AVX144="T"), F144)), "")</f>
        <v/>
      </c>
      <c r="F144" s="76">
        <f>$A$2</f>
        <v>2</v>
      </c>
      <c r="G144" s="35" cm="1">
        <f t="array" ref="G144">IFERROR(INDEX($J$5:$AVW$5,_xlfn.AGGREGATE(14,6,(COLUMN($J144:$AVW144)-COLUMN($J144)+1)/($J144:$AVW144="T"),1)),"")</f>
        <v>45970</v>
      </c>
      <c r="H144" s="79">
        <f>COUNTIF($J144:$AVV144,"T")</f>
        <v>1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hidden="1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t="str" cm="1">
        <f t="array" ref="E145">IFERROR(INDEX($J$5:$AVX$5, _xlfn.AGGREGATE(15,6, COLUMN(J145:AVX145)-COLUMN(J145)+1 / (J145:AVX145="T"), F145)), "")</f>
        <v/>
      </c>
      <c r="F145" s="76">
        <f>$A$2</f>
        <v>2</v>
      </c>
      <c r="G145" s="35" cm="1">
        <f t="array" ref="G145">IFERROR(INDEX($J$5:$AVW$5,_xlfn.AGGREGATE(14,6,(COLUMN($J145:$AVW145)-COLUMN($J145)+1)/($J145:$AVW145="T"),1)),"")</f>
        <v>45971</v>
      </c>
      <c r="H145" s="79">
        <f>COUNTIF($J145:$AVV145,"T")</f>
        <v>1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hidden="1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t="str" cm="1">
        <f t="array" ref="E146">IFERROR(INDEX($J$5:$AVX$5, _xlfn.AGGREGATE(15,6, COLUMN(J146:AVX146)-COLUMN(J146)+1 / (J146:AVX146="T"), F146)), "")</f>
        <v/>
      </c>
      <c r="F146" s="76">
        <f>$A$2</f>
        <v>2</v>
      </c>
      <c r="G146" s="35" cm="1">
        <f t="array" ref="G146">IFERROR(INDEX($J$5:$AVW$5,_xlfn.AGGREGATE(14,6,(COLUMN($J146:$AVW146)-COLUMN($J146)+1)/($J146:$AVW146="T"),1)),"")</f>
        <v>45971</v>
      </c>
      <c r="H146" s="79">
        <f>COUNTIF($J146:$AVV146,"T")</f>
        <v>1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hidden="1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t="str" cm="1">
        <f t="array" ref="E147">IFERROR(INDEX($J$5:$AVX$5, _xlfn.AGGREGATE(15,6, COLUMN(J147:AVX147)-COLUMN(J147)+1 / (J147:AVX147="T"), F147)), "")</f>
        <v/>
      </c>
      <c r="F147" s="76">
        <f>$A$2</f>
        <v>2</v>
      </c>
      <c r="G147" s="35" cm="1">
        <f t="array" ref="G147">IFERROR(INDEX($J$5:$AVW$5,_xlfn.AGGREGATE(14,6,(COLUMN($J147:$AVW147)-COLUMN($J147)+1)/($J147:$AVW147="T"),1)),"")</f>
        <v>45971</v>
      </c>
      <c r="H147" s="79">
        <f>COUNTIF($J147:$AVV147,"T")</f>
        <v>1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hidden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t="str" cm="1">
        <f t="array" ref="E148">IFERROR(INDEX($J$5:$AVX$5, _xlfn.AGGREGATE(15,6, COLUMN(J148:AVX148)-COLUMN(J148)+1 / (J148:AVX148="T"), F148)), "")</f>
        <v/>
      </c>
      <c r="F148" s="76">
        <f>$A$2</f>
        <v>2</v>
      </c>
      <c r="G148" s="35" cm="1">
        <f t="array" ref="G148">IFERROR(INDEX($J$5:$AVW$5,_xlfn.AGGREGATE(14,6,(COLUMN($J148:$AVW148)-COLUMN($J148)+1)/($J148:$AVW148="T"),1)),"")</f>
        <v>45971</v>
      </c>
      <c r="H148" s="79">
        <f>COUNTIF($J148:$AVV148,"T")</f>
        <v>1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hidden="1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t="str" cm="1">
        <f t="array" ref="E149">IFERROR(INDEX($J$5:$AVX$5, _xlfn.AGGREGATE(15,6, COLUMN(J149:AVX149)-COLUMN(J149)+1 / (J149:AVX149="T"), F149)), "")</f>
        <v/>
      </c>
      <c r="F149" s="76">
        <f>$A$2</f>
        <v>2</v>
      </c>
      <c r="G149" s="35" cm="1">
        <f t="array" ref="G149">IFERROR(INDEX($J$5:$AVW$5,_xlfn.AGGREGATE(14,6,(COLUMN($J149:$AVW149)-COLUMN($J149)+1)/($J149:$AVW149="T"),1)),"")</f>
        <v>45971</v>
      </c>
      <c r="H149" s="79">
        <f>COUNTIF($J149:$AVV149,"T")</f>
        <v>1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hidden="1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t="str" cm="1">
        <f t="array" ref="E150">IFERROR(INDEX($J$5:$AVX$5, _xlfn.AGGREGATE(15,6, COLUMN(J150:AVX150)-COLUMN(J150)+1 / (J150:AVX150="T"), F150)), "")</f>
        <v/>
      </c>
      <c r="F150" s="76">
        <f>$A$2</f>
        <v>2</v>
      </c>
      <c r="G150" s="35" cm="1">
        <f t="array" ref="G150">IFERROR(INDEX($J$5:$AVW$5,_xlfn.AGGREGATE(14,6,(COLUMN($J150:$AVW150)-COLUMN($J150)+1)/($J150:$AVW150="T"),1)),"")</f>
        <v>45971</v>
      </c>
      <c r="H150" s="79">
        <f>COUNTIF($J150:$AVV150,"T")</f>
        <v>1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hidden="1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t="str" cm="1">
        <f t="array" ref="E151">IFERROR(INDEX($J$5:$AVX$5, _xlfn.AGGREGATE(15,6, COLUMN(J151:AVX151)-COLUMN(J151)+1 / (J151:AVX151="T"), F151)), "")</f>
        <v/>
      </c>
      <c r="F151" s="76">
        <f>$A$2</f>
        <v>2</v>
      </c>
      <c r="G151" s="35" cm="1">
        <f t="array" ref="G151">IFERROR(INDEX($J$5:$AVW$5,_xlfn.AGGREGATE(14,6,(COLUMN($J151:$AVW151)-COLUMN($J151)+1)/($J151:$AVW151="T"),1)),"")</f>
        <v>45971</v>
      </c>
      <c r="H151" s="79">
        <f>COUNTIF($J151:$AVV151,"T")</f>
        <v>1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hidden="1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t="str" cm="1">
        <f t="array" ref="E152">IFERROR(INDEX($J$5:$AVX$5, _xlfn.AGGREGATE(15,6, COLUMN(J152:AVX152)-COLUMN(J152)+1 / (J152:AVX152="T"), F152)), "")</f>
        <v/>
      </c>
      <c r="F152" s="76">
        <f>$A$2</f>
        <v>2</v>
      </c>
      <c r="G152" s="35" cm="1">
        <f t="array" ref="G152">IFERROR(INDEX($J$5:$AVW$5,_xlfn.AGGREGATE(14,6,(COLUMN($J152:$AVW152)-COLUMN($J152)+1)/($J152:$AVW152="T"),1)),"")</f>
        <v>45972</v>
      </c>
      <c r="H152" s="79">
        <f>COUNTIF($J152:$AVV152,"T")</f>
        <v>1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hidden="1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t="str" cm="1">
        <f t="array" ref="E153">IFERROR(INDEX($J$5:$AVX$5, _xlfn.AGGREGATE(15,6, COLUMN(J153:AVX153)-COLUMN(J153)+1 / (J153:AVX153="T"), F153)), "")</f>
        <v/>
      </c>
      <c r="F153" s="76">
        <f>$A$2</f>
        <v>2</v>
      </c>
      <c r="G153" s="35" cm="1">
        <f t="array" ref="G153">IFERROR(INDEX($J$5:$AVW$5,_xlfn.AGGREGATE(14,6,(COLUMN($J153:$AVW153)-COLUMN($J153)+1)/($J153:$AVW153="T"),1)),"")</f>
        <v>45972</v>
      </c>
      <c r="H153" s="79">
        <f>COUNTIF($J153:$AVV153,"T")</f>
        <v>1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hidden="1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t="str" cm="1">
        <f t="array" ref="E154">IFERROR(INDEX($J$5:$AVX$5, _xlfn.AGGREGATE(15,6, COLUMN(J154:AVX154)-COLUMN(J154)+1 / (J154:AVX154="T"), F154)), "")</f>
        <v/>
      </c>
      <c r="F154" s="76">
        <f>$A$2</f>
        <v>2</v>
      </c>
      <c r="G154" s="35" cm="1">
        <f t="array" ref="G154">IFERROR(INDEX($J$5:$AVW$5,_xlfn.AGGREGATE(14,6,(COLUMN($J154:$AVW154)-COLUMN($J154)+1)/($J154:$AVW154="T"),1)),"")</f>
        <v>45972</v>
      </c>
      <c r="H154" s="79">
        <f>COUNTIF($J154:$AVV154,"T")</f>
        <v>1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hidden="1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t="str" cm="1">
        <f t="array" ref="E155">IFERROR(INDEX($J$5:$AVX$5, _xlfn.AGGREGATE(15,6, COLUMN(J155:AVX155)-COLUMN(J155)+1 / (J155:AVX155="T"), F155)), "")</f>
        <v/>
      </c>
      <c r="F155" s="76">
        <f>$A$2</f>
        <v>2</v>
      </c>
      <c r="G155" s="35" cm="1">
        <f t="array" ref="G155">IFERROR(INDEX($J$5:$AVW$5,_xlfn.AGGREGATE(14,6,(COLUMN($J155:$AVW155)-COLUMN($J155)+1)/($J155:$AVW155="T"),1)),"")</f>
        <v>45972</v>
      </c>
      <c r="H155" s="79">
        <f>COUNTIF($J155:$AVV155,"T")</f>
        <v>1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hidden="1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t="str" cm="1">
        <f t="array" ref="E156">IFERROR(INDEX($J$5:$AVX$5, _xlfn.AGGREGATE(15,6, COLUMN(J156:AVX156)-COLUMN(J156)+1 / (J156:AVX156="T"), F156)), "")</f>
        <v/>
      </c>
      <c r="F156" s="76">
        <f>$A$2</f>
        <v>2</v>
      </c>
      <c r="G156" s="35" cm="1">
        <f t="array" ref="G156">IFERROR(INDEX($J$5:$AVW$5,_xlfn.AGGREGATE(14,6,(COLUMN($J156:$AVW156)-COLUMN($J156)+1)/($J156:$AVW156="T"),1)),"")</f>
        <v>45972</v>
      </c>
      <c r="H156" s="79">
        <f>COUNTIF($J156:$AVV156,"T")</f>
        <v>1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hidden="1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t="str" cm="1">
        <f t="array" ref="E157">IFERROR(INDEX($J$5:$AVX$5, _xlfn.AGGREGATE(15,6, COLUMN(J157:AVX157)-COLUMN(J157)+1 / (J157:AVX157="T"), F157)), "")</f>
        <v/>
      </c>
      <c r="F157" s="76">
        <f>$A$2</f>
        <v>2</v>
      </c>
      <c r="G157" s="35" cm="1">
        <f t="array" ref="G157">IFERROR(INDEX($J$5:$AVW$5,_xlfn.AGGREGATE(14,6,(COLUMN($J157:$AVW157)-COLUMN($J157)+1)/($J157:$AVW157="T"),1)),"")</f>
        <v>45972</v>
      </c>
      <c r="H157" s="79">
        <f>COUNTIF($J157:$AVV157,"T")</f>
        <v>1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hidden="1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t="str" cm="1">
        <f t="array" ref="E158">IFERROR(INDEX($J$5:$AVX$5, _xlfn.AGGREGATE(15,6, COLUMN(J158:AVX158)-COLUMN(J158)+1 / (J158:AVX158="T"), F158)), "")</f>
        <v/>
      </c>
      <c r="F158" s="76">
        <f>$A$2</f>
        <v>2</v>
      </c>
      <c r="G158" s="35" cm="1">
        <f t="array" ref="G158">IFERROR(INDEX($J$5:$AVW$5,_xlfn.AGGREGATE(14,6,(COLUMN($J158:$AVW158)-COLUMN($J158)+1)/($J158:$AVW158="T"),1)),"")</f>
        <v>45972</v>
      </c>
      <c r="H158" s="79">
        <f>COUNTIF($J158:$AVV158,"T")</f>
        <v>1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hidden="1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t="str" cm="1">
        <f t="array" ref="E159">IFERROR(INDEX($J$5:$AVX$5, _xlfn.AGGREGATE(15,6, COLUMN(J159:AVX159)-COLUMN(J159)+1 / (J159:AVX159="T"), F159)), "")</f>
        <v/>
      </c>
      <c r="F159" s="76">
        <f>$A$2</f>
        <v>2</v>
      </c>
      <c r="G159" s="35" cm="1">
        <f t="array" ref="G159">IFERROR(INDEX($J$5:$AVW$5,_xlfn.AGGREGATE(14,6,(COLUMN($J159:$AVW159)-COLUMN($J159)+1)/($J159:$AVW159="T"),1)),"")</f>
        <v>45973</v>
      </c>
      <c r="H159" s="79">
        <f>COUNTIF($J159:$AVV159,"T")</f>
        <v>1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hidden="1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t="str" cm="1">
        <f t="array" ref="E160">IFERROR(INDEX($J$5:$AVX$5, _xlfn.AGGREGATE(15,6, COLUMN(J160:AVX160)-COLUMN(J160)+1 / (J160:AVX160="T"), F160)), "")</f>
        <v/>
      </c>
      <c r="F160" s="76">
        <f>$A$2</f>
        <v>2</v>
      </c>
      <c r="G160" s="35" cm="1">
        <f t="array" ref="G160">IFERROR(INDEX($J$5:$AVW$5,_xlfn.AGGREGATE(14,6,(COLUMN($J160:$AVW160)-COLUMN($J160)+1)/($J160:$AVW160="T"),1)),"")</f>
        <v>45973</v>
      </c>
      <c r="H160" s="79">
        <f>COUNTIF($J160:$AVV160,"T")</f>
        <v>1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hidden="1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t="str" cm="1">
        <f t="array" ref="E161">IFERROR(INDEX($J$5:$AVX$5, _xlfn.AGGREGATE(15,6, COLUMN(J161:AVX161)-COLUMN(J161)+1 / (J161:AVX161="T"), F161)), "")</f>
        <v/>
      </c>
      <c r="F161" s="76">
        <f>$A$2</f>
        <v>2</v>
      </c>
      <c r="G161" s="35" cm="1">
        <f t="array" ref="G161">IFERROR(INDEX($J$5:$AVW$5,_xlfn.AGGREGATE(14,6,(COLUMN($J161:$AVW161)-COLUMN($J161)+1)/($J161:$AVW161="T"),1)),"")</f>
        <v>45973</v>
      </c>
      <c r="H161" s="79">
        <f>COUNTIF($J161:$AVV161,"T")</f>
        <v>1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hidden="1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t="str" cm="1">
        <f t="array" ref="E162">IFERROR(INDEX($J$5:$AVX$5, _xlfn.AGGREGATE(15,6, COLUMN(J162:AVX162)-COLUMN(J162)+1 / (J162:AVX162="T"), F162)), "")</f>
        <v/>
      </c>
      <c r="F162" s="76">
        <f>$A$2</f>
        <v>2</v>
      </c>
      <c r="G162" s="35" cm="1">
        <f t="array" ref="G162">IFERROR(INDEX($J$5:$AVW$5,_xlfn.AGGREGATE(14,6,(COLUMN($J162:$AVW162)-COLUMN($J162)+1)/($J162:$AVW162="T"),1)),"")</f>
        <v>45973</v>
      </c>
      <c r="H162" s="79">
        <f>COUNTIF($J162:$AVV162,"T")</f>
        <v>1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hidden="1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t="str" cm="1">
        <f t="array" ref="E163">IFERROR(INDEX($J$5:$AVX$5, _xlfn.AGGREGATE(15,6, COLUMN(J163:AVX163)-COLUMN(J163)+1 / (J163:AVX163="T"), F163)), "")</f>
        <v/>
      </c>
      <c r="F163" s="76">
        <f>$A$2</f>
        <v>2</v>
      </c>
      <c r="G163" s="35" cm="1">
        <f t="array" ref="G163">IFERROR(INDEX($J$5:$AVW$5,_xlfn.AGGREGATE(14,6,(COLUMN($J163:$AVW163)-COLUMN($J163)+1)/($J163:$AVW163="T"),1)),"")</f>
        <v>45973</v>
      </c>
      <c r="H163" s="79">
        <f>COUNTIF($J163:$AVV163,"T")</f>
        <v>1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hidden="1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t="str" cm="1">
        <f t="array" ref="E164">IFERROR(INDEX($J$5:$AVX$5, _xlfn.AGGREGATE(15,6, COLUMN(J164:AVX164)-COLUMN(J164)+1 / (J164:AVX164="T"), F164)), "")</f>
        <v/>
      </c>
      <c r="F164" s="76">
        <f>$A$2</f>
        <v>2</v>
      </c>
      <c r="G164" s="35" cm="1">
        <f t="array" ref="G164">IFERROR(INDEX($J$5:$AVW$5,_xlfn.AGGREGATE(14,6,(COLUMN($J164:$AVW164)-COLUMN($J164)+1)/($J164:$AVW164="T"),1)),"")</f>
        <v>45973</v>
      </c>
      <c r="H164" s="79">
        <f>COUNTIF($J164:$AVV164,"T")</f>
        <v>1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hidden="1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t="str" cm="1">
        <f t="array" ref="E165">IFERROR(INDEX($J$5:$AVX$5, _xlfn.AGGREGATE(15,6, COLUMN(J165:AVX165)-COLUMN(J165)+1 / (J165:AVX165="T"), F165)), "")</f>
        <v/>
      </c>
      <c r="F165" s="76">
        <f>$A$2</f>
        <v>2</v>
      </c>
      <c r="G165" s="35" cm="1">
        <f t="array" ref="G165">IFERROR(INDEX($J$5:$AVW$5,_xlfn.AGGREGATE(14,6,(COLUMN($J165:$AVW165)-COLUMN($J165)+1)/($J165:$AVW165="T"),1)),"")</f>
        <v>45973</v>
      </c>
      <c r="H165" s="79">
        <f>COUNTIF($J165:$AVV165,"T")</f>
        <v>1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hidden="1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>$A$2</f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>COUNTIF($J166:$AVV166,"T")</f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hidden="1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>$A$2</f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>COUNTIF($J167:$AVV167,"T")</f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hidden="1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t="str" cm="1">
        <f t="array" ref="E168">IFERROR(INDEX($J$5:$AVX$5, _xlfn.AGGREGATE(15,6, COLUMN(J168:AVX168)-COLUMN(J168)+1 / (J168:AVX168="T"), F168)), "")</f>
        <v/>
      </c>
      <c r="F168" s="76">
        <f>$A$2</f>
        <v>2</v>
      </c>
      <c r="G168" s="35" cm="1">
        <f t="array" ref="G168">IFERROR(INDEX($J$5:$AVW$5,_xlfn.AGGREGATE(14,6,(COLUMN($J168:$AVW168)-COLUMN($J168)+1)/($J168:$AVW168="T"),1)),"")</f>
        <v>45977</v>
      </c>
      <c r="H168" s="79">
        <f>COUNTIF($J168:$AVV168,"T")</f>
        <v>1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hidden="1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t="str" cm="1">
        <f t="array" ref="E169">IFERROR(INDEX($J$5:$AVX$5, _xlfn.AGGREGATE(15,6, COLUMN(J169:AVX169)-COLUMN(J169)+1 / (J169:AVX169="T"), F169)), "")</f>
        <v/>
      </c>
      <c r="F169" s="76">
        <f>$A$2</f>
        <v>2</v>
      </c>
      <c r="G169" s="35" cm="1">
        <f t="array" ref="G169">IFERROR(INDEX($J$5:$AVW$5,_xlfn.AGGREGATE(14,6,(COLUMN($J169:$AVW169)-COLUMN($J169)+1)/($J169:$AVW169="T"),1)),"")</f>
        <v>45977</v>
      </c>
      <c r="H169" s="79">
        <f>COUNTIF($J169:$AVV169,"T")</f>
        <v>1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hidden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t="str" cm="1">
        <f t="array" ref="E170">IFERROR(INDEX($J$5:$AVX$5, _xlfn.AGGREGATE(15,6, COLUMN(J170:AVX170)-COLUMN(J170)+1 / (J170:AVX170="T"), F170)), "")</f>
        <v/>
      </c>
      <c r="F170" s="76">
        <f>$A$2</f>
        <v>2</v>
      </c>
      <c r="G170" s="35" cm="1">
        <f t="array" ref="G170">IFERROR(INDEX($J$5:$AVW$5,_xlfn.AGGREGATE(14,6,(COLUMN($J170:$AVW170)-COLUMN($J170)+1)/($J170:$AVW170="T"),1)),"")</f>
        <v>45977</v>
      </c>
      <c r="H170" s="79">
        <f>COUNTIF($J170:$AVV170,"T")</f>
        <v>1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hidden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t="str" cm="1">
        <f t="array" ref="E171">IFERROR(INDEX($J$5:$AVX$5, _xlfn.AGGREGATE(15,6, COLUMN(J171:AVX171)-COLUMN(J171)+1 / (J171:AVX171="T"), F171)), "")</f>
        <v/>
      </c>
      <c r="F171" s="76">
        <f>$A$2</f>
        <v>2</v>
      </c>
      <c r="G171" s="35" cm="1">
        <f t="array" ref="G171">IFERROR(INDEX($J$5:$AVW$5,_xlfn.AGGREGATE(14,6,(COLUMN($J171:$AVW171)-COLUMN($J171)+1)/($J171:$AVW171="T"),1)),"")</f>
        <v>45977</v>
      </c>
      <c r="H171" s="79">
        <f>COUNTIF($J171:$AVV171,"T")</f>
        <v>1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hidden="1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t="str" cm="1">
        <f t="array" ref="E172">IFERROR(INDEX($J$5:$AVX$5, _xlfn.AGGREGATE(15,6, COLUMN(J172:AVX172)-COLUMN(J172)+1 / (J172:AVX172="T"), F172)), "")</f>
        <v/>
      </c>
      <c r="F172" s="76">
        <f>$A$2</f>
        <v>2</v>
      </c>
      <c r="G172" s="35" cm="1">
        <f t="array" ref="G172">IFERROR(INDEX($J$5:$AVW$5,_xlfn.AGGREGATE(14,6,(COLUMN($J172:$AVW172)-COLUMN($J172)+1)/($J172:$AVW172="T"),1)),"")</f>
        <v>45977</v>
      </c>
      <c r="H172" s="79">
        <f>COUNTIF($J172:$AVV172,"T")</f>
        <v>1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hidden="1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t="str" cm="1">
        <f t="array" ref="E173">IFERROR(INDEX($J$5:$AVX$5, _xlfn.AGGREGATE(15,6, COLUMN(J173:AVX173)-COLUMN(J173)+1 / (J173:AVX173="T"), F173)), "")</f>
        <v/>
      </c>
      <c r="F173" s="76">
        <f>$A$2</f>
        <v>2</v>
      </c>
      <c r="G173" s="35" cm="1">
        <f t="array" ref="G173">IFERROR(INDEX($J$5:$AVW$5,_xlfn.AGGREGATE(14,6,(COLUMN($J173:$AVW173)-COLUMN($J173)+1)/($J173:$AVW173="T"),1)),"")</f>
        <v>45977</v>
      </c>
      <c r="H173" s="79">
        <f>COUNTIF($J173:$AVV173,"T")</f>
        <v>1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hidden="1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t="str" cm="1">
        <f t="array" ref="E174">IFERROR(INDEX($J$5:$AVX$5, _xlfn.AGGREGATE(15,6, COLUMN(J174:AVX174)-COLUMN(J174)+1 / (J174:AVX174="T"), F174)), "")</f>
        <v/>
      </c>
      <c r="F174" s="76">
        <f>$A$2</f>
        <v>2</v>
      </c>
      <c r="G174" s="35" cm="1">
        <f t="array" ref="G174">IFERROR(INDEX($J$5:$AVW$5,_xlfn.AGGREGATE(14,6,(COLUMN($J174:$AVW174)-COLUMN($J174)+1)/($J174:$AVW174="T"),1)),"")</f>
        <v>45977</v>
      </c>
      <c r="H174" s="79">
        <f>COUNTIF($J174:$AVV174,"T")</f>
        <v>1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hidden="1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t="str" cm="1">
        <f t="array" ref="E175">IFERROR(INDEX($J$5:$AVX$5, _xlfn.AGGREGATE(15,6, COLUMN(J175:AVX175)-COLUMN(J175)+1 / (J175:AVX175="T"), F175)), "")</f>
        <v/>
      </c>
      <c r="F175" s="76">
        <f>$A$2</f>
        <v>2</v>
      </c>
      <c r="G175" s="35" cm="1">
        <f t="array" ref="G175">IFERROR(INDEX($J$5:$AVW$5,_xlfn.AGGREGATE(14,6,(COLUMN($J175:$AVW175)-COLUMN($J175)+1)/($J175:$AVW175="T"),1)),"")</f>
        <v>45978</v>
      </c>
      <c r="H175" s="79">
        <f>COUNTIF($J175:$AVV175,"T")</f>
        <v>1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hidden="1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t="str" cm="1">
        <f t="array" ref="E176">IFERROR(INDEX($J$5:$AVX$5, _xlfn.AGGREGATE(15,6, COLUMN(J176:AVX176)-COLUMN(J176)+1 / (J176:AVX176="T"), F176)), "")</f>
        <v/>
      </c>
      <c r="F176" s="76">
        <f>$A$2</f>
        <v>2</v>
      </c>
      <c r="G176" s="35" cm="1">
        <f t="array" ref="G176">IFERROR(INDEX($J$5:$AVW$5,_xlfn.AGGREGATE(14,6,(COLUMN($J176:$AVW176)-COLUMN($J176)+1)/($J176:$AVW176="T"),1)),"")</f>
        <v>45978</v>
      </c>
      <c r="H176" s="79">
        <f>COUNTIF($J176:$AVV176,"T")</f>
        <v>1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hidden="1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t="str" cm="1">
        <f t="array" ref="E177">IFERROR(INDEX($J$5:$AVX$5, _xlfn.AGGREGATE(15,6, COLUMN(J177:AVX177)-COLUMN(J177)+1 / (J177:AVX177="T"), F177)), "")</f>
        <v/>
      </c>
      <c r="F177" s="76">
        <f>$A$2</f>
        <v>2</v>
      </c>
      <c r="G177" s="35" cm="1">
        <f t="array" ref="G177">IFERROR(INDEX($J$5:$AVW$5,_xlfn.AGGREGATE(14,6,(COLUMN($J177:$AVW177)-COLUMN($J177)+1)/($J177:$AVW177="T"),1)),"")</f>
        <v>45978</v>
      </c>
      <c r="H177" s="79">
        <f>COUNTIF($J177:$AVV177,"T")</f>
        <v>1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hidden="1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t="str" cm="1">
        <f t="array" ref="E178">IFERROR(INDEX($J$5:$AVX$5, _xlfn.AGGREGATE(15,6, COLUMN(J178:AVX178)-COLUMN(J178)+1 / (J178:AVX178="T"), F178)), "")</f>
        <v/>
      </c>
      <c r="F178" s="76">
        <f>$A$2</f>
        <v>2</v>
      </c>
      <c r="G178" s="35" cm="1">
        <f t="array" ref="G178">IFERROR(INDEX($J$5:$AVW$5,_xlfn.AGGREGATE(14,6,(COLUMN($J178:$AVW178)-COLUMN($J178)+1)/($J178:$AVW178="T"),1)),"")</f>
        <v>45978</v>
      </c>
      <c r="H178" s="79">
        <f>COUNTIF($J178:$AVV178,"T")</f>
        <v>1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hidden="1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t="str" cm="1">
        <f t="array" ref="E179">IFERROR(INDEX($J$5:$AVX$5, _xlfn.AGGREGATE(15,6, COLUMN(J179:AVX179)-COLUMN(J179)+1 / (J179:AVX179="T"), F179)), "")</f>
        <v/>
      </c>
      <c r="F179" s="76">
        <f>$A$2</f>
        <v>2</v>
      </c>
      <c r="G179" s="35" cm="1">
        <f t="array" ref="G179">IFERROR(INDEX($J$5:$AVW$5,_xlfn.AGGREGATE(14,6,(COLUMN($J179:$AVW179)-COLUMN($J179)+1)/($J179:$AVW179="T"),1)),"")</f>
        <v>45978</v>
      </c>
      <c r="H179" s="79">
        <f>COUNTIF($J179:$AVV179,"T")</f>
        <v>1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hidden="1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t="str" cm="1">
        <f t="array" ref="E180">IFERROR(INDEX($J$5:$AVX$5, _xlfn.AGGREGATE(15,6, COLUMN(J180:AVX180)-COLUMN(J180)+1 / (J180:AVX180="T"), F180)), "")</f>
        <v/>
      </c>
      <c r="F180" s="76">
        <f>$A$2</f>
        <v>2</v>
      </c>
      <c r="G180" s="35" cm="1">
        <f t="array" ref="G180">IFERROR(INDEX($J$5:$AVW$5,_xlfn.AGGREGATE(14,6,(COLUMN($J180:$AVW180)-COLUMN($J180)+1)/($J180:$AVW180="T"),1)),"")</f>
        <v>45978</v>
      </c>
      <c r="H180" s="79">
        <f>COUNTIF($J180:$AVV180,"T")</f>
        <v>1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hidden="1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t="str" cm="1">
        <f t="array" ref="E181">IFERROR(INDEX($J$5:$AVX$5, _xlfn.AGGREGATE(15,6, COLUMN(J181:AVX181)-COLUMN(J181)+1 / (J181:AVX181="T"), F181)), "")</f>
        <v/>
      </c>
      <c r="F181" s="76">
        <f>$A$2</f>
        <v>2</v>
      </c>
      <c r="G181" s="35" cm="1">
        <f t="array" ref="G181">IFERROR(INDEX($J$5:$AVW$5,_xlfn.AGGREGATE(14,6,(COLUMN($J181:$AVW181)-COLUMN($J181)+1)/($J181:$AVW181="T"),1)),"")</f>
        <v>45978</v>
      </c>
      <c r="H181" s="79">
        <f>COUNTIF($J181:$AVV181,"T")</f>
        <v>1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hidden="1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t="str" cm="1">
        <f t="array" ref="E182">IFERROR(INDEX($J$5:$AVX$5, _xlfn.AGGREGATE(15,6, COLUMN(J182:AVX182)-COLUMN(J182)+1 / (J182:AVX182="T"), F182)), "")</f>
        <v/>
      </c>
      <c r="F182" s="76">
        <f>$A$2</f>
        <v>2</v>
      </c>
      <c r="G182" s="35" cm="1">
        <f t="array" ref="G182">IFERROR(INDEX($J$5:$AVW$5,_xlfn.AGGREGATE(14,6,(COLUMN($J182:$AVW182)-COLUMN($J182)+1)/($J182:$AVW182="T"),1)),"")</f>
        <v>45979</v>
      </c>
      <c r="H182" s="79">
        <f>COUNTIF($J182:$AVV182,"T")</f>
        <v>1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hidden="1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t="str" cm="1">
        <f t="array" ref="E183">IFERROR(INDEX($J$5:$AVX$5, _xlfn.AGGREGATE(15,6, COLUMN(J183:AVX183)-COLUMN(J183)+1 / (J183:AVX183="T"), F183)), "")</f>
        <v/>
      </c>
      <c r="F183" s="76">
        <f>$A$2</f>
        <v>2</v>
      </c>
      <c r="G183" s="35" cm="1">
        <f t="array" ref="G183">IFERROR(INDEX($J$5:$AVW$5,_xlfn.AGGREGATE(14,6,(COLUMN($J183:$AVW183)-COLUMN($J183)+1)/($J183:$AVW183="T"),1)),"")</f>
        <v>45979</v>
      </c>
      <c r="H183" s="79">
        <f>COUNTIF($J183:$AVV183,"T")</f>
        <v>1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hidden="1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t="str" cm="1">
        <f t="array" ref="E184">IFERROR(INDEX($J$5:$AVX$5, _xlfn.AGGREGATE(15,6, COLUMN(J184:AVX184)-COLUMN(J184)+1 / (J184:AVX184="T"), F184)), "")</f>
        <v/>
      </c>
      <c r="F184" s="76">
        <f>$A$2</f>
        <v>2</v>
      </c>
      <c r="G184" s="35" cm="1">
        <f t="array" ref="G184">IFERROR(INDEX($J$5:$AVW$5,_xlfn.AGGREGATE(14,6,(COLUMN($J184:$AVW184)-COLUMN($J184)+1)/($J184:$AVW184="T"),1)),"")</f>
        <v>45979</v>
      </c>
      <c r="H184" s="79">
        <f>COUNTIF($J184:$AVV184,"T")</f>
        <v>1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hidden="1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t="str" cm="1">
        <f t="array" ref="E185">IFERROR(INDEX($J$5:$AVX$5, _xlfn.AGGREGATE(15,6, COLUMN(J185:AVX185)-COLUMN(J185)+1 / (J185:AVX185="T"), F185)), "")</f>
        <v/>
      </c>
      <c r="F185" s="76">
        <f>$A$2</f>
        <v>2</v>
      </c>
      <c r="G185" s="35" cm="1">
        <f t="array" ref="G185">IFERROR(INDEX($J$5:$AVW$5,_xlfn.AGGREGATE(14,6,(COLUMN($J185:$AVW185)-COLUMN($J185)+1)/($J185:$AVW185="T"),1)),"")</f>
        <v>45979</v>
      </c>
      <c r="H185" s="79">
        <f>COUNTIF($J185:$AVV185,"T")</f>
        <v>1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hidden="1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t="str" cm="1">
        <f t="array" ref="E186">IFERROR(INDEX($J$5:$AVX$5, _xlfn.AGGREGATE(15,6, COLUMN(J186:AVX186)-COLUMN(J186)+1 / (J186:AVX186="T"), F186)), "")</f>
        <v/>
      </c>
      <c r="F186" s="76">
        <f>$A$2</f>
        <v>2</v>
      </c>
      <c r="G186" s="35" cm="1">
        <f t="array" ref="G186">IFERROR(INDEX($J$5:$AVW$5,_xlfn.AGGREGATE(14,6,(COLUMN($J186:$AVW186)-COLUMN($J186)+1)/($J186:$AVW186="T"),1)),"")</f>
        <v>45979</v>
      </c>
      <c r="H186" s="79">
        <f>COUNTIF($J186:$AVV186,"T")</f>
        <v>1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hidden="1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t="str" cm="1">
        <f t="array" ref="E187">IFERROR(INDEX($J$5:$AVX$5, _xlfn.AGGREGATE(15,6, COLUMN(J187:AVX187)-COLUMN(J187)+1 / (J187:AVX187="T"), F187)), "")</f>
        <v/>
      </c>
      <c r="F187" s="76">
        <f>$A$2</f>
        <v>2</v>
      </c>
      <c r="G187" s="35" cm="1">
        <f t="array" ref="G187">IFERROR(INDEX($J$5:$AVW$5,_xlfn.AGGREGATE(14,6,(COLUMN($J187:$AVW187)-COLUMN($J187)+1)/($J187:$AVW187="T"),1)),"")</f>
        <v>45979</v>
      </c>
      <c r="H187" s="79">
        <f>COUNTIF($J187:$AVV187,"T")</f>
        <v>1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hidden="1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t="str" cm="1">
        <f t="array" ref="E188">IFERROR(INDEX($J$5:$AVX$5, _xlfn.AGGREGATE(15,6, COLUMN(J188:AVX188)-COLUMN(J188)+1 / (J188:AVX188="T"), F188)), "")</f>
        <v/>
      </c>
      <c r="F188" s="76">
        <f>$A$2</f>
        <v>2</v>
      </c>
      <c r="G188" s="35" cm="1">
        <f t="array" ref="G188">IFERROR(INDEX($J$5:$AVW$5,_xlfn.AGGREGATE(14,6,(COLUMN($J188:$AVW188)-COLUMN($J188)+1)/($J188:$AVW188="T"),1)),"")</f>
        <v>45979</v>
      </c>
      <c r="H188" s="79">
        <f>COUNTIF($J188:$AVV188,"T")</f>
        <v>1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hidden="1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>$A$2</f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>COUNTIF($J189:$AVV189,"T")</f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hidden="1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>$A$2</f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>COUNTIF($J190:$AVV190,"T")</f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hidden="1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>$A$2</f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>COUNTIF($J191:$AVV191,"T")</f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hidden="1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t="str" cm="1">
        <f t="array" ref="E192">IFERROR(INDEX($J$5:$AVX$5, _xlfn.AGGREGATE(15,6, COLUMN(J192:AVX192)-COLUMN(J192)+1 / (J192:AVX192="T"), F192)), "")</f>
        <v/>
      </c>
      <c r="F192" s="76">
        <f>$A$2</f>
        <v>2</v>
      </c>
      <c r="G192" s="35" cm="1">
        <f t="array" ref="G192">IFERROR(INDEX($J$5:$AVW$5,_xlfn.AGGREGATE(14,6,(COLUMN($J192:$AVW192)-COLUMN($J192)+1)/($J192:$AVW192="T"),1)),"")</f>
        <v>45976</v>
      </c>
      <c r="H192" s="79">
        <f>COUNTIF($J192:$AVV192,"T")</f>
        <v>1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hidden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t="str" cm="1">
        <f t="array" ref="E193">IFERROR(INDEX($J$5:$AVX$5, _xlfn.AGGREGATE(15,6, COLUMN(J193:AVX193)-COLUMN(J193)+1 / (J193:AVX193="T"), F193)), "")</f>
        <v/>
      </c>
      <c r="F193" s="76">
        <f>$A$2</f>
        <v>2</v>
      </c>
      <c r="G193" s="35" cm="1">
        <f t="array" ref="G193">IFERROR(INDEX($J$5:$AVW$5,_xlfn.AGGREGATE(14,6,(COLUMN($J193:$AVW193)-COLUMN($J193)+1)/($J193:$AVW193="T"),1)),"")</f>
        <v>45976</v>
      </c>
      <c r="H193" s="79">
        <f>COUNTIF($J193:$AVV193,"T")</f>
        <v>1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hidden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t="str" cm="1">
        <f t="array" ref="E194">IFERROR(INDEX($J$5:$AVX$5, _xlfn.AGGREGATE(15,6, COLUMN(J194:AVX194)-COLUMN(J194)+1 / (J194:AVX194="T"), F194)), "")</f>
        <v/>
      </c>
      <c r="F194" s="76">
        <f>$A$2</f>
        <v>2</v>
      </c>
      <c r="G194" s="35" cm="1">
        <f t="array" ref="G194">IFERROR(INDEX($J$5:$AVW$5,_xlfn.AGGREGATE(14,6,(COLUMN($J194:$AVW194)-COLUMN($J194)+1)/($J194:$AVW194="T"),1)),"")</f>
        <v>45976</v>
      </c>
      <c r="H194" s="79">
        <f>COUNTIF($J194:$AVV194,"T")</f>
        <v>1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hidden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t="str" cm="1">
        <f t="array" ref="E195">IFERROR(INDEX($J$5:$AVX$5, _xlfn.AGGREGATE(15,6, COLUMN(J195:AVX195)-COLUMN(J195)+1 / (J195:AVX195="T"), F195)), "")</f>
        <v/>
      </c>
      <c r="F195" s="76">
        <f>$A$2</f>
        <v>2</v>
      </c>
      <c r="G195" s="35" cm="1">
        <f t="array" ref="G195">IFERROR(INDEX($J$5:$AVW$5,_xlfn.AGGREGATE(14,6,(COLUMN($J195:$AVW195)-COLUMN($J195)+1)/($J195:$AVW195="T"),1)),"")</f>
        <v>45976</v>
      </c>
      <c r="H195" s="79">
        <f>COUNTIF($J195:$AVV195,"T")</f>
        <v>1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hidden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t="str" cm="1">
        <f t="array" ref="E196">IFERROR(INDEX($J$5:$AVX$5, _xlfn.AGGREGATE(15,6, COLUMN(J196:AVX196)-COLUMN(J196)+1 / (J196:AVX196="T"), F196)), "")</f>
        <v/>
      </c>
      <c r="F196" s="76">
        <f>$A$2</f>
        <v>2</v>
      </c>
      <c r="G196" s="35" cm="1">
        <f t="array" ref="G196">IFERROR(INDEX($J$5:$AVW$5,_xlfn.AGGREGATE(14,6,(COLUMN($J196:$AVW196)-COLUMN($J196)+1)/($J196:$AVW196="T"),1)),"")</f>
        <v>45976</v>
      </c>
      <c r="H196" s="79">
        <f>COUNTIF($J196:$AVV196,"T")</f>
        <v>1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hidden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t="str" cm="1">
        <f t="array" ref="E197">IFERROR(INDEX($J$5:$AVX$5, _xlfn.AGGREGATE(15,6, COLUMN(J197:AVX197)-COLUMN(J197)+1 / (J197:AVX197="T"), F197)), "")</f>
        <v/>
      </c>
      <c r="F197" s="76">
        <f>$A$2</f>
        <v>2</v>
      </c>
      <c r="G197" s="35" cm="1">
        <f t="array" ref="G197">IFERROR(INDEX($J$5:$AVW$5,_xlfn.AGGREGATE(14,6,(COLUMN($J197:$AVW197)-COLUMN($J197)+1)/($J197:$AVW197="T"),1)),"")</f>
        <v>45976</v>
      </c>
      <c r="H197" s="79">
        <f>COUNTIF($J197:$AVV197,"T")</f>
        <v>1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hidden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t="str" cm="1">
        <f t="array" ref="E198">IFERROR(INDEX($J$5:$AVX$5, _xlfn.AGGREGATE(15,6, COLUMN(J198:AVX198)-COLUMN(J198)+1 / (J198:AVX198="T"), F198)), "")</f>
        <v/>
      </c>
      <c r="F198" s="76">
        <f>$A$2</f>
        <v>2</v>
      </c>
      <c r="G198" s="35" cm="1">
        <f t="array" ref="G198">IFERROR(INDEX($J$5:$AVW$5,_xlfn.AGGREGATE(14,6,(COLUMN($J198:$AVW198)-COLUMN($J198)+1)/($J198:$AVW198="T"),1)),"")</f>
        <v>45976</v>
      </c>
      <c r="H198" s="79">
        <f>COUNTIF($J198:$AVV198,"T")</f>
        <v>1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hidden="1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t="str" cm="1">
        <f t="array" ref="E199">IFERROR(INDEX($J$5:$AVX$5, _xlfn.AGGREGATE(15,6, COLUMN(J199:AVX199)-COLUMN(J199)+1 / (J199:AVX199="T"), F199)), "")</f>
        <v/>
      </c>
      <c r="F199" s="76">
        <f>$A$2</f>
        <v>2</v>
      </c>
      <c r="G199" s="35" cm="1">
        <f t="array" ref="G199">IFERROR(INDEX($J$5:$AVW$5,_xlfn.AGGREGATE(14,6,(COLUMN($J199:$AVW199)-COLUMN($J199)+1)/($J199:$AVW199="T"),1)),"")</f>
        <v>45976</v>
      </c>
      <c r="H199" s="79">
        <f>COUNTIF($J199:$AVV199,"T")</f>
        <v>1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hidden="1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t="str" cm="1">
        <f t="array" ref="E200">IFERROR(INDEX($J$5:$AVX$5, _xlfn.AGGREGATE(15,6, COLUMN(J200:AVX200)-COLUMN(J200)+1 / (J200:AVX200="T"), F200)), "")</f>
        <v/>
      </c>
      <c r="F200" s="76">
        <f>$A$2</f>
        <v>2</v>
      </c>
      <c r="G200" s="35" cm="1">
        <f t="array" ref="G200">IFERROR(INDEX($J$5:$AVW$5,_xlfn.AGGREGATE(14,6,(COLUMN($J200:$AVW200)-COLUMN($J200)+1)/($J200:$AVW200="T"),1)),"")</f>
        <v>45975</v>
      </c>
      <c r="H200" s="79">
        <f>COUNTIF($J200:$AVV200,"T")</f>
        <v>1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hidden="1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t="str" cm="1">
        <f t="array" ref="E201">IFERROR(INDEX($J$5:$AVX$5, _xlfn.AGGREGATE(15,6, COLUMN(J201:AVX201)-COLUMN(J201)+1 / (J201:AVX201="T"), F201)), "")</f>
        <v/>
      </c>
      <c r="F201" s="76">
        <f>$A$2</f>
        <v>2</v>
      </c>
      <c r="G201" s="35" cm="1">
        <f t="array" ref="G201">IFERROR(INDEX($J$5:$AVW$5,_xlfn.AGGREGATE(14,6,(COLUMN($J201:$AVW201)-COLUMN($J201)+1)/($J201:$AVW201="T"),1)),"")</f>
        <v>45975</v>
      </c>
      <c r="H201" s="79">
        <f>COUNTIF($J201:$AVV201,"T")</f>
        <v>1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hidden="1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t="str" cm="1">
        <f t="array" ref="E202">IFERROR(INDEX($J$5:$AVX$5, _xlfn.AGGREGATE(15,6, COLUMN(J202:AVX202)-COLUMN(J202)+1 / (J202:AVX202="T"), F202)), "")</f>
        <v/>
      </c>
      <c r="F202" s="76">
        <f>$A$2</f>
        <v>2</v>
      </c>
      <c r="G202" s="35" cm="1">
        <f t="array" ref="G202">IFERROR(INDEX($J$5:$AVW$5,_xlfn.AGGREGATE(14,6,(COLUMN($J202:$AVW202)-COLUMN($J202)+1)/($J202:$AVW202="T"),1)),"")</f>
        <v>45975</v>
      </c>
      <c r="H202" s="79">
        <f>COUNTIF($J202:$AVV202,"T")</f>
        <v>1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hidden="1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t="str" cm="1">
        <f t="array" ref="E203">IFERROR(INDEX($J$5:$AVX$5, _xlfn.AGGREGATE(15,6, COLUMN(J203:AVX203)-COLUMN(J203)+1 / (J203:AVX203="T"), F203)), "")</f>
        <v/>
      </c>
      <c r="F203" s="76">
        <f>$A$2</f>
        <v>2</v>
      </c>
      <c r="G203" s="35" cm="1">
        <f t="array" ref="G203">IFERROR(INDEX($J$5:$AVW$5,_xlfn.AGGREGATE(14,6,(COLUMN($J203:$AVW203)-COLUMN($J203)+1)/($J203:$AVW203="T"),1)),"")</f>
        <v>45975</v>
      </c>
      <c r="H203" s="79">
        <f>COUNTIF($J203:$AVV203,"T")</f>
        <v>1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hidden="1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t="str" cm="1">
        <f t="array" ref="E204">IFERROR(INDEX($J$5:$AVX$5, _xlfn.AGGREGATE(15,6, COLUMN(J204:AVX204)-COLUMN(J204)+1 / (J204:AVX204="T"), F204)), "")</f>
        <v/>
      </c>
      <c r="F204" s="76">
        <f>$A$2</f>
        <v>2</v>
      </c>
      <c r="G204" s="35" cm="1">
        <f t="array" ref="G204">IFERROR(INDEX($J$5:$AVW$5,_xlfn.AGGREGATE(14,6,(COLUMN($J204:$AVW204)-COLUMN($J204)+1)/($J204:$AVW204="T"),1)),"")</f>
        <v>45975</v>
      </c>
      <c r="H204" s="79">
        <f>COUNTIF($J204:$AVV204,"T")</f>
        <v>1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hidden="1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t="str" cm="1">
        <f t="array" ref="E205">IFERROR(INDEX($J$5:$AVX$5, _xlfn.AGGREGATE(15,6, COLUMN(J205:AVX205)-COLUMN(J205)+1 / (J205:AVX205="T"), F205)), "")</f>
        <v/>
      </c>
      <c r="F205" s="76">
        <f>$A$2</f>
        <v>2</v>
      </c>
      <c r="G205" s="35" cm="1">
        <f t="array" ref="G205">IFERROR(INDEX($J$5:$AVW$5,_xlfn.AGGREGATE(14,6,(COLUMN($J205:$AVW205)-COLUMN($J205)+1)/($J205:$AVW205="T"),1)),"")</f>
        <v>45975</v>
      </c>
      <c r="H205" s="79">
        <f>COUNTIF($J205:$AVV205,"T")</f>
        <v>1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hidden="1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t="str" cm="1">
        <f t="array" ref="E206">IFERROR(INDEX($J$5:$AVX$5, _xlfn.AGGREGATE(15,6, COLUMN(J206:AVX206)-COLUMN(J206)+1 / (J206:AVX206="T"), F206)), "")</f>
        <v/>
      </c>
      <c r="F206" s="76">
        <f>$A$2</f>
        <v>2</v>
      </c>
      <c r="G206" s="35" cm="1">
        <f t="array" ref="G206">IFERROR(INDEX($J$5:$AVW$5,_xlfn.AGGREGATE(14,6,(COLUMN($J206:$AVW206)-COLUMN($J206)+1)/($J206:$AVW206="T"),1)),"")</f>
        <v>45975</v>
      </c>
      <c r="H206" s="79">
        <f>COUNTIF($J206:$AVV206,"T")</f>
        <v>1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hidden="1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t="str" cm="1">
        <f t="array" ref="E207">IFERROR(INDEX($J$5:$AVX$5, _xlfn.AGGREGATE(15,6, COLUMN(J207:AVX207)-COLUMN(J207)+1 / (J207:AVX207="T"), F207)), "")</f>
        <v/>
      </c>
      <c r="F207" s="76">
        <f>$A$2</f>
        <v>2</v>
      </c>
      <c r="G207" s="35" cm="1">
        <f t="array" ref="G207">IFERROR(INDEX($J$5:$AVW$5,_xlfn.AGGREGATE(14,6,(COLUMN($J207:$AVW207)-COLUMN($J207)+1)/($J207:$AVW207="T"),1)),"")</f>
        <v>45974</v>
      </c>
      <c r="H207" s="79">
        <f>COUNTIF($J207:$AVV207,"T")</f>
        <v>1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hidden="1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t="str" cm="1">
        <f t="array" ref="E208">IFERROR(INDEX($J$5:$AVX$5, _xlfn.AGGREGATE(15,6, COLUMN(J208:AVX208)-COLUMN(J208)+1 / (J208:AVX208="T"), F208)), "")</f>
        <v/>
      </c>
      <c r="F208" s="76">
        <f>$A$2</f>
        <v>2</v>
      </c>
      <c r="G208" s="35" cm="1">
        <f t="array" ref="G208">IFERROR(INDEX($J$5:$AVW$5,_xlfn.AGGREGATE(14,6,(COLUMN($J208:$AVW208)-COLUMN($J208)+1)/($J208:$AVW208="T"),1)),"")</f>
        <v>45974</v>
      </c>
      <c r="H208" s="79">
        <f>COUNTIF($J208:$AVV208,"T")</f>
        <v>1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hidden="1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t="str" cm="1">
        <f t="array" ref="E209">IFERROR(INDEX($J$5:$AVX$5, _xlfn.AGGREGATE(15,6, COLUMN(J209:AVX209)-COLUMN(J209)+1 / (J209:AVX209="T"), F209)), "")</f>
        <v/>
      </c>
      <c r="F209" s="76">
        <f>$A$2</f>
        <v>2</v>
      </c>
      <c r="G209" s="35" cm="1">
        <f t="array" ref="G209">IFERROR(INDEX($J$5:$AVW$5,_xlfn.AGGREGATE(14,6,(COLUMN($J209:$AVW209)-COLUMN($J209)+1)/($J209:$AVW209="T"),1)),"")</f>
        <v>45974</v>
      </c>
      <c r="H209" s="79">
        <f>COUNTIF($J209:$AVV209,"T")</f>
        <v>1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hidden="1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t="str" cm="1">
        <f t="array" ref="E210">IFERROR(INDEX($J$5:$AVX$5, _xlfn.AGGREGATE(15,6, COLUMN(J210:AVX210)-COLUMN(J210)+1 / (J210:AVX210="T"), F210)), "")</f>
        <v/>
      </c>
      <c r="F210" s="76">
        <f>$A$2</f>
        <v>2</v>
      </c>
      <c r="G210" s="35" cm="1">
        <f t="array" ref="G210">IFERROR(INDEX($J$5:$AVW$5,_xlfn.AGGREGATE(14,6,(COLUMN($J210:$AVW210)-COLUMN($J210)+1)/($J210:$AVW210="T"),1)),"")</f>
        <v>45974</v>
      </c>
      <c r="H210" s="79">
        <f>COUNTIF($J210:$AVV210,"T")</f>
        <v>1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hidden="1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t="str" cm="1">
        <f t="array" ref="E211">IFERROR(INDEX($J$5:$AVX$5, _xlfn.AGGREGATE(15,6, COLUMN(J211:AVX211)-COLUMN(J211)+1 / (J211:AVX211="T"), F211)), "")</f>
        <v/>
      </c>
      <c r="F211" s="76">
        <f>$A$2</f>
        <v>2</v>
      </c>
      <c r="G211" s="35" cm="1">
        <f t="array" ref="G211">IFERROR(INDEX($J$5:$AVW$5,_xlfn.AGGREGATE(14,6,(COLUMN($J211:$AVW211)-COLUMN($J211)+1)/($J211:$AVW211="T"),1)),"")</f>
        <v>45974</v>
      </c>
      <c r="H211" s="79">
        <f>COUNTIF($J211:$AVV211,"T")</f>
        <v>1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hidden="1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t="str" cm="1">
        <f t="array" ref="E212">IFERROR(INDEX($J$5:$AVX$5, _xlfn.AGGREGATE(15,6, COLUMN(J212:AVX212)-COLUMN(J212)+1 / (J212:AVX212="T"), F212)), "")</f>
        <v/>
      </c>
      <c r="F212" s="76">
        <f>$A$2</f>
        <v>2</v>
      </c>
      <c r="G212" s="35" cm="1">
        <f t="array" ref="G212">IFERROR(INDEX($J$5:$AVW$5,_xlfn.AGGREGATE(14,6,(COLUMN($J212:$AVW212)-COLUMN($J212)+1)/($J212:$AVW212="T"),1)),"")</f>
        <v>45974</v>
      </c>
      <c r="H212" s="79">
        <f>COUNTIF($J212:$AVV212,"T")</f>
        <v>1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hidden="1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t="str" cm="1">
        <f t="array" ref="E213">IFERROR(INDEX($J$5:$AVX$5, _xlfn.AGGREGATE(15,6, COLUMN(J213:AVX213)-COLUMN(J213)+1 / (J213:AVX213="T"), F213)), "")</f>
        <v/>
      </c>
      <c r="F213" s="76">
        <f>$A$2</f>
        <v>2</v>
      </c>
      <c r="G213" s="35" cm="1">
        <f t="array" ref="G213">IFERROR(INDEX($J$5:$AVW$5,_xlfn.AGGREGATE(14,6,(COLUMN($J213:$AVW213)-COLUMN($J213)+1)/($J213:$AVW213="T"),1)),"")</f>
        <v>45974</v>
      </c>
      <c r="H213" s="79">
        <f>COUNTIF($J213:$AVV213,"T")</f>
        <v>1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hidden="1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>$A$2</f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>COUNTIF($J214:$AVV214,"T")</f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hidden="1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>$A$2</f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>COUNTIF($J215:$AVV215,"T")</f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hidden="1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>$A$2</f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>COUNTIF($J216:$AVV216,"T")</f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hidden="1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>$A$2</f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>COUNTIF($J217:$AVV217,"T")</f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hidden="1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>$A$2</f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>COUNTIF($J218:$AVV218,"T")</f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hidden="1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>$A$2</f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>COUNTIF($J219:$AVV219,"T")</f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hidden="1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>$A$2</f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>COUNTIF($J220:$AVV220,"T")</f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hidden="1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>$A$2</f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>COUNTIF($J221:$AVV221,"T")</f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hidden="1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>$A$2</f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>COUNTIF($J222:$AVV222,"T")</f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hidden="1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>$A$2</f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>COUNTIF($J223:$AVV223,"T")</f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hidden="1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>$A$2</f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>COUNTIF($J224:$AVV224,"T")</f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hidden="1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>$A$2</f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>COUNTIF($J225:$AVV225,"T")</f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hidden="1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>$A$2</f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>COUNTIF($J226:$AVV226,"T")</f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hidden="1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>$A$2</f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>COUNTIF($J227:$AVV227,"T")</f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hidden="1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>$A$2</f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>COUNTIF($J228:$AVV228,"T")</f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hidden="1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>$A$2</f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>COUNTIF($J229:$AVV229,"T")</f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hidden="1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>$A$2</f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>COUNTIF($J230:$AVV230,"T")</f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hidden="1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>$A$2</f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>COUNTIF($J231:$AVV231,"T")</f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hidden="1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>$A$2</f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>COUNTIF($J232:$AVV232,"T")</f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hidden="1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>$A$2</f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>COUNTIF($J233:$AVV233,"T")</f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hidden="1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>$A$2</f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>COUNTIF($J234:$AVV234,"T")</f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filterColumn colId="6">
      <filters>
        <dateGroupItem year="2025" month="12" day="6" dateTimeGrouping="day"/>
      </filters>
    </filterColumn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896" priority="608">
      <formula>LEN(TRIM(E14))=0</formula>
    </cfRule>
  </conditionalFormatting>
  <conditionalFormatting sqref="J114:J119">
    <cfRule type="containsText" dxfId="895" priority="603" operator="containsText" text="T">
      <formula>NOT(ISERROR(SEARCH("T",J114)))</formula>
    </cfRule>
  </conditionalFormatting>
  <conditionalFormatting sqref="J120:M126">
    <cfRule type="containsText" dxfId="894" priority="144" operator="containsText" text="T">
      <formula>NOT(ISERROR(SEARCH("T",J120)))</formula>
    </cfRule>
  </conditionalFormatting>
  <conditionalFormatting sqref="J113:T113">
    <cfRule type="containsText" dxfId="893" priority="595" operator="containsText" text="17">
      <formula>NOT(ISERROR(SEARCH("17",J113)))</formula>
    </cfRule>
    <cfRule type="containsText" dxfId="892" priority="596" operator="containsText" text="T">
      <formula>NOT(ISERROR(SEARCH("T",J113)))</formula>
    </cfRule>
  </conditionalFormatting>
  <conditionalFormatting sqref="J67:X68">
    <cfRule type="containsText" dxfId="891" priority="540" operator="containsText" text="17">
      <formula>NOT(ISERROR(SEARCH("17",J67)))</formula>
    </cfRule>
  </conditionalFormatting>
  <conditionalFormatting sqref="J97:X98">
    <cfRule type="containsText" dxfId="890" priority="530" operator="containsText" text="17">
      <formula>NOT(ISERROR(SEARCH("17",J97)))</formula>
    </cfRule>
  </conditionalFormatting>
  <conditionalFormatting sqref="J67:Z68">
    <cfRule type="containsText" dxfId="889" priority="534" operator="containsText" text="T">
      <formula>NOT(ISERROR(SEARCH("T",J67)))</formula>
    </cfRule>
  </conditionalFormatting>
  <conditionalFormatting sqref="J97:Z98">
    <cfRule type="containsText" dxfId="888" priority="524" operator="containsText" text="T">
      <formula>NOT(ISERROR(SEARCH("T",J97)))</formula>
    </cfRule>
  </conditionalFormatting>
  <conditionalFormatting sqref="J127:Z130">
    <cfRule type="containsText" dxfId="887" priority="504" operator="containsText" text="T">
      <formula>NOT(ISERROR(SEARCH("T",J127)))</formula>
    </cfRule>
  </conditionalFormatting>
  <conditionalFormatting sqref="J114:AD119 J113:R113">
    <cfRule type="containsText" dxfId="886" priority="602" operator="containsText" text="17">
      <formula>NOT(ISERROR(SEARCH("17",J113)))</formula>
    </cfRule>
  </conditionalFormatting>
  <conditionalFormatting sqref="J48:AO49">
    <cfRule type="containsText" dxfId="885" priority="277" operator="containsText" text="17">
      <formula>NOT(ISERROR(SEARCH("17",J48)))</formula>
    </cfRule>
  </conditionalFormatting>
  <conditionalFormatting sqref="J63:AP66">
    <cfRule type="containsText" dxfId="884" priority="257" operator="containsText" text="17">
      <formula>NOT(ISERROR(SEARCH("17",J63)))</formula>
    </cfRule>
  </conditionalFormatting>
  <conditionalFormatting sqref="J48:AQ49">
    <cfRule type="containsText" dxfId="883" priority="271" operator="containsText" text="T">
      <formula>NOT(ISERROR(SEARCH("T",J48)))</formula>
    </cfRule>
  </conditionalFormatting>
  <conditionalFormatting sqref="J59:AQ62">
    <cfRule type="containsText" dxfId="882" priority="243" operator="containsText" text="17">
      <formula>NOT(ISERROR(SEARCH("17",J59)))</formula>
    </cfRule>
  </conditionalFormatting>
  <conditionalFormatting sqref="J86:AQ89">
    <cfRule type="containsText" dxfId="881" priority="233" operator="containsText" text="17">
      <formula>NOT(ISERROR(SEARCH("17",J86)))</formula>
    </cfRule>
  </conditionalFormatting>
  <conditionalFormatting sqref="J50:AR53">
    <cfRule type="containsText" dxfId="880" priority="261" operator="containsText" text="T">
      <formula>NOT(ISERROR(SEARCH("T",J50)))</formula>
    </cfRule>
  </conditionalFormatting>
  <conditionalFormatting sqref="J63:AR66">
    <cfRule type="containsText" dxfId="879" priority="251" operator="containsText" text="T">
      <formula>NOT(ISERROR(SEARCH("T",J63)))</formula>
    </cfRule>
  </conditionalFormatting>
  <conditionalFormatting sqref="J83:AR85">
    <cfRule type="containsText" dxfId="878" priority="223" operator="containsText" text="17">
      <formula>NOT(ISERROR(SEARCH("17",J83)))</formula>
    </cfRule>
  </conditionalFormatting>
  <conditionalFormatting sqref="J214:AR217">
    <cfRule type="containsText" dxfId="877" priority="213" operator="containsText" text="17">
      <formula>NOT(ISERROR(SEARCH("17",J214)))</formula>
    </cfRule>
  </conditionalFormatting>
  <conditionalFormatting sqref="J59:AS62">
    <cfRule type="containsText" dxfId="876" priority="237" operator="containsText" text="T">
      <formula>NOT(ISERROR(SEARCH("T",J59)))</formula>
    </cfRule>
  </conditionalFormatting>
  <conditionalFormatting sqref="J86:AS89">
    <cfRule type="containsText" dxfId="875" priority="227" operator="containsText" text="T">
      <formula>NOT(ISERROR(SEARCH("T",J86)))</formula>
    </cfRule>
  </conditionalFormatting>
  <conditionalFormatting sqref="J218:AS224">
    <cfRule type="containsText" dxfId="874" priority="203" operator="containsText" text="17">
      <formula>NOT(ISERROR(SEARCH("17",J218)))</formula>
    </cfRule>
  </conditionalFormatting>
  <conditionalFormatting sqref="J83:AT85">
    <cfRule type="containsText" dxfId="873" priority="217" operator="containsText" text="T">
      <formula>NOT(ISERROR(SEARCH("T",J83)))</formula>
    </cfRule>
  </conditionalFormatting>
  <conditionalFormatting sqref="J214:AT217">
    <cfRule type="containsText" dxfId="872" priority="207" operator="containsText" text="T">
      <formula>NOT(ISERROR(SEARCH("T",J214)))</formula>
    </cfRule>
  </conditionalFormatting>
  <conditionalFormatting sqref="J225:AT231">
    <cfRule type="containsText" dxfId="871" priority="193" operator="containsText" text="17">
      <formula>NOT(ISERROR(SEARCH("17",J225)))</formula>
    </cfRule>
  </conditionalFormatting>
  <conditionalFormatting sqref="J218:AU224">
    <cfRule type="containsText" dxfId="870" priority="197" operator="containsText" text="T">
      <formula>NOT(ISERROR(SEARCH("T",J218)))</formula>
    </cfRule>
  </conditionalFormatting>
  <conditionalFormatting sqref="J232:AU234">
    <cfRule type="containsText" dxfId="869" priority="183" operator="containsText" text="17">
      <formula>NOT(ISERROR(SEARCH("17",J232)))</formula>
    </cfRule>
  </conditionalFormatting>
  <conditionalFormatting sqref="J225:AV231">
    <cfRule type="containsText" dxfId="868" priority="187" operator="containsText" text="T">
      <formula>NOT(ISERROR(SEARCH("T",J225)))</formula>
    </cfRule>
  </conditionalFormatting>
  <conditionalFormatting sqref="J232:AW234">
    <cfRule type="containsText" dxfId="867" priority="177" operator="containsText" text="T">
      <formula>NOT(ISERROR(SEARCH("T",J232)))</formula>
    </cfRule>
  </conditionalFormatting>
  <conditionalFormatting sqref="K77:K82">
    <cfRule type="containsText" dxfId="866" priority="590" operator="containsText" text="T">
      <formula>NOT(ISERROR(SEARCH("T",K77)))</formula>
    </cfRule>
  </conditionalFormatting>
  <conditionalFormatting sqref="K76:U76">
    <cfRule type="containsText" dxfId="865" priority="582" operator="containsText" text="17">
      <formula>NOT(ISERROR(SEARCH("17",K76)))</formula>
    </cfRule>
    <cfRule type="containsText" dxfId="864" priority="583" operator="containsText" text="T">
      <formula>NOT(ISERROR(SEARCH("T",K76)))</formula>
    </cfRule>
  </conditionalFormatting>
  <conditionalFormatting sqref="K77:AE82 K76:S76">
    <cfRule type="containsText" dxfId="863" priority="589" operator="containsText" text="17">
      <formula>NOT(ISERROR(SEARCH("17",K76)))</formula>
    </cfRule>
  </conditionalFormatting>
  <conditionalFormatting sqref="L107:L112">
    <cfRule type="containsText" dxfId="862" priority="577" operator="containsText" text="T">
      <formula>NOT(ISERROR(SEARCH("T",L107)))</formula>
    </cfRule>
  </conditionalFormatting>
  <conditionalFormatting sqref="L106:V106">
    <cfRule type="containsText" dxfId="861" priority="569" operator="containsText" text="17">
      <formula>NOT(ISERROR(SEARCH("17",L106)))</formula>
    </cfRule>
    <cfRule type="containsText" dxfId="860" priority="570" operator="containsText" text="T">
      <formula>NOT(ISERROR(SEARCH("T",L106)))</formula>
    </cfRule>
  </conditionalFormatting>
  <conditionalFormatting sqref="L107:AF112 L106:T106">
    <cfRule type="containsText" dxfId="859" priority="576" operator="containsText" text="17">
      <formula>NOT(ISERROR(SEARCH("17",L106)))</formula>
    </cfRule>
  </conditionalFormatting>
  <conditionalFormatting sqref="M120:AG126 AJ120:AJ126">
    <cfRule type="containsText" dxfId="858" priority="141" operator="containsText" text="T">
      <formula>NOT(ISERROR(SEARCH("T",M120)))</formula>
    </cfRule>
  </conditionalFormatting>
  <conditionalFormatting sqref="M120:AG126">
    <cfRule type="containsText" dxfId="857" priority="143" operator="containsText" text="17">
      <formula>NOT(ISERROR(SEARCH("17",M120)))</formula>
    </cfRule>
  </conditionalFormatting>
  <conditionalFormatting sqref="N70:N75">
    <cfRule type="containsText" dxfId="856" priority="564" operator="containsText" text="T">
      <formula>NOT(ISERROR(SEARCH("T",N70)))</formula>
    </cfRule>
  </conditionalFormatting>
  <conditionalFormatting sqref="N69:X69">
    <cfRule type="containsText" dxfId="855" priority="556" operator="containsText" text="17">
      <formula>NOT(ISERROR(SEARCH("17",N69)))</formula>
    </cfRule>
    <cfRule type="containsText" dxfId="854" priority="557" operator="containsText" text="T">
      <formula>NOT(ISERROR(SEARCH("T",N69)))</formula>
    </cfRule>
  </conditionalFormatting>
  <conditionalFormatting sqref="N70:AH75 N69:V69">
    <cfRule type="containsText" dxfId="853" priority="563" operator="containsText" text="17">
      <formula>NOT(ISERROR(SEARCH("17",N69)))</formula>
    </cfRule>
  </conditionalFormatting>
  <conditionalFormatting sqref="O100:O105">
    <cfRule type="containsText" dxfId="852" priority="551" operator="containsText" text="T">
      <formula>NOT(ISERROR(SEARCH("T",O100)))</formula>
    </cfRule>
  </conditionalFormatting>
  <conditionalFormatting sqref="O99:Y99">
    <cfRule type="containsText" dxfId="851" priority="543" operator="containsText" text="17">
      <formula>NOT(ISERROR(SEARCH("17",O99)))</formula>
    </cfRule>
    <cfRule type="containsText" dxfId="850" priority="544" operator="containsText" text="T">
      <formula>NOT(ISERROR(SEARCH("T",O99)))</formula>
    </cfRule>
  </conditionalFormatting>
  <conditionalFormatting sqref="O100:AI105 O99:W99">
    <cfRule type="containsText" dxfId="849" priority="550" operator="containsText" text="17">
      <formula>NOT(ISERROR(SEARCH("17",O99)))</formula>
    </cfRule>
  </conditionalFormatting>
  <conditionalFormatting sqref="P67:Z68">
    <cfRule type="containsText" dxfId="848" priority="533" operator="containsText" text="17">
      <formula>NOT(ISERROR(SEARCH("17",P67)))</formula>
    </cfRule>
  </conditionalFormatting>
  <conditionalFormatting sqref="P97:Z98">
    <cfRule type="containsText" dxfId="847" priority="523" operator="containsText" text="17">
      <formula>NOT(ISERROR(SEARCH("17",P97)))</formula>
    </cfRule>
  </conditionalFormatting>
  <conditionalFormatting sqref="P127:Z130">
    <cfRule type="containsText" dxfId="846" priority="503" operator="containsText" text="17">
      <formula>NOT(ISERROR(SEARCH("17",P127)))</formula>
    </cfRule>
  </conditionalFormatting>
  <conditionalFormatting sqref="Q132:Q137">
    <cfRule type="containsText" dxfId="845" priority="498" operator="containsText" text="T">
      <formula>NOT(ISERROR(SEARCH("T",Q132)))</formula>
    </cfRule>
  </conditionalFormatting>
  <conditionalFormatting sqref="Q131:AA131">
    <cfRule type="containsText" dxfId="844" priority="490" operator="containsText" text="17">
      <formula>NOT(ISERROR(SEARCH("17",Q131)))</formula>
    </cfRule>
    <cfRule type="containsText" dxfId="843" priority="491" operator="containsText" text="T">
      <formula>NOT(ISERROR(SEARCH("T",Q131)))</formula>
    </cfRule>
  </conditionalFormatting>
  <conditionalFormatting sqref="Q132:AK137 Q131:Y131">
    <cfRule type="containsText" dxfId="842" priority="497" operator="containsText" text="17">
      <formula>NOT(ISERROR(SEARCH("17",Q131)))</formula>
    </cfRule>
  </conditionalFormatting>
  <conditionalFormatting sqref="R139:R144">
    <cfRule type="containsText" dxfId="841" priority="485" operator="containsText" text="T">
      <formula>NOT(ISERROR(SEARCH("T",R139)))</formula>
    </cfRule>
  </conditionalFormatting>
  <conditionalFormatting sqref="R138:AB138">
    <cfRule type="containsText" dxfId="840" priority="477" operator="containsText" text="17">
      <formula>NOT(ISERROR(SEARCH("17",R138)))</formula>
    </cfRule>
    <cfRule type="containsText" dxfId="839" priority="478" operator="containsText" text="T">
      <formula>NOT(ISERROR(SEARCH("T",R138)))</formula>
    </cfRule>
  </conditionalFormatting>
  <conditionalFormatting sqref="R139:AL144 R138:Z138">
    <cfRule type="containsText" dxfId="838" priority="484" operator="containsText" text="17">
      <formula>NOT(ISERROR(SEARCH("17",R138)))</formula>
    </cfRule>
  </conditionalFormatting>
  <conditionalFormatting sqref="S146:S151">
    <cfRule type="containsText" dxfId="837" priority="472" operator="containsText" text="T">
      <formula>NOT(ISERROR(SEARCH("T",S146)))</formula>
    </cfRule>
  </conditionalFormatting>
  <conditionalFormatting sqref="S145:AC145">
    <cfRule type="containsText" dxfId="836" priority="464" operator="containsText" text="17">
      <formula>NOT(ISERROR(SEARCH("17",S145)))</formula>
    </cfRule>
    <cfRule type="containsText" dxfId="835" priority="465" operator="containsText" text="T">
      <formula>NOT(ISERROR(SEARCH("T",S145)))</formula>
    </cfRule>
  </conditionalFormatting>
  <conditionalFormatting sqref="S146:AM151 S145:AA145">
    <cfRule type="containsText" dxfId="834" priority="471" operator="containsText" text="17">
      <formula>NOT(ISERROR(SEARCH("17",S145)))</formula>
    </cfRule>
  </conditionalFormatting>
  <conditionalFormatting sqref="T153:T158">
    <cfRule type="containsText" dxfId="833" priority="459" operator="containsText" text="T">
      <formula>NOT(ISERROR(SEARCH("T",T153)))</formula>
    </cfRule>
  </conditionalFormatting>
  <conditionalFormatting sqref="T152:AD152">
    <cfRule type="containsText" dxfId="832" priority="451" operator="containsText" text="17">
      <formula>NOT(ISERROR(SEARCH("17",T152)))</formula>
    </cfRule>
    <cfRule type="containsText" dxfId="831" priority="452" operator="containsText" text="T">
      <formula>NOT(ISERROR(SEARCH("T",T152)))</formula>
    </cfRule>
  </conditionalFormatting>
  <conditionalFormatting sqref="T153:AN158 T152:AB152">
    <cfRule type="containsText" dxfId="830" priority="458" operator="containsText" text="17">
      <formula>NOT(ISERROR(SEARCH("17",T152)))</formula>
    </cfRule>
  </conditionalFormatting>
  <conditionalFormatting sqref="U160:U165">
    <cfRule type="containsText" dxfId="829" priority="446" operator="containsText" text="T">
      <formula>NOT(ISERROR(SEARCH("T",U160)))</formula>
    </cfRule>
  </conditionalFormatting>
  <conditionalFormatting sqref="U113:AA113">
    <cfRule type="containsText" dxfId="828" priority="604" operator="containsText" text="17">
      <formula>NOT(ISERROR(SEARCH("17",U113)))</formula>
    </cfRule>
    <cfRule type="containsText" dxfId="827" priority="605" operator="containsText" text="T">
      <formula>NOT(ISERROR(SEARCH("T",U113)))</formula>
    </cfRule>
  </conditionalFormatting>
  <conditionalFormatting sqref="U159:AE159">
    <cfRule type="containsText" dxfId="826" priority="438" operator="containsText" text="17">
      <formula>NOT(ISERROR(SEARCH("17",U159)))</formula>
    </cfRule>
    <cfRule type="containsText" dxfId="825" priority="439" operator="containsText" text="T">
      <formula>NOT(ISERROR(SEARCH("T",U159)))</formula>
    </cfRule>
  </conditionalFormatting>
  <conditionalFormatting sqref="U160:AO165 U159:AC159">
    <cfRule type="containsText" dxfId="824" priority="445" operator="containsText" text="17">
      <formula>NOT(ISERROR(SEARCH("17",U159)))</formula>
    </cfRule>
  </conditionalFormatting>
  <conditionalFormatting sqref="V113">
    <cfRule type="containsText" dxfId="823" priority="600" operator="containsText" text="17">
      <formula>NOT(ISERROR(SEARCH("17",V113)))</formula>
    </cfRule>
    <cfRule type="containsText" dxfId="822" priority="601" operator="containsText" text="T">
      <formula>NOT(ISERROR(SEARCH("T",V113)))</formula>
    </cfRule>
  </conditionalFormatting>
  <conditionalFormatting sqref="V208:V213">
    <cfRule type="containsText" dxfId="821" priority="433" operator="containsText" text="T">
      <formula>NOT(ISERROR(SEARCH("T",V208)))</formula>
    </cfRule>
  </conditionalFormatting>
  <conditionalFormatting sqref="V76:AB76">
    <cfRule type="containsText" dxfId="820" priority="591" operator="containsText" text="17">
      <formula>NOT(ISERROR(SEARCH("17",V76)))</formula>
    </cfRule>
    <cfRule type="containsText" dxfId="819" priority="592" operator="containsText" text="T">
      <formula>NOT(ISERROR(SEARCH("T",V76)))</formula>
    </cfRule>
  </conditionalFormatting>
  <conditionalFormatting sqref="V207:AF207">
    <cfRule type="containsText" dxfId="818" priority="425" operator="containsText" text="17">
      <formula>NOT(ISERROR(SEARCH("17",V207)))</formula>
    </cfRule>
    <cfRule type="containsText" dxfId="817" priority="426" operator="containsText" text="T">
      <formula>NOT(ISERROR(SEARCH("T",V207)))</formula>
    </cfRule>
  </conditionalFormatting>
  <conditionalFormatting sqref="V208:AP213 V207:AD207">
    <cfRule type="containsText" dxfId="816" priority="432" operator="containsText" text="17">
      <formula>NOT(ISERROR(SEARCH("17",V207)))</formula>
    </cfRule>
  </conditionalFormatting>
  <conditionalFormatting sqref="W76">
    <cfRule type="containsText" dxfId="815" priority="587" operator="containsText" text="17">
      <formula>NOT(ISERROR(SEARCH("17",W76)))</formula>
    </cfRule>
    <cfRule type="containsText" dxfId="814" priority="588" operator="containsText" text="T">
      <formula>NOT(ISERROR(SEARCH("T",W76)))</formula>
    </cfRule>
  </conditionalFormatting>
  <conditionalFormatting sqref="W201:W206">
    <cfRule type="containsText" dxfId="813" priority="420" operator="containsText" text="T">
      <formula>NOT(ISERROR(SEARCH("T",W201)))</formula>
    </cfRule>
  </conditionalFormatting>
  <conditionalFormatting sqref="W106:AC106">
    <cfRule type="containsText" dxfId="812" priority="578" operator="containsText" text="17">
      <formula>NOT(ISERROR(SEARCH("17",W106)))</formula>
    </cfRule>
    <cfRule type="containsText" dxfId="811" priority="579" operator="containsText" text="T">
      <formula>NOT(ISERROR(SEARCH("T",W106)))</formula>
    </cfRule>
  </conditionalFormatting>
  <conditionalFormatting sqref="W200:AG200">
    <cfRule type="containsText" dxfId="810" priority="412" operator="containsText" text="17">
      <formula>NOT(ISERROR(SEARCH("17",W200)))</formula>
    </cfRule>
    <cfRule type="containsText" dxfId="809" priority="413" operator="containsText" text="T">
      <formula>NOT(ISERROR(SEARCH("T",W200)))</formula>
    </cfRule>
  </conditionalFormatting>
  <conditionalFormatting sqref="W201:AQ206 W200:AE200">
    <cfRule type="containsText" dxfId="808" priority="419" operator="containsText" text="17">
      <formula>NOT(ISERROR(SEARCH("17",W200)))</formula>
    </cfRule>
  </conditionalFormatting>
  <conditionalFormatting sqref="X106">
    <cfRule type="containsText" dxfId="807" priority="574" operator="containsText" text="17">
      <formula>NOT(ISERROR(SEARCH("17",X106)))</formula>
    </cfRule>
    <cfRule type="containsText" dxfId="806" priority="575" operator="containsText" text="T">
      <formula>NOT(ISERROR(SEARCH("T",X106)))</formula>
    </cfRule>
  </conditionalFormatting>
  <conditionalFormatting sqref="X194:X199">
    <cfRule type="containsText" dxfId="805" priority="407" operator="containsText" text="T">
      <formula>NOT(ISERROR(SEARCH("T",X194)))</formula>
    </cfRule>
  </conditionalFormatting>
  <conditionalFormatting sqref="X192:AH193">
    <cfRule type="containsText" dxfId="804" priority="394" operator="containsText" text="17">
      <formula>NOT(ISERROR(SEARCH("17",X192)))</formula>
    </cfRule>
    <cfRule type="containsText" dxfId="803" priority="395" operator="containsText" text="T">
      <formula>NOT(ISERROR(SEARCH("T",X192)))</formula>
    </cfRule>
  </conditionalFormatting>
  <conditionalFormatting sqref="Y169:Y174">
    <cfRule type="containsText" dxfId="802" priority="389" operator="containsText" text="T">
      <formula>NOT(ISERROR(SEARCH("T",Y169)))</formula>
    </cfRule>
  </conditionalFormatting>
  <conditionalFormatting sqref="Y69:AE69">
    <cfRule type="containsText" dxfId="801" priority="565" operator="containsText" text="17">
      <formula>NOT(ISERROR(SEARCH("17",Y69)))</formula>
    </cfRule>
    <cfRule type="containsText" dxfId="800" priority="566" operator="containsText" text="T">
      <formula>NOT(ISERROR(SEARCH("T",Y69)))</formula>
    </cfRule>
  </conditionalFormatting>
  <conditionalFormatting sqref="Y168:AI168">
    <cfRule type="containsText" dxfId="799" priority="381" operator="containsText" text="17">
      <formula>NOT(ISERROR(SEARCH("17",Y168)))</formula>
    </cfRule>
    <cfRule type="containsText" dxfId="798" priority="382" operator="containsText" text="T">
      <formula>NOT(ISERROR(SEARCH("T",Y168)))</formula>
    </cfRule>
  </conditionalFormatting>
  <conditionalFormatting sqref="Y169:AS174 Y168:AG168">
    <cfRule type="containsText" dxfId="797" priority="388" operator="containsText" text="17">
      <formula>NOT(ISERROR(SEARCH("17",Y168)))</formula>
    </cfRule>
  </conditionalFormatting>
  <conditionalFormatting sqref="Z69">
    <cfRule type="containsText" dxfId="796" priority="561" operator="containsText" text="17">
      <formula>NOT(ISERROR(SEARCH("17",Z69)))</formula>
    </cfRule>
    <cfRule type="containsText" dxfId="795" priority="562" operator="containsText" text="T">
      <formula>NOT(ISERROR(SEARCH("T",Z69)))</formula>
    </cfRule>
  </conditionalFormatting>
  <conditionalFormatting sqref="Z176:Z181">
    <cfRule type="containsText" dxfId="794" priority="376" operator="containsText" text="T">
      <formula>NOT(ISERROR(SEARCH("T",Z176)))</formula>
    </cfRule>
  </conditionalFormatting>
  <conditionalFormatting sqref="Z99:AF99">
    <cfRule type="containsText" dxfId="793" priority="552" operator="containsText" text="17">
      <formula>NOT(ISERROR(SEARCH("17",Z99)))</formula>
    </cfRule>
    <cfRule type="containsText" dxfId="792" priority="553" operator="containsText" text="T">
      <formula>NOT(ISERROR(SEARCH("T",Z99)))</formula>
    </cfRule>
  </conditionalFormatting>
  <conditionalFormatting sqref="Z175:AJ175">
    <cfRule type="containsText" dxfId="791" priority="368" operator="containsText" text="17">
      <formula>NOT(ISERROR(SEARCH("17",Z175)))</formula>
    </cfRule>
    <cfRule type="containsText" dxfId="790" priority="369" operator="containsText" text="T">
      <formula>NOT(ISERROR(SEARCH("T",Z175)))</formula>
    </cfRule>
  </conditionalFormatting>
  <conditionalFormatting sqref="Z176:AT181 Z175:AH175">
    <cfRule type="containsText" dxfId="789" priority="375" operator="containsText" text="17">
      <formula>NOT(ISERROR(SEARCH("17",Z175)))</formula>
    </cfRule>
  </conditionalFormatting>
  <conditionalFormatting sqref="AA99">
    <cfRule type="containsText" dxfId="788" priority="548" operator="containsText" text="17">
      <formula>NOT(ISERROR(SEARCH("17",AA99)))</formula>
    </cfRule>
    <cfRule type="containsText" dxfId="787" priority="549" operator="containsText" text="T">
      <formula>NOT(ISERROR(SEARCH("T",AA99)))</formula>
    </cfRule>
  </conditionalFormatting>
  <conditionalFormatting sqref="AA113 AE113:AG113 J114:AD119 AG114:AG119">
    <cfRule type="containsText" dxfId="786" priority="597" operator="containsText" text="T">
      <formula>NOT(ISERROR(SEARCH("T",J113)))</formula>
    </cfRule>
  </conditionalFormatting>
  <conditionalFormatting sqref="AA183:AA190">
    <cfRule type="containsText" dxfId="785" priority="363" operator="containsText" text="T">
      <formula>NOT(ISERROR(SEARCH("T",AA183)))</formula>
    </cfRule>
  </conditionalFormatting>
  <conditionalFormatting sqref="AA113:AB113 AE113:AG113 AG114:AG119">
    <cfRule type="containsText" dxfId="784" priority="598" operator="containsText" text="17">
      <formula>NOT(ISERROR(SEARCH("17",AA113)))</formula>
    </cfRule>
  </conditionalFormatting>
  <conditionalFormatting sqref="AA67:AG68">
    <cfRule type="containsText" dxfId="783" priority="541" operator="containsText" text="17">
      <formula>NOT(ISERROR(SEARCH("17",AA67)))</formula>
    </cfRule>
    <cfRule type="containsText" dxfId="782" priority="542" operator="containsText" text="T">
      <formula>NOT(ISERROR(SEARCH("T",AA67)))</formula>
    </cfRule>
  </conditionalFormatting>
  <conditionalFormatting sqref="AA97:AG98">
    <cfRule type="containsText" dxfId="781" priority="531" operator="containsText" text="17">
      <formula>NOT(ISERROR(SEARCH("17",AA97)))</formula>
    </cfRule>
    <cfRule type="containsText" dxfId="780" priority="532" operator="containsText" text="T">
      <formula>NOT(ISERROR(SEARCH("T",AA97)))</formula>
    </cfRule>
  </conditionalFormatting>
  <conditionalFormatting sqref="AA127:AG130">
    <cfRule type="containsText" dxfId="779" priority="511" operator="containsText" text="17">
      <formula>NOT(ISERROR(SEARCH("17",AA127)))</formula>
    </cfRule>
    <cfRule type="containsText" dxfId="778" priority="512" operator="containsText" text="T">
      <formula>NOT(ISERROR(SEARCH("T",AA127)))</formula>
    </cfRule>
  </conditionalFormatting>
  <conditionalFormatting sqref="AA182:AK182">
    <cfRule type="containsText" dxfId="777" priority="355" operator="containsText" text="17">
      <formula>NOT(ISERROR(SEARCH("17",AA182)))</formula>
    </cfRule>
    <cfRule type="containsText" dxfId="776" priority="356" operator="containsText" text="T">
      <formula>NOT(ISERROR(SEARCH("T",AA182)))</formula>
    </cfRule>
  </conditionalFormatting>
  <conditionalFormatting sqref="AA183:AU190 AA182:AI182">
    <cfRule type="containsText" dxfId="775" priority="362" operator="containsText" text="17">
      <formula>NOT(ISERROR(SEARCH("17",AA182)))</formula>
    </cfRule>
  </conditionalFormatting>
  <conditionalFormatting sqref="AB67:AB68">
    <cfRule type="containsText" dxfId="774" priority="538" operator="containsText" text="17">
      <formula>NOT(ISERROR(SEARCH("17",AB67)))</formula>
    </cfRule>
    <cfRule type="containsText" dxfId="773" priority="539" operator="containsText" text="T">
      <formula>NOT(ISERROR(SEARCH("T",AB67)))</formula>
    </cfRule>
  </conditionalFormatting>
  <conditionalFormatting sqref="AB76 AF76:AH76 K77:AE82 AH77:AH82">
    <cfRule type="containsText" dxfId="772" priority="584" operator="containsText" text="T">
      <formula>NOT(ISERROR(SEARCH("T",K76)))</formula>
    </cfRule>
  </conditionalFormatting>
  <conditionalFormatting sqref="AB91:AB96">
    <cfRule type="containsText" dxfId="771" priority="350" operator="containsText" text="T">
      <formula>NOT(ISERROR(SEARCH("T",AB91)))</formula>
    </cfRule>
  </conditionalFormatting>
  <conditionalFormatting sqref="AB97:AB98">
    <cfRule type="containsText" dxfId="770" priority="528" operator="containsText" text="17">
      <formula>NOT(ISERROR(SEARCH("17",AB97)))</formula>
    </cfRule>
    <cfRule type="containsText" dxfId="769" priority="529" operator="containsText" text="T">
      <formula>NOT(ISERROR(SEARCH("T",AB97)))</formula>
    </cfRule>
  </conditionalFormatting>
  <conditionalFormatting sqref="AB113">
    <cfRule type="containsText" dxfId="768" priority="599" operator="containsText" text="T">
      <formula>NOT(ISERROR(SEARCH("T",AB113)))</formula>
    </cfRule>
  </conditionalFormatting>
  <conditionalFormatting sqref="AB127:AB130">
    <cfRule type="containsText" dxfId="767" priority="508" operator="containsText" text="17">
      <formula>NOT(ISERROR(SEARCH("17",AB127)))</formula>
    </cfRule>
    <cfRule type="containsText" dxfId="766" priority="509" operator="containsText" text="T">
      <formula>NOT(ISERROR(SEARCH("T",AB127)))</formula>
    </cfRule>
  </conditionalFormatting>
  <conditionalFormatting sqref="AB76:AC76 AF76:AH76 AH77:AH82">
    <cfRule type="containsText" dxfId="765" priority="585" operator="containsText" text="17">
      <formula>NOT(ISERROR(SEARCH("17",AB76)))</formula>
    </cfRule>
  </conditionalFormatting>
  <conditionalFormatting sqref="AB131:AH131">
    <cfRule type="containsText" dxfId="764" priority="499" operator="containsText" text="17">
      <formula>NOT(ISERROR(SEARCH("17",AB131)))</formula>
    </cfRule>
    <cfRule type="containsText" dxfId="763" priority="500" operator="containsText" text="T">
      <formula>NOT(ISERROR(SEARCH("T",AB131)))</formula>
    </cfRule>
  </conditionalFormatting>
  <conditionalFormatting sqref="AB90:AL90">
    <cfRule type="containsText" dxfId="762" priority="342" operator="containsText" text="17">
      <formula>NOT(ISERROR(SEARCH("17",AB90)))</formula>
    </cfRule>
    <cfRule type="containsText" dxfId="761" priority="343" operator="containsText" text="T">
      <formula>NOT(ISERROR(SEARCH("T",AB90)))</formula>
    </cfRule>
  </conditionalFormatting>
  <conditionalFormatting sqref="AB91:AV96 AB90:AJ90">
    <cfRule type="containsText" dxfId="760" priority="349" operator="containsText" text="17">
      <formula>NOT(ISERROR(SEARCH("17",AB90)))</formula>
    </cfRule>
  </conditionalFormatting>
  <conditionalFormatting sqref="AC15:AC20">
    <cfRule type="containsText" dxfId="759" priority="337" operator="containsText" text="T">
      <formula>NOT(ISERROR(SEARCH("T",AC15)))</formula>
    </cfRule>
  </conditionalFormatting>
  <conditionalFormatting sqref="AC76">
    <cfRule type="containsText" dxfId="758" priority="586" operator="containsText" text="T">
      <formula>NOT(ISERROR(SEARCH("T",AC76)))</formula>
    </cfRule>
  </conditionalFormatting>
  <conditionalFormatting sqref="AC106 AG106:AI106 L107:AF112 AI107:AI112">
    <cfRule type="containsText" dxfId="757" priority="571" operator="containsText" text="T">
      <formula>NOT(ISERROR(SEARCH("T",L106)))</formula>
    </cfRule>
  </conditionalFormatting>
  <conditionalFormatting sqref="AC131">
    <cfRule type="containsText" dxfId="756" priority="495" operator="containsText" text="17">
      <formula>NOT(ISERROR(SEARCH("17",AC131)))</formula>
    </cfRule>
    <cfRule type="containsText" dxfId="755" priority="496" operator="containsText" text="T">
      <formula>NOT(ISERROR(SEARCH("T",AC131)))</formula>
    </cfRule>
  </conditionalFormatting>
  <conditionalFormatting sqref="AC106:AD106 AG106:AI106 AI107:AI112">
    <cfRule type="containsText" dxfId="754" priority="572" operator="containsText" text="17">
      <formula>NOT(ISERROR(SEARCH("17",AC106)))</formula>
    </cfRule>
  </conditionalFormatting>
  <conditionalFormatting sqref="AC138:AI138">
    <cfRule type="containsText" dxfId="753" priority="486" operator="containsText" text="17">
      <formula>NOT(ISERROR(SEARCH("17",AC138)))</formula>
    </cfRule>
    <cfRule type="containsText" dxfId="752" priority="487" operator="containsText" text="T">
      <formula>NOT(ISERROR(SEARCH("T",AC138)))</formula>
    </cfRule>
  </conditionalFormatting>
  <conditionalFormatting sqref="AC14:AM14">
    <cfRule type="containsText" dxfId="751" priority="329" operator="containsText" text="17">
      <formula>NOT(ISERROR(SEARCH("17",AC14)))</formula>
    </cfRule>
    <cfRule type="containsText" dxfId="750" priority="330" operator="containsText" text="T">
      <formula>NOT(ISERROR(SEARCH("T",AC14)))</formula>
    </cfRule>
  </conditionalFormatting>
  <conditionalFormatting sqref="AC15:AW20 AC14:AK14">
    <cfRule type="containsText" dxfId="749" priority="336" operator="containsText" text="17">
      <formula>NOT(ISERROR(SEARCH("17",AC14)))</formula>
    </cfRule>
  </conditionalFormatting>
  <conditionalFormatting sqref="AD35:AD40">
    <cfRule type="containsText" dxfId="748" priority="324" operator="containsText" text="T">
      <formula>NOT(ISERROR(SEARCH("T",AD35)))</formula>
    </cfRule>
  </conditionalFormatting>
  <conditionalFormatting sqref="AD106">
    <cfRule type="containsText" dxfId="747" priority="573" operator="containsText" text="T">
      <formula>NOT(ISERROR(SEARCH("T",AD106)))</formula>
    </cfRule>
  </conditionalFormatting>
  <conditionalFormatting sqref="AD138">
    <cfRule type="containsText" dxfId="746" priority="482" operator="containsText" text="17">
      <formula>NOT(ISERROR(SEARCH("17",AD138)))</formula>
    </cfRule>
    <cfRule type="containsText" dxfId="745" priority="483" operator="containsText" text="T">
      <formula>NOT(ISERROR(SEARCH("T",AD138)))</formula>
    </cfRule>
  </conditionalFormatting>
  <conditionalFormatting sqref="AD145:AJ145">
    <cfRule type="containsText" dxfId="744" priority="473" operator="containsText" text="17">
      <formula>NOT(ISERROR(SEARCH("17",AD145)))</formula>
    </cfRule>
    <cfRule type="containsText" dxfId="743" priority="474" operator="containsText" text="T">
      <formula>NOT(ISERROR(SEARCH("T",AD145)))</formula>
    </cfRule>
  </conditionalFormatting>
  <conditionalFormatting sqref="AD34:AN34">
    <cfRule type="containsText" dxfId="742" priority="316" operator="containsText" text="17">
      <formula>NOT(ISERROR(SEARCH("17",AD34)))</formula>
    </cfRule>
    <cfRule type="containsText" dxfId="741" priority="317" operator="containsText" text="T">
      <formula>NOT(ISERROR(SEARCH("T",AD34)))</formula>
    </cfRule>
  </conditionalFormatting>
  <conditionalFormatting sqref="AD35:AX40 AD34:AL34">
    <cfRule type="containsText" dxfId="740" priority="323" operator="containsText" text="17">
      <formula>NOT(ISERROR(SEARCH("17",AD34)))</formula>
    </cfRule>
  </conditionalFormatting>
  <conditionalFormatting sqref="AE22:AE27">
    <cfRule type="containsText" dxfId="739" priority="311" operator="containsText" text="T">
      <formula>NOT(ISERROR(SEARCH("T",AE22)))</formula>
    </cfRule>
  </conditionalFormatting>
  <conditionalFormatting sqref="AE69 AI69:AK69 N70:AH75 AK70:AK75">
    <cfRule type="containsText" dxfId="738" priority="558" operator="containsText" text="T">
      <formula>NOT(ISERROR(SEARCH("T",N69)))</formula>
    </cfRule>
  </conditionalFormatting>
  <conditionalFormatting sqref="AE145">
    <cfRule type="containsText" dxfId="737" priority="469" operator="containsText" text="17">
      <formula>NOT(ISERROR(SEARCH("17",AE145)))</formula>
    </cfRule>
    <cfRule type="containsText" dxfId="736" priority="470" operator="containsText" text="T">
      <formula>NOT(ISERROR(SEARCH("T",AE145)))</formula>
    </cfRule>
  </conditionalFormatting>
  <conditionalFormatting sqref="AE69:AF69 AI69:AK69 AK70:AK75">
    <cfRule type="containsText" dxfId="735" priority="559" operator="containsText" text="17">
      <formula>NOT(ISERROR(SEARCH("17",AE69)))</formula>
    </cfRule>
  </conditionalFormatting>
  <conditionalFormatting sqref="AE152:AK152">
    <cfRule type="containsText" dxfId="734" priority="460" operator="containsText" text="17">
      <formula>NOT(ISERROR(SEARCH("17",AE152)))</formula>
    </cfRule>
    <cfRule type="containsText" dxfId="733" priority="461" operator="containsText" text="T">
      <formula>NOT(ISERROR(SEARCH("T",AE152)))</formula>
    </cfRule>
  </conditionalFormatting>
  <conditionalFormatting sqref="AE21:AO21">
    <cfRule type="containsText" dxfId="732" priority="303" operator="containsText" text="17">
      <formula>NOT(ISERROR(SEARCH("17",AE21)))</formula>
    </cfRule>
    <cfRule type="containsText" dxfId="731" priority="304" operator="containsText" text="T">
      <formula>NOT(ISERROR(SEARCH("T",AE21)))</formula>
    </cfRule>
  </conditionalFormatting>
  <conditionalFormatting sqref="AE22:AY27 AE21:AM21">
    <cfRule type="containsText" dxfId="730" priority="310" operator="containsText" text="17">
      <formula>NOT(ISERROR(SEARCH("17",AE21)))</formula>
    </cfRule>
  </conditionalFormatting>
  <conditionalFormatting sqref="AF42:AF47">
    <cfRule type="containsText" dxfId="729" priority="298" operator="containsText" text="T">
      <formula>NOT(ISERROR(SEARCH("T",AF42)))</formula>
    </cfRule>
  </conditionalFormatting>
  <conditionalFormatting sqref="AF69">
    <cfRule type="containsText" dxfId="728" priority="560" operator="containsText" text="T">
      <formula>NOT(ISERROR(SEARCH("T",AF69)))</formula>
    </cfRule>
  </conditionalFormatting>
  <conditionalFormatting sqref="AF99 AJ99:AL99 O100:AI105 AL100:AL105">
    <cfRule type="containsText" dxfId="727" priority="545" operator="containsText" text="T">
      <formula>NOT(ISERROR(SEARCH("T",O99)))</formula>
    </cfRule>
  </conditionalFormatting>
  <conditionalFormatting sqref="AF152">
    <cfRule type="containsText" dxfId="726" priority="456" operator="containsText" text="17">
      <formula>NOT(ISERROR(SEARCH("17",AF152)))</formula>
    </cfRule>
    <cfRule type="containsText" dxfId="725" priority="457" operator="containsText" text="T">
      <formula>NOT(ISERROR(SEARCH("T",AF152)))</formula>
    </cfRule>
  </conditionalFormatting>
  <conditionalFormatting sqref="AF99:AG99 AJ99:AL99 AL100:AL105">
    <cfRule type="containsText" dxfId="724" priority="546" operator="containsText" text="17">
      <formula>NOT(ISERROR(SEARCH("17",AF99)))</formula>
    </cfRule>
  </conditionalFormatting>
  <conditionalFormatting sqref="AF159:AL159">
    <cfRule type="containsText" dxfId="723" priority="447" operator="containsText" text="17">
      <formula>NOT(ISERROR(SEARCH("17",AF159)))</formula>
    </cfRule>
    <cfRule type="containsText" dxfId="722" priority="448" operator="containsText" text="T">
      <formula>NOT(ISERROR(SEARCH("T",AF159)))</formula>
    </cfRule>
  </conditionalFormatting>
  <conditionalFormatting sqref="AF41:AP41">
    <cfRule type="containsText" dxfId="721" priority="290" operator="containsText" text="17">
      <formula>NOT(ISERROR(SEARCH("17",AF41)))</formula>
    </cfRule>
    <cfRule type="containsText" dxfId="720" priority="291" operator="containsText" text="T">
      <formula>NOT(ISERROR(SEARCH("T",AF41)))</formula>
    </cfRule>
  </conditionalFormatting>
  <conditionalFormatting sqref="AF42:AZ47 AF41:AN41">
    <cfRule type="containsText" dxfId="719" priority="297" operator="containsText" text="17">
      <formula>NOT(ISERROR(SEARCH("17",AF41)))</formula>
    </cfRule>
  </conditionalFormatting>
  <conditionalFormatting sqref="AG67:AG68 AK67:AM68">
    <cfRule type="containsText" dxfId="718" priority="535" operator="containsText" text="T">
      <formula>NOT(ISERROR(SEARCH("T",AG67)))</formula>
    </cfRule>
  </conditionalFormatting>
  <conditionalFormatting sqref="AG97:AG98 AK97:CP98">
    <cfRule type="containsText" dxfId="717" priority="525" operator="containsText" text="T">
      <formula>NOT(ISERROR(SEARCH("T",AG97)))</formula>
    </cfRule>
  </conditionalFormatting>
  <conditionalFormatting sqref="AG99">
    <cfRule type="containsText" dxfId="716" priority="547" operator="containsText" text="T">
      <formula>NOT(ISERROR(SEARCH("T",AG99)))</formula>
    </cfRule>
  </conditionalFormatting>
  <conditionalFormatting sqref="AG114:AG119">
    <cfRule type="containsText" dxfId="715" priority="607" operator="containsText" text="T">
      <formula>NOT(ISERROR(SEARCH("T",AG114)))</formula>
    </cfRule>
  </conditionalFormatting>
  <conditionalFormatting sqref="AG127:AG130 AK127:AM130">
    <cfRule type="containsText" dxfId="714" priority="505" operator="containsText" text="T">
      <formula>NOT(ISERROR(SEARCH("T",AG127)))</formula>
    </cfRule>
  </conditionalFormatting>
  <conditionalFormatting sqref="AG159">
    <cfRule type="containsText" dxfId="713" priority="443" operator="containsText" text="17">
      <formula>NOT(ISERROR(SEARCH("17",AG159)))</formula>
    </cfRule>
    <cfRule type="containsText" dxfId="712" priority="444" operator="containsText" text="T">
      <formula>NOT(ISERROR(SEARCH("T",AG159)))</formula>
    </cfRule>
  </conditionalFormatting>
  <conditionalFormatting sqref="AG67:AH68 AK67:AM68">
    <cfRule type="containsText" dxfId="711" priority="536" operator="containsText" text="17">
      <formula>NOT(ISERROR(SEARCH("17",AG67)))</formula>
    </cfRule>
  </conditionalFormatting>
  <conditionalFormatting sqref="AG97:AH98 AK97:CP98">
    <cfRule type="containsText" dxfId="710" priority="526" operator="containsText" text="17">
      <formula>NOT(ISERROR(SEARCH("17",AG97)))</formula>
    </cfRule>
  </conditionalFormatting>
  <conditionalFormatting sqref="AG127:AH130 AK127:AM130">
    <cfRule type="containsText" dxfId="709" priority="506" operator="containsText" text="17">
      <formula>NOT(ISERROR(SEARCH("17",AG127)))</formula>
    </cfRule>
  </conditionalFormatting>
  <conditionalFormatting sqref="AG207:AM207">
    <cfRule type="containsText" dxfId="708" priority="434" operator="containsText" text="17">
      <formula>NOT(ISERROR(SEARCH("17",AG207)))</formula>
    </cfRule>
    <cfRule type="containsText" dxfId="707" priority="435" operator="containsText" text="T">
      <formula>NOT(ISERROR(SEARCH("T",AG207)))</formula>
    </cfRule>
  </conditionalFormatting>
  <conditionalFormatting sqref="AG28:AO32">
    <cfRule type="containsText" dxfId="706" priority="287" operator="containsText" text="17">
      <formula>NOT(ISERROR(SEARCH("17",AG28)))</formula>
    </cfRule>
  </conditionalFormatting>
  <conditionalFormatting sqref="AG28:AQ32">
    <cfRule type="containsText" dxfId="705" priority="280" operator="containsText" text="17">
      <formula>NOT(ISERROR(SEARCH("17",AG28)))</formula>
    </cfRule>
    <cfRule type="containsText" dxfId="704" priority="281" operator="containsText" text="T">
      <formula>NOT(ISERROR(SEARCH("T",AG28)))</formula>
    </cfRule>
  </conditionalFormatting>
  <conditionalFormatting sqref="AG48:AQ49">
    <cfRule type="containsText" dxfId="703" priority="270" operator="containsText" text="17">
      <formula>NOT(ISERROR(SEARCH("17",AG48)))</formula>
    </cfRule>
  </conditionalFormatting>
  <conditionalFormatting sqref="AH67:AH68">
    <cfRule type="containsText" dxfId="702" priority="537" operator="containsText" text="T">
      <formula>NOT(ISERROR(SEARCH("T",AH67)))</formula>
    </cfRule>
  </conditionalFormatting>
  <conditionalFormatting sqref="AH77:AH82">
    <cfRule type="containsText" dxfId="701" priority="594" operator="containsText" text="T">
      <formula>NOT(ISERROR(SEARCH("T",AH77)))</formula>
    </cfRule>
  </conditionalFormatting>
  <conditionalFormatting sqref="AH97:AH98">
    <cfRule type="containsText" dxfId="700" priority="527" operator="containsText" text="T">
      <formula>NOT(ISERROR(SEARCH("T",AH97)))</formula>
    </cfRule>
  </conditionalFormatting>
  <conditionalFormatting sqref="AH127:AH130">
    <cfRule type="containsText" dxfId="699" priority="507" operator="containsText" text="T">
      <formula>NOT(ISERROR(SEARCH("T",AH127)))</formula>
    </cfRule>
  </conditionalFormatting>
  <conditionalFormatting sqref="AH131 AL131:AN131 Q132:AK137 AN132:AN137">
    <cfRule type="containsText" dxfId="698" priority="492" operator="containsText" text="T">
      <formula>NOT(ISERROR(SEARCH("T",Q131)))</formula>
    </cfRule>
  </conditionalFormatting>
  <conditionalFormatting sqref="AH207">
    <cfRule type="containsText" dxfId="697" priority="430" operator="containsText" text="17">
      <formula>NOT(ISERROR(SEARCH("17",AH207)))</formula>
    </cfRule>
    <cfRule type="containsText" dxfId="696" priority="431" operator="containsText" text="T">
      <formula>NOT(ISERROR(SEARCH("T",AH207)))</formula>
    </cfRule>
  </conditionalFormatting>
  <conditionalFormatting sqref="AH131:AI131 AL131:AN131 AN132:AN137">
    <cfRule type="containsText" dxfId="695" priority="493" operator="containsText" text="17">
      <formula>NOT(ISERROR(SEARCH("17",AH131)))</formula>
    </cfRule>
  </conditionalFormatting>
  <conditionalFormatting sqref="AH200:AN200">
    <cfRule type="containsText" dxfId="694" priority="421" operator="containsText" text="17">
      <formula>NOT(ISERROR(SEARCH("17",AH200)))</formula>
    </cfRule>
    <cfRule type="containsText" dxfId="693" priority="422" operator="containsText" text="T">
      <formula>NOT(ISERROR(SEARCH("T",AH200)))</formula>
    </cfRule>
  </conditionalFormatting>
  <conditionalFormatting sqref="AH50:AP53">
    <cfRule type="containsText" dxfId="692" priority="267" operator="containsText" text="17">
      <formula>NOT(ISERROR(SEARCH("17",AH50)))</formula>
    </cfRule>
  </conditionalFormatting>
  <conditionalFormatting sqref="AH50:AR53">
    <cfRule type="containsText" dxfId="691" priority="260" operator="containsText" text="17">
      <formula>NOT(ISERROR(SEARCH("17",AH50)))</formula>
    </cfRule>
  </conditionalFormatting>
  <conditionalFormatting sqref="AH63:AR66">
    <cfRule type="containsText" dxfId="690" priority="250" operator="containsText" text="17">
      <formula>NOT(ISERROR(SEARCH("17",AH63)))</formula>
    </cfRule>
  </conditionalFormatting>
  <conditionalFormatting sqref="AH113:AU116">
    <cfRule type="containsText" dxfId="689" priority="173" operator="containsText" text="17">
      <formula>NOT(ISERROR(SEARCH("17",AH113)))</formula>
    </cfRule>
  </conditionalFormatting>
  <conditionalFormatting sqref="AH117:AV119">
    <cfRule type="containsText" dxfId="688" priority="163" operator="containsText" text="17">
      <formula>NOT(ISERROR(SEARCH("17",AH117)))</formula>
    </cfRule>
  </conditionalFormatting>
  <conditionalFormatting sqref="AH113:AW116">
    <cfRule type="containsText" dxfId="687" priority="167" operator="containsText" text="T">
      <formula>NOT(ISERROR(SEARCH("T",AH113)))</formula>
    </cfRule>
  </conditionalFormatting>
  <conditionalFormatting sqref="AH117:AX119">
    <cfRule type="containsText" dxfId="686" priority="157" operator="containsText" text="T">
      <formula>NOT(ISERROR(SEARCH("T",AH117)))</formula>
    </cfRule>
  </conditionalFormatting>
  <conditionalFormatting sqref="AI131">
    <cfRule type="containsText" dxfId="685" priority="494" operator="containsText" text="T">
      <formula>NOT(ISERROR(SEARCH("T",AI131)))</formula>
    </cfRule>
  </conditionalFormatting>
  <conditionalFormatting sqref="AI138 AM138:AO138 R139:AL144 AO139:AO144">
    <cfRule type="containsText" dxfId="684" priority="479" operator="containsText" text="T">
      <formula>NOT(ISERROR(SEARCH("T",R138)))</formula>
    </cfRule>
  </conditionalFormatting>
  <conditionalFormatting sqref="AI200">
    <cfRule type="containsText" dxfId="683" priority="417" operator="containsText" text="17">
      <formula>NOT(ISERROR(SEARCH("17",AI200)))</formula>
    </cfRule>
    <cfRule type="containsText" dxfId="682" priority="418" operator="containsText" text="T">
      <formula>NOT(ISERROR(SEARCH("T",AI200)))</formula>
    </cfRule>
  </conditionalFormatting>
  <conditionalFormatting sqref="AI138:AJ138 AM138:AO138 AO139:AO144">
    <cfRule type="containsText" dxfId="681" priority="480" operator="containsText" text="17">
      <formula>NOT(ISERROR(SEARCH("17",AI138)))</formula>
    </cfRule>
  </conditionalFormatting>
  <conditionalFormatting sqref="AI107:AO112">
    <cfRule type="containsText" dxfId="680" priority="581" operator="containsText" text="T">
      <formula>NOT(ISERROR(SEARCH("T",AI107)))</formula>
    </cfRule>
  </conditionalFormatting>
  <conditionalFormatting sqref="AI192:AO192">
    <cfRule type="containsText" dxfId="679" priority="398" operator="containsText" text="T">
      <formula>NOT(ISERROR(SEARCH("T",AI192)))</formula>
    </cfRule>
  </conditionalFormatting>
  <conditionalFormatting sqref="AI193:AO193">
    <cfRule type="containsText" dxfId="678" priority="408" operator="containsText" text="17">
      <formula>NOT(ISERROR(SEARCH("17",AI193)))</formula>
    </cfRule>
    <cfRule type="containsText" dxfId="677" priority="409" operator="containsText" text="T">
      <formula>NOT(ISERROR(SEARCH("T",AI193)))</formula>
    </cfRule>
  </conditionalFormatting>
  <conditionalFormatting sqref="AI192:AP192 AS192:AU192">
    <cfRule type="containsText" dxfId="676" priority="396" operator="containsText" text="17">
      <formula>NOT(ISERROR(SEARCH("17",AI192)))</formula>
    </cfRule>
  </conditionalFormatting>
  <conditionalFormatting sqref="AI59:AS62">
    <cfRule type="containsText" dxfId="675" priority="236" operator="containsText" text="17">
      <formula>NOT(ISERROR(SEARCH("17",AI59)))</formula>
    </cfRule>
  </conditionalFormatting>
  <conditionalFormatting sqref="AI86:AS89">
    <cfRule type="containsText" dxfId="674" priority="226" operator="containsText" text="17">
      <formula>NOT(ISERROR(SEARCH("17",AI86)))</formula>
    </cfRule>
  </conditionalFormatting>
  <conditionalFormatting sqref="AI79:AV82">
    <cfRule type="containsText" dxfId="673" priority="153" operator="containsText" text="17">
      <formula>NOT(ISERROR(SEARCH("17",AI79)))</formula>
    </cfRule>
  </conditionalFormatting>
  <conditionalFormatting sqref="AI76:AX78">
    <cfRule type="containsText" dxfId="672" priority="128" operator="containsText" text="17">
      <formula>NOT(ISERROR(SEARCH("17",AI76)))</formula>
    </cfRule>
  </conditionalFormatting>
  <conditionalFormatting sqref="AI79:AX82">
    <cfRule type="containsText" dxfId="671" priority="147" operator="containsText" text="T">
      <formula>NOT(ISERROR(SEARCH("T",AI79)))</formula>
    </cfRule>
  </conditionalFormatting>
  <conditionalFormatting sqref="AI76:AZ78">
    <cfRule type="containsText" dxfId="670" priority="122" operator="containsText" text="T">
      <formula>NOT(ISERROR(SEARCH("T",AI76)))</formula>
    </cfRule>
  </conditionalFormatting>
  <conditionalFormatting sqref="AJ120:AJ126">
    <cfRule type="containsText" dxfId="669" priority="142" operator="containsText" text="17">
      <formula>NOT(ISERROR(SEARCH("17",AJ120)))</formula>
    </cfRule>
    <cfRule type="containsText" dxfId="668" priority="145" operator="containsText" text="T">
      <formula>NOT(ISERROR(SEARCH("T",AJ120)))</formula>
    </cfRule>
  </conditionalFormatting>
  <conditionalFormatting sqref="AJ138">
    <cfRule type="containsText" dxfId="667" priority="481" operator="containsText" text="T">
      <formula>NOT(ISERROR(SEARCH("T",AJ138)))</formula>
    </cfRule>
  </conditionalFormatting>
  <conditionalFormatting sqref="AJ145 AN145:AP145 S146:AM151 AP146:AP151">
    <cfRule type="containsText" dxfId="666" priority="466" operator="containsText" text="T">
      <formula>NOT(ISERROR(SEARCH("T",S145)))</formula>
    </cfRule>
  </conditionalFormatting>
  <conditionalFormatting sqref="AJ192:AJ193">
    <cfRule type="containsText" dxfId="665" priority="404" operator="containsText" text="17">
      <formula>NOT(ISERROR(SEARCH("17",AJ192)))</formula>
    </cfRule>
    <cfRule type="containsText" dxfId="664" priority="405" operator="containsText" text="T">
      <formula>NOT(ISERROR(SEARCH("T",AJ192)))</formula>
    </cfRule>
  </conditionalFormatting>
  <conditionalFormatting sqref="AJ145:AK145 AN145:AP145 AP146:AP151">
    <cfRule type="containsText" dxfId="663" priority="467" operator="containsText" text="17">
      <formula>NOT(ISERROR(SEARCH("17",AJ145)))</formula>
    </cfRule>
  </conditionalFormatting>
  <conditionalFormatting sqref="AJ168:AP168">
    <cfRule type="containsText" dxfId="662" priority="390" operator="containsText" text="17">
      <formula>NOT(ISERROR(SEARCH("17",AJ168)))</formula>
    </cfRule>
    <cfRule type="containsText" dxfId="661" priority="391" operator="containsText" text="T">
      <formula>NOT(ISERROR(SEARCH("T",AJ168)))</formula>
    </cfRule>
  </conditionalFormatting>
  <conditionalFormatting sqref="AJ83:AT85">
    <cfRule type="containsText" dxfId="660" priority="216" operator="containsText" text="17">
      <formula>NOT(ISERROR(SEARCH("17",AJ83)))</formula>
    </cfRule>
  </conditionalFormatting>
  <conditionalFormatting sqref="AJ214:AT217">
    <cfRule type="containsText" dxfId="659" priority="206" operator="containsText" text="17">
      <formula>NOT(ISERROR(SEARCH("17",AJ214)))</formula>
    </cfRule>
  </conditionalFormatting>
  <conditionalFormatting sqref="AK70:AK75">
    <cfRule type="containsText" dxfId="658" priority="568" operator="containsText" text="T">
      <formula>NOT(ISERROR(SEARCH("T",AK70)))</formula>
    </cfRule>
  </conditionalFormatting>
  <conditionalFormatting sqref="AK129:AK130 P127:X130">
    <cfRule type="containsText" dxfId="657" priority="510" operator="containsText" text="17">
      <formula>NOT(ISERROR(SEARCH("17",P127)))</formula>
    </cfRule>
  </conditionalFormatting>
  <conditionalFormatting sqref="AK145">
    <cfRule type="containsText" dxfId="656" priority="468" operator="containsText" text="T">
      <formula>NOT(ISERROR(SEARCH("T",AK145)))</formula>
    </cfRule>
  </conditionalFormatting>
  <conditionalFormatting sqref="AK152 AO152:AQ152 T153:AN158 AQ153:AQ158">
    <cfRule type="containsText" dxfId="655" priority="453" operator="containsText" text="T">
      <formula>NOT(ISERROR(SEARCH("T",T152)))</formula>
    </cfRule>
  </conditionalFormatting>
  <conditionalFormatting sqref="AK168">
    <cfRule type="containsText" dxfId="654" priority="386" operator="containsText" text="17">
      <formula>NOT(ISERROR(SEARCH("17",AK168)))</formula>
    </cfRule>
    <cfRule type="containsText" dxfId="653" priority="387" operator="containsText" text="T">
      <formula>NOT(ISERROR(SEARCH("T",AK168)))</formula>
    </cfRule>
  </conditionalFormatting>
  <conditionalFormatting sqref="AK152:AL152 AO152:AQ152 AQ153:AQ158">
    <cfRule type="containsText" dxfId="652" priority="454" operator="containsText" text="17">
      <formula>NOT(ISERROR(SEARCH("17",AK152)))</formula>
    </cfRule>
  </conditionalFormatting>
  <conditionalFormatting sqref="AK175:AQ175">
    <cfRule type="containsText" dxfId="651" priority="377" operator="containsText" text="17">
      <formula>NOT(ISERROR(SEARCH("17",AK175)))</formula>
    </cfRule>
    <cfRule type="containsText" dxfId="650" priority="378" operator="containsText" text="T">
      <formula>NOT(ISERROR(SEARCH("T",AK175)))</formula>
    </cfRule>
  </conditionalFormatting>
  <conditionalFormatting sqref="AK218:AU224">
    <cfRule type="containsText" dxfId="649" priority="196" operator="containsText" text="17">
      <formula>NOT(ISERROR(SEARCH("17",AK218)))</formula>
    </cfRule>
  </conditionalFormatting>
  <conditionalFormatting sqref="AL100:AL105">
    <cfRule type="containsText" dxfId="648" priority="555" operator="containsText" text="T">
      <formula>NOT(ISERROR(SEARCH("T",AL100)))</formula>
    </cfRule>
  </conditionalFormatting>
  <conditionalFormatting sqref="AL152">
    <cfRule type="containsText" dxfId="647" priority="455" operator="containsText" text="T">
      <formula>NOT(ISERROR(SEARCH("T",AL152)))</formula>
    </cfRule>
  </conditionalFormatting>
  <conditionalFormatting sqref="AL159 AP159:AR159 U160:AO165 AR160:AR165">
    <cfRule type="containsText" dxfId="646" priority="440" operator="containsText" text="T">
      <formula>NOT(ISERROR(SEARCH("T",U159)))</formula>
    </cfRule>
  </conditionalFormatting>
  <conditionalFormatting sqref="AL175">
    <cfRule type="containsText" dxfId="645" priority="373" operator="containsText" text="17">
      <formula>NOT(ISERROR(SEARCH("17",AL175)))</formula>
    </cfRule>
    <cfRule type="containsText" dxfId="644" priority="374" operator="containsText" text="T">
      <formula>NOT(ISERROR(SEARCH("T",AL175)))</formula>
    </cfRule>
  </conditionalFormatting>
  <conditionalFormatting sqref="AL159:AM159 AP159:AR159 AR160:AR165">
    <cfRule type="containsText" dxfId="643" priority="441" operator="containsText" text="17">
      <formula>NOT(ISERROR(SEARCH("17",AL159)))</formula>
    </cfRule>
  </conditionalFormatting>
  <conditionalFormatting sqref="AL182:AR182">
    <cfRule type="containsText" dxfId="642" priority="364" operator="containsText" text="17">
      <formula>NOT(ISERROR(SEARCH("17",AL182)))</formula>
    </cfRule>
    <cfRule type="containsText" dxfId="641" priority="365" operator="containsText" text="T">
      <formula>NOT(ISERROR(SEARCH("T",AL182)))</formula>
    </cfRule>
  </conditionalFormatting>
  <conditionalFormatting sqref="AL225:AV231">
    <cfRule type="containsText" dxfId="640" priority="186" operator="containsText" text="17">
      <formula>NOT(ISERROR(SEARCH("17",AL225)))</formula>
    </cfRule>
  </conditionalFormatting>
  <conditionalFormatting sqref="AM159">
    <cfRule type="containsText" dxfId="639" priority="442" operator="containsText" text="T">
      <formula>NOT(ISERROR(SEARCH("T",AM159)))</formula>
    </cfRule>
  </conditionalFormatting>
  <conditionalFormatting sqref="AM182">
    <cfRule type="containsText" dxfId="638" priority="360" operator="containsText" text="17">
      <formula>NOT(ISERROR(SEARCH("17",AM182)))</formula>
    </cfRule>
    <cfRule type="containsText" dxfId="637" priority="361" operator="containsText" text="T">
      <formula>NOT(ISERROR(SEARCH("T",AM182)))</formula>
    </cfRule>
  </conditionalFormatting>
  <conditionalFormatting sqref="AM207 AQ207:AS207 V208:AP213 AS208:AS213">
    <cfRule type="containsText" dxfId="636" priority="427" operator="containsText" text="T">
      <formula>NOT(ISERROR(SEARCH("T",V207)))</formula>
    </cfRule>
  </conditionalFormatting>
  <conditionalFormatting sqref="AM207:AN207 AQ207:AS207 AS208:AS213">
    <cfRule type="containsText" dxfId="635" priority="428" operator="containsText" text="17">
      <formula>NOT(ISERROR(SEARCH("17",AM207)))</formula>
    </cfRule>
  </conditionalFormatting>
  <conditionalFormatting sqref="AM90:AS90">
    <cfRule type="containsText" dxfId="634" priority="351" operator="containsText" text="17">
      <formula>NOT(ISERROR(SEARCH("17",AM90)))</formula>
    </cfRule>
    <cfRule type="containsText" dxfId="633" priority="352" operator="containsText" text="T">
      <formula>NOT(ISERROR(SEARCH("T",AM90)))</formula>
    </cfRule>
  </conditionalFormatting>
  <conditionalFormatting sqref="AM113:AW116">
    <cfRule type="containsText" dxfId="632" priority="166" operator="containsText" text="17">
      <formula>NOT(ISERROR(SEARCH("17",AM113)))</formula>
    </cfRule>
  </conditionalFormatting>
  <conditionalFormatting sqref="AM232:AW234">
    <cfRule type="containsText" dxfId="631" priority="176" operator="containsText" text="17">
      <formula>NOT(ISERROR(SEARCH("17",AM232)))</formula>
    </cfRule>
  </conditionalFormatting>
  <conditionalFormatting sqref="AN90">
    <cfRule type="containsText" dxfId="630" priority="347" operator="containsText" text="17">
      <formula>NOT(ISERROR(SEARCH("17",AN90)))</formula>
    </cfRule>
    <cfRule type="containsText" dxfId="629" priority="348" operator="containsText" text="T">
      <formula>NOT(ISERROR(SEARCH("T",AN90)))</formula>
    </cfRule>
  </conditionalFormatting>
  <conditionalFormatting sqref="AN132:AN137">
    <cfRule type="containsText" dxfId="628" priority="502" operator="containsText" text="T">
      <formula>NOT(ISERROR(SEARCH("T",AN132)))</formula>
    </cfRule>
  </conditionalFormatting>
  <conditionalFormatting sqref="AN200 AR200:AT200 W201:AQ206 AT201:AT206">
    <cfRule type="containsText" dxfId="627" priority="414" operator="containsText" text="T">
      <formula>NOT(ISERROR(SEARCH("T",W200)))</formula>
    </cfRule>
  </conditionalFormatting>
  <conditionalFormatting sqref="AN207">
    <cfRule type="containsText" dxfId="626" priority="429" operator="containsText" text="T">
      <formula>NOT(ISERROR(SEARCH("T",AN207)))</formula>
    </cfRule>
  </conditionalFormatting>
  <conditionalFormatting sqref="AN200:AO200 AR200:AT200 AT201:AT206">
    <cfRule type="containsText" dxfId="625" priority="415" operator="containsText" text="17">
      <formula>NOT(ISERROR(SEARCH("17",AN200)))</formula>
    </cfRule>
  </conditionalFormatting>
  <conditionalFormatting sqref="AN14:AT14">
    <cfRule type="containsText" dxfId="624" priority="338" operator="containsText" text="17">
      <formula>NOT(ISERROR(SEARCH("17",AN14)))</formula>
    </cfRule>
    <cfRule type="containsText" dxfId="623" priority="339" operator="containsText" text="T">
      <formula>NOT(ISERROR(SEARCH("T",AN14)))</formula>
    </cfRule>
  </conditionalFormatting>
  <conditionalFormatting sqref="AN79:AX82">
    <cfRule type="containsText" dxfId="622" priority="146" operator="containsText" text="17">
      <formula>NOT(ISERROR(SEARCH("17",AN79)))</formula>
    </cfRule>
  </conditionalFormatting>
  <conditionalFormatting sqref="AN117:AX119">
    <cfRule type="containsText" dxfId="621" priority="156" operator="containsText" text="17">
      <formula>NOT(ISERROR(SEARCH("17",AN117)))</formula>
    </cfRule>
  </conditionalFormatting>
  <conditionalFormatting sqref="AO14">
    <cfRule type="containsText" dxfId="620" priority="334" operator="containsText" text="17">
      <formula>NOT(ISERROR(SEARCH("17",AO14)))</formula>
    </cfRule>
    <cfRule type="containsText" dxfId="619" priority="335" operator="containsText" text="T">
      <formula>NOT(ISERROR(SEARCH("T",AO14)))</formula>
    </cfRule>
  </conditionalFormatting>
  <conditionalFormatting sqref="AO139:AO144">
    <cfRule type="containsText" dxfId="618" priority="489" operator="containsText" text="T">
      <formula>NOT(ISERROR(SEARCH("T",AO139)))</formula>
    </cfRule>
  </conditionalFormatting>
  <conditionalFormatting sqref="AO192:AO193 AS192:AU193 X194:AR199 AU194:AU199">
    <cfRule type="containsText" dxfId="617" priority="401" operator="containsText" text="T">
      <formula>NOT(ISERROR(SEARCH("T",X192)))</formula>
    </cfRule>
  </conditionalFormatting>
  <conditionalFormatting sqref="AO200">
    <cfRule type="containsText" dxfId="616" priority="416" operator="containsText" text="T">
      <formula>NOT(ISERROR(SEARCH("T",AO200)))</formula>
    </cfRule>
  </conditionalFormatting>
  <conditionalFormatting sqref="AO193:AP193 AS193:AU193 AU194:AU199">
    <cfRule type="containsText" dxfId="615" priority="402" operator="containsText" text="17">
      <formula>NOT(ISERROR(SEARCH("17",AO193)))</formula>
    </cfRule>
  </conditionalFormatting>
  <conditionalFormatting sqref="AO34:AU34">
    <cfRule type="containsText" dxfId="614" priority="325" operator="containsText" text="17">
      <formula>NOT(ISERROR(SEARCH("17",AO34)))</formula>
    </cfRule>
    <cfRule type="containsText" dxfId="613" priority="326" operator="containsText" text="T">
      <formula>NOT(ISERROR(SEARCH("T",AO34)))</formula>
    </cfRule>
  </conditionalFormatting>
  <conditionalFormatting sqref="AP34">
    <cfRule type="containsText" dxfId="612" priority="321" operator="containsText" text="17">
      <formula>NOT(ISERROR(SEARCH("17",AP34)))</formula>
    </cfRule>
    <cfRule type="containsText" dxfId="611" priority="322" operator="containsText" text="T">
      <formula>NOT(ISERROR(SEARCH("T",AP34)))</formula>
    </cfRule>
  </conditionalFormatting>
  <conditionalFormatting sqref="AP146:AP151">
    <cfRule type="containsText" dxfId="610" priority="476" operator="containsText" text="T">
      <formula>NOT(ISERROR(SEARCH("T",AP146)))</formula>
    </cfRule>
  </conditionalFormatting>
  <conditionalFormatting sqref="AP168 AT168:AV168 Y169:AS174 AV169:AV174">
    <cfRule type="containsText" dxfId="609" priority="383" operator="containsText" text="T">
      <formula>NOT(ISERROR(SEARCH("T",Y168)))</formula>
    </cfRule>
  </conditionalFormatting>
  <conditionalFormatting sqref="AP192:AP193">
    <cfRule type="containsText" dxfId="608" priority="403" operator="containsText" text="T">
      <formula>NOT(ISERROR(SEARCH("T",AP192)))</formula>
    </cfRule>
  </conditionalFormatting>
  <conditionalFormatting sqref="AP168:AQ168 AT168:AV168 AV169:AV174">
    <cfRule type="containsText" dxfId="607" priority="384" operator="containsText" text="17">
      <formula>NOT(ISERROR(SEARCH("17",AP168)))</formula>
    </cfRule>
  </conditionalFormatting>
  <conditionalFormatting sqref="AP21:AV21">
    <cfRule type="containsText" dxfId="606" priority="312" operator="containsText" text="17">
      <formula>NOT(ISERROR(SEARCH("17",AP21)))</formula>
    </cfRule>
    <cfRule type="containsText" dxfId="605" priority="313" operator="containsText" text="T">
      <formula>NOT(ISERROR(SEARCH("T",AP21)))</formula>
    </cfRule>
  </conditionalFormatting>
  <conditionalFormatting sqref="AP107:AX112">
    <cfRule type="containsText" dxfId="604" priority="138" operator="containsText" text="17">
      <formula>NOT(ISERROR(SEARCH("17",AP107)))</formula>
    </cfRule>
  </conditionalFormatting>
  <conditionalFormatting sqref="AP76:AZ78">
    <cfRule type="containsText" dxfId="603" priority="121" operator="containsText" text="17">
      <formula>NOT(ISERROR(SEARCH("17",AP76)))</formula>
    </cfRule>
  </conditionalFormatting>
  <conditionalFormatting sqref="AP107:AZ112">
    <cfRule type="containsText" dxfId="602" priority="131" operator="containsText" text="17">
      <formula>NOT(ISERROR(SEARCH("17",AP107)))</formula>
    </cfRule>
    <cfRule type="containsText" dxfId="601" priority="132" operator="containsText" text="T">
      <formula>NOT(ISERROR(SEARCH("T",AP107)))</formula>
    </cfRule>
  </conditionalFormatting>
  <conditionalFormatting sqref="AQ21">
    <cfRule type="containsText" dxfId="600" priority="308" operator="containsText" text="17">
      <formula>NOT(ISERROR(SEARCH("17",AQ21)))</formula>
    </cfRule>
    <cfRule type="containsText" dxfId="599" priority="309" operator="containsText" text="T">
      <formula>NOT(ISERROR(SEARCH("T",AQ21)))</formula>
    </cfRule>
  </conditionalFormatting>
  <conditionalFormatting sqref="AQ153:AQ158">
    <cfRule type="containsText" dxfId="598" priority="463" operator="containsText" text="T">
      <formula>NOT(ISERROR(SEARCH("T",AQ153)))</formula>
    </cfRule>
  </conditionalFormatting>
  <conditionalFormatting sqref="AQ168">
    <cfRule type="containsText" dxfId="597" priority="385" operator="containsText" text="T">
      <formula>NOT(ISERROR(SEARCH("T",AQ168)))</formula>
    </cfRule>
  </conditionalFormatting>
  <conditionalFormatting sqref="AQ175 AU175:AW175 Z176:AT181 AW176:AW181">
    <cfRule type="containsText" dxfId="596" priority="370" operator="containsText" text="T">
      <formula>NOT(ISERROR(SEARCH("T",Z175)))</formula>
    </cfRule>
  </conditionalFormatting>
  <conditionalFormatting sqref="AQ175:AR175 AU175:AW175 AW176:AW181">
    <cfRule type="containsText" dxfId="595" priority="371" operator="containsText" text="17">
      <formula>NOT(ISERROR(SEARCH("17",AQ175)))</formula>
    </cfRule>
  </conditionalFormatting>
  <conditionalFormatting sqref="AQ41:AW41">
    <cfRule type="containsText" dxfId="594" priority="299" operator="containsText" text="17">
      <formula>NOT(ISERROR(SEARCH("17",AQ41)))</formula>
    </cfRule>
    <cfRule type="containsText" dxfId="593" priority="300" operator="containsText" text="T">
      <formula>NOT(ISERROR(SEARCH("T",AQ41)))</formula>
    </cfRule>
  </conditionalFormatting>
  <conditionalFormatting sqref="AR41">
    <cfRule type="containsText" dxfId="592" priority="295" operator="containsText" text="17">
      <formula>NOT(ISERROR(SEARCH("17",AR41)))</formula>
    </cfRule>
    <cfRule type="containsText" dxfId="591" priority="296" operator="containsText" text="T">
      <formula>NOT(ISERROR(SEARCH("T",AR41)))</formula>
    </cfRule>
  </conditionalFormatting>
  <conditionalFormatting sqref="AR160:AR165">
    <cfRule type="containsText" dxfId="590" priority="450" operator="containsText" text="T">
      <formula>NOT(ISERROR(SEARCH("T",AR160)))</formula>
    </cfRule>
  </conditionalFormatting>
  <conditionalFormatting sqref="AR175">
    <cfRule type="containsText" dxfId="589" priority="372" operator="containsText" text="T">
      <formula>NOT(ISERROR(SEARCH("T",AR175)))</formula>
    </cfRule>
  </conditionalFormatting>
  <conditionalFormatting sqref="AR182 AV182:AX182 AA183:AU190 AX183:AX190">
    <cfRule type="containsText" dxfId="588" priority="357" operator="containsText" text="T">
      <formula>NOT(ISERROR(SEARCH("T",AA182)))</formula>
    </cfRule>
  </conditionalFormatting>
  <conditionalFormatting sqref="AR182:AS182 AV182:AX182 AX183:AX190">
    <cfRule type="containsText" dxfId="587" priority="358" operator="containsText" text="17">
      <formula>NOT(ISERROR(SEARCH("17",AR182)))</formula>
    </cfRule>
  </conditionalFormatting>
  <conditionalFormatting sqref="AR28:AX32">
    <cfRule type="containsText" dxfId="586" priority="288" operator="containsText" text="17">
      <formula>NOT(ISERROR(SEARCH("17",AR28)))</formula>
    </cfRule>
    <cfRule type="containsText" dxfId="585" priority="289" operator="containsText" text="T">
      <formula>NOT(ISERROR(SEARCH("T",AR28)))</formula>
    </cfRule>
  </conditionalFormatting>
  <conditionalFormatting sqref="AR48:AX49">
    <cfRule type="containsText" dxfId="584" priority="278" operator="containsText" text="17">
      <formula>NOT(ISERROR(SEARCH("17",AR48)))</formula>
    </cfRule>
    <cfRule type="containsText" dxfId="583" priority="279" operator="containsText" text="T">
      <formula>NOT(ISERROR(SEARCH("T",AR48)))</formula>
    </cfRule>
  </conditionalFormatting>
  <conditionalFormatting sqref="AS28:AS32">
    <cfRule type="containsText" dxfId="582" priority="285" operator="containsText" text="17">
      <formula>NOT(ISERROR(SEARCH("17",AS28)))</formula>
    </cfRule>
    <cfRule type="containsText" dxfId="581" priority="286" operator="containsText" text="T">
      <formula>NOT(ISERROR(SEARCH("T",AS28)))</formula>
    </cfRule>
  </conditionalFormatting>
  <conditionalFormatting sqref="AS48:AS49">
    <cfRule type="containsText" dxfId="580" priority="275" operator="containsText" text="17">
      <formula>NOT(ISERROR(SEARCH("17",AS48)))</formula>
    </cfRule>
    <cfRule type="containsText" dxfId="579" priority="276" operator="containsText" text="T">
      <formula>NOT(ISERROR(SEARCH("T",AS48)))</formula>
    </cfRule>
  </conditionalFormatting>
  <conditionalFormatting sqref="AS90 AW90:AY90 AB91:AV96 AY91:AY96">
    <cfRule type="containsText" dxfId="578" priority="344" operator="containsText" text="T">
      <formula>NOT(ISERROR(SEARCH("T",AB90)))</formula>
    </cfRule>
  </conditionalFormatting>
  <conditionalFormatting sqref="AS182">
    <cfRule type="containsText" dxfId="577" priority="359" operator="containsText" text="T">
      <formula>NOT(ISERROR(SEARCH("T",AS182)))</formula>
    </cfRule>
  </conditionalFormatting>
  <conditionalFormatting sqref="AS192:AS193 X194:AR199 X192:AF193">
    <cfRule type="containsText" dxfId="576" priority="406" operator="containsText" text="17">
      <formula>NOT(ISERROR(SEARCH("17",X192)))</formula>
    </cfRule>
  </conditionalFormatting>
  <conditionalFormatting sqref="AS208:AS213">
    <cfRule type="containsText" dxfId="575" priority="437" operator="containsText" text="T">
      <formula>NOT(ISERROR(SEARCH("T",AS208)))</formula>
    </cfRule>
  </conditionalFormatting>
  <conditionalFormatting sqref="AS90:AT90 AW90:AY90 AY91:AY96">
    <cfRule type="containsText" dxfId="574" priority="345" operator="containsText" text="17">
      <formula>NOT(ISERROR(SEARCH("17",AS90)))</formula>
    </cfRule>
  </conditionalFormatting>
  <conditionalFormatting sqref="AS50:AY53">
    <cfRule type="containsText" dxfId="573" priority="268" operator="containsText" text="17">
      <formula>NOT(ISERROR(SEARCH("17",AS50)))</formula>
    </cfRule>
    <cfRule type="containsText" dxfId="572" priority="269" operator="containsText" text="T">
      <formula>NOT(ISERROR(SEARCH("T",AS50)))</formula>
    </cfRule>
  </conditionalFormatting>
  <conditionalFormatting sqref="AS63:AY66">
    <cfRule type="containsText" dxfId="571" priority="258" operator="containsText" text="17">
      <formula>NOT(ISERROR(SEARCH("17",AS63)))</formula>
    </cfRule>
    <cfRule type="containsText" dxfId="570" priority="259" operator="containsText" text="T">
      <formula>NOT(ISERROR(SEARCH("T",AS63)))</formula>
    </cfRule>
  </conditionalFormatting>
  <conditionalFormatting sqref="AT14 AX14:AZ14 AC15:AW20 AZ15:AZ20">
    <cfRule type="containsText" dxfId="569" priority="331" operator="containsText" text="T">
      <formula>NOT(ISERROR(SEARCH("T",AC14)))</formula>
    </cfRule>
  </conditionalFormatting>
  <conditionalFormatting sqref="AT50:AT53">
    <cfRule type="containsText" dxfId="568" priority="265" operator="containsText" text="17">
      <formula>NOT(ISERROR(SEARCH("17",AT50)))</formula>
    </cfRule>
    <cfRule type="containsText" dxfId="567" priority="266" operator="containsText" text="T">
      <formula>NOT(ISERROR(SEARCH("T",AT50)))</formula>
    </cfRule>
  </conditionalFormatting>
  <conditionalFormatting sqref="AT63:AT66">
    <cfRule type="containsText" dxfId="566" priority="255" operator="containsText" text="17">
      <formula>NOT(ISERROR(SEARCH("17",AT63)))</formula>
    </cfRule>
    <cfRule type="containsText" dxfId="565" priority="256" operator="containsText" text="T">
      <formula>NOT(ISERROR(SEARCH("T",AT63)))</formula>
    </cfRule>
  </conditionalFormatting>
  <conditionalFormatting sqref="AT90">
    <cfRule type="containsText" dxfId="564" priority="346" operator="containsText" text="T">
      <formula>NOT(ISERROR(SEARCH("T",AT90)))</formula>
    </cfRule>
  </conditionalFormatting>
  <conditionalFormatting sqref="AT201:AT206">
    <cfRule type="containsText" dxfId="563" priority="424" operator="containsText" text="T">
      <formula>NOT(ISERROR(SEARCH("T",AT201)))</formula>
    </cfRule>
  </conditionalFormatting>
  <conditionalFormatting sqref="AT14:AU14 AX14:AZ14 AZ15:AZ20">
    <cfRule type="containsText" dxfId="562" priority="332" operator="containsText" text="17">
      <formula>NOT(ISERROR(SEARCH("17",AT14)))</formula>
    </cfRule>
  </conditionalFormatting>
  <conditionalFormatting sqref="AT59:AZ62">
    <cfRule type="containsText" dxfId="561" priority="244" operator="containsText" text="17">
      <formula>NOT(ISERROR(SEARCH("17",AT59)))</formula>
    </cfRule>
    <cfRule type="containsText" dxfId="560" priority="245" operator="containsText" text="T">
      <formula>NOT(ISERROR(SEARCH("T",AT59)))</formula>
    </cfRule>
  </conditionalFormatting>
  <conditionalFormatting sqref="AT86:AZ89">
    <cfRule type="containsText" dxfId="559" priority="234" operator="containsText" text="17">
      <formula>NOT(ISERROR(SEARCH("17",AT86)))</formula>
    </cfRule>
    <cfRule type="containsText" dxfId="558" priority="235" operator="containsText" text="T">
      <formula>NOT(ISERROR(SEARCH("T",AT86)))</formula>
    </cfRule>
  </conditionalFormatting>
  <conditionalFormatting sqref="AU14">
    <cfRule type="containsText" dxfId="557" priority="333" operator="containsText" text="T">
      <formula>NOT(ISERROR(SEARCH("T",AU14)))</formula>
    </cfRule>
  </conditionalFormatting>
  <conditionalFormatting sqref="AU34 AY34:BA34 AD35:AX40 BA35:BA40">
    <cfRule type="containsText" dxfId="556" priority="318" operator="containsText" text="T">
      <formula>NOT(ISERROR(SEARCH("T",AD34)))</formula>
    </cfRule>
  </conditionalFormatting>
  <conditionalFormatting sqref="AU59:AU62">
    <cfRule type="containsText" dxfId="555" priority="241" operator="containsText" text="17">
      <formula>NOT(ISERROR(SEARCH("17",AU59)))</formula>
    </cfRule>
    <cfRule type="containsText" dxfId="554" priority="242" operator="containsText" text="T">
      <formula>NOT(ISERROR(SEARCH("T",AU59)))</formula>
    </cfRule>
  </conditionalFormatting>
  <conditionalFormatting sqref="AU86:AU89">
    <cfRule type="containsText" dxfId="553" priority="231" operator="containsText" text="17">
      <formula>NOT(ISERROR(SEARCH("17",AU86)))</formula>
    </cfRule>
    <cfRule type="containsText" dxfId="552" priority="232" operator="containsText" text="T">
      <formula>NOT(ISERROR(SEARCH("T",AU86)))</formula>
    </cfRule>
  </conditionalFormatting>
  <conditionalFormatting sqref="AU194:AU199">
    <cfRule type="containsText" dxfId="551" priority="411" operator="containsText" text="T">
      <formula>NOT(ISERROR(SEARCH("T",AU194)))</formula>
    </cfRule>
  </conditionalFormatting>
  <conditionalFormatting sqref="AU34:AV34 AY34:BA34 BA35:BA40">
    <cfRule type="containsText" dxfId="550" priority="319" operator="containsText" text="17">
      <formula>NOT(ISERROR(SEARCH("17",AU34)))</formula>
    </cfRule>
  </conditionalFormatting>
  <conditionalFormatting sqref="AU83:BA85">
    <cfRule type="containsText" dxfId="549" priority="224" operator="containsText" text="17">
      <formula>NOT(ISERROR(SEARCH("17",AU83)))</formula>
    </cfRule>
    <cfRule type="containsText" dxfId="548" priority="225" operator="containsText" text="T">
      <formula>NOT(ISERROR(SEARCH("T",AU83)))</formula>
    </cfRule>
  </conditionalFormatting>
  <conditionalFormatting sqref="AU214:BA217">
    <cfRule type="containsText" dxfId="547" priority="214" operator="containsText" text="17">
      <formula>NOT(ISERROR(SEARCH("17",AU214)))</formula>
    </cfRule>
    <cfRule type="containsText" dxfId="546" priority="215" operator="containsText" text="T">
      <formula>NOT(ISERROR(SEARCH("T",AU214)))</formula>
    </cfRule>
  </conditionalFormatting>
  <conditionalFormatting sqref="AU200:CP206 AT207:CP213 AY182:CP190 J191:CP191 BA14:CP20 J33:CP33 BB34:CP40 AL69:AQ71 AR152:CP158 AX175:CP181 J14:AB20 J21:AD27 BC21:CP27 J28:AE32 BE28:CP32 AE28:AF33 J34:AC40 J41:AE47 BD41:CP47 BE48:CP49 J50:AG53 BF50:CP53 AG53:BG53 J54:CP58 BG59:CP62 BF63:CP66 AN67:AR68 J69:M75 BN76:CP78 J76:J82 BL79:CP82 BH83:CP85 BG86:CP89 J90:AA96 AZ90:CP96 J99:N105 AM99:AR102 AJ106:AP106 J106:K112 BN107:CP112 BK113:CP116 BL117:CP119 AK121:AQ121 J127:O130 AN127:CP130 O130:AO130 J131:P137 AO131:CP137 J138:Q144 AP138:CP144 J145:R151 AQ145:CP151 J152:S158 J159:T165 AS159:CP165 J166:CP167 J168:X174 AW168:CP174 J175:Y181 J182:Z190 J192:W199 AV192:CP199 J200:V206 J207:U213 BH214:XFD217 BI218:XFD220 BI218:CP224 BJ225:CP231 BK232:CP234 AJ107:AO112 J120:L126 AL72:AP75 BO72:CP75 BO106:CP106 AK124:AP126 BO124:CP126 AK120:AP120 BO120:CP120 AK123:AQ123 AK122:AP122 BO122:CP122 AM105:AR105 AM103:AQ104 BP103:CP104 BP121:CP121 BP123:CP123 BP69:CP71 BQ99:CP102 BQ105:CP105 BQ67:CP68">
    <cfRule type="containsText" dxfId="545" priority="8230" operator="containsText" text="17">
      <formula>NOT(ISERROR(SEARCH("17",J14)))</formula>
    </cfRule>
  </conditionalFormatting>
  <conditionalFormatting sqref="AV21 AZ21:BB21 AE22:AY27">
    <cfRule type="containsText" dxfId="544" priority="305" operator="containsText" text="T">
      <formula>NOT(ISERROR(SEARCH("T",AE21)))</formula>
    </cfRule>
  </conditionalFormatting>
  <conditionalFormatting sqref="AV34">
    <cfRule type="containsText" dxfId="543" priority="320" operator="containsText" text="T">
      <formula>NOT(ISERROR(SEARCH("T",AV34)))</formula>
    </cfRule>
  </conditionalFormatting>
  <conditionalFormatting sqref="AV83:AV85">
    <cfRule type="containsText" dxfId="542" priority="221" operator="containsText" text="17">
      <formula>NOT(ISERROR(SEARCH("17",AV83)))</formula>
    </cfRule>
    <cfRule type="containsText" dxfId="541" priority="222" operator="containsText" text="T">
      <formula>NOT(ISERROR(SEARCH("T",AV83)))</formula>
    </cfRule>
  </conditionalFormatting>
  <conditionalFormatting sqref="AV169:AV174">
    <cfRule type="containsText" dxfId="540" priority="393" operator="containsText" text="T">
      <formula>NOT(ISERROR(SEARCH("T",AV169)))</formula>
    </cfRule>
  </conditionalFormatting>
  <conditionalFormatting sqref="AV214:AV217">
    <cfRule type="containsText" dxfId="539" priority="211" operator="containsText" text="17">
      <formula>NOT(ISERROR(SEARCH("17",AV214)))</formula>
    </cfRule>
    <cfRule type="containsText" dxfId="538" priority="212" operator="containsText" text="T">
      <formula>NOT(ISERROR(SEARCH("T",AV214)))</formula>
    </cfRule>
  </conditionalFormatting>
  <conditionalFormatting sqref="AV21:AW21 AZ21:BB21 BB22:BY27">
    <cfRule type="containsText" dxfId="537" priority="306" operator="containsText" text="17">
      <formula>NOT(ISERROR(SEARCH("17",AV21)))</formula>
    </cfRule>
  </conditionalFormatting>
  <conditionalFormatting sqref="AV218:BB224">
    <cfRule type="containsText" dxfId="536" priority="204" operator="containsText" text="17">
      <formula>NOT(ISERROR(SEARCH("17",AV218)))</formula>
    </cfRule>
    <cfRule type="containsText" dxfId="535" priority="205" operator="containsText" text="T">
      <formula>NOT(ISERROR(SEARCH("T",AV218)))</formula>
    </cfRule>
  </conditionalFormatting>
  <conditionalFormatting sqref="AV192:CP199 BH214:XFD217 BJ225:CP231 BI218:XFD220 BI218:CP224 AU200:CP206 AT207:CP213 AN127:CP130 AY182:CP190 AK121:AQ121 AM99:AR102 BG86:CP89 AZ90:CP96 BL79:CP82 AL69:AQ71 AQ145:CP151 AP138:CP144 AO131:CP137 AR152:CP158 AS159:CP165 BC21:CP27 BE28:CP32 J33:CP33 BB34:CP40 BD41:CP47 BE48:CP49 BF50:CP53 AG53:BG53 J54:CP58 BG59:CP62 BF63:CP66 AN67:AR68 BN76:CP78 BH83:CP85 AJ106:AP106 BN107:CP112 BK113:CP116 BL117:CP119 AW168:CP174 AX175:CP181 O130:AO130 J14:AB20 BA14:CP20 J21:AD27 J28:AE32 AE28:AF33 J34:AC40 J41:AE47 J69:M75 J76:J82 J90:AA96 J99:N105 J106:K112 J131:P137 J138:Q144 J145:R151 J152:S158 J159:T165 J166:CP167 J168:X174 J175:Y181 J182:Z190 J191:CP191 J192:W199 J200:V206 J207:U213 AL72:AP75 BO72:CP75 BO106:CP106 AK124:AP126 BO124:CP126 AK120:AP120 BO120:CP120 AK123:AQ123 AK122:AP122 BO122:CP122 AM105:AR105 AM103:AQ104 BP103:CP104 BP121:CP121 BP123:CP123 BP69:CP71 BQ99:CP102 BQ105:CP105 BQ67:CP68">
    <cfRule type="containsText" dxfId="534" priority="7000" operator="containsText" text="T">
      <formula>NOT(ISERROR(SEARCH("T",J14)))</formula>
    </cfRule>
  </conditionalFormatting>
  <conditionalFormatting sqref="AW21">
    <cfRule type="containsText" dxfId="533" priority="307" operator="containsText" text="T">
      <formula>NOT(ISERROR(SEARCH("T",AW21)))</formula>
    </cfRule>
  </conditionalFormatting>
  <conditionalFormatting sqref="AW41 BA41:BC41 AF42:AZ47 BC42:BC47">
    <cfRule type="containsText" dxfId="532" priority="292" operator="containsText" text="T">
      <formula>NOT(ISERROR(SEARCH("T",AF41)))</formula>
    </cfRule>
  </conditionalFormatting>
  <conditionalFormatting sqref="AW176:AW181">
    <cfRule type="containsText" dxfId="531" priority="380" operator="containsText" text="T">
      <formula>NOT(ISERROR(SEARCH("T",AW176)))</formula>
    </cfRule>
  </conditionalFormatting>
  <conditionalFormatting sqref="AW218:AW224">
    <cfRule type="containsText" dxfId="530" priority="201" operator="containsText" text="17">
      <formula>NOT(ISERROR(SEARCH("17",AW218)))</formula>
    </cfRule>
    <cfRule type="containsText" dxfId="529" priority="202" operator="containsText" text="T">
      <formula>NOT(ISERROR(SEARCH("T",AW218)))</formula>
    </cfRule>
  </conditionalFormatting>
  <conditionalFormatting sqref="AW41:AX41 BA41:BC41 BC42:BC47">
    <cfRule type="containsText" dxfId="528" priority="293" operator="containsText" text="17">
      <formula>NOT(ISERROR(SEARCH("17",AW41)))</formula>
    </cfRule>
  </conditionalFormatting>
  <conditionalFormatting sqref="AW225:BC231">
    <cfRule type="containsText" dxfId="527" priority="194" operator="containsText" text="17">
      <formula>NOT(ISERROR(SEARCH("17",AW225)))</formula>
    </cfRule>
    <cfRule type="containsText" dxfId="526" priority="195" operator="containsText" text="T">
      <formula>NOT(ISERROR(SEARCH("T",AW225)))</formula>
    </cfRule>
  </conditionalFormatting>
  <conditionalFormatting sqref="AX28:AX32 BB28:BD32">
    <cfRule type="containsText" dxfId="525" priority="282" operator="containsText" text="T">
      <formula>NOT(ISERROR(SEARCH("T",AX28)))</formula>
    </cfRule>
  </conditionalFormatting>
  <conditionalFormatting sqref="AX41">
    <cfRule type="containsText" dxfId="524" priority="294" operator="containsText" text="T">
      <formula>NOT(ISERROR(SEARCH("T",AX41)))</formula>
    </cfRule>
  </conditionalFormatting>
  <conditionalFormatting sqref="AX48:AX49 BB48:BD49">
    <cfRule type="containsText" dxfId="523" priority="272" operator="containsText" text="T">
      <formula>NOT(ISERROR(SEARCH("T",AX48)))</formula>
    </cfRule>
  </conditionalFormatting>
  <conditionalFormatting sqref="AX145:AX148">
    <cfRule type="containsText" dxfId="522" priority="1366" operator="containsText" text="17">
      <formula>NOT(ISERROR(SEARCH("17",AX145)))</formula>
    </cfRule>
    <cfRule type="containsText" dxfId="521" priority="1367" operator="containsText" text="T">
      <formula>NOT(ISERROR(SEARCH("T",AX145)))</formula>
    </cfRule>
  </conditionalFormatting>
  <conditionalFormatting sqref="AX170">
    <cfRule type="containsText" dxfId="520" priority="8425" operator="containsText" text="17">
      <formula>NOT(ISERROR(SEARCH("17",AX170)))</formula>
    </cfRule>
    <cfRule type="containsText" dxfId="519" priority="8426" operator="containsText" text="T">
      <formula>NOT(ISERROR(SEARCH("T",AX170)))</formula>
    </cfRule>
  </conditionalFormatting>
  <conditionalFormatting sqref="AX183:AX190">
    <cfRule type="containsText" dxfId="518" priority="367" operator="containsText" text="T">
      <formula>NOT(ISERROR(SEARCH("T",AX183)))</formula>
    </cfRule>
  </conditionalFormatting>
  <conditionalFormatting sqref="AX192">
    <cfRule type="containsText" dxfId="517" priority="2066" operator="containsText" text="17">
      <formula>NOT(ISERROR(SEARCH("17",AX192)))</formula>
    </cfRule>
    <cfRule type="containsText" dxfId="516" priority="2067" operator="containsText" text="T">
      <formula>NOT(ISERROR(SEARCH("T",AX192)))</formula>
    </cfRule>
    <cfRule type="containsText" dxfId="515" priority="5963" operator="containsText" text="17">
      <formula>NOT(ISERROR(SEARCH("17",AX192)))</formula>
    </cfRule>
    <cfRule type="containsText" dxfId="514" priority="5964" operator="containsText" text="T">
      <formula>NOT(ISERROR(SEARCH("T",AX192)))</formula>
    </cfRule>
  </conditionalFormatting>
  <conditionalFormatting sqref="AX196:AX198">
    <cfRule type="containsText" dxfId="513" priority="6991" operator="containsText" text="17">
      <formula>NOT(ISERROR(SEARCH("17",AX196)))</formula>
    </cfRule>
    <cfRule type="containsText" dxfId="512" priority="6992" operator="containsText" text="T">
      <formula>NOT(ISERROR(SEARCH("T",AX196)))</formula>
    </cfRule>
  </conditionalFormatting>
  <conditionalFormatting sqref="AX225:AX231">
    <cfRule type="containsText" dxfId="511" priority="191" operator="containsText" text="17">
      <formula>NOT(ISERROR(SEARCH("17",AX225)))</formula>
    </cfRule>
    <cfRule type="containsText" dxfId="510" priority="192" operator="containsText" text="T">
      <formula>NOT(ISERROR(SEARCH("T",AX225)))</formula>
    </cfRule>
  </conditionalFormatting>
  <conditionalFormatting sqref="AX28:AY32 BB28:BD32">
    <cfRule type="containsText" dxfId="509" priority="283" operator="containsText" text="17">
      <formula>NOT(ISERROR(SEARCH("17",AX28)))</formula>
    </cfRule>
  </conditionalFormatting>
  <conditionalFormatting sqref="AX48:AY49 BB48:BD49">
    <cfRule type="containsText" dxfId="508" priority="273" operator="containsText" text="17">
      <formula>NOT(ISERROR(SEARCH("17",AX48)))</formula>
    </cfRule>
  </conditionalFormatting>
  <conditionalFormatting sqref="AX131:AY136 BB131:BB136 BD131:BF136 AZ135:BA136 BC135:BC136 BG135:BK136 AX137:BL137 AX138:AZ142 BC138:BC142 BE138:BG142 BA142:BB142 BD142 BH142:BL142 AX143:BM144 BO143:BP144 BT145:BT148 AX149:BN154 BQ152:BR158 AX155:BF155 BH155:BN155 BG155:BG158 AX156:BB158 BE156:BE158 BH156:BI158 BR159:BR160 AX159:BO162 BP161:BP165 AX163:BC165 BF163:BF165 BH163:BJ165">
    <cfRule type="containsText" dxfId="507" priority="8231" operator="containsText" text="T">
      <formula>NOT(ISERROR(SEARCH("T",AX131)))</formula>
    </cfRule>
  </conditionalFormatting>
  <conditionalFormatting sqref="AX156:AZ158">
    <cfRule type="containsText" dxfId="504" priority="1136" operator="containsText" text="17">
      <formula>NOT(ISERROR(SEARCH("17",AX156)))</formula>
    </cfRule>
    <cfRule type="containsText" dxfId="503" priority="1137" operator="containsText" text="T">
      <formula>NOT(ISERROR(SEARCH("T",AX156)))</formula>
    </cfRule>
  </conditionalFormatting>
  <conditionalFormatting sqref="AX131:BA134">
    <cfRule type="containsText" dxfId="502" priority="1338" operator="containsText" text="17">
      <formula>NOT(ISERROR(SEARCH("17",AX131)))</formula>
    </cfRule>
    <cfRule type="containsText" dxfId="501" priority="1339" operator="containsText" text="T">
      <formula>NOT(ISERROR(SEARCH("T",AX131)))</formula>
    </cfRule>
  </conditionalFormatting>
  <conditionalFormatting sqref="AX163:BA165">
    <cfRule type="containsText" dxfId="500" priority="1126" operator="containsText" text="17">
      <formula>NOT(ISERROR(SEARCH("17",AX163)))</formula>
    </cfRule>
    <cfRule type="containsText" dxfId="499" priority="1127" operator="containsText" text="T">
      <formula>NOT(ISERROR(SEARCH("T",AX163)))</formula>
    </cfRule>
  </conditionalFormatting>
  <conditionalFormatting sqref="AX138:BB141">
    <cfRule type="containsText" dxfId="498" priority="1310" operator="containsText" text="17">
      <formula>NOT(ISERROR(SEARCH("17",AX138)))</formula>
    </cfRule>
    <cfRule type="containsText" dxfId="497" priority="1311" operator="containsText" text="T">
      <formula>NOT(ISERROR(SEARCH("T",AX138)))</formula>
    </cfRule>
  </conditionalFormatting>
  <conditionalFormatting sqref="AX199:BB199 AX206:BA206 AX213:AZ213 BP199:BR199 BO206:BQ206 BN213:BP213 BT199 BS206 BR213 BV199 BU206 BT213">
    <cfRule type="containsText" dxfId="496" priority="4757" operator="containsText" text="17">
      <formula>NOT(ISERROR(SEARCH("17",AX199)))</formula>
    </cfRule>
  </conditionalFormatting>
  <conditionalFormatting sqref="AX199:BB199 BP199:BR199 BT199 BV199 AX206:BA206 BO206:BQ206 BS206 BU206 AX213:AZ213 BN213:BP213 BR213 BT213">
    <cfRule type="containsText" dxfId="495" priority="4758" operator="containsText" text="T">
      <formula>NOT(ISERROR(SEARCH("T",AX199)))</formula>
    </cfRule>
  </conditionalFormatting>
  <conditionalFormatting sqref="AX33:BC33">
    <cfRule type="containsText" dxfId="494" priority="8529" operator="containsText" text="T">
      <formula>NOT(ISERROR(SEARCH("T",AX33)))</formula>
    </cfRule>
  </conditionalFormatting>
  <conditionalFormatting sqref="AX145:BC148">
    <cfRule type="containsText" dxfId="492" priority="1364" operator="containsText" text="17">
      <formula>NOT(ISERROR(SEARCH("17",AX145)))</formula>
    </cfRule>
    <cfRule type="containsText" dxfId="491" priority="1365" operator="containsText" text="T">
      <formula>NOT(ISERROR(SEARCH("T",AX145)))</formula>
    </cfRule>
  </conditionalFormatting>
  <conditionalFormatting sqref="AX113:BD116">
    <cfRule type="containsText" dxfId="490" priority="174" operator="containsText" text="17">
      <formula>NOT(ISERROR(SEARCH("17",AX113)))</formula>
    </cfRule>
    <cfRule type="containsText" dxfId="489" priority="175" operator="containsText" text="T">
      <formula>NOT(ISERROR(SEARCH("T",AX113)))</formula>
    </cfRule>
  </conditionalFormatting>
  <conditionalFormatting sqref="AX232:BD234">
    <cfRule type="containsText" dxfId="486" priority="184" operator="containsText" text="17">
      <formula>NOT(ISERROR(SEARCH("17",AX232)))</formula>
    </cfRule>
    <cfRule type="containsText" dxfId="485" priority="185" operator="containsText" text="T">
      <formula>NOT(ISERROR(SEARCH("T",AX232)))</formula>
    </cfRule>
  </conditionalFormatting>
  <conditionalFormatting sqref="AX199:BE199 AX206:BD206 AX213:BC213">
    <cfRule type="containsText" dxfId="484" priority="4765" operator="containsText" text="17">
      <formula>NOT(ISERROR(SEARCH("17",AX199)))</formula>
    </cfRule>
    <cfRule type="containsText" dxfId="483" priority="4766" operator="containsText" text="T">
      <formula>NOT(ISERROR(SEARCH("T",AX199)))</formula>
    </cfRule>
  </conditionalFormatting>
  <conditionalFormatting sqref="AX131:BK134">
    <cfRule type="containsText" dxfId="476" priority="1318" operator="containsText" text="17">
      <formula>NOT(ISERROR(SEARCH("17",AX131)))</formula>
    </cfRule>
    <cfRule type="containsText" dxfId="475" priority="1319" operator="containsText" text="T">
      <formula>NOT(ISERROR(SEARCH("T",AX131)))</formula>
    </cfRule>
  </conditionalFormatting>
  <conditionalFormatting sqref="AX138:BL141">
    <cfRule type="containsText" dxfId="472" priority="1292" operator="containsText" text="17">
      <formula>NOT(ISERROR(SEARCH("17",AX138)))</formula>
    </cfRule>
    <cfRule type="containsText" dxfId="471" priority="1293" operator="containsText" text="T">
      <formula>NOT(ISERROR(SEARCH("T",AX138)))</formula>
    </cfRule>
  </conditionalFormatting>
  <conditionalFormatting sqref="AY28:AY32">
    <cfRule type="containsText" dxfId="470" priority="284" operator="containsText" text="T">
      <formula>NOT(ISERROR(SEARCH("T",AY28)))</formula>
    </cfRule>
  </conditionalFormatting>
  <conditionalFormatting sqref="AY33">
    <cfRule type="containsText" dxfId="469" priority="7903" operator="containsText" text="17">
      <formula>NOT(ISERROR(SEARCH("17",AY33)))</formula>
    </cfRule>
    <cfRule type="containsText" dxfId="468" priority="7904" operator="containsText" text="T">
      <formula>NOT(ISERROR(SEARCH("T",AY33)))</formula>
    </cfRule>
  </conditionalFormatting>
  <conditionalFormatting sqref="AY48:AY49">
    <cfRule type="containsText" dxfId="467" priority="274" operator="containsText" text="T">
      <formula>NOT(ISERROR(SEARCH("T",AY48)))</formula>
    </cfRule>
  </conditionalFormatting>
  <conditionalFormatting sqref="AY50:AY53 BC50:BE53">
    <cfRule type="containsText" dxfId="466" priority="262" operator="containsText" text="T">
      <formula>NOT(ISERROR(SEARCH("T",AY50)))</formula>
    </cfRule>
  </conditionalFormatting>
  <conditionalFormatting sqref="AY63:AY66 BC63:BN66">
    <cfRule type="containsText" dxfId="465" priority="252" operator="containsText" text="T">
      <formula>NOT(ISERROR(SEARCH("T",AY63)))</formula>
    </cfRule>
  </conditionalFormatting>
  <conditionalFormatting sqref="AY91:AY96">
    <cfRule type="containsText" dxfId="464" priority="354" operator="containsText" text="T">
      <formula>NOT(ISERROR(SEARCH("T",AY91)))</formula>
    </cfRule>
  </conditionalFormatting>
  <conditionalFormatting sqref="AY113:AY116">
    <cfRule type="containsText" dxfId="463" priority="171" operator="containsText" text="17">
      <formula>NOT(ISERROR(SEARCH("17",AY113)))</formula>
    </cfRule>
    <cfRule type="containsText" dxfId="462" priority="172" operator="containsText" text="T">
      <formula>NOT(ISERROR(SEARCH("T",AY113)))</formula>
    </cfRule>
  </conditionalFormatting>
  <conditionalFormatting sqref="AY189">
    <cfRule type="containsText" dxfId="459" priority="4589" operator="containsText" text="17">
      <formula>NOT(ISERROR(SEARCH("17",AY189)))</formula>
    </cfRule>
    <cfRule type="containsText" dxfId="458" priority="4590" operator="containsText" text="T">
      <formula>NOT(ISERROR(SEARCH("T",AY189)))</formula>
    </cfRule>
    <cfRule type="containsText" dxfId="457" priority="4607" operator="containsText" text="17">
      <formula>NOT(ISERROR(SEARCH("17",AY189)))</formula>
    </cfRule>
    <cfRule type="containsText" dxfId="456" priority="4608" operator="containsText" text="T">
      <formula>NOT(ISERROR(SEARCH("T",AY189)))</formula>
    </cfRule>
  </conditionalFormatting>
  <conditionalFormatting sqref="AY190 AX191:BH191 BK191 BO191:BS191">
    <cfRule type="containsText" dxfId="455" priority="8211" operator="containsText" text="T">
      <formula>NOT(ISERROR(SEARCH("T",AX190)))</formula>
    </cfRule>
  </conditionalFormatting>
  <conditionalFormatting sqref="AY199 AX206">
    <cfRule type="containsText" dxfId="454" priority="1840" operator="containsText" text="17">
      <formula>NOT(ISERROR(SEARCH("17",AX199)))</formula>
    </cfRule>
    <cfRule type="containsText" dxfId="453" priority="1841" operator="containsText" text="T">
      <formula>NOT(ISERROR(SEARCH("T",AX199)))</formula>
    </cfRule>
  </conditionalFormatting>
  <conditionalFormatting sqref="AY232:AY234">
    <cfRule type="containsText" dxfId="452" priority="181" operator="containsText" text="17">
      <formula>NOT(ISERROR(SEARCH("17",AY232)))</formula>
    </cfRule>
    <cfRule type="containsText" dxfId="451" priority="182" operator="containsText" text="T">
      <formula>NOT(ISERROR(SEARCH("T",AY232)))</formula>
    </cfRule>
  </conditionalFormatting>
  <conditionalFormatting sqref="AY50:AZ53 BC50:BE53">
    <cfRule type="containsText" dxfId="450" priority="263" operator="containsText" text="17">
      <formula>NOT(ISERROR(SEARCH("17",AY50)))</formula>
    </cfRule>
  </conditionalFormatting>
  <conditionalFormatting sqref="AY63:AZ66 BC63:BE66">
    <cfRule type="containsText" dxfId="449" priority="253" operator="containsText" text="17">
      <formula>NOT(ISERROR(SEARCH("17",AY63)))</formula>
    </cfRule>
  </conditionalFormatting>
  <conditionalFormatting sqref="AY79:BE82">
    <cfRule type="containsText" dxfId="448" priority="154" operator="containsText" text="17">
      <formula>NOT(ISERROR(SEARCH("17",AY79)))</formula>
    </cfRule>
    <cfRule type="containsText" dxfId="447" priority="155" operator="containsText" text="T">
      <formula>NOT(ISERROR(SEARCH("T",AY79)))</formula>
    </cfRule>
  </conditionalFormatting>
  <conditionalFormatting sqref="AY117:BE119">
    <cfRule type="containsText" dxfId="446" priority="164" operator="containsText" text="17">
      <formula>NOT(ISERROR(SEARCH("17",AY117)))</formula>
    </cfRule>
    <cfRule type="containsText" dxfId="445" priority="165" operator="containsText" text="T">
      <formula>NOT(ISERROR(SEARCH("T",AY117)))</formula>
    </cfRule>
  </conditionalFormatting>
  <conditionalFormatting sqref="AY145:BL148">
    <cfRule type="containsText" dxfId="444" priority="1344" operator="containsText" text="17">
      <formula>NOT(ISERROR(SEARCH("17",AY145)))</formula>
    </cfRule>
    <cfRule type="containsText" dxfId="443" priority="1345" operator="containsText" text="T">
      <formula>NOT(ISERROR(SEARCH("T",AY145)))</formula>
    </cfRule>
  </conditionalFormatting>
  <conditionalFormatting sqref="AY169:BV173 AY174">
    <cfRule type="containsText" dxfId="442" priority="636" operator="containsText" text="T">
      <formula>NOT(ISERROR(SEARCH("T",AY169)))</formula>
    </cfRule>
  </conditionalFormatting>
  <conditionalFormatting sqref="AY193:BV213 AX195:BV195 BH214:BV215">
    <cfRule type="containsText" dxfId="441" priority="611" operator="containsText" text="T">
      <formula>NOT(ISERROR(SEARCH("T",AX193)))</formula>
    </cfRule>
    <cfRule type="containsText" dxfId="440" priority="612" operator="containsText" text="17">
      <formula>NOT(ISERROR(SEARCH("17",AX193)))</formula>
    </cfRule>
  </conditionalFormatting>
  <conditionalFormatting sqref="AZ15:AZ20">
    <cfRule type="containsText" dxfId="439" priority="341" operator="containsText" text="T">
      <formula>NOT(ISERROR(SEARCH("T",AZ15)))</formula>
    </cfRule>
  </conditionalFormatting>
  <conditionalFormatting sqref="AZ50:AZ53">
    <cfRule type="containsText" dxfId="438" priority="264" operator="containsText" text="T">
      <formula>NOT(ISERROR(SEARCH("T",AZ50)))</formula>
    </cfRule>
  </conditionalFormatting>
  <conditionalFormatting sqref="AZ63:AZ66">
    <cfRule type="containsText" dxfId="437" priority="254" operator="containsText" text="T">
      <formula>NOT(ISERROR(SEARCH("T",AZ63)))</formula>
    </cfRule>
  </conditionalFormatting>
  <conditionalFormatting sqref="AZ79:AZ82">
    <cfRule type="containsText" dxfId="436" priority="151" operator="containsText" text="17">
      <formula>NOT(ISERROR(SEARCH("17",AZ79)))</formula>
    </cfRule>
    <cfRule type="containsText" dxfId="435" priority="152" operator="containsText" text="T">
      <formula>NOT(ISERROR(SEARCH("T",AZ79)))</formula>
    </cfRule>
  </conditionalFormatting>
  <conditionalFormatting sqref="AZ86:AZ89 BD86:BF89">
    <cfRule type="containsText" dxfId="434" priority="228" operator="containsText" text="T">
      <formula>NOT(ISERROR(SEARCH("T",AZ86)))</formula>
    </cfRule>
  </conditionalFormatting>
  <conditionalFormatting sqref="AZ117:AZ119">
    <cfRule type="containsText" dxfId="433" priority="161" operator="containsText" text="17">
      <formula>NOT(ISERROR(SEARCH("17",AZ117)))</formula>
    </cfRule>
    <cfRule type="containsText" dxfId="432" priority="162" operator="containsText" text="T">
      <formula>NOT(ISERROR(SEARCH("T",AZ117)))</formula>
    </cfRule>
  </conditionalFormatting>
  <conditionalFormatting sqref="AZ59:BA62 BD59:BF62">
    <cfRule type="containsText" dxfId="431" priority="239" operator="containsText" text="17">
      <formula>NOT(ISERROR(SEARCH("17",AZ59)))</formula>
    </cfRule>
  </conditionalFormatting>
  <conditionalFormatting sqref="AZ86:BA89 BD86:BF89">
    <cfRule type="containsText" dxfId="430" priority="229" operator="containsText" text="17">
      <formula>NOT(ISERROR(SEARCH("17",AZ86)))</formula>
    </cfRule>
  </conditionalFormatting>
  <conditionalFormatting sqref="AZ93:BB93">
    <cfRule type="containsText" dxfId="429" priority="3753" operator="containsText" text="17">
      <formula>NOT(ISERROR(SEARCH("17",AZ93)))</formula>
    </cfRule>
    <cfRule type="containsText" dxfId="428" priority="3754" operator="containsText" text="T">
      <formula>NOT(ISERROR(SEARCH("T",AZ93)))</formula>
    </cfRule>
  </conditionalFormatting>
  <conditionalFormatting sqref="AZ175:BW178">
    <cfRule type="containsText" dxfId="427" priority="630" operator="containsText" text="T">
      <formula>NOT(ISERROR(SEARCH("T",AZ175)))</formula>
    </cfRule>
  </conditionalFormatting>
  <conditionalFormatting sqref="AZ180:BW183">
    <cfRule type="containsText" dxfId="426" priority="624" operator="containsText" text="T">
      <formula>NOT(ISERROR(SEARCH("T",AZ180)))</formula>
    </cfRule>
  </conditionalFormatting>
  <conditionalFormatting sqref="AZ185:BW190">
    <cfRule type="containsText" dxfId="425" priority="618" operator="containsText" text="T">
      <formula>NOT(ISERROR(SEARCH("T",AZ185)))</formula>
    </cfRule>
  </conditionalFormatting>
  <conditionalFormatting sqref="BA22:BA27">
    <cfRule type="containsText" dxfId="424" priority="246" operator="containsText" text="T">
      <formula>NOT(ISERROR(SEARCH("T",BA22)))</formula>
    </cfRule>
    <cfRule type="containsText" dxfId="423" priority="247" operator="containsText" text="17">
      <formula>NOT(ISERROR(SEARCH("17",BA22)))</formula>
    </cfRule>
  </conditionalFormatting>
  <conditionalFormatting sqref="BA35:BA40">
    <cfRule type="containsText" dxfId="422" priority="328" operator="containsText" text="T">
      <formula>NOT(ISERROR(SEARCH("T",BA35)))</formula>
    </cfRule>
  </conditionalFormatting>
  <conditionalFormatting sqref="BA59:BA62">
    <cfRule type="containsText" dxfId="421" priority="240" operator="containsText" text="T">
      <formula>NOT(ISERROR(SEARCH("T",BA59)))</formula>
    </cfRule>
  </conditionalFormatting>
  <conditionalFormatting sqref="BA83:BA85 BE83:BG85">
    <cfRule type="containsText" dxfId="420" priority="218" operator="containsText" text="T">
      <formula>NOT(ISERROR(SEARCH("T",BA83)))</formula>
    </cfRule>
  </conditionalFormatting>
  <conditionalFormatting sqref="BA86:BA89">
    <cfRule type="containsText" dxfId="419" priority="230" operator="containsText" text="T">
      <formula>NOT(ISERROR(SEARCH("T",BA86)))</formula>
    </cfRule>
  </conditionalFormatting>
  <conditionalFormatting sqref="BA199 AZ206 AY213">
    <cfRule type="containsText" dxfId="416" priority="4753" operator="containsText" text="17">
      <formula>NOT(ISERROR(SEARCH("17",AY199)))</formula>
    </cfRule>
    <cfRule type="containsText" dxfId="415" priority="4754" operator="containsText" text="T">
      <formula>NOT(ISERROR(SEARCH("T",AY199)))</formula>
    </cfRule>
  </conditionalFormatting>
  <conditionalFormatting sqref="BA214:BA217 BE214:BG217">
    <cfRule type="containsText" dxfId="414" priority="208" operator="containsText" text="T">
      <formula>NOT(ISERROR(SEARCH("T",BA214)))</formula>
    </cfRule>
  </conditionalFormatting>
  <conditionalFormatting sqref="BA22:BB27">
    <cfRule type="containsText" dxfId="413" priority="249" operator="containsText" text="T">
      <formula>NOT(ISERROR(SEARCH("T",BA22)))</formula>
    </cfRule>
  </conditionalFormatting>
  <conditionalFormatting sqref="BA83:BB85 BE83:BG85">
    <cfRule type="containsText" dxfId="412" priority="219" operator="containsText" text="17">
      <formula>NOT(ISERROR(SEARCH("17",BA83)))</formula>
    </cfRule>
  </conditionalFormatting>
  <conditionalFormatting sqref="BA214:BB217 BE214:BG217">
    <cfRule type="containsText" dxfId="411" priority="209" operator="containsText" text="17">
      <formula>NOT(ISERROR(SEARCH("17",BA214)))</formula>
    </cfRule>
  </conditionalFormatting>
  <conditionalFormatting sqref="BA76:BG78">
    <cfRule type="containsText" dxfId="410" priority="129" operator="containsText" text="17">
      <formula>NOT(ISERROR(SEARCH("17",BA76)))</formula>
    </cfRule>
    <cfRule type="containsText" dxfId="409" priority="130" operator="containsText" text="T">
      <formula>NOT(ISERROR(SEARCH("T",BA76)))</formula>
    </cfRule>
  </conditionalFormatting>
  <conditionalFormatting sqref="BA107:BG112">
    <cfRule type="containsText" dxfId="408" priority="139" operator="containsText" text="17">
      <formula>NOT(ISERROR(SEARCH("17",BA107)))</formula>
    </cfRule>
    <cfRule type="containsText" dxfId="407" priority="140" operator="containsText" text="T">
      <formula>NOT(ISERROR(SEARCH("T",BA107)))</formula>
    </cfRule>
  </conditionalFormatting>
  <conditionalFormatting sqref="BB22:BB27">
    <cfRule type="containsText" dxfId="406" priority="315" operator="containsText" text="T">
      <formula>NOT(ISERROR(SEARCH("T",BB22)))</formula>
    </cfRule>
  </conditionalFormatting>
  <conditionalFormatting sqref="BB76:BB78">
    <cfRule type="containsText" dxfId="405" priority="126" operator="containsText" text="17">
      <formula>NOT(ISERROR(SEARCH("17",BB76)))</formula>
    </cfRule>
    <cfRule type="containsText" dxfId="404" priority="127" operator="containsText" text="T">
      <formula>NOT(ISERROR(SEARCH("T",BB76)))</formula>
    </cfRule>
  </conditionalFormatting>
  <conditionalFormatting sqref="BB83:BB85">
    <cfRule type="containsText" dxfId="403" priority="220" operator="containsText" text="T">
      <formula>NOT(ISERROR(SEARCH("T",BB83)))</formula>
    </cfRule>
  </conditionalFormatting>
  <conditionalFormatting sqref="BB107:BB112">
    <cfRule type="containsText" dxfId="402" priority="136" operator="containsText" text="17">
      <formula>NOT(ISERROR(SEARCH("17",BB107)))</formula>
    </cfRule>
    <cfRule type="containsText" dxfId="401" priority="137" operator="containsText" text="T">
      <formula>NOT(ISERROR(SEARCH("T",BB107)))</formula>
    </cfRule>
  </conditionalFormatting>
  <conditionalFormatting sqref="BB199 BD199:BI199 BA206 BC206:BH206 AZ213 BB213:BG213">
    <cfRule type="containsText" dxfId="400" priority="4767" operator="containsText" text="17">
      <formula>NOT(ISERROR(SEARCH("17",AZ199)))</formula>
    </cfRule>
    <cfRule type="containsText" dxfId="399" priority="4768" operator="containsText" text="T">
      <formula>NOT(ISERROR(SEARCH("T",AZ199)))</formula>
    </cfRule>
  </conditionalFormatting>
  <conditionalFormatting sqref="BB214:BB217">
    <cfRule type="containsText" dxfId="398" priority="210" operator="containsText" text="T">
      <formula>NOT(ISERROR(SEARCH("T",BB214)))</formula>
    </cfRule>
  </conditionalFormatting>
  <conditionalFormatting sqref="BB218:BB224 BF218:BH224">
    <cfRule type="containsText" dxfId="397" priority="198" operator="containsText" text="T">
      <formula>NOT(ISERROR(SEARCH("T",BB218)))</formula>
    </cfRule>
  </conditionalFormatting>
  <conditionalFormatting sqref="BB35:BC40 AX54:BC58 BB93:BC96 BF93:BF96 BK131:BK136 BS161:BS165 AX166:BI167 BL166:BM167 BP166:BS167 AX175:AX178 AX196:AX198 AX203:BT205 BV203:BV205 BU210:BU212 AX212:BS212 BO97:BP97 BS97:BT97 AX97:AZ98 BB97:BB98">
    <cfRule type="containsText" dxfId="396" priority="8243" operator="containsText" text="T">
      <formula>NOT(ISERROR(SEARCH("T",AX35)))</formula>
    </cfRule>
  </conditionalFormatting>
  <conditionalFormatting sqref="BB218:BC224 BF218:BH224">
    <cfRule type="containsText" dxfId="395" priority="199" operator="containsText" text="17">
      <formula>NOT(ISERROR(SEARCH("17",BB218)))</formula>
    </cfRule>
  </conditionalFormatting>
  <conditionalFormatting sqref="BB156:BD158">
    <cfRule type="containsText" dxfId="394" priority="1138" operator="containsText" text="17">
      <formula>NOT(ISERROR(SEARCH("17",BB156)))</formula>
    </cfRule>
    <cfRule type="containsText" dxfId="393" priority="1139" operator="containsText" text="T">
      <formula>NOT(ISERROR(SEARCH("T",BB156)))</formula>
    </cfRule>
  </conditionalFormatting>
  <conditionalFormatting sqref="BB169:BL173">
    <cfRule type="containsText" dxfId="392" priority="640" operator="containsText" text="17">
      <formula>NOT(ISERROR(SEARCH("17",BB169)))</formula>
    </cfRule>
  </conditionalFormatting>
  <conditionalFormatting sqref="BB170:BN173">
    <cfRule type="containsText" dxfId="391" priority="637" operator="containsText" text="17">
      <formula>NOT(ISERROR(SEARCH("17",BB170)))</formula>
    </cfRule>
  </conditionalFormatting>
  <conditionalFormatting sqref="BB194:BN194 BB196:BN198">
    <cfRule type="containsText" dxfId="390" priority="613" operator="containsText" text="17">
      <formula>NOT(ISERROR(SEARCH("17",BB194)))</formula>
    </cfRule>
  </conditionalFormatting>
  <conditionalFormatting sqref="BC34">
    <cfRule type="containsText" dxfId="389" priority="7757" operator="containsText" text="17">
      <formula>NOT(ISERROR(SEARCH("17",BC34)))</formula>
    </cfRule>
    <cfRule type="containsText" dxfId="388" priority="7758" operator="containsText" text="T">
      <formula>NOT(ISERROR(SEARCH("T",BC34)))</formula>
    </cfRule>
    <cfRule type="containsText" dxfId="387" priority="7759" operator="containsText" text="17">
      <formula>NOT(ISERROR(SEARCH("17",BC34)))</formula>
    </cfRule>
    <cfRule type="containsText" dxfId="386" priority="7760" operator="containsText" text="T">
      <formula>NOT(ISERROR(SEARCH("T",BC34)))</formula>
    </cfRule>
  </conditionalFormatting>
  <conditionalFormatting sqref="BC42:BC47">
    <cfRule type="containsText" dxfId="385" priority="302" operator="containsText" text="T">
      <formula>NOT(ISERROR(SEARCH("T",BC42)))</formula>
    </cfRule>
  </conditionalFormatting>
  <conditionalFormatting sqref="BC199 BB206 BA213 BS127">
    <cfRule type="containsText" dxfId="384" priority="1842" operator="containsText" text="17">
      <formula>NOT(ISERROR(SEARCH("17",BA127)))</formula>
    </cfRule>
  </conditionalFormatting>
  <conditionalFormatting sqref="BC218:BC224">
    <cfRule type="containsText" dxfId="383" priority="200" operator="containsText" text="T">
      <formula>NOT(ISERROR(SEARCH("T",BC218)))</formula>
    </cfRule>
  </conditionalFormatting>
  <conditionalFormatting sqref="BC225:BC231 BG225:BI231">
    <cfRule type="containsText" dxfId="382" priority="188" operator="containsText" text="T">
      <formula>NOT(ISERROR(SEARCH("T",BC225)))</formula>
    </cfRule>
  </conditionalFormatting>
  <conditionalFormatting sqref="BC225:BD231 BG225:BI231">
    <cfRule type="containsText" dxfId="381" priority="189" operator="containsText" text="17">
      <formula>NOT(ISERROR(SEARCH("17",BC225)))</formula>
    </cfRule>
  </conditionalFormatting>
  <conditionalFormatting sqref="BC163:BE165">
    <cfRule type="containsText" dxfId="380" priority="1128" operator="containsText" text="17">
      <formula>NOT(ISERROR(SEARCH("17",BC163)))</formula>
    </cfRule>
    <cfRule type="containsText" dxfId="379" priority="1129" operator="containsText" text="T">
      <formula>NOT(ISERROR(SEARCH("T",BC163)))</formula>
    </cfRule>
  </conditionalFormatting>
  <conditionalFormatting sqref="BC156:BF158 BI156:BN158">
    <cfRule type="containsText" dxfId="378" priority="1134" operator="containsText" text="17">
      <formula>NOT(ISERROR(SEARCH("17",BC156)))</formula>
    </cfRule>
    <cfRule type="containsText" dxfId="377" priority="1135" operator="containsText" text="T">
      <formula>NOT(ISERROR(SEARCH("T",BC156)))</formula>
    </cfRule>
  </conditionalFormatting>
  <conditionalFormatting sqref="BC16:BO20">
    <cfRule type="containsText" dxfId="376" priority="8076" operator="containsText" text="17">
      <formula>NOT(ISERROR(SEARCH("17",BC16)))</formula>
    </cfRule>
  </conditionalFormatting>
  <conditionalFormatting sqref="BC176:BO178">
    <cfRule type="containsText" dxfId="375" priority="631" operator="containsText" text="17">
      <formula>NOT(ISERROR(SEARCH("17",BC176)))</formula>
    </cfRule>
  </conditionalFormatting>
  <conditionalFormatting sqref="BC181:BO183">
    <cfRule type="containsText" dxfId="374" priority="625" operator="containsText" text="17">
      <formula>NOT(ISERROR(SEARCH("17",BC181)))</formula>
    </cfRule>
  </conditionalFormatting>
  <conditionalFormatting sqref="BC186:BO190">
    <cfRule type="containsText" dxfId="373" priority="619" operator="containsText" text="17">
      <formula>NOT(ISERROR(SEARCH("17",BC186)))</formula>
    </cfRule>
  </conditionalFormatting>
  <conditionalFormatting sqref="BC199:BR199 BB206:BQ206 BA213:BP213 BS127">
    <cfRule type="containsText" dxfId="372" priority="4747" operator="containsText" text="17">
      <formula>NOT(ISERROR(SEARCH("17",BA127)))</formula>
    </cfRule>
  </conditionalFormatting>
  <conditionalFormatting sqref="BD113:BD116 BH113:BJ116">
    <cfRule type="containsText" dxfId="369" priority="168" operator="containsText" text="T">
      <formula>NOT(ISERROR(SEARCH("T",BD113)))</formula>
    </cfRule>
  </conditionalFormatting>
  <conditionalFormatting sqref="BD225:BD231">
    <cfRule type="containsText" dxfId="368" priority="190" operator="containsText" text="T">
      <formula>NOT(ISERROR(SEARCH("T",BD225)))</formula>
    </cfRule>
  </conditionalFormatting>
  <conditionalFormatting sqref="BD232:BD234 BH232:BJ234">
    <cfRule type="containsText" dxfId="367" priority="178" operator="containsText" text="T">
      <formula>NOT(ISERROR(SEARCH("T",BD232)))</formula>
    </cfRule>
  </conditionalFormatting>
  <conditionalFormatting sqref="BD113:BE116 BH113:BJ116">
    <cfRule type="containsText" dxfId="366" priority="169" operator="containsText" text="17">
      <formula>NOT(ISERROR(SEARCH("17",BD113)))</formula>
    </cfRule>
  </conditionalFormatting>
  <conditionalFormatting sqref="BD232:BE234 BH232:BV234">
    <cfRule type="containsText" dxfId="364" priority="179" operator="containsText" text="17">
      <formula>NOT(ISERROR(SEARCH("17",BD232)))</formula>
    </cfRule>
  </conditionalFormatting>
  <conditionalFormatting sqref="BD163:BG165 BJ163:BO165">
    <cfRule type="containsText" dxfId="363" priority="1124" operator="containsText" text="17">
      <formula>NOT(ISERROR(SEARCH("17",BD163)))</formula>
    </cfRule>
    <cfRule type="containsText" dxfId="362" priority="1125" operator="containsText" text="T">
      <formula>NOT(ISERROR(SEARCH("T",BD163)))</formula>
    </cfRule>
  </conditionalFormatting>
  <conditionalFormatting sqref="BD54:BN62 AZ59:AZ62">
    <cfRule type="containsText" dxfId="361" priority="238" operator="containsText" text="T">
      <formula>NOT(ISERROR(SEARCH("T",AZ54)))</formula>
    </cfRule>
  </conditionalFormatting>
  <conditionalFormatting sqref="BD35:CA39">
    <cfRule type="containsText" dxfId="360" priority="746" operator="containsText" text="T">
      <formula>NOT(ISERROR(SEARCH("T",BD35)))</formula>
    </cfRule>
  </conditionalFormatting>
  <conditionalFormatting sqref="BD41:CA45">
    <cfRule type="containsText" dxfId="359" priority="739" operator="containsText" text="T">
      <formula>NOT(ISERROR(SEARCH("T",BD41)))</formula>
    </cfRule>
  </conditionalFormatting>
  <conditionalFormatting sqref="BD47:CA47 BE48:CA48">
    <cfRule type="containsText" dxfId="358" priority="734" operator="containsText" text="T">
      <formula>NOT(ISERROR(SEARCH("T",BD47)))</formula>
    </cfRule>
  </conditionalFormatting>
  <conditionalFormatting sqref="BE79:BE82 BI79:BK82">
    <cfRule type="containsText" dxfId="357" priority="148" operator="containsText" text="T">
      <formula>NOT(ISERROR(SEARCH("T",BE79)))</formula>
    </cfRule>
  </conditionalFormatting>
  <conditionalFormatting sqref="BE113:BE116">
    <cfRule type="containsText" dxfId="356" priority="170" operator="containsText" text="T">
      <formula>NOT(ISERROR(SEARCH("T",BE113)))</formula>
    </cfRule>
  </conditionalFormatting>
  <conditionalFormatting sqref="BE117:BE119 BI117:BK119">
    <cfRule type="containsText" dxfId="355" priority="158" operator="containsText" text="T">
      <formula>NOT(ISERROR(SEARCH("T",BE117)))</formula>
    </cfRule>
  </conditionalFormatting>
  <conditionalFormatting sqref="BE131:BE134">
    <cfRule type="containsText" dxfId="354" priority="1332" operator="containsText" text="17">
      <formula>NOT(ISERROR(SEARCH("17",BE131)))</formula>
    </cfRule>
    <cfRule type="containsText" dxfId="353" priority="1333" operator="containsText" text="T">
      <formula>NOT(ISERROR(SEARCH("T",BE131)))</formula>
    </cfRule>
  </conditionalFormatting>
  <conditionalFormatting sqref="BE232:BE234">
    <cfRule type="containsText" dxfId="352" priority="180" operator="containsText" text="T">
      <formula>NOT(ISERROR(SEARCH("T",BE232)))</formula>
    </cfRule>
  </conditionalFormatting>
  <conditionalFormatting sqref="BE79:BF82 BI79:BK82">
    <cfRule type="containsText" dxfId="351" priority="149" operator="containsText" text="17">
      <formula>NOT(ISERROR(SEARCH("17",BE79)))</formula>
    </cfRule>
  </conditionalFormatting>
  <conditionalFormatting sqref="BE117:BF119 BI117:BK119">
    <cfRule type="containsText" dxfId="350" priority="159" operator="containsText" text="17">
      <formula>NOT(ISERROR(SEARCH("17",BE117)))</formula>
    </cfRule>
  </conditionalFormatting>
  <conditionalFormatting sqref="BE199:BF199 BD206:BE206 BC213:BD213">
    <cfRule type="containsText" dxfId="349" priority="1838" operator="containsText" text="17">
      <formula>NOT(ISERROR(SEARCH("17",BC199)))</formula>
    </cfRule>
    <cfRule type="containsText" dxfId="348" priority="1839" operator="containsText" text="T">
      <formula>NOT(ISERROR(SEARCH("T",BC199)))</formula>
    </cfRule>
  </conditionalFormatting>
  <conditionalFormatting sqref="BE23:BQ27">
    <cfRule type="containsText" dxfId="347" priority="759" operator="containsText" text="17">
      <formula>NOT(ISERROR(SEARCH("17",BE23)))</formula>
    </cfRule>
  </conditionalFormatting>
  <conditionalFormatting sqref="BF79:BF82">
    <cfRule type="containsText" dxfId="346" priority="150" operator="containsText" text="T">
      <formula>NOT(ISERROR(SEARCH("T",BF79)))</formula>
    </cfRule>
  </conditionalFormatting>
  <conditionalFormatting sqref="BF93:BF96 AZ94:BB96 AX97:BO97 BS97 AX98:BL98 BG94:BI96 BQ149:BQ151 BM231:BV234">
    <cfRule type="containsText" dxfId="345" priority="8272" operator="containsText" text="17">
      <formula>NOT(ISERROR(SEARCH("17",AX93)))</formula>
    </cfRule>
  </conditionalFormatting>
  <conditionalFormatting sqref="BF117:BF119">
    <cfRule type="containsText" dxfId="344" priority="160" operator="containsText" text="T">
      <formula>NOT(ISERROR(SEARCH("T",BF117)))</formula>
    </cfRule>
  </conditionalFormatting>
  <conditionalFormatting sqref="BF138:BF141">
    <cfRule type="containsText" dxfId="343" priority="1306" operator="containsText" text="17">
      <formula>NOT(ISERROR(SEARCH("17",BF138)))</formula>
    </cfRule>
    <cfRule type="containsText" dxfId="342" priority="1307" operator="containsText" text="T">
      <formula>NOT(ISERROR(SEARCH("T",BF138)))</formula>
    </cfRule>
  </conditionalFormatting>
  <conditionalFormatting sqref="BF50:CA52 BF53:BN53">
    <cfRule type="containsText" dxfId="340" priority="729" operator="containsText" text="T">
      <formula>NOT(ISERROR(SEARCH("T",BF50)))</formula>
    </cfRule>
  </conditionalFormatting>
  <conditionalFormatting sqref="BG76:BG78 BK76:BM78">
    <cfRule type="containsText" dxfId="335" priority="123" operator="containsText" text="T">
      <formula>NOT(ISERROR(SEARCH("T",BG76)))</formula>
    </cfRule>
  </conditionalFormatting>
  <conditionalFormatting sqref="BG86 BG93:BI93">
    <cfRule type="containsText" dxfId="334" priority="3797" operator="containsText" text="17">
      <formula>NOT(ISERROR(SEARCH("17",BG86)))</formula>
    </cfRule>
    <cfRule type="containsText" dxfId="333" priority="3798" operator="containsText" text="T">
      <formula>NOT(ISERROR(SEARCH("T",BG86)))</formula>
    </cfRule>
  </conditionalFormatting>
  <conditionalFormatting sqref="BG107:BG112 BK107:BM112">
    <cfRule type="containsText" dxfId="332" priority="133" operator="containsText" text="T">
      <formula>NOT(ISERROR(SEARCH("T",BG107)))</formula>
    </cfRule>
  </conditionalFormatting>
  <conditionalFormatting sqref="BG131:BG133">
    <cfRule type="containsText" dxfId="331" priority="1316" operator="containsText" text="17">
      <formula>NOT(ISERROR(SEARCH("17",BG131)))</formula>
    </cfRule>
    <cfRule type="containsText" dxfId="330" priority="1317" operator="containsText" text="T">
      <formula>NOT(ISERROR(SEARCH("T",BG131)))</formula>
    </cfRule>
  </conditionalFormatting>
  <conditionalFormatting sqref="BG145:BG148">
    <cfRule type="containsText" dxfId="329" priority="1360" operator="containsText" text="17">
      <formula>NOT(ISERROR(SEARCH("17",BG145)))</formula>
    </cfRule>
    <cfRule type="containsText" dxfId="328" priority="1361" operator="containsText" text="T">
      <formula>NOT(ISERROR(SEARCH("T",BG145)))</formula>
    </cfRule>
  </conditionalFormatting>
  <conditionalFormatting sqref="BG76:BH78 BK76:BM78">
    <cfRule type="containsText" dxfId="327" priority="124" operator="containsText" text="17">
      <formula>NOT(ISERROR(SEARCH("17",BG76)))</formula>
    </cfRule>
  </conditionalFormatting>
  <conditionalFormatting sqref="BG107:BH112 BK107:BM112">
    <cfRule type="containsText" dxfId="326" priority="134" operator="containsText" text="17">
      <formula>NOT(ISERROR(SEARCH("17",BG107)))</formula>
    </cfRule>
  </conditionalFormatting>
  <conditionalFormatting sqref="BF93:BF96 AZ94:BB96 BG94:BI96 AX97:BO97 BS97 AX98:BL98 BQ149:BQ151 BM231:BV234">
    <cfRule type="containsText" dxfId="325" priority="8273" operator="containsText" text="T">
      <formula>NOT(ISERROR(SEARCH("T",AX93)))</formula>
    </cfRule>
  </conditionalFormatting>
  <conditionalFormatting sqref="BG35:BQ39">
    <cfRule type="containsText" dxfId="324" priority="750" operator="containsText" text="17">
      <formula>NOT(ISERROR(SEARCH("17",BG35)))</formula>
    </cfRule>
  </conditionalFormatting>
  <conditionalFormatting sqref="BG41:BQ45">
    <cfRule type="containsText" dxfId="323" priority="743" operator="containsText" text="17">
      <formula>NOT(ISERROR(SEARCH("17",BG41)))</formula>
    </cfRule>
  </conditionalFormatting>
  <conditionalFormatting sqref="BG47:BQ48">
    <cfRule type="containsText" dxfId="322" priority="738" operator="containsText" text="17">
      <formula>NOT(ISERROR(SEARCH("17",BG47)))</formula>
    </cfRule>
  </conditionalFormatting>
  <conditionalFormatting sqref="BG50:BQ52">
    <cfRule type="containsText" dxfId="321" priority="733" operator="containsText" text="17">
      <formula>NOT(ISERROR(SEARCH("17",BG50)))</formula>
    </cfRule>
  </conditionalFormatting>
  <conditionalFormatting sqref="BG30:BS33">
    <cfRule type="containsText" dxfId="320" priority="753" operator="containsText" text="17">
      <formula>NOT(ISERROR(SEARCH("17",BG30)))</formula>
    </cfRule>
  </conditionalFormatting>
  <conditionalFormatting sqref="BG36:BS39">
    <cfRule type="containsText" dxfId="319" priority="747" operator="containsText" text="17">
      <formula>NOT(ISERROR(SEARCH("17",BG36)))</formula>
    </cfRule>
  </conditionalFormatting>
  <conditionalFormatting sqref="BG42:BS45">
    <cfRule type="containsText" dxfId="318" priority="740" operator="containsText" text="17">
      <formula>NOT(ISERROR(SEARCH("17",BG42)))</formula>
    </cfRule>
  </conditionalFormatting>
  <conditionalFormatting sqref="BG48:BS48">
    <cfRule type="containsText" dxfId="317" priority="735" operator="containsText" text="17">
      <formula>NOT(ISERROR(SEARCH("17",BG48)))</formula>
    </cfRule>
  </conditionalFormatting>
  <conditionalFormatting sqref="BG51:BS52 BG53:BN66">
    <cfRule type="containsText" dxfId="316" priority="730" operator="containsText" text="17">
      <formula>NOT(ISERROR(SEARCH("17",BG51)))</formula>
    </cfRule>
  </conditionalFormatting>
  <conditionalFormatting sqref="BH76:BH78">
    <cfRule type="containsText" dxfId="315" priority="125" operator="containsText" text="T">
      <formula>NOT(ISERROR(SEARCH("T",BH76)))</formula>
    </cfRule>
  </conditionalFormatting>
  <conditionalFormatting sqref="BH107:BH112">
    <cfRule type="containsText" dxfId="314" priority="135" operator="containsText" text="T">
      <formula>NOT(ISERROR(SEARCH("T",BH107)))</formula>
    </cfRule>
  </conditionalFormatting>
  <conditionalFormatting sqref="BH138:BH140">
    <cfRule type="containsText" dxfId="310" priority="1342" operator="containsText" text="17">
      <formula>NOT(ISERROR(SEARCH("17",BH138)))</formula>
    </cfRule>
    <cfRule type="containsText" dxfId="309" priority="1343" operator="containsText" text="T">
      <formula>NOT(ISERROR(SEARCH("T",BH138)))</formula>
    </cfRule>
  </conditionalFormatting>
  <conditionalFormatting sqref="BH214:BI216">
    <cfRule type="containsText" dxfId="308" priority="5553" operator="containsText" text="17">
      <formula>NOT(ISERROR(SEARCH("17",BH214)))</formula>
    </cfRule>
    <cfRule type="containsText" dxfId="307" priority="5554" operator="containsText" text="T">
      <formula>NOT(ISERROR(SEARCH("T",BH214)))</formula>
    </cfRule>
  </conditionalFormatting>
  <conditionalFormatting sqref="BH84:CE89">
    <cfRule type="containsText" dxfId="306" priority="706" operator="containsText" text="17">
      <formula>NOT(ISERROR(SEARCH("17",BH84)))</formula>
    </cfRule>
  </conditionalFormatting>
  <conditionalFormatting sqref="BI214:BJ216 BM214:BM216">
    <cfRule type="containsText" dxfId="304" priority="5560" operator="containsText" text="T">
      <formula>NOT(ISERROR(SEARCH("T",BI214)))</formula>
    </cfRule>
  </conditionalFormatting>
  <conditionalFormatting sqref="BJ152:BJ154">
    <cfRule type="containsText" dxfId="300" priority="1132" operator="containsText" text="17">
      <formula>NOT(ISERROR(SEARCH("17",BJ152)))</formula>
    </cfRule>
    <cfRule type="containsText" dxfId="299" priority="1133" operator="containsText" text="T">
      <formula>NOT(ISERROR(SEARCH("T",BJ152)))</formula>
    </cfRule>
  </conditionalFormatting>
  <conditionalFormatting sqref="BJ199 BI206 BH213">
    <cfRule type="containsText" dxfId="298" priority="4745" operator="containsText" text="17">
      <formula>NOT(ISERROR(SEARCH("17",BH199)))</formula>
    </cfRule>
    <cfRule type="containsText" dxfId="297" priority="4746" operator="containsText" text="T">
      <formula>NOT(ISERROR(SEARCH("T",BH199)))</formula>
    </cfRule>
  </conditionalFormatting>
  <conditionalFormatting sqref="BJ131:BK134 BN131:BN134">
    <cfRule type="containsText" dxfId="296" priority="1329" operator="containsText" text="T">
      <formula>NOT(ISERROR(SEARCH("T",BJ131)))</formula>
    </cfRule>
  </conditionalFormatting>
  <conditionalFormatting sqref="BJ228:BV231 BK232:BV234">
    <cfRule type="containsText" dxfId="295" priority="5384" operator="containsText" text="T">
      <formula>NOT(ISERROR(SEARCH("T",BJ228)))</formula>
    </cfRule>
    <cfRule type="containsText" dxfId="294" priority="5387" operator="containsText" text="17">
      <formula>NOT(ISERROR(SEARCH("17",BJ228)))</formula>
    </cfRule>
  </conditionalFormatting>
  <conditionalFormatting sqref="BJ228:BV231 BK232:CP234">
    <cfRule type="containsText" dxfId="293" priority="5388" operator="containsText" text="T">
      <formula>NOT(ISERROR(SEARCH("T",BJ228)))</formula>
    </cfRule>
  </conditionalFormatting>
  <conditionalFormatting sqref="BJ228:BV231">
    <cfRule type="containsText" dxfId="292" priority="5383" operator="containsText" text="17">
      <formula>NOT(ISERROR(SEARCH("17",BJ228)))</formula>
    </cfRule>
  </conditionalFormatting>
  <conditionalFormatting sqref="BK199 BJ206 BI213">
    <cfRule type="containsText" dxfId="291" priority="4761" operator="containsText" text="17">
      <formula>NOT(ISERROR(SEARCH("17",BI199)))</formula>
    </cfRule>
    <cfRule type="containsText" dxfId="290" priority="4762" operator="containsText" text="T">
      <formula>NOT(ISERROR(SEARCH("T",BI199)))</formula>
    </cfRule>
  </conditionalFormatting>
  <conditionalFormatting sqref="BK217:BK223 BL224:BL230">
    <cfRule type="containsText" dxfId="289" priority="5311" operator="containsText" text="17">
      <formula>NOT(ISERROR(SEARCH("17",BK217)))</formula>
    </cfRule>
    <cfRule type="containsText" dxfId="288" priority="5312" operator="containsText" text="T">
      <formula>NOT(ISERROR(SEARCH("T",BK217)))</formula>
    </cfRule>
  </conditionalFormatting>
  <conditionalFormatting sqref="BK138:BL141 BO138:BO141">
    <cfRule type="containsText" dxfId="287" priority="1303" operator="containsText" text="T">
      <formula>NOT(ISERROR(SEARCH("T",BK138)))</formula>
    </cfRule>
  </conditionalFormatting>
  <conditionalFormatting sqref="BK217:BN217">
    <cfRule type="containsText" dxfId="285" priority="5009" operator="containsText" text="17">
      <formula>NOT(ISERROR(SEARCH("17",BK217)))</formula>
    </cfRule>
    <cfRule type="containsText" dxfId="284" priority="5010" operator="containsText" text="T">
      <formula>NOT(ISERROR(SEARCH("T",BK217)))</formula>
    </cfRule>
  </conditionalFormatting>
  <conditionalFormatting sqref="BK218:BN223">
    <cfRule type="containsText" dxfId="283" priority="5317" operator="containsText" text="17">
      <formula>NOT(ISERROR(SEARCH("17",BK218)))</formula>
    </cfRule>
    <cfRule type="containsText" dxfId="282" priority="5318" operator="containsText" text="T">
      <formula>NOT(ISERROR(SEARCH("T",BK218)))</formula>
    </cfRule>
  </conditionalFormatting>
  <conditionalFormatting sqref="BK85:BW89">
    <cfRule type="containsText" dxfId="281" priority="707" operator="containsText" text="17">
      <formula>NOT(ISERROR(SEARCH("17",BK85)))</formula>
    </cfRule>
  </conditionalFormatting>
  <conditionalFormatting sqref="BL79">
    <cfRule type="containsText" dxfId="280" priority="3565" operator="containsText" text="17">
      <formula>NOT(ISERROR(SEARCH("17",BL79)))</formula>
    </cfRule>
    <cfRule type="containsText" dxfId="279" priority="3566" operator="containsText" text="T">
      <formula>NOT(ISERROR(SEARCH("T",BL79)))</formula>
    </cfRule>
  </conditionalFormatting>
  <conditionalFormatting sqref="BL145:BM148 BP145:BQ148">
    <cfRule type="containsText" dxfId="278" priority="1357" operator="containsText" text="T">
      <formula>NOT(ISERROR(SEARCH("T",BL145)))</formula>
    </cfRule>
  </conditionalFormatting>
  <conditionalFormatting sqref="BL199:BM199 BK206:BL206 BJ213:BK213">
    <cfRule type="containsText" dxfId="277" priority="1836" operator="containsText" text="17">
      <formula>NOT(ISERROR(SEARCH("17",BJ199)))</formula>
    </cfRule>
    <cfRule type="containsText" dxfId="276" priority="1837" operator="containsText" text="T">
      <formula>NOT(ISERROR(SEARCH("T",BJ199)))</formula>
    </cfRule>
  </conditionalFormatting>
  <conditionalFormatting sqref="BL224:BP230 BO214:BO223">
    <cfRule type="containsText" dxfId="275" priority="5315" operator="containsText" text="17">
      <formula>NOT(ISERROR(SEARCH("17",BL214)))</formula>
    </cfRule>
  </conditionalFormatting>
  <conditionalFormatting sqref="BL217:BQ217">
    <cfRule type="containsText" dxfId="274" priority="5011" operator="containsText" text="17">
      <formula>NOT(ISERROR(SEARCH("17",BL217)))</formula>
    </cfRule>
    <cfRule type="containsText" dxfId="273" priority="5012" operator="containsText" text="T">
      <formula>NOT(ISERROR(SEARCH("T",BL217)))</formula>
    </cfRule>
  </conditionalFormatting>
  <conditionalFormatting sqref="BL218:BQ223 BM224:BV230">
    <cfRule type="containsText" dxfId="272" priority="5323" operator="containsText" text="17">
      <formula>NOT(ISERROR(SEARCH("17",BL218)))</formula>
    </cfRule>
    <cfRule type="containsText" dxfId="271" priority="5324" operator="containsText" text="T">
      <formula>NOT(ISERROR(SEARCH("T",BL218)))</formula>
    </cfRule>
  </conditionalFormatting>
  <conditionalFormatting sqref="BL117:CI119 CI121:CI122 BO120:CI120">
    <cfRule type="containsText" dxfId="270" priority="678" operator="containsText" text="17">
      <formula>NOT(ISERROR(SEARCH("17",BL117)))</formula>
    </cfRule>
  </conditionalFormatting>
  <conditionalFormatting sqref="BM214:BM216 BI214:BJ216">
    <cfRule type="containsText" dxfId="266" priority="5559" operator="containsText" text="17">
      <formula>NOT(ISERROR(SEARCH("17",BI214)))</formula>
    </cfRule>
  </conditionalFormatting>
  <conditionalFormatting sqref="BM214:BM216">
    <cfRule type="containsText" dxfId="265" priority="5557" operator="containsText" text="17">
      <formula>NOT(ISERROR(SEARCH("17",BM214)))</formula>
    </cfRule>
    <cfRule type="containsText" dxfId="264" priority="5558" operator="containsText" text="T">
      <formula>NOT(ISERROR(SEARCH("T",BM214)))</formula>
    </cfRule>
  </conditionalFormatting>
  <conditionalFormatting sqref="BM169:BN169 BO169:BU173">
    <cfRule type="containsText" dxfId="263" priority="638" operator="containsText" text="17">
      <formula>NOT(ISERROR(SEARCH("17",BM169)))</formula>
    </cfRule>
    <cfRule type="containsText" dxfId="262" priority="639" operator="containsText" text="T">
      <formula>NOT(ISERROR(SEARCH("T",BM169)))</formula>
    </cfRule>
  </conditionalFormatting>
  <conditionalFormatting sqref="BM193:BN215 BP193:BU215">
    <cfRule type="containsText" dxfId="261" priority="615" operator="containsText" text="T">
      <formula>NOT(ISERROR(SEARCH("T",BM193)))</formula>
    </cfRule>
  </conditionalFormatting>
  <conditionalFormatting sqref="BM193:BU215">
    <cfRule type="containsText" dxfId="260" priority="614" operator="containsText" text="17">
      <formula>NOT(ISERROR(SEARCH("17",BM193)))</formula>
    </cfRule>
  </conditionalFormatting>
  <conditionalFormatting sqref="BM92:BY96">
    <cfRule type="containsText" dxfId="259" priority="701" operator="containsText" text="17">
      <formula>NOT(ISERROR(SEARCH("17",BM92)))</formula>
    </cfRule>
  </conditionalFormatting>
  <conditionalFormatting sqref="BM79:CJ82 CF83:CJ84">
    <cfRule type="containsText" dxfId="258" priority="712" operator="containsText" text="17">
      <formula>NOT(ISERROR(SEARCH("17",BM79)))</formula>
    </cfRule>
  </conditionalFormatting>
  <conditionalFormatting sqref="BQ105:CJ105 BN107:CJ109 BO106:CJ106">
    <cfRule type="containsText" dxfId="257" priority="690" operator="containsText" text="17">
      <formula>NOT(ISERROR(SEARCH("17",BN105)))</formula>
    </cfRule>
  </conditionalFormatting>
  <conditionalFormatting sqref="BN131:BN134 BJ131:BK134">
    <cfRule type="containsText" dxfId="256" priority="1328" operator="containsText" text="17">
      <formula>NOT(ISERROR(SEARCH("17",BJ131)))</formula>
    </cfRule>
  </conditionalFormatting>
  <conditionalFormatting sqref="BN131:BN134">
    <cfRule type="containsText" dxfId="255" priority="1326" operator="containsText" text="17">
      <formula>NOT(ISERROR(SEARCH("17",BN131)))</formula>
    </cfRule>
    <cfRule type="containsText" dxfId="254" priority="1327" operator="containsText" text="T">
      <formula>NOT(ISERROR(SEARCH("T",BN131)))</formula>
    </cfRule>
  </conditionalFormatting>
  <conditionalFormatting sqref="BN15:BO15 BP15:BV20">
    <cfRule type="containsText" dxfId="253" priority="8077" operator="containsText" text="17">
      <formula>NOT(ISERROR(SEARCH("17",BN15)))</formula>
    </cfRule>
  </conditionalFormatting>
  <conditionalFormatting sqref="BN15:BO15 BQ15:BU15">
    <cfRule type="containsText" dxfId="252" priority="8078" operator="containsText" text="T">
      <formula>NOT(ISERROR(SEARCH("T",BN15)))</formula>
    </cfRule>
  </conditionalFormatting>
  <conditionalFormatting sqref="BN175:BO175 BP175:BV178">
    <cfRule type="containsText" dxfId="251" priority="632" operator="containsText" text="17">
      <formula>NOT(ISERROR(SEARCH("17",BN175)))</formula>
    </cfRule>
    <cfRule type="containsText" dxfId="250" priority="633" operator="containsText" text="T">
      <formula>NOT(ISERROR(SEARCH("T",BN175)))</formula>
    </cfRule>
  </conditionalFormatting>
  <conditionalFormatting sqref="BN180:BO180 BP180:BV183">
    <cfRule type="containsText" dxfId="249" priority="626" operator="containsText" text="17">
      <formula>NOT(ISERROR(SEARCH("17",BN180)))</formula>
    </cfRule>
    <cfRule type="containsText" dxfId="248" priority="627" operator="containsText" text="T">
      <formula>NOT(ISERROR(SEARCH("T",BN180)))</formula>
    </cfRule>
  </conditionalFormatting>
  <conditionalFormatting sqref="BN185:BO185 BP185:BV190">
    <cfRule type="containsText" dxfId="247" priority="620" operator="containsText" text="17">
      <formula>NOT(ISERROR(SEARCH("17",BN185)))</formula>
    </cfRule>
    <cfRule type="containsText" dxfId="246" priority="621" operator="containsText" text="T">
      <formula>NOT(ISERROR(SEARCH("T",BN185)))</formula>
    </cfRule>
  </conditionalFormatting>
  <conditionalFormatting sqref="BP123:BZ123 BO124:BZ126">
    <cfRule type="containsText" dxfId="245" priority="673" operator="containsText" text="17">
      <formula>NOT(ISERROR(SEARCH("17",BO123)))</formula>
    </cfRule>
  </conditionalFormatting>
  <conditionalFormatting sqref="BN111:CJ112 BM113:CJ115 CJ116">
    <cfRule type="containsText" dxfId="244" priority="684" operator="containsText" text="17">
      <formula>NOT(ISERROR(SEARCH("17",BM111)))</formula>
    </cfRule>
  </conditionalFormatting>
  <conditionalFormatting sqref="BN76:CK77 CK78 BO73:CK75">
    <cfRule type="containsText" dxfId="243" priority="718" operator="containsText" text="17">
      <formula>NOT(ISERROR(SEARCH("17",BN73)))</formula>
    </cfRule>
  </conditionalFormatting>
  <conditionalFormatting sqref="BO134">
    <cfRule type="containsText" dxfId="242" priority="1340" operator="containsText" text="17">
      <formula>NOT(ISERROR(SEARCH("17",BO134)))</formula>
    </cfRule>
    <cfRule type="containsText" dxfId="241" priority="1341" operator="containsText" text="T">
      <formula>NOT(ISERROR(SEARCH("T",BO134)))</formula>
    </cfRule>
  </conditionalFormatting>
  <conditionalFormatting sqref="BO138:BO141 BK138:BL141">
    <cfRule type="containsText" dxfId="240" priority="1302" operator="containsText" text="17">
      <formula>NOT(ISERROR(SEARCH("17",BK138)))</formula>
    </cfRule>
  </conditionalFormatting>
  <conditionalFormatting sqref="BO138:BO141">
    <cfRule type="containsText" dxfId="239" priority="1300" operator="containsText" text="17">
      <formula>NOT(ISERROR(SEARCH("17",BO138)))</formula>
    </cfRule>
    <cfRule type="containsText" dxfId="238" priority="1301" operator="containsText" text="T">
      <formula>NOT(ISERROR(SEARCH("T",BO138)))</formula>
    </cfRule>
  </conditionalFormatting>
  <conditionalFormatting sqref="BO193:BO215 BP194:BT194 BM195:BS195 BO196:BT198">
    <cfRule type="containsText" dxfId="237" priority="617" operator="containsText" text="T">
      <formula>NOT(ISERROR(SEARCH("T",BM193)))</formula>
    </cfRule>
  </conditionalFormatting>
  <conditionalFormatting sqref="BO214:BO216">
    <cfRule type="containsText" dxfId="236" priority="5581" operator="containsText" text="17">
      <formula>NOT(ISERROR(SEARCH("17",BO214)))</formula>
    </cfRule>
    <cfRule type="containsText" dxfId="235" priority="5582" operator="containsText" text="T">
      <formula>NOT(ISERROR(SEARCH("T",BO214)))</formula>
    </cfRule>
  </conditionalFormatting>
  <conditionalFormatting sqref="BO214:BO223 BL224:BP230">
    <cfRule type="containsText" dxfId="234" priority="5316" operator="containsText" text="T">
      <formula>NOT(ISERROR(SEARCH("T",BL214)))</formula>
    </cfRule>
  </conditionalFormatting>
  <conditionalFormatting sqref="BO118:CA120">
    <cfRule type="containsText" dxfId="233" priority="679" operator="containsText" text="17">
      <formula>NOT(ISERROR(SEARCH("17",BO118)))</formula>
    </cfRule>
  </conditionalFormatting>
  <conditionalFormatting sqref="BP141">
    <cfRule type="containsText" dxfId="232" priority="1314" operator="containsText" text="17">
      <formula>NOT(ISERROR(SEARCH("17",BP141)))</formula>
    </cfRule>
    <cfRule type="containsText" dxfId="231" priority="1315" operator="containsText" text="T">
      <formula>NOT(ISERROR(SEARCH("T",BP141)))</formula>
    </cfRule>
  </conditionalFormatting>
  <conditionalFormatting sqref="BP145:BP148">
    <cfRule type="containsText" dxfId="230" priority="1354" operator="containsText" text="17">
      <formula>NOT(ISERROR(SEARCH("17",BP145)))</formula>
    </cfRule>
    <cfRule type="containsText" dxfId="229" priority="1355" operator="containsText" text="T">
      <formula>NOT(ISERROR(SEARCH("T",BP145)))</formula>
    </cfRule>
  </conditionalFormatting>
  <conditionalFormatting sqref="BP217:BP223 BQ224:BQ230 BR217:BU223">
    <cfRule type="containsText" dxfId="228" priority="5325" operator="containsText" text="17">
      <formula>NOT(ISERROR(SEARCH("17",BP217)))</formula>
    </cfRule>
  </conditionalFormatting>
  <conditionalFormatting sqref="BP217:BP223 BR217:BU223 BQ224:BQ230">
    <cfRule type="containsText" dxfId="227" priority="5326" operator="containsText" text="T">
      <formula>NOT(ISERROR(SEARCH("T",BP217)))</formula>
    </cfRule>
  </conditionalFormatting>
  <conditionalFormatting sqref="BP22:BQ22 BR22:BX27">
    <cfRule type="containsText" dxfId="226" priority="761" operator="containsText" text="T">
      <formula>NOT(ISERROR(SEARCH("T",BP22)))</formula>
    </cfRule>
  </conditionalFormatting>
  <conditionalFormatting sqref="BP22:BQ22">
    <cfRule type="containsText" dxfId="225" priority="760" operator="containsText" text="17">
      <formula>NOT(ISERROR(SEARCH("17",BP22)))</formula>
    </cfRule>
  </conditionalFormatting>
  <conditionalFormatting sqref="BP145:BQ148 BL145:BM148">
    <cfRule type="containsText" dxfId="224" priority="1356" operator="containsText" text="17">
      <formula>NOT(ISERROR(SEARCH("17",BL145)))</formula>
    </cfRule>
  </conditionalFormatting>
  <conditionalFormatting sqref="BP194:BT194 BM195:BS195 BO196:BT198">
    <cfRule type="containsText" dxfId="223" priority="616" operator="containsText" text="17">
      <formula>NOT(ISERROR(SEARCH("17",BM194)))</formula>
    </cfRule>
  </conditionalFormatting>
  <conditionalFormatting sqref="BP80:CB82">
    <cfRule type="containsText" dxfId="222" priority="713" operator="containsText" text="17">
      <formula>NOT(ISERROR(SEARCH("17",BP80)))</formula>
    </cfRule>
  </conditionalFormatting>
  <conditionalFormatting sqref="BP103:CB103 BQ100:CB102">
    <cfRule type="containsText" dxfId="221" priority="696" operator="containsText" text="17">
      <formula>NOT(ISERROR(SEARCH("17",BP100)))</formula>
    </cfRule>
  </conditionalFormatting>
  <conditionalFormatting sqref="BP106:CB109">
    <cfRule type="containsText" dxfId="220" priority="691" operator="containsText" text="17">
      <formula>NOT(ISERROR(SEARCH("17",BP106)))</formula>
    </cfRule>
  </conditionalFormatting>
  <conditionalFormatting sqref="BP112:CB115">
    <cfRule type="containsText" dxfId="219" priority="685" operator="containsText" text="17">
      <formula>NOT(ISERROR(SEARCH("17",BP112)))</formula>
    </cfRule>
  </conditionalFormatting>
  <conditionalFormatting sqref="BQ214:BQ223">
    <cfRule type="containsText" dxfId="218" priority="5309" operator="containsText" text="17">
      <formula>NOT(ISERROR(SEARCH("17",BQ214)))</formula>
    </cfRule>
    <cfRule type="containsText" dxfId="217" priority="5310" operator="containsText" text="T">
      <formula>NOT(ISERROR(SEARCH("T",BQ214)))</formula>
    </cfRule>
  </conditionalFormatting>
  <conditionalFormatting sqref="BQ214:BU216">
    <cfRule type="containsText" dxfId="216" priority="5537" operator="containsText" text="17">
      <formula>NOT(ISERROR(SEARCH("17",BQ214)))</formula>
    </cfRule>
    <cfRule type="containsText" dxfId="215" priority="5538" operator="containsText" text="T">
      <formula>NOT(ISERROR(SEARCH("T",BQ214)))</formula>
    </cfRule>
  </conditionalFormatting>
  <conditionalFormatting sqref="BR155">
    <cfRule type="containsText" dxfId="214" priority="1140" operator="containsText" text="17">
      <formula>NOT(ISERROR(SEARCH("17",BR155)))</formula>
    </cfRule>
    <cfRule type="containsText" dxfId="213" priority="1141" operator="containsText" text="T">
      <formula>NOT(ISERROR(SEARCH("T",BR155)))</formula>
    </cfRule>
  </conditionalFormatting>
  <conditionalFormatting sqref="BR29:BS29 BT29:BZ33">
    <cfRule type="containsText" dxfId="212" priority="754" operator="containsText" text="17">
      <formula>NOT(ISERROR(SEARCH("17",BR29)))</formula>
    </cfRule>
    <cfRule type="containsText" dxfId="211" priority="755" operator="containsText" text="T">
      <formula>NOT(ISERROR(SEARCH("T",BR29)))</formula>
    </cfRule>
  </conditionalFormatting>
  <conditionalFormatting sqref="BR35:BS35 BT35:BZ39">
    <cfRule type="containsText" dxfId="210" priority="748" operator="containsText" text="17">
      <formula>NOT(ISERROR(SEARCH("17",BR35)))</formula>
    </cfRule>
    <cfRule type="containsText" dxfId="209" priority="749" operator="containsText" text="T">
      <formula>NOT(ISERROR(SEARCH("T",BR35)))</formula>
    </cfRule>
  </conditionalFormatting>
  <conditionalFormatting sqref="BR41:BS41 BT41:BZ45">
    <cfRule type="containsText" dxfId="208" priority="741" operator="containsText" text="17">
      <formula>NOT(ISERROR(SEARCH("17",BR41)))</formula>
    </cfRule>
    <cfRule type="containsText" dxfId="207" priority="742" operator="containsText" text="T">
      <formula>NOT(ISERROR(SEARCH("T",BR41)))</formula>
    </cfRule>
  </conditionalFormatting>
  <conditionalFormatting sqref="BR47:BS47 BU47:BY47">
    <cfRule type="containsText" dxfId="206" priority="736" operator="containsText" text="17">
      <formula>NOT(ISERROR(SEARCH("17",BR47)))</formula>
    </cfRule>
    <cfRule type="containsText" dxfId="205" priority="737" operator="containsText" text="T">
      <formula>NOT(ISERROR(SEARCH("T",BR47)))</formula>
    </cfRule>
  </conditionalFormatting>
  <conditionalFormatting sqref="BR50:BS50 BU50:BY50">
    <cfRule type="containsText" dxfId="204" priority="731" operator="containsText" text="17">
      <formula>NOT(ISERROR(SEARCH("17",BR50)))</formula>
    </cfRule>
    <cfRule type="containsText" dxfId="203" priority="732" operator="containsText" text="T">
      <formula>NOT(ISERROR(SEARCH("T",BR50)))</formula>
    </cfRule>
  </conditionalFormatting>
  <conditionalFormatting sqref="BR214:BV216">
    <cfRule type="containsText" dxfId="202" priority="5543" operator="containsText" text="17">
      <formula>NOT(ISERROR(SEARCH("17",BR214)))</formula>
    </cfRule>
    <cfRule type="containsText" dxfId="201" priority="5544" operator="containsText" text="T">
      <formula>NOT(ISERROR(SEARCH("T",BR214)))</formula>
    </cfRule>
  </conditionalFormatting>
  <conditionalFormatting sqref="BR217:BV230">
    <cfRule type="containsText" dxfId="200" priority="5007" operator="containsText" text="17">
      <formula>NOT(ISERROR(SEARCH("17",BR217)))</formula>
    </cfRule>
    <cfRule type="containsText" dxfId="199" priority="5008" operator="containsText" text="T">
      <formula>NOT(ISERROR(SEARCH("T",BR217)))</formula>
    </cfRule>
  </conditionalFormatting>
  <conditionalFormatting sqref="BR68:CD71 BQ74:CC77">
    <cfRule type="containsText" dxfId="198" priority="719" operator="containsText" text="17">
      <formula>NOT(ISERROR(SEARCH("17",BQ68)))</formula>
    </cfRule>
  </conditionalFormatting>
  <conditionalFormatting sqref="BS127 BC199 BB206 BA213">
    <cfRule type="containsText" dxfId="197" priority="1843" operator="containsText" text="T">
      <formula>NOT(ISERROR(SEARCH("T",BA127)))</formula>
    </cfRule>
  </conditionalFormatting>
  <conditionalFormatting sqref="BS127 BC199:BR199 BB206:BQ206 BA213:BP213">
    <cfRule type="containsText" dxfId="196" priority="4748" operator="containsText" text="T">
      <formula>NOT(ISERROR(SEARCH("T",BA127)))</formula>
    </cfRule>
  </conditionalFormatting>
  <conditionalFormatting sqref="BS154 AX180:AX181 AY182:AY185 BM191 BU200:BU202 BV203:BV205 BT207:BT209 BV207:BV209 BU210:BU212">
    <cfRule type="containsText" dxfId="195" priority="7015" operator="containsText" text="17">
      <formula>NOT(ISERROR(SEARCH("17",AX154)))</formula>
    </cfRule>
    <cfRule type="containsText" dxfId="194" priority="7016" operator="containsText" text="T">
      <formula>NOT(ISERROR(SEARCH("T",AX154)))</formula>
    </cfRule>
    <cfRule type="containsText" dxfId="193" priority="7017" operator="containsText" text="17">
      <formula>NOT(ISERROR(SEARCH("17",AX154)))</formula>
    </cfRule>
    <cfRule type="containsText" dxfId="192" priority="7018" operator="containsText" text="T">
      <formula>NOT(ISERROR(SEARCH("T",AX154)))</formula>
    </cfRule>
  </conditionalFormatting>
  <conditionalFormatting sqref="BS156:BS158">
    <cfRule type="containsText" dxfId="191" priority="1156" operator="containsText" text="17">
      <formula>NOT(ISERROR(SEARCH("17",BS156)))</formula>
    </cfRule>
    <cfRule type="containsText" dxfId="190" priority="1157" operator="containsText" text="T">
      <formula>NOT(ISERROR(SEARCH("T",BS156)))</formula>
    </cfRule>
    <cfRule type="containsText" dxfId="189" priority="1158" operator="containsText" text="17">
      <formula>NOT(ISERROR(SEARCH("17",BS156)))</formula>
    </cfRule>
    <cfRule type="containsText" dxfId="188" priority="1159" operator="containsText" text="T">
      <formula>NOT(ISERROR(SEARCH("T",BS156)))</formula>
    </cfRule>
  </conditionalFormatting>
  <conditionalFormatting sqref="BS162">
    <cfRule type="containsText" dxfId="187" priority="1130" operator="containsText" text="17">
      <formula>NOT(ISERROR(SEARCH("17",BS162)))</formula>
    </cfRule>
    <cfRule type="containsText" dxfId="186" priority="1131" operator="containsText" text="T">
      <formula>NOT(ISERROR(SEARCH("T",BS162)))</formula>
    </cfRule>
  </conditionalFormatting>
  <conditionalFormatting sqref="BS199:BT199 BR206:BS206 BQ213:BR213">
    <cfRule type="containsText" dxfId="185" priority="1846" operator="containsText" text="17">
      <formula>NOT(ISERROR(SEARCH("17",BQ199)))</formula>
    </cfRule>
    <cfRule type="containsText" dxfId="184" priority="1847" operator="containsText" text="T">
      <formula>NOT(ISERROR(SEARCH("T",BQ199)))</formula>
    </cfRule>
  </conditionalFormatting>
  <conditionalFormatting sqref="BT47:BT48 BZ47:BZ48 BU48:BY48 BT50:BT52 BZ50:BZ52 BU51:BY52 BP15:BP20 BV15:BV20 BQ16:BU20">
    <cfRule type="containsText" dxfId="183" priority="8257" operator="containsText" text="T">
      <formula>NOT(ISERROR(SEARCH("T",BP15)))</formula>
    </cfRule>
  </conditionalFormatting>
  <conditionalFormatting sqref="BT47:BT48 BZ47:BZ48 BU48:BY48 BT50:BT52 BZ50:BZ52 BU51:BY52">
    <cfRule type="containsText" dxfId="182" priority="8256" operator="containsText" text="17">
      <formula>NOT(ISERROR(SEARCH("17",BT47)))</formula>
    </cfRule>
  </conditionalFormatting>
  <conditionalFormatting sqref="BT145:BT148">
    <cfRule type="containsText" dxfId="181" priority="1286" operator="containsText" text="17">
      <formula>NOT(ISERROR(SEARCH("17",BT145)))</formula>
    </cfRule>
    <cfRule type="containsText" dxfId="180" priority="1287" operator="containsText" text="T">
      <formula>NOT(ISERROR(SEARCH("T",BT145)))</formula>
    </cfRule>
  </conditionalFormatting>
  <conditionalFormatting sqref="BT139:CQ144">
    <cfRule type="containsText" dxfId="179" priority="662" operator="containsText" text="17">
      <formula>NOT(ISERROR(SEARCH("17",BT139)))</formula>
    </cfRule>
    <cfRule type="containsText" dxfId="178" priority="665" operator="containsText" text="T">
      <formula>NOT(ISERROR(SEARCH("T",BT139)))</formula>
    </cfRule>
  </conditionalFormatting>
  <conditionalFormatting sqref="BT153:CQ158">
    <cfRule type="containsText" dxfId="177" priority="649" operator="containsText" text="17">
      <formula>NOT(ISERROR(SEARCH("17",BT153)))</formula>
    </cfRule>
    <cfRule type="containsText" dxfId="176" priority="652" operator="containsText" text="T">
      <formula>NOT(ISERROR(SEARCH("T",BT153)))</formula>
    </cfRule>
  </conditionalFormatting>
  <conditionalFormatting sqref="BT160:CQ165">
    <cfRule type="containsText" dxfId="175" priority="648" operator="containsText" text="T">
      <formula>NOT(ISERROR(SEARCH("T",BT160)))</formula>
    </cfRule>
  </conditionalFormatting>
  <conditionalFormatting sqref="BU200:BU202 BT207:BT209 AX210:BS211">
    <cfRule type="containsText" dxfId="174" priority="8217" operator="containsText" text="T">
      <formula>NOT(ISERROR(SEARCH("T",AX200)))</formula>
    </cfRule>
  </conditionalFormatting>
  <conditionalFormatting sqref="BU200:BU202 BT207:BT209 AY190 AX191:BH191 BK191 BO191:BS191">
    <cfRule type="containsText" dxfId="173" priority="8210" operator="containsText" text="17">
      <formula>NOT(ISERROR(SEARCH("17",AX190)))</formula>
    </cfRule>
  </conditionalFormatting>
  <conditionalFormatting sqref="BU206 BT213 BV199">
    <cfRule type="containsText" dxfId="172" priority="1844" operator="containsText" text="17">
      <formula>NOT(ISERROR(SEARCH("17",BT199)))</formula>
    </cfRule>
  </conditionalFormatting>
  <conditionalFormatting sqref="BU146:CR151 BT160:CQ165">
    <cfRule type="containsText" dxfId="171" priority="8064" operator="containsText" text="17">
      <formula>NOT(ISERROR(SEARCH("17",BT146)))</formula>
    </cfRule>
  </conditionalFormatting>
  <conditionalFormatting sqref="BU146:CR151">
    <cfRule type="containsText" dxfId="170" priority="661" operator="containsText" text="T">
      <formula>NOT(ISERROR(SEARCH("T",BU146)))</formula>
    </cfRule>
  </conditionalFormatting>
  <conditionalFormatting sqref="BV199 BU206 BT213">
    <cfRule type="containsText" dxfId="169" priority="1845" operator="containsText" text="T">
      <formula>NOT(ISERROR(SEARCH("T",BT199)))</formula>
    </cfRule>
  </conditionalFormatting>
  <conditionalFormatting sqref="BV213">
    <cfRule type="containsText" dxfId="168" priority="4737" operator="containsText" text="17">
      <formula>NOT(ISERROR(SEARCH("17",BV213)))</formula>
    </cfRule>
    <cfRule type="containsText" dxfId="167" priority="4738" operator="containsText" text="T">
      <formula>NOT(ISERROR(SEARCH("T",BV213)))</formula>
    </cfRule>
  </conditionalFormatting>
  <conditionalFormatting sqref="BV214:BV216">
    <cfRule type="containsText" dxfId="166" priority="5545" operator="containsText" text="17">
      <formula>NOT(ISERROR(SEARCH("17",BV214)))</formula>
    </cfRule>
    <cfRule type="containsText" dxfId="165" priority="5546" operator="containsText" text="T">
      <formula>NOT(ISERROR(SEARCH("T",BV214)))</formula>
    </cfRule>
  </conditionalFormatting>
  <conditionalFormatting sqref="BV84:BW84 BX84:CD89">
    <cfRule type="containsText" dxfId="164" priority="709" operator="containsText" text="T">
      <formula>NOT(ISERROR(SEARCH("T",BV84)))</formula>
    </cfRule>
  </conditionalFormatting>
  <conditionalFormatting sqref="BV84:BW84">
    <cfRule type="containsText" dxfId="163" priority="708" operator="containsText" text="17">
      <formula>NOT(ISERROR(SEARCH("17",BV84)))</formula>
    </cfRule>
  </conditionalFormatting>
  <conditionalFormatting sqref="BV133:CH137">
    <cfRule type="containsText" dxfId="162" priority="668" operator="containsText" text="17">
      <formula>NOT(ISERROR(SEARCH("17",BV133)))</formula>
    </cfRule>
  </conditionalFormatting>
  <conditionalFormatting sqref="BW160:CG165">
    <cfRule type="containsText" dxfId="161" priority="646" operator="containsText" text="17">
      <formula>NOT(ISERROR(SEARCH("17",BW160)))</formula>
    </cfRule>
  </conditionalFormatting>
  <conditionalFormatting sqref="BW140:CI144">
    <cfRule type="containsText" dxfId="160" priority="663" operator="containsText" text="17">
      <formula>NOT(ISERROR(SEARCH("17",BW140)))</formula>
    </cfRule>
  </conditionalFormatting>
  <conditionalFormatting sqref="BW154:CI158">
    <cfRule type="containsText" dxfId="159" priority="650" operator="containsText" text="17">
      <formula>NOT(ISERROR(SEARCH("17",BW154)))</formula>
    </cfRule>
  </conditionalFormatting>
  <conditionalFormatting sqref="BW161:CI165">
    <cfRule type="containsText" dxfId="158" priority="643" operator="containsText" text="17">
      <formula>NOT(ISERROR(SEARCH("17",BW161)))</formula>
    </cfRule>
  </conditionalFormatting>
  <conditionalFormatting sqref="BX91:BY91 BZ91:CF96">
    <cfRule type="containsText" dxfId="157" priority="702" operator="containsText" text="17">
      <formula>NOT(ISERROR(SEARCH("17",BX91)))</formula>
    </cfRule>
    <cfRule type="containsText" dxfId="156" priority="703" operator="containsText" text="T">
      <formula>NOT(ISERROR(SEARCH("T",BX91)))</formula>
    </cfRule>
  </conditionalFormatting>
  <conditionalFormatting sqref="BX146:CH151">
    <cfRule type="containsText" dxfId="155" priority="659" operator="containsText" text="17">
      <formula>NOT(ISERROR(SEARCH("17",BX146)))</formula>
    </cfRule>
  </conditionalFormatting>
  <conditionalFormatting sqref="BX147:CJ151">
    <cfRule type="containsText" dxfId="154" priority="656" operator="containsText" text="17">
      <formula>NOT(ISERROR(SEARCH("17",BX147)))</formula>
    </cfRule>
  </conditionalFormatting>
  <conditionalFormatting sqref="BY122:BZ122 CA122:CG126">
    <cfRule type="containsText" dxfId="153" priority="674" operator="containsText" text="17">
      <formula>NOT(ISERROR(SEARCH("17",BY122)))</formula>
    </cfRule>
    <cfRule type="containsText" dxfId="152" priority="675" operator="containsText" text="T">
      <formula>NOT(ISERROR(SEARCH("T",BY122)))</formula>
    </cfRule>
  </conditionalFormatting>
  <conditionalFormatting sqref="BZ117:CA117 CB117:CH120">
    <cfRule type="containsText" dxfId="151" priority="681" operator="containsText" text="T">
      <formula>NOT(ISERROR(SEARCH("T",BZ117)))</formula>
    </cfRule>
  </conditionalFormatting>
  <conditionalFormatting sqref="BZ117:CA117">
    <cfRule type="containsText" dxfId="150" priority="680" operator="containsText" text="17">
      <formula>NOT(ISERROR(SEARCH("17",BZ117)))</formula>
    </cfRule>
  </conditionalFormatting>
  <conditionalFormatting sqref="CA79:CB79 CC79:CH82">
    <cfRule type="containsText" dxfId="149" priority="715" operator="containsText" text="T">
      <formula>NOT(ISERROR(SEARCH("T",CA79)))</formula>
    </cfRule>
  </conditionalFormatting>
  <conditionalFormatting sqref="CA79:CB79">
    <cfRule type="containsText" dxfId="148" priority="714" operator="containsText" text="17">
      <formula>NOT(ISERROR(SEARCH("17",CA79)))</formula>
    </cfRule>
  </conditionalFormatting>
  <conditionalFormatting sqref="CA99:CB99 CC99:CI103">
    <cfRule type="containsText" dxfId="147" priority="697" operator="containsText" text="17">
      <formula>NOT(ISERROR(SEARCH("17",CA99)))</formula>
    </cfRule>
    <cfRule type="containsText" dxfId="146" priority="698" operator="containsText" text="T">
      <formula>NOT(ISERROR(SEARCH("T",CA99)))</formula>
    </cfRule>
  </conditionalFormatting>
  <conditionalFormatting sqref="CA105:CB105 CC105:CI109">
    <cfRule type="containsText" dxfId="145" priority="693" operator="containsText" text="T">
      <formula>NOT(ISERROR(SEARCH("T",CA105)))</formula>
    </cfRule>
  </conditionalFormatting>
  <conditionalFormatting sqref="CA105:CB105">
    <cfRule type="containsText" dxfId="144" priority="692" operator="containsText" text="17">
      <formula>NOT(ISERROR(SEARCH("17",CA105)))</formula>
    </cfRule>
  </conditionalFormatting>
  <conditionalFormatting sqref="CA111:CB111 CC111:CI115">
    <cfRule type="containsText" dxfId="143" priority="687" operator="containsText" text="T">
      <formula>NOT(ISERROR(SEARCH("T",CA111)))</formula>
    </cfRule>
  </conditionalFormatting>
  <conditionalFormatting sqref="CA111:CB111">
    <cfRule type="containsText" dxfId="142" priority="686" operator="containsText" text="17">
      <formula>NOT(ISERROR(SEARCH("17",CA111)))</formula>
    </cfRule>
  </conditionalFormatting>
  <conditionalFormatting sqref="CC67:CD67 CE67:CK71 CB73:CC73 CD73:CJ77">
    <cfRule type="containsText" dxfId="141" priority="721" operator="containsText" text="T">
      <formula>NOT(ISERROR(SEARCH("T",CB67)))</formula>
    </cfRule>
  </conditionalFormatting>
  <conditionalFormatting sqref="CC67:CD67 CE67:CK71 CB73:CC73">
    <cfRule type="containsText" dxfId="140" priority="720" operator="containsText" text="17">
      <formula>NOT(ISERROR(SEARCH("17",CB67)))</formula>
    </cfRule>
  </conditionalFormatting>
  <conditionalFormatting sqref="CG132:CH132 CI132:CO137">
    <cfRule type="containsText" dxfId="139" priority="669" operator="containsText" text="17">
      <formula>NOT(ISERROR(SEARCH("17",CG132)))</formula>
    </cfRule>
    <cfRule type="containsText" dxfId="138" priority="670" operator="containsText" text="T">
      <formula>NOT(ISERROR(SEARCH("T",CG132)))</formula>
    </cfRule>
  </conditionalFormatting>
  <conditionalFormatting sqref="CH139:CI139">
    <cfRule type="containsText" dxfId="137" priority="664" operator="containsText" text="17">
      <formula>NOT(ISERROR(SEARCH("17",CH139)))</formula>
    </cfRule>
  </conditionalFormatting>
  <conditionalFormatting sqref="CH153:CI153">
    <cfRule type="containsText" dxfId="136" priority="651" operator="containsText" text="17">
      <formula>NOT(ISERROR(SEARCH("17",CH153)))</formula>
    </cfRule>
  </conditionalFormatting>
  <conditionalFormatting sqref="CH160:CI160 CJ160:CP165">
    <cfRule type="containsText" dxfId="135" priority="644" operator="containsText" text="17">
      <formula>NOT(ISERROR(SEARCH("17",CH160)))</formula>
    </cfRule>
  </conditionalFormatting>
  <conditionalFormatting sqref="CH160:CI160 CK160:CO165">
    <cfRule type="containsText" dxfId="134" priority="645" operator="containsText" text="T">
      <formula>NOT(ISERROR(SEARCH("T",CH160)))</formula>
    </cfRule>
  </conditionalFormatting>
  <conditionalFormatting sqref="CI79:CI84 CF83:CH84">
    <cfRule type="containsText" dxfId="133" priority="717" operator="containsText" text="T">
      <formula>NOT(ISERROR(SEARCH("T",CF79)))</formula>
    </cfRule>
  </conditionalFormatting>
  <conditionalFormatting sqref="CI79:CI84">
    <cfRule type="containsText" dxfId="132" priority="716" operator="containsText" text="17">
      <formula>NOT(ISERROR(SEARCH("17",CI79)))</formula>
    </cfRule>
  </conditionalFormatting>
  <conditionalFormatting sqref="CI146:CJ146 CK146:CQ151">
    <cfRule type="containsText" dxfId="131" priority="657" operator="containsText" text="17">
      <formula>NOT(ISERROR(SEARCH("17",CI146)))</formula>
    </cfRule>
  </conditionalFormatting>
  <conditionalFormatting sqref="CI146:CJ146 CL146:CP151">
    <cfRule type="containsText" dxfId="130" priority="658" operator="containsText" text="T">
      <formula>NOT(ISERROR(SEARCH("T",CI146)))</formula>
    </cfRule>
  </conditionalFormatting>
  <conditionalFormatting sqref="AQ72:AY75">
    <cfRule type="containsText" dxfId="129" priority="118" operator="containsText" text="17">
      <formula>NOT(ISERROR(SEARCH("17",AQ72)))</formula>
    </cfRule>
  </conditionalFormatting>
  <conditionalFormatting sqref="AQ72:BA75">
    <cfRule type="containsText" dxfId="128" priority="112" operator="containsText" text="T">
      <formula>NOT(ISERROR(SEARCH("T",AQ72)))</formula>
    </cfRule>
  </conditionalFormatting>
  <conditionalFormatting sqref="AQ72:BA75">
    <cfRule type="containsText" dxfId="127" priority="111" operator="containsText" text="17">
      <formula>NOT(ISERROR(SEARCH("17",AQ72)))</formula>
    </cfRule>
  </conditionalFormatting>
  <conditionalFormatting sqref="BB72:BH75">
    <cfRule type="containsText" dxfId="126" priority="119" operator="containsText" text="17">
      <formula>NOT(ISERROR(SEARCH("17",BB72)))</formula>
    </cfRule>
    <cfRule type="containsText" dxfId="125" priority="120" operator="containsText" text="T">
      <formula>NOT(ISERROR(SEARCH("T",BB72)))</formula>
    </cfRule>
  </conditionalFormatting>
  <conditionalFormatting sqref="BC72:BC75">
    <cfRule type="containsText" dxfId="124" priority="116" operator="containsText" text="17">
      <formula>NOT(ISERROR(SEARCH("17",BC72)))</formula>
    </cfRule>
    <cfRule type="containsText" dxfId="123" priority="117" operator="containsText" text="T">
      <formula>NOT(ISERROR(SEARCH("T",BC72)))</formula>
    </cfRule>
  </conditionalFormatting>
  <conditionalFormatting sqref="BH72:BH75 BL72:BN75">
    <cfRule type="containsText" dxfId="122" priority="113" operator="containsText" text="T">
      <formula>NOT(ISERROR(SEARCH("T",BH72)))</formula>
    </cfRule>
  </conditionalFormatting>
  <conditionalFormatting sqref="BH72:BI75 BL72:BN75">
    <cfRule type="containsText" dxfId="121" priority="114" operator="containsText" text="17">
      <formula>NOT(ISERROR(SEARCH("17",BH72)))</formula>
    </cfRule>
  </conditionalFormatting>
  <conditionalFormatting sqref="BI72:BI75">
    <cfRule type="containsText" dxfId="120" priority="115" operator="containsText" text="T">
      <formula>NOT(ISERROR(SEARCH("T",BI72)))</formula>
    </cfRule>
  </conditionalFormatting>
  <conditionalFormatting sqref="AQ106:AY106">
    <cfRule type="containsText" dxfId="119" priority="108" operator="containsText" text="17">
      <formula>NOT(ISERROR(SEARCH("17",AQ106)))</formula>
    </cfRule>
  </conditionalFormatting>
  <conditionalFormatting sqref="AQ106:BA106">
    <cfRule type="containsText" dxfId="118" priority="102" operator="containsText" text="T">
      <formula>NOT(ISERROR(SEARCH("T",AQ106)))</formula>
    </cfRule>
  </conditionalFormatting>
  <conditionalFormatting sqref="AQ106:BA106">
    <cfRule type="containsText" dxfId="117" priority="101" operator="containsText" text="17">
      <formula>NOT(ISERROR(SEARCH("17",AQ106)))</formula>
    </cfRule>
  </conditionalFormatting>
  <conditionalFormatting sqref="BB106:BH106">
    <cfRule type="containsText" dxfId="116" priority="109" operator="containsText" text="17">
      <formula>NOT(ISERROR(SEARCH("17",BB106)))</formula>
    </cfRule>
    <cfRule type="containsText" dxfId="115" priority="110" operator="containsText" text="T">
      <formula>NOT(ISERROR(SEARCH("T",BB106)))</formula>
    </cfRule>
  </conditionalFormatting>
  <conditionalFormatting sqref="BC106">
    <cfRule type="containsText" dxfId="114" priority="106" operator="containsText" text="17">
      <formula>NOT(ISERROR(SEARCH("17",BC106)))</formula>
    </cfRule>
    <cfRule type="containsText" dxfId="113" priority="107" operator="containsText" text="T">
      <formula>NOT(ISERROR(SEARCH("T",BC106)))</formula>
    </cfRule>
  </conditionalFormatting>
  <conditionalFormatting sqref="BH106 BL106:BN106">
    <cfRule type="containsText" dxfId="112" priority="103" operator="containsText" text="T">
      <formula>NOT(ISERROR(SEARCH("T",BH106)))</formula>
    </cfRule>
  </conditionalFormatting>
  <conditionalFormatting sqref="BH106:BI106 BL106:BN106">
    <cfRule type="containsText" dxfId="111" priority="104" operator="containsText" text="17">
      <formula>NOT(ISERROR(SEARCH("17",BH106)))</formula>
    </cfRule>
  </conditionalFormatting>
  <conditionalFormatting sqref="BI106">
    <cfRule type="containsText" dxfId="110" priority="105" operator="containsText" text="T">
      <formula>NOT(ISERROR(SEARCH("T",BI106)))</formula>
    </cfRule>
  </conditionalFormatting>
  <conditionalFormatting sqref="AQ124:AY126">
    <cfRule type="containsText" dxfId="109" priority="98" operator="containsText" text="17">
      <formula>NOT(ISERROR(SEARCH("17",AQ124)))</formula>
    </cfRule>
  </conditionalFormatting>
  <conditionalFormatting sqref="AQ124:BA126">
    <cfRule type="containsText" dxfId="108" priority="92" operator="containsText" text="T">
      <formula>NOT(ISERROR(SEARCH("T",AQ124)))</formula>
    </cfRule>
  </conditionalFormatting>
  <conditionalFormatting sqref="AQ124:BA126">
    <cfRule type="containsText" dxfId="107" priority="91" operator="containsText" text="17">
      <formula>NOT(ISERROR(SEARCH("17",AQ124)))</formula>
    </cfRule>
  </conditionalFormatting>
  <conditionalFormatting sqref="BB124:BH126">
    <cfRule type="containsText" dxfId="106" priority="99" operator="containsText" text="17">
      <formula>NOT(ISERROR(SEARCH("17",BB124)))</formula>
    </cfRule>
    <cfRule type="containsText" dxfId="105" priority="100" operator="containsText" text="T">
      <formula>NOT(ISERROR(SEARCH("T",BB124)))</formula>
    </cfRule>
  </conditionalFormatting>
  <conditionalFormatting sqref="BC124:BC126">
    <cfRule type="containsText" dxfId="104" priority="96" operator="containsText" text="17">
      <formula>NOT(ISERROR(SEARCH("17",BC124)))</formula>
    </cfRule>
    <cfRule type="containsText" dxfId="103" priority="97" operator="containsText" text="T">
      <formula>NOT(ISERROR(SEARCH("T",BC124)))</formula>
    </cfRule>
  </conditionalFormatting>
  <conditionalFormatting sqref="BH124:BH126 BL124:BN126">
    <cfRule type="containsText" dxfId="102" priority="93" operator="containsText" text="T">
      <formula>NOT(ISERROR(SEARCH("T",BH124)))</formula>
    </cfRule>
  </conditionalFormatting>
  <conditionalFormatting sqref="BH124:BI126 BL124:BN126">
    <cfRule type="containsText" dxfId="101" priority="94" operator="containsText" text="17">
      <formula>NOT(ISERROR(SEARCH("17",BH124)))</formula>
    </cfRule>
  </conditionalFormatting>
  <conditionalFormatting sqref="BI124:BI126">
    <cfRule type="containsText" dxfId="100" priority="95" operator="containsText" text="T">
      <formula>NOT(ISERROR(SEARCH("T",BI124)))</formula>
    </cfRule>
  </conditionalFormatting>
  <conditionalFormatting sqref="AQ120:AY120">
    <cfRule type="containsText" dxfId="99" priority="88" operator="containsText" text="17">
      <formula>NOT(ISERROR(SEARCH("17",AQ120)))</formula>
    </cfRule>
  </conditionalFormatting>
  <conditionalFormatting sqref="AQ120:BA120">
    <cfRule type="containsText" dxfId="98" priority="82" operator="containsText" text="T">
      <formula>NOT(ISERROR(SEARCH("T",AQ120)))</formula>
    </cfRule>
  </conditionalFormatting>
  <conditionalFormatting sqref="AQ120:BA120">
    <cfRule type="containsText" dxfId="97" priority="81" operator="containsText" text="17">
      <formula>NOT(ISERROR(SEARCH("17",AQ120)))</formula>
    </cfRule>
  </conditionalFormatting>
  <conditionalFormatting sqref="BB120:BH120">
    <cfRule type="containsText" dxfId="96" priority="89" operator="containsText" text="17">
      <formula>NOT(ISERROR(SEARCH("17",BB120)))</formula>
    </cfRule>
    <cfRule type="containsText" dxfId="95" priority="90" operator="containsText" text="T">
      <formula>NOT(ISERROR(SEARCH("T",BB120)))</formula>
    </cfRule>
  </conditionalFormatting>
  <conditionalFormatting sqref="BC120">
    <cfRule type="containsText" dxfId="94" priority="86" operator="containsText" text="17">
      <formula>NOT(ISERROR(SEARCH("17",BC120)))</formula>
    </cfRule>
    <cfRule type="containsText" dxfId="93" priority="87" operator="containsText" text="T">
      <formula>NOT(ISERROR(SEARCH("T",BC120)))</formula>
    </cfRule>
  </conditionalFormatting>
  <conditionalFormatting sqref="BH120 BL120:BN120">
    <cfRule type="containsText" dxfId="92" priority="83" operator="containsText" text="T">
      <formula>NOT(ISERROR(SEARCH("T",BH120)))</formula>
    </cfRule>
  </conditionalFormatting>
  <conditionalFormatting sqref="BH120:BI120 BL120:BN120">
    <cfRule type="containsText" dxfId="91" priority="84" operator="containsText" text="17">
      <formula>NOT(ISERROR(SEARCH("17",BH120)))</formula>
    </cfRule>
  </conditionalFormatting>
  <conditionalFormatting sqref="BI120">
    <cfRule type="containsText" dxfId="90" priority="85" operator="containsText" text="T">
      <formula>NOT(ISERROR(SEARCH("T",BI120)))</formula>
    </cfRule>
  </conditionalFormatting>
  <conditionalFormatting sqref="AQ122:AY122">
    <cfRule type="containsText" dxfId="89" priority="78" operator="containsText" text="17">
      <formula>NOT(ISERROR(SEARCH("17",AQ122)))</formula>
    </cfRule>
  </conditionalFormatting>
  <conditionalFormatting sqref="AQ122:BA122">
    <cfRule type="containsText" dxfId="88" priority="72" operator="containsText" text="T">
      <formula>NOT(ISERROR(SEARCH("T",AQ122)))</formula>
    </cfRule>
  </conditionalFormatting>
  <conditionalFormatting sqref="AQ122:BA122">
    <cfRule type="containsText" dxfId="87" priority="71" operator="containsText" text="17">
      <formula>NOT(ISERROR(SEARCH("17",AQ122)))</formula>
    </cfRule>
  </conditionalFormatting>
  <conditionalFormatting sqref="BB122:BH122">
    <cfRule type="containsText" dxfId="86" priority="79" operator="containsText" text="17">
      <formula>NOT(ISERROR(SEARCH("17",BB122)))</formula>
    </cfRule>
    <cfRule type="containsText" dxfId="85" priority="80" operator="containsText" text="T">
      <formula>NOT(ISERROR(SEARCH("T",BB122)))</formula>
    </cfRule>
  </conditionalFormatting>
  <conditionalFormatting sqref="BC122">
    <cfRule type="containsText" dxfId="84" priority="76" operator="containsText" text="17">
      <formula>NOT(ISERROR(SEARCH("17",BC122)))</formula>
    </cfRule>
    <cfRule type="containsText" dxfId="83" priority="77" operator="containsText" text="T">
      <formula>NOT(ISERROR(SEARCH("T",BC122)))</formula>
    </cfRule>
  </conditionalFormatting>
  <conditionalFormatting sqref="BH122 BL122:BN122">
    <cfRule type="containsText" dxfId="82" priority="73" operator="containsText" text="T">
      <formula>NOT(ISERROR(SEARCH("T",BH122)))</formula>
    </cfRule>
  </conditionalFormatting>
  <conditionalFormatting sqref="BH122:BI122 BL122:BN122">
    <cfRule type="containsText" dxfId="81" priority="74" operator="containsText" text="17">
      <formula>NOT(ISERROR(SEARCH("17",BH122)))</formula>
    </cfRule>
  </conditionalFormatting>
  <conditionalFormatting sqref="BI122">
    <cfRule type="containsText" dxfId="80" priority="75" operator="containsText" text="T">
      <formula>NOT(ISERROR(SEARCH("T",BI122)))</formula>
    </cfRule>
  </conditionalFormatting>
  <conditionalFormatting sqref="AR103:BB104">
    <cfRule type="containsText" dxfId="79" priority="61" operator="containsText" text="17">
      <formula>NOT(ISERROR(SEARCH("17",AR103)))</formula>
    </cfRule>
    <cfRule type="containsText" dxfId="78" priority="62" operator="containsText" text="T">
      <formula>NOT(ISERROR(SEARCH("T",AR103)))</formula>
    </cfRule>
  </conditionalFormatting>
  <conditionalFormatting sqref="AR103:AZ104">
    <cfRule type="containsText" dxfId="77" priority="68" operator="containsText" text="17">
      <formula>NOT(ISERROR(SEARCH("17",AR103)))</formula>
    </cfRule>
  </conditionalFormatting>
  <conditionalFormatting sqref="BC103:BI104">
    <cfRule type="containsText" dxfId="76" priority="69" operator="containsText" text="17">
      <formula>NOT(ISERROR(SEARCH("17",BC103)))</formula>
    </cfRule>
    <cfRule type="containsText" dxfId="75" priority="70" operator="containsText" text="T">
      <formula>NOT(ISERROR(SEARCH("T",BC103)))</formula>
    </cfRule>
  </conditionalFormatting>
  <conditionalFormatting sqref="BD103:BD104">
    <cfRule type="containsText" dxfId="74" priority="66" operator="containsText" text="17">
      <formula>NOT(ISERROR(SEARCH("17",BD103)))</formula>
    </cfRule>
    <cfRule type="containsText" dxfId="73" priority="67" operator="containsText" text="T">
      <formula>NOT(ISERROR(SEARCH("T",BD103)))</formula>
    </cfRule>
  </conditionalFormatting>
  <conditionalFormatting sqref="BI103:BI104 BM103:BO104">
    <cfRule type="containsText" dxfId="72" priority="63" operator="containsText" text="T">
      <formula>NOT(ISERROR(SEARCH("T",BI103)))</formula>
    </cfRule>
  </conditionalFormatting>
  <conditionalFormatting sqref="BI103:BJ104 BM103:BO104">
    <cfRule type="containsText" dxfId="71" priority="64" operator="containsText" text="17">
      <formula>NOT(ISERROR(SEARCH("17",BI103)))</formula>
    </cfRule>
  </conditionalFormatting>
  <conditionalFormatting sqref="BJ103:BJ104">
    <cfRule type="containsText" dxfId="70" priority="65" operator="containsText" text="T">
      <formula>NOT(ISERROR(SEARCH("T",BJ103)))</formula>
    </cfRule>
  </conditionalFormatting>
  <conditionalFormatting sqref="AR121:BB121">
    <cfRule type="containsText" dxfId="69" priority="51" operator="containsText" text="17">
      <formula>NOT(ISERROR(SEARCH("17",AR121)))</formula>
    </cfRule>
    <cfRule type="containsText" dxfId="68" priority="52" operator="containsText" text="T">
      <formula>NOT(ISERROR(SEARCH("T",AR121)))</formula>
    </cfRule>
  </conditionalFormatting>
  <conditionalFormatting sqref="AR121:AZ121">
    <cfRule type="containsText" dxfId="67" priority="58" operator="containsText" text="17">
      <formula>NOT(ISERROR(SEARCH("17",AR121)))</formula>
    </cfRule>
  </conditionalFormatting>
  <conditionalFormatting sqref="BC121:BI121">
    <cfRule type="containsText" dxfId="66" priority="59" operator="containsText" text="17">
      <formula>NOT(ISERROR(SEARCH("17",BC121)))</formula>
    </cfRule>
    <cfRule type="containsText" dxfId="65" priority="60" operator="containsText" text="T">
      <formula>NOT(ISERROR(SEARCH("T",BC121)))</formula>
    </cfRule>
  </conditionalFormatting>
  <conditionalFormatting sqref="BD121">
    <cfRule type="containsText" dxfId="64" priority="56" operator="containsText" text="17">
      <formula>NOT(ISERROR(SEARCH("17",BD121)))</formula>
    </cfRule>
    <cfRule type="containsText" dxfId="63" priority="57" operator="containsText" text="T">
      <formula>NOT(ISERROR(SEARCH("T",BD121)))</formula>
    </cfRule>
  </conditionalFormatting>
  <conditionalFormatting sqref="BI121 BM121:BO121">
    <cfRule type="containsText" dxfId="62" priority="53" operator="containsText" text="T">
      <formula>NOT(ISERROR(SEARCH("T",BI121)))</formula>
    </cfRule>
  </conditionalFormatting>
  <conditionalFormatting sqref="BI121:BJ121 BM121:BO121">
    <cfRule type="containsText" dxfId="61" priority="54" operator="containsText" text="17">
      <formula>NOT(ISERROR(SEARCH("17",BI121)))</formula>
    </cfRule>
  </conditionalFormatting>
  <conditionalFormatting sqref="BJ121">
    <cfRule type="containsText" dxfId="60" priority="55" operator="containsText" text="T">
      <formula>NOT(ISERROR(SEARCH("T",BJ121)))</formula>
    </cfRule>
  </conditionalFormatting>
  <conditionalFormatting sqref="AR123:BB123">
    <cfRule type="containsText" dxfId="59" priority="41" operator="containsText" text="17">
      <formula>NOT(ISERROR(SEARCH("17",AR123)))</formula>
    </cfRule>
    <cfRule type="containsText" dxfId="58" priority="42" operator="containsText" text="T">
      <formula>NOT(ISERROR(SEARCH("T",AR123)))</formula>
    </cfRule>
  </conditionalFormatting>
  <conditionalFormatting sqref="AR123:AZ123">
    <cfRule type="containsText" dxfId="57" priority="48" operator="containsText" text="17">
      <formula>NOT(ISERROR(SEARCH("17",AR123)))</formula>
    </cfRule>
  </conditionalFormatting>
  <conditionalFormatting sqref="BC123:BI123">
    <cfRule type="containsText" dxfId="56" priority="49" operator="containsText" text="17">
      <formula>NOT(ISERROR(SEARCH("17",BC123)))</formula>
    </cfRule>
    <cfRule type="containsText" dxfId="55" priority="50" operator="containsText" text="T">
      <formula>NOT(ISERROR(SEARCH("T",BC123)))</formula>
    </cfRule>
  </conditionalFormatting>
  <conditionalFormatting sqref="BD123">
    <cfRule type="containsText" dxfId="54" priority="46" operator="containsText" text="17">
      <formula>NOT(ISERROR(SEARCH("17",BD123)))</formula>
    </cfRule>
    <cfRule type="containsText" dxfId="53" priority="47" operator="containsText" text="T">
      <formula>NOT(ISERROR(SEARCH("T",BD123)))</formula>
    </cfRule>
  </conditionalFormatting>
  <conditionalFormatting sqref="BI123 BM123:BO123">
    <cfRule type="containsText" dxfId="52" priority="43" operator="containsText" text="T">
      <formula>NOT(ISERROR(SEARCH("T",BI123)))</formula>
    </cfRule>
  </conditionalFormatting>
  <conditionalFormatting sqref="BI123:BJ123 BM123:BO123">
    <cfRule type="containsText" dxfId="51" priority="44" operator="containsText" text="17">
      <formula>NOT(ISERROR(SEARCH("17",BI123)))</formula>
    </cfRule>
  </conditionalFormatting>
  <conditionalFormatting sqref="BJ123">
    <cfRule type="containsText" dxfId="50" priority="45" operator="containsText" text="T">
      <formula>NOT(ISERROR(SEARCH("T",BJ123)))</formula>
    </cfRule>
  </conditionalFormatting>
  <conditionalFormatting sqref="AR69:BB71">
    <cfRule type="containsText" dxfId="49" priority="31" operator="containsText" text="17">
      <formula>NOT(ISERROR(SEARCH("17",AR69)))</formula>
    </cfRule>
    <cfRule type="containsText" dxfId="48" priority="32" operator="containsText" text="T">
      <formula>NOT(ISERROR(SEARCH("T",AR69)))</formula>
    </cfRule>
  </conditionalFormatting>
  <conditionalFormatting sqref="AR69:AZ71">
    <cfRule type="containsText" dxfId="47" priority="38" operator="containsText" text="17">
      <formula>NOT(ISERROR(SEARCH("17",AR69)))</formula>
    </cfRule>
  </conditionalFormatting>
  <conditionalFormatting sqref="BC69:BI71">
    <cfRule type="containsText" dxfId="46" priority="39" operator="containsText" text="17">
      <formula>NOT(ISERROR(SEARCH("17",BC69)))</formula>
    </cfRule>
    <cfRule type="containsText" dxfId="45" priority="40" operator="containsText" text="T">
      <formula>NOT(ISERROR(SEARCH("T",BC69)))</formula>
    </cfRule>
  </conditionalFormatting>
  <conditionalFormatting sqref="BD69:BD71">
    <cfRule type="containsText" dxfId="44" priority="36" operator="containsText" text="17">
      <formula>NOT(ISERROR(SEARCH("17",BD69)))</formula>
    </cfRule>
    <cfRule type="containsText" dxfId="43" priority="37" operator="containsText" text="T">
      <formula>NOT(ISERROR(SEARCH("T",BD69)))</formula>
    </cfRule>
  </conditionalFormatting>
  <conditionalFormatting sqref="BI69:BI71 BM69:BO71">
    <cfRule type="containsText" dxfId="42" priority="33" operator="containsText" text="T">
      <formula>NOT(ISERROR(SEARCH("T",BI69)))</formula>
    </cfRule>
  </conditionalFormatting>
  <conditionalFormatting sqref="BI69:BJ71 BM69:BO71">
    <cfRule type="containsText" dxfId="41" priority="34" operator="containsText" text="17">
      <formula>NOT(ISERROR(SEARCH("17",BI69)))</formula>
    </cfRule>
  </conditionalFormatting>
  <conditionalFormatting sqref="BJ69:BJ71">
    <cfRule type="containsText" dxfId="40" priority="35" operator="containsText" text="T">
      <formula>NOT(ISERROR(SEARCH("T",BJ69)))</formula>
    </cfRule>
  </conditionalFormatting>
  <conditionalFormatting sqref="AS99:BA102">
    <cfRule type="containsText" dxfId="29" priority="28" operator="containsText" text="17">
      <formula>NOT(ISERROR(SEARCH("17",AS99)))</formula>
    </cfRule>
  </conditionalFormatting>
  <conditionalFormatting sqref="AS99:BC102">
    <cfRule type="containsText" dxfId="28" priority="21" operator="containsText" text="17">
      <formula>NOT(ISERROR(SEARCH("17",AS99)))</formula>
    </cfRule>
    <cfRule type="containsText" dxfId="27" priority="22" operator="containsText" text="T">
      <formula>NOT(ISERROR(SEARCH("T",AS99)))</formula>
    </cfRule>
  </conditionalFormatting>
  <conditionalFormatting sqref="BD99:BJ102">
    <cfRule type="containsText" dxfId="26" priority="29" operator="containsText" text="17">
      <formula>NOT(ISERROR(SEARCH("17",BD99)))</formula>
    </cfRule>
    <cfRule type="containsText" dxfId="25" priority="30" operator="containsText" text="T">
      <formula>NOT(ISERROR(SEARCH("T",BD99)))</formula>
    </cfRule>
  </conditionalFormatting>
  <conditionalFormatting sqref="BE99:BE102">
    <cfRule type="containsText" dxfId="24" priority="26" operator="containsText" text="17">
      <formula>NOT(ISERROR(SEARCH("17",BE99)))</formula>
    </cfRule>
    <cfRule type="containsText" dxfId="23" priority="27" operator="containsText" text="T">
      <formula>NOT(ISERROR(SEARCH("T",BE99)))</formula>
    </cfRule>
  </conditionalFormatting>
  <conditionalFormatting sqref="BJ99:BJ102 BN99:BP102">
    <cfRule type="containsText" dxfId="22" priority="23" operator="containsText" text="T">
      <formula>NOT(ISERROR(SEARCH("T",BJ99)))</formula>
    </cfRule>
  </conditionalFormatting>
  <conditionalFormatting sqref="BJ99:BK102 BN99:BP102">
    <cfRule type="containsText" dxfId="21" priority="24" operator="containsText" text="17">
      <formula>NOT(ISERROR(SEARCH("17",BJ99)))</formula>
    </cfRule>
  </conditionalFormatting>
  <conditionalFormatting sqref="BK99:BK102">
    <cfRule type="containsText" dxfId="20" priority="25" operator="containsText" text="T">
      <formula>NOT(ISERROR(SEARCH("T",BK99)))</formula>
    </cfRule>
  </conditionalFormatting>
  <conditionalFormatting sqref="AS105:BA105">
    <cfRule type="containsText" dxfId="19" priority="18" operator="containsText" text="17">
      <formula>NOT(ISERROR(SEARCH("17",AS105)))</formula>
    </cfRule>
  </conditionalFormatting>
  <conditionalFormatting sqref="AS105:BC105">
    <cfRule type="containsText" dxfId="18" priority="11" operator="containsText" text="17">
      <formula>NOT(ISERROR(SEARCH("17",AS105)))</formula>
    </cfRule>
    <cfRule type="containsText" dxfId="17" priority="12" operator="containsText" text="T">
      <formula>NOT(ISERROR(SEARCH("T",AS105)))</formula>
    </cfRule>
  </conditionalFormatting>
  <conditionalFormatting sqref="BD105:BJ105">
    <cfRule type="containsText" dxfId="16" priority="19" operator="containsText" text="17">
      <formula>NOT(ISERROR(SEARCH("17",BD105)))</formula>
    </cfRule>
    <cfRule type="containsText" dxfId="15" priority="20" operator="containsText" text="T">
      <formula>NOT(ISERROR(SEARCH("T",BD105)))</formula>
    </cfRule>
  </conditionalFormatting>
  <conditionalFormatting sqref="BE105">
    <cfRule type="containsText" dxfId="14" priority="16" operator="containsText" text="17">
      <formula>NOT(ISERROR(SEARCH("17",BE105)))</formula>
    </cfRule>
    <cfRule type="containsText" dxfId="13" priority="17" operator="containsText" text="T">
      <formula>NOT(ISERROR(SEARCH("T",BE105)))</formula>
    </cfRule>
  </conditionalFormatting>
  <conditionalFormatting sqref="BJ105 BN105:BP105">
    <cfRule type="containsText" dxfId="12" priority="13" operator="containsText" text="T">
      <formula>NOT(ISERROR(SEARCH("T",BJ105)))</formula>
    </cfRule>
  </conditionalFormatting>
  <conditionalFormatting sqref="BJ105:BK105 BN105:BP105">
    <cfRule type="containsText" dxfId="11" priority="14" operator="containsText" text="17">
      <formula>NOT(ISERROR(SEARCH("17",BJ105)))</formula>
    </cfRule>
  </conditionalFormatting>
  <conditionalFormatting sqref="BK105">
    <cfRule type="containsText" dxfId="10" priority="15" operator="containsText" text="T">
      <formula>NOT(ISERROR(SEARCH("T",BK105)))</formula>
    </cfRule>
  </conditionalFormatting>
  <conditionalFormatting sqref="AS67:BA68">
    <cfRule type="containsText" dxfId="9" priority="8" operator="containsText" text="17">
      <formula>NOT(ISERROR(SEARCH("17",AS67)))</formula>
    </cfRule>
  </conditionalFormatting>
  <conditionalFormatting sqref="AS67:BC68">
    <cfRule type="containsText" dxfId="8" priority="1" operator="containsText" text="17">
      <formula>NOT(ISERROR(SEARCH("17",AS67)))</formula>
    </cfRule>
    <cfRule type="containsText" dxfId="7" priority="2" operator="containsText" text="T">
      <formula>NOT(ISERROR(SEARCH("T",AS67)))</formula>
    </cfRule>
  </conditionalFormatting>
  <conditionalFormatting sqref="BD67:BJ68">
    <cfRule type="containsText" dxfId="6" priority="9" operator="containsText" text="17">
      <formula>NOT(ISERROR(SEARCH("17",BD67)))</formula>
    </cfRule>
    <cfRule type="containsText" dxfId="5" priority="10" operator="containsText" text="T">
      <formula>NOT(ISERROR(SEARCH("T",BD67)))</formula>
    </cfRule>
  </conditionalFormatting>
  <conditionalFormatting sqref="BE67:BE68">
    <cfRule type="containsText" dxfId="4" priority="6" operator="containsText" text="17">
      <formula>NOT(ISERROR(SEARCH("17",BE67)))</formula>
    </cfRule>
    <cfRule type="containsText" dxfId="3" priority="7" operator="containsText" text="T">
      <formula>NOT(ISERROR(SEARCH("T",BE67)))</formula>
    </cfRule>
  </conditionalFormatting>
  <conditionalFormatting sqref="BJ67:BJ68 BN67:BP68">
    <cfRule type="containsText" dxfId="2" priority="3" operator="containsText" text="T">
      <formula>NOT(ISERROR(SEARCH("T",BJ67)))</formula>
    </cfRule>
  </conditionalFormatting>
  <conditionalFormatting sqref="BJ67:BK68 BN67:BP68">
    <cfRule type="containsText" dxfId="1" priority="4" operator="containsText" text="17">
      <formula>NOT(ISERROR(SEARCH("17",BJ67)))</formula>
    </cfRule>
  </conditionalFormatting>
  <conditionalFormatting sqref="BK67:BK68">
    <cfRule type="containsText" dxfId="0" priority="5" operator="containsText" text="T">
      <formula>NOT(ISERROR(SEARCH("T",BK67)))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255"/>
  <sheetViews>
    <sheetView tabSelected="1"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J49" sqref="J49"/>
    </sheetView>
  </sheetViews>
  <sheetFormatPr defaultRowHeight="15" x14ac:dyDescent="0.25"/>
  <cols>
    <col min="1" max="1" width="10.7109375" bestFit="1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77">
        <v>45962</v>
      </c>
      <c r="B2" s="25" t="s">
        <v>458</v>
      </c>
      <c r="C2" s="77">
        <f>A2+23</f>
        <v>45985</v>
      </c>
      <c r="D2" s="77">
        <f>A2+7</f>
        <v>45969</v>
      </c>
      <c r="E2" s="77">
        <f>A2+14</f>
        <v>45976</v>
      </c>
      <c r="F2" s="77">
        <f>A2+20</f>
        <v>45982</v>
      </c>
      <c r="G2" s="77">
        <f>A2+8</f>
        <v>45970</v>
      </c>
      <c r="H2" s="77">
        <f>A2+15</f>
        <v>45977</v>
      </c>
      <c r="I2" s="77">
        <v>45991</v>
      </c>
      <c r="J2" s="78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77">
        <v>45962</v>
      </c>
      <c r="B3" s="25" t="s">
        <v>459</v>
      </c>
      <c r="C3" s="77">
        <f t="shared" ref="C3:C9" si="2">A3+23</f>
        <v>45985</v>
      </c>
      <c r="D3" s="77">
        <f t="shared" ref="D3:D9" si="3">A3+7</f>
        <v>45969</v>
      </c>
      <c r="E3" s="77">
        <f t="shared" ref="E3:E9" si="4">A3+14</f>
        <v>45976</v>
      </c>
      <c r="F3" s="77">
        <f t="shared" ref="F3:F9" si="5">A3+20</f>
        <v>45982</v>
      </c>
      <c r="G3" s="77">
        <f t="shared" ref="G3:G9" si="6">A3+8</f>
        <v>45970</v>
      </c>
      <c r="H3" s="77">
        <f t="shared" ref="H3:H9" si="7">A3+15</f>
        <v>45977</v>
      </c>
      <c r="I3" s="77">
        <v>45991</v>
      </c>
      <c r="J3" s="78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77">
        <v>45962</v>
      </c>
      <c r="B4" s="25" t="s">
        <v>460</v>
      </c>
      <c r="C4" s="77">
        <f t="shared" si="2"/>
        <v>45985</v>
      </c>
      <c r="D4" s="77">
        <f t="shared" si="3"/>
        <v>45969</v>
      </c>
      <c r="E4" s="77">
        <f t="shared" si="4"/>
        <v>45976</v>
      </c>
      <c r="F4" s="77">
        <f t="shared" si="5"/>
        <v>45982</v>
      </c>
      <c r="G4" s="77">
        <f t="shared" si="6"/>
        <v>45970</v>
      </c>
      <c r="H4" s="77">
        <f t="shared" si="7"/>
        <v>45977</v>
      </c>
      <c r="I4" s="77">
        <v>45991</v>
      </c>
      <c r="J4" s="78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77">
        <v>45962</v>
      </c>
      <c r="B5" s="25" t="s">
        <v>461</v>
      </c>
      <c r="C5" s="77">
        <f t="shared" si="2"/>
        <v>45985</v>
      </c>
      <c r="D5" s="77">
        <f t="shared" si="3"/>
        <v>45969</v>
      </c>
      <c r="E5" s="77">
        <f t="shared" si="4"/>
        <v>45976</v>
      </c>
      <c r="F5" s="77">
        <f t="shared" si="5"/>
        <v>45982</v>
      </c>
      <c r="G5" s="77">
        <f t="shared" si="6"/>
        <v>45970</v>
      </c>
      <c r="H5" s="77">
        <f t="shared" si="7"/>
        <v>45977</v>
      </c>
      <c r="I5" s="77">
        <v>45991</v>
      </c>
      <c r="J5" s="78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77">
        <v>45962</v>
      </c>
      <c r="B6" s="25" t="s">
        <v>462</v>
      </c>
      <c r="C6" s="77">
        <f t="shared" si="2"/>
        <v>45985</v>
      </c>
      <c r="D6" s="77">
        <f t="shared" si="3"/>
        <v>45969</v>
      </c>
      <c r="E6" s="77">
        <f t="shared" si="4"/>
        <v>45976</v>
      </c>
      <c r="F6" s="77">
        <f t="shared" si="5"/>
        <v>45982</v>
      </c>
      <c r="G6" s="77">
        <f t="shared" si="6"/>
        <v>45970</v>
      </c>
      <c r="H6" s="77">
        <f t="shared" si="7"/>
        <v>45977</v>
      </c>
      <c r="I6" s="77">
        <v>45991</v>
      </c>
      <c r="J6" s="78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77">
        <v>45962</v>
      </c>
      <c r="B7" s="25" t="s">
        <v>463</v>
      </c>
      <c r="C7" s="77">
        <f t="shared" si="2"/>
        <v>45985</v>
      </c>
      <c r="D7" s="77">
        <f t="shared" si="3"/>
        <v>45969</v>
      </c>
      <c r="E7" s="77">
        <f t="shared" si="4"/>
        <v>45976</v>
      </c>
      <c r="F7" s="77">
        <f t="shared" si="5"/>
        <v>45982</v>
      </c>
      <c r="G7" s="77">
        <f t="shared" si="6"/>
        <v>45970</v>
      </c>
      <c r="H7" s="77">
        <f t="shared" si="7"/>
        <v>45977</v>
      </c>
      <c r="I7" s="77">
        <v>45992</v>
      </c>
      <c r="J7" s="78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77">
        <v>45962</v>
      </c>
      <c r="B8" s="25" t="s">
        <v>464</v>
      </c>
      <c r="C8" s="77">
        <f t="shared" si="2"/>
        <v>45985</v>
      </c>
      <c r="D8" s="77">
        <f t="shared" si="3"/>
        <v>45969</v>
      </c>
      <c r="E8" s="77">
        <f t="shared" si="4"/>
        <v>45976</v>
      </c>
      <c r="F8" s="77">
        <f t="shared" si="5"/>
        <v>45982</v>
      </c>
      <c r="G8" s="77">
        <f t="shared" si="6"/>
        <v>45970</v>
      </c>
      <c r="H8" s="77">
        <f t="shared" si="7"/>
        <v>45977</v>
      </c>
      <c r="I8" s="77">
        <v>45991</v>
      </c>
      <c r="J8" s="78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77">
        <v>45963</v>
      </c>
      <c r="B9" s="25" t="s">
        <v>421</v>
      </c>
      <c r="C9" s="77">
        <f t="shared" si="2"/>
        <v>45986</v>
      </c>
      <c r="D9" s="77">
        <f t="shared" si="3"/>
        <v>45970</v>
      </c>
      <c r="E9" s="77">
        <f t="shared" si="4"/>
        <v>45977</v>
      </c>
      <c r="F9" s="77">
        <f t="shared" si="5"/>
        <v>45983</v>
      </c>
      <c r="G9" s="77">
        <f t="shared" si="6"/>
        <v>45971</v>
      </c>
      <c r="H9" s="77">
        <f t="shared" si="7"/>
        <v>45978</v>
      </c>
      <c r="I9" s="77">
        <v>45993</v>
      </c>
      <c r="J9" s="78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77">
        <v>45963</v>
      </c>
      <c r="B10" s="25" t="s">
        <v>422</v>
      </c>
      <c r="C10" s="77">
        <f t="shared" ref="C10:C15" si="10">A10+23</f>
        <v>45986</v>
      </c>
      <c r="D10" s="77">
        <f t="shared" ref="D10:D15" si="11">A10+7</f>
        <v>45970</v>
      </c>
      <c r="E10" s="77">
        <f t="shared" ref="E10:E15" si="12">A10+14</f>
        <v>45977</v>
      </c>
      <c r="F10" s="77">
        <f t="shared" ref="F10:F15" si="13">A10+20</f>
        <v>45983</v>
      </c>
      <c r="G10" s="77">
        <f t="shared" ref="G10:G15" si="14">A10+8</f>
        <v>45971</v>
      </c>
      <c r="H10" s="77">
        <f t="shared" ref="H10:H15" si="15">A10+15</f>
        <v>45978</v>
      </c>
      <c r="I10" s="77">
        <v>45993</v>
      </c>
      <c r="J10" s="78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77">
        <v>45963</v>
      </c>
      <c r="B11" s="25" t="s">
        <v>423</v>
      </c>
      <c r="C11" s="77">
        <f t="shared" si="10"/>
        <v>45986</v>
      </c>
      <c r="D11" s="77">
        <f t="shared" si="11"/>
        <v>45970</v>
      </c>
      <c r="E11" s="77">
        <f t="shared" si="12"/>
        <v>45977</v>
      </c>
      <c r="F11" s="77">
        <f t="shared" si="13"/>
        <v>45983</v>
      </c>
      <c r="G11" s="77">
        <f t="shared" si="14"/>
        <v>45971</v>
      </c>
      <c r="H11" s="77">
        <f t="shared" si="15"/>
        <v>45978</v>
      </c>
      <c r="I11" s="77">
        <v>45993</v>
      </c>
      <c r="J11" s="78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77">
        <v>45963</v>
      </c>
      <c r="B12" s="25" t="s">
        <v>424</v>
      </c>
      <c r="C12" s="77">
        <f t="shared" si="10"/>
        <v>45986</v>
      </c>
      <c r="D12" s="77">
        <f t="shared" si="11"/>
        <v>45970</v>
      </c>
      <c r="E12" s="77">
        <f t="shared" si="12"/>
        <v>45977</v>
      </c>
      <c r="F12" s="77">
        <f t="shared" si="13"/>
        <v>45983</v>
      </c>
      <c r="G12" s="77">
        <f t="shared" si="14"/>
        <v>45971</v>
      </c>
      <c r="H12" s="77">
        <f t="shared" si="15"/>
        <v>45978</v>
      </c>
      <c r="I12" s="77">
        <v>45992</v>
      </c>
      <c r="J12" s="78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77">
        <v>45963</v>
      </c>
      <c r="B13" s="25" t="s">
        <v>425</v>
      </c>
      <c r="C13" s="77">
        <f t="shared" si="10"/>
        <v>45986</v>
      </c>
      <c r="D13" s="77">
        <f t="shared" si="11"/>
        <v>45970</v>
      </c>
      <c r="E13" s="77">
        <f t="shared" si="12"/>
        <v>45977</v>
      </c>
      <c r="F13" s="77">
        <f t="shared" si="13"/>
        <v>45983</v>
      </c>
      <c r="G13" s="77">
        <f t="shared" si="14"/>
        <v>45971</v>
      </c>
      <c r="H13" s="77">
        <f t="shared" si="15"/>
        <v>45978</v>
      </c>
      <c r="I13" s="77">
        <v>45992</v>
      </c>
      <c r="J13" s="78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77">
        <v>45963</v>
      </c>
      <c r="B14" s="25" t="s">
        <v>426</v>
      </c>
      <c r="C14" s="77">
        <f t="shared" si="10"/>
        <v>45986</v>
      </c>
      <c r="D14" s="77">
        <f t="shared" si="11"/>
        <v>45970</v>
      </c>
      <c r="E14" s="77">
        <f t="shared" si="12"/>
        <v>45977</v>
      </c>
      <c r="F14" s="77">
        <f t="shared" si="13"/>
        <v>45983</v>
      </c>
      <c r="G14" s="77">
        <f t="shared" si="14"/>
        <v>45971</v>
      </c>
      <c r="H14" s="77">
        <f t="shared" si="15"/>
        <v>45978</v>
      </c>
      <c r="I14" s="77">
        <v>45992</v>
      </c>
      <c r="J14" s="78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77">
        <v>45963</v>
      </c>
      <c r="B15" s="25" t="s">
        <v>427</v>
      </c>
      <c r="C15" s="77">
        <f t="shared" si="10"/>
        <v>45986</v>
      </c>
      <c r="D15" s="77">
        <f t="shared" si="11"/>
        <v>45970</v>
      </c>
      <c r="E15" s="77">
        <f t="shared" si="12"/>
        <v>45977</v>
      </c>
      <c r="F15" s="77">
        <f t="shared" si="13"/>
        <v>45983</v>
      </c>
      <c r="G15" s="77">
        <f t="shared" si="14"/>
        <v>45971</v>
      </c>
      <c r="H15" s="77">
        <f t="shared" si="15"/>
        <v>45978</v>
      </c>
      <c r="I15" s="77">
        <v>45992</v>
      </c>
      <c r="J15" s="78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77">
        <v>45964</v>
      </c>
      <c r="B16" s="25" t="s">
        <v>451</v>
      </c>
      <c r="C16" s="77">
        <f t="shared" ref="C16:C79" si="17">A16+23</f>
        <v>45987</v>
      </c>
      <c r="D16" s="77">
        <f t="shared" ref="D16:D79" si="18">A16+7</f>
        <v>45971</v>
      </c>
      <c r="E16" s="77">
        <f t="shared" ref="E16:E79" si="19">A16+14</f>
        <v>45978</v>
      </c>
      <c r="F16" s="77">
        <f t="shared" ref="F16:F79" si="20">A16+20</f>
        <v>45984</v>
      </c>
      <c r="G16" s="77">
        <f t="shared" ref="G16:G79" si="21">A16+8</f>
        <v>45972</v>
      </c>
      <c r="H16" s="77">
        <f t="shared" ref="H16:H79" si="22">A16+15</f>
        <v>45979</v>
      </c>
      <c r="I16" s="77">
        <v>45995</v>
      </c>
      <c r="J16" s="78">
        <f t="shared" ref="J16" si="23">I16-A16</f>
        <v>31</v>
      </c>
      <c r="K16" s="25">
        <v>16.28</v>
      </c>
      <c r="L16" s="25">
        <v>7.08</v>
      </c>
      <c r="M16" s="25">
        <f t="shared" ref="M16" si="24">K16-L16</f>
        <v>9.2000000000000011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17"/>
        <v>45987</v>
      </c>
      <c r="D17" s="77">
        <f t="shared" si="18"/>
        <v>45971</v>
      </c>
      <c r="E17" s="77">
        <f t="shared" si="19"/>
        <v>45978</v>
      </c>
      <c r="F17" s="77">
        <f t="shared" si="20"/>
        <v>45984</v>
      </c>
      <c r="G17" s="77">
        <f t="shared" si="21"/>
        <v>45972</v>
      </c>
      <c r="H17" s="77">
        <f t="shared" si="22"/>
        <v>45979</v>
      </c>
      <c r="I17" s="77">
        <v>45994</v>
      </c>
      <c r="J17" s="78">
        <f>I17-A17</f>
        <v>30</v>
      </c>
      <c r="K17" s="25">
        <v>18.21</v>
      </c>
      <c r="L17" s="25">
        <v>17.809999999999999</v>
      </c>
      <c r="M17" s="25">
        <f t="shared" ref="M17:M24" si="25">K17-L17</f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17"/>
        <v>45987</v>
      </c>
      <c r="D18" s="77">
        <f t="shared" si="18"/>
        <v>45971</v>
      </c>
      <c r="E18" s="77">
        <f t="shared" si="19"/>
        <v>45978</v>
      </c>
      <c r="F18" s="77">
        <f t="shared" si="20"/>
        <v>45984</v>
      </c>
      <c r="G18" s="77">
        <f t="shared" si="21"/>
        <v>45972</v>
      </c>
      <c r="H18" s="77">
        <f t="shared" si="22"/>
        <v>45979</v>
      </c>
      <c r="I18" s="77">
        <v>45994</v>
      </c>
      <c r="J18" s="78">
        <f t="shared" ref="J18:J24" si="26">I18-A18</f>
        <v>30</v>
      </c>
      <c r="K18" s="25">
        <v>17.93</v>
      </c>
      <c r="L18" s="25">
        <v>16.579999999999998</v>
      </c>
      <c r="M18" s="25">
        <f t="shared" si="25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17"/>
        <v>45987</v>
      </c>
      <c r="D19" s="77">
        <f t="shared" si="18"/>
        <v>45971</v>
      </c>
      <c r="E19" s="77">
        <f t="shared" si="19"/>
        <v>45978</v>
      </c>
      <c r="F19" s="77">
        <f t="shared" si="20"/>
        <v>45984</v>
      </c>
      <c r="G19" s="77">
        <f t="shared" si="21"/>
        <v>45972</v>
      </c>
      <c r="H19" s="77">
        <f t="shared" si="22"/>
        <v>45979</v>
      </c>
      <c r="I19" s="77">
        <v>45994</v>
      </c>
      <c r="J19" s="78">
        <f t="shared" si="26"/>
        <v>30</v>
      </c>
      <c r="K19" s="25">
        <v>18.559999999999999</v>
      </c>
      <c r="L19" s="25">
        <v>17.21</v>
      </c>
      <c r="M19" s="25">
        <f t="shared" si="25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17"/>
        <v>45987</v>
      </c>
      <c r="D20" s="77">
        <f t="shared" si="18"/>
        <v>45971</v>
      </c>
      <c r="E20" s="77">
        <f t="shared" si="19"/>
        <v>45978</v>
      </c>
      <c r="F20" s="77">
        <f t="shared" si="20"/>
        <v>45984</v>
      </c>
      <c r="G20" s="77">
        <f t="shared" si="21"/>
        <v>45972</v>
      </c>
      <c r="H20" s="77">
        <f t="shared" si="22"/>
        <v>45979</v>
      </c>
      <c r="I20" s="77">
        <v>45994</v>
      </c>
      <c r="J20" s="78">
        <f t="shared" si="26"/>
        <v>30</v>
      </c>
      <c r="K20" s="25">
        <v>18.11</v>
      </c>
      <c r="L20" s="25">
        <v>8.76</v>
      </c>
      <c r="M20" s="25">
        <f t="shared" si="25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17"/>
        <v>45987</v>
      </c>
      <c r="D21" s="77">
        <f t="shared" si="18"/>
        <v>45971</v>
      </c>
      <c r="E21" s="77">
        <f t="shared" si="19"/>
        <v>45978</v>
      </c>
      <c r="F21" s="77">
        <f t="shared" si="20"/>
        <v>45984</v>
      </c>
      <c r="G21" s="77">
        <f t="shared" si="21"/>
        <v>45972</v>
      </c>
      <c r="H21" s="77">
        <f t="shared" si="22"/>
        <v>45979</v>
      </c>
      <c r="I21" s="77">
        <v>45994</v>
      </c>
      <c r="J21" s="78">
        <f t="shared" si="26"/>
        <v>30</v>
      </c>
      <c r="K21" s="25">
        <v>17.510000000000002</v>
      </c>
      <c r="L21" s="25">
        <v>7.91</v>
      </c>
      <c r="M21" s="25">
        <f t="shared" si="25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17"/>
        <v>45987</v>
      </c>
      <c r="D22" s="77">
        <f t="shared" si="18"/>
        <v>45971</v>
      </c>
      <c r="E22" s="77">
        <f t="shared" si="19"/>
        <v>45978</v>
      </c>
      <c r="F22" s="77">
        <f t="shared" si="20"/>
        <v>45984</v>
      </c>
      <c r="G22" s="77">
        <f t="shared" si="21"/>
        <v>45972</v>
      </c>
      <c r="H22" s="77">
        <f t="shared" si="22"/>
        <v>45979</v>
      </c>
      <c r="I22" s="77">
        <v>45994</v>
      </c>
      <c r="J22" s="78">
        <f t="shared" si="26"/>
        <v>30</v>
      </c>
      <c r="K22" s="25">
        <v>16.59</v>
      </c>
      <c r="L22" s="25">
        <v>7.14</v>
      </c>
      <c r="M22" s="25">
        <f t="shared" si="25"/>
        <v>9.4499999999999993</v>
      </c>
      <c r="N22" s="25" t="s">
        <v>592</v>
      </c>
    </row>
    <row r="23" spans="1:14" x14ac:dyDescent="0.25">
      <c r="A23" s="77">
        <v>45965</v>
      </c>
      <c r="B23" s="25" t="s">
        <v>465</v>
      </c>
      <c r="C23" s="77">
        <f t="shared" si="17"/>
        <v>45988</v>
      </c>
      <c r="D23" s="77">
        <f t="shared" si="18"/>
        <v>45972</v>
      </c>
      <c r="E23" s="77">
        <f t="shared" si="19"/>
        <v>45979</v>
      </c>
      <c r="F23" s="77">
        <f t="shared" si="20"/>
        <v>45985</v>
      </c>
      <c r="G23" s="77">
        <f t="shared" si="21"/>
        <v>45973</v>
      </c>
      <c r="H23" s="77">
        <f t="shared" si="22"/>
        <v>45980</v>
      </c>
      <c r="I23" s="77">
        <v>45995</v>
      </c>
      <c r="J23" s="78">
        <f t="shared" si="26"/>
        <v>30</v>
      </c>
      <c r="K23" s="25">
        <v>16.21</v>
      </c>
      <c r="L23" s="25">
        <v>15.12</v>
      </c>
      <c r="M23" s="25">
        <f t="shared" si="25"/>
        <v>1.0900000000000016</v>
      </c>
      <c r="N23" s="25" t="s">
        <v>593</v>
      </c>
    </row>
    <row r="24" spans="1:14" x14ac:dyDescent="0.25">
      <c r="A24" s="77">
        <v>45965</v>
      </c>
      <c r="B24" s="25" t="s">
        <v>466</v>
      </c>
      <c r="C24" s="77">
        <f t="shared" si="17"/>
        <v>45988</v>
      </c>
      <c r="D24" s="77">
        <f t="shared" si="18"/>
        <v>45972</v>
      </c>
      <c r="E24" s="77">
        <f t="shared" si="19"/>
        <v>45979</v>
      </c>
      <c r="F24" s="77">
        <f t="shared" si="20"/>
        <v>45985</v>
      </c>
      <c r="G24" s="77">
        <f t="shared" si="21"/>
        <v>45973</v>
      </c>
      <c r="H24" s="77">
        <f t="shared" si="22"/>
        <v>45980</v>
      </c>
      <c r="I24" s="77">
        <v>45996</v>
      </c>
      <c r="J24" s="78">
        <f t="shared" si="26"/>
        <v>31</v>
      </c>
      <c r="K24" s="25">
        <v>12.51</v>
      </c>
      <c r="L24" s="25">
        <v>5.12</v>
      </c>
      <c r="M24" s="25">
        <f t="shared" si="25"/>
        <v>7.39</v>
      </c>
      <c r="N24" s="25" t="s">
        <v>592</v>
      </c>
    </row>
    <row r="25" spans="1:14" x14ac:dyDescent="0.25">
      <c r="A25" s="77">
        <v>45965</v>
      </c>
      <c r="B25" s="25" t="s">
        <v>467</v>
      </c>
      <c r="C25" s="77">
        <f t="shared" si="17"/>
        <v>45988</v>
      </c>
      <c r="D25" s="77">
        <f t="shared" si="18"/>
        <v>45972</v>
      </c>
      <c r="E25" s="77">
        <f t="shared" si="19"/>
        <v>45979</v>
      </c>
      <c r="F25" s="77">
        <f t="shared" si="20"/>
        <v>45985</v>
      </c>
      <c r="G25" s="77">
        <f t="shared" si="21"/>
        <v>45973</v>
      </c>
      <c r="H25" s="77">
        <f t="shared" si="22"/>
        <v>45980</v>
      </c>
      <c r="I25" s="77">
        <v>45995</v>
      </c>
      <c r="J25" s="78">
        <f t="shared" ref="J25:J26" si="27">I25-A25</f>
        <v>30</v>
      </c>
      <c r="K25" s="25">
        <v>14.28</v>
      </c>
      <c r="L25" s="25">
        <v>13.1</v>
      </c>
      <c r="M25" s="25">
        <f t="shared" ref="M25:M26" si="28">K25-L25</f>
        <v>1.1799999999999997</v>
      </c>
      <c r="N25" s="25" t="s">
        <v>593</v>
      </c>
    </row>
    <row r="26" spans="1:14" x14ac:dyDescent="0.25">
      <c r="A26" s="77">
        <v>45965</v>
      </c>
      <c r="B26" s="25" t="s">
        <v>468</v>
      </c>
      <c r="C26" s="77">
        <f t="shared" si="17"/>
        <v>45988</v>
      </c>
      <c r="D26" s="77">
        <f t="shared" si="18"/>
        <v>45972</v>
      </c>
      <c r="E26" s="77">
        <f t="shared" si="19"/>
        <v>45979</v>
      </c>
      <c r="F26" s="77">
        <f t="shared" si="20"/>
        <v>45985</v>
      </c>
      <c r="G26" s="77">
        <f t="shared" si="21"/>
        <v>45973</v>
      </c>
      <c r="H26" s="77">
        <f t="shared" si="22"/>
        <v>45980</v>
      </c>
      <c r="I26" s="77">
        <v>45996</v>
      </c>
      <c r="J26" s="78">
        <f t="shared" si="27"/>
        <v>31</v>
      </c>
      <c r="K26" s="25">
        <v>11.27</v>
      </c>
      <c r="L26" s="25">
        <v>4.8</v>
      </c>
      <c r="M26" s="25">
        <f t="shared" si="28"/>
        <v>6.47</v>
      </c>
      <c r="N26" s="25" t="s">
        <v>592</v>
      </c>
    </row>
    <row r="27" spans="1:14" x14ac:dyDescent="0.25">
      <c r="A27" s="77">
        <v>45965</v>
      </c>
      <c r="B27" s="25" t="s">
        <v>469</v>
      </c>
      <c r="C27" s="77">
        <f t="shared" si="17"/>
        <v>45988</v>
      </c>
      <c r="D27" s="77">
        <f t="shared" si="18"/>
        <v>45972</v>
      </c>
      <c r="E27" s="77">
        <f t="shared" si="19"/>
        <v>45979</v>
      </c>
      <c r="F27" s="77">
        <f t="shared" si="20"/>
        <v>45985</v>
      </c>
      <c r="G27" s="77">
        <f t="shared" si="21"/>
        <v>45973</v>
      </c>
      <c r="H27" s="77">
        <f t="shared" si="22"/>
        <v>45980</v>
      </c>
      <c r="I27" s="77">
        <v>45995</v>
      </c>
      <c r="J27" s="78">
        <f t="shared" ref="J27" si="29">I27-A27</f>
        <v>30</v>
      </c>
      <c r="K27" s="25">
        <v>15.74</v>
      </c>
      <c r="L27" s="25">
        <v>14.21</v>
      </c>
      <c r="M27" s="25">
        <f t="shared" ref="M27" si="30">K27-L27</f>
        <v>1.5299999999999994</v>
      </c>
      <c r="N27" s="25" t="s">
        <v>593</v>
      </c>
    </row>
    <row r="28" spans="1:14" x14ac:dyDescent="0.25">
      <c r="A28" s="77">
        <v>45965</v>
      </c>
      <c r="B28" s="25" t="s">
        <v>470</v>
      </c>
      <c r="C28" s="77">
        <f t="shared" si="17"/>
        <v>45988</v>
      </c>
      <c r="D28" s="77">
        <f t="shared" si="18"/>
        <v>45972</v>
      </c>
      <c r="E28" s="77">
        <f t="shared" si="19"/>
        <v>45979</v>
      </c>
      <c r="F28" s="77">
        <f t="shared" si="20"/>
        <v>45985</v>
      </c>
      <c r="G28" s="77">
        <f t="shared" si="21"/>
        <v>45973</v>
      </c>
      <c r="H28" s="77">
        <f t="shared" si="22"/>
        <v>45980</v>
      </c>
      <c r="I28" s="77">
        <v>45995</v>
      </c>
      <c r="J28" s="78">
        <f t="shared" ref="J28:J32" si="31">I28-A28</f>
        <v>30</v>
      </c>
      <c r="K28" s="25">
        <v>15.02</v>
      </c>
      <c r="L28" s="25">
        <v>13.98</v>
      </c>
      <c r="M28" s="25">
        <f t="shared" ref="M28:M30" si="32">K28-L28</f>
        <v>1.0399999999999991</v>
      </c>
      <c r="N28" s="25" t="s">
        <v>593</v>
      </c>
    </row>
    <row r="29" spans="1:14" x14ac:dyDescent="0.25">
      <c r="A29" s="77">
        <v>45965</v>
      </c>
      <c r="B29" s="25" t="s">
        <v>471</v>
      </c>
      <c r="C29" s="77">
        <f t="shared" si="17"/>
        <v>45988</v>
      </c>
      <c r="D29" s="77">
        <f t="shared" si="18"/>
        <v>45972</v>
      </c>
      <c r="E29" s="77">
        <f t="shared" si="19"/>
        <v>45979</v>
      </c>
      <c r="F29" s="77">
        <f t="shared" si="20"/>
        <v>45985</v>
      </c>
      <c r="G29" s="77">
        <f t="shared" si="21"/>
        <v>45973</v>
      </c>
      <c r="H29" s="77">
        <f t="shared" si="22"/>
        <v>45980</v>
      </c>
      <c r="I29" s="77">
        <v>45995</v>
      </c>
      <c r="J29" s="78">
        <f t="shared" si="31"/>
        <v>30</v>
      </c>
      <c r="K29" s="25">
        <v>17.21</v>
      </c>
      <c r="L29" s="25">
        <v>16.12</v>
      </c>
      <c r="M29" s="25">
        <f t="shared" si="32"/>
        <v>1.0899999999999999</v>
      </c>
      <c r="N29" s="25" t="s">
        <v>593</v>
      </c>
    </row>
    <row r="30" spans="1:14" x14ac:dyDescent="0.25">
      <c r="A30" s="77">
        <v>45966</v>
      </c>
      <c r="B30" s="25" t="s">
        <v>414</v>
      </c>
      <c r="C30" s="77">
        <f t="shared" si="17"/>
        <v>45989</v>
      </c>
      <c r="D30" s="77">
        <f t="shared" si="18"/>
        <v>45973</v>
      </c>
      <c r="E30" s="77">
        <f t="shared" si="19"/>
        <v>45980</v>
      </c>
      <c r="F30" s="77">
        <f t="shared" si="20"/>
        <v>45986</v>
      </c>
      <c r="G30" s="77">
        <f t="shared" si="21"/>
        <v>45974</v>
      </c>
      <c r="H30" s="77">
        <f t="shared" si="22"/>
        <v>45981</v>
      </c>
      <c r="I30" s="77">
        <v>45996</v>
      </c>
      <c r="J30" s="78">
        <f t="shared" si="31"/>
        <v>30</v>
      </c>
      <c r="K30" s="25">
        <v>15.19</v>
      </c>
      <c r="L30" s="25">
        <v>14.76</v>
      </c>
      <c r="M30" s="25">
        <f t="shared" ref="M30:M32" si="33">K30-L30</f>
        <v>0.42999999999999972</v>
      </c>
      <c r="N30" s="25" t="s">
        <v>593</v>
      </c>
    </row>
    <row r="31" spans="1:14" x14ac:dyDescent="0.25">
      <c r="A31" s="77">
        <v>45966</v>
      </c>
      <c r="B31" s="25" t="s">
        <v>415</v>
      </c>
      <c r="C31" s="77">
        <f t="shared" si="17"/>
        <v>45989</v>
      </c>
      <c r="D31" s="77">
        <f t="shared" si="18"/>
        <v>45973</v>
      </c>
      <c r="E31" s="77">
        <f t="shared" si="19"/>
        <v>45980</v>
      </c>
      <c r="F31" s="77">
        <f t="shared" si="20"/>
        <v>45986</v>
      </c>
      <c r="G31" s="77">
        <f t="shared" si="21"/>
        <v>45974</v>
      </c>
      <c r="H31" s="77">
        <f t="shared" si="22"/>
        <v>45981</v>
      </c>
      <c r="I31" s="77">
        <v>45996</v>
      </c>
      <c r="J31" s="78">
        <f t="shared" si="31"/>
        <v>30</v>
      </c>
      <c r="K31" s="25">
        <v>15.07</v>
      </c>
      <c r="L31" s="25">
        <v>13.91</v>
      </c>
      <c r="M31" s="25">
        <f t="shared" si="33"/>
        <v>1.1600000000000001</v>
      </c>
      <c r="N31" s="25" t="s">
        <v>593</v>
      </c>
    </row>
    <row r="32" spans="1:14" x14ac:dyDescent="0.25">
      <c r="A32" s="77">
        <v>45966</v>
      </c>
      <c r="B32" s="25" t="s">
        <v>416</v>
      </c>
      <c r="C32" s="77">
        <f t="shared" si="17"/>
        <v>45989</v>
      </c>
      <c r="D32" s="77">
        <f t="shared" si="18"/>
        <v>45973</v>
      </c>
      <c r="E32" s="77">
        <f t="shared" si="19"/>
        <v>45980</v>
      </c>
      <c r="F32" s="77">
        <f t="shared" si="20"/>
        <v>45986</v>
      </c>
      <c r="G32" s="77">
        <f t="shared" si="21"/>
        <v>45974</v>
      </c>
      <c r="H32" s="77">
        <f t="shared" si="22"/>
        <v>45981</v>
      </c>
      <c r="I32" s="77">
        <v>45996</v>
      </c>
      <c r="J32" s="78">
        <f t="shared" si="31"/>
        <v>30</v>
      </c>
      <c r="K32" s="25">
        <v>14.33</v>
      </c>
      <c r="L32" s="25">
        <v>13.12</v>
      </c>
      <c r="M32" s="25">
        <f t="shared" si="33"/>
        <v>1.2100000000000009</v>
      </c>
      <c r="N32" s="25" t="s">
        <v>593</v>
      </c>
    </row>
    <row r="33" spans="1:14" x14ac:dyDescent="0.25">
      <c r="A33" s="77">
        <v>45966</v>
      </c>
      <c r="B33" s="25" t="s">
        <v>417</v>
      </c>
      <c r="C33" s="77">
        <f t="shared" si="17"/>
        <v>45989</v>
      </c>
      <c r="D33" s="77">
        <f t="shared" si="18"/>
        <v>45973</v>
      </c>
      <c r="E33" s="77">
        <f t="shared" si="19"/>
        <v>45980</v>
      </c>
      <c r="F33" s="77">
        <f t="shared" si="20"/>
        <v>45986</v>
      </c>
      <c r="G33" s="77">
        <f t="shared" si="21"/>
        <v>45974</v>
      </c>
      <c r="H33" s="77">
        <f t="shared" si="22"/>
        <v>45981</v>
      </c>
      <c r="I33" s="77">
        <v>45995</v>
      </c>
      <c r="J33" s="78">
        <f t="shared" ref="J33" si="34">I33-A33</f>
        <v>29</v>
      </c>
      <c r="K33" s="25">
        <v>17.510000000000002</v>
      </c>
      <c r="L33" s="25">
        <v>16.059999999999999</v>
      </c>
      <c r="M33" s="25">
        <f t="shared" ref="M33" si="35">K33-L33</f>
        <v>1.4500000000000028</v>
      </c>
      <c r="N33" s="25" t="s">
        <v>593</v>
      </c>
    </row>
    <row r="34" spans="1:14" x14ac:dyDescent="0.25">
      <c r="A34" s="77">
        <v>45966</v>
      </c>
      <c r="B34" s="25" t="s">
        <v>418</v>
      </c>
      <c r="C34" s="77">
        <f t="shared" si="17"/>
        <v>45989</v>
      </c>
      <c r="D34" s="77">
        <f t="shared" si="18"/>
        <v>45973</v>
      </c>
      <c r="E34" s="77">
        <f t="shared" si="19"/>
        <v>45980</v>
      </c>
      <c r="F34" s="77">
        <f t="shared" si="20"/>
        <v>45986</v>
      </c>
      <c r="G34" s="77">
        <f t="shared" si="21"/>
        <v>45974</v>
      </c>
      <c r="H34" s="77">
        <f t="shared" si="22"/>
        <v>45981</v>
      </c>
      <c r="I34" s="77">
        <v>45995</v>
      </c>
      <c r="J34" s="78">
        <f t="shared" ref="J34" si="36">I34-A34</f>
        <v>29</v>
      </c>
      <c r="K34" s="25">
        <v>15.24</v>
      </c>
      <c r="L34" s="25">
        <v>14.81</v>
      </c>
      <c r="M34" s="25">
        <f t="shared" ref="M34" si="37">K34-L34</f>
        <v>0.42999999999999972</v>
      </c>
      <c r="N34" s="25" t="s">
        <v>593</v>
      </c>
    </row>
    <row r="35" spans="1:14" x14ac:dyDescent="0.25">
      <c r="A35" s="77">
        <v>45966</v>
      </c>
      <c r="B35" s="25" t="s">
        <v>419</v>
      </c>
      <c r="C35" s="77">
        <f t="shared" si="17"/>
        <v>45989</v>
      </c>
      <c r="D35" s="77">
        <f t="shared" si="18"/>
        <v>45973</v>
      </c>
      <c r="E35" s="77">
        <f t="shared" si="19"/>
        <v>45980</v>
      </c>
      <c r="F35" s="77">
        <f t="shared" si="20"/>
        <v>45986</v>
      </c>
      <c r="G35" s="77">
        <f t="shared" si="21"/>
        <v>45974</v>
      </c>
      <c r="H35" s="77">
        <f t="shared" si="22"/>
        <v>45981</v>
      </c>
      <c r="I35" s="77">
        <v>45995</v>
      </c>
      <c r="J35" s="78">
        <f t="shared" ref="J35" si="38">I35-A35</f>
        <v>29</v>
      </c>
      <c r="K35" s="25">
        <v>16.91</v>
      </c>
      <c r="L35" s="25">
        <v>7.68</v>
      </c>
      <c r="M35" s="25">
        <f t="shared" ref="M35" si="39">K35-L35</f>
        <v>9.23</v>
      </c>
      <c r="N35" s="25" t="s">
        <v>592</v>
      </c>
    </row>
    <row r="36" spans="1:14" x14ac:dyDescent="0.25">
      <c r="A36" s="77">
        <v>45966</v>
      </c>
      <c r="B36" s="25" t="s">
        <v>420</v>
      </c>
      <c r="C36" s="77">
        <f t="shared" si="17"/>
        <v>45989</v>
      </c>
      <c r="D36" s="77">
        <f t="shared" si="18"/>
        <v>45973</v>
      </c>
      <c r="E36" s="77">
        <f t="shared" si="19"/>
        <v>45980</v>
      </c>
      <c r="F36" s="77">
        <f t="shared" si="20"/>
        <v>45986</v>
      </c>
      <c r="G36" s="77">
        <f t="shared" si="21"/>
        <v>45974</v>
      </c>
      <c r="H36" s="77">
        <f t="shared" si="22"/>
        <v>45981</v>
      </c>
      <c r="I36" s="77">
        <v>45995</v>
      </c>
      <c r="J36" s="78">
        <f t="shared" ref="J36:J50" si="40">I36-A36</f>
        <v>29</v>
      </c>
      <c r="K36" s="25">
        <v>18.510000000000002</v>
      </c>
      <c r="L36" s="25">
        <v>8.51</v>
      </c>
      <c r="M36" s="25">
        <f t="shared" ref="M36:M50" si="41">K36-L36</f>
        <v>10.000000000000002</v>
      </c>
      <c r="N36" s="25" t="s">
        <v>592</v>
      </c>
    </row>
    <row r="37" spans="1:14" x14ac:dyDescent="0.25">
      <c r="A37" s="77">
        <v>45967</v>
      </c>
      <c r="B37" s="25" t="s">
        <v>444</v>
      </c>
      <c r="C37" s="77">
        <f t="shared" si="17"/>
        <v>45990</v>
      </c>
      <c r="D37" s="77">
        <f t="shared" si="18"/>
        <v>45974</v>
      </c>
      <c r="E37" s="77">
        <f t="shared" si="19"/>
        <v>45981</v>
      </c>
      <c r="F37" s="77">
        <f t="shared" si="20"/>
        <v>45987</v>
      </c>
      <c r="G37" s="77">
        <f t="shared" si="21"/>
        <v>45975</v>
      </c>
      <c r="H37" s="77">
        <f t="shared" si="22"/>
        <v>45982</v>
      </c>
      <c r="I37" s="77">
        <v>45997</v>
      </c>
      <c r="J37" s="78">
        <f t="shared" si="40"/>
        <v>30</v>
      </c>
      <c r="K37" s="25">
        <v>15.21</v>
      </c>
      <c r="L37" s="25">
        <v>6.98</v>
      </c>
      <c r="M37" s="25">
        <f t="shared" si="41"/>
        <v>8.23</v>
      </c>
      <c r="N37" s="25" t="s">
        <v>592</v>
      </c>
    </row>
    <row r="38" spans="1:14" x14ac:dyDescent="0.25">
      <c r="A38" s="77">
        <v>45967</v>
      </c>
      <c r="B38" s="25" t="s">
        <v>445</v>
      </c>
      <c r="C38" s="77">
        <f t="shared" si="17"/>
        <v>45990</v>
      </c>
      <c r="D38" s="77">
        <f t="shared" si="18"/>
        <v>45974</v>
      </c>
      <c r="E38" s="77">
        <f t="shared" si="19"/>
        <v>45981</v>
      </c>
      <c r="F38" s="77">
        <f t="shared" si="20"/>
        <v>45987</v>
      </c>
      <c r="G38" s="77">
        <f t="shared" si="21"/>
        <v>45975</v>
      </c>
      <c r="H38" s="77">
        <f t="shared" si="22"/>
        <v>45982</v>
      </c>
      <c r="I38" s="77">
        <v>45997</v>
      </c>
      <c r="J38" s="78">
        <f t="shared" si="40"/>
        <v>30</v>
      </c>
      <c r="K38" s="25">
        <v>13.98</v>
      </c>
      <c r="L38" s="25">
        <v>5.71</v>
      </c>
      <c r="M38" s="25">
        <f t="shared" si="41"/>
        <v>8.27</v>
      </c>
      <c r="N38" s="25" t="s">
        <v>592</v>
      </c>
    </row>
    <row r="39" spans="1:14" x14ac:dyDescent="0.25">
      <c r="A39" s="77">
        <v>45967</v>
      </c>
      <c r="B39" s="25" t="s">
        <v>446</v>
      </c>
      <c r="C39" s="77">
        <f t="shared" si="17"/>
        <v>45990</v>
      </c>
      <c r="D39" s="77">
        <f t="shared" si="18"/>
        <v>45974</v>
      </c>
      <c r="E39" s="77">
        <f t="shared" si="19"/>
        <v>45981</v>
      </c>
      <c r="F39" s="77">
        <f t="shared" si="20"/>
        <v>45987</v>
      </c>
      <c r="G39" s="77">
        <f t="shared" si="21"/>
        <v>45975</v>
      </c>
      <c r="H39" s="77">
        <f t="shared" si="22"/>
        <v>45982</v>
      </c>
      <c r="I39" s="77">
        <v>45997</v>
      </c>
      <c r="J39" s="78">
        <f t="shared" si="40"/>
        <v>30</v>
      </c>
      <c r="K39" s="25">
        <v>16.2</v>
      </c>
      <c r="L39" s="25">
        <v>8.1199999999999992</v>
      </c>
      <c r="M39" s="25">
        <f t="shared" si="41"/>
        <v>8.08</v>
      </c>
      <c r="N39" s="25" t="s">
        <v>592</v>
      </c>
    </row>
    <row r="40" spans="1:14" x14ac:dyDescent="0.25">
      <c r="A40" s="77">
        <v>45967</v>
      </c>
      <c r="B40" s="25" t="s">
        <v>447</v>
      </c>
      <c r="C40" s="77">
        <f t="shared" si="17"/>
        <v>45990</v>
      </c>
      <c r="D40" s="77">
        <f t="shared" si="18"/>
        <v>45974</v>
      </c>
      <c r="E40" s="77">
        <f t="shared" si="19"/>
        <v>45981</v>
      </c>
      <c r="F40" s="77">
        <f t="shared" si="20"/>
        <v>45987</v>
      </c>
      <c r="G40" s="77">
        <f t="shared" si="21"/>
        <v>45975</v>
      </c>
      <c r="H40" s="77">
        <f t="shared" si="22"/>
        <v>45982</v>
      </c>
      <c r="I40" s="77">
        <v>45997</v>
      </c>
      <c r="J40" s="78">
        <f t="shared" si="40"/>
        <v>30</v>
      </c>
      <c r="K40" s="25">
        <v>14.91</v>
      </c>
      <c r="L40" s="25">
        <v>7.08</v>
      </c>
      <c r="M40" s="25">
        <f t="shared" si="41"/>
        <v>7.83</v>
      </c>
      <c r="N40" s="25" t="s">
        <v>592</v>
      </c>
    </row>
    <row r="41" spans="1:14" x14ac:dyDescent="0.25">
      <c r="A41" s="77">
        <v>45967</v>
      </c>
      <c r="B41" s="25" t="s">
        <v>448</v>
      </c>
      <c r="C41" s="77">
        <f t="shared" si="17"/>
        <v>45990</v>
      </c>
      <c r="D41" s="77">
        <f t="shared" si="18"/>
        <v>45974</v>
      </c>
      <c r="E41" s="77">
        <f t="shared" si="19"/>
        <v>45981</v>
      </c>
      <c r="F41" s="77">
        <f t="shared" si="20"/>
        <v>45987</v>
      </c>
      <c r="G41" s="77">
        <f t="shared" si="21"/>
        <v>45975</v>
      </c>
      <c r="H41" s="77">
        <f t="shared" si="22"/>
        <v>45982</v>
      </c>
      <c r="I41" s="77">
        <v>45996</v>
      </c>
      <c r="J41" s="78">
        <f t="shared" si="40"/>
        <v>29</v>
      </c>
      <c r="K41" s="25">
        <v>16.11</v>
      </c>
      <c r="L41" s="25">
        <v>14.97</v>
      </c>
      <c r="M41" s="25">
        <f t="shared" si="41"/>
        <v>1.1399999999999988</v>
      </c>
      <c r="N41" s="25" t="s">
        <v>593</v>
      </c>
    </row>
    <row r="42" spans="1:14" x14ac:dyDescent="0.25">
      <c r="A42" s="77">
        <v>45967</v>
      </c>
      <c r="B42" s="25" t="s">
        <v>449</v>
      </c>
      <c r="C42" s="77">
        <f t="shared" si="17"/>
        <v>45990</v>
      </c>
      <c r="D42" s="77">
        <f t="shared" si="18"/>
        <v>45974</v>
      </c>
      <c r="E42" s="77">
        <f t="shared" si="19"/>
        <v>45981</v>
      </c>
      <c r="F42" s="77">
        <f t="shared" si="20"/>
        <v>45987</v>
      </c>
      <c r="G42" s="77">
        <f t="shared" si="21"/>
        <v>45975</v>
      </c>
      <c r="H42" s="77">
        <f t="shared" si="22"/>
        <v>45982</v>
      </c>
      <c r="I42" s="77">
        <v>45996</v>
      </c>
      <c r="J42" s="78">
        <f t="shared" si="40"/>
        <v>29</v>
      </c>
      <c r="K42" s="25">
        <v>14.56</v>
      </c>
      <c r="L42" s="25">
        <v>13.82</v>
      </c>
      <c r="M42" s="25">
        <f t="shared" si="41"/>
        <v>0.74000000000000021</v>
      </c>
      <c r="N42" s="25" t="s">
        <v>593</v>
      </c>
    </row>
    <row r="43" spans="1:14" x14ac:dyDescent="0.25">
      <c r="A43" s="77">
        <v>45967</v>
      </c>
      <c r="B43" s="25" t="s">
        <v>450</v>
      </c>
      <c r="C43" s="77">
        <f t="shared" si="17"/>
        <v>45990</v>
      </c>
      <c r="D43" s="77">
        <f t="shared" si="18"/>
        <v>45974</v>
      </c>
      <c r="E43" s="77">
        <f t="shared" si="19"/>
        <v>45981</v>
      </c>
      <c r="F43" s="77">
        <f t="shared" si="20"/>
        <v>45987</v>
      </c>
      <c r="G43" s="77">
        <f t="shared" si="21"/>
        <v>45975</v>
      </c>
      <c r="H43" s="77">
        <f t="shared" si="22"/>
        <v>45982</v>
      </c>
      <c r="I43" s="77">
        <v>45997</v>
      </c>
      <c r="J43" s="78">
        <f t="shared" si="40"/>
        <v>30</v>
      </c>
      <c r="K43" s="25">
        <v>15.24</v>
      </c>
      <c r="L43" s="25">
        <v>7.62</v>
      </c>
      <c r="M43" s="25">
        <f t="shared" si="41"/>
        <v>7.62</v>
      </c>
      <c r="N43" s="25" t="s">
        <v>592</v>
      </c>
    </row>
    <row r="44" spans="1:14" x14ac:dyDescent="0.25">
      <c r="A44" s="77">
        <v>45968</v>
      </c>
      <c r="B44" s="25" t="s">
        <v>412</v>
      </c>
      <c r="C44" s="77">
        <f t="shared" si="17"/>
        <v>45991</v>
      </c>
      <c r="D44" s="77">
        <f t="shared" si="18"/>
        <v>45975</v>
      </c>
      <c r="E44" s="77">
        <f t="shared" si="19"/>
        <v>45982</v>
      </c>
      <c r="F44" s="77">
        <f t="shared" si="20"/>
        <v>45988</v>
      </c>
      <c r="G44" s="77">
        <f t="shared" si="21"/>
        <v>45976</v>
      </c>
      <c r="H44" s="77">
        <f t="shared" si="22"/>
        <v>45983</v>
      </c>
      <c r="I44" s="77">
        <v>45996</v>
      </c>
      <c r="J44" s="78">
        <f t="shared" si="40"/>
        <v>28</v>
      </c>
      <c r="K44" s="25">
        <v>14.56</v>
      </c>
      <c r="L44" s="25">
        <v>7.03</v>
      </c>
      <c r="M44" s="25">
        <f t="shared" si="41"/>
        <v>7.53</v>
      </c>
      <c r="N44" s="25" t="s">
        <v>593</v>
      </c>
    </row>
    <row r="45" spans="1:14" x14ac:dyDescent="0.25">
      <c r="A45" s="77">
        <v>45968</v>
      </c>
      <c r="B45" s="25" t="s">
        <v>413</v>
      </c>
      <c r="C45" s="77">
        <f t="shared" si="17"/>
        <v>45991</v>
      </c>
      <c r="D45" s="77">
        <f t="shared" si="18"/>
        <v>45975</v>
      </c>
      <c r="E45" s="77">
        <f t="shared" si="19"/>
        <v>45982</v>
      </c>
      <c r="F45" s="77">
        <f t="shared" si="20"/>
        <v>45988</v>
      </c>
      <c r="G45" s="77">
        <f t="shared" si="21"/>
        <v>45976</v>
      </c>
      <c r="H45" s="77">
        <f t="shared" si="22"/>
        <v>45983</v>
      </c>
      <c r="I45" s="77">
        <v>45996</v>
      </c>
      <c r="J45" s="78">
        <f t="shared" si="40"/>
        <v>28</v>
      </c>
      <c r="K45" s="25">
        <v>15.27</v>
      </c>
      <c r="L45" s="25">
        <v>14.31</v>
      </c>
      <c r="M45" s="25">
        <f t="shared" si="41"/>
        <v>0.95999999999999908</v>
      </c>
      <c r="N45" s="25" t="s">
        <v>593</v>
      </c>
    </row>
    <row r="46" spans="1:14" x14ac:dyDescent="0.25">
      <c r="A46" s="77">
        <v>45968</v>
      </c>
      <c r="B46" s="25" t="s">
        <v>442</v>
      </c>
      <c r="C46" s="77">
        <f t="shared" si="17"/>
        <v>45991</v>
      </c>
      <c r="D46" s="77">
        <f t="shared" si="18"/>
        <v>45975</v>
      </c>
      <c r="E46" s="77">
        <f t="shared" si="19"/>
        <v>45982</v>
      </c>
      <c r="F46" s="77">
        <f t="shared" si="20"/>
        <v>45988</v>
      </c>
      <c r="G46" s="77">
        <f t="shared" si="21"/>
        <v>45976</v>
      </c>
      <c r="H46" s="77">
        <f t="shared" si="22"/>
        <v>45983</v>
      </c>
      <c r="I46" s="77">
        <v>45996</v>
      </c>
      <c r="J46" s="78">
        <f t="shared" si="40"/>
        <v>28</v>
      </c>
      <c r="K46" s="25">
        <v>14.32</v>
      </c>
      <c r="L46" s="25">
        <v>13.59</v>
      </c>
      <c r="M46" s="25">
        <f t="shared" si="41"/>
        <v>0.73000000000000043</v>
      </c>
      <c r="N46" s="25" t="s">
        <v>593</v>
      </c>
    </row>
    <row r="47" spans="1:14" x14ac:dyDescent="0.25">
      <c r="A47" s="77">
        <v>45968</v>
      </c>
      <c r="B47" s="25" t="s">
        <v>443</v>
      </c>
      <c r="C47" s="77">
        <f t="shared" si="17"/>
        <v>45991</v>
      </c>
      <c r="D47" s="77">
        <f t="shared" si="18"/>
        <v>45975</v>
      </c>
      <c r="E47" s="77">
        <f t="shared" si="19"/>
        <v>45982</v>
      </c>
      <c r="F47" s="77">
        <f t="shared" si="20"/>
        <v>45988</v>
      </c>
      <c r="G47" s="77">
        <f t="shared" si="21"/>
        <v>45976</v>
      </c>
      <c r="H47" s="77">
        <f t="shared" si="22"/>
        <v>45983</v>
      </c>
      <c r="I47" s="77">
        <v>45996</v>
      </c>
      <c r="J47" s="78">
        <f t="shared" si="40"/>
        <v>28</v>
      </c>
      <c r="K47" s="25">
        <v>15.29</v>
      </c>
      <c r="L47" s="25">
        <v>14.62</v>
      </c>
      <c r="M47" s="25">
        <f t="shared" si="41"/>
        <v>0.66999999999999993</v>
      </c>
      <c r="N47" s="25" t="s">
        <v>593</v>
      </c>
    </row>
    <row r="48" spans="1:14" x14ac:dyDescent="0.25">
      <c r="A48" s="77">
        <v>45968</v>
      </c>
      <c r="B48" s="25" t="s">
        <v>472</v>
      </c>
      <c r="C48" s="77">
        <f t="shared" si="17"/>
        <v>45991</v>
      </c>
      <c r="D48" s="77">
        <f t="shared" si="18"/>
        <v>45975</v>
      </c>
      <c r="E48" s="77">
        <f t="shared" si="19"/>
        <v>45982</v>
      </c>
      <c r="F48" s="77">
        <f t="shared" si="20"/>
        <v>45988</v>
      </c>
      <c r="G48" s="77">
        <f t="shared" si="21"/>
        <v>45976</v>
      </c>
      <c r="H48" s="77">
        <f t="shared" si="22"/>
        <v>45983</v>
      </c>
      <c r="I48" s="77">
        <v>45996</v>
      </c>
      <c r="J48" s="78">
        <f t="shared" si="40"/>
        <v>28</v>
      </c>
      <c r="K48" s="25">
        <v>11.74</v>
      </c>
      <c r="L48" s="25">
        <v>10.28</v>
      </c>
      <c r="M48" s="25">
        <f t="shared" si="41"/>
        <v>1.4600000000000009</v>
      </c>
      <c r="N48" s="25" t="s">
        <v>593</v>
      </c>
    </row>
    <row r="49" spans="1:14" x14ac:dyDescent="0.25">
      <c r="A49" s="77">
        <v>45968</v>
      </c>
      <c r="B49" s="25" t="s">
        <v>473</v>
      </c>
      <c r="C49" s="77">
        <f t="shared" si="17"/>
        <v>45991</v>
      </c>
      <c r="D49" s="77">
        <f t="shared" si="18"/>
        <v>45975</v>
      </c>
      <c r="E49" s="77">
        <f t="shared" si="19"/>
        <v>45982</v>
      </c>
      <c r="F49" s="77">
        <f t="shared" si="20"/>
        <v>45988</v>
      </c>
      <c r="G49" s="77">
        <f t="shared" si="21"/>
        <v>45976</v>
      </c>
      <c r="H49" s="77">
        <f t="shared" si="22"/>
        <v>45983</v>
      </c>
      <c r="I49" s="77">
        <v>45996</v>
      </c>
      <c r="J49" s="78">
        <f t="shared" si="40"/>
        <v>28</v>
      </c>
      <c r="K49" s="25">
        <v>11.28</v>
      </c>
      <c r="L49" s="25">
        <v>10.14</v>
      </c>
      <c r="M49" s="25">
        <f t="shared" si="41"/>
        <v>1.1399999999999988</v>
      </c>
      <c r="N49" s="25" t="s">
        <v>593</v>
      </c>
    </row>
    <row r="50" spans="1:14" x14ac:dyDescent="0.25">
      <c r="A50" s="77">
        <v>45968</v>
      </c>
      <c r="B50" s="25" t="s">
        <v>474</v>
      </c>
      <c r="C50" s="77">
        <f t="shared" si="17"/>
        <v>45991</v>
      </c>
      <c r="D50" s="77">
        <f t="shared" si="18"/>
        <v>45975</v>
      </c>
      <c r="E50" s="77">
        <f t="shared" si="19"/>
        <v>45982</v>
      </c>
      <c r="F50" s="77">
        <f t="shared" si="20"/>
        <v>45988</v>
      </c>
      <c r="G50" s="77">
        <f t="shared" si="21"/>
        <v>45976</v>
      </c>
      <c r="H50" s="77">
        <f t="shared" si="22"/>
        <v>45983</v>
      </c>
      <c r="I50" s="77">
        <v>45996</v>
      </c>
      <c r="J50" s="78">
        <f t="shared" si="40"/>
        <v>28</v>
      </c>
      <c r="K50" s="25">
        <v>8.2100000000000009</v>
      </c>
      <c r="L50" s="25">
        <v>7.05</v>
      </c>
      <c r="M50" s="25">
        <f t="shared" si="41"/>
        <v>1.160000000000001</v>
      </c>
      <c r="N50" s="25" t="s">
        <v>593</v>
      </c>
    </row>
    <row r="51" spans="1:14" x14ac:dyDescent="0.25">
      <c r="A51" s="77">
        <v>45969</v>
      </c>
      <c r="B51" s="25" t="s">
        <v>476</v>
      </c>
      <c r="C51" s="77">
        <f t="shared" si="17"/>
        <v>45992</v>
      </c>
      <c r="D51" s="77">
        <f t="shared" si="18"/>
        <v>45976</v>
      </c>
      <c r="E51" s="77">
        <f t="shared" si="19"/>
        <v>45983</v>
      </c>
      <c r="F51" s="77">
        <f t="shared" si="20"/>
        <v>45989</v>
      </c>
      <c r="G51" s="77">
        <f t="shared" si="21"/>
        <v>45977</v>
      </c>
      <c r="H51" s="77">
        <f t="shared" si="22"/>
        <v>45984</v>
      </c>
      <c r="I51" s="77"/>
      <c r="J51" s="78"/>
      <c r="K51" s="25"/>
      <c r="L51" s="25"/>
      <c r="M51" s="25"/>
      <c r="N51" s="25"/>
    </row>
    <row r="52" spans="1:14" x14ac:dyDescent="0.25">
      <c r="A52" s="77">
        <v>45969</v>
      </c>
      <c r="B52" s="25" t="s">
        <v>477</v>
      </c>
      <c r="C52" s="77">
        <f t="shared" si="17"/>
        <v>45992</v>
      </c>
      <c r="D52" s="77">
        <f t="shared" si="18"/>
        <v>45976</v>
      </c>
      <c r="E52" s="77">
        <f t="shared" si="19"/>
        <v>45983</v>
      </c>
      <c r="F52" s="77">
        <f t="shared" si="20"/>
        <v>45989</v>
      </c>
      <c r="G52" s="77">
        <f t="shared" si="21"/>
        <v>45977</v>
      </c>
      <c r="H52" s="77">
        <f t="shared" si="22"/>
        <v>45984</v>
      </c>
      <c r="I52" s="77"/>
      <c r="J52" s="78"/>
      <c r="K52" s="25"/>
      <c r="L52" s="25"/>
      <c r="M52" s="25"/>
      <c r="N52" s="25"/>
    </row>
    <row r="53" spans="1:14" x14ac:dyDescent="0.25">
      <c r="A53" s="77">
        <v>45969</v>
      </c>
      <c r="B53" s="25" t="s">
        <v>478</v>
      </c>
      <c r="C53" s="77">
        <f t="shared" si="17"/>
        <v>45992</v>
      </c>
      <c r="D53" s="77">
        <f t="shared" si="18"/>
        <v>45976</v>
      </c>
      <c r="E53" s="77">
        <f t="shared" si="19"/>
        <v>45983</v>
      </c>
      <c r="F53" s="77">
        <f t="shared" si="20"/>
        <v>45989</v>
      </c>
      <c r="G53" s="77">
        <f t="shared" si="21"/>
        <v>45977</v>
      </c>
      <c r="H53" s="77">
        <f t="shared" si="22"/>
        <v>45984</v>
      </c>
      <c r="I53" s="77"/>
      <c r="J53" s="78"/>
      <c r="K53" s="25"/>
      <c r="L53" s="25"/>
      <c r="M53" s="25"/>
      <c r="N53" s="25"/>
    </row>
    <row r="54" spans="1:14" x14ac:dyDescent="0.25">
      <c r="A54" s="77">
        <v>45969</v>
      </c>
      <c r="B54" s="25" t="s">
        <v>479</v>
      </c>
      <c r="C54" s="77">
        <f t="shared" si="17"/>
        <v>45992</v>
      </c>
      <c r="D54" s="77">
        <f t="shared" si="18"/>
        <v>45976</v>
      </c>
      <c r="E54" s="77">
        <f t="shared" si="19"/>
        <v>45983</v>
      </c>
      <c r="F54" s="77">
        <f t="shared" si="20"/>
        <v>45989</v>
      </c>
      <c r="G54" s="77">
        <f t="shared" si="21"/>
        <v>45977</v>
      </c>
      <c r="H54" s="77">
        <f t="shared" si="22"/>
        <v>45984</v>
      </c>
      <c r="I54" s="77"/>
      <c r="J54" s="78"/>
      <c r="K54" s="25"/>
      <c r="L54" s="25"/>
      <c r="M54" s="25"/>
      <c r="N54" s="25"/>
    </row>
    <row r="55" spans="1:14" x14ac:dyDescent="0.25">
      <c r="A55" s="77">
        <v>45969</v>
      </c>
      <c r="B55" s="25" t="s">
        <v>480</v>
      </c>
      <c r="C55" s="77">
        <f t="shared" si="17"/>
        <v>45992</v>
      </c>
      <c r="D55" s="77">
        <f t="shared" si="18"/>
        <v>45976</v>
      </c>
      <c r="E55" s="77">
        <f t="shared" si="19"/>
        <v>45983</v>
      </c>
      <c r="F55" s="77">
        <f t="shared" si="20"/>
        <v>45989</v>
      </c>
      <c r="G55" s="77">
        <f t="shared" si="21"/>
        <v>45977</v>
      </c>
      <c r="H55" s="77">
        <f t="shared" si="22"/>
        <v>45984</v>
      </c>
      <c r="I55" s="77"/>
      <c r="J55" s="78"/>
      <c r="K55" s="25"/>
      <c r="L55" s="25"/>
      <c r="M55" s="25"/>
      <c r="N55" s="25"/>
    </row>
    <row r="56" spans="1:14" x14ac:dyDescent="0.25">
      <c r="A56" s="77">
        <v>45969</v>
      </c>
      <c r="B56" s="25" t="s">
        <v>481</v>
      </c>
      <c r="C56" s="77">
        <f t="shared" si="17"/>
        <v>45992</v>
      </c>
      <c r="D56" s="77">
        <f t="shared" si="18"/>
        <v>45976</v>
      </c>
      <c r="E56" s="77">
        <f t="shared" si="19"/>
        <v>45983</v>
      </c>
      <c r="F56" s="77">
        <f t="shared" si="20"/>
        <v>45989</v>
      </c>
      <c r="G56" s="77">
        <f t="shared" si="21"/>
        <v>45977</v>
      </c>
      <c r="H56" s="77">
        <f t="shared" si="22"/>
        <v>45984</v>
      </c>
      <c r="I56" s="77"/>
      <c r="J56" s="78"/>
      <c r="K56" s="25"/>
      <c r="L56" s="25"/>
      <c r="M56" s="25"/>
      <c r="N56" s="25"/>
    </row>
    <row r="57" spans="1:14" x14ac:dyDescent="0.25">
      <c r="A57" s="77">
        <v>45969</v>
      </c>
      <c r="B57" s="25" t="s">
        <v>482</v>
      </c>
      <c r="C57" s="77">
        <f t="shared" si="17"/>
        <v>45992</v>
      </c>
      <c r="D57" s="77">
        <f t="shared" si="18"/>
        <v>45976</v>
      </c>
      <c r="E57" s="77">
        <f t="shared" si="19"/>
        <v>45983</v>
      </c>
      <c r="F57" s="77">
        <f t="shared" si="20"/>
        <v>45989</v>
      </c>
      <c r="G57" s="77">
        <f t="shared" si="21"/>
        <v>45977</v>
      </c>
      <c r="H57" s="77">
        <f t="shared" si="22"/>
        <v>45984</v>
      </c>
      <c r="I57" s="77"/>
      <c r="J57" s="78"/>
      <c r="K57" s="25"/>
      <c r="L57" s="25"/>
      <c r="M57" s="25"/>
      <c r="N57" s="25"/>
    </row>
    <row r="58" spans="1:14" x14ac:dyDescent="0.25">
      <c r="A58" s="77">
        <v>45970</v>
      </c>
      <c r="B58" s="25" t="s">
        <v>483</v>
      </c>
      <c r="C58" s="77">
        <f t="shared" si="17"/>
        <v>45993</v>
      </c>
      <c r="D58" s="77">
        <f t="shared" si="18"/>
        <v>45977</v>
      </c>
      <c r="E58" s="77">
        <f t="shared" si="19"/>
        <v>45984</v>
      </c>
      <c r="F58" s="77">
        <f t="shared" si="20"/>
        <v>45990</v>
      </c>
      <c r="G58" s="77">
        <f t="shared" si="21"/>
        <v>45978</v>
      </c>
      <c r="H58" s="77">
        <f t="shared" si="22"/>
        <v>45985</v>
      </c>
      <c r="I58" s="77"/>
      <c r="J58" s="78"/>
      <c r="K58" s="25"/>
      <c r="L58" s="25"/>
      <c r="M58" s="25"/>
      <c r="N58" s="25"/>
    </row>
    <row r="59" spans="1:14" x14ac:dyDescent="0.25">
      <c r="A59" s="77">
        <v>45970</v>
      </c>
      <c r="B59" s="25" t="s">
        <v>484</v>
      </c>
      <c r="C59" s="77">
        <f t="shared" si="17"/>
        <v>45993</v>
      </c>
      <c r="D59" s="77">
        <f t="shared" si="18"/>
        <v>45977</v>
      </c>
      <c r="E59" s="77">
        <f t="shared" si="19"/>
        <v>45984</v>
      </c>
      <c r="F59" s="77">
        <f t="shared" si="20"/>
        <v>45990</v>
      </c>
      <c r="G59" s="77">
        <f t="shared" si="21"/>
        <v>45978</v>
      </c>
      <c r="H59" s="77">
        <f t="shared" si="22"/>
        <v>45985</v>
      </c>
      <c r="I59" s="77"/>
      <c r="J59" s="78"/>
      <c r="K59" s="25"/>
      <c r="L59" s="25"/>
      <c r="M59" s="25"/>
      <c r="N59" s="25"/>
    </row>
    <row r="60" spans="1:14" x14ac:dyDescent="0.25">
      <c r="A60" s="77">
        <v>45970</v>
      </c>
      <c r="B60" s="25" t="s">
        <v>485</v>
      </c>
      <c r="C60" s="77">
        <f t="shared" si="17"/>
        <v>45993</v>
      </c>
      <c r="D60" s="77">
        <f t="shared" si="18"/>
        <v>45977</v>
      </c>
      <c r="E60" s="77">
        <f t="shared" si="19"/>
        <v>45984</v>
      </c>
      <c r="F60" s="77">
        <f t="shared" si="20"/>
        <v>45990</v>
      </c>
      <c r="G60" s="77">
        <f t="shared" si="21"/>
        <v>45978</v>
      </c>
      <c r="H60" s="77">
        <f t="shared" si="22"/>
        <v>45985</v>
      </c>
      <c r="I60" s="77"/>
      <c r="J60" s="78"/>
      <c r="K60" s="25"/>
      <c r="L60" s="25"/>
      <c r="M60" s="25"/>
      <c r="N60" s="25"/>
    </row>
    <row r="61" spans="1:14" x14ac:dyDescent="0.25">
      <c r="A61" s="77">
        <v>45970</v>
      </c>
      <c r="B61" s="25" t="s">
        <v>486</v>
      </c>
      <c r="C61" s="77">
        <f t="shared" si="17"/>
        <v>45993</v>
      </c>
      <c r="D61" s="77">
        <f t="shared" si="18"/>
        <v>45977</v>
      </c>
      <c r="E61" s="77">
        <f t="shared" si="19"/>
        <v>45984</v>
      </c>
      <c r="F61" s="77">
        <f t="shared" si="20"/>
        <v>45990</v>
      </c>
      <c r="G61" s="77">
        <f t="shared" si="21"/>
        <v>45978</v>
      </c>
      <c r="H61" s="77">
        <f t="shared" si="22"/>
        <v>45985</v>
      </c>
      <c r="I61" s="77"/>
      <c r="J61" s="78"/>
      <c r="K61" s="25"/>
      <c r="L61" s="25"/>
      <c r="M61" s="25"/>
      <c r="N61" s="25"/>
    </row>
    <row r="62" spans="1:14" x14ac:dyDescent="0.25">
      <c r="A62" s="77">
        <v>45970</v>
      </c>
      <c r="B62" s="25" t="s">
        <v>487</v>
      </c>
      <c r="C62" s="77">
        <f t="shared" si="17"/>
        <v>45993</v>
      </c>
      <c r="D62" s="77">
        <f t="shared" si="18"/>
        <v>45977</v>
      </c>
      <c r="E62" s="77">
        <f t="shared" si="19"/>
        <v>45984</v>
      </c>
      <c r="F62" s="77">
        <f t="shared" si="20"/>
        <v>45990</v>
      </c>
      <c r="G62" s="77">
        <f t="shared" si="21"/>
        <v>45978</v>
      </c>
      <c r="H62" s="77">
        <f t="shared" si="22"/>
        <v>45985</v>
      </c>
      <c r="I62" s="77"/>
      <c r="J62" s="78"/>
      <c r="K62" s="25"/>
      <c r="L62" s="25"/>
      <c r="M62" s="25"/>
      <c r="N62" s="25"/>
    </row>
    <row r="63" spans="1:14" x14ac:dyDescent="0.25">
      <c r="A63" s="77">
        <v>45970</v>
      </c>
      <c r="B63" s="25" t="s">
        <v>488</v>
      </c>
      <c r="C63" s="77">
        <f t="shared" si="17"/>
        <v>45993</v>
      </c>
      <c r="D63" s="77">
        <f t="shared" si="18"/>
        <v>45977</v>
      </c>
      <c r="E63" s="77">
        <f t="shared" si="19"/>
        <v>45984</v>
      </c>
      <c r="F63" s="77">
        <f t="shared" si="20"/>
        <v>45990</v>
      </c>
      <c r="G63" s="77">
        <f t="shared" si="21"/>
        <v>45978</v>
      </c>
      <c r="H63" s="77">
        <f t="shared" si="22"/>
        <v>45985</v>
      </c>
      <c r="I63" s="77"/>
      <c r="J63" s="78"/>
      <c r="K63" s="25"/>
      <c r="L63" s="25"/>
      <c r="M63" s="25"/>
      <c r="N63" s="25"/>
    </row>
    <row r="64" spans="1:14" x14ac:dyDescent="0.25">
      <c r="A64" s="77">
        <v>45970</v>
      </c>
      <c r="B64" s="25" t="s">
        <v>489</v>
      </c>
      <c r="C64" s="77">
        <f t="shared" si="17"/>
        <v>45993</v>
      </c>
      <c r="D64" s="77">
        <f t="shared" si="18"/>
        <v>45977</v>
      </c>
      <c r="E64" s="77">
        <f t="shared" si="19"/>
        <v>45984</v>
      </c>
      <c r="F64" s="77">
        <f t="shared" si="20"/>
        <v>45990</v>
      </c>
      <c r="G64" s="77">
        <f t="shared" si="21"/>
        <v>45978</v>
      </c>
      <c r="H64" s="77">
        <f t="shared" si="22"/>
        <v>45985</v>
      </c>
      <c r="I64" s="77"/>
      <c r="J64" s="78"/>
      <c r="K64" s="25"/>
      <c r="L64" s="25"/>
      <c r="M64" s="25"/>
      <c r="N64" s="25"/>
    </row>
    <row r="65" spans="1:14" x14ac:dyDescent="0.25">
      <c r="A65" s="77">
        <v>45971</v>
      </c>
      <c r="B65" s="25" t="s">
        <v>490</v>
      </c>
      <c r="C65" s="77">
        <f t="shared" si="17"/>
        <v>45994</v>
      </c>
      <c r="D65" s="77">
        <f t="shared" si="18"/>
        <v>45978</v>
      </c>
      <c r="E65" s="77">
        <f t="shared" si="19"/>
        <v>45985</v>
      </c>
      <c r="F65" s="77">
        <f t="shared" si="20"/>
        <v>45991</v>
      </c>
      <c r="G65" s="77">
        <f t="shared" si="21"/>
        <v>45979</v>
      </c>
      <c r="H65" s="77">
        <f t="shared" si="22"/>
        <v>45986</v>
      </c>
      <c r="I65" s="77"/>
      <c r="J65" s="78"/>
      <c r="K65" s="25"/>
      <c r="L65" s="25"/>
      <c r="M65" s="25"/>
      <c r="N65" s="25"/>
    </row>
    <row r="66" spans="1:14" x14ac:dyDescent="0.25">
      <c r="A66" s="77">
        <v>45971</v>
      </c>
      <c r="B66" s="25" t="s">
        <v>491</v>
      </c>
      <c r="C66" s="77">
        <f t="shared" si="17"/>
        <v>45994</v>
      </c>
      <c r="D66" s="77">
        <f t="shared" si="18"/>
        <v>45978</v>
      </c>
      <c r="E66" s="77">
        <f t="shared" si="19"/>
        <v>45985</v>
      </c>
      <c r="F66" s="77">
        <f t="shared" si="20"/>
        <v>45991</v>
      </c>
      <c r="G66" s="77">
        <f t="shared" si="21"/>
        <v>45979</v>
      </c>
      <c r="H66" s="77">
        <f t="shared" si="22"/>
        <v>45986</v>
      </c>
      <c r="I66" s="77"/>
      <c r="J66" s="78"/>
      <c r="K66" s="25"/>
      <c r="L66" s="25"/>
      <c r="M66" s="25"/>
      <c r="N66" s="25"/>
    </row>
    <row r="67" spans="1:14" x14ac:dyDescent="0.25">
      <c r="A67" s="77">
        <v>45971</v>
      </c>
      <c r="B67" s="25" t="s">
        <v>492</v>
      </c>
      <c r="C67" s="77">
        <f t="shared" si="17"/>
        <v>45994</v>
      </c>
      <c r="D67" s="77">
        <f t="shared" si="18"/>
        <v>45978</v>
      </c>
      <c r="E67" s="77">
        <f t="shared" si="19"/>
        <v>45985</v>
      </c>
      <c r="F67" s="77">
        <f t="shared" si="20"/>
        <v>45991</v>
      </c>
      <c r="G67" s="77">
        <f t="shared" si="21"/>
        <v>45979</v>
      </c>
      <c r="H67" s="77">
        <f t="shared" si="22"/>
        <v>45986</v>
      </c>
      <c r="I67" s="77"/>
      <c r="J67" s="78"/>
      <c r="K67" s="25"/>
      <c r="L67" s="25"/>
      <c r="M67" s="25"/>
      <c r="N67" s="25"/>
    </row>
    <row r="68" spans="1:14" x14ac:dyDescent="0.25">
      <c r="A68" s="77">
        <v>45971</v>
      </c>
      <c r="B68" s="25" t="s">
        <v>493</v>
      </c>
      <c r="C68" s="77">
        <f t="shared" si="17"/>
        <v>45994</v>
      </c>
      <c r="D68" s="77">
        <f t="shared" si="18"/>
        <v>45978</v>
      </c>
      <c r="E68" s="77">
        <f t="shared" si="19"/>
        <v>45985</v>
      </c>
      <c r="F68" s="77">
        <f t="shared" si="20"/>
        <v>45991</v>
      </c>
      <c r="G68" s="77">
        <f t="shared" si="21"/>
        <v>45979</v>
      </c>
      <c r="H68" s="77">
        <f t="shared" si="22"/>
        <v>45986</v>
      </c>
      <c r="I68" s="77"/>
      <c r="J68" s="78"/>
      <c r="K68" s="25"/>
      <c r="L68" s="25"/>
      <c r="M68" s="25"/>
      <c r="N68" s="25"/>
    </row>
    <row r="69" spans="1:14" x14ac:dyDescent="0.25">
      <c r="A69" s="77">
        <v>45971</v>
      </c>
      <c r="B69" s="25" t="s">
        <v>494</v>
      </c>
      <c r="C69" s="77">
        <f t="shared" si="17"/>
        <v>45994</v>
      </c>
      <c r="D69" s="77">
        <f t="shared" si="18"/>
        <v>45978</v>
      </c>
      <c r="E69" s="77">
        <f t="shared" si="19"/>
        <v>45985</v>
      </c>
      <c r="F69" s="77">
        <f t="shared" si="20"/>
        <v>45991</v>
      </c>
      <c r="G69" s="77">
        <f t="shared" si="21"/>
        <v>45979</v>
      </c>
      <c r="H69" s="77">
        <f t="shared" si="22"/>
        <v>45986</v>
      </c>
      <c r="I69" s="77"/>
      <c r="J69" s="78"/>
      <c r="K69" s="25"/>
      <c r="L69" s="25"/>
      <c r="M69" s="25"/>
      <c r="N69" s="25"/>
    </row>
    <row r="70" spans="1:14" x14ac:dyDescent="0.25">
      <c r="A70" s="77">
        <v>45971</v>
      </c>
      <c r="B70" s="25" t="s">
        <v>495</v>
      </c>
      <c r="C70" s="77">
        <f t="shared" si="17"/>
        <v>45994</v>
      </c>
      <c r="D70" s="77">
        <f t="shared" si="18"/>
        <v>45978</v>
      </c>
      <c r="E70" s="77">
        <f t="shared" si="19"/>
        <v>45985</v>
      </c>
      <c r="F70" s="77">
        <f t="shared" si="20"/>
        <v>45991</v>
      </c>
      <c r="G70" s="77">
        <f t="shared" si="21"/>
        <v>45979</v>
      </c>
      <c r="H70" s="77">
        <f t="shared" si="22"/>
        <v>45986</v>
      </c>
      <c r="I70" s="77"/>
      <c r="J70" s="78"/>
      <c r="K70" s="25"/>
      <c r="L70" s="25"/>
      <c r="M70" s="25"/>
      <c r="N70" s="25"/>
    </row>
    <row r="71" spans="1:14" x14ac:dyDescent="0.25">
      <c r="A71" s="77">
        <v>45971</v>
      </c>
      <c r="B71" s="25" t="s">
        <v>496</v>
      </c>
      <c r="C71" s="77">
        <f t="shared" si="17"/>
        <v>45994</v>
      </c>
      <c r="D71" s="77">
        <f t="shared" si="18"/>
        <v>45978</v>
      </c>
      <c r="E71" s="77">
        <f t="shared" si="19"/>
        <v>45985</v>
      </c>
      <c r="F71" s="77">
        <f t="shared" si="20"/>
        <v>45991</v>
      </c>
      <c r="G71" s="77">
        <f t="shared" si="21"/>
        <v>45979</v>
      </c>
      <c r="H71" s="77">
        <f t="shared" si="22"/>
        <v>45986</v>
      </c>
      <c r="I71" s="77"/>
      <c r="J71" s="78"/>
      <c r="K71" s="25"/>
      <c r="L71" s="25"/>
      <c r="M71" s="25"/>
      <c r="N71" s="25"/>
    </row>
    <row r="72" spans="1:14" x14ac:dyDescent="0.25">
      <c r="A72" s="77">
        <v>45972</v>
      </c>
      <c r="B72" s="25" t="s">
        <v>497</v>
      </c>
      <c r="C72" s="77">
        <f t="shared" si="17"/>
        <v>45995</v>
      </c>
      <c r="D72" s="77">
        <f t="shared" si="18"/>
        <v>45979</v>
      </c>
      <c r="E72" s="77">
        <f t="shared" si="19"/>
        <v>45986</v>
      </c>
      <c r="F72" s="77">
        <f t="shared" si="20"/>
        <v>45992</v>
      </c>
      <c r="G72" s="77">
        <f t="shared" si="21"/>
        <v>45980</v>
      </c>
      <c r="H72" s="77">
        <f t="shared" si="22"/>
        <v>45987</v>
      </c>
      <c r="I72" s="77"/>
      <c r="J72" s="78"/>
      <c r="K72" s="25"/>
      <c r="L72" s="25"/>
      <c r="M72" s="25"/>
      <c r="N72" s="25"/>
    </row>
    <row r="73" spans="1:14" x14ac:dyDescent="0.25">
      <c r="A73" s="77">
        <v>45972</v>
      </c>
      <c r="B73" s="25" t="s">
        <v>498</v>
      </c>
      <c r="C73" s="77">
        <f t="shared" si="17"/>
        <v>45995</v>
      </c>
      <c r="D73" s="77">
        <f t="shared" si="18"/>
        <v>45979</v>
      </c>
      <c r="E73" s="77">
        <f t="shared" si="19"/>
        <v>45986</v>
      </c>
      <c r="F73" s="77">
        <f t="shared" si="20"/>
        <v>45992</v>
      </c>
      <c r="G73" s="77">
        <f t="shared" si="21"/>
        <v>45980</v>
      </c>
      <c r="H73" s="77">
        <f t="shared" si="22"/>
        <v>45987</v>
      </c>
      <c r="I73" s="77"/>
      <c r="J73" s="78"/>
      <c r="K73" s="25"/>
      <c r="L73" s="25"/>
      <c r="M73" s="25"/>
      <c r="N73" s="25"/>
    </row>
    <row r="74" spans="1:14" x14ac:dyDescent="0.25">
      <c r="A74" s="77">
        <v>45972</v>
      </c>
      <c r="B74" s="25" t="s">
        <v>499</v>
      </c>
      <c r="C74" s="77">
        <f t="shared" si="17"/>
        <v>45995</v>
      </c>
      <c r="D74" s="77">
        <f t="shared" si="18"/>
        <v>45979</v>
      </c>
      <c r="E74" s="77">
        <f t="shared" si="19"/>
        <v>45986</v>
      </c>
      <c r="F74" s="77">
        <f t="shared" si="20"/>
        <v>45992</v>
      </c>
      <c r="G74" s="77">
        <f t="shared" si="21"/>
        <v>45980</v>
      </c>
      <c r="H74" s="77">
        <f t="shared" si="22"/>
        <v>45987</v>
      </c>
      <c r="I74" s="77"/>
      <c r="J74" s="78"/>
      <c r="K74" s="25"/>
      <c r="L74" s="25"/>
      <c r="M74" s="25"/>
      <c r="N74" s="25"/>
    </row>
    <row r="75" spans="1:14" x14ac:dyDescent="0.25">
      <c r="A75" s="77">
        <v>45972</v>
      </c>
      <c r="B75" s="25" t="s">
        <v>500</v>
      </c>
      <c r="C75" s="77">
        <f t="shared" si="17"/>
        <v>45995</v>
      </c>
      <c r="D75" s="77">
        <f t="shared" si="18"/>
        <v>45979</v>
      </c>
      <c r="E75" s="77">
        <f t="shared" si="19"/>
        <v>45986</v>
      </c>
      <c r="F75" s="77">
        <f t="shared" si="20"/>
        <v>45992</v>
      </c>
      <c r="G75" s="77">
        <f t="shared" si="21"/>
        <v>45980</v>
      </c>
      <c r="H75" s="77">
        <f t="shared" si="22"/>
        <v>45987</v>
      </c>
      <c r="I75" s="77"/>
      <c r="J75" s="78"/>
      <c r="K75" s="25"/>
      <c r="L75" s="25"/>
      <c r="M75" s="25"/>
      <c r="N75" s="25"/>
    </row>
    <row r="76" spans="1:14" x14ac:dyDescent="0.25">
      <c r="A76" s="77">
        <v>45972</v>
      </c>
      <c r="B76" s="25" t="s">
        <v>501</v>
      </c>
      <c r="C76" s="77">
        <f t="shared" si="17"/>
        <v>45995</v>
      </c>
      <c r="D76" s="77">
        <f t="shared" si="18"/>
        <v>45979</v>
      </c>
      <c r="E76" s="77">
        <f t="shared" si="19"/>
        <v>45986</v>
      </c>
      <c r="F76" s="77">
        <f t="shared" si="20"/>
        <v>45992</v>
      </c>
      <c r="G76" s="77">
        <f t="shared" si="21"/>
        <v>45980</v>
      </c>
      <c r="H76" s="77">
        <f t="shared" si="22"/>
        <v>45987</v>
      </c>
      <c r="I76" s="77"/>
      <c r="J76" s="78"/>
      <c r="K76" s="25"/>
      <c r="L76" s="25"/>
      <c r="M76" s="25"/>
      <c r="N76" s="25"/>
    </row>
    <row r="77" spans="1:14" x14ac:dyDescent="0.25">
      <c r="A77" s="77">
        <v>45972</v>
      </c>
      <c r="B77" s="25" t="s">
        <v>502</v>
      </c>
      <c r="C77" s="77">
        <f t="shared" si="17"/>
        <v>45995</v>
      </c>
      <c r="D77" s="77">
        <f t="shared" si="18"/>
        <v>45979</v>
      </c>
      <c r="E77" s="77">
        <f t="shared" si="19"/>
        <v>45986</v>
      </c>
      <c r="F77" s="77">
        <f t="shared" si="20"/>
        <v>45992</v>
      </c>
      <c r="G77" s="77">
        <f t="shared" si="21"/>
        <v>45980</v>
      </c>
      <c r="H77" s="77">
        <f t="shared" si="22"/>
        <v>45987</v>
      </c>
      <c r="I77" s="77"/>
      <c r="J77" s="78"/>
      <c r="K77" s="25"/>
      <c r="L77" s="25"/>
      <c r="M77" s="25"/>
      <c r="N77" s="25"/>
    </row>
    <row r="78" spans="1:14" x14ac:dyDescent="0.25">
      <c r="A78" s="77">
        <v>45972</v>
      </c>
      <c r="B78" s="25" t="s">
        <v>503</v>
      </c>
      <c r="C78" s="77">
        <f t="shared" si="17"/>
        <v>45995</v>
      </c>
      <c r="D78" s="77">
        <f t="shared" si="18"/>
        <v>45979</v>
      </c>
      <c r="E78" s="77">
        <f t="shared" si="19"/>
        <v>45986</v>
      </c>
      <c r="F78" s="77">
        <f t="shared" si="20"/>
        <v>45992</v>
      </c>
      <c r="G78" s="77">
        <f t="shared" si="21"/>
        <v>45980</v>
      </c>
      <c r="H78" s="77">
        <f t="shared" si="22"/>
        <v>45987</v>
      </c>
      <c r="I78" s="77"/>
      <c r="J78" s="78"/>
      <c r="K78" s="25"/>
      <c r="L78" s="25"/>
      <c r="M78" s="25"/>
      <c r="N78" s="25"/>
    </row>
    <row r="79" spans="1:14" x14ac:dyDescent="0.25">
      <c r="A79" s="77">
        <v>45973</v>
      </c>
      <c r="B79" s="25" t="s">
        <v>504</v>
      </c>
      <c r="C79" s="77">
        <f t="shared" si="17"/>
        <v>45996</v>
      </c>
      <c r="D79" s="77">
        <f t="shared" si="18"/>
        <v>45980</v>
      </c>
      <c r="E79" s="77">
        <f t="shared" si="19"/>
        <v>45987</v>
      </c>
      <c r="F79" s="77">
        <f t="shared" si="20"/>
        <v>45993</v>
      </c>
      <c r="G79" s="77">
        <f t="shared" si="21"/>
        <v>45981</v>
      </c>
      <c r="H79" s="77">
        <f t="shared" si="22"/>
        <v>45988</v>
      </c>
      <c r="I79" s="77"/>
      <c r="J79" s="78"/>
      <c r="K79" s="25"/>
      <c r="L79" s="25"/>
      <c r="M79" s="25"/>
      <c r="N79" s="25"/>
    </row>
    <row r="80" spans="1:14" x14ac:dyDescent="0.25">
      <c r="A80" s="77">
        <v>45973</v>
      </c>
      <c r="B80" s="25" t="s">
        <v>505</v>
      </c>
      <c r="C80" s="77">
        <f t="shared" ref="C80:C143" si="42">A80+23</f>
        <v>45996</v>
      </c>
      <c r="D80" s="77">
        <f t="shared" ref="D80:D143" si="43">A80+7</f>
        <v>45980</v>
      </c>
      <c r="E80" s="77">
        <f t="shared" ref="E80:E143" si="44">A80+14</f>
        <v>45987</v>
      </c>
      <c r="F80" s="77">
        <f t="shared" ref="F80:F143" si="45">A80+20</f>
        <v>45993</v>
      </c>
      <c r="G80" s="77">
        <f t="shared" ref="G80:G143" si="46">A80+8</f>
        <v>45981</v>
      </c>
      <c r="H80" s="77">
        <f t="shared" ref="H80:H143" si="47">A80+15</f>
        <v>45988</v>
      </c>
      <c r="I80" s="77"/>
      <c r="J80" s="78"/>
      <c r="K80" s="25"/>
      <c r="L80" s="25"/>
      <c r="M80" s="25"/>
      <c r="N80" s="25"/>
    </row>
    <row r="81" spans="1:14" x14ac:dyDescent="0.25">
      <c r="A81" s="77">
        <v>45973</v>
      </c>
      <c r="B81" s="25" t="s">
        <v>506</v>
      </c>
      <c r="C81" s="77">
        <f t="shared" si="42"/>
        <v>45996</v>
      </c>
      <c r="D81" s="77">
        <f t="shared" si="43"/>
        <v>45980</v>
      </c>
      <c r="E81" s="77">
        <f t="shared" si="44"/>
        <v>45987</v>
      </c>
      <c r="F81" s="77">
        <f t="shared" si="45"/>
        <v>45993</v>
      </c>
      <c r="G81" s="77">
        <f t="shared" si="46"/>
        <v>45981</v>
      </c>
      <c r="H81" s="77">
        <f t="shared" si="47"/>
        <v>45988</v>
      </c>
      <c r="I81" s="77"/>
      <c r="J81" s="78"/>
      <c r="K81" s="25"/>
      <c r="L81" s="25"/>
      <c r="M81" s="25"/>
      <c r="N81" s="25"/>
    </row>
    <row r="82" spans="1:14" x14ac:dyDescent="0.25">
      <c r="A82" s="77">
        <v>45973</v>
      </c>
      <c r="B82" s="25" t="s">
        <v>507</v>
      </c>
      <c r="C82" s="77">
        <f t="shared" si="42"/>
        <v>45996</v>
      </c>
      <c r="D82" s="77">
        <f t="shared" si="43"/>
        <v>45980</v>
      </c>
      <c r="E82" s="77">
        <f t="shared" si="44"/>
        <v>45987</v>
      </c>
      <c r="F82" s="77">
        <f t="shared" si="45"/>
        <v>45993</v>
      </c>
      <c r="G82" s="77">
        <f t="shared" si="46"/>
        <v>45981</v>
      </c>
      <c r="H82" s="77">
        <f t="shared" si="47"/>
        <v>45988</v>
      </c>
      <c r="I82" s="77"/>
      <c r="J82" s="78"/>
      <c r="K82" s="25"/>
      <c r="L82" s="25"/>
      <c r="M82" s="25"/>
      <c r="N82" s="25"/>
    </row>
    <row r="83" spans="1:14" x14ac:dyDescent="0.25">
      <c r="A83" s="77">
        <v>45973</v>
      </c>
      <c r="B83" s="25" t="s">
        <v>508</v>
      </c>
      <c r="C83" s="77">
        <f t="shared" si="42"/>
        <v>45996</v>
      </c>
      <c r="D83" s="77">
        <f t="shared" si="43"/>
        <v>45980</v>
      </c>
      <c r="E83" s="77">
        <f t="shared" si="44"/>
        <v>45987</v>
      </c>
      <c r="F83" s="77">
        <f t="shared" si="45"/>
        <v>45993</v>
      </c>
      <c r="G83" s="77">
        <f t="shared" si="46"/>
        <v>45981</v>
      </c>
      <c r="H83" s="77">
        <f t="shared" si="47"/>
        <v>45988</v>
      </c>
      <c r="I83" s="77"/>
      <c r="J83" s="78"/>
      <c r="K83" s="25"/>
      <c r="L83" s="25"/>
      <c r="M83" s="25"/>
      <c r="N83" s="25"/>
    </row>
    <row r="84" spans="1:14" x14ac:dyDescent="0.25">
      <c r="A84" s="77">
        <v>45973</v>
      </c>
      <c r="B84" s="25" t="s">
        <v>509</v>
      </c>
      <c r="C84" s="77">
        <f t="shared" si="42"/>
        <v>45996</v>
      </c>
      <c r="D84" s="77">
        <f t="shared" si="43"/>
        <v>45980</v>
      </c>
      <c r="E84" s="77">
        <f t="shared" si="44"/>
        <v>45987</v>
      </c>
      <c r="F84" s="77">
        <f t="shared" si="45"/>
        <v>45993</v>
      </c>
      <c r="G84" s="77">
        <f t="shared" si="46"/>
        <v>45981</v>
      </c>
      <c r="H84" s="77">
        <f t="shared" si="47"/>
        <v>45988</v>
      </c>
      <c r="I84" s="77"/>
      <c r="J84" s="78"/>
      <c r="K84" s="25"/>
      <c r="L84" s="25"/>
      <c r="M84" s="25"/>
      <c r="N84" s="25"/>
    </row>
    <row r="85" spans="1:14" x14ac:dyDescent="0.25">
      <c r="A85" s="77">
        <v>45973</v>
      </c>
      <c r="B85" s="25" t="s">
        <v>510</v>
      </c>
      <c r="C85" s="77">
        <f t="shared" si="42"/>
        <v>45996</v>
      </c>
      <c r="D85" s="77">
        <f t="shared" si="43"/>
        <v>45980</v>
      </c>
      <c r="E85" s="77">
        <f t="shared" si="44"/>
        <v>45987</v>
      </c>
      <c r="F85" s="77">
        <f t="shared" si="45"/>
        <v>45993</v>
      </c>
      <c r="G85" s="77">
        <f t="shared" si="46"/>
        <v>45981</v>
      </c>
      <c r="H85" s="77">
        <f t="shared" si="47"/>
        <v>45988</v>
      </c>
      <c r="I85" s="77"/>
      <c r="J85" s="78"/>
      <c r="K85" s="25"/>
      <c r="L85" s="25"/>
      <c r="M85" s="25"/>
      <c r="N85" s="25"/>
    </row>
    <row r="86" spans="1:14" x14ac:dyDescent="0.25">
      <c r="A86" s="77">
        <v>45974</v>
      </c>
      <c r="B86" s="25" t="s">
        <v>552</v>
      </c>
      <c r="C86" s="77">
        <f t="shared" si="42"/>
        <v>45997</v>
      </c>
      <c r="D86" s="77">
        <f t="shared" si="43"/>
        <v>45981</v>
      </c>
      <c r="E86" s="77">
        <f t="shared" si="44"/>
        <v>45988</v>
      </c>
      <c r="F86" s="77">
        <f t="shared" si="45"/>
        <v>45994</v>
      </c>
      <c r="G86" s="77">
        <f t="shared" si="46"/>
        <v>45982</v>
      </c>
      <c r="H86" s="77">
        <f t="shared" si="47"/>
        <v>45989</v>
      </c>
      <c r="I86" s="77"/>
      <c r="J86" s="78"/>
      <c r="K86" s="25"/>
      <c r="L86" s="25"/>
      <c r="M86" s="25"/>
      <c r="N86" s="25"/>
    </row>
    <row r="87" spans="1:14" x14ac:dyDescent="0.25">
      <c r="A87" s="77">
        <v>45974</v>
      </c>
      <c r="B87" s="25" t="s">
        <v>553</v>
      </c>
      <c r="C87" s="77">
        <f t="shared" si="42"/>
        <v>45997</v>
      </c>
      <c r="D87" s="77">
        <f t="shared" si="43"/>
        <v>45981</v>
      </c>
      <c r="E87" s="77">
        <f t="shared" si="44"/>
        <v>45988</v>
      </c>
      <c r="F87" s="77">
        <f t="shared" si="45"/>
        <v>45994</v>
      </c>
      <c r="G87" s="77">
        <f t="shared" si="46"/>
        <v>45982</v>
      </c>
      <c r="H87" s="77">
        <f t="shared" si="47"/>
        <v>45989</v>
      </c>
      <c r="I87" s="77"/>
      <c r="J87" s="78"/>
      <c r="K87" s="25"/>
      <c r="L87" s="25"/>
      <c r="M87" s="25"/>
      <c r="N87" s="25"/>
    </row>
    <row r="88" spans="1:14" x14ac:dyDescent="0.25">
      <c r="A88" s="77">
        <v>45974</v>
      </c>
      <c r="B88" s="25" t="s">
        <v>554</v>
      </c>
      <c r="C88" s="77">
        <f t="shared" si="42"/>
        <v>45997</v>
      </c>
      <c r="D88" s="77">
        <f t="shared" si="43"/>
        <v>45981</v>
      </c>
      <c r="E88" s="77">
        <f t="shared" si="44"/>
        <v>45988</v>
      </c>
      <c r="F88" s="77">
        <f t="shared" si="45"/>
        <v>45994</v>
      </c>
      <c r="G88" s="77">
        <f t="shared" si="46"/>
        <v>45982</v>
      </c>
      <c r="H88" s="77">
        <f t="shared" si="47"/>
        <v>45989</v>
      </c>
      <c r="I88" s="77"/>
      <c r="J88" s="78"/>
      <c r="K88" s="25"/>
      <c r="L88" s="25"/>
      <c r="M88" s="25"/>
      <c r="N88" s="25"/>
    </row>
    <row r="89" spans="1:14" x14ac:dyDescent="0.25">
      <c r="A89" s="77">
        <v>45974</v>
      </c>
      <c r="B89" s="25" t="s">
        <v>555</v>
      </c>
      <c r="C89" s="77">
        <f t="shared" si="42"/>
        <v>45997</v>
      </c>
      <c r="D89" s="77">
        <f t="shared" si="43"/>
        <v>45981</v>
      </c>
      <c r="E89" s="77">
        <f t="shared" si="44"/>
        <v>45988</v>
      </c>
      <c r="F89" s="77">
        <f t="shared" si="45"/>
        <v>45994</v>
      </c>
      <c r="G89" s="77">
        <f t="shared" si="46"/>
        <v>45982</v>
      </c>
      <c r="H89" s="77">
        <f t="shared" si="47"/>
        <v>45989</v>
      </c>
      <c r="I89" s="77"/>
      <c r="J89" s="78"/>
      <c r="K89" s="25"/>
      <c r="L89" s="25"/>
      <c r="M89" s="25"/>
      <c r="N89" s="25"/>
    </row>
    <row r="90" spans="1:14" x14ac:dyDescent="0.25">
      <c r="A90" s="77">
        <v>45974</v>
      </c>
      <c r="B90" s="25" t="s">
        <v>556</v>
      </c>
      <c r="C90" s="77">
        <f t="shared" si="42"/>
        <v>45997</v>
      </c>
      <c r="D90" s="77">
        <f t="shared" si="43"/>
        <v>45981</v>
      </c>
      <c r="E90" s="77">
        <f t="shared" si="44"/>
        <v>45988</v>
      </c>
      <c r="F90" s="77">
        <f t="shared" si="45"/>
        <v>45994</v>
      </c>
      <c r="G90" s="77">
        <f t="shared" si="46"/>
        <v>45982</v>
      </c>
      <c r="H90" s="77">
        <f t="shared" si="47"/>
        <v>45989</v>
      </c>
      <c r="I90" s="77"/>
      <c r="J90" s="78"/>
      <c r="K90" s="25"/>
      <c r="L90" s="25"/>
      <c r="M90" s="25"/>
      <c r="N90" s="25"/>
    </row>
    <row r="91" spans="1:14" x14ac:dyDescent="0.25">
      <c r="A91" s="77">
        <v>45974</v>
      </c>
      <c r="B91" s="25" t="s">
        <v>557</v>
      </c>
      <c r="C91" s="77">
        <f t="shared" si="42"/>
        <v>45997</v>
      </c>
      <c r="D91" s="77">
        <f t="shared" si="43"/>
        <v>45981</v>
      </c>
      <c r="E91" s="77">
        <f t="shared" si="44"/>
        <v>45988</v>
      </c>
      <c r="F91" s="77">
        <f t="shared" si="45"/>
        <v>45994</v>
      </c>
      <c r="G91" s="77">
        <f t="shared" si="46"/>
        <v>45982</v>
      </c>
      <c r="H91" s="77">
        <f t="shared" si="47"/>
        <v>45989</v>
      </c>
      <c r="I91" s="77"/>
      <c r="J91" s="78"/>
      <c r="K91" s="25"/>
      <c r="L91" s="25"/>
      <c r="M91" s="25"/>
      <c r="N91" s="25"/>
    </row>
    <row r="92" spans="1:14" x14ac:dyDescent="0.25">
      <c r="A92" s="77">
        <v>45974</v>
      </c>
      <c r="B92" s="25" t="s">
        <v>558</v>
      </c>
      <c r="C92" s="77">
        <f t="shared" si="42"/>
        <v>45997</v>
      </c>
      <c r="D92" s="77">
        <f t="shared" si="43"/>
        <v>45981</v>
      </c>
      <c r="E92" s="77">
        <f t="shared" si="44"/>
        <v>45988</v>
      </c>
      <c r="F92" s="77">
        <f t="shared" si="45"/>
        <v>45994</v>
      </c>
      <c r="G92" s="77">
        <f t="shared" si="46"/>
        <v>45982</v>
      </c>
      <c r="H92" s="77">
        <f t="shared" si="47"/>
        <v>45989</v>
      </c>
      <c r="I92" s="77"/>
      <c r="J92" s="78"/>
      <c r="K92" s="25"/>
      <c r="L92" s="25"/>
      <c r="M92" s="25"/>
      <c r="N92" s="25"/>
    </row>
    <row r="93" spans="1:14" x14ac:dyDescent="0.25">
      <c r="A93" s="77">
        <v>45975</v>
      </c>
      <c r="B93" s="25" t="s">
        <v>545</v>
      </c>
      <c r="C93" s="77">
        <f t="shared" si="42"/>
        <v>45998</v>
      </c>
      <c r="D93" s="77">
        <f t="shared" si="43"/>
        <v>45982</v>
      </c>
      <c r="E93" s="77">
        <f t="shared" si="44"/>
        <v>45989</v>
      </c>
      <c r="F93" s="77">
        <f t="shared" si="45"/>
        <v>45995</v>
      </c>
      <c r="G93" s="77">
        <f t="shared" si="46"/>
        <v>45983</v>
      </c>
      <c r="H93" s="77">
        <f t="shared" si="47"/>
        <v>45990</v>
      </c>
      <c r="I93" s="77"/>
      <c r="J93" s="78"/>
      <c r="K93" s="25"/>
      <c r="L93" s="25"/>
      <c r="M93" s="25"/>
      <c r="N93" s="25"/>
    </row>
    <row r="94" spans="1:14" x14ac:dyDescent="0.25">
      <c r="A94" s="77">
        <v>45975</v>
      </c>
      <c r="B94" s="25" t="s">
        <v>546</v>
      </c>
      <c r="C94" s="77">
        <f t="shared" si="42"/>
        <v>45998</v>
      </c>
      <c r="D94" s="77">
        <f t="shared" si="43"/>
        <v>45982</v>
      </c>
      <c r="E94" s="77">
        <f t="shared" si="44"/>
        <v>45989</v>
      </c>
      <c r="F94" s="77">
        <f t="shared" si="45"/>
        <v>45995</v>
      </c>
      <c r="G94" s="77">
        <f t="shared" si="46"/>
        <v>45983</v>
      </c>
      <c r="H94" s="77">
        <f t="shared" si="47"/>
        <v>45990</v>
      </c>
      <c r="I94" s="77"/>
      <c r="J94" s="78"/>
      <c r="K94" s="25"/>
      <c r="L94" s="25"/>
      <c r="M94" s="25"/>
      <c r="N94" s="25"/>
    </row>
    <row r="95" spans="1:14" x14ac:dyDescent="0.25">
      <c r="A95" s="77">
        <v>45975</v>
      </c>
      <c r="B95" s="25" t="s">
        <v>547</v>
      </c>
      <c r="C95" s="77">
        <f t="shared" si="42"/>
        <v>45998</v>
      </c>
      <c r="D95" s="77">
        <f t="shared" si="43"/>
        <v>45982</v>
      </c>
      <c r="E95" s="77">
        <f t="shared" si="44"/>
        <v>45989</v>
      </c>
      <c r="F95" s="77">
        <f t="shared" si="45"/>
        <v>45995</v>
      </c>
      <c r="G95" s="77">
        <f t="shared" si="46"/>
        <v>45983</v>
      </c>
      <c r="H95" s="77">
        <f t="shared" si="47"/>
        <v>45990</v>
      </c>
      <c r="I95" s="77"/>
      <c r="J95" s="78"/>
      <c r="K95" s="25"/>
      <c r="L95" s="25"/>
      <c r="M95" s="25"/>
      <c r="N95" s="25"/>
    </row>
    <row r="96" spans="1:14" x14ac:dyDescent="0.25">
      <c r="A96" s="77">
        <v>45975</v>
      </c>
      <c r="B96" s="25" t="s">
        <v>548</v>
      </c>
      <c r="C96" s="77">
        <f t="shared" si="42"/>
        <v>45998</v>
      </c>
      <c r="D96" s="77">
        <f t="shared" si="43"/>
        <v>45982</v>
      </c>
      <c r="E96" s="77">
        <f t="shared" si="44"/>
        <v>45989</v>
      </c>
      <c r="F96" s="77">
        <f t="shared" si="45"/>
        <v>45995</v>
      </c>
      <c r="G96" s="77">
        <f t="shared" si="46"/>
        <v>45983</v>
      </c>
      <c r="H96" s="77">
        <f t="shared" si="47"/>
        <v>45990</v>
      </c>
      <c r="I96" s="77"/>
      <c r="J96" s="78"/>
      <c r="K96" s="25"/>
      <c r="L96" s="25"/>
      <c r="M96" s="25"/>
      <c r="N96" s="25"/>
    </row>
    <row r="97" spans="1:14" x14ac:dyDescent="0.25">
      <c r="A97" s="77">
        <v>45975</v>
      </c>
      <c r="B97" s="25" t="s">
        <v>549</v>
      </c>
      <c r="C97" s="77">
        <f t="shared" si="42"/>
        <v>45998</v>
      </c>
      <c r="D97" s="77">
        <f t="shared" si="43"/>
        <v>45982</v>
      </c>
      <c r="E97" s="77">
        <f t="shared" si="44"/>
        <v>45989</v>
      </c>
      <c r="F97" s="77">
        <f t="shared" si="45"/>
        <v>45995</v>
      </c>
      <c r="G97" s="77">
        <f t="shared" si="46"/>
        <v>45983</v>
      </c>
      <c r="H97" s="77">
        <f t="shared" si="47"/>
        <v>45990</v>
      </c>
      <c r="I97" s="77"/>
      <c r="J97" s="78"/>
      <c r="K97" s="25"/>
      <c r="L97" s="25"/>
      <c r="M97" s="25"/>
      <c r="N97" s="25"/>
    </row>
    <row r="98" spans="1:14" x14ac:dyDescent="0.25">
      <c r="A98" s="77">
        <v>45975</v>
      </c>
      <c r="B98" s="25" t="s">
        <v>550</v>
      </c>
      <c r="C98" s="77">
        <f t="shared" si="42"/>
        <v>45998</v>
      </c>
      <c r="D98" s="77">
        <f t="shared" si="43"/>
        <v>45982</v>
      </c>
      <c r="E98" s="77">
        <f t="shared" si="44"/>
        <v>45989</v>
      </c>
      <c r="F98" s="77">
        <f t="shared" si="45"/>
        <v>45995</v>
      </c>
      <c r="G98" s="77">
        <f t="shared" si="46"/>
        <v>45983</v>
      </c>
      <c r="H98" s="77">
        <f t="shared" si="47"/>
        <v>45990</v>
      </c>
      <c r="I98" s="77"/>
      <c r="J98" s="78"/>
      <c r="K98" s="25"/>
      <c r="L98" s="25"/>
      <c r="M98" s="25"/>
      <c r="N98" s="25"/>
    </row>
    <row r="99" spans="1:14" x14ac:dyDescent="0.25">
      <c r="A99" s="77">
        <v>45975</v>
      </c>
      <c r="B99" s="25" t="s">
        <v>551</v>
      </c>
      <c r="C99" s="77">
        <f t="shared" si="42"/>
        <v>45998</v>
      </c>
      <c r="D99" s="77">
        <f t="shared" si="43"/>
        <v>45982</v>
      </c>
      <c r="E99" s="77">
        <f t="shared" si="44"/>
        <v>45989</v>
      </c>
      <c r="F99" s="77">
        <f t="shared" si="45"/>
        <v>45995</v>
      </c>
      <c r="G99" s="77">
        <f t="shared" si="46"/>
        <v>45983</v>
      </c>
      <c r="H99" s="77">
        <f t="shared" si="47"/>
        <v>45990</v>
      </c>
      <c r="I99" s="77"/>
      <c r="J99" s="78"/>
      <c r="K99" s="25"/>
      <c r="L99" s="25"/>
      <c r="M99" s="25"/>
      <c r="N99" s="25"/>
    </row>
    <row r="100" spans="1:14" x14ac:dyDescent="0.25">
      <c r="A100" s="77">
        <v>45976</v>
      </c>
      <c r="B100" s="25" t="s">
        <v>537</v>
      </c>
      <c r="C100" s="77">
        <f t="shared" si="42"/>
        <v>45999</v>
      </c>
      <c r="D100" s="77">
        <f t="shared" si="43"/>
        <v>45983</v>
      </c>
      <c r="E100" s="77">
        <f t="shared" si="44"/>
        <v>45990</v>
      </c>
      <c r="F100" s="77">
        <f t="shared" si="45"/>
        <v>45996</v>
      </c>
      <c r="G100" s="77">
        <f t="shared" si="46"/>
        <v>45984</v>
      </c>
      <c r="H100" s="77">
        <f t="shared" si="47"/>
        <v>45991</v>
      </c>
      <c r="I100" s="77"/>
      <c r="J100" s="78"/>
      <c r="K100" s="25"/>
      <c r="L100" s="25"/>
      <c r="M100" s="25"/>
      <c r="N100" s="25"/>
    </row>
    <row r="101" spans="1:14" x14ac:dyDescent="0.25">
      <c r="A101" s="77">
        <v>45976</v>
      </c>
      <c r="B101" s="25" t="s">
        <v>538</v>
      </c>
      <c r="C101" s="77">
        <f t="shared" si="42"/>
        <v>45999</v>
      </c>
      <c r="D101" s="77">
        <f t="shared" si="43"/>
        <v>45983</v>
      </c>
      <c r="E101" s="77">
        <f t="shared" si="44"/>
        <v>45990</v>
      </c>
      <c r="F101" s="77">
        <f t="shared" si="45"/>
        <v>45996</v>
      </c>
      <c r="G101" s="77">
        <f t="shared" si="46"/>
        <v>45984</v>
      </c>
      <c r="H101" s="77">
        <f t="shared" si="47"/>
        <v>45991</v>
      </c>
      <c r="I101" s="77"/>
      <c r="J101" s="78"/>
      <c r="K101" s="25"/>
      <c r="L101" s="25"/>
      <c r="M101" s="25"/>
      <c r="N101" s="25"/>
    </row>
    <row r="102" spans="1:14" x14ac:dyDescent="0.25">
      <c r="A102" s="77">
        <v>45976</v>
      </c>
      <c r="B102" s="25" t="s">
        <v>539</v>
      </c>
      <c r="C102" s="77">
        <f t="shared" si="42"/>
        <v>45999</v>
      </c>
      <c r="D102" s="77">
        <f t="shared" si="43"/>
        <v>45983</v>
      </c>
      <c r="E102" s="77">
        <f t="shared" si="44"/>
        <v>45990</v>
      </c>
      <c r="F102" s="77">
        <f t="shared" si="45"/>
        <v>45996</v>
      </c>
      <c r="G102" s="77">
        <f t="shared" si="46"/>
        <v>45984</v>
      </c>
      <c r="H102" s="77">
        <f t="shared" si="47"/>
        <v>45991</v>
      </c>
      <c r="I102" s="77"/>
      <c r="J102" s="78"/>
      <c r="K102" s="25"/>
      <c r="L102" s="25"/>
      <c r="M102" s="25"/>
      <c r="N102" s="25"/>
    </row>
    <row r="103" spans="1:14" x14ac:dyDescent="0.25">
      <c r="A103" s="77">
        <v>45976</v>
      </c>
      <c r="B103" s="25" t="s">
        <v>540</v>
      </c>
      <c r="C103" s="77">
        <f t="shared" si="42"/>
        <v>45999</v>
      </c>
      <c r="D103" s="77">
        <f t="shared" si="43"/>
        <v>45983</v>
      </c>
      <c r="E103" s="77">
        <f t="shared" si="44"/>
        <v>45990</v>
      </c>
      <c r="F103" s="77">
        <f t="shared" si="45"/>
        <v>45996</v>
      </c>
      <c r="G103" s="77">
        <f t="shared" si="46"/>
        <v>45984</v>
      </c>
      <c r="H103" s="77">
        <f t="shared" si="47"/>
        <v>45991</v>
      </c>
      <c r="I103" s="77"/>
      <c r="J103" s="78"/>
      <c r="K103" s="25"/>
      <c r="L103" s="25"/>
      <c r="M103" s="25"/>
      <c r="N103" s="25"/>
    </row>
    <row r="104" spans="1:14" x14ac:dyDescent="0.25">
      <c r="A104" s="77">
        <v>45976</v>
      </c>
      <c r="B104" s="25" t="s">
        <v>541</v>
      </c>
      <c r="C104" s="77">
        <f t="shared" si="42"/>
        <v>45999</v>
      </c>
      <c r="D104" s="77">
        <f t="shared" si="43"/>
        <v>45983</v>
      </c>
      <c r="E104" s="77">
        <f t="shared" si="44"/>
        <v>45990</v>
      </c>
      <c r="F104" s="77">
        <f t="shared" si="45"/>
        <v>45996</v>
      </c>
      <c r="G104" s="77">
        <f t="shared" si="46"/>
        <v>45984</v>
      </c>
      <c r="H104" s="77">
        <f t="shared" si="47"/>
        <v>45991</v>
      </c>
      <c r="I104" s="77"/>
      <c r="J104" s="78"/>
      <c r="K104" s="25"/>
      <c r="L104" s="25"/>
      <c r="M104" s="25"/>
      <c r="N104" s="25"/>
    </row>
    <row r="105" spans="1:14" x14ac:dyDescent="0.25">
      <c r="A105" s="77">
        <v>45976</v>
      </c>
      <c r="B105" s="25" t="s">
        <v>542</v>
      </c>
      <c r="C105" s="77">
        <f t="shared" si="42"/>
        <v>45999</v>
      </c>
      <c r="D105" s="77">
        <f t="shared" si="43"/>
        <v>45983</v>
      </c>
      <c r="E105" s="77">
        <f t="shared" si="44"/>
        <v>45990</v>
      </c>
      <c r="F105" s="77">
        <f t="shared" si="45"/>
        <v>45996</v>
      </c>
      <c r="G105" s="77">
        <f t="shared" si="46"/>
        <v>45984</v>
      </c>
      <c r="H105" s="77">
        <f t="shared" si="47"/>
        <v>45991</v>
      </c>
      <c r="I105" s="77"/>
      <c r="J105" s="78"/>
      <c r="K105" s="25"/>
      <c r="L105" s="25"/>
      <c r="M105" s="25"/>
      <c r="N105" s="25"/>
    </row>
    <row r="106" spans="1:14" x14ac:dyDescent="0.25">
      <c r="A106" s="77">
        <v>45976</v>
      </c>
      <c r="B106" s="25" t="s">
        <v>543</v>
      </c>
      <c r="C106" s="77">
        <f t="shared" si="42"/>
        <v>45999</v>
      </c>
      <c r="D106" s="77">
        <f t="shared" si="43"/>
        <v>45983</v>
      </c>
      <c r="E106" s="77">
        <f t="shared" si="44"/>
        <v>45990</v>
      </c>
      <c r="F106" s="77">
        <f t="shared" si="45"/>
        <v>45996</v>
      </c>
      <c r="G106" s="77">
        <f t="shared" si="46"/>
        <v>45984</v>
      </c>
      <c r="H106" s="77">
        <f t="shared" si="47"/>
        <v>45991</v>
      </c>
      <c r="I106" s="77"/>
      <c r="J106" s="78"/>
      <c r="K106" s="25"/>
      <c r="L106" s="25"/>
      <c r="M106" s="25"/>
      <c r="N106" s="25"/>
    </row>
    <row r="107" spans="1:14" x14ac:dyDescent="0.25">
      <c r="A107" s="77">
        <v>45976</v>
      </c>
      <c r="B107" s="25" t="s">
        <v>544</v>
      </c>
      <c r="C107" s="77">
        <f t="shared" si="42"/>
        <v>45999</v>
      </c>
      <c r="D107" s="77">
        <f t="shared" si="43"/>
        <v>45983</v>
      </c>
      <c r="E107" s="77">
        <f t="shared" si="44"/>
        <v>45990</v>
      </c>
      <c r="F107" s="77">
        <f t="shared" si="45"/>
        <v>45996</v>
      </c>
      <c r="G107" s="77">
        <f t="shared" si="46"/>
        <v>45984</v>
      </c>
      <c r="H107" s="77">
        <f t="shared" si="47"/>
        <v>45991</v>
      </c>
      <c r="I107" s="77"/>
      <c r="J107" s="78"/>
      <c r="K107" s="25"/>
      <c r="L107" s="25"/>
      <c r="M107" s="25"/>
      <c r="N107" s="25"/>
    </row>
    <row r="108" spans="1:14" x14ac:dyDescent="0.25">
      <c r="A108" s="77">
        <v>45977</v>
      </c>
      <c r="B108" s="25" t="s">
        <v>513</v>
      </c>
      <c r="C108" s="77">
        <f t="shared" si="42"/>
        <v>46000</v>
      </c>
      <c r="D108" s="77">
        <f t="shared" si="43"/>
        <v>45984</v>
      </c>
      <c r="E108" s="77">
        <f t="shared" si="44"/>
        <v>45991</v>
      </c>
      <c r="F108" s="77">
        <f t="shared" si="45"/>
        <v>45997</v>
      </c>
      <c r="G108" s="77">
        <f t="shared" si="46"/>
        <v>45985</v>
      </c>
      <c r="H108" s="77">
        <f t="shared" si="47"/>
        <v>45992</v>
      </c>
      <c r="I108" s="77"/>
      <c r="J108" s="78"/>
      <c r="K108" s="25"/>
      <c r="L108" s="25"/>
      <c r="M108" s="25"/>
      <c r="N108" s="25"/>
    </row>
    <row r="109" spans="1:14" x14ac:dyDescent="0.25">
      <c r="A109" s="77">
        <v>45977</v>
      </c>
      <c r="B109" s="25" t="s">
        <v>514</v>
      </c>
      <c r="C109" s="77">
        <f t="shared" si="42"/>
        <v>46000</v>
      </c>
      <c r="D109" s="77">
        <f t="shared" si="43"/>
        <v>45984</v>
      </c>
      <c r="E109" s="77">
        <f t="shared" si="44"/>
        <v>45991</v>
      </c>
      <c r="F109" s="77">
        <f t="shared" si="45"/>
        <v>45997</v>
      </c>
      <c r="G109" s="77">
        <f t="shared" si="46"/>
        <v>45985</v>
      </c>
      <c r="H109" s="77">
        <f t="shared" si="47"/>
        <v>45992</v>
      </c>
      <c r="I109" s="77"/>
      <c r="J109" s="78"/>
      <c r="K109" s="25"/>
      <c r="L109" s="25"/>
      <c r="M109" s="25"/>
      <c r="N109" s="25"/>
    </row>
    <row r="110" spans="1:14" x14ac:dyDescent="0.25">
      <c r="A110" s="77">
        <v>45977</v>
      </c>
      <c r="B110" s="25" t="s">
        <v>515</v>
      </c>
      <c r="C110" s="77">
        <f t="shared" si="42"/>
        <v>46000</v>
      </c>
      <c r="D110" s="77">
        <f t="shared" si="43"/>
        <v>45984</v>
      </c>
      <c r="E110" s="77">
        <f t="shared" si="44"/>
        <v>45991</v>
      </c>
      <c r="F110" s="77">
        <f t="shared" si="45"/>
        <v>45997</v>
      </c>
      <c r="G110" s="77">
        <f t="shared" si="46"/>
        <v>45985</v>
      </c>
      <c r="H110" s="77">
        <f t="shared" si="47"/>
        <v>45992</v>
      </c>
      <c r="I110" s="77"/>
      <c r="J110" s="78"/>
      <c r="K110" s="25"/>
      <c r="L110" s="25"/>
      <c r="M110" s="25"/>
      <c r="N110" s="25"/>
    </row>
    <row r="111" spans="1:14" x14ac:dyDescent="0.25">
      <c r="A111" s="77">
        <v>45977</v>
      </c>
      <c r="B111" s="25" t="s">
        <v>516</v>
      </c>
      <c r="C111" s="77">
        <f t="shared" si="42"/>
        <v>46000</v>
      </c>
      <c r="D111" s="77">
        <f t="shared" si="43"/>
        <v>45984</v>
      </c>
      <c r="E111" s="77">
        <f t="shared" si="44"/>
        <v>45991</v>
      </c>
      <c r="F111" s="77">
        <f t="shared" si="45"/>
        <v>45997</v>
      </c>
      <c r="G111" s="77">
        <f t="shared" si="46"/>
        <v>45985</v>
      </c>
      <c r="H111" s="77">
        <f t="shared" si="47"/>
        <v>45992</v>
      </c>
      <c r="I111" s="77"/>
      <c r="J111" s="78"/>
      <c r="K111" s="25"/>
      <c r="L111" s="25"/>
      <c r="M111" s="25"/>
      <c r="N111" s="25"/>
    </row>
    <row r="112" spans="1:14" x14ac:dyDescent="0.25">
      <c r="A112" s="77">
        <v>45977</v>
      </c>
      <c r="B112" s="25" t="s">
        <v>517</v>
      </c>
      <c r="C112" s="77">
        <f t="shared" si="42"/>
        <v>46000</v>
      </c>
      <c r="D112" s="77">
        <f t="shared" si="43"/>
        <v>45984</v>
      </c>
      <c r="E112" s="77">
        <f t="shared" si="44"/>
        <v>45991</v>
      </c>
      <c r="F112" s="77">
        <f t="shared" si="45"/>
        <v>45997</v>
      </c>
      <c r="G112" s="77">
        <f t="shared" si="46"/>
        <v>45985</v>
      </c>
      <c r="H112" s="77">
        <f t="shared" si="47"/>
        <v>45992</v>
      </c>
      <c r="I112" s="77"/>
      <c r="J112" s="78"/>
      <c r="K112" s="25"/>
      <c r="L112" s="25"/>
      <c r="M112" s="25"/>
      <c r="N112" s="25"/>
    </row>
    <row r="113" spans="1:14" x14ac:dyDescent="0.25">
      <c r="A113" s="77">
        <v>45977</v>
      </c>
      <c r="B113" s="25" t="s">
        <v>518</v>
      </c>
      <c r="C113" s="77">
        <f t="shared" si="42"/>
        <v>46000</v>
      </c>
      <c r="D113" s="77">
        <f t="shared" si="43"/>
        <v>45984</v>
      </c>
      <c r="E113" s="77">
        <f t="shared" si="44"/>
        <v>45991</v>
      </c>
      <c r="F113" s="77">
        <f t="shared" si="45"/>
        <v>45997</v>
      </c>
      <c r="G113" s="77">
        <f t="shared" si="46"/>
        <v>45985</v>
      </c>
      <c r="H113" s="77">
        <f t="shared" si="47"/>
        <v>45992</v>
      </c>
      <c r="I113" s="77"/>
      <c r="J113" s="78"/>
      <c r="K113" s="25"/>
      <c r="L113" s="25"/>
      <c r="M113" s="25"/>
      <c r="N113" s="25"/>
    </row>
    <row r="114" spans="1:14" x14ac:dyDescent="0.25">
      <c r="A114" s="77">
        <v>45977</v>
      </c>
      <c r="B114" s="25" t="s">
        <v>519</v>
      </c>
      <c r="C114" s="77">
        <f t="shared" si="42"/>
        <v>46000</v>
      </c>
      <c r="D114" s="77">
        <f t="shared" si="43"/>
        <v>45984</v>
      </c>
      <c r="E114" s="77">
        <f t="shared" si="44"/>
        <v>45991</v>
      </c>
      <c r="F114" s="77">
        <f t="shared" si="45"/>
        <v>45997</v>
      </c>
      <c r="G114" s="77">
        <f t="shared" si="46"/>
        <v>45985</v>
      </c>
      <c r="H114" s="77">
        <f t="shared" si="47"/>
        <v>45992</v>
      </c>
      <c r="I114" s="77"/>
      <c r="J114" s="78"/>
      <c r="K114" s="25"/>
      <c r="L114" s="25"/>
      <c r="M114" s="25"/>
      <c r="N114" s="25"/>
    </row>
    <row r="115" spans="1:14" x14ac:dyDescent="0.25">
      <c r="A115" s="77">
        <v>45978</v>
      </c>
      <c r="B115" s="25" t="s">
        <v>520</v>
      </c>
      <c r="C115" s="77">
        <f t="shared" si="42"/>
        <v>46001</v>
      </c>
      <c r="D115" s="77">
        <f t="shared" si="43"/>
        <v>45985</v>
      </c>
      <c r="E115" s="77">
        <f t="shared" si="44"/>
        <v>45992</v>
      </c>
      <c r="F115" s="77">
        <f t="shared" si="45"/>
        <v>45998</v>
      </c>
      <c r="G115" s="77">
        <f t="shared" si="46"/>
        <v>45986</v>
      </c>
      <c r="H115" s="77">
        <f t="shared" si="47"/>
        <v>45993</v>
      </c>
      <c r="I115" s="77"/>
      <c r="J115" s="78"/>
      <c r="K115" s="25"/>
      <c r="L115" s="25"/>
      <c r="M115" s="25"/>
      <c r="N115" s="25"/>
    </row>
    <row r="116" spans="1:14" x14ac:dyDescent="0.25">
      <c r="A116" s="77">
        <v>45978</v>
      </c>
      <c r="B116" s="25" t="s">
        <v>521</v>
      </c>
      <c r="C116" s="77">
        <f t="shared" si="42"/>
        <v>46001</v>
      </c>
      <c r="D116" s="77">
        <f t="shared" si="43"/>
        <v>45985</v>
      </c>
      <c r="E116" s="77">
        <f t="shared" si="44"/>
        <v>45992</v>
      </c>
      <c r="F116" s="77">
        <f t="shared" si="45"/>
        <v>45998</v>
      </c>
      <c r="G116" s="77">
        <f t="shared" si="46"/>
        <v>45986</v>
      </c>
      <c r="H116" s="77">
        <f t="shared" si="47"/>
        <v>45993</v>
      </c>
      <c r="I116" s="77"/>
      <c r="J116" s="78"/>
      <c r="K116" s="25"/>
      <c r="L116" s="25"/>
      <c r="M116" s="25"/>
      <c r="N116" s="25"/>
    </row>
    <row r="117" spans="1:14" x14ac:dyDescent="0.25">
      <c r="A117" s="77">
        <v>45978</v>
      </c>
      <c r="B117" s="25" t="s">
        <v>522</v>
      </c>
      <c r="C117" s="77">
        <f t="shared" si="42"/>
        <v>46001</v>
      </c>
      <c r="D117" s="77">
        <f t="shared" si="43"/>
        <v>45985</v>
      </c>
      <c r="E117" s="77">
        <f t="shared" si="44"/>
        <v>45992</v>
      </c>
      <c r="F117" s="77">
        <f t="shared" si="45"/>
        <v>45998</v>
      </c>
      <c r="G117" s="77">
        <f t="shared" si="46"/>
        <v>45986</v>
      </c>
      <c r="H117" s="77">
        <f t="shared" si="47"/>
        <v>45993</v>
      </c>
      <c r="I117" s="77"/>
      <c r="J117" s="78"/>
      <c r="K117" s="25"/>
      <c r="L117" s="25"/>
      <c r="M117" s="25"/>
      <c r="N117" s="25"/>
    </row>
    <row r="118" spans="1:14" x14ac:dyDescent="0.25">
      <c r="A118" s="77">
        <v>45978</v>
      </c>
      <c r="B118" s="25" t="s">
        <v>523</v>
      </c>
      <c r="C118" s="77">
        <f t="shared" si="42"/>
        <v>46001</v>
      </c>
      <c r="D118" s="77">
        <f t="shared" si="43"/>
        <v>45985</v>
      </c>
      <c r="E118" s="77">
        <f t="shared" si="44"/>
        <v>45992</v>
      </c>
      <c r="F118" s="77">
        <f t="shared" si="45"/>
        <v>45998</v>
      </c>
      <c r="G118" s="77">
        <f t="shared" si="46"/>
        <v>45986</v>
      </c>
      <c r="H118" s="77">
        <f t="shared" si="47"/>
        <v>45993</v>
      </c>
      <c r="I118" s="77"/>
      <c r="J118" s="78"/>
      <c r="K118" s="25"/>
      <c r="L118" s="25"/>
      <c r="M118" s="25"/>
      <c r="N118" s="25"/>
    </row>
    <row r="119" spans="1:14" x14ac:dyDescent="0.25">
      <c r="A119" s="77">
        <v>45978</v>
      </c>
      <c r="B119" s="25" t="s">
        <v>524</v>
      </c>
      <c r="C119" s="77">
        <f t="shared" si="42"/>
        <v>46001</v>
      </c>
      <c r="D119" s="77">
        <f t="shared" si="43"/>
        <v>45985</v>
      </c>
      <c r="E119" s="77">
        <f t="shared" si="44"/>
        <v>45992</v>
      </c>
      <c r="F119" s="77">
        <f t="shared" si="45"/>
        <v>45998</v>
      </c>
      <c r="G119" s="77">
        <f t="shared" si="46"/>
        <v>45986</v>
      </c>
      <c r="H119" s="77">
        <f t="shared" si="47"/>
        <v>45993</v>
      </c>
      <c r="I119" s="77"/>
      <c r="J119" s="78"/>
      <c r="K119" s="25"/>
      <c r="L119" s="25"/>
      <c r="M119" s="25"/>
      <c r="N119" s="25"/>
    </row>
    <row r="120" spans="1:14" x14ac:dyDescent="0.25">
      <c r="A120" s="77">
        <v>45978</v>
      </c>
      <c r="B120" s="25" t="s">
        <v>525</v>
      </c>
      <c r="C120" s="77">
        <f t="shared" si="42"/>
        <v>46001</v>
      </c>
      <c r="D120" s="77">
        <f t="shared" si="43"/>
        <v>45985</v>
      </c>
      <c r="E120" s="77">
        <f t="shared" si="44"/>
        <v>45992</v>
      </c>
      <c r="F120" s="77">
        <f t="shared" si="45"/>
        <v>45998</v>
      </c>
      <c r="G120" s="77">
        <f t="shared" si="46"/>
        <v>45986</v>
      </c>
      <c r="H120" s="77">
        <f t="shared" si="47"/>
        <v>45993</v>
      </c>
      <c r="I120" s="77"/>
      <c r="J120" s="78"/>
      <c r="K120" s="25"/>
      <c r="L120" s="25"/>
      <c r="M120" s="25"/>
      <c r="N120" s="25"/>
    </row>
    <row r="121" spans="1:14" x14ac:dyDescent="0.25">
      <c r="A121" s="77">
        <v>45978</v>
      </c>
      <c r="B121" s="25" t="s">
        <v>526</v>
      </c>
      <c r="C121" s="77">
        <f t="shared" si="42"/>
        <v>46001</v>
      </c>
      <c r="D121" s="77">
        <f t="shared" si="43"/>
        <v>45985</v>
      </c>
      <c r="E121" s="77">
        <f t="shared" si="44"/>
        <v>45992</v>
      </c>
      <c r="F121" s="77">
        <f t="shared" si="45"/>
        <v>45998</v>
      </c>
      <c r="G121" s="77">
        <f t="shared" si="46"/>
        <v>45986</v>
      </c>
      <c r="H121" s="77">
        <f t="shared" si="47"/>
        <v>45993</v>
      </c>
      <c r="I121" s="77"/>
      <c r="J121" s="78"/>
      <c r="K121" s="25"/>
      <c r="L121" s="25"/>
      <c r="M121" s="25"/>
      <c r="N121" s="25"/>
    </row>
    <row r="122" spans="1:14" x14ac:dyDescent="0.25">
      <c r="A122" s="77">
        <v>45979</v>
      </c>
      <c r="B122" s="25" t="s">
        <v>527</v>
      </c>
      <c r="C122" s="77">
        <f t="shared" si="42"/>
        <v>46002</v>
      </c>
      <c r="D122" s="77">
        <f t="shared" si="43"/>
        <v>45986</v>
      </c>
      <c r="E122" s="77">
        <f t="shared" si="44"/>
        <v>45993</v>
      </c>
      <c r="F122" s="77">
        <f t="shared" si="45"/>
        <v>45999</v>
      </c>
      <c r="G122" s="77">
        <f t="shared" si="46"/>
        <v>45987</v>
      </c>
      <c r="H122" s="77">
        <f t="shared" si="47"/>
        <v>45994</v>
      </c>
      <c r="I122" s="77"/>
      <c r="J122" s="78"/>
      <c r="K122" s="25"/>
      <c r="L122" s="25"/>
      <c r="M122" s="25"/>
      <c r="N122" s="25"/>
    </row>
    <row r="123" spans="1:14" x14ac:dyDescent="0.25">
      <c r="A123" s="77">
        <v>45979</v>
      </c>
      <c r="B123" s="25" t="s">
        <v>528</v>
      </c>
      <c r="C123" s="77">
        <f t="shared" si="42"/>
        <v>46002</v>
      </c>
      <c r="D123" s="77">
        <f t="shared" si="43"/>
        <v>45986</v>
      </c>
      <c r="E123" s="77">
        <f t="shared" si="44"/>
        <v>45993</v>
      </c>
      <c r="F123" s="77">
        <f t="shared" si="45"/>
        <v>45999</v>
      </c>
      <c r="G123" s="77">
        <f t="shared" si="46"/>
        <v>45987</v>
      </c>
      <c r="H123" s="77">
        <f t="shared" si="47"/>
        <v>45994</v>
      </c>
      <c r="I123" s="77"/>
      <c r="J123" s="78"/>
      <c r="K123" s="25"/>
      <c r="L123" s="25"/>
      <c r="M123" s="25"/>
      <c r="N123" s="25"/>
    </row>
    <row r="124" spans="1:14" x14ac:dyDescent="0.25">
      <c r="A124" s="77">
        <v>45979</v>
      </c>
      <c r="B124" s="25" t="s">
        <v>529</v>
      </c>
      <c r="C124" s="77">
        <f t="shared" si="42"/>
        <v>46002</v>
      </c>
      <c r="D124" s="77">
        <f t="shared" si="43"/>
        <v>45986</v>
      </c>
      <c r="E124" s="77">
        <f t="shared" si="44"/>
        <v>45993</v>
      </c>
      <c r="F124" s="77">
        <f t="shared" si="45"/>
        <v>45999</v>
      </c>
      <c r="G124" s="77">
        <f t="shared" si="46"/>
        <v>45987</v>
      </c>
      <c r="H124" s="77">
        <f t="shared" si="47"/>
        <v>45994</v>
      </c>
      <c r="I124" s="77"/>
      <c r="J124" s="78"/>
      <c r="K124" s="25"/>
      <c r="L124" s="25"/>
      <c r="M124" s="25"/>
      <c r="N124" s="25"/>
    </row>
    <row r="125" spans="1:14" x14ac:dyDescent="0.25">
      <c r="A125" s="77">
        <v>45979</v>
      </c>
      <c r="B125" s="25" t="s">
        <v>530</v>
      </c>
      <c r="C125" s="77">
        <f t="shared" si="42"/>
        <v>46002</v>
      </c>
      <c r="D125" s="77">
        <f t="shared" si="43"/>
        <v>45986</v>
      </c>
      <c r="E125" s="77">
        <f t="shared" si="44"/>
        <v>45993</v>
      </c>
      <c r="F125" s="77">
        <f t="shared" si="45"/>
        <v>45999</v>
      </c>
      <c r="G125" s="77">
        <f t="shared" si="46"/>
        <v>45987</v>
      </c>
      <c r="H125" s="77">
        <f t="shared" si="47"/>
        <v>45994</v>
      </c>
      <c r="I125" s="77"/>
      <c r="J125" s="78"/>
      <c r="K125" s="25"/>
      <c r="L125" s="25"/>
      <c r="M125" s="25"/>
      <c r="N125" s="25"/>
    </row>
    <row r="126" spans="1:14" x14ac:dyDescent="0.25">
      <c r="A126" s="77">
        <v>45979</v>
      </c>
      <c r="B126" s="25" t="s">
        <v>531</v>
      </c>
      <c r="C126" s="77">
        <f t="shared" si="42"/>
        <v>46002</v>
      </c>
      <c r="D126" s="77">
        <f t="shared" si="43"/>
        <v>45986</v>
      </c>
      <c r="E126" s="77">
        <f t="shared" si="44"/>
        <v>45993</v>
      </c>
      <c r="F126" s="77">
        <f t="shared" si="45"/>
        <v>45999</v>
      </c>
      <c r="G126" s="77">
        <f t="shared" si="46"/>
        <v>45987</v>
      </c>
      <c r="H126" s="77">
        <f t="shared" si="47"/>
        <v>45994</v>
      </c>
      <c r="I126" s="77"/>
      <c r="J126" s="78"/>
      <c r="K126" s="25"/>
      <c r="L126" s="25"/>
      <c r="M126" s="25"/>
      <c r="N126" s="25"/>
    </row>
    <row r="127" spans="1:14" x14ac:dyDescent="0.25">
      <c r="A127" s="77">
        <v>45979</v>
      </c>
      <c r="B127" s="25" t="s">
        <v>532</v>
      </c>
      <c r="C127" s="77">
        <f t="shared" si="42"/>
        <v>46002</v>
      </c>
      <c r="D127" s="77">
        <f t="shared" si="43"/>
        <v>45986</v>
      </c>
      <c r="E127" s="77">
        <f t="shared" si="44"/>
        <v>45993</v>
      </c>
      <c r="F127" s="77">
        <f t="shared" si="45"/>
        <v>45999</v>
      </c>
      <c r="G127" s="77">
        <f t="shared" si="46"/>
        <v>45987</v>
      </c>
      <c r="H127" s="77">
        <f t="shared" si="47"/>
        <v>45994</v>
      </c>
      <c r="I127" s="77"/>
      <c r="J127" s="78"/>
      <c r="K127" s="25"/>
      <c r="L127" s="25"/>
      <c r="M127" s="25"/>
      <c r="N127" s="25"/>
    </row>
    <row r="128" spans="1:14" x14ac:dyDescent="0.25">
      <c r="A128" s="77">
        <v>45979</v>
      </c>
      <c r="B128" s="25" t="s">
        <v>533</v>
      </c>
      <c r="C128" s="77">
        <f t="shared" si="42"/>
        <v>46002</v>
      </c>
      <c r="D128" s="77">
        <f t="shared" si="43"/>
        <v>45986</v>
      </c>
      <c r="E128" s="77">
        <f t="shared" si="44"/>
        <v>45993</v>
      </c>
      <c r="F128" s="77">
        <f t="shared" si="45"/>
        <v>45999</v>
      </c>
      <c r="G128" s="77">
        <f t="shared" si="46"/>
        <v>45987</v>
      </c>
      <c r="H128" s="77">
        <f t="shared" si="47"/>
        <v>45994</v>
      </c>
      <c r="I128" s="77"/>
      <c r="J128" s="78"/>
      <c r="K128" s="25"/>
      <c r="L128" s="25"/>
      <c r="M128" s="25"/>
      <c r="N128" s="25"/>
    </row>
    <row r="129" spans="1:14" x14ac:dyDescent="0.25">
      <c r="A129" s="77">
        <v>45979</v>
      </c>
      <c r="B129" s="25" t="s">
        <v>534</v>
      </c>
      <c r="C129" s="77">
        <f t="shared" si="42"/>
        <v>46002</v>
      </c>
      <c r="D129" s="77">
        <f t="shared" si="43"/>
        <v>45986</v>
      </c>
      <c r="E129" s="77">
        <f t="shared" si="44"/>
        <v>45993</v>
      </c>
      <c r="F129" s="77">
        <f t="shared" si="45"/>
        <v>45999</v>
      </c>
      <c r="G129" s="77">
        <f t="shared" si="46"/>
        <v>45987</v>
      </c>
      <c r="H129" s="77">
        <f t="shared" si="47"/>
        <v>45994</v>
      </c>
      <c r="I129" s="77"/>
      <c r="J129" s="78"/>
      <c r="K129" s="25"/>
      <c r="L129" s="25"/>
      <c r="M129" s="25"/>
      <c r="N129" s="25"/>
    </row>
    <row r="130" spans="1:14" x14ac:dyDescent="0.25">
      <c r="A130" s="77">
        <v>45979</v>
      </c>
      <c r="B130" s="25" t="s">
        <v>535</v>
      </c>
      <c r="C130" s="77">
        <f t="shared" si="42"/>
        <v>46002</v>
      </c>
      <c r="D130" s="77">
        <f t="shared" si="43"/>
        <v>45986</v>
      </c>
      <c r="E130" s="77">
        <f t="shared" si="44"/>
        <v>45993</v>
      </c>
      <c r="F130" s="77">
        <f t="shared" si="45"/>
        <v>45999</v>
      </c>
      <c r="G130" s="77">
        <f t="shared" si="46"/>
        <v>45987</v>
      </c>
      <c r="H130" s="77">
        <f t="shared" si="47"/>
        <v>45994</v>
      </c>
      <c r="I130" s="77"/>
      <c r="J130" s="78"/>
      <c r="K130" s="25"/>
      <c r="L130" s="25"/>
      <c r="M130" s="25"/>
      <c r="N130" s="25"/>
    </row>
    <row r="131" spans="1:14" x14ac:dyDescent="0.25">
      <c r="A131" s="77">
        <v>45980</v>
      </c>
      <c r="B131" s="25" t="s">
        <v>435</v>
      </c>
      <c r="C131" s="77">
        <f t="shared" si="42"/>
        <v>46003</v>
      </c>
      <c r="D131" s="77">
        <f t="shared" si="43"/>
        <v>45987</v>
      </c>
      <c r="E131" s="77">
        <f t="shared" si="44"/>
        <v>45994</v>
      </c>
      <c r="F131" s="77">
        <f t="shared" si="45"/>
        <v>46000</v>
      </c>
      <c r="G131" s="77">
        <f t="shared" si="46"/>
        <v>45988</v>
      </c>
      <c r="H131" s="77">
        <f t="shared" si="47"/>
        <v>45995</v>
      </c>
      <c r="I131" s="77"/>
      <c r="J131" s="78"/>
      <c r="K131" s="25"/>
      <c r="L131" s="25"/>
      <c r="M131" s="25"/>
      <c r="N131" s="25"/>
    </row>
    <row r="132" spans="1:14" x14ac:dyDescent="0.25">
      <c r="A132" s="77">
        <v>45980</v>
      </c>
      <c r="B132" s="25" t="s">
        <v>436</v>
      </c>
      <c r="C132" s="77">
        <f t="shared" si="42"/>
        <v>46003</v>
      </c>
      <c r="D132" s="77">
        <f t="shared" si="43"/>
        <v>45987</v>
      </c>
      <c r="E132" s="77">
        <f t="shared" si="44"/>
        <v>45994</v>
      </c>
      <c r="F132" s="77">
        <f t="shared" si="45"/>
        <v>46000</v>
      </c>
      <c r="G132" s="77">
        <f t="shared" si="46"/>
        <v>45988</v>
      </c>
      <c r="H132" s="77">
        <f t="shared" si="47"/>
        <v>45995</v>
      </c>
      <c r="I132" s="77"/>
      <c r="J132" s="78"/>
      <c r="K132" s="25"/>
      <c r="L132" s="25"/>
      <c r="M132" s="25"/>
      <c r="N132" s="25"/>
    </row>
    <row r="133" spans="1:14" x14ac:dyDescent="0.25">
      <c r="A133" s="77">
        <v>45980</v>
      </c>
      <c r="B133" s="25" t="s">
        <v>437</v>
      </c>
      <c r="C133" s="77">
        <f t="shared" si="42"/>
        <v>46003</v>
      </c>
      <c r="D133" s="77">
        <f t="shared" si="43"/>
        <v>45987</v>
      </c>
      <c r="E133" s="77">
        <f t="shared" si="44"/>
        <v>45994</v>
      </c>
      <c r="F133" s="77">
        <f t="shared" si="45"/>
        <v>46000</v>
      </c>
      <c r="G133" s="77">
        <f t="shared" si="46"/>
        <v>45988</v>
      </c>
      <c r="H133" s="77">
        <f t="shared" si="47"/>
        <v>45995</v>
      </c>
      <c r="I133" s="77"/>
      <c r="J133" s="78"/>
      <c r="K133" s="25"/>
      <c r="L133" s="25"/>
      <c r="M133" s="25"/>
      <c r="N133" s="25"/>
    </row>
    <row r="134" spans="1:14" x14ac:dyDescent="0.25">
      <c r="A134" s="77">
        <v>45980</v>
      </c>
      <c r="B134" s="25" t="s">
        <v>438</v>
      </c>
      <c r="C134" s="77">
        <f t="shared" si="42"/>
        <v>46003</v>
      </c>
      <c r="D134" s="77">
        <f t="shared" si="43"/>
        <v>45987</v>
      </c>
      <c r="E134" s="77">
        <f t="shared" si="44"/>
        <v>45994</v>
      </c>
      <c r="F134" s="77">
        <f t="shared" si="45"/>
        <v>46000</v>
      </c>
      <c r="G134" s="77">
        <f t="shared" si="46"/>
        <v>45988</v>
      </c>
      <c r="H134" s="77">
        <f t="shared" si="47"/>
        <v>45995</v>
      </c>
      <c r="I134" s="77"/>
      <c r="J134" s="78"/>
      <c r="K134" s="25"/>
      <c r="L134" s="25"/>
      <c r="M134" s="25"/>
      <c r="N134" s="25"/>
    </row>
    <row r="135" spans="1:14" x14ac:dyDescent="0.25">
      <c r="A135" s="77">
        <v>45980</v>
      </c>
      <c r="B135" s="25" t="s">
        <v>439</v>
      </c>
      <c r="C135" s="77">
        <f t="shared" si="42"/>
        <v>46003</v>
      </c>
      <c r="D135" s="77">
        <f t="shared" si="43"/>
        <v>45987</v>
      </c>
      <c r="E135" s="77">
        <f t="shared" si="44"/>
        <v>45994</v>
      </c>
      <c r="F135" s="77">
        <f t="shared" si="45"/>
        <v>46000</v>
      </c>
      <c r="G135" s="77">
        <f t="shared" si="46"/>
        <v>45988</v>
      </c>
      <c r="H135" s="77">
        <f t="shared" si="47"/>
        <v>45995</v>
      </c>
      <c r="I135" s="77"/>
      <c r="J135" s="78"/>
      <c r="K135" s="25"/>
      <c r="L135" s="25"/>
      <c r="M135" s="25"/>
      <c r="N135" s="25"/>
    </row>
    <row r="136" spans="1:14" x14ac:dyDescent="0.25">
      <c r="A136" s="77">
        <v>45980</v>
      </c>
      <c r="B136" s="25" t="s">
        <v>440</v>
      </c>
      <c r="C136" s="77">
        <f t="shared" si="42"/>
        <v>46003</v>
      </c>
      <c r="D136" s="77">
        <f t="shared" si="43"/>
        <v>45987</v>
      </c>
      <c r="E136" s="77">
        <f t="shared" si="44"/>
        <v>45994</v>
      </c>
      <c r="F136" s="77">
        <f t="shared" si="45"/>
        <v>46000</v>
      </c>
      <c r="G136" s="77">
        <f t="shared" si="46"/>
        <v>45988</v>
      </c>
      <c r="H136" s="77">
        <f t="shared" si="47"/>
        <v>45995</v>
      </c>
      <c r="I136" s="77"/>
      <c r="J136" s="78"/>
      <c r="K136" s="25"/>
      <c r="L136" s="25"/>
      <c r="M136" s="25"/>
      <c r="N136" s="25"/>
    </row>
    <row r="137" spans="1:14" x14ac:dyDescent="0.25">
      <c r="A137" s="77">
        <v>45980</v>
      </c>
      <c r="B137" s="25" t="s">
        <v>441</v>
      </c>
      <c r="C137" s="77">
        <f t="shared" si="42"/>
        <v>46003</v>
      </c>
      <c r="D137" s="77">
        <f t="shared" si="43"/>
        <v>45987</v>
      </c>
      <c r="E137" s="77">
        <f t="shared" si="44"/>
        <v>45994</v>
      </c>
      <c r="F137" s="77">
        <f t="shared" si="45"/>
        <v>46000</v>
      </c>
      <c r="G137" s="77">
        <f t="shared" si="46"/>
        <v>45988</v>
      </c>
      <c r="H137" s="77">
        <f t="shared" si="47"/>
        <v>45995</v>
      </c>
      <c r="I137" s="77"/>
      <c r="J137" s="78"/>
      <c r="K137" s="25"/>
      <c r="L137" s="25"/>
      <c r="M137" s="25"/>
      <c r="N137" s="25"/>
    </row>
    <row r="138" spans="1:14" x14ac:dyDescent="0.25">
      <c r="A138" s="77">
        <v>45981</v>
      </c>
      <c r="B138" s="25" t="s">
        <v>359</v>
      </c>
      <c r="C138" s="77">
        <f t="shared" si="42"/>
        <v>46004</v>
      </c>
      <c r="D138" s="77">
        <f t="shared" si="43"/>
        <v>45988</v>
      </c>
      <c r="E138" s="77">
        <f t="shared" si="44"/>
        <v>45995</v>
      </c>
      <c r="F138" s="77">
        <f t="shared" si="45"/>
        <v>46001</v>
      </c>
      <c r="G138" s="77">
        <f t="shared" si="46"/>
        <v>45989</v>
      </c>
      <c r="H138" s="77">
        <f t="shared" si="47"/>
        <v>45996</v>
      </c>
      <c r="I138" s="77"/>
      <c r="J138" s="78"/>
      <c r="K138" s="25"/>
      <c r="L138" s="25"/>
      <c r="M138" s="25"/>
      <c r="N138" s="25"/>
    </row>
    <row r="139" spans="1:14" x14ac:dyDescent="0.25">
      <c r="A139" s="77">
        <v>45981</v>
      </c>
      <c r="B139" s="25" t="s">
        <v>360</v>
      </c>
      <c r="C139" s="77">
        <f t="shared" si="42"/>
        <v>46004</v>
      </c>
      <c r="D139" s="77">
        <f t="shared" si="43"/>
        <v>45988</v>
      </c>
      <c r="E139" s="77">
        <f t="shared" si="44"/>
        <v>45995</v>
      </c>
      <c r="F139" s="77">
        <f t="shared" si="45"/>
        <v>46001</v>
      </c>
      <c r="G139" s="77">
        <f t="shared" si="46"/>
        <v>45989</v>
      </c>
      <c r="H139" s="77">
        <f t="shared" si="47"/>
        <v>45996</v>
      </c>
      <c r="I139" s="77"/>
      <c r="J139" s="78"/>
      <c r="K139" s="25"/>
      <c r="L139" s="25"/>
      <c r="M139" s="25"/>
      <c r="N139" s="25"/>
    </row>
    <row r="140" spans="1:14" x14ac:dyDescent="0.25">
      <c r="A140" s="77">
        <v>45981</v>
      </c>
      <c r="B140" s="25" t="s">
        <v>361</v>
      </c>
      <c r="C140" s="77">
        <f t="shared" si="42"/>
        <v>46004</v>
      </c>
      <c r="D140" s="77">
        <f t="shared" si="43"/>
        <v>45988</v>
      </c>
      <c r="E140" s="77">
        <f t="shared" si="44"/>
        <v>45995</v>
      </c>
      <c r="F140" s="77">
        <f t="shared" si="45"/>
        <v>46001</v>
      </c>
      <c r="G140" s="77">
        <f t="shared" si="46"/>
        <v>45989</v>
      </c>
      <c r="H140" s="77">
        <f t="shared" si="47"/>
        <v>45996</v>
      </c>
      <c r="I140" s="77"/>
      <c r="J140" s="78"/>
      <c r="K140" s="25"/>
      <c r="L140" s="25"/>
      <c r="M140" s="25"/>
      <c r="N140" s="25"/>
    </row>
    <row r="141" spans="1:14" x14ac:dyDescent="0.25">
      <c r="A141" s="77">
        <v>45981</v>
      </c>
      <c r="B141" s="25" t="s">
        <v>362</v>
      </c>
      <c r="C141" s="77">
        <f t="shared" si="42"/>
        <v>46004</v>
      </c>
      <c r="D141" s="77">
        <f t="shared" si="43"/>
        <v>45988</v>
      </c>
      <c r="E141" s="77">
        <f t="shared" si="44"/>
        <v>45995</v>
      </c>
      <c r="F141" s="77">
        <f t="shared" si="45"/>
        <v>46001</v>
      </c>
      <c r="G141" s="77">
        <f t="shared" si="46"/>
        <v>45989</v>
      </c>
      <c r="H141" s="77">
        <f t="shared" si="47"/>
        <v>45996</v>
      </c>
      <c r="I141" s="77"/>
      <c r="J141" s="78"/>
      <c r="K141" s="25"/>
      <c r="L141" s="25"/>
      <c r="M141" s="25"/>
      <c r="N141" s="25"/>
    </row>
    <row r="142" spans="1:14" x14ac:dyDescent="0.25">
      <c r="A142" s="77">
        <v>45981</v>
      </c>
      <c r="B142" s="25" t="s">
        <v>363</v>
      </c>
      <c r="C142" s="77">
        <f t="shared" si="42"/>
        <v>46004</v>
      </c>
      <c r="D142" s="77">
        <f t="shared" si="43"/>
        <v>45988</v>
      </c>
      <c r="E142" s="77">
        <f t="shared" si="44"/>
        <v>45995</v>
      </c>
      <c r="F142" s="77">
        <f t="shared" si="45"/>
        <v>46001</v>
      </c>
      <c r="G142" s="77">
        <f t="shared" si="46"/>
        <v>45989</v>
      </c>
      <c r="H142" s="77">
        <f t="shared" si="47"/>
        <v>45996</v>
      </c>
      <c r="I142" s="77"/>
      <c r="J142" s="78"/>
      <c r="K142" s="25"/>
      <c r="L142" s="25"/>
      <c r="M142" s="25"/>
      <c r="N142" s="25"/>
    </row>
    <row r="143" spans="1:14" x14ac:dyDescent="0.25">
      <c r="A143" s="77">
        <v>45981</v>
      </c>
      <c r="B143" s="25" t="s">
        <v>364</v>
      </c>
      <c r="C143" s="77">
        <f t="shared" si="42"/>
        <v>46004</v>
      </c>
      <c r="D143" s="77">
        <f t="shared" si="43"/>
        <v>45988</v>
      </c>
      <c r="E143" s="77">
        <f t="shared" si="44"/>
        <v>45995</v>
      </c>
      <c r="F143" s="77">
        <f t="shared" si="45"/>
        <v>46001</v>
      </c>
      <c r="G143" s="77">
        <f t="shared" si="46"/>
        <v>45989</v>
      </c>
      <c r="H143" s="77">
        <f t="shared" si="47"/>
        <v>45996</v>
      </c>
      <c r="I143" s="77"/>
      <c r="J143" s="78"/>
      <c r="K143" s="25"/>
      <c r="L143" s="25"/>
      <c r="M143" s="25"/>
      <c r="N143" s="25"/>
    </row>
    <row r="144" spans="1:14" x14ac:dyDescent="0.25">
      <c r="A144" s="77">
        <v>45981</v>
      </c>
      <c r="B144" s="25" t="s">
        <v>365</v>
      </c>
      <c r="C144" s="77">
        <f t="shared" ref="C144:C207" si="48">A144+23</f>
        <v>46004</v>
      </c>
      <c r="D144" s="77">
        <f t="shared" ref="D144:D207" si="49">A144+7</f>
        <v>45988</v>
      </c>
      <c r="E144" s="77">
        <f t="shared" ref="E144:E207" si="50">A144+14</f>
        <v>45995</v>
      </c>
      <c r="F144" s="77">
        <f t="shared" ref="F144:F207" si="51">A144+20</f>
        <v>46001</v>
      </c>
      <c r="G144" s="77">
        <f t="shared" ref="G144:G207" si="52">A144+8</f>
        <v>45989</v>
      </c>
      <c r="H144" s="77">
        <f t="shared" ref="H144:H207" si="53">A144+15</f>
        <v>45996</v>
      </c>
      <c r="I144" s="77"/>
      <c r="J144" s="78"/>
      <c r="K144" s="25"/>
      <c r="L144" s="25"/>
      <c r="M144" s="25"/>
      <c r="N144" s="25"/>
    </row>
    <row r="145" spans="1:14" x14ac:dyDescent="0.25">
      <c r="A145" s="77">
        <v>45982</v>
      </c>
      <c r="B145" s="25" t="s">
        <v>379</v>
      </c>
      <c r="C145" s="77">
        <f t="shared" si="48"/>
        <v>46005</v>
      </c>
      <c r="D145" s="77">
        <f t="shared" si="49"/>
        <v>45989</v>
      </c>
      <c r="E145" s="77">
        <f t="shared" si="50"/>
        <v>45996</v>
      </c>
      <c r="F145" s="77">
        <f t="shared" si="51"/>
        <v>46002</v>
      </c>
      <c r="G145" s="77">
        <f t="shared" si="52"/>
        <v>45990</v>
      </c>
      <c r="H145" s="77">
        <f t="shared" si="53"/>
        <v>45997</v>
      </c>
      <c r="I145" s="77"/>
      <c r="J145" s="78"/>
      <c r="K145" s="25"/>
      <c r="L145" s="25"/>
      <c r="M145" s="25"/>
      <c r="N145" s="25"/>
    </row>
    <row r="146" spans="1:14" x14ac:dyDescent="0.25">
      <c r="A146" s="77">
        <v>45982</v>
      </c>
      <c r="B146" s="25" t="s">
        <v>380</v>
      </c>
      <c r="C146" s="77">
        <f t="shared" si="48"/>
        <v>46005</v>
      </c>
      <c r="D146" s="77">
        <f t="shared" si="49"/>
        <v>45989</v>
      </c>
      <c r="E146" s="77">
        <f t="shared" si="50"/>
        <v>45996</v>
      </c>
      <c r="F146" s="77">
        <f t="shared" si="51"/>
        <v>46002</v>
      </c>
      <c r="G146" s="77">
        <f t="shared" si="52"/>
        <v>45990</v>
      </c>
      <c r="H146" s="77">
        <f t="shared" si="53"/>
        <v>45997</v>
      </c>
      <c r="I146" s="77"/>
      <c r="J146" s="78"/>
      <c r="K146" s="25"/>
      <c r="L146" s="25"/>
      <c r="M146" s="25"/>
      <c r="N146" s="25"/>
    </row>
    <row r="147" spans="1:14" x14ac:dyDescent="0.25">
      <c r="A147" s="77">
        <v>45982</v>
      </c>
      <c r="B147" s="25" t="s">
        <v>381</v>
      </c>
      <c r="C147" s="77">
        <f t="shared" si="48"/>
        <v>46005</v>
      </c>
      <c r="D147" s="77">
        <f t="shared" si="49"/>
        <v>45989</v>
      </c>
      <c r="E147" s="77">
        <f t="shared" si="50"/>
        <v>45996</v>
      </c>
      <c r="F147" s="77">
        <f t="shared" si="51"/>
        <v>46002</v>
      </c>
      <c r="G147" s="77">
        <f t="shared" si="52"/>
        <v>45990</v>
      </c>
      <c r="H147" s="77">
        <f t="shared" si="53"/>
        <v>45997</v>
      </c>
      <c r="I147" s="77"/>
      <c r="J147" s="78"/>
      <c r="K147" s="25"/>
      <c r="L147" s="25"/>
      <c r="M147" s="25"/>
      <c r="N147" s="25"/>
    </row>
    <row r="148" spans="1:14" x14ac:dyDescent="0.25">
      <c r="A148" s="77">
        <v>45982</v>
      </c>
      <c r="B148" s="25" t="s">
        <v>382</v>
      </c>
      <c r="C148" s="77">
        <f t="shared" si="48"/>
        <v>46005</v>
      </c>
      <c r="D148" s="77">
        <f t="shared" si="49"/>
        <v>45989</v>
      </c>
      <c r="E148" s="77">
        <f t="shared" si="50"/>
        <v>45996</v>
      </c>
      <c r="F148" s="77">
        <f t="shared" si="51"/>
        <v>46002</v>
      </c>
      <c r="G148" s="77">
        <f t="shared" si="52"/>
        <v>45990</v>
      </c>
      <c r="H148" s="77">
        <f t="shared" si="53"/>
        <v>45997</v>
      </c>
      <c r="I148" s="77"/>
      <c r="J148" s="78"/>
      <c r="K148" s="25"/>
      <c r="L148" s="25"/>
      <c r="M148" s="25"/>
      <c r="N148" s="25"/>
    </row>
    <row r="149" spans="1:14" x14ac:dyDescent="0.25">
      <c r="A149" s="77">
        <v>45982</v>
      </c>
      <c r="B149" s="25" t="s">
        <v>383</v>
      </c>
      <c r="C149" s="77">
        <f t="shared" si="48"/>
        <v>46005</v>
      </c>
      <c r="D149" s="77">
        <f t="shared" si="49"/>
        <v>45989</v>
      </c>
      <c r="E149" s="77">
        <f t="shared" si="50"/>
        <v>45996</v>
      </c>
      <c r="F149" s="77">
        <f t="shared" si="51"/>
        <v>46002</v>
      </c>
      <c r="G149" s="77">
        <f t="shared" si="52"/>
        <v>45990</v>
      </c>
      <c r="H149" s="77">
        <f t="shared" si="53"/>
        <v>45997</v>
      </c>
      <c r="I149" s="77"/>
      <c r="J149" s="78"/>
      <c r="K149" s="25"/>
      <c r="L149" s="25"/>
      <c r="M149" s="25"/>
      <c r="N149" s="25"/>
    </row>
    <row r="150" spans="1:14" x14ac:dyDescent="0.25">
      <c r="A150" s="77">
        <v>45982</v>
      </c>
      <c r="B150" s="25" t="s">
        <v>384</v>
      </c>
      <c r="C150" s="77">
        <f t="shared" si="48"/>
        <v>46005</v>
      </c>
      <c r="D150" s="77">
        <f t="shared" si="49"/>
        <v>45989</v>
      </c>
      <c r="E150" s="77">
        <f t="shared" si="50"/>
        <v>45996</v>
      </c>
      <c r="F150" s="77">
        <f t="shared" si="51"/>
        <v>46002</v>
      </c>
      <c r="G150" s="77">
        <f t="shared" si="52"/>
        <v>45990</v>
      </c>
      <c r="H150" s="77">
        <f t="shared" si="53"/>
        <v>45997</v>
      </c>
      <c r="I150" s="77"/>
      <c r="J150" s="78"/>
      <c r="K150" s="25"/>
      <c r="L150" s="25"/>
      <c r="M150" s="25"/>
      <c r="N150" s="25"/>
    </row>
    <row r="151" spans="1:14" x14ac:dyDescent="0.25">
      <c r="A151" s="77">
        <v>45982</v>
      </c>
      <c r="B151" s="25" t="s">
        <v>385</v>
      </c>
      <c r="C151" s="77">
        <f t="shared" si="48"/>
        <v>46005</v>
      </c>
      <c r="D151" s="77">
        <f t="shared" si="49"/>
        <v>45989</v>
      </c>
      <c r="E151" s="77">
        <f t="shared" si="50"/>
        <v>45996</v>
      </c>
      <c r="F151" s="77">
        <f t="shared" si="51"/>
        <v>46002</v>
      </c>
      <c r="G151" s="77">
        <f t="shared" si="52"/>
        <v>45990</v>
      </c>
      <c r="H151" s="77">
        <f t="shared" si="53"/>
        <v>45997</v>
      </c>
      <c r="I151" s="77"/>
      <c r="J151" s="78"/>
      <c r="K151" s="25"/>
      <c r="L151" s="25"/>
      <c r="M151" s="25"/>
      <c r="N151" s="25"/>
    </row>
    <row r="152" spans="1:14" x14ac:dyDescent="0.25">
      <c r="A152" s="77">
        <v>45983</v>
      </c>
      <c r="B152" s="25" t="s">
        <v>366</v>
      </c>
      <c r="C152" s="77">
        <f t="shared" si="48"/>
        <v>46006</v>
      </c>
      <c r="D152" s="77">
        <f t="shared" si="49"/>
        <v>45990</v>
      </c>
      <c r="E152" s="77">
        <f t="shared" si="50"/>
        <v>45997</v>
      </c>
      <c r="F152" s="77">
        <f t="shared" si="51"/>
        <v>46003</v>
      </c>
      <c r="G152" s="77">
        <f t="shared" si="52"/>
        <v>45991</v>
      </c>
      <c r="H152" s="77">
        <f t="shared" si="53"/>
        <v>45998</v>
      </c>
      <c r="I152" s="77"/>
      <c r="J152" s="78"/>
      <c r="K152" s="25"/>
      <c r="L152" s="25"/>
      <c r="M152" s="25"/>
      <c r="N152" s="25"/>
    </row>
    <row r="153" spans="1:14" x14ac:dyDescent="0.25">
      <c r="A153" s="77">
        <v>45983</v>
      </c>
      <c r="B153" s="25" t="s">
        <v>367</v>
      </c>
      <c r="C153" s="77">
        <f t="shared" si="48"/>
        <v>46006</v>
      </c>
      <c r="D153" s="77">
        <f t="shared" si="49"/>
        <v>45990</v>
      </c>
      <c r="E153" s="77">
        <f t="shared" si="50"/>
        <v>45997</v>
      </c>
      <c r="F153" s="77">
        <f t="shared" si="51"/>
        <v>46003</v>
      </c>
      <c r="G153" s="77">
        <f t="shared" si="52"/>
        <v>45991</v>
      </c>
      <c r="H153" s="77">
        <f t="shared" si="53"/>
        <v>45998</v>
      </c>
      <c r="I153" s="77"/>
      <c r="J153" s="78"/>
      <c r="K153" s="25"/>
      <c r="L153" s="25"/>
      <c r="M153" s="25"/>
      <c r="N153" s="25"/>
    </row>
    <row r="154" spans="1:14" x14ac:dyDescent="0.25">
      <c r="A154" s="77">
        <v>45983</v>
      </c>
      <c r="B154" s="25" t="s">
        <v>368</v>
      </c>
      <c r="C154" s="77">
        <f t="shared" si="48"/>
        <v>46006</v>
      </c>
      <c r="D154" s="77">
        <f t="shared" si="49"/>
        <v>45990</v>
      </c>
      <c r="E154" s="77">
        <f t="shared" si="50"/>
        <v>45997</v>
      </c>
      <c r="F154" s="77">
        <f t="shared" si="51"/>
        <v>46003</v>
      </c>
      <c r="G154" s="77">
        <f t="shared" si="52"/>
        <v>45991</v>
      </c>
      <c r="H154" s="77">
        <f t="shared" si="53"/>
        <v>45998</v>
      </c>
      <c r="I154" s="77"/>
      <c r="J154" s="78"/>
      <c r="K154" s="25"/>
      <c r="L154" s="25"/>
      <c r="M154" s="25"/>
      <c r="N154" s="25"/>
    </row>
    <row r="155" spans="1:14" x14ac:dyDescent="0.25">
      <c r="A155" s="77">
        <v>45983</v>
      </c>
      <c r="B155" s="25" t="s">
        <v>369</v>
      </c>
      <c r="C155" s="77">
        <f t="shared" si="48"/>
        <v>46006</v>
      </c>
      <c r="D155" s="77">
        <f t="shared" si="49"/>
        <v>45990</v>
      </c>
      <c r="E155" s="77">
        <f t="shared" si="50"/>
        <v>45997</v>
      </c>
      <c r="F155" s="77">
        <f t="shared" si="51"/>
        <v>46003</v>
      </c>
      <c r="G155" s="77">
        <f t="shared" si="52"/>
        <v>45991</v>
      </c>
      <c r="H155" s="77">
        <f t="shared" si="53"/>
        <v>45998</v>
      </c>
      <c r="I155" s="77"/>
      <c r="J155" s="78"/>
      <c r="K155" s="25"/>
      <c r="L155" s="25"/>
      <c r="M155" s="25"/>
      <c r="N155" s="25"/>
    </row>
    <row r="156" spans="1:14" x14ac:dyDescent="0.25">
      <c r="A156" s="77">
        <v>45983</v>
      </c>
      <c r="B156" s="25" t="s">
        <v>370</v>
      </c>
      <c r="C156" s="77">
        <f t="shared" si="48"/>
        <v>46006</v>
      </c>
      <c r="D156" s="77">
        <f t="shared" si="49"/>
        <v>45990</v>
      </c>
      <c r="E156" s="77">
        <f t="shared" si="50"/>
        <v>45997</v>
      </c>
      <c r="F156" s="77">
        <f t="shared" si="51"/>
        <v>46003</v>
      </c>
      <c r="G156" s="77">
        <f t="shared" si="52"/>
        <v>45991</v>
      </c>
      <c r="H156" s="77">
        <f t="shared" si="53"/>
        <v>45998</v>
      </c>
      <c r="I156" s="77"/>
      <c r="J156" s="78"/>
      <c r="K156" s="25"/>
      <c r="L156" s="25"/>
      <c r="M156" s="25"/>
      <c r="N156" s="25"/>
    </row>
    <row r="157" spans="1:14" x14ac:dyDescent="0.25">
      <c r="A157" s="77">
        <v>45983</v>
      </c>
      <c r="B157" s="25" t="s">
        <v>371</v>
      </c>
      <c r="C157" s="77">
        <f t="shared" si="48"/>
        <v>46006</v>
      </c>
      <c r="D157" s="77">
        <f t="shared" si="49"/>
        <v>45990</v>
      </c>
      <c r="E157" s="77">
        <f t="shared" si="50"/>
        <v>45997</v>
      </c>
      <c r="F157" s="77">
        <f t="shared" si="51"/>
        <v>46003</v>
      </c>
      <c r="G157" s="77">
        <f t="shared" si="52"/>
        <v>45991</v>
      </c>
      <c r="H157" s="77">
        <f t="shared" si="53"/>
        <v>45998</v>
      </c>
      <c r="I157" s="77"/>
      <c r="J157" s="78"/>
      <c r="K157" s="25"/>
      <c r="L157" s="25"/>
      <c r="M157" s="25"/>
      <c r="N157" s="25"/>
    </row>
    <row r="158" spans="1:14" x14ac:dyDescent="0.25">
      <c r="A158" s="77">
        <v>45983</v>
      </c>
      <c r="B158" s="25" t="s">
        <v>372</v>
      </c>
      <c r="C158" s="77">
        <f t="shared" si="48"/>
        <v>46006</v>
      </c>
      <c r="D158" s="77">
        <f t="shared" si="49"/>
        <v>45990</v>
      </c>
      <c r="E158" s="77">
        <f t="shared" si="50"/>
        <v>45997</v>
      </c>
      <c r="F158" s="77">
        <f t="shared" si="51"/>
        <v>46003</v>
      </c>
      <c r="G158" s="77">
        <f t="shared" si="52"/>
        <v>45991</v>
      </c>
      <c r="H158" s="77">
        <f t="shared" si="53"/>
        <v>45998</v>
      </c>
      <c r="I158" s="77"/>
      <c r="J158" s="78"/>
      <c r="K158" s="25"/>
      <c r="L158" s="25"/>
      <c r="M158" s="25"/>
      <c r="N158" s="25"/>
    </row>
    <row r="159" spans="1:14" x14ac:dyDescent="0.25">
      <c r="A159" s="77">
        <v>45984</v>
      </c>
      <c r="B159" s="25" t="s">
        <v>386</v>
      </c>
      <c r="C159" s="77">
        <f t="shared" si="48"/>
        <v>46007</v>
      </c>
      <c r="D159" s="77">
        <f t="shared" si="49"/>
        <v>45991</v>
      </c>
      <c r="E159" s="77">
        <f t="shared" si="50"/>
        <v>45998</v>
      </c>
      <c r="F159" s="77">
        <f t="shared" si="51"/>
        <v>46004</v>
      </c>
      <c r="G159" s="77">
        <f t="shared" si="52"/>
        <v>45992</v>
      </c>
      <c r="H159" s="77">
        <f t="shared" si="53"/>
        <v>45999</v>
      </c>
      <c r="I159" s="77"/>
      <c r="J159" s="78"/>
      <c r="K159" s="25"/>
      <c r="L159" s="25"/>
      <c r="M159" s="25"/>
      <c r="N159" s="25"/>
    </row>
    <row r="160" spans="1:14" x14ac:dyDescent="0.25">
      <c r="A160" s="77">
        <v>45984</v>
      </c>
      <c r="B160" s="25" t="s">
        <v>387</v>
      </c>
      <c r="C160" s="77">
        <f t="shared" si="48"/>
        <v>46007</v>
      </c>
      <c r="D160" s="77">
        <f t="shared" si="49"/>
        <v>45991</v>
      </c>
      <c r="E160" s="77">
        <f t="shared" si="50"/>
        <v>45998</v>
      </c>
      <c r="F160" s="77">
        <f t="shared" si="51"/>
        <v>46004</v>
      </c>
      <c r="G160" s="77">
        <f t="shared" si="52"/>
        <v>45992</v>
      </c>
      <c r="H160" s="77">
        <f t="shared" si="53"/>
        <v>45999</v>
      </c>
      <c r="I160" s="77"/>
      <c r="J160" s="78"/>
      <c r="K160" s="25"/>
      <c r="L160" s="25"/>
      <c r="M160" s="25"/>
      <c r="N160" s="25"/>
    </row>
    <row r="161" spans="1:14" x14ac:dyDescent="0.25">
      <c r="A161" s="77">
        <v>45984</v>
      </c>
      <c r="B161" s="25" t="s">
        <v>388</v>
      </c>
      <c r="C161" s="77">
        <f t="shared" si="48"/>
        <v>46007</v>
      </c>
      <c r="D161" s="77">
        <f t="shared" si="49"/>
        <v>45991</v>
      </c>
      <c r="E161" s="77">
        <f t="shared" si="50"/>
        <v>45998</v>
      </c>
      <c r="F161" s="77">
        <f t="shared" si="51"/>
        <v>46004</v>
      </c>
      <c r="G161" s="77">
        <f t="shared" si="52"/>
        <v>45992</v>
      </c>
      <c r="H161" s="77">
        <f t="shared" si="53"/>
        <v>45999</v>
      </c>
      <c r="I161" s="77"/>
      <c r="J161" s="78"/>
      <c r="K161" s="25"/>
      <c r="L161" s="25"/>
      <c r="M161" s="25"/>
      <c r="N161" s="25"/>
    </row>
    <row r="162" spans="1:14" x14ac:dyDescent="0.25">
      <c r="A162" s="77">
        <v>45984</v>
      </c>
      <c r="B162" s="25" t="s">
        <v>389</v>
      </c>
      <c r="C162" s="77">
        <f t="shared" si="48"/>
        <v>46007</v>
      </c>
      <c r="D162" s="77">
        <f t="shared" si="49"/>
        <v>45991</v>
      </c>
      <c r="E162" s="77">
        <f t="shared" si="50"/>
        <v>45998</v>
      </c>
      <c r="F162" s="77">
        <f t="shared" si="51"/>
        <v>46004</v>
      </c>
      <c r="G162" s="77">
        <f t="shared" si="52"/>
        <v>45992</v>
      </c>
      <c r="H162" s="77">
        <f t="shared" si="53"/>
        <v>45999</v>
      </c>
      <c r="I162" s="77"/>
      <c r="J162" s="78"/>
      <c r="K162" s="25"/>
      <c r="L162" s="25"/>
      <c r="M162" s="25"/>
      <c r="N162" s="25"/>
    </row>
    <row r="163" spans="1:14" x14ac:dyDescent="0.25">
      <c r="A163" s="77">
        <v>45984</v>
      </c>
      <c r="B163" s="25" t="s">
        <v>390</v>
      </c>
      <c r="C163" s="77">
        <f t="shared" si="48"/>
        <v>46007</v>
      </c>
      <c r="D163" s="77">
        <f t="shared" si="49"/>
        <v>45991</v>
      </c>
      <c r="E163" s="77">
        <f t="shared" si="50"/>
        <v>45998</v>
      </c>
      <c r="F163" s="77">
        <f t="shared" si="51"/>
        <v>46004</v>
      </c>
      <c r="G163" s="77">
        <f t="shared" si="52"/>
        <v>45992</v>
      </c>
      <c r="H163" s="77">
        <f t="shared" si="53"/>
        <v>45999</v>
      </c>
      <c r="I163" s="77"/>
      <c r="J163" s="78"/>
      <c r="K163" s="25"/>
      <c r="L163" s="25"/>
      <c r="M163" s="25"/>
      <c r="N163" s="25"/>
    </row>
    <row r="164" spans="1:14" x14ac:dyDescent="0.25">
      <c r="A164" s="77">
        <v>45984</v>
      </c>
      <c r="B164" s="25" t="s">
        <v>391</v>
      </c>
      <c r="C164" s="77">
        <f t="shared" si="48"/>
        <v>46007</v>
      </c>
      <c r="D164" s="77">
        <f t="shared" si="49"/>
        <v>45991</v>
      </c>
      <c r="E164" s="77">
        <f t="shared" si="50"/>
        <v>45998</v>
      </c>
      <c r="F164" s="77">
        <f t="shared" si="51"/>
        <v>46004</v>
      </c>
      <c r="G164" s="77">
        <f t="shared" si="52"/>
        <v>45992</v>
      </c>
      <c r="H164" s="77">
        <f t="shared" si="53"/>
        <v>45999</v>
      </c>
      <c r="I164" s="77"/>
      <c r="J164" s="78"/>
      <c r="K164" s="25"/>
      <c r="L164" s="25"/>
      <c r="M164" s="25"/>
      <c r="N164" s="25"/>
    </row>
    <row r="165" spans="1:14" x14ac:dyDescent="0.25">
      <c r="A165" s="77">
        <v>45984</v>
      </c>
      <c r="B165" s="25" t="s">
        <v>392</v>
      </c>
      <c r="C165" s="77">
        <f t="shared" si="48"/>
        <v>46007</v>
      </c>
      <c r="D165" s="77">
        <f t="shared" si="49"/>
        <v>45991</v>
      </c>
      <c r="E165" s="77">
        <f t="shared" si="50"/>
        <v>45998</v>
      </c>
      <c r="F165" s="77">
        <f t="shared" si="51"/>
        <v>46004</v>
      </c>
      <c r="G165" s="77">
        <f t="shared" si="52"/>
        <v>45992</v>
      </c>
      <c r="H165" s="77">
        <f t="shared" si="53"/>
        <v>45999</v>
      </c>
      <c r="I165" s="77"/>
      <c r="J165" s="78"/>
      <c r="K165" s="25"/>
      <c r="L165" s="25"/>
      <c r="M165" s="25"/>
      <c r="N165" s="25"/>
    </row>
    <row r="166" spans="1:14" x14ac:dyDescent="0.25">
      <c r="A166" s="77">
        <v>45985</v>
      </c>
      <c r="B166" s="25" t="s">
        <v>373</v>
      </c>
      <c r="C166" s="77">
        <f t="shared" si="48"/>
        <v>46008</v>
      </c>
      <c r="D166" s="77">
        <f t="shared" si="49"/>
        <v>45992</v>
      </c>
      <c r="E166" s="77">
        <f t="shared" si="50"/>
        <v>45999</v>
      </c>
      <c r="F166" s="77">
        <f t="shared" si="51"/>
        <v>46005</v>
      </c>
      <c r="G166" s="77">
        <f t="shared" si="52"/>
        <v>45993</v>
      </c>
      <c r="H166" s="77">
        <f t="shared" si="53"/>
        <v>46000</v>
      </c>
      <c r="I166" s="77"/>
      <c r="J166" s="78"/>
      <c r="K166" s="25"/>
      <c r="L166" s="25"/>
      <c r="M166" s="25"/>
      <c r="N166" s="25"/>
    </row>
    <row r="167" spans="1:14" x14ac:dyDescent="0.25">
      <c r="A167" s="77">
        <v>45985</v>
      </c>
      <c r="B167" s="25" t="s">
        <v>374</v>
      </c>
      <c r="C167" s="77">
        <f t="shared" si="48"/>
        <v>46008</v>
      </c>
      <c r="D167" s="77">
        <f t="shared" si="49"/>
        <v>45992</v>
      </c>
      <c r="E167" s="77">
        <f t="shared" si="50"/>
        <v>45999</v>
      </c>
      <c r="F167" s="77">
        <f t="shared" si="51"/>
        <v>46005</v>
      </c>
      <c r="G167" s="77">
        <f t="shared" si="52"/>
        <v>45993</v>
      </c>
      <c r="H167" s="77">
        <f t="shared" si="53"/>
        <v>46000</v>
      </c>
      <c r="I167" s="77"/>
      <c r="J167" s="78"/>
      <c r="K167" s="25"/>
      <c r="L167" s="25"/>
      <c r="M167" s="25"/>
      <c r="N167" s="25"/>
    </row>
    <row r="168" spans="1:14" x14ac:dyDescent="0.25">
      <c r="A168" s="77">
        <v>45985</v>
      </c>
      <c r="B168" s="25" t="s">
        <v>375</v>
      </c>
      <c r="C168" s="77">
        <f t="shared" si="48"/>
        <v>46008</v>
      </c>
      <c r="D168" s="77">
        <f t="shared" si="49"/>
        <v>45992</v>
      </c>
      <c r="E168" s="77">
        <f t="shared" si="50"/>
        <v>45999</v>
      </c>
      <c r="F168" s="77">
        <f t="shared" si="51"/>
        <v>46005</v>
      </c>
      <c r="G168" s="77">
        <f t="shared" si="52"/>
        <v>45993</v>
      </c>
      <c r="H168" s="77">
        <f t="shared" si="53"/>
        <v>46000</v>
      </c>
      <c r="I168" s="77"/>
      <c r="J168" s="78"/>
      <c r="K168" s="25"/>
      <c r="L168" s="25"/>
      <c r="M168" s="25"/>
      <c r="N168" s="25"/>
    </row>
    <row r="169" spans="1:14" x14ac:dyDescent="0.25">
      <c r="A169" s="77">
        <v>45985</v>
      </c>
      <c r="B169" s="25" t="s">
        <v>376</v>
      </c>
      <c r="C169" s="77">
        <f t="shared" si="48"/>
        <v>46008</v>
      </c>
      <c r="D169" s="77">
        <f t="shared" si="49"/>
        <v>45992</v>
      </c>
      <c r="E169" s="77">
        <f t="shared" si="50"/>
        <v>45999</v>
      </c>
      <c r="F169" s="77">
        <f t="shared" si="51"/>
        <v>46005</v>
      </c>
      <c r="G169" s="77">
        <f t="shared" si="52"/>
        <v>45993</v>
      </c>
      <c r="H169" s="77">
        <f t="shared" si="53"/>
        <v>46000</v>
      </c>
      <c r="I169" s="77"/>
      <c r="J169" s="78"/>
      <c r="K169" s="25"/>
      <c r="L169" s="25"/>
      <c r="M169" s="25"/>
      <c r="N169" s="25"/>
    </row>
    <row r="170" spans="1:14" x14ac:dyDescent="0.25">
      <c r="A170" s="77">
        <v>45985</v>
      </c>
      <c r="B170" s="25" t="s">
        <v>377</v>
      </c>
      <c r="C170" s="77">
        <f t="shared" si="48"/>
        <v>46008</v>
      </c>
      <c r="D170" s="77">
        <f t="shared" si="49"/>
        <v>45992</v>
      </c>
      <c r="E170" s="77">
        <f t="shared" si="50"/>
        <v>45999</v>
      </c>
      <c r="F170" s="77">
        <f t="shared" si="51"/>
        <v>46005</v>
      </c>
      <c r="G170" s="77">
        <f t="shared" si="52"/>
        <v>45993</v>
      </c>
      <c r="H170" s="77">
        <f t="shared" si="53"/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45985</v>
      </c>
      <c r="B171" s="25" t="s">
        <v>393</v>
      </c>
      <c r="C171" s="77">
        <f t="shared" si="48"/>
        <v>46008</v>
      </c>
      <c r="D171" s="77">
        <f t="shared" si="49"/>
        <v>45992</v>
      </c>
      <c r="E171" s="77">
        <f t="shared" si="50"/>
        <v>45999</v>
      </c>
      <c r="F171" s="77">
        <f t="shared" si="51"/>
        <v>46005</v>
      </c>
      <c r="G171" s="77">
        <f t="shared" si="52"/>
        <v>45993</v>
      </c>
      <c r="H171" s="77">
        <f t="shared" si="53"/>
        <v>46000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45985</v>
      </c>
      <c r="B172" s="25" t="s">
        <v>394</v>
      </c>
      <c r="C172" s="77">
        <f t="shared" si="48"/>
        <v>46008</v>
      </c>
      <c r="D172" s="77">
        <f t="shared" si="49"/>
        <v>45992</v>
      </c>
      <c r="E172" s="77">
        <f t="shared" si="50"/>
        <v>45999</v>
      </c>
      <c r="F172" s="77">
        <f t="shared" si="51"/>
        <v>46005</v>
      </c>
      <c r="G172" s="77">
        <f t="shared" si="52"/>
        <v>45993</v>
      </c>
      <c r="H172" s="77">
        <f t="shared" si="53"/>
        <v>46000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395</v>
      </c>
      <c r="C173" s="77">
        <f t="shared" si="48"/>
        <v>46009</v>
      </c>
      <c r="D173" s="77">
        <f t="shared" si="49"/>
        <v>45993</v>
      </c>
      <c r="E173" s="77">
        <f t="shared" si="50"/>
        <v>46000</v>
      </c>
      <c r="F173" s="77">
        <f t="shared" si="51"/>
        <v>46006</v>
      </c>
      <c r="G173" s="77">
        <f t="shared" si="52"/>
        <v>45994</v>
      </c>
      <c r="H173" s="77">
        <f t="shared" si="53"/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396</v>
      </c>
      <c r="C174" s="77">
        <f t="shared" si="48"/>
        <v>46009</v>
      </c>
      <c r="D174" s="77">
        <f t="shared" si="49"/>
        <v>45993</v>
      </c>
      <c r="E174" s="77">
        <f t="shared" si="50"/>
        <v>46000</v>
      </c>
      <c r="F174" s="77">
        <f t="shared" si="51"/>
        <v>46006</v>
      </c>
      <c r="G174" s="77">
        <f t="shared" si="52"/>
        <v>45994</v>
      </c>
      <c r="H174" s="77">
        <f t="shared" si="53"/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397</v>
      </c>
      <c r="C175" s="77">
        <f t="shared" si="48"/>
        <v>46009</v>
      </c>
      <c r="D175" s="77">
        <f t="shared" si="49"/>
        <v>45993</v>
      </c>
      <c r="E175" s="77">
        <f t="shared" si="50"/>
        <v>46000</v>
      </c>
      <c r="F175" s="77">
        <f t="shared" si="51"/>
        <v>46006</v>
      </c>
      <c r="G175" s="77">
        <f t="shared" si="52"/>
        <v>45994</v>
      </c>
      <c r="H175" s="77">
        <f t="shared" si="53"/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408</v>
      </c>
      <c r="C176" s="77">
        <f t="shared" si="48"/>
        <v>46009</v>
      </c>
      <c r="D176" s="77">
        <f t="shared" si="49"/>
        <v>45993</v>
      </c>
      <c r="E176" s="77">
        <f t="shared" si="50"/>
        <v>46000</v>
      </c>
      <c r="F176" s="77">
        <f t="shared" si="51"/>
        <v>46006</v>
      </c>
      <c r="G176" s="77">
        <f t="shared" si="52"/>
        <v>45994</v>
      </c>
      <c r="H176" s="77">
        <f t="shared" si="53"/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409</v>
      </c>
      <c r="C177" s="77">
        <f t="shared" si="48"/>
        <v>46009</v>
      </c>
      <c r="D177" s="77">
        <f t="shared" si="49"/>
        <v>45993</v>
      </c>
      <c r="E177" s="77">
        <f t="shared" si="50"/>
        <v>46000</v>
      </c>
      <c r="F177" s="77">
        <f t="shared" si="51"/>
        <v>46006</v>
      </c>
      <c r="G177" s="77">
        <f t="shared" si="52"/>
        <v>45994</v>
      </c>
      <c r="H177" s="77">
        <f t="shared" si="53"/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45986</v>
      </c>
      <c r="B178" s="25" t="s">
        <v>410</v>
      </c>
      <c r="C178" s="77">
        <f t="shared" si="48"/>
        <v>46009</v>
      </c>
      <c r="D178" s="77">
        <f t="shared" si="49"/>
        <v>45993</v>
      </c>
      <c r="E178" s="77">
        <f t="shared" si="50"/>
        <v>46000</v>
      </c>
      <c r="F178" s="77">
        <f t="shared" si="51"/>
        <v>46006</v>
      </c>
      <c r="G178" s="77">
        <f t="shared" si="52"/>
        <v>45994</v>
      </c>
      <c r="H178" s="77">
        <f t="shared" si="53"/>
        <v>46001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45986</v>
      </c>
      <c r="B179" s="25" t="s">
        <v>411</v>
      </c>
      <c r="C179" s="77">
        <f t="shared" si="48"/>
        <v>46009</v>
      </c>
      <c r="D179" s="77">
        <f t="shared" si="49"/>
        <v>45993</v>
      </c>
      <c r="E179" s="77">
        <f t="shared" si="50"/>
        <v>46000</v>
      </c>
      <c r="F179" s="77">
        <f t="shared" si="51"/>
        <v>46006</v>
      </c>
      <c r="G179" s="77">
        <f t="shared" si="52"/>
        <v>45994</v>
      </c>
      <c r="H179" s="77">
        <f t="shared" si="53"/>
        <v>46001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404</v>
      </c>
      <c r="C180" s="77">
        <f t="shared" si="48"/>
        <v>46010</v>
      </c>
      <c r="D180" s="77">
        <f t="shared" si="49"/>
        <v>45994</v>
      </c>
      <c r="E180" s="77">
        <f t="shared" si="50"/>
        <v>46001</v>
      </c>
      <c r="F180" s="77">
        <f t="shared" si="51"/>
        <v>46007</v>
      </c>
      <c r="G180" s="77">
        <f t="shared" si="52"/>
        <v>45995</v>
      </c>
      <c r="H180" s="77">
        <f t="shared" si="53"/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405</v>
      </c>
      <c r="C181" s="77">
        <f t="shared" si="48"/>
        <v>46010</v>
      </c>
      <c r="D181" s="77">
        <f t="shared" si="49"/>
        <v>45994</v>
      </c>
      <c r="E181" s="77">
        <f t="shared" si="50"/>
        <v>46001</v>
      </c>
      <c r="F181" s="77">
        <f t="shared" si="51"/>
        <v>46007</v>
      </c>
      <c r="G181" s="77">
        <f t="shared" si="52"/>
        <v>45995</v>
      </c>
      <c r="H181" s="77">
        <f t="shared" si="53"/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406</v>
      </c>
      <c r="C182" s="77">
        <f t="shared" si="48"/>
        <v>46010</v>
      </c>
      <c r="D182" s="77">
        <f t="shared" si="49"/>
        <v>45994</v>
      </c>
      <c r="E182" s="77">
        <f t="shared" si="50"/>
        <v>46001</v>
      </c>
      <c r="F182" s="77">
        <f t="shared" si="51"/>
        <v>46007</v>
      </c>
      <c r="G182" s="77">
        <f t="shared" si="52"/>
        <v>45995</v>
      </c>
      <c r="H182" s="77">
        <f t="shared" si="53"/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407</v>
      </c>
      <c r="C183" s="77">
        <f t="shared" si="48"/>
        <v>46010</v>
      </c>
      <c r="D183" s="77">
        <f t="shared" si="49"/>
        <v>45994</v>
      </c>
      <c r="E183" s="77">
        <f t="shared" si="50"/>
        <v>46001</v>
      </c>
      <c r="F183" s="77">
        <f t="shared" si="51"/>
        <v>46007</v>
      </c>
      <c r="G183" s="77">
        <f t="shared" si="52"/>
        <v>45995</v>
      </c>
      <c r="H183" s="77">
        <f t="shared" si="53"/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431</v>
      </c>
      <c r="C184" s="77">
        <f t="shared" si="48"/>
        <v>46010</v>
      </c>
      <c r="D184" s="77">
        <f t="shared" si="49"/>
        <v>45994</v>
      </c>
      <c r="E184" s="77">
        <f t="shared" si="50"/>
        <v>46001</v>
      </c>
      <c r="F184" s="77">
        <f t="shared" si="51"/>
        <v>46007</v>
      </c>
      <c r="G184" s="77">
        <f t="shared" si="52"/>
        <v>45995</v>
      </c>
      <c r="H184" s="77">
        <f t="shared" si="53"/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432</v>
      </c>
      <c r="C185" s="77">
        <f t="shared" si="48"/>
        <v>46010</v>
      </c>
      <c r="D185" s="77">
        <f t="shared" si="49"/>
        <v>45994</v>
      </c>
      <c r="E185" s="77">
        <f t="shared" si="50"/>
        <v>46001</v>
      </c>
      <c r="F185" s="77">
        <f t="shared" si="51"/>
        <v>46007</v>
      </c>
      <c r="G185" s="77">
        <f t="shared" si="52"/>
        <v>45995</v>
      </c>
      <c r="H185" s="77">
        <f t="shared" si="53"/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433</v>
      </c>
      <c r="C186" s="77">
        <f t="shared" si="48"/>
        <v>46010</v>
      </c>
      <c r="D186" s="77">
        <f t="shared" si="49"/>
        <v>45994</v>
      </c>
      <c r="E186" s="77">
        <f t="shared" si="50"/>
        <v>46001</v>
      </c>
      <c r="F186" s="77">
        <f t="shared" si="51"/>
        <v>46007</v>
      </c>
      <c r="G186" s="77">
        <f t="shared" si="52"/>
        <v>45995</v>
      </c>
      <c r="H186" s="77">
        <f t="shared" si="53"/>
        <v>46002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45987</v>
      </c>
      <c r="B187" s="25" t="s">
        <v>434</v>
      </c>
      <c r="C187" s="77">
        <f t="shared" si="48"/>
        <v>46010</v>
      </c>
      <c r="D187" s="77">
        <f t="shared" si="49"/>
        <v>45994</v>
      </c>
      <c r="E187" s="77">
        <f t="shared" si="50"/>
        <v>46001</v>
      </c>
      <c r="F187" s="77">
        <f t="shared" si="51"/>
        <v>46007</v>
      </c>
      <c r="G187" s="77">
        <f t="shared" si="52"/>
        <v>45995</v>
      </c>
      <c r="H187" s="77">
        <f t="shared" si="53"/>
        <v>46002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428</v>
      </c>
      <c r="C188" s="77">
        <f t="shared" si="48"/>
        <v>46011</v>
      </c>
      <c r="D188" s="77">
        <f t="shared" si="49"/>
        <v>45995</v>
      </c>
      <c r="E188" s="77">
        <f t="shared" si="50"/>
        <v>46002</v>
      </c>
      <c r="F188" s="77">
        <f t="shared" si="51"/>
        <v>46008</v>
      </c>
      <c r="G188" s="77">
        <f t="shared" si="52"/>
        <v>45996</v>
      </c>
      <c r="H188" s="77">
        <f t="shared" si="53"/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429</v>
      </c>
      <c r="C189" s="77">
        <f t="shared" si="48"/>
        <v>46011</v>
      </c>
      <c r="D189" s="77">
        <f t="shared" si="49"/>
        <v>45995</v>
      </c>
      <c r="E189" s="77">
        <f t="shared" si="50"/>
        <v>46002</v>
      </c>
      <c r="F189" s="77">
        <f t="shared" si="51"/>
        <v>46008</v>
      </c>
      <c r="G189" s="77">
        <f t="shared" si="52"/>
        <v>45996</v>
      </c>
      <c r="H189" s="77">
        <f t="shared" si="53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430</v>
      </c>
      <c r="C190" s="77">
        <f t="shared" si="48"/>
        <v>46011</v>
      </c>
      <c r="D190" s="77">
        <f t="shared" si="49"/>
        <v>45995</v>
      </c>
      <c r="E190" s="77">
        <f t="shared" si="50"/>
        <v>46002</v>
      </c>
      <c r="F190" s="77">
        <f t="shared" si="51"/>
        <v>46008</v>
      </c>
      <c r="G190" s="77">
        <f t="shared" si="52"/>
        <v>45996</v>
      </c>
      <c r="H190" s="77">
        <f t="shared" si="53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559</v>
      </c>
      <c r="C191" s="77">
        <f t="shared" si="48"/>
        <v>46011</v>
      </c>
      <c r="D191" s="77">
        <f t="shared" si="49"/>
        <v>45995</v>
      </c>
      <c r="E191" s="77">
        <f t="shared" si="50"/>
        <v>46002</v>
      </c>
      <c r="F191" s="77">
        <f t="shared" si="51"/>
        <v>46008</v>
      </c>
      <c r="G191" s="77">
        <f t="shared" si="52"/>
        <v>45996</v>
      </c>
      <c r="H191" s="77">
        <f t="shared" si="53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560</v>
      </c>
      <c r="C192" s="77">
        <f t="shared" si="48"/>
        <v>46011</v>
      </c>
      <c r="D192" s="77">
        <f t="shared" si="49"/>
        <v>45995</v>
      </c>
      <c r="E192" s="77">
        <f t="shared" si="50"/>
        <v>46002</v>
      </c>
      <c r="F192" s="77">
        <f t="shared" si="51"/>
        <v>46008</v>
      </c>
      <c r="G192" s="77">
        <f t="shared" si="52"/>
        <v>45996</v>
      </c>
      <c r="H192" s="77">
        <f t="shared" si="53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561</v>
      </c>
      <c r="C193" s="77">
        <f t="shared" si="48"/>
        <v>46011</v>
      </c>
      <c r="D193" s="77">
        <f t="shared" si="49"/>
        <v>45995</v>
      </c>
      <c r="E193" s="77">
        <f t="shared" si="50"/>
        <v>46002</v>
      </c>
      <c r="F193" s="77">
        <f t="shared" si="51"/>
        <v>46008</v>
      </c>
      <c r="G193" s="77">
        <f t="shared" si="52"/>
        <v>45996</v>
      </c>
      <c r="H193" s="77">
        <f t="shared" si="53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45988</v>
      </c>
      <c r="B194" s="25" t="s">
        <v>562</v>
      </c>
      <c r="C194" s="77">
        <f t="shared" si="48"/>
        <v>46011</v>
      </c>
      <c r="D194" s="77">
        <f t="shared" si="49"/>
        <v>45995</v>
      </c>
      <c r="E194" s="77">
        <f t="shared" si="50"/>
        <v>46002</v>
      </c>
      <c r="F194" s="77">
        <f t="shared" si="51"/>
        <v>46008</v>
      </c>
      <c r="G194" s="77">
        <f t="shared" si="52"/>
        <v>45996</v>
      </c>
      <c r="H194" s="77">
        <f t="shared" si="53"/>
        <v>46003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563</v>
      </c>
      <c r="C195" s="77">
        <f t="shared" si="48"/>
        <v>46012</v>
      </c>
      <c r="D195" s="77">
        <f t="shared" si="49"/>
        <v>45996</v>
      </c>
      <c r="E195" s="77">
        <f t="shared" si="50"/>
        <v>46003</v>
      </c>
      <c r="F195" s="77">
        <f t="shared" si="51"/>
        <v>46009</v>
      </c>
      <c r="G195" s="77">
        <f t="shared" si="52"/>
        <v>45997</v>
      </c>
      <c r="H195" s="77">
        <f t="shared" si="53"/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564</v>
      </c>
      <c r="C196" s="77">
        <f t="shared" si="48"/>
        <v>46012</v>
      </c>
      <c r="D196" s="77">
        <f t="shared" si="49"/>
        <v>45996</v>
      </c>
      <c r="E196" s="77">
        <f t="shared" si="50"/>
        <v>46003</v>
      </c>
      <c r="F196" s="77">
        <f t="shared" si="51"/>
        <v>46009</v>
      </c>
      <c r="G196" s="77">
        <f t="shared" si="52"/>
        <v>45997</v>
      </c>
      <c r="H196" s="77">
        <f t="shared" si="53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565</v>
      </c>
      <c r="C197" s="77">
        <f t="shared" si="48"/>
        <v>46012</v>
      </c>
      <c r="D197" s="77">
        <f t="shared" si="49"/>
        <v>45996</v>
      </c>
      <c r="E197" s="77">
        <f t="shared" si="50"/>
        <v>46003</v>
      </c>
      <c r="F197" s="77">
        <f t="shared" si="51"/>
        <v>46009</v>
      </c>
      <c r="G197" s="77">
        <f t="shared" si="52"/>
        <v>45997</v>
      </c>
      <c r="H197" s="77">
        <f t="shared" si="53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566</v>
      </c>
      <c r="C198" s="77">
        <f t="shared" si="48"/>
        <v>46012</v>
      </c>
      <c r="D198" s="77">
        <f t="shared" si="49"/>
        <v>45996</v>
      </c>
      <c r="E198" s="77">
        <f t="shared" si="50"/>
        <v>46003</v>
      </c>
      <c r="F198" s="77">
        <f t="shared" si="51"/>
        <v>46009</v>
      </c>
      <c r="G198" s="77">
        <f t="shared" si="52"/>
        <v>45997</v>
      </c>
      <c r="H198" s="77">
        <f t="shared" si="53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567</v>
      </c>
      <c r="C199" s="77">
        <f t="shared" si="48"/>
        <v>46012</v>
      </c>
      <c r="D199" s="77">
        <f t="shared" si="49"/>
        <v>45996</v>
      </c>
      <c r="E199" s="77">
        <f t="shared" si="50"/>
        <v>46003</v>
      </c>
      <c r="F199" s="77">
        <f t="shared" si="51"/>
        <v>46009</v>
      </c>
      <c r="G199" s="77">
        <f t="shared" si="52"/>
        <v>45997</v>
      </c>
      <c r="H199" s="77">
        <f t="shared" si="53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568</v>
      </c>
      <c r="C200" s="77">
        <f t="shared" si="48"/>
        <v>46012</v>
      </c>
      <c r="D200" s="77">
        <f t="shared" si="49"/>
        <v>45996</v>
      </c>
      <c r="E200" s="77">
        <f t="shared" si="50"/>
        <v>46003</v>
      </c>
      <c r="F200" s="77">
        <f t="shared" si="51"/>
        <v>46009</v>
      </c>
      <c r="G200" s="77">
        <f t="shared" si="52"/>
        <v>45997</v>
      </c>
      <c r="H200" s="77">
        <f t="shared" si="53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45989</v>
      </c>
      <c r="B201" s="25" t="s">
        <v>569</v>
      </c>
      <c r="C201" s="77">
        <f t="shared" si="48"/>
        <v>46012</v>
      </c>
      <c r="D201" s="77">
        <f t="shared" si="49"/>
        <v>45996</v>
      </c>
      <c r="E201" s="77">
        <f t="shared" si="50"/>
        <v>46003</v>
      </c>
      <c r="F201" s="77">
        <f t="shared" si="51"/>
        <v>46009</v>
      </c>
      <c r="G201" s="77">
        <f t="shared" si="52"/>
        <v>45997</v>
      </c>
      <c r="H201" s="77">
        <f t="shared" si="53"/>
        <v>46004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570</v>
      </c>
      <c r="C202" s="77">
        <f t="shared" si="48"/>
        <v>46013</v>
      </c>
      <c r="D202" s="77">
        <f t="shared" si="49"/>
        <v>45997</v>
      </c>
      <c r="E202" s="77">
        <f t="shared" si="50"/>
        <v>46004</v>
      </c>
      <c r="F202" s="77">
        <f t="shared" si="51"/>
        <v>46010</v>
      </c>
      <c r="G202" s="77">
        <f t="shared" si="52"/>
        <v>45998</v>
      </c>
      <c r="H202" s="77">
        <f t="shared" si="53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571</v>
      </c>
      <c r="C203" s="77">
        <f t="shared" si="48"/>
        <v>46013</v>
      </c>
      <c r="D203" s="77">
        <f t="shared" si="49"/>
        <v>45997</v>
      </c>
      <c r="E203" s="77">
        <f t="shared" si="50"/>
        <v>46004</v>
      </c>
      <c r="F203" s="77">
        <f t="shared" si="51"/>
        <v>46010</v>
      </c>
      <c r="G203" s="77">
        <f t="shared" si="52"/>
        <v>45998</v>
      </c>
      <c r="H203" s="77">
        <f t="shared" si="53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572</v>
      </c>
      <c r="C204" s="77">
        <f t="shared" si="48"/>
        <v>46013</v>
      </c>
      <c r="D204" s="77">
        <f t="shared" si="49"/>
        <v>45997</v>
      </c>
      <c r="E204" s="77">
        <f t="shared" si="50"/>
        <v>46004</v>
      </c>
      <c r="F204" s="77">
        <f t="shared" si="51"/>
        <v>46010</v>
      </c>
      <c r="G204" s="77">
        <f t="shared" si="52"/>
        <v>45998</v>
      </c>
      <c r="H204" s="77">
        <f t="shared" si="53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573</v>
      </c>
      <c r="C205" s="77">
        <f t="shared" si="48"/>
        <v>46013</v>
      </c>
      <c r="D205" s="77">
        <f t="shared" si="49"/>
        <v>45997</v>
      </c>
      <c r="E205" s="77">
        <f t="shared" si="50"/>
        <v>46004</v>
      </c>
      <c r="F205" s="77">
        <f t="shared" si="51"/>
        <v>46010</v>
      </c>
      <c r="G205" s="77">
        <f t="shared" si="52"/>
        <v>45998</v>
      </c>
      <c r="H205" s="77">
        <f t="shared" si="53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574</v>
      </c>
      <c r="C206" s="77">
        <f t="shared" si="48"/>
        <v>46013</v>
      </c>
      <c r="D206" s="77">
        <f t="shared" si="49"/>
        <v>45997</v>
      </c>
      <c r="E206" s="77">
        <f t="shared" si="50"/>
        <v>46004</v>
      </c>
      <c r="F206" s="77">
        <f t="shared" si="51"/>
        <v>46010</v>
      </c>
      <c r="G206" s="77">
        <f t="shared" si="52"/>
        <v>45998</v>
      </c>
      <c r="H206" s="77">
        <f t="shared" si="53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575</v>
      </c>
      <c r="C207" s="77">
        <f t="shared" si="48"/>
        <v>46013</v>
      </c>
      <c r="D207" s="77">
        <f t="shared" si="49"/>
        <v>45997</v>
      </c>
      <c r="E207" s="77">
        <f t="shared" si="50"/>
        <v>46004</v>
      </c>
      <c r="F207" s="77">
        <f t="shared" si="51"/>
        <v>46010</v>
      </c>
      <c r="G207" s="77">
        <f t="shared" si="52"/>
        <v>45998</v>
      </c>
      <c r="H207" s="77">
        <f t="shared" si="53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45990</v>
      </c>
      <c r="B208" s="25" t="s">
        <v>576</v>
      </c>
      <c r="C208" s="77">
        <f t="shared" ref="C208:C211" si="54">A208+23</f>
        <v>46013</v>
      </c>
      <c r="D208" s="77">
        <f t="shared" ref="D208:D211" si="55">A208+7</f>
        <v>45997</v>
      </c>
      <c r="E208" s="77">
        <f t="shared" ref="E208:E211" si="56">A208+14</f>
        <v>46004</v>
      </c>
      <c r="F208" s="77">
        <f t="shared" ref="F208:F211" si="57">A208+20</f>
        <v>46010</v>
      </c>
      <c r="G208" s="77">
        <f t="shared" ref="G208:G211" si="58">A208+8</f>
        <v>45998</v>
      </c>
      <c r="H208" s="77">
        <f t="shared" ref="H208:H211" si="59">A208+15</f>
        <v>46005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458</v>
      </c>
      <c r="C209" s="77">
        <f t="shared" si="54"/>
        <v>46014</v>
      </c>
      <c r="D209" s="77">
        <f t="shared" si="55"/>
        <v>45998</v>
      </c>
      <c r="E209" s="77">
        <f t="shared" si="56"/>
        <v>46005</v>
      </c>
      <c r="F209" s="77">
        <f t="shared" si="57"/>
        <v>46011</v>
      </c>
      <c r="G209" s="77">
        <f t="shared" si="58"/>
        <v>45999</v>
      </c>
      <c r="H209" s="77">
        <f t="shared" si="59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459</v>
      </c>
      <c r="C210" s="77">
        <f t="shared" si="54"/>
        <v>46014</v>
      </c>
      <c r="D210" s="77">
        <f t="shared" si="55"/>
        <v>45998</v>
      </c>
      <c r="E210" s="77">
        <f t="shared" si="56"/>
        <v>46005</v>
      </c>
      <c r="F210" s="77">
        <f t="shared" si="57"/>
        <v>46011</v>
      </c>
      <c r="G210" s="77">
        <f t="shared" si="58"/>
        <v>45999</v>
      </c>
      <c r="H210" s="77">
        <f t="shared" si="59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460</v>
      </c>
      <c r="C211" s="77">
        <f t="shared" si="54"/>
        <v>46014</v>
      </c>
      <c r="D211" s="77">
        <f t="shared" si="55"/>
        <v>45998</v>
      </c>
      <c r="E211" s="77">
        <f t="shared" si="56"/>
        <v>46005</v>
      </c>
      <c r="F211" s="77">
        <f t="shared" si="57"/>
        <v>46011</v>
      </c>
      <c r="G211" s="77">
        <f t="shared" si="58"/>
        <v>45999</v>
      </c>
      <c r="H211" s="77">
        <f t="shared" si="59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461</v>
      </c>
      <c r="C212" s="77">
        <f t="shared" ref="C212:C215" si="60">A212+23</f>
        <v>46014</v>
      </c>
      <c r="D212" s="77">
        <f t="shared" ref="D212:D215" si="61">A212+7</f>
        <v>45998</v>
      </c>
      <c r="E212" s="77">
        <f t="shared" ref="E212:E215" si="62">A212+14</f>
        <v>46005</v>
      </c>
      <c r="F212" s="77">
        <f t="shared" ref="F212:F215" si="63">A212+20</f>
        <v>46011</v>
      </c>
      <c r="G212" s="77">
        <f t="shared" ref="G212:G215" si="64">A212+8</f>
        <v>45999</v>
      </c>
      <c r="H212" s="77">
        <f t="shared" ref="H212:H215" si="65">A212+15</f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577</v>
      </c>
      <c r="C213" s="77">
        <f t="shared" si="60"/>
        <v>46014</v>
      </c>
      <c r="D213" s="77">
        <f t="shared" si="61"/>
        <v>45998</v>
      </c>
      <c r="E213" s="77">
        <f t="shared" si="62"/>
        <v>46005</v>
      </c>
      <c r="F213" s="77">
        <f t="shared" si="63"/>
        <v>46011</v>
      </c>
      <c r="G213" s="77">
        <f t="shared" si="64"/>
        <v>45999</v>
      </c>
      <c r="H213" s="77">
        <f t="shared" si="65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578</v>
      </c>
      <c r="C214" s="77">
        <f t="shared" si="60"/>
        <v>46014</v>
      </c>
      <c r="D214" s="77">
        <f t="shared" si="61"/>
        <v>45998</v>
      </c>
      <c r="E214" s="77">
        <f t="shared" si="62"/>
        <v>46005</v>
      </c>
      <c r="F214" s="77">
        <f t="shared" si="63"/>
        <v>46011</v>
      </c>
      <c r="G214" s="77">
        <f t="shared" si="64"/>
        <v>45999</v>
      </c>
      <c r="H214" s="77">
        <f t="shared" si="65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45991</v>
      </c>
      <c r="B215" s="25" t="s">
        <v>579</v>
      </c>
      <c r="C215" s="77">
        <f t="shared" si="60"/>
        <v>46014</v>
      </c>
      <c r="D215" s="77">
        <f t="shared" si="61"/>
        <v>45998</v>
      </c>
      <c r="E215" s="77">
        <f t="shared" si="62"/>
        <v>46005</v>
      </c>
      <c r="F215" s="77">
        <f t="shared" si="63"/>
        <v>46011</v>
      </c>
      <c r="G215" s="77">
        <f t="shared" si="64"/>
        <v>45999</v>
      </c>
      <c r="H215" s="77">
        <f t="shared" si="65"/>
        <v>46006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462</v>
      </c>
      <c r="C216" s="77">
        <f t="shared" ref="C216:C222" si="66">A216+23</f>
        <v>46015</v>
      </c>
      <c r="D216" s="77">
        <f t="shared" ref="D216:D222" si="67">A216+7</f>
        <v>45999</v>
      </c>
      <c r="E216" s="77">
        <f t="shared" ref="E216:E222" si="68">A216+14</f>
        <v>46006</v>
      </c>
      <c r="F216" s="77">
        <f t="shared" ref="F216:F222" si="69">A216+20</f>
        <v>46012</v>
      </c>
      <c r="G216" s="77">
        <f t="shared" ref="G216:G222" si="70">A216+8</f>
        <v>46000</v>
      </c>
      <c r="H216" s="77">
        <f t="shared" ref="H216:H222" si="71">A216+15</f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463</v>
      </c>
      <c r="C217" s="77">
        <f t="shared" si="66"/>
        <v>46015</v>
      </c>
      <c r="D217" s="77">
        <f t="shared" si="67"/>
        <v>45999</v>
      </c>
      <c r="E217" s="77">
        <f t="shared" si="68"/>
        <v>46006</v>
      </c>
      <c r="F217" s="77">
        <f t="shared" si="69"/>
        <v>46012</v>
      </c>
      <c r="G217" s="77">
        <f t="shared" si="70"/>
        <v>46000</v>
      </c>
      <c r="H217" s="77">
        <f t="shared" si="71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464</v>
      </c>
      <c r="C218" s="77">
        <f t="shared" si="66"/>
        <v>46015</v>
      </c>
      <c r="D218" s="77">
        <f t="shared" si="67"/>
        <v>45999</v>
      </c>
      <c r="E218" s="77">
        <f t="shared" si="68"/>
        <v>46006</v>
      </c>
      <c r="F218" s="77">
        <f t="shared" si="69"/>
        <v>46012</v>
      </c>
      <c r="G218" s="77">
        <f t="shared" si="70"/>
        <v>46000</v>
      </c>
      <c r="H218" s="77">
        <f t="shared" si="71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424</v>
      </c>
      <c r="C219" s="77">
        <f t="shared" si="66"/>
        <v>46015</v>
      </c>
      <c r="D219" s="77">
        <f t="shared" si="67"/>
        <v>45999</v>
      </c>
      <c r="E219" s="77">
        <f t="shared" si="68"/>
        <v>46006</v>
      </c>
      <c r="F219" s="77">
        <f t="shared" si="69"/>
        <v>46012</v>
      </c>
      <c r="G219" s="77">
        <f t="shared" si="70"/>
        <v>46000</v>
      </c>
      <c r="H219" s="77">
        <f t="shared" si="71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425</v>
      </c>
      <c r="C220" s="77">
        <f t="shared" si="66"/>
        <v>46015</v>
      </c>
      <c r="D220" s="77">
        <f t="shared" si="67"/>
        <v>45999</v>
      </c>
      <c r="E220" s="77">
        <f t="shared" si="68"/>
        <v>46006</v>
      </c>
      <c r="F220" s="77">
        <f t="shared" si="69"/>
        <v>46012</v>
      </c>
      <c r="G220" s="77">
        <f t="shared" si="70"/>
        <v>46000</v>
      </c>
      <c r="H220" s="77">
        <f t="shared" si="71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426</v>
      </c>
      <c r="C221" s="77">
        <f t="shared" si="66"/>
        <v>46015</v>
      </c>
      <c r="D221" s="77">
        <f t="shared" si="67"/>
        <v>45999</v>
      </c>
      <c r="E221" s="77">
        <f t="shared" si="68"/>
        <v>46006</v>
      </c>
      <c r="F221" s="77">
        <f t="shared" si="69"/>
        <v>46012</v>
      </c>
      <c r="G221" s="77">
        <f t="shared" si="70"/>
        <v>46000</v>
      </c>
      <c r="H221" s="77">
        <f t="shared" si="71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45992</v>
      </c>
      <c r="B222" s="25" t="s">
        <v>427</v>
      </c>
      <c r="C222" s="77">
        <f t="shared" si="66"/>
        <v>46015</v>
      </c>
      <c r="D222" s="77">
        <f t="shared" si="67"/>
        <v>45999</v>
      </c>
      <c r="E222" s="77">
        <f t="shared" si="68"/>
        <v>46006</v>
      </c>
      <c r="F222" s="77">
        <f t="shared" si="69"/>
        <v>46012</v>
      </c>
      <c r="G222" s="77">
        <f t="shared" si="70"/>
        <v>46000</v>
      </c>
      <c r="H222" s="77">
        <f t="shared" si="71"/>
        <v>46007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421</v>
      </c>
      <c r="C223" s="77">
        <f t="shared" ref="C223:C231" si="72">A223+23</f>
        <v>46017</v>
      </c>
      <c r="D223" s="77">
        <f t="shared" ref="D223:D231" si="73">A223+7</f>
        <v>46001</v>
      </c>
      <c r="E223" s="77">
        <f t="shared" ref="E223:E231" si="74">A223+14</f>
        <v>46008</v>
      </c>
      <c r="F223" s="77">
        <f t="shared" ref="F223:F231" si="75">A223+20</f>
        <v>46014</v>
      </c>
      <c r="G223" s="77">
        <f t="shared" ref="G223:G231" si="76">A223+8</f>
        <v>46002</v>
      </c>
      <c r="H223" s="77">
        <f t="shared" ref="H223:H231" si="77">A223+15</f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422</v>
      </c>
      <c r="C224" s="77">
        <f t="shared" si="72"/>
        <v>46017</v>
      </c>
      <c r="D224" s="77">
        <f t="shared" si="73"/>
        <v>46001</v>
      </c>
      <c r="E224" s="77">
        <f t="shared" si="74"/>
        <v>46008</v>
      </c>
      <c r="F224" s="77">
        <f t="shared" si="75"/>
        <v>46014</v>
      </c>
      <c r="G224" s="77">
        <f t="shared" si="76"/>
        <v>46002</v>
      </c>
      <c r="H224" s="77">
        <f t="shared" si="77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423</v>
      </c>
      <c r="C225" s="77">
        <f t="shared" si="72"/>
        <v>46017</v>
      </c>
      <c r="D225" s="77">
        <f t="shared" si="73"/>
        <v>46001</v>
      </c>
      <c r="E225" s="77">
        <f t="shared" si="74"/>
        <v>46008</v>
      </c>
      <c r="F225" s="77">
        <f t="shared" si="75"/>
        <v>46014</v>
      </c>
      <c r="G225" s="77">
        <f t="shared" si="76"/>
        <v>46002</v>
      </c>
      <c r="H225" s="77">
        <f t="shared" si="77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452</v>
      </c>
      <c r="C226" s="77">
        <f t="shared" si="72"/>
        <v>46017</v>
      </c>
      <c r="D226" s="77">
        <f t="shared" si="73"/>
        <v>46001</v>
      </c>
      <c r="E226" s="77">
        <f t="shared" si="74"/>
        <v>46008</v>
      </c>
      <c r="F226" s="77">
        <f t="shared" si="75"/>
        <v>46014</v>
      </c>
      <c r="G226" s="77">
        <f t="shared" si="76"/>
        <v>46002</v>
      </c>
      <c r="H226" s="77">
        <f t="shared" si="77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453</v>
      </c>
      <c r="C227" s="77">
        <f t="shared" si="72"/>
        <v>46017</v>
      </c>
      <c r="D227" s="77">
        <f t="shared" si="73"/>
        <v>46001</v>
      </c>
      <c r="E227" s="77">
        <f t="shared" si="74"/>
        <v>46008</v>
      </c>
      <c r="F227" s="77">
        <f t="shared" si="75"/>
        <v>46014</v>
      </c>
      <c r="G227" s="77">
        <f t="shared" si="76"/>
        <v>46002</v>
      </c>
      <c r="H227" s="77">
        <f t="shared" si="77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454</v>
      </c>
      <c r="C228" s="77">
        <f t="shared" si="72"/>
        <v>46017</v>
      </c>
      <c r="D228" s="77">
        <f t="shared" si="73"/>
        <v>46001</v>
      </c>
      <c r="E228" s="77">
        <f t="shared" si="74"/>
        <v>46008</v>
      </c>
      <c r="F228" s="77">
        <f t="shared" si="75"/>
        <v>46014</v>
      </c>
      <c r="G228" s="77">
        <f t="shared" si="76"/>
        <v>46002</v>
      </c>
      <c r="H228" s="77">
        <f t="shared" si="77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455</v>
      </c>
      <c r="C229" s="77">
        <f t="shared" si="72"/>
        <v>46017</v>
      </c>
      <c r="D229" s="77">
        <f t="shared" si="73"/>
        <v>46001</v>
      </c>
      <c r="E229" s="77">
        <f t="shared" si="74"/>
        <v>46008</v>
      </c>
      <c r="F229" s="77">
        <f t="shared" si="75"/>
        <v>46014</v>
      </c>
      <c r="G229" s="77">
        <f t="shared" si="76"/>
        <v>46002</v>
      </c>
      <c r="H229" s="77">
        <f t="shared" si="77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456</v>
      </c>
      <c r="C230" s="77">
        <f t="shared" si="72"/>
        <v>46017</v>
      </c>
      <c r="D230" s="77">
        <f t="shared" si="73"/>
        <v>46001</v>
      </c>
      <c r="E230" s="77">
        <f t="shared" si="74"/>
        <v>46008</v>
      </c>
      <c r="F230" s="77">
        <f t="shared" si="75"/>
        <v>46014</v>
      </c>
      <c r="G230" s="77">
        <f t="shared" si="76"/>
        <v>46002</v>
      </c>
      <c r="H230" s="77">
        <f t="shared" si="77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45994</v>
      </c>
      <c r="B231" s="25" t="s">
        <v>457</v>
      </c>
      <c r="C231" s="77">
        <f t="shared" si="72"/>
        <v>46017</v>
      </c>
      <c r="D231" s="77">
        <f t="shared" si="73"/>
        <v>46001</v>
      </c>
      <c r="E231" s="77">
        <f t="shared" si="74"/>
        <v>46008</v>
      </c>
      <c r="F231" s="77">
        <f t="shared" si="75"/>
        <v>46014</v>
      </c>
      <c r="G231" s="77">
        <f t="shared" si="76"/>
        <v>46002</v>
      </c>
      <c r="H231" s="77">
        <f t="shared" si="77"/>
        <v>46009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417</v>
      </c>
      <c r="C232" s="77">
        <f t="shared" ref="C232:C241" si="78">A232+23</f>
        <v>46018</v>
      </c>
      <c r="D232" s="77">
        <f t="shared" ref="D232:D241" si="79">A232+7</f>
        <v>46002</v>
      </c>
      <c r="E232" s="77">
        <f t="shared" ref="E232:E241" si="80">A232+14</f>
        <v>46009</v>
      </c>
      <c r="F232" s="77">
        <f t="shared" ref="F232:F241" si="81">A232+20</f>
        <v>46015</v>
      </c>
      <c r="G232" s="77">
        <f t="shared" ref="G232:G241" si="82">A232+8</f>
        <v>46003</v>
      </c>
      <c r="H232" s="77">
        <f t="shared" ref="H232:H241" si="83">A232+15</f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418</v>
      </c>
      <c r="C233" s="77">
        <f t="shared" si="78"/>
        <v>46018</v>
      </c>
      <c r="D233" s="77">
        <f t="shared" si="79"/>
        <v>46002</v>
      </c>
      <c r="E233" s="77">
        <f t="shared" si="80"/>
        <v>46009</v>
      </c>
      <c r="F233" s="77">
        <f t="shared" si="81"/>
        <v>46015</v>
      </c>
      <c r="G233" s="77">
        <f t="shared" si="82"/>
        <v>46003</v>
      </c>
      <c r="H233" s="77">
        <f t="shared" si="83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419</v>
      </c>
      <c r="C234" s="77">
        <f t="shared" si="78"/>
        <v>46018</v>
      </c>
      <c r="D234" s="77">
        <f t="shared" si="79"/>
        <v>46002</v>
      </c>
      <c r="E234" s="77">
        <f t="shared" si="80"/>
        <v>46009</v>
      </c>
      <c r="F234" s="77">
        <f t="shared" si="81"/>
        <v>46015</v>
      </c>
      <c r="G234" s="77">
        <f t="shared" si="82"/>
        <v>46003</v>
      </c>
      <c r="H234" s="77">
        <f t="shared" si="83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420</v>
      </c>
      <c r="C235" s="77">
        <f t="shared" si="78"/>
        <v>46018</v>
      </c>
      <c r="D235" s="77">
        <f t="shared" si="79"/>
        <v>46002</v>
      </c>
      <c r="E235" s="77">
        <f t="shared" si="80"/>
        <v>46009</v>
      </c>
      <c r="F235" s="77">
        <f t="shared" si="81"/>
        <v>46015</v>
      </c>
      <c r="G235" s="77">
        <f t="shared" si="82"/>
        <v>46003</v>
      </c>
      <c r="H235" s="77">
        <f t="shared" si="83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451</v>
      </c>
      <c r="C236" s="77">
        <f t="shared" si="78"/>
        <v>46018</v>
      </c>
      <c r="D236" s="77">
        <f t="shared" si="79"/>
        <v>46002</v>
      </c>
      <c r="E236" s="77">
        <f t="shared" si="80"/>
        <v>46009</v>
      </c>
      <c r="F236" s="77">
        <f t="shared" si="81"/>
        <v>46015</v>
      </c>
      <c r="G236" s="77">
        <f t="shared" si="82"/>
        <v>46003</v>
      </c>
      <c r="H236" s="77">
        <f t="shared" si="83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465</v>
      </c>
      <c r="C237" s="77">
        <f t="shared" si="78"/>
        <v>46018</v>
      </c>
      <c r="D237" s="77">
        <f t="shared" si="79"/>
        <v>46002</v>
      </c>
      <c r="E237" s="77">
        <f t="shared" si="80"/>
        <v>46009</v>
      </c>
      <c r="F237" s="77">
        <f t="shared" si="81"/>
        <v>46015</v>
      </c>
      <c r="G237" s="77">
        <f t="shared" si="82"/>
        <v>46003</v>
      </c>
      <c r="H237" s="77">
        <f t="shared" si="83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467</v>
      </c>
      <c r="C238" s="77">
        <f t="shared" si="78"/>
        <v>46018</v>
      </c>
      <c r="D238" s="77">
        <f t="shared" si="79"/>
        <v>46002</v>
      </c>
      <c r="E238" s="77">
        <f t="shared" si="80"/>
        <v>46009</v>
      </c>
      <c r="F238" s="77">
        <f t="shared" si="81"/>
        <v>46015</v>
      </c>
      <c r="G238" s="77">
        <f t="shared" si="82"/>
        <v>46003</v>
      </c>
      <c r="H238" s="77">
        <f t="shared" si="83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469</v>
      </c>
      <c r="C239" s="77">
        <f t="shared" si="78"/>
        <v>46018</v>
      </c>
      <c r="D239" s="77">
        <f t="shared" si="79"/>
        <v>46002</v>
      </c>
      <c r="E239" s="77">
        <f t="shared" si="80"/>
        <v>46009</v>
      </c>
      <c r="F239" s="77">
        <f t="shared" si="81"/>
        <v>46015</v>
      </c>
      <c r="G239" s="77">
        <f t="shared" si="82"/>
        <v>46003</v>
      </c>
      <c r="H239" s="77">
        <f t="shared" si="83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470</v>
      </c>
      <c r="C240" s="77">
        <f t="shared" si="78"/>
        <v>46018</v>
      </c>
      <c r="D240" s="77">
        <f t="shared" si="79"/>
        <v>46002</v>
      </c>
      <c r="E240" s="77">
        <f t="shared" si="80"/>
        <v>46009</v>
      </c>
      <c r="F240" s="77">
        <f t="shared" si="81"/>
        <v>46015</v>
      </c>
      <c r="G240" s="77">
        <f t="shared" si="82"/>
        <v>46003</v>
      </c>
      <c r="H240" s="77">
        <f t="shared" si="83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45995</v>
      </c>
      <c r="B241" s="25" t="s">
        <v>471</v>
      </c>
      <c r="C241" s="77">
        <f t="shared" si="78"/>
        <v>46018</v>
      </c>
      <c r="D241" s="77">
        <f t="shared" si="79"/>
        <v>46002</v>
      </c>
      <c r="E241" s="77">
        <f t="shared" si="80"/>
        <v>46009</v>
      </c>
      <c r="F241" s="77">
        <f t="shared" si="81"/>
        <v>46015</v>
      </c>
      <c r="G241" s="77">
        <f t="shared" si="82"/>
        <v>46003</v>
      </c>
      <c r="H241" s="77">
        <f t="shared" si="83"/>
        <v>46010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414</v>
      </c>
      <c r="C242" s="77">
        <f t="shared" ref="C242:C248" si="84">A242+23</f>
        <v>46019</v>
      </c>
      <c r="D242" s="77">
        <f t="shared" ref="D242:D248" si="85">A242+7</f>
        <v>46003</v>
      </c>
      <c r="E242" s="77">
        <f t="shared" ref="E242:E248" si="86">A242+14</f>
        <v>46010</v>
      </c>
      <c r="F242" s="77">
        <f t="shared" ref="F242:F248" si="87">A242+20</f>
        <v>46016</v>
      </c>
      <c r="G242" s="77">
        <f t="shared" ref="G242:G248" si="88">A242+8</f>
        <v>46004</v>
      </c>
      <c r="H242" s="77">
        <f t="shared" ref="H242:H248" si="89">A242+15</f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415</v>
      </c>
      <c r="C243" s="77">
        <f t="shared" si="84"/>
        <v>46019</v>
      </c>
      <c r="D243" s="77">
        <f t="shared" si="85"/>
        <v>46003</v>
      </c>
      <c r="E243" s="77">
        <f t="shared" si="86"/>
        <v>46010</v>
      </c>
      <c r="F243" s="77">
        <f t="shared" si="87"/>
        <v>46016</v>
      </c>
      <c r="G243" s="77">
        <f t="shared" si="88"/>
        <v>46004</v>
      </c>
      <c r="H243" s="77">
        <f t="shared" si="89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416</v>
      </c>
      <c r="C244" s="77">
        <f t="shared" si="84"/>
        <v>46019</v>
      </c>
      <c r="D244" s="77">
        <f t="shared" si="85"/>
        <v>46003</v>
      </c>
      <c r="E244" s="77">
        <f t="shared" si="86"/>
        <v>46010</v>
      </c>
      <c r="F244" s="77">
        <f t="shared" si="87"/>
        <v>46016</v>
      </c>
      <c r="G244" s="77">
        <f t="shared" si="88"/>
        <v>46004</v>
      </c>
      <c r="H244" s="77">
        <f t="shared" si="89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448</v>
      </c>
      <c r="C245" s="77">
        <f t="shared" si="84"/>
        <v>46019</v>
      </c>
      <c r="D245" s="77">
        <f t="shared" si="85"/>
        <v>46003</v>
      </c>
      <c r="E245" s="77">
        <f t="shared" si="86"/>
        <v>46010</v>
      </c>
      <c r="F245" s="77">
        <f t="shared" si="87"/>
        <v>46016</v>
      </c>
      <c r="G245" s="77">
        <f t="shared" si="88"/>
        <v>46004</v>
      </c>
      <c r="H245" s="77">
        <f t="shared" si="89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449</v>
      </c>
      <c r="C246" s="77">
        <f t="shared" si="84"/>
        <v>46019</v>
      </c>
      <c r="D246" s="77">
        <f t="shared" si="85"/>
        <v>46003</v>
      </c>
      <c r="E246" s="77">
        <f t="shared" si="86"/>
        <v>46010</v>
      </c>
      <c r="F246" s="77">
        <f t="shared" si="87"/>
        <v>46016</v>
      </c>
      <c r="G246" s="77">
        <f t="shared" si="88"/>
        <v>46004</v>
      </c>
      <c r="H246" s="77">
        <f t="shared" si="89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466</v>
      </c>
      <c r="C247" s="77">
        <f t="shared" si="84"/>
        <v>46019</v>
      </c>
      <c r="D247" s="77">
        <f t="shared" si="85"/>
        <v>46003</v>
      </c>
      <c r="E247" s="77">
        <f t="shared" si="86"/>
        <v>46010</v>
      </c>
      <c r="F247" s="77">
        <f t="shared" si="87"/>
        <v>46016</v>
      </c>
      <c r="G247" s="77">
        <f t="shared" si="88"/>
        <v>46004</v>
      </c>
      <c r="H247" s="77">
        <f t="shared" si="89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45996</v>
      </c>
      <c r="B248" s="25" t="s">
        <v>468</v>
      </c>
      <c r="C248" s="77">
        <f t="shared" si="84"/>
        <v>46019</v>
      </c>
      <c r="D248" s="77">
        <f t="shared" si="85"/>
        <v>46003</v>
      </c>
      <c r="E248" s="77">
        <f t="shared" si="86"/>
        <v>46010</v>
      </c>
      <c r="F248" s="77">
        <f t="shared" si="87"/>
        <v>46016</v>
      </c>
      <c r="G248" s="77">
        <f t="shared" si="88"/>
        <v>46004</v>
      </c>
      <c r="H248" s="77">
        <f t="shared" si="89"/>
        <v>46011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412</v>
      </c>
      <c r="C249" s="77">
        <f t="shared" ref="C249:C255" si="90">A249+23</f>
        <v>46020</v>
      </c>
      <c r="D249" s="77">
        <f t="shared" ref="D249:D255" si="91">A249+7</f>
        <v>46004</v>
      </c>
      <c r="E249" s="77">
        <f t="shared" ref="E249:E255" si="92">A249+14</f>
        <v>46011</v>
      </c>
      <c r="F249" s="77">
        <f t="shared" ref="F249:F255" si="93">A249+20</f>
        <v>46017</v>
      </c>
      <c r="G249" s="77">
        <f t="shared" ref="G249:G255" si="94">A249+8</f>
        <v>46005</v>
      </c>
      <c r="H249" s="77">
        <f t="shared" ref="H249:H255" si="95">A249+15</f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413</v>
      </c>
      <c r="C250" s="77">
        <f t="shared" si="90"/>
        <v>46020</v>
      </c>
      <c r="D250" s="77">
        <f t="shared" si="91"/>
        <v>46004</v>
      </c>
      <c r="E250" s="77">
        <f t="shared" si="92"/>
        <v>46011</v>
      </c>
      <c r="F250" s="77">
        <f t="shared" si="93"/>
        <v>46017</v>
      </c>
      <c r="G250" s="77">
        <f t="shared" si="94"/>
        <v>46005</v>
      </c>
      <c r="H250" s="77">
        <f t="shared" si="95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444</v>
      </c>
      <c r="C251" s="77">
        <f t="shared" si="90"/>
        <v>46020</v>
      </c>
      <c r="D251" s="77">
        <f t="shared" si="91"/>
        <v>46004</v>
      </c>
      <c r="E251" s="77">
        <f t="shared" si="92"/>
        <v>46011</v>
      </c>
      <c r="F251" s="77">
        <f t="shared" si="93"/>
        <v>46017</v>
      </c>
      <c r="G251" s="77">
        <f t="shared" si="94"/>
        <v>46005</v>
      </c>
      <c r="H251" s="77">
        <f t="shared" si="95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445</v>
      </c>
      <c r="C252" s="77">
        <f t="shared" si="90"/>
        <v>46020</v>
      </c>
      <c r="D252" s="77">
        <f t="shared" si="91"/>
        <v>46004</v>
      </c>
      <c r="E252" s="77">
        <f t="shared" si="92"/>
        <v>46011</v>
      </c>
      <c r="F252" s="77">
        <f t="shared" si="93"/>
        <v>46017</v>
      </c>
      <c r="G252" s="77">
        <f t="shared" si="94"/>
        <v>46005</v>
      </c>
      <c r="H252" s="77">
        <f t="shared" si="95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446</v>
      </c>
      <c r="C253" s="77">
        <f t="shared" si="90"/>
        <v>46020</v>
      </c>
      <c r="D253" s="77">
        <f t="shared" si="91"/>
        <v>46004</v>
      </c>
      <c r="E253" s="77">
        <f t="shared" si="92"/>
        <v>46011</v>
      </c>
      <c r="F253" s="77">
        <f t="shared" si="93"/>
        <v>46017</v>
      </c>
      <c r="G253" s="77">
        <f t="shared" si="94"/>
        <v>46005</v>
      </c>
      <c r="H253" s="77">
        <f t="shared" si="95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447</v>
      </c>
      <c r="C254" s="77">
        <f t="shared" si="90"/>
        <v>46020</v>
      </c>
      <c r="D254" s="77">
        <f t="shared" si="91"/>
        <v>46004</v>
      </c>
      <c r="E254" s="77">
        <f t="shared" si="92"/>
        <v>46011</v>
      </c>
      <c r="F254" s="77">
        <f t="shared" si="93"/>
        <v>46017</v>
      </c>
      <c r="G254" s="77">
        <f t="shared" si="94"/>
        <v>46005</v>
      </c>
      <c r="H254" s="77">
        <f t="shared" si="95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45997</v>
      </c>
      <c r="B255" s="25" t="s">
        <v>450</v>
      </c>
      <c r="C255" s="77">
        <f t="shared" si="90"/>
        <v>46020</v>
      </c>
      <c r="D255" s="77">
        <f t="shared" si="91"/>
        <v>46004</v>
      </c>
      <c r="E255" s="77">
        <f t="shared" si="92"/>
        <v>46011</v>
      </c>
      <c r="F255" s="77">
        <f t="shared" si="93"/>
        <v>46017</v>
      </c>
      <c r="G255" s="77">
        <f t="shared" si="94"/>
        <v>46005</v>
      </c>
      <c r="H255" s="77">
        <f t="shared" si="95"/>
        <v>46012</v>
      </c>
      <c r="I255" s="77"/>
      <c r="J255" s="78"/>
      <c r="K255" s="25"/>
      <c r="L255" s="25"/>
      <c r="M255" s="25"/>
      <c r="N255" s="25"/>
    </row>
  </sheetData>
  <conditionalFormatting sqref="A256:I1048576 A223:A255 C222:I255 A1:I222">
    <cfRule type="expression" dxfId="39" priority="1">
      <formula>$J1&gt;0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98"/>
  <sheetViews>
    <sheetView workbookViewId="0">
      <pane xSplit="3" ySplit="1" topLeftCell="D14" activePane="bottomRight" state="frozen"/>
      <selection pane="topRight" activeCell="D1" sqref="D1"/>
      <selection pane="bottomLeft" activeCell="A2" sqref="A2"/>
      <selection pane="bottomRight" activeCell="E25" sqref="E25"/>
    </sheetView>
  </sheetViews>
  <sheetFormatPr defaultRowHeight="15" x14ac:dyDescent="0.25"/>
  <cols>
    <col min="1" max="1" width="14.140625" bestFit="1" customWidth="1"/>
    <col min="2" max="2" width="14.140625" customWidth="1"/>
    <col min="3" max="3" width="14.42578125" bestFit="1" customWidth="1"/>
    <col min="4" max="4" width="14.42578125" customWidth="1"/>
  </cols>
  <sheetData>
    <row r="1" spans="1:5" x14ac:dyDescent="0.25">
      <c r="A1" t="s">
        <v>596</v>
      </c>
      <c r="B1" t="s">
        <v>213</v>
      </c>
      <c r="C1" t="s">
        <v>597</v>
      </c>
      <c r="D1" t="s">
        <v>590</v>
      </c>
      <c r="E1" t="s">
        <v>587</v>
      </c>
    </row>
    <row r="24" spans="2:5" x14ac:dyDescent="0.25">
      <c r="B24" t="s">
        <v>803</v>
      </c>
      <c r="C24" s="77">
        <v>45987</v>
      </c>
      <c r="D24" s="101">
        <f t="shared" ref="D24:D38" si="0">C24-A24</f>
        <v>45987</v>
      </c>
      <c r="E24">
        <v>6.6</v>
      </c>
    </row>
    <row r="25" spans="2:5" x14ac:dyDescent="0.25">
      <c r="B25" t="s">
        <v>804</v>
      </c>
      <c r="C25" s="77">
        <v>45987</v>
      </c>
      <c r="D25" s="101">
        <f t="shared" si="0"/>
        <v>45987</v>
      </c>
    </row>
    <row r="26" spans="2:5" x14ac:dyDescent="0.25">
      <c r="B26" t="s">
        <v>805</v>
      </c>
      <c r="C26" s="77">
        <v>45987</v>
      </c>
      <c r="D26" s="101">
        <f t="shared" si="0"/>
        <v>45987</v>
      </c>
    </row>
    <row r="27" spans="2:5" x14ac:dyDescent="0.25">
      <c r="B27" t="s">
        <v>806</v>
      </c>
      <c r="C27" s="77">
        <v>45987</v>
      </c>
      <c r="D27" s="101">
        <f t="shared" si="0"/>
        <v>45987</v>
      </c>
    </row>
    <row r="28" spans="2:5" x14ac:dyDescent="0.25">
      <c r="B28" t="s">
        <v>807</v>
      </c>
      <c r="C28" s="77">
        <v>45987</v>
      </c>
      <c r="D28" s="101">
        <f t="shared" si="0"/>
        <v>45987</v>
      </c>
    </row>
    <row r="29" spans="2:5" x14ac:dyDescent="0.25">
      <c r="B29" t="s">
        <v>836</v>
      </c>
      <c r="C29" s="77">
        <v>45987</v>
      </c>
      <c r="D29" s="101">
        <f t="shared" si="0"/>
        <v>45987</v>
      </c>
    </row>
    <row r="30" spans="2:5" x14ac:dyDescent="0.25">
      <c r="B30" t="s">
        <v>837</v>
      </c>
      <c r="C30" s="77">
        <v>45987</v>
      </c>
      <c r="D30" s="101">
        <f t="shared" si="0"/>
        <v>45987</v>
      </c>
    </row>
    <row r="31" spans="2:5" x14ac:dyDescent="0.25">
      <c r="B31" t="s">
        <v>836</v>
      </c>
      <c r="C31" s="77">
        <v>45987</v>
      </c>
      <c r="D31" s="101">
        <f t="shared" si="0"/>
        <v>45987</v>
      </c>
    </row>
    <row r="32" spans="2:5" x14ac:dyDescent="0.25">
      <c r="B32" t="s">
        <v>835</v>
      </c>
      <c r="C32" s="77">
        <v>45987</v>
      </c>
      <c r="D32" s="101">
        <f t="shared" si="0"/>
        <v>45987</v>
      </c>
    </row>
    <row r="33" spans="1:5" x14ac:dyDescent="0.25">
      <c r="B33" t="s">
        <v>834</v>
      </c>
      <c r="C33" s="77">
        <v>45987</v>
      </c>
      <c r="D33" s="101">
        <f t="shared" si="0"/>
        <v>45987</v>
      </c>
    </row>
    <row r="34" spans="1:5" x14ac:dyDescent="0.25">
      <c r="A34" s="77">
        <v>45835</v>
      </c>
      <c r="B34" t="s">
        <v>828</v>
      </c>
      <c r="C34" s="77">
        <v>45987</v>
      </c>
      <c r="D34" s="101">
        <f t="shared" si="0"/>
        <v>152</v>
      </c>
    </row>
    <row r="35" spans="1:5" x14ac:dyDescent="0.25">
      <c r="A35" s="77">
        <v>45835</v>
      </c>
      <c r="B35" t="s">
        <v>829</v>
      </c>
      <c r="C35" s="77">
        <v>45987</v>
      </c>
      <c r="D35" s="101">
        <f t="shared" si="0"/>
        <v>152</v>
      </c>
    </row>
    <row r="36" spans="1:5" x14ac:dyDescent="0.25">
      <c r="A36" s="77">
        <v>45835</v>
      </c>
      <c r="B36" t="s">
        <v>830</v>
      </c>
      <c r="C36" s="77">
        <v>45987</v>
      </c>
      <c r="D36" s="101">
        <f t="shared" si="0"/>
        <v>152</v>
      </c>
    </row>
    <row r="37" spans="1:5" x14ac:dyDescent="0.25">
      <c r="A37" s="77">
        <v>45835</v>
      </c>
      <c r="B37" t="s">
        <v>831</v>
      </c>
      <c r="C37" s="77">
        <v>45987</v>
      </c>
      <c r="D37" s="101">
        <f t="shared" si="0"/>
        <v>152</v>
      </c>
    </row>
    <row r="38" spans="1:5" x14ac:dyDescent="0.25">
      <c r="A38" s="77">
        <v>45835</v>
      </c>
      <c r="B38" t="s">
        <v>832</v>
      </c>
      <c r="C38" s="77">
        <v>45987</v>
      </c>
      <c r="D38" s="101">
        <f t="shared" si="0"/>
        <v>152</v>
      </c>
    </row>
    <row r="39" spans="1:5" x14ac:dyDescent="0.25">
      <c r="A39" s="77">
        <v>45835</v>
      </c>
      <c r="B39" t="s">
        <v>833</v>
      </c>
      <c r="C39" s="77">
        <v>45988</v>
      </c>
      <c r="D39" s="101">
        <f t="shared" ref="D39:D48" si="1">C39-A39</f>
        <v>153</v>
      </c>
      <c r="E39">
        <v>4.7</v>
      </c>
    </row>
    <row r="40" spans="1:5" x14ac:dyDescent="0.25">
      <c r="A40" s="77">
        <v>45835</v>
      </c>
      <c r="B40" t="s">
        <v>747</v>
      </c>
      <c r="C40" s="77">
        <v>45988</v>
      </c>
      <c r="D40" s="101">
        <f t="shared" si="1"/>
        <v>153</v>
      </c>
      <c r="E40">
        <v>5</v>
      </c>
    </row>
    <row r="41" spans="1:5" x14ac:dyDescent="0.25">
      <c r="A41" s="77">
        <v>45835</v>
      </c>
      <c r="B41" t="s">
        <v>748</v>
      </c>
      <c r="C41" s="77">
        <v>45988</v>
      </c>
      <c r="D41" s="101">
        <f t="shared" si="1"/>
        <v>153</v>
      </c>
      <c r="E41">
        <v>5.4</v>
      </c>
    </row>
    <row r="42" spans="1:5" x14ac:dyDescent="0.25">
      <c r="A42" s="77">
        <v>45835</v>
      </c>
      <c r="B42" t="s">
        <v>749</v>
      </c>
      <c r="C42" s="77">
        <v>45988</v>
      </c>
      <c r="D42" s="101">
        <f t="shared" si="1"/>
        <v>153</v>
      </c>
      <c r="E42">
        <v>5.7</v>
      </c>
    </row>
    <row r="43" spans="1:5" x14ac:dyDescent="0.25">
      <c r="A43" s="77">
        <v>45835</v>
      </c>
      <c r="B43" t="s">
        <v>750</v>
      </c>
      <c r="C43" s="77">
        <v>45988</v>
      </c>
      <c r="D43" s="101">
        <f t="shared" si="1"/>
        <v>153</v>
      </c>
      <c r="E43">
        <v>4.4000000000000004</v>
      </c>
    </row>
    <row r="44" spans="1:5" x14ac:dyDescent="0.25">
      <c r="A44" s="77">
        <v>45835</v>
      </c>
      <c r="B44" t="s">
        <v>751</v>
      </c>
      <c r="C44" s="77">
        <v>45988</v>
      </c>
      <c r="D44" s="101">
        <f t="shared" si="1"/>
        <v>153</v>
      </c>
      <c r="E44">
        <v>4.5</v>
      </c>
    </row>
    <row r="45" spans="1:5" x14ac:dyDescent="0.25">
      <c r="A45" s="77">
        <v>45835</v>
      </c>
      <c r="B45" t="s">
        <v>752</v>
      </c>
      <c r="C45" s="77">
        <v>45988</v>
      </c>
      <c r="D45" s="101">
        <f t="shared" si="1"/>
        <v>153</v>
      </c>
      <c r="E45">
        <v>4.8</v>
      </c>
    </row>
    <row r="46" spans="1:5" x14ac:dyDescent="0.25">
      <c r="A46" s="77">
        <v>45835</v>
      </c>
      <c r="B46" t="s">
        <v>753</v>
      </c>
      <c r="C46" s="77">
        <v>45988</v>
      </c>
      <c r="D46" s="101">
        <f t="shared" si="1"/>
        <v>153</v>
      </c>
      <c r="E46">
        <v>4.7</v>
      </c>
    </row>
    <row r="47" spans="1:5" x14ac:dyDescent="0.25">
      <c r="A47" s="77">
        <v>45835</v>
      </c>
      <c r="B47" t="s">
        <v>754</v>
      </c>
      <c r="C47" s="77">
        <v>45988</v>
      </c>
      <c r="D47" s="101">
        <f t="shared" si="1"/>
        <v>153</v>
      </c>
      <c r="E47">
        <v>5.5</v>
      </c>
    </row>
    <row r="48" spans="1:5" x14ac:dyDescent="0.25">
      <c r="A48" s="77">
        <v>45835</v>
      </c>
      <c r="B48" t="s">
        <v>719</v>
      </c>
      <c r="C48" s="77">
        <v>45988</v>
      </c>
      <c r="D48" s="101">
        <f t="shared" si="1"/>
        <v>153</v>
      </c>
      <c r="E48">
        <v>5.8</v>
      </c>
    </row>
    <row r="49" spans="1:5" x14ac:dyDescent="0.25">
      <c r="A49" s="77">
        <v>45841</v>
      </c>
      <c r="B49" t="s">
        <v>720</v>
      </c>
      <c r="C49" s="77">
        <v>45989</v>
      </c>
      <c r="D49" s="101">
        <f t="shared" ref="D49:D55" si="2">C49-A49</f>
        <v>148</v>
      </c>
      <c r="E49">
        <v>5.9</v>
      </c>
    </row>
    <row r="50" spans="1:5" x14ac:dyDescent="0.25">
      <c r="A50" s="77">
        <v>45841</v>
      </c>
      <c r="B50" t="s">
        <v>721</v>
      </c>
      <c r="C50" s="77">
        <v>45989</v>
      </c>
      <c r="D50" s="101">
        <f t="shared" si="2"/>
        <v>148</v>
      </c>
      <c r="E50">
        <v>7.2</v>
      </c>
    </row>
    <row r="51" spans="1:5" x14ac:dyDescent="0.25">
      <c r="A51" s="77">
        <v>45841</v>
      </c>
      <c r="B51" t="s">
        <v>722</v>
      </c>
      <c r="C51" s="77">
        <v>45989</v>
      </c>
      <c r="D51" s="101">
        <f t="shared" si="2"/>
        <v>148</v>
      </c>
      <c r="E51">
        <v>7.1</v>
      </c>
    </row>
    <row r="52" spans="1:5" x14ac:dyDescent="0.25">
      <c r="A52" s="77">
        <v>45841</v>
      </c>
      <c r="B52" t="s">
        <v>723</v>
      </c>
      <c r="C52" s="77">
        <v>45989</v>
      </c>
      <c r="D52" s="101">
        <f t="shared" si="2"/>
        <v>148</v>
      </c>
      <c r="E52">
        <v>7.7</v>
      </c>
    </row>
    <row r="53" spans="1:5" x14ac:dyDescent="0.25">
      <c r="A53" s="77">
        <v>45841</v>
      </c>
      <c r="B53" t="s">
        <v>724</v>
      </c>
      <c r="C53" s="77">
        <v>45989</v>
      </c>
      <c r="D53" s="101">
        <f t="shared" si="2"/>
        <v>148</v>
      </c>
      <c r="E53">
        <v>6.3</v>
      </c>
    </row>
    <row r="54" spans="1:5" x14ac:dyDescent="0.25">
      <c r="A54" s="77">
        <v>45841</v>
      </c>
      <c r="B54" t="s">
        <v>725</v>
      </c>
      <c r="C54" s="77">
        <v>45989</v>
      </c>
      <c r="D54" s="101">
        <f t="shared" si="2"/>
        <v>148</v>
      </c>
      <c r="E54">
        <v>5.6</v>
      </c>
    </row>
    <row r="55" spans="1:5" x14ac:dyDescent="0.25">
      <c r="A55" s="77">
        <f>VLOOKUP(B55,bojongsari_dt!$A$1:$B$231,2,0)</f>
        <v>45844</v>
      </c>
      <c r="B55" t="s">
        <v>726</v>
      </c>
      <c r="C55" s="77">
        <v>45989</v>
      </c>
      <c r="D55" s="101">
        <f t="shared" si="2"/>
        <v>145</v>
      </c>
      <c r="E55">
        <v>6.8</v>
      </c>
    </row>
    <row r="56" spans="1:5" x14ac:dyDescent="0.25">
      <c r="A56" s="77">
        <f>VLOOKUP(B56,bojongsari_dt!$A$1:$B$231,2,0)</f>
        <v>45844</v>
      </c>
      <c r="B56" t="s">
        <v>727</v>
      </c>
      <c r="C56" s="77">
        <v>45990</v>
      </c>
      <c r="D56" s="101">
        <f t="shared" ref="D56:D64" si="3">C56-A56</f>
        <v>146</v>
      </c>
      <c r="E56">
        <v>4.4000000000000004</v>
      </c>
    </row>
    <row r="57" spans="1:5" x14ac:dyDescent="0.25">
      <c r="A57" s="77">
        <f>VLOOKUP(B57,bojongsari_dt!$A$1:$B$231,2,0)</f>
        <v>45844</v>
      </c>
      <c r="B57" t="s">
        <v>728</v>
      </c>
      <c r="C57" s="77">
        <v>45990</v>
      </c>
      <c r="D57" s="101">
        <f t="shared" si="3"/>
        <v>146</v>
      </c>
      <c r="E57">
        <v>5.2</v>
      </c>
    </row>
    <row r="58" spans="1:5" x14ac:dyDescent="0.25">
      <c r="A58" s="77">
        <f>VLOOKUP(B58,bojongsari_dt!$A$1:$B$231,2,0)</f>
        <v>45844</v>
      </c>
      <c r="B58" t="s">
        <v>729</v>
      </c>
      <c r="C58" s="77">
        <v>45990</v>
      </c>
      <c r="D58" s="101">
        <f t="shared" si="3"/>
        <v>146</v>
      </c>
      <c r="E58">
        <v>4.7</v>
      </c>
    </row>
    <row r="59" spans="1:5" x14ac:dyDescent="0.25">
      <c r="A59" s="77">
        <f>VLOOKUP(B59,bojongsari_dt!$A$1:$B$231,2,0)</f>
        <v>45844</v>
      </c>
      <c r="B59" t="s">
        <v>730</v>
      </c>
      <c r="C59" s="77">
        <v>45990</v>
      </c>
      <c r="D59" s="101">
        <f t="shared" si="3"/>
        <v>146</v>
      </c>
      <c r="E59">
        <v>4.5999999999999996</v>
      </c>
    </row>
    <row r="60" spans="1:5" x14ac:dyDescent="0.25">
      <c r="A60" s="77">
        <f>VLOOKUP(B60,bojongsari_dt!$A$1:$B$231,2,0)</f>
        <v>45844</v>
      </c>
      <c r="B60" t="s">
        <v>731</v>
      </c>
      <c r="C60" s="77">
        <v>45990</v>
      </c>
      <c r="D60" s="101">
        <f t="shared" si="3"/>
        <v>146</v>
      </c>
      <c r="E60">
        <v>4.3</v>
      </c>
    </row>
    <row r="61" spans="1:5" x14ac:dyDescent="0.25">
      <c r="A61" s="77">
        <f>VLOOKUP(B61,bojongsari_dt!$A$1:$B$231,2,0)</f>
        <v>45844</v>
      </c>
      <c r="B61" t="s">
        <v>732</v>
      </c>
      <c r="C61" s="77">
        <v>45990</v>
      </c>
      <c r="D61" s="101">
        <f t="shared" si="3"/>
        <v>146</v>
      </c>
      <c r="E61">
        <v>3.4</v>
      </c>
    </row>
    <row r="62" spans="1:5" x14ac:dyDescent="0.25">
      <c r="A62" s="77">
        <f>VLOOKUP(B62,bojongsari_dt!$A$1:$B$231,2,0)</f>
        <v>45848</v>
      </c>
      <c r="B62" t="s">
        <v>733</v>
      </c>
      <c r="C62" s="77">
        <v>45990</v>
      </c>
      <c r="D62" s="101">
        <f t="shared" si="3"/>
        <v>142</v>
      </c>
      <c r="E62">
        <v>3.8</v>
      </c>
    </row>
    <row r="63" spans="1:5" x14ac:dyDescent="0.25">
      <c r="A63" s="77">
        <f>VLOOKUP(B63,bojongsari_dt!$A$1:$B$231,2,0)</f>
        <v>45848</v>
      </c>
      <c r="B63" t="s">
        <v>734</v>
      </c>
      <c r="C63" s="77">
        <v>45990</v>
      </c>
      <c r="D63" s="101">
        <f t="shared" si="3"/>
        <v>142</v>
      </c>
      <c r="E63">
        <v>6.7</v>
      </c>
    </row>
    <row r="64" spans="1:5" x14ac:dyDescent="0.25">
      <c r="A64" s="77">
        <f>VLOOKUP(B64,bojongsari_dt!$A$1:$B$231,2,0)</f>
        <v>45848</v>
      </c>
      <c r="B64" t="s">
        <v>735</v>
      </c>
      <c r="C64" s="77">
        <v>45990</v>
      </c>
      <c r="D64" s="101">
        <f t="shared" si="3"/>
        <v>142</v>
      </c>
      <c r="E64">
        <v>5.0999999999999996</v>
      </c>
    </row>
    <row r="65" spans="1:5" x14ac:dyDescent="0.25">
      <c r="A65" s="77">
        <f>VLOOKUP(B65,bojongsari_dt!$A$1:$B$231,2,0)</f>
        <v>45848</v>
      </c>
      <c r="B65" t="s">
        <v>736</v>
      </c>
      <c r="C65" s="77">
        <v>45991</v>
      </c>
      <c r="D65" s="101">
        <f t="shared" ref="D65:D69" si="4">C65-A65</f>
        <v>143</v>
      </c>
      <c r="E65">
        <v>5.0999999999999996</v>
      </c>
    </row>
    <row r="66" spans="1:5" x14ac:dyDescent="0.25">
      <c r="A66" s="77">
        <f>VLOOKUP(B66,bojongsari_dt!$A$1:$B$231,2,0)</f>
        <v>45848</v>
      </c>
      <c r="B66" t="s">
        <v>737</v>
      </c>
      <c r="C66" s="77">
        <v>45991</v>
      </c>
      <c r="D66" s="101">
        <f t="shared" si="4"/>
        <v>143</v>
      </c>
      <c r="E66">
        <v>5.6</v>
      </c>
    </row>
    <row r="67" spans="1:5" x14ac:dyDescent="0.25">
      <c r="A67" s="77">
        <f>VLOOKUP(B67,bojongsari_dt!$A$1:$B$231,2,0)</f>
        <v>45848</v>
      </c>
      <c r="B67" t="s">
        <v>700</v>
      </c>
      <c r="C67" s="77">
        <v>45991</v>
      </c>
      <c r="D67" s="101">
        <f t="shared" si="4"/>
        <v>143</v>
      </c>
      <c r="E67">
        <v>7.2</v>
      </c>
    </row>
    <row r="68" spans="1:5" x14ac:dyDescent="0.25">
      <c r="A68" s="77">
        <f>VLOOKUP(B68,bojongsari_dt!$A$1:$B$231,2,0)</f>
        <v>45848</v>
      </c>
      <c r="B68" t="s">
        <v>701</v>
      </c>
      <c r="C68" s="77">
        <v>45991</v>
      </c>
      <c r="D68" s="101">
        <f t="shared" si="4"/>
        <v>143</v>
      </c>
      <c r="E68">
        <v>6.3</v>
      </c>
    </row>
    <row r="69" spans="1:5" x14ac:dyDescent="0.25">
      <c r="A69" s="77">
        <f>VLOOKUP(B69,bojongsari_dt!$A$1:$B$231,2,0)</f>
        <v>45848</v>
      </c>
      <c r="B69" t="s">
        <v>702</v>
      </c>
      <c r="C69" s="77">
        <v>45991</v>
      </c>
      <c r="D69" s="101">
        <f t="shared" si="4"/>
        <v>143</v>
      </c>
      <c r="E69">
        <v>6.8</v>
      </c>
    </row>
    <row r="70" spans="1:5" x14ac:dyDescent="0.25">
      <c r="A70" s="77">
        <f>VLOOKUP(B70,bojongsari_dt!$A$1:$B$231,2,0)</f>
        <v>45848</v>
      </c>
      <c r="B70" t="s">
        <v>703</v>
      </c>
      <c r="C70" s="77">
        <v>45992</v>
      </c>
      <c r="D70" s="101">
        <f t="shared" ref="D70:D73" si="5">C70-A70</f>
        <v>144</v>
      </c>
      <c r="E70">
        <v>7.2</v>
      </c>
    </row>
    <row r="71" spans="1:5" x14ac:dyDescent="0.25">
      <c r="A71" s="77">
        <f>VLOOKUP(B71,bojongsari_dt!$A$1:$B$231,2,0)</f>
        <v>45848</v>
      </c>
      <c r="B71" t="s">
        <v>704</v>
      </c>
      <c r="C71" s="77">
        <v>45992</v>
      </c>
      <c r="D71" s="101">
        <f t="shared" si="5"/>
        <v>144</v>
      </c>
      <c r="E71">
        <v>6.4</v>
      </c>
    </row>
    <row r="72" spans="1:5" x14ac:dyDescent="0.25">
      <c r="A72" s="77">
        <f>VLOOKUP(B72,bojongsari_dt!$A$1:$B$231,2,0)</f>
        <v>45848</v>
      </c>
      <c r="B72" t="s">
        <v>705</v>
      </c>
      <c r="C72" s="77">
        <v>45992</v>
      </c>
      <c r="D72" s="101">
        <f t="shared" si="5"/>
        <v>144</v>
      </c>
      <c r="E72">
        <v>8.3000000000000007</v>
      </c>
    </row>
    <row r="73" spans="1:5" x14ac:dyDescent="0.25">
      <c r="A73" s="77">
        <f>VLOOKUP(B73,bojongsari_dt!$A$1:$B$231,2,0)</f>
        <v>45848</v>
      </c>
      <c r="B73" t="s">
        <v>706</v>
      </c>
      <c r="C73" s="77">
        <v>45992</v>
      </c>
      <c r="D73" s="101">
        <f t="shared" si="5"/>
        <v>144</v>
      </c>
      <c r="E73">
        <v>6.3</v>
      </c>
    </row>
    <row r="74" spans="1:5" x14ac:dyDescent="0.25">
      <c r="A74" s="77">
        <f>VLOOKUP(B74,bojongsari_dt!$A$1:$B$231,2,0)</f>
        <v>45848</v>
      </c>
      <c r="B74" t="s">
        <v>706</v>
      </c>
      <c r="C74" s="77">
        <v>45993</v>
      </c>
      <c r="D74" s="101">
        <f t="shared" ref="D74:D80" si="6">C74-A74</f>
        <v>145</v>
      </c>
      <c r="E74">
        <v>6</v>
      </c>
    </row>
    <row r="75" spans="1:5" x14ac:dyDescent="0.25">
      <c r="A75" s="77">
        <f>VLOOKUP(B75,bojongsari_dt!$A$1:$B$231,2,0)</f>
        <v>45848</v>
      </c>
      <c r="B75" t="s">
        <v>707</v>
      </c>
      <c r="C75" s="77">
        <v>45993</v>
      </c>
      <c r="D75" s="101">
        <f t="shared" si="6"/>
        <v>145</v>
      </c>
      <c r="E75">
        <v>4.5</v>
      </c>
    </row>
    <row r="76" spans="1:5" x14ac:dyDescent="0.25">
      <c r="A76" s="77">
        <f>VLOOKUP(B76,bojongsari_dt!$A$1:$B$231,2,0)</f>
        <v>45856</v>
      </c>
      <c r="B76" t="s">
        <v>708</v>
      </c>
      <c r="C76" s="77">
        <v>45993</v>
      </c>
      <c r="D76" s="101">
        <f t="shared" si="6"/>
        <v>137</v>
      </c>
      <c r="E76">
        <v>5.0999999999999996</v>
      </c>
    </row>
    <row r="77" spans="1:5" x14ac:dyDescent="0.25">
      <c r="A77" s="77">
        <f>VLOOKUP(B77,bojongsari_dt!$A$1:$B$231,2,0)</f>
        <v>45856</v>
      </c>
      <c r="B77" t="s">
        <v>709</v>
      </c>
      <c r="C77" s="77">
        <v>45993</v>
      </c>
      <c r="D77" s="101">
        <f t="shared" si="6"/>
        <v>137</v>
      </c>
      <c r="E77">
        <v>5.5</v>
      </c>
    </row>
    <row r="78" spans="1:5" x14ac:dyDescent="0.25">
      <c r="A78" s="77">
        <f>VLOOKUP(B78,bojongsari_dt!$A$1:$B$231,2,0)</f>
        <v>45856</v>
      </c>
      <c r="B78" t="s">
        <v>710</v>
      </c>
      <c r="C78" s="77">
        <v>45993</v>
      </c>
      <c r="D78" s="101">
        <f t="shared" si="6"/>
        <v>137</v>
      </c>
      <c r="E78">
        <v>4.4000000000000004</v>
      </c>
    </row>
    <row r="79" spans="1:5" x14ac:dyDescent="0.25">
      <c r="A79" s="77">
        <f>VLOOKUP(B79,bojongsari_dt!$A$1:$B$231,2,0)</f>
        <v>45856</v>
      </c>
      <c r="B79" t="s">
        <v>711</v>
      </c>
      <c r="C79" s="77">
        <v>45993</v>
      </c>
      <c r="D79" s="101">
        <f t="shared" si="6"/>
        <v>137</v>
      </c>
      <c r="E79">
        <v>4</v>
      </c>
    </row>
    <row r="80" spans="1:5" x14ac:dyDescent="0.25">
      <c r="A80" s="77">
        <f>VLOOKUP(B80,bojongsari_dt!$A$1:$B$231,2,0)</f>
        <v>45856</v>
      </c>
      <c r="B80" t="s">
        <v>712</v>
      </c>
      <c r="C80" s="77">
        <v>45993</v>
      </c>
      <c r="D80" s="101">
        <f t="shared" si="6"/>
        <v>137</v>
      </c>
      <c r="E80">
        <v>4.7</v>
      </c>
    </row>
    <row r="81" spans="1:5" x14ac:dyDescent="0.25">
      <c r="A81" s="77">
        <f>VLOOKUP(B81,bojongsari_dt!$A$1:$B$231,2,0)</f>
        <v>45856</v>
      </c>
      <c r="B81" t="s">
        <v>713</v>
      </c>
      <c r="C81" s="77">
        <v>45994</v>
      </c>
      <c r="D81" s="101">
        <f t="shared" ref="D81:D86" si="7">C81-A81</f>
        <v>138</v>
      </c>
      <c r="E81">
        <v>4.0999999999999996</v>
      </c>
    </row>
    <row r="82" spans="1:5" x14ac:dyDescent="0.25">
      <c r="A82" s="77">
        <f>VLOOKUP(B82,bojongsari_dt!$A$1:$B$231,2,0)</f>
        <v>45856</v>
      </c>
      <c r="B82" t="s">
        <v>714</v>
      </c>
      <c r="C82" s="77">
        <v>45994</v>
      </c>
      <c r="D82" s="101">
        <f t="shared" si="7"/>
        <v>138</v>
      </c>
      <c r="E82">
        <v>5.6</v>
      </c>
    </row>
    <row r="83" spans="1:5" x14ac:dyDescent="0.25">
      <c r="A83" s="77">
        <f>VLOOKUP(B83,bojongsari_dt!$A$1:$B$231,2,0)</f>
        <v>45856</v>
      </c>
      <c r="B83" t="s">
        <v>715</v>
      </c>
      <c r="C83" s="77">
        <v>45994</v>
      </c>
      <c r="D83" s="101">
        <f t="shared" si="7"/>
        <v>138</v>
      </c>
      <c r="E83">
        <v>5.2</v>
      </c>
    </row>
    <row r="84" spans="1:5" x14ac:dyDescent="0.25">
      <c r="A84" s="77">
        <f>VLOOKUP(B84,bojongsari_dt!$A$1:$B$231,2,0)</f>
        <v>45856</v>
      </c>
      <c r="B84" t="s">
        <v>716</v>
      </c>
      <c r="C84" s="77">
        <v>45994</v>
      </c>
      <c r="D84" s="101">
        <f t="shared" si="7"/>
        <v>138</v>
      </c>
      <c r="E84">
        <v>6.4</v>
      </c>
    </row>
    <row r="85" spans="1:5" x14ac:dyDescent="0.25">
      <c r="A85" s="77">
        <f>VLOOKUP(B85,bojongsari_dt!$A$1:$B$231,2,0)</f>
        <v>45856</v>
      </c>
      <c r="B85" t="s">
        <v>717</v>
      </c>
      <c r="C85" s="77">
        <v>45994</v>
      </c>
      <c r="D85" s="101">
        <f t="shared" si="7"/>
        <v>138</v>
      </c>
      <c r="E85">
        <v>7.3</v>
      </c>
    </row>
    <row r="86" spans="1:5" x14ac:dyDescent="0.25">
      <c r="A86" s="77">
        <f>VLOOKUP(B86,bojongsari_dt!$A$1:$B$231,2,0)</f>
        <v>45856</v>
      </c>
      <c r="B86" t="s">
        <v>718</v>
      </c>
      <c r="C86" s="77">
        <v>45994</v>
      </c>
      <c r="D86" s="101">
        <f t="shared" si="7"/>
        <v>138</v>
      </c>
      <c r="E86">
        <v>5.9</v>
      </c>
    </row>
    <row r="87" spans="1:5" x14ac:dyDescent="0.25">
      <c r="A87" s="77">
        <f>VLOOKUP(B87,bojongsari_dt!$A$1:$B$231,2,0)</f>
        <v>45803</v>
      </c>
      <c r="B87" t="s">
        <v>633</v>
      </c>
      <c r="C87" s="77">
        <v>45995</v>
      </c>
      <c r="D87" s="101">
        <f t="shared" ref="D87:D90" si="8">C87-A87</f>
        <v>192</v>
      </c>
      <c r="E87">
        <v>5.9</v>
      </c>
    </row>
    <row r="88" spans="1:5" x14ac:dyDescent="0.25">
      <c r="A88" s="77">
        <f>VLOOKUP(B88,bojongsari_dt!$A$1:$B$231,2,0)</f>
        <v>45803</v>
      </c>
      <c r="B88" t="s">
        <v>634</v>
      </c>
      <c r="C88" s="77">
        <v>45995</v>
      </c>
      <c r="D88" s="101">
        <f t="shared" si="8"/>
        <v>192</v>
      </c>
      <c r="E88">
        <v>6.2</v>
      </c>
    </row>
    <row r="89" spans="1:5" x14ac:dyDescent="0.25">
      <c r="A89" s="77">
        <f>VLOOKUP(B89,bojongsari_dt!$A$1:$B$231,2,0)</f>
        <v>45803</v>
      </c>
      <c r="B89" t="s">
        <v>635</v>
      </c>
      <c r="C89" s="77">
        <v>45995</v>
      </c>
      <c r="D89" s="101">
        <f t="shared" si="8"/>
        <v>192</v>
      </c>
      <c r="E89">
        <v>6.6</v>
      </c>
    </row>
    <row r="90" spans="1:5" x14ac:dyDescent="0.25">
      <c r="A90" s="77">
        <f>VLOOKUP(B90,bojongsari_dt!$A$1:$B$231,2,0)</f>
        <v>45803</v>
      </c>
      <c r="B90" t="s">
        <v>636</v>
      </c>
      <c r="C90" s="77">
        <v>45995</v>
      </c>
      <c r="D90" s="101">
        <f t="shared" si="8"/>
        <v>192</v>
      </c>
      <c r="E90">
        <v>7.6</v>
      </c>
    </row>
    <row r="91" spans="1:5" x14ac:dyDescent="0.25">
      <c r="A91" s="77">
        <f>VLOOKUP(B91,bojongsari_dt!$A$1:$B$231,2,0)</f>
        <v>0</v>
      </c>
      <c r="B91" t="s">
        <v>598</v>
      </c>
      <c r="D91" s="101">
        <f>C91-A91</f>
        <v>0</v>
      </c>
    </row>
    <row r="92" spans="1:5" x14ac:dyDescent="0.25">
      <c r="A92" s="77">
        <f>VLOOKUP(B92,bojongsari_dt!$A$1:$B$231,2,0)</f>
        <v>0</v>
      </c>
      <c r="B92" t="s">
        <v>599</v>
      </c>
      <c r="D92" s="101">
        <f t="shared" ref="D92:D98" si="9">C92-A92</f>
        <v>0</v>
      </c>
    </row>
    <row r="93" spans="1:5" x14ac:dyDescent="0.25">
      <c r="A93" s="77">
        <f>VLOOKUP(B93,bojongsari_dt!$A$1:$B$231,2,0)</f>
        <v>0</v>
      </c>
      <c r="B93" t="s">
        <v>600</v>
      </c>
      <c r="D93" s="101">
        <f t="shared" si="9"/>
        <v>0</v>
      </c>
    </row>
    <row r="94" spans="1:5" x14ac:dyDescent="0.25">
      <c r="A94" s="77">
        <f>VLOOKUP(B94,bojongsari_dt!$A$1:$B$231,2,0)</f>
        <v>45803</v>
      </c>
      <c r="B94" t="s">
        <v>601</v>
      </c>
      <c r="C94" s="77">
        <v>45996</v>
      </c>
      <c r="D94" s="101">
        <f t="shared" si="9"/>
        <v>193</v>
      </c>
      <c r="E94">
        <v>7.1</v>
      </c>
    </row>
    <row r="95" spans="1:5" x14ac:dyDescent="0.25">
      <c r="A95" s="77">
        <f>VLOOKUP(B95,bojongsari_dt!$A$1:$B$231,2,0)</f>
        <v>45803</v>
      </c>
      <c r="B95" t="s">
        <v>602</v>
      </c>
      <c r="C95" s="77">
        <v>45996</v>
      </c>
      <c r="D95" s="101">
        <f t="shared" si="9"/>
        <v>193</v>
      </c>
      <c r="E95">
        <v>6.8</v>
      </c>
    </row>
    <row r="96" spans="1:5" x14ac:dyDescent="0.25">
      <c r="A96" s="77">
        <f>VLOOKUP(B96,bojongsari_dt!$A$1:$B$231,2,0)</f>
        <v>45803</v>
      </c>
      <c r="B96" t="s">
        <v>603</v>
      </c>
      <c r="C96" s="77">
        <v>45996</v>
      </c>
      <c r="D96" s="101">
        <f t="shared" si="9"/>
        <v>193</v>
      </c>
      <c r="E96">
        <v>7.1</v>
      </c>
    </row>
    <row r="97" spans="1:5" x14ac:dyDescent="0.25">
      <c r="A97" s="77">
        <f>VLOOKUP(B97,bojongsari_dt!$A$1:$B$231,2,0)</f>
        <v>45806</v>
      </c>
      <c r="B97" t="s">
        <v>604</v>
      </c>
      <c r="C97" s="77">
        <v>45996</v>
      </c>
      <c r="D97" s="101">
        <f t="shared" si="9"/>
        <v>190</v>
      </c>
      <c r="E97">
        <v>6.3</v>
      </c>
    </row>
    <row r="98" spans="1:5" x14ac:dyDescent="0.25">
      <c r="A98" s="77">
        <f>VLOOKUP(B98,bojongsari_dt!$A$1:$B$231,2,0)</f>
        <v>45806</v>
      </c>
      <c r="B98" t="s">
        <v>605</v>
      </c>
      <c r="C98" s="77">
        <v>45996</v>
      </c>
      <c r="D98" s="101">
        <f t="shared" si="9"/>
        <v>190</v>
      </c>
      <c r="E98">
        <v>6.9</v>
      </c>
    </row>
  </sheetData>
  <phoneticPr fontId="12" type="noConversion"/>
  <conditionalFormatting sqref="A34:A98">
    <cfRule type="expression" dxfId="38" priority="8">
      <formula>$K34&gt;0</formula>
    </cfRule>
  </conditionalFormatting>
  <conditionalFormatting sqref="C94:C98">
    <cfRule type="expression" dxfId="37" priority="7">
      <formula>$K94&gt;0</formula>
    </cfRule>
  </conditionalFormatting>
  <conditionalFormatting sqref="C87:C90">
    <cfRule type="expression" dxfId="36" priority="6">
      <formula>$K87&gt;0</formula>
    </cfRule>
  </conditionalFormatting>
  <conditionalFormatting sqref="C81:C86">
    <cfRule type="expression" dxfId="35" priority="5">
      <formula>$K81&gt;0</formula>
    </cfRule>
  </conditionalFormatting>
  <conditionalFormatting sqref="C74:C80">
    <cfRule type="expression" dxfId="34" priority="4">
      <formula>$K74&gt;0</formula>
    </cfRule>
  </conditionalFormatting>
  <conditionalFormatting sqref="C70:C73">
    <cfRule type="expression" dxfId="33" priority="3">
      <formula>$K70&gt;0</formula>
    </cfRule>
  </conditionalFormatting>
  <conditionalFormatting sqref="C56:C69">
    <cfRule type="expression" dxfId="32" priority="2">
      <formula>$K56&gt;0</formula>
    </cfRule>
  </conditionalFormatting>
  <conditionalFormatting sqref="C24:C55">
    <cfRule type="expression" dxfId="31" priority="1">
      <formula>$K24&gt;0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98" workbookViewId="0">
      <selection activeCell="A233" sqref="A233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3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Plan Maps. AUG</vt:lpstr>
      <vt:lpstr>Tanam Kangkung- 7 Bedeng</vt:lpstr>
      <vt:lpstr>dash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2025-12-06T11:39:46Z</dcterms:modified>
</cp:coreProperties>
</file>