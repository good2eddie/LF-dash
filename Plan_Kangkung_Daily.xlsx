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NOV25\"/>
    </mc:Choice>
  </mc:AlternateContent>
  <xr:revisionPtr revIDLastSave="0" documentId="13_ncr:1_{9481C0AB-2DC1-4C04-B7A4-9DC60F78F8C6}" xr6:coauthVersionLast="47" xr6:coauthVersionMax="47" xr10:uidLastSave="{00000000-0000-0000-0000-000000000000}"/>
  <bookViews>
    <workbookView xWindow="-120" yWindow="-120" windowWidth="29040" windowHeight="15720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definedNames>
    <definedName name="_xlnm._FilterDatabase" localSheetId="2" hidden="1">dash!$A$2:$N$334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75" i="3" l="1"/>
  <c r="G375" i="3"/>
  <c r="F375" i="3"/>
  <c r="E375" i="3"/>
  <c r="D375" i="3"/>
  <c r="C375" i="3"/>
  <c r="H374" i="3"/>
  <c r="G374" i="3"/>
  <c r="F374" i="3"/>
  <c r="E374" i="3"/>
  <c r="D374" i="3"/>
  <c r="C374" i="3"/>
  <c r="H373" i="3"/>
  <c r="G373" i="3"/>
  <c r="F373" i="3"/>
  <c r="E373" i="3"/>
  <c r="D373" i="3"/>
  <c r="C373" i="3"/>
  <c r="H372" i="3"/>
  <c r="G372" i="3"/>
  <c r="F372" i="3"/>
  <c r="E372" i="3"/>
  <c r="D372" i="3"/>
  <c r="C372" i="3"/>
  <c r="H371" i="3"/>
  <c r="G371" i="3"/>
  <c r="F371" i="3"/>
  <c r="E371" i="3"/>
  <c r="D371" i="3"/>
  <c r="C371" i="3"/>
  <c r="H370" i="3"/>
  <c r="G370" i="3"/>
  <c r="F370" i="3"/>
  <c r="E370" i="3"/>
  <c r="D370" i="3"/>
  <c r="C370" i="3"/>
  <c r="H369" i="3"/>
  <c r="G369" i="3"/>
  <c r="F369" i="3"/>
  <c r="E369" i="3"/>
  <c r="D369" i="3"/>
  <c r="C369" i="3"/>
  <c r="H368" i="3"/>
  <c r="G368" i="3"/>
  <c r="F368" i="3"/>
  <c r="E368" i="3"/>
  <c r="D368" i="3"/>
  <c r="C368" i="3"/>
  <c r="H367" i="3"/>
  <c r="G367" i="3"/>
  <c r="F367" i="3"/>
  <c r="E367" i="3"/>
  <c r="D367" i="3"/>
  <c r="C367" i="3"/>
  <c r="H366" i="3"/>
  <c r="G366" i="3"/>
  <c r="F366" i="3"/>
  <c r="E366" i="3"/>
  <c r="D366" i="3"/>
  <c r="C366" i="3"/>
  <c r="H365" i="3"/>
  <c r="G365" i="3"/>
  <c r="F365" i="3"/>
  <c r="E365" i="3"/>
  <c r="D365" i="3"/>
  <c r="C365" i="3"/>
  <c r="H364" i="3"/>
  <c r="G364" i="3"/>
  <c r="F364" i="3"/>
  <c r="E364" i="3"/>
  <c r="D364" i="3"/>
  <c r="C364" i="3"/>
  <c r="H363" i="3"/>
  <c r="G363" i="3"/>
  <c r="F363" i="3"/>
  <c r="E363" i="3"/>
  <c r="D363" i="3"/>
  <c r="C363" i="3"/>
  <c r="M188" i="3"/>
  <c r="J188" i="3"/>
  <c r="H188" i="3"/>
  <c r="G188" i="3"/>
  <c r="F188" i="3"/>
  <c r="E188" i="3"/>
  <c r="D188" i="3"/>
  <c r="C188" i="3"/>
  <c r="M187" i="3"/>
  <c r="J187" i="3"/>
  <c r="H187" i="3"/>
  <c r="G187" i="3"/>
  <c r="F187" i="3"/>
  <c r="E187" i="3"/>
  <c r="D187" i="3"/>
  <c r="C187" i="3"/>
  <c r="H186" i="3"/>
  <c r="G186" i="3"/>
  <c r="F186" i="3"/>
  <c r="E186" i="3"/>
  <c r="D186" i="3"/>
  <c r="C186" i="3"/>
  <c r="H185" i="3"/>
  <c r="G185" i="3"/>
  <c r="F185" i="3"/>
  <c r="E185" i="3"/>
  <c r="D185" i="3"/>
  <c r="C185" i="3"/>
  <c r="H184" i="3"/>
  <c r="G184" i="3"/>
  <c r="F184" i="3"/>
  <c r="E184" i="3"/>
  <c r="D184" i="3"/>
  <c r="C184" i="3"/>
  <c r="H183" i="3"/>
  <c r="G183" i="3"/>
  <c r="F183" i="3"/>
  <c r="E183" i="3"/>
  <c r="D183" i="3"/>
  <c r="C183" i="3"/>
  <c r="M182" i="3"/>
  <c r="J182" i="3"/>
  <c r="H182" i="3"/>
  <c r="G182" i="3"/>
  <c r="F182" i="3"/>
  <c r="E182" i="3"/>
  <c r="D182" i="3"/>
  <c r="C182" i="3"/>
  <c r="M181" i="3"/>
  <c r="J181" i="3"/>
  <c r="H181" i="3"/>
  <c r="G181" i="3"/>
  <c r="F181" i="3"/>
  <c r="E181" i="3"/>
  <c r="D181" i="3"/>
  <c r="C181" i="3"/>
  <c r="M180" i="3"/>
  <c r="J180" i="3"/>
  <c r="H180" i="3"/>
  <c r="G180" i="3"/>
  <c r="F180" i="3"/>
  <c r="E180" i="3"/>
  <c r="D180" i="3"/>
  <c r="C180" i="3"/>
  <c r="M179" i="3"/>
  <c r="J179" i="3"/>
  <c r="H179" i="3"/>
  <c r="G179" i="3"/>
  <c r="F179" i="3"/>
  <c r="E179" i="3"/>
  <c r="D179" i="3"/>
  <c r="C179" i="3"/>
  <c r="M178" i="3"/>
  <c r="J178" i="3"/>
  <c r="H178" i="3"/>
  <c r="G178" i="3"/>
  <c r="F178" i="3"/>
  <c r="E178" i="3"/>
  <c r="D178" i="3"/>
  <c r="C178" i="3"/>
  <c r="M177" i="3"/>
  <c r="J177" i="3"/>
  <c r="H177" i="3"/>
  <c r="G177" i="3"/>
  <c r="F177" i="3"/>
  <c r="E177" i="3"/>
  <c r="D177" i="3"/>
  <c r="C177" i="3"/>
  <c r="M176" i="3"/>
  <c r="J176" i="3"/>
  <c r="H176" i="3"/>
  <c r="G176" i="3"/>
  <c r="F176" i="3"/>
  <c r="E176" i="3"/>
  <c r="D176" i="3"/>
  <c r="C176" i="3"/>
  <c r="M175" i="3"/>
  <c r="J175" i="3"/>
  <c r="H175" i="3"/>
  <c r="G175" i="3"/>
  <c r="F175" i="3"/>
  <c r="E175" i="3"/>
  <c r="D175" i="3"/>
  <c r="C175" i="3"/>
  <c r="M174" i="3"/>
  <c r="J174" i="3"/>
  <c r="H174" i="3"/>
  <c r="G174" i="3"/>
  <c r="F174" i="3"/>
  <c r="E174" i="3"/>
  <c r="D174" i="3"/>
  <c r="C174" i="3"/>
  <c r="M173" i="3"/>
  <c r="J173" i="3"/>
  <c r="H173" i="3"/>
  <c r="G173" i="3"/>
  <c r="F173" i="3"/>
  <c r="E173" i="3"/>
  <c r="D173" i="3"/>
  <c r="C173" i="3"/>
  <c r="M172" i="3"/>
  <c r="J172" i="3"/>
  <c r="H172" i="3"/>
  <c r="G172" i="3"/>
  <c r="F172" i="3"/>
  <c r="E172" i="3"/>
  <c r="D172" i="3"/>
  <c r="C172" i="3"/>
  <c r="M171" i="3"/>
  <c r="J171" i="3"/>
  <c r="H171" i="3"/>
  <c r="G171" i="3"/>
  <c r="F171" i="3"/>
  <c r="E171" i="3"/>
  <c r="D171" i="3"/>
  <c r="C171" i="3"/>
  <c r="M170" i="3"/>
  <c r="J170" i="3"/>
  <c r="H170" i="3"/>
  <c r="G170" i="3"/>
  <c r="F170" i="3"/>
  <c r="E170" i="3"/>
  <c r="D170" i="3"/>
  <c r="C170" i="3"/>
  <c r="H362" i="3"/>
  <c r="G362" i="3"/>
  <c r="F362" i="3"/>
  <c r="E362" i="3"/>
  <c r="D362" i="3"/>
  <c r="C362" i="3"/>
  <c r="H361" i="3"/>
  <c r="G361" i="3"/>
  <c r="F361" i="3"/>
  <c r="E361" i="3"/>
  <c r="D361" i="3"/>
  <c r="C361" i="3"/>
  <c r="H360" i="3"/>
  <c r="G360" i="3"/>
  <c r="F360" i="3"/>
  <c r="E360" i="3"/>
  <c r="D360" i="3"/>
  <c r="C360" i="3"/>
  <c r="H359" i="3"/>
  <c r="G359" i="3"/>
  <c r="F359" i="3"/>
  <c r="E359" i="3"/>
  <c r="D359" i="3"/>
  <c r="C359" i="3"/>
  <c r="H358" i="3"/>
  <c r="G358" i="3"/>
  <c r="F358" i="3"/>
  <c r="E358" i="3"/>
  <c r="D358" i="3"/>
  <c r="C358" i="3"/>
  <c r="H357" i="3"/>
  <c r="G357" i="3"/>
  <c r="F357" i="3"/>
  <c r="E357" i="3"/>
  <c r="D357" i="3"/>
  <c r="C357" i="3"/>
  <c r="H356" i="3"/>
  <c r="G356" i="3"/>
  <c r="F356" i="3"/>
  <c r="E356" i="3"/>
  <c r="D356" i="3"/>
  <c r="C356" i="3"/>
  <c r="H355" i="3"/>
  <c r="G355" i="3"/>
  <c r="F355" i="3"/>
  <c r="E355" i="3"/>
  <c r="D355" i="3"/>
  <c r="C355" i="3"/>
  <c r="H354" i="3"/>
  <c r="G354" i="3"/>
  <c r="F354" i="3"/>
  <c r="E354" i="3"/>
  <c r="D354" i="3"/>
  <c r="C354" i="3"/>
  <c r="H353" i="3"/>
  <c r="G353" i="3"/>
  <c r="F353" i="3"/>
  <c r="E353" i="3"/>
  <c r="D353" i="3"/>
  <c r="C353" i="3"/>
  <c r="H352" i="3"/>
  <c r="G352" i="3"/>
  <c r="F352" i="3"/>
  <c r="E352" i="3"/>
  <c r="D352" i="3"/>
  <c r="C352" i="3"/>
  <c r="H351" i="3"/>
  <c r="G351" i="3"/>
  <c r="F351" i="3"/>
  <c r="E351" i="3"/>
  <c r="D351" i="3"/>
  <c r="C351" i="3"/>
  <c r="H350" i="3"/>
  <c r="G350" i="3"/>
  <c r="F350" i="3"/>
  <c r="E350" i="3"/>
  <c r="D350" i="3"/>
  <c r="C350" i="3"/>
  <c r="H349" i="3"/>
  <c r="G349" i="3"/>
  <c r="F349" i="3"/>
  <c r="E349" i="3"/>
  <c r="D349" i="3"/>
  <c r="C349" i="3"/>
  <c r="H348" i="3"/>
  <c r="G348" i="3"/>
  <c r="F348" i="3"/>
  <c r="E348" i="3"/>
  <c r="D348" i="3"/>
  <c r="C348" i="3"/>
  <c r="H347" i="3"/>
  <c r="G347" i="3"/>
  <c r="F347" i="3"/>
  <c r="E347" i="3"/>
  <c r="D347" i="3"/>
  <c r="C347" i="3"/>
  <c r="H346" i="3"/>
  <c r="G346" i="3"/>
  <c r="F346" i="3"/>
  <c r="E346" i="3"/>
  <c r="D346" i="3"/>
  <c r="C346" i="3"/>
  <c r="H345" i="3"/>
  <c r="G345" i="3"/>
  <c r="F345" i="3"/>
  <c r="E345" i="3"/>
  <c r="D345" i="3"/>
  <c r="C345" i="3"/>
  <c r="H344" i="3"/>
  <c r="G344" i="3"/>
  <c r="F344" i="3"/>
  <c r="E344" i="3"/>
  <c r="D344" i="3"/>
  <c r="C344" i="3"/>
  <c r="H343" i="3"/>
  <c r="G343" i="3"/>
  <c r="F343" i="3"/>
  <c r="E343" i="3"/>
  <c r="D343" i="3"/>
  <c r="C343" i="3"/>
  <c r="H342" i="3"/>
  <c r="G342" i="3"/>
  <c r="F342" i="3"/>
  <c r="E342" i="3"/>
  <c r="D342" i="3"/>
  <c r="C342" i="3"/>
  <c r="H341" i="3"/>
  <c r="G341" i="3"/>
  <c r="F341" i="3"/>
  <c r="E341" i="3"/>
  <c r="D341" i="3"/>
  <c r="C341" i="3"/>
  <c r="H340" i="3"/>
  <c r="G340" i="3"/>
  <c r="F340" i="3"/>
  <c r="E340" i="3"/>
  <c r="D340" i="3"/>
  <c r="C340" i="3"/>
  <c r="H339" i="3"/>
  <c r="G339" i="3"/>
  <c r="F339" i="3"/>
  <c r="E339" i="3"/>
  <c r="D339" i="3"/>
  <c r="C339" i="3"/>
  <c r="H338" i="3"/>
  <c r="G338" i="3"/>
  <c r="F338" i="3"/>
  <c r="E338" i="3"/>
  <c r="D338" i="3"/>
  <c r="C338" i="3"/>
  <c r="H337" i="3"/>
  <c r="G337" i="3"/>
  <c r="F337" i="3"/>
  <c r="E337" i="3"/>
  <c r="D337" i="3"/>
  <c r="C337" i="3"/>
  <c r="H336" i="3"/>
  <c r="G336" i="3"/>
  <c r="F336" i="3"/>
  <c r="E336" i="3"/>
  <c r="D336" i="3"/>
  <c r="C336" i="3"/>
  <c r="H335" i="3"/>
  <c r="G335" i="3"/>
  <c r="F335" i="3"/>
  <c r="E335" i="3"/>
  <c r="D335" i="3"/>
  <c r="C335" i="3"/>
  <c r="J169" i="3"/>
  <c r="J168" i="3"/>
  <c r="J167" i="3"/>
  <c r="J166" i="3"/>
  <c r="J165" i="3"/>
  <c r="J164" i="3"/>
  <c r="J163" i="3"/>
  <c r="J162" i="3"/>
  <c r="M169" i="3"/>
  <c r="M168" i="3"/>
  <c r="M167" i="3"/>
  <c r="M166" i="3"/>
  <c r="M165" i="3"/>
  <c r="M164" i="3"/>
  <c r="M163" i="3"/>
  <c r="M162" i="3"/>
  <c r="J144" i="3" l="1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34" i="3"/>
  <c r="J135" i="3"/>
  <c r="J136" i="3"/>
  <c r="J137" i="3"/>
  <c r="J138" i="3"/>
  <c r="J139" i="3"/>
  <c r="J140" i="3"/>
  <c r="J141" i="3"/>
  <c r="J142" i="3"/>
  <c r="J143" i="3"/>
  <c r="J130" i="3"/>
  <c r="J131" i="3"/>
  <c r="J132" i="3"/>
  <c r="J133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C3" i="3"/>
  <c r="D3" i="3"/>
  <c r="E3" i="3"/>
  <c r="F3" i="3"/>
  <c r="G3" i="3"/>
  <c r="H3" i="3"/>
  <c r="C4" i="3"/>
  <c r="D4" i="3"/>
  <c r="E4" i="3"/>
  <c r="F4" i="3"/>
  <c r="G4" i="3"/>
  <c r="H4" i="3"/>
  <c r="C5" i="3"/>
  <c r="D5" i="3"/>
  <c r="E5" i="3"/>
  <c r="F5" i="3"/>
  <c r="G5" i="3"/>
  <c r="H5" i="3"/>
  <c r="C6" i="3"/>
  <c r="D6" i="3"/>
  <c r="E6" i="3"/>
  <c r="F6" i="3"/>
  <c r="G6" i="3"/>
  <c r="H6" i="3"/>
  <c r="C7" i="3"/>
  <c r="D7" i="3"/>
  <c r="E7" i="3"/>
  <c r="F7" i="3"/>
  <c r="G7" i="3"/>
  <c r="H7" i="3"/>
  <c r="C8" i="3"/>
  <c r="D8" i="3"/>
  <c r="E8" i="3"/>
  <c r="F8" i="3"/>
  <c r="G8" i="3"/>
  <c r="H8" i="3"/>
  <c r="C9" i="3"/>
  <c r="D9" i="3"/>
  <c r="E9" i="3"/>
  <c r="F9" i="3"/>
  <c r="G9" i="3"/>
  <c r="H9" i="3"/>
  <c r="C10" i="3"/>
  <c r="D10" i="3"/>
  <c r="E10" i="3"/>
  <c r="F10" i="3"/>
  <c r="G10" i="3"/>
  <c r="H10" i="3"/>
  <c r="C11" i="3"/>
  <c r="D11" i="3"/>
  <c r="E11" i="3"/>
  <c r="F11" i="3"/>
  <c r="G11" i="3"/>
  <c r="H11" i="3"/>
  <c r="C12" i="3"/>
  <c r="D12" i="3"/>
  <c r="E12" i="3"/>
  <c r="F12" i="3"/>
  <c r="G12" i="3"/>
  <c r="H12" i="3"/>
  <c r="C13" i="3"/>
  <c r="D13" i="3"/>
  <c r="E13" i="3"/>
  <c r="F13" i="3"/>
  <c r="G13" i="3"/>
  <c r="H13" i="3"/>
  <c r="C14" i="3"/>
  <c r="D14" i="3"/>
  <c r="E14" i="3"/>
  <c r="F14" i="3"/>
  <c r="G14" i="3"/>
  <c r="H14" i="3"/>
  <c r="C15" i="3"/>
  <c r="D15" i="3"/>
  <c r="E15" i="3"/>
  <c r="F15" i="3"/>
  <c r="G15" i="3"/>
  <c r="H15" i="3"/>
  <c r="C16" i="3"/>
  <c r="D16" i="3"/>
  <c r="E16" i="3"/>
  <c r="F16" i="3"/>
  <c r="G16" i="3"/>
  <c r="H16" i="3"/>
  <c r="C17" i="3"/>
  <c r="D17" i="3"/>
  <c r="E17" i="3"/>
  <c r="F17" i="3"/>
  <c r="G17" i="3"/>
  <c r="H17" i="3"/>
  <c r="C18" i="3"/>
  <c r="D18" i="3"/>
  <c r="E18" i="3"/>
  <c r="F18" i="3"/>
  <c r="G18" i="3"/>
  <c r="H18" i="3"/>
  <c r="C19" i="3"/>
  <c r="D19" i="3"/>
  <c r="E19" i="3"/>
  <c r="F19" i="3"/>
  <c r="G19" i="3"/>
  <c r="H19" i="3"/>
  <c r="C20" i="3"/>
  <c r="D20" i="3"/>
  <c r="E20" i="3"/>
  <c r="F20" i="3"/>
  <c r="G20" i="3"/>
  <c r="H20" i="3"/>
  <c r="C21" i="3"/>
  <c r="D21" i="3"/>
  <c r="E21" i="3"/>
  <c r="F21" i="3"/>
  <c r="G21" i="3"/>
  <c r="H21" i="3"/>
  <c r="C22" i="3"/>
  <c r="D22" i="3"/>
  <c r="E22" i="3"/>
  <c r="F22" i="3"/>
  <c r="G22" i="3"/>
  <c r="H22" i="3"/>
  <c r="C23" i="3"/>
  <c r="D23" i="3"/>
  <c r="E23" i="3"/>
  <c r="F23" i="3"/>
  <c r="G23" i="3"/>
  <c r="H23" i="3"/>
  <c r="C24" i="3"/>
  <c r="D24" i="3"/>
  <c r="E24" i="3"/>
  <c r="F24" i="3"/>
  <c r="G24" i="3"/>
  <c r="H24" i="3"/>
  <c r="C25" i="3"/>
  <c r="D25" i="3"/>
  <c r="E25" i="3"/>
  <c r="F25" i="3"/>
  <c r="G25" i="3"/>
  <c r="H25" i="3"/>
  <c r="C26" i="3"/>
  <c r="D26" i="3"/>
  <c r="E26" i="3"/>
  <c r="F26" i="3"/>
  <c r="G26" i="3"/>
  <c r="H26" i="3"/>
  <c r="C27" i="3"/>
  <c r="D27" i="3"/>
  <c r="E27" i="3"/>
  <c r="F27" i="3"/>
  <c r="G27" i="3"/>
  <c r="H27" i="3"/>
  <c r="C28" i="3"/>
  <c r="D28" i="3"/>
  <c r="E28" i="3"/>
  <c r="F28" i="3"/>
  <c r="G28" i="3"/>
  <c r="H28" i="3"/>
  <c r="C29" i="3"/>
  <c r="D29" i="3"/>
  <c r="E29" i="3"/>
  <c r="F29" i="3"/>
  <c r="G29" i="3"/>
  <c r="H29" i="3"/>
  <c r="C30" i="3"/>
  <c r="D30" i="3"/>
  <c r="E30" i="3"/>
  <c r="F30" i="3"/>
  <c r="G30" i="3"/>
  <c r="H30" i="3"/>
  <c r="C31" i="3"/>
  <c r="D31" i="3"/>
  <c r="E31" i="3"/>
  <c r="F31" i="3"/>
  <c r="G31" i="3"/>
  <c r="H31" i="3"/>
  <c r="C32" i="3"/>
  <c r="D32" i="3"/>
  <c r="E32" i="3"/>
  <c r="F32" i="3"/>
  <c r="G32" i="3"/>
  <c r="H32" i="3"/>
  <c r="C33" i="3"/>
  <c r="D33" i="3"/>
  <c r="E33" i="3"/>
  <c r="F33" i="3"/>
  <c r="G33" i="3"/>
  <c r="H33" i="3"/>
  <c r="C34" i="3"/>
  <c r="D34" i="3"/>
  <c r="E34" i="3"/>
  <c r="F34" i="3"/>
  <c r="G34" i="3"/>
  <c r="H34" i="3"/>
  <c r="C35" i="3"/>
  <c r="D35" i="3"/>
  <c r="E35" i="3"/>
  <c r="F35" i="3"/>
  <c r="G35" i="3"/>
  <c r="H35" i="3"/>
  <c r="C36" i="3"/>
  <c r="D36" i="3"/>
  <c r="E36" i="3"/>
  <c r="F36" i="3"/>
  <c r="G36" i="3"/>
  <c r="H36" i="3"/>
  <c r="C37" i="3"/>
  <c r="D37" i="3"/>
  <c r="E37" i="3"/>
  <c r="F37" i="3"/>
  <c r="G37" i="3"/>
  <c r="H37" i="3"/>
  <c r="C38" i="3"/>
  <c r="D38" i="3"/>
  <c r="E38" i="3"/>
  <c r="F38" i="3"/>
  <c r="G38" i="3"/>
  <c r="H38" i="3"/>
  <c r="C39" i="3"/>
  <c r="D39" i="3"/>
  <c r="E39" i="3"/>
  <c r="F39" i="3"/>
  <c r="G39" i="3"/>
  <c r="H39" i="3"/>
  <c r="C40" i="3"/>
  <c r="D40" i="3"/>
  <c r="E40" i="3"/>
  <c r="F40" i="3"/>
  <c r="G40" i="3"/>
  <c r="H40" i="3"/>
  <c r="C41" i="3"/>
  <c r="D41" i="3"/>
  <c r="E41" i="3"/>
  <c r="F41" i="3"/>
  <c r="G41" i="3"/>
  <c r="H41" i="3"/>
  <c r="C42" i="3"/>
  <c r="D42" i="3"/>
  <c r="E42" i="3"/>
  <c r="F42" i="3"/>
  <c r="G42" i="3"/>
  <c r="H42" i="3"/>
  <c r="C43" i="3"/>
  <c r="D43" i="3"/>
  <c r="E43" i="3"/>
  <c r="F43" i="3"/>
  <c r="G43" i="3"/>
  <c r="H43" i="3"/>
  <c r="C44" i="3"/>
  <c r="D44" i="3"/>
  <c r="E44" i="3"/>
  <c r="F44" i="3"/>
  <c r="G44" i="3"/>
  <c r="H44" i="3"/>
  <c r="C45" i="3"/>
  <c r="D45" i="3"/>
  <c r="E45" i="3"/>
  <c r="F45" i="3"/>
  <c r="G45" i="3"/>
  <c r="H45" i="3"/>
  <c r="C46" i="3"/>
  <c r="D46" i="3"/>
  <c r="E46" i="3"/>
  <c r="F46" i="3"/>
  <c r="G46" i="3"/>
  <c r="H46" i="3"/>
  <c r="C47" i="3"/>
  <c r="D47" i="3"/>
  <c r="E47" i="3"/>
  <c r="F47" i="3"/>
  <c r="G47" i="3"/>
  <c r="H47" i="3"/>
  <c r="C48" i="3"/>
  <c r="D48" i="3"/>
  <c r="E48" i="3"/>
  <c r="F48" i="3"/>
  <c r="G48" i="3"/>
  <c r="H48" i="3"/>
  <c r="C49" i="3"/>
  <c r="D49" i="3"/>
  <c r="E49" i="3"/>
  <c r="F49" i="3"/>
  <c r="G49" i="3"/>
  <c r="H49" i="3"/>
  <c r="C50" i="3"/>
  <c r="D50" i="3"/>
  <c r="E50" i="3"/>
  <c r="F50" i="3"/>
  <c r="G50" i="3"/>
  <c r="H50" i="3"/>
  <c r="C51" i="3"/>
  <c r="D51" i="3"/>
  <c r="E51" i="3"/>
  <c r="F51" i="3"/>
  <c r="G51" i="3"/>
  <c r="H51" i="3"/>
  <c r="C52" i="3"/>
  <c r="D52" i="3"/>
  <c r="E52" i="3"/>
  <c r="F52" i="3"/>
  <c r="G52" i="3"/>
  <c r="H52" i="3"/>
  <c r="C53" i="3"/>
  <c r="D53" i="3"/>
  <c r="E53" i="3"/>
  <c r="F53" i="3"/>
  <c r="G53" i="3"/>
  <c r="H53" i="3"/>
  <c r="C54" i="3"/>
  <c r="D54" i="3"/>
  <c r="E54" i="3"/>
  <c r="F54" i="3"/>
  <c r="G54" i="3"/>
  <c r="H54" i="3"/>
  <c r="C55" i="3"/>
  <c r="D55" i="3"/>
  <c r="E55" i="3"/>
  <c r="F55" i="3"/>
  <c r="G55" i="3"/>
  <c r="H55" i="3"/>
  <c r="C56" i="3"/>
  <c r="D56" i="3"/>
  <c r="E56" i="3"/>
  <c r="F56" i="3"/>
  <c r="G56" i="3"/>
  <c r="H56" i="3"/>
  <c r="C57" i="3"/>
  <c r="D57" i="3"/>
  <c r="E57" i="3"/>
  <c r="F57" i="3"/>
  <c r="G57" i="3"/>
  <c r="H57" i="3"/>
  <c r="C58" i="3"/>
  <c r="D58" i="3"/>
  <c r="E58" i="3"/>
  <c r="F58" i="3"/>
  <c r="G58" i="3"/>
  <c r="H58" i="3"/>
  <c r="C59" i="3"/>
  <c r="D59" i="3"/>
  <c r="E59" i="3"/>
  <c r="F59" i="3"/>
  <c r="G59" i="3"/>
  <c r="H59" i="3"/>
  <c r="C60" i="3"/>
  <c r="D60" i="3"/>
  <c r="E60" i="3"/>
  <c r="F60" i="3"/>
  <c r="G60" i="3"/>
  <c r="H60" i="3"/>
  <c r="C61" i="3"/>
  <c r="D61" i="3"/>
  <c r="E61" i="3"/>
  <c r="F61" i="3"/>
  <c r="G61" i="3"/>
  <c r="H61" i="3"/>
  <c r="C62" i="3"/>
  <c r="D62" i="3"/>
  <c r="E62" i="3"/>
  <c r="F62" i="3"/>
  <c r="G62" i="3"/>
  <c r="H62" i="3"/>
  <c r="C63" i="3"/>
  <c r="D63" i="3"/>
  <c r="E63" i="3"/>
  <c r="F63" i="3"/>
  <c r="G63" i="3"/>
  <c r="H63" i="3"/>
  <c r="C64" i="3"/>
  <c r="D64" i="3"/>
  <c r="E64" i="3"/>
  <c r="F64" i="3"/>
  <c r="G64" i="3"/>
  <c r="H64" i="3"/>
  <c r="C65" i="3"/>
  <c r="D65" i="3"/>
  <c r="E65" i="3"/>
  <c r="F65" i="3"/>
  <c r="G65" i="3"/>
  <c r="H65" i="3"/>
  <c r="C66" i="3"/>
  <c r="D66" i="3"/>
  <c r="E66" i="3"/>
  <c r="F66" i="3"/>
  <c r="G66" i="3"/>
  <c r="H66" i="3"/>
  <c r="C67" i="3"/>
  <c r="D67" i="3"/>
  <c r="E67" i="3"/>
  <c r="F67" i="3"/>
  <c r="G67" i="3"/>
  <c r="H67" i="3"/>
  <c r="C68" i="3"/>
  <c r="D68" i="3"/>
  <c r="E68" i="3"/>
  <c r="F68" i="3"/>
  <c r="G68" i="3"/>
  <c r="H68" i="3"/>
  <c r="C69" i="3"/>
  <c r="D69" i="3"/>
  <c r="E69" i="3"/>
  <c r="F69" i="3"/>
  <c r="G69" i="3"/>
  <c r="H69" i="3"/>
  <c r="C70" i="3"/>
  <c r="D70" i="3"/>
  <c r="E70" i="3"/>
  <c r="F70" i="3"/>
  <c r="G70" i="3"/>
  <c r="H70" i="3"/>
  <c r="C71" i="3"/>
  <c r="D71" i="3"/>
  <c r="E71" i="3"/>
  <c r="F71" i="3"/>
  <c r="G71" i="3"/>
  <c r="H71" i="3"/>
  <c r="C72" i="3"/>
  <c r="D72" i="3"/>
  <c r="E72" i="3"/>
  <c r="F72" i="3"/>
  <c r="G72" i="3"/>
  <c r="H72" i="3"/>
  <c r="C73" i="3"/>
  <c r="D73" i="3"/>
  <c r="E73" i="3"/>
  <c r="F73" i="3"/>
  <c r="G73" i="3"/>
  <c r="H73" i="3"/>
  <c r="C74" i="3"/>
  <c r="D74" i="3"/>
  <c r="E74" i="3"/>
  <c r="F74" i="3"/>
  <c r="G74" i="3"/>
  <c r="H74" i="3"/>
  <c r="C75" i="3"/>
  <c r="D75" i="3"/>
  <c r="E75" i="3"/>
  <c r="F75" i="3"/>
  <c r="G75" i="3"/>
  <c r="H75" i="3"/>
  <c r="C76" i="3"/>
  <c r="D76" i="3"/>
  <c r="E76" i="3"/>
  <c r="F76" i="3"/>
  <c r="G76" i="3"/>
  <c r="H76" i="3"/>
  <c r="C77" i="3"/>
  <c r="D77" i="3"/>
  <c r="E77" i="3"/>
  <c r="F77" i="3"/>
  <c r="G77" i="3"/>
  <c r="H77" i="3"/>
  <c r="C78" i="3"/>
  <c r="D78" i="3"/>
  <c r="E78" i="3"/>
  <c r="F78" i="3"/>
  <c r="G78" i="3"/>
  <c r="H78" i="3"/>
  <c r="C79" i="3"/>
  <c r="D79" i="3"/>
  <c r="E79" i="3"/>
  <c r="F79" i="3"/>
  <c r="G79" i="3"/>
  <c r="H79" i="3"/>
  <c r="C80" i="3"/>
  <c r="D80" i="3"/>
  <c r="E80" i="3"/>
  <c r="F80" i="3"/>
  <c r="G80" i="3"/>
  <c r="H80" i="3"/>
  <c r="C81" i="3"/>
  <c r="D81" i="3"/>
  <c r="E81" i="3"/>
  <c r="F81" i="3"/>
  <c r="G81" i="3"/>
  <c r="H81" i="3"/>
  <c r="C82" i="3"/>
  <c r="D82" i="3"/>
  <c r="E82" i="3"/>
  <c r="F82" i="3"/>
  <c r="G82" i="3"/>
  <c r="H82" i="3"/>
  <c r="C83" i="3"/>
  <c r="D83" i="3"/>
  <c r="E83" i="3"/>
  <c r="F83" i="3"/>
  <c r="G83" i="3"/>
  <c r="H83" i="3"/>
  <c r="C84" i="3"/>
  <c r="D84" i="3"/>
  <c r="E84" i="3"/>
  <c r="F84" i="3"/>
  <c r="G84" i="3"/>
  <c r="H84" i="3"/>
  <c r="C85" i="3"/>
  <c r="D85" i="3"/>
  <c r="E85" i="3"/>
  <c r="F85" i="3"/>
  <c r="G85" i="3"/>
  <c r="H85" i="3"/>
  <c r="C86" i="3"/>
  <c r="D86" i="3"/>
  <c r="E86" i="3"/>
  <c r="F86" i="3"/>
  <c r="G86" i="3"/>
  <c r="H86" i="3"/>
  <c r="C87" i="3"/>
  <c r="D87" i="3"/>
  <c r="E87" i="3"/>
  <c r="F87" i="3"/>
  <c r="G87" i="3"/>
  <c r="H87" i="3"/>
  <c r="C88" i="3"/>
  <c r="D88" i="3"/>
  <c r="E88" i="3"/>
  <c r="F88" i="3"/>
  <c r="G88" i="3"/>
  <c r="H88" i="3"/>
  <c r="C89" i="3"/>
  <c r="D89" i="3"/>
  <c r="E89" i="3"/>
  <c r="F89" i="3"/>
  <c r="G89" i="3"/>
  <c r="H89" i="3"/>
  <c r="C90" i="3"/>
  <c r="D90" i="3"/>
  <c r="E90" i="3"/>
  <c r="F90" i="3"/>
  <c r="G90" i="3"/>
  <c r="H90" i="3"/>
  <c r="C91" i="3"/>
  <c r="D91" i="3"/>
  <c r="E91" i="3"/>
  <c r="F91" i="3"/>
  <c r="G91" i="3"/>
  <c r="H91" i="3"/>
  <c r="C92" i="3"/>
  <c r="D92" i="3"/>
  <c r="E92" i="3"/>
  <c r="F92" i="3"/>
  <c r="G92" i="3"/>
  <c r="H92" i="3"/>
  <c r="C93" i="3"/>
  <c r="D93" i="3"/>
  <c r="E93" i="3"/>
  <c r="F93" i="3"/>
  <c r="G93" i="3"/>
  <c r="H93" i="3"/>
  <c r="C94" i="3"/>
  <c r="D94" i="3"/>
  <c r="E94" i="3"/>
  <c r="F94" i="3"/>
  <c r="G94" i="3"/>
  <c r="H94" i="3"/>
  <c r="C95" i="3"/>
  <c r="D95" i="3"/>
  <c r="E95" i="3"/>
  <c r="F95" i="3"/>
  <c r="G95" i="3"/>
  <c r="H95" i="3"/>
  <c r="C96" i="3"/>
  <c r="D96" i="3"/>
  <c r="E96" i="3"/>
  <c r="F96" i="3"/>
  <c r="G96" i="3"/>
  <c r="H96" i="3"/>
  <c r="C97" i="3"/>
  <c r="D97" i="3"/>
  <c r="E97" i="3"/>
  <c r="F97" i="3"/>
  <c r="G97" i="3"/>
  <c r="H97" i="3"/>
  <c r="C98" i="3"/>
  <c r="D98" i="3"/>
  <c r="E98" i="3"/>
  <c r="F98" i="3"/>
  <c r="G98" i="3"/>
  <c r="H98" i="3"/>
  <c r="C99" i="3"/>
  <c r="D99" i="3"/>
  <c r="E99" i="3"/>
  <c r="F99" i="3"/>
  <c r="G99" i="3"/>
  <c r="H99" i="3"/>
  <c r="C100" i="3"/>
  <c r="D100" i="3"/>
  <c r="E100" i="3"/>
  <c r="F100" i="3"/>
  <c r="G100" i="3"/>
  <c r="H100" i="3"/>
  <c r="C101" i="3"/>
  <c r="D101" i="3"/>
  <c r="E101" i="3"/>
  <c r="F101" i="3"/>
  <c r="G101" i="3"/>
  <c r="H101" i="3"/>
  <c r="C102" i="3"/>
  <c r="D102" i="3"/>
  <c r="E102" i="3"/>
  <c r="F102" i="3"/>
  <c r="G102" i="3"/>
  <c r="H102" i="3"/>
  <c r="C103" i="3"/>
  <c r="D103" i="3"/>
  <c r="E103" i="3"/>
  <c r="F103" i="3"/>
  <c r="G103" i="3"/>
  <c r="H103" i="3"/>
  <c r="C104" i="3"/>
  <c r="D104" i="3"/>
  <c r="E104" i="3"/>
  <c r="F104" i="3"/>
  <c r="G104" i="3"/>
  <c r="H104" i="3"/>
  <c r="C105" i="3"/>
  <c r="D105" i="3"/>
  <c r="E105" i="3"/>
  <c r="F105" i="3"/>
  <c r="G105" i="3"/>
  <c r="H105" i="3"/>
  <c r="C106" i="3"/>
  <c r="D106" i="3"/>
  <c r="E106" i="3"/>
  <c r="F106" i="3"/>
  <c r="G106" i="3"/>
  <c r="H106" i="3"/>
  <c r="C107" i="3"/>
  <c r="D107" i="3"/>
  <c r="E107" i="3"/>
  <c r="F107" i="3"/>
  <c r="G107" i="3"/>
  <c r="H107" i="3"/>
  <c r="C108" i="3"/>
  <c r="D108" i="3"/>
  <c r="E108" i="3"/>
  <c r="F108" i="3"/>
  <c r="G108" i="3"/>
  <c r="H108" i="3"/>
  <c r="C109" i="3"/>
  <c r="D109" i="3"/>
  <c r="E109" i="3"/>
  <c r="F109" i="3"/>
  <c r="G109" i="3"/>
  <c r="H109" i="3"/>
  <c r="C110" i="3"/>
  <c r="D110" i="3"/>
  <c r="E110" i="3"/>
  <c r="F110" i="3"/>
  <c r="G110" i="3"/>
  <c r="H110" i="3"/>
  <c r="C111" i="3"/>
  <c r="D111" i="3"/>
  <c r="E111" i="3"/>
  <c r="F111" i="3"/>
  <c r="G111" i="3"/>
  <c r="H111" i="3"/>
  <c r="C112" i="3"/>
  <c r="D112" i="3"/>
  <c r="E112" i="3"/>
  <c r="F112" i="3"/>
  <c r="G112" i="3"/>
  <c r="H112" i="3"/>
  <c r="C113" i="3"/>
  <c r="D113" i="3"/>
  <c r="E113" i="3"/>
  <c r="F113" i="3"/>
  <c r="G113" i="3"/>
  <c r="H113" i="3"/>
  <c r="C114" i="3"/>
  <c r="D114" i="3"/>
  <c r="E114" i="3"/>
  <c r="F114" i="3"/>
  <c r="G114" i="3"/>
  <c r="H114" i="3"/>
  <c r="C115" i="3"/>
  <c r="D115" i="3"/>
  <c r="E115" i="3"/>
  <c r="F115" i="3"/>
  <c r="G115" i="3"/>
  <c r="H115" i="3"/>
  <c r="C116" i="3"/>
  <c r="D116" i="3"/>
  <c r="E116" i="3"/>
  <c r="F116" i="3"/>
  <c r="G116" i="3"/>
  <c r="H116" i="3"/>
  <c r="C117" i="3"/>
  <c r="D117" i="3"/>
  <c r="E117" i="3"/>
  <c r="F117" i="3"/>
  <c r="G117" i="3"/>
  <c r="H117" i="3"/>
  <c r="C118" i="3"/>
  <c r="D118" i="3"/>
  <c r="E118" i="3"/>
  <c r="F118" i="3"/>
  <c r="G118" i="3"/>
  <c r="H118" i="3"/>
  <c r="C119" i="3"/>
  <c r="D119" i="3"/>
  <c r="E119" i="3"/>
  <c r="F119" i="3"/>
  <c r="G119" i="3"/>
  <c r="H119" i="3"/>
  <c r="C120" i="3"/>
  <c r="D120" i="3"/>
  <c r="E120" i="3"/>
  <c r="F120" i="3"/>
  <c r="G120" i="3"/>
  <c r="H120" i="3"/>
  <c r="C121" i="3"/>
  <c r="D121" i="3"/>
  <c r="E121" i="3"/>
  <c r="F121" i="3"/>
  <c r="G121" i="3"/>
  <c r="H121" i="3"/>
  <c r="C122" i="3"/>
  <c r="D122" i="3"/>
  <c r="E122" i="3"/>
  <c r="F122" i="3"/>
  <c r="G122" i="3"/>
  <c r="H122" i="3"/>
  <c r="C123" i="3"/>
  <c r="D123" i="3"/>
  <c r="E123" i="3"/>
  <c r="F123" i="3"/>
  <c r="G123" i="3"/>
  <c r="H123" i="3"/>
  <c r="C124" i="3"/>
  <c r="D124" i="3"/>
  <c r="E124" i="3"/>
  <c r="F124" i="3"/>
  <c r="G124" i="3"/>
  <c r="H124" i="3"/>
  <c r="C125" i="3"/>
  <c r="D125" i="3"/>
  <c r="E125" i="3"/>
  <c r="F125" i="3"/>
  <c r="G125" i="3"/>
  <c r="H125" i="3"/>
  <c r="C126" i="3"/>
  <c r="D126" i="3"/>
  <c r="E126" i="3"/>
  <c r="F126" i="3"/>
  <c r="G126" i="3"/>
  <c r="H126" i="3"/>
  <c r="C127" i="3"/>
  <c r="D127" i="3"/>
  <c r="E127" i="3"/>
  <c r="F127" i="3"/>
  <c r="G127" i="3"/>
  <c r="H127" i="3"/>
  <c r="C128" i="3"/>
  <c r="D128" i="3"/>
  <c r="E128" i="3"/>
  <c r="F128" i="3"/>
  <c r="G128" i="3"/>
  <c r="H128" i="3"/>
  <c r="C129" i="3"/>
  <c r="D129" i="3"/>
  <c r="E129" i="3"/>
  <c r="F129" i="3"/>
  <c r="G129" i="3"/>
  <c r="H129" i="3"/>
  <c r="C130" i="3"/>
  <c r="D130" i="3"/>
  <c r="E130" i="3"/>
  <c r="F130" i="3"/>
  <c r="G130" i="3"/>
  <c r="H130" i="3"/>
  <c r="C131" i="3"/>
  <c r="D131" i="3"/>
  <c r="E131" i="3"/>
  <c r="F131" i="3"/>
  <c r="G131" i="3"/>
  <c r="H131" i="3"/>
  <c r="C132" i="3"/>
  <c r="D132" i="3"/>
  <c r="E132" i="3"/>
  <c r="F132" i="3"/>
  <c r="G132" i="3"/>
  <c r="H132" i="3"/>
  <c r="C133" i="3"/>
  <c r="D133" i="3"/>
  <c r="E133" i="3"/>
  <c r="F133" i="3"/>
  <c r="G133" i="3"/>
  <c r="H133" i="3"/>
  <c r="C134" i="3"/>
  <c r="D134" i="3"/>
  <c r="E134" i="3"/>
  <c r="F134" i="3"/>
  <c r="G134" i="3"/>
  <c r="H134" i="3"/>
  <c r="C135" i="3"/>
  <c r="D135" i="3"/>
  <c r="E135" i="3"/>
  <c r="F135" i="3"/>
  <c r="G135" i="3"/>
  <c r="H135" i="3"/>
  <c r="C136" i="3"/>
  <c r="D136" i="3"/>
  <c r="E136" i="3"/>
  <c r="F136" i="3"/>
  <c r="G136" i="3"/>
  <c r="H136" i="3"/>
  <c r="C137" i="3"/>
  <c r="D137" i="3"/>
  <c r="E137" i="3"/>
  <c r="F137" i="3"/>
  <c r="G137" i="3"/>
  <c r="H137" i="3"/>
  <c r="C138" i="3"/>
  <c r="D138" i="3"/>
  <c r="E138" i="3"/>
  <c r="F138" i="3"/>
  <c r="G138" i="3"/>
  <c r="H138" i="3"/>
  <c r="C139" i="3"/>
  <c r="D139" i="3"/>
  <c r="E139" i="3"/>
  <c r="F139" i="3"/>
  <c r="G139" i="3"/>
  <c r="H139" i="3"/>
  <c r="C140" i="3"/>
  <c r="D140" i="3"/>
  <c r="E140" i="3"/>
  <c r="F140" i="3"/>
  <c r="G140" i="3"/>
  <c r="H140" i="3"/>
  <c r="C141" i="3"/>
  <c r="D141" i="3"/>
  <c r="E141" i="3"/>
  <c r="F141" i="3"/>
  <c r="G141" i="3"/>
  <c r="H141" i="3"/>
  <c r="C142" i="3"/>
  <c r="D142" i="3"/>
  <c r="E142" i="3"/>
  <c r="F142" i="3"/>
  <c r="G142" i="3"/>
  <c r="H142" i="3"/>
  <c r="C143" i="3"/>
  <c r="D143" i="3"/>
  <c r="E143" i="3"/>
  <c r="F143" i="3"/>
  <c r="G143" i="3"/>
  <c r="H143" i="3"/>
  <c r="C144" i="3"/>
  <c r="D144" i="3"/>
  <c r="E144" i="3"/>
  <c r="F144" i="3"/>
  <c r="G144" i="3"/>
  <c r="H144" i="3"/>
  <c r="C145" i="3"/>
  <c r="D145" i="3"/>
  <c r="E145" i="3"/>
  <c r="F145" i="3"/>
  <c r="G145" i="3"/>
  <c r="H145" i="3"/>
  <c r="C146" i="3"/>
  <c r="D146" i="3"/>
  <c r="E146" i="3"/>
  <c r="F146" i="3"/>
  <c r="G146" i="3"/>
  <c r="H146" i="3"/>
  <c r="C147" i="3"/>
  <c r="D147" i="3"/>
  <c r="E147" i="3"/>
  <c r="F147" i="3"/>
  <c r="G147" i="3"/>
  <c r="H147" i="3"/>
  <c r="C148" i="3"/>
  <c r="D148" i="3"/>
  <c r="E148" i="3"/>
  <c r="F148" i="3"/>
  <c r="G148" i="3"/>
  <c r="H148" i="3"/>
  <c r="C149" i="3"/>
  <c r="D149" i="3"/>
  <c r="E149" i="3"/>
  <c r="F149" i="3"/>
  <c r="G149" i="3"/>
  <c r="H149" i="3"/>
  <c r="C150" i="3"/>
  <c r="D150" i="3"/>
  <c r="E150" i="3"/>
  <c r="F150" i="3"/>
  <c r="G150" i="3"/>
  <c r="H150" i="3"/>
  <c r="C151" i="3"/>
  <c r="D151" i="3"/>
  <c r="E151" i="3"/>
  <c r="F151" i="3"/>
  <c r="G151" i="3"/>
  <c r="H151" i="3"/>
  <c r="C152" i="3"/>
  <c r="D152" i="3"/>
  <c r="E152" i="3"/>
  <c r="F152" i="3"/>
  <c r="G152" i="3"/>
  <c r="H152" i="3"/>
  <c r="C153" i="3"/>
  <c r="D153" i="3"/>
  <c r="E153" i="3"/>
  <c r="F153" i="3"/>
  <c r="G153" i="3"/>
  <c r="H153" i="3"/>
  <c r="C154" i="3"/>
  <c r="D154" i="3"/>
  <c r="E154" i="3"/>
  <c r="F154" i="3"/>
  <c r="G154" i="3"/>
  <c r="H154" i="3"/>
  <c r="C155" i="3"/>
  <c r="D155" i="3"/>
  <c r="E155" i="3"/>
  <c r="F155" i="3"/>
  <c r="G155" i="3"/>
  <c r="H155" i="3"/>
  <c r="C156" i="3"/>
  <c r="D156" i="3"/>
  <c r="E156" i="3"/>
  <c r="F156" i="3"/>
  <c r="G156" i="3"/>
  <c r="H156" i="3"/>
  <c r="C157" i="3"/>
  <c r="D157" i="3"/>
  <c r="E157" i="3"/>
  <c r="F157" i="3"/>
  <c r="G157" i="3"/>
  <c r="H157" i="3"/>
  <c r="C158" i="3"/>
  <c r="D158" i="3"/>
  <c r="E158" i="3"/>
  <c r="F158" i="3"/>
  <c r="G158" i="3"/>
  <c r="H158" i="3"/>
  <c r="C159" i="3"/>
  <c r="D159" i="3"/>
  <c r="E159" i="3"/>
  <c r="F159" i="3"/>
  <c r="G159" i="3"/>
  <c r="H159" i="3"/>
  <c r="C160" i="3"/>
  <c r="D160" i="3"/>
  <c r="E160" i="3"/>
  <c r="F160" i="3"/>
  <c r="G160" i="3"/>
  <c r="H160" i="3"/>
  <c r="C161" i="3"/>
  <c r="D161" i="3"/>
  <c r="E161" i="3"/>
  <c r="F161" i="3"/>
  <c r="G161" i="3"/>
  <c r="H161" i="3"/>
  <c r="C162" i="3"/>
  <c r="D162" i="3"/>
  <c r="E162" i="3"/>
  <c r="F162" i="3"/>
  <c r="G162" i="3"/>
  <c r="H162" i="3"/>
  <c r="C163" i="3"/>
  <c r="D163" i="3"/>
  <c r="E163" i="3"/>
  <c r="F163" i="3"/>
  <c r="G163" i="3"/>
  <c r="H163" i="3"/>
  <c r="C164" i="3"/>
  <c r="D164" i="3"/>
  <c r="E164" i="3"/>
  <c r="F164" i="3"/>
  <c r="G164" i="3"/>
  <c r="H164" i="3"/>
  <c r="C165" i="3"/>
  <c r="D165" i="3"/>
  <c r="E165" i="3"/>
  <c r="F165" i="3"/>
  <c r="G165" i="3"/>
  <c r="H165" i="3"/>
  <c r="C166" i="3"/>
  <c r="D166" i="3"/>
  <c r="E166" i="3"/>
  <c r="F166" i="3"/>
  <c r="G166" i="3"/>
  <c r="H166" i="3"/>
  <c r="C167" i="3"/>
  <c r="D167" i="3"/>
  <c r="E167" i="3"/>
  <c r="F167" i="3"/>
  <c r="G167" i="3"/>
  <c r="H167" i="3"/>
  <c r="C168" i="3"/>
  <c r="D168" i="3"/>
  <c r="E168" i="3"/>
  <c r="F168" i="3"/>
  <c r="G168" i="3"/>
  <c r="H168" i="3"/>
  <c r="C169" i="3"/>
  <c r="D169" i="3"/>
  <c r="E169" i="3"/>
  <c r="F169" i="3"/>
  <c r="G169" i="3"/>
  <c r="H169" i="3"/>
  <c r="C189" i="3"/>
  <c r="D189" i="3"/>
  <c r="E189" i="3"/>
  <c r="F189" i="3"/>
  <c r="G189" i="3"/>
  <c r="H189" i="3"/>
  <c r="C190" i="3"/>
  <c r="D190" i="3"/>
  <c r="E190" i="3"/>
  <c r="F190" i="3"/>
  <c r="G190" i="3"/>
  <c r="H190" i="3"/>
  <c r="C191" i="3"/>
  <c r="D191" i="3"/>
  <c r="E191" i="3"/>
  <c r="F191" i="3"/>
  <c r="G191" i="3"/>
  <c r="H191" i="3"/>
  <c r="C192" i="3"/>
  <c r="D192" i="3"/>
  <c r="E192" i="3"/>
  <c r="F192" i="3"/>
  <c r="G192" i="3"/>
  <c r="H192" i="3"/>
  <c r="C193" i="3"/>
  <c r="D193" i="3"/>
  <c r="E193" i="3"/>
  <c r="F193" i="3"/>
  <c r="G193" i="3"/>
  <c r="H193" i="3"/>
  <c r="C194" i="3"/>
  <c r="D194" i="3"/>
  <c r="E194" i="3"/>
  <c r="F194" i="3"/>
  <c r="G194" i="3"/>
  <c r="H194" i="3"/>
  <c r="C195" i="3"/>
  <c r="D195" i="3"/>
  <c r="E195" i="3"/>
  <c r="F195" i="3"/>
  <c r="G195" i="3"/>
  <c r="H195" i="3"/>
  <c r="C196" i="3"/>
  <c r="D196" i="3"/>
  <c r="E196" i="3"/>
  <c r="F196" i="3"/>
  <c r="G196" i="3"/>
  <c r="H196" i="3"/>
  <c r="C197" i="3"/>
  <c r="D197" i="3"/>
  <c r="E197" i="3"/>
  <c r="F197" i="3"/>
  <c r="G197" i="3"/>
  <c r="H197" i="3"/>
  <c r="C198" i="3"/>
  <c r="D198" i="3"/>
  <c r="E198" i="3"/>
  <c r="F198" i="3"/>
  <c r="G198" i="3"/>
  <c r="H198" i="3"/>
  <c r="C199" i="3"/>
  <c r="D199" i="3"/>
  <c r="E199" i="3"/>
  <c r="F199" i="3"/>
  <c r="G199" i="3"/>
  <c r="H199" i="3"/>
  <c r="C200" i="3"/>
  <c r="D200" i="3"/>
  <c r="E200" i="3"/>
  <c r="F200" i="3"/>
  <c r="G200" i="3"/>
  <c r="H200" i="3"/>
  <c r="C201" i="3"/>
  <c r="D201" i="3"/>
  <c r="E201" i="3"/>
  <c r="F201" i="3"/>
  <c r="G201" i="3"/>
  <c r="H201" i="3"/>
  <c r="C202" i="3"/>
  <c r="D202" i="3"/>
  <c r="E202" i="3"/>
  <c r="F202" i="3"/>
  <c r="G202" i="3"/>
  <c r="H202" i="3"/>
  <c r="C203" i="3"/>
  <c r="D203" i="3"/>
  <c r="E203" i="3"/>
  <c r="F203" i="3"/>
  <c r="G203" i="3"/>
  <c r="H203" i="3"/>
  <c r="C204" i="3"/>
  <c r="D204" i="3"/>
  <c r="E204" i="3"/>
  <c r="F204" i="3"/>
  <c r="G204" i="3"/>
  <c r="H204" i="3"/>
  <c r="C205" i="3"/>
  <c r="D205" i="3"/>
  <c r="E205" i="3"/>
  <c r="F205" i="3"/>
  <c r="G205" i="3"/>
  <c r="H205" i="3"/>
  <c r="C206" i="3"/>
  <c r="D206" i="3"/>
  <c r="E206" i="3"/>
  <c r="F206" i="3"/>
  <c r="G206" i="3"/>
  <c r="H206" i="3"/>
  <c r="C207" i="3"/>
  <c r="D207" i="3"/>
  <c r="E207" i="3"/>
  <c r="F207" i="3"/>
  <c r="G207" i="3"/>
  <c r="H207" i="3"/>
  <c r="C208" i="3"/>
  <c r="D208" i="3"/>
  <c r="E208" i="3"/>
  <c r="F208" i="3"/>
  <c r="G208" i="3"/>
  <c r="H208" i="3"/>
  <c r="C209" i="3"/>
  <c r="D209" i="3"/>
  <c r="E209" i="3"/>
  <c r="F209" i="3"/>
  <c r="G209" i="3"/>
  <c r="H209" i="3"/>
  <c r="C210" i="3"/>
  <c r="D210" i="3"/>
  <c r="E210" i="3"/>
  <c r="F210" i="3"/>
  <c r="G210" i="3"/>
  <c r="H210" i="3"/>
  <c r="C211" i="3"/>
  <c r="D211" i="3"/>
  <c r="E211" i="3"/>
  <c r="F211" i="3"/>
  <c r="G211" i="3"/>
  <c r="H211" i="3"/>
  <c r="C212" i="3"/>
  <c r="D212" i="3"/>
  <c r="E212" i="3"/>
  <c r="F212" i="3"/>
  <c r="G212" i="3"/>
  <c r="H212" i="3"/>
  <c r="C213" i="3"/>
  <c r="D213" i="3"/>
  <c r="E213" i="3"/>
  <c r="F213" i="3"/>
  <c r="G213" i="3"/>
  <c r="H213" i="3"/>
  <c r="C214" i="3"/>
  <c r="D214" i="3"/>
  <c r="E214" i="3"/>
  <c r="F214" i="3"/>
  <c r="G214" i="3"/>
  <c r="H214" i="3"/>
  <c r="C215" i="3"/>
  <c r="D215" i="3"/>
  <c r="E215" i="3"/>
  <c r="F215" i="3"/>
  <c r="G215" i="3"/>
  <c r="H215" i="3"/>
  <c r="C216" i="3"/>
  <c r="D216" i="3"/>
  <c r="E216" i="3"/>
  <c r="F216" i="3"/>
  <c r="G216" i="3"/>
  <c r="H216" i="3"/>
  <c r="C217" i="3"/>
  <c r="D217" i="3"/>
  <c r="E217" i="3"/>
  <c r="F217" i="3"/>
  <c r="G217" i="3"/>
  <c r="H217" i="3"/>
  <c r="C218" i="3"/>
  <c r="D218" i="3"/>
  <c r="E218" i="3"/>
  <c r="F218" i="3"/>
  <c r="G218" i="3"/>
  <c r="H218" i="3"/>
  <c r="C219" i="3"/>
  <c r="D219" i="3"/>
  <c r="E219" i="3"/>
  <c r="F219" i="3"/>
  <c r="G219" i="3"/>
  <c r="H219" i="3"/>
  <c r="C220" i="3"/>
  <c r="D220" i="3"/>
  <c r="E220" i="3"/>
  <c r="F220" i="3"/>
  <c r="G220" i="3"/>
  <c r="H220" i="3"/>
  <c r="C221" i="3"/>
  <c r="D221" i="3"/>
  <c r="E221" i="3"/>
  <c r="F221" i="3"/>
  <c r="G221" i="3"/>
  <c r="H221" i="3"/>
  <c r="C222" i="3"/>
  <c r="D222" i="3"/>
  <c r="E222" i="3"/>
  <c r="F222" i="3"/>
  <c r="G222" i="3"/>
  <c r="H222" i="3"/>
  <c r="C223" i="3"/>
  <c r="D223" i="3"/>
  <c r="E223" i="3"/>
  <c r="F223" i="3"/>
  <c r="G223" i="3"/>
  <c r="H223" i="3"/>
  <c r="C224" i="3"/>
  <c r="D224" i="3"/>
  <c r="E224" i="3"/>
  <c r="F224" i="3"/>
  <c r="G224" i="3"/>
  <c r="H224" i="3"/>
  <c r="C225" i="3"/>
  <c r="D225" i="3"/>
  <c r="E225" i="3"/>
  <c r="F225" i="3"/>
  <c r="G225" i="3"/>
  <c r="H225" i="3"/>
  <c r="C226" i="3"/>
  <c r="D226" i="3"/>
  <c r="E226" i="3"/>
  <c r="F226" i="3"/>
  <c r="G226" i="3"/>
  <c r="H226" i="3"/>
  <c r="C227" i="3"/>
  <c r="D227" i="3"/>
  <c r="E227" i="3"/>
  <c r="F227" i="3"/>
  <c r="G227" i="3"/>
  <c r="H227" i="3"/>
  <c r="C228" i="3"/>
  <c r="D228" i="3"/>
  <c r="E228" i="3"/>
  <c r="F228" i="3"/>
  <c r="G228" i="3"/>
  <c r="H228" i="3"/>
  <c r="C229" i="3"/>
  <c r="D229" i="3"/>
  <c r="E229" i="3"/>
  <c r="F229" i="3"/>
  <c r="G229" i="3"/>
  <c r="H229" i="3"/>
  <c r="C230" i="3"/>
  <c r="D230" i="3"/>
  <c r="E230" i="3"/>
  <c r="F230" i="3"/>
  <c r="G230" i="3"/>
  <c r="H230" i="3"/>
  <c r="C231" i="3"/>
  <c r="D231" i="3"/>
  <c r="E231" i="3"/>
  <c r="F231" i="3"/>
  <c r="G231" i="3"/>
  <c r="H231" i="3"/>
  <c r="C232" i="3"/>
  <c r="D232" i="3"/>
  <c r="E232" i="3"/>
  <c r="F232" i="3"/>
  <c r="G232" i="3"/>
  <c r="H232" i="3"/>
  <c r="C233" i="3"/>
  <c r="D233" i="3"/>
  <c r="E233" i="3"/>
  <c r="F233" i="3"/>
  <c r="G233" i="3"/>
  <c r="H233" i="3"/>
  <c r="C234" i="3"/>
  <c r="D234" i="3"/>
  <c r="E234" i="3"/>
  <c r="F234" i="3"/>
  <c r="G234" i="3"/>
  <c r="H234" i="3"/>
  <c r="C235" i="3"/>
  <c r="D235" i="3"/>
  <c r="E235" i="3"/>
  <c r="F235" i="3"/>
  <c r="G235" i="3"/>
  <c r="H235" i="3"/>
  <c r="C236" i="3"/>
  <c r="D236" i="3"/>
  <c r="E236" i="3"/>
  <c r="F236" i="3"/>
  <c r="G236" i="3"/>
  <c r="H236" i="3"/>
  <c r="C237" i="3"/>
  <c r="D237" i="3"/>
  <c r="E237" i="3"/>
  <c r="F237" i="3"/>
  <c r="G237" i="3"/>
  <c r="H237" i="3"/>
  <c r="C238" i="3"/>
  <c r="D238" i="3"/>
  <c r="E238" i="3"/>
  <c r="F238" i="3"/>
  <c r="G238" i="3"/>
  <c r="H238" i="3"/>
  <c r="C239" i="3"/>
  <c r="D239" i="3"/>
  <c r="E239" i="3"/>
  <c r="F239" i="3"/>
  <c r="G239" i="3"/>
  <c r="H239" i="3"/>
  <c r="C240" i="3"/>
  <c r="D240" i="3"/>
  <c r="E240" i="3"/>
  <c r="F240" i="3"/>
  <c r="G240" i="3"/>
  <c r="H240" i="3"/>
  <c r="C241" i="3"/>
  <c r="D241" i="3"/>
  <c r="E241" i="3"/>
  <c r="F241" i="3"/>
  <c r="G241" i="3"/>
  <c r="H241" i="3"/>
  <c r="C242" i="3"/>
  <c r="D242" i="3"/>
  <c r="E242" i="3"/>
  <c r="F242" i="3"/>
  <c r="G242" i="3"/>
  <c r="H242" i="3"/>
  <c r="C243" i="3"/>
  <c r="D243" i="3"/>
  <c r="E243" i="3"/>
  <c r="F243" i="3"/>
  <c r="G243" i="3"/>
  <c r="H243" i="3"/>
  <c r="C244" i="3"/>
  <c r="D244" i="3"/>
  <c r="E244" i="3"/>
  <c r="F244" i="3"/>
  <c r="G244" i="3"/>
  <c r="H244" i="3"/>
  <c r="C245" i="3"/>
  <c r="D245" i="3"/>
  <c r="E245" i="3"/>
  <c r="F245" i="3"/>
  <c r="G245" i="3"/>
  <c r="H245" i="3"/>
  <c r="C246" i="3"/>
  <c r="D246" i="3"/>
  <c r="E246" i="3"/>
  <c r="F246" i="3"/>
  <c r="G246" i="3"/>
  <c r="H246" i="3"/>
  <c r="C247" i="3"/>
  <c r="D247" i="3"/>
  <c r="E247" i="3"/>
  <c r="F247" i="3"/>
  <c r="G247" i="3"/>
  <c r="H247" i="3"/>
  <c r="C248" i="3"/>
  <c r="D248" i="3"/>
  <c r="E248" i="3"/>
  <c r="F248" i="3"/>
  <c r="G248" i="3"/>
  <c r="H248" i="3"/>
  <c r="C249" i="3"/>
  <c r="D249" i="3"/>
  <c r="E249" i="3"/>
  <c r="F249" i="3"/>
  <c r="G249" i="3"/>
  <c r="H249" i="3"/>
  <c r="C250" i="3"/>
  <c r="D250" i="3"/>
  <c r="E250" i="3"/>
  <c r="F250" i="3"/>
  <c r="G250" i="3"/>
  <c r="H250" i="3"/>
  <c r="C251" i="3"/>
  <c r="D251" i="3"/>
  <c r="E251" i="3"/>
  <c r="F251" i="3"/>
  <c r="G251" i="3"/>
  <c r="H251" i="3"/>
  <c r="C252" i="3"/>
  <c r="D252" i="3"/>
  <c r="E252" i="3"/>
  <c r="F252" i="3"/>
  <c r="G252" i="3"/>
  <c r="H252" i="3"/>
  <c r="C253" i="3"/>
  <c r="D253" i="3"/>
  <c r="E253" i="3"/>
  <c r="F253" i="3"/>
  <c r="G253" i="3"/>
  <c r="H253" i="3"/>
  <c r="C254" i="3"/>
  <c r="D254" i="3"/>
  <c r="E254" i="3"/>
  <c r="F254" i="3"/>
  <c r="G254" i="3"/>
  <c r="H254" i="3"/>
  <c r="C255" i="3"/>
  <c r="D255" i="3"/>
  <c r="E255" i="3"/>
  <c r="F255" i="3"/>
  <c r="G255" i="3"/>
  <c r="H255" i="3"/>
  <c r="C256" i="3"/>
  <c r="D256" i="3"/>
  <c r="E256" i="3"/>
  <c r="F256" i="3"/>
  <c r="G256" i="3"/>
  <c r="H256" i="3"/>
  <c r="C257" i="3"/>
  <c r="D257" i="3"/>
  <c r="E257" i="3"/>
  <c r="F257" i="3"/>
  <c r="G257" i="3"/>
  <c r="H257" i="3"/>
  <c r="C258" i="3"/>
  <c r="D258" i="3"/>
  <c r="E258" i="3"/>
  <c r="F258" i="3"/>
  <c r="G258" i="3"/>
  <c r="H258" i="3"/>
  <c r="C259" i="3"/>
  <c r="D259" i="3"/>
  <c r="E259" i="3"/>
  <c r="F259" i="3"/>
  <c r="G259" i="3"/>
  <c r="H259" i="3"/>
  <c r="C260" i="3"/>
  <c r="D260" i="3"/>
  <c r="E260" i="3"/>
  <c r="F260" i="3"/>
  <c r="G260" i="3"/>
  <c r="H260" i="3"/>
  <c r="C261" i="3"/>
  <c r="D261" i="3"/>
  <c r="E261" i="3"/>
  <c r="F261" i="3"/>
  <c r="G261" i="3"/>
  <c r="H261" i="3"/>
  <c r="C262" i="3"/>
  <c r="D262" i="3"/>
  <c r="E262" i="3"/>
  <c r="F262" i="3"/>
  <c r="G262" i="3"/>
  <c r="H262" i="3"/>
  <c r="C263" i="3"/>
  <c r="D263" i="3"/>
  <c r="E263" i="3"/>
  <c r="F263" i="3"/>
  <c r="G263" i="3"/>
  <c r="H263" i="3"/>
  <c r="C264" i="3"/>
  <c r="D264" i="3"/>
  <c r="E264" i="3"/>
  <c r="F264" i="3"/>
  <c r="G264" i="3"/>
  <c r="H264" i="3"/>
  <c r="C265" i="3"/>
  <c r="D265" i="3"/>
  <c r="E265" i="3"/>
  <c r="F265" i="3"/>
  <c r="G265" i="3"/>
  <c r="H265" i="3"/>
  <c r="C266" i="3"/>
  <c r="D266" i="3"/>
  <c r="E266" i="3"/>
  <c r="F266" i="3"/>
  <c r="G266" i="3"/>
  <c r="H266" i="3"/>
  <c r="C267" i="3"/>
  <c r="D267" i="3"/>
  <c r="E267" i="3"/>
  <c r="F267" i="3"/>
  <c r="G267" i="3"/>
  <c r="H267" i="3"/>
  <c r="C268" i="3"/>
  <c r="D268" i="3"/>
  <c r="E268" i="3"/>
  <c r="F268" i="3"/>
  <c r="G268" i="3"/>
  <c r="H268" i="3"/>
  <c r="C269" i="3"/>
  <c r="D269" i="3"/>
  <c r="E269" i="3"/>
  <c r="F269" i="3"/>
  <c r="G269" i="3"/>
  <c r="H269" i="3"/>
  <c r="C270" i="3"/>
  <c r="D270" i="3"/>
  <c r="E270" i="3"/>
  <c r="F270" i="3"/>
  <c r="G270" i="3"/>
  <c r="H270" i="3"/>
  <c r="C271" i="3"/>
  <c r="D271" i="3"/>
  <c r="E271" i="3"/>
  <c r="F271" i="3"/>
  <c r="G271" i="3"/>
  <c r="H271" i="3"/>
  <c r="C272" i="3"/>
  <c r="D272" i="3"/>
  <c r="E272" i="3"/>
  <c r="F272" i="3"/>
  <c r="G272" i="3"/>
  <c r="H272" i="3"/>
  <c r="C273" i="3"/>
  <c r="D273" i="3"/>
  <c r="E273" i="3"/>
  <c r="F273" i="3"/>
  <c r="G273" i="3"/>
  <c r="H273" i="3"/>
  <c r="C274" i="3"/>
  <c r="D274" i="3"/>
  <c r="E274" i="3"/>
  <c r="F274" i="3"/>
  <c r="G274" i="3"/>
  <c r="H274" i="3"/>
  <c r="C275" i="3"/>
  <c r="D275" i="3"/>
  <c r="E275" i="3"/>
  <c r="F275" i="3"/>
  <c r="G275" i="3"/>
  <c r="H275" i="3"/>
  <c r="C276" i="3"/>
  <c r="D276" i="3"/>
  <c r="E276" i="3"/>
  <c r="F276" i="3"/>
  <c r="G276" i="3"/>
  <c r="H276" i="3"/>
  <c r="C277" i="3"/>
  <c r="D277" i="3"/>
  <c r="E277" i="3"/>
  <c r="F277" i="3"/>
  <c r="G277" i="3"/>
  <c r="H277" i="3"/>
  <c r="C278" i="3"/>
  <c r="D278" i="3"/>
  <c r="E278" i="3"/>
  <c r="F278" i="3"/>
  <c r="G278" i="3"/>
  <c r="H278" i="3"/>
  <c r="C279" i="3"/>
  <c r="D279" i="3"/>
  <c r="E279" i="3"/>
  <c r="F279" i="3"/>
  <c r="G279" i="3"/>
  <c r="H279" i="3"/>
  <c r="C280" i="3"/>
  <c r="D280" i="3"/>
  <c r="E280" i="3"/>
  <c r="F280" i="3"/>
  <c r="G280" i="3"/>
  <c r="H280" i="3"/>
  <c r="C281" i="3"/>
  <c r="D281" i="3"/>
  <c r="E281" i="3"/>
  <c r="F281" i="3"/>
  <c r="G281" i="3"/>
  <c r="H281" i="3"/>
  <c r="C282" i="3"/>
  <c r="D282" i="3"/>
  <c r="E282" i="3"/>
  <c r="F282" i="3"/>
  <c r="G282" i="3"/>
  <c r="H282" i="3"/>
  <c r="C283" i="3"/>
  <c r="D283" i="3"/>
  <c r="E283" i="3"/>
  <c r="F283" i="3"/>
  <c r="G283" i="3"/>
  <c r="H283" i="3"/>
  <c r="C284" i="3"/>
  <c r="D284" i="3"/>
  <c r="E284" i="3"/>
  <c r="F284" i="3"/>
  <c r="G284" i="3"/>
  <c r="H284" i="3"/>
  <c r="C285" i="3"/>
  <c r="D285" i="3"/>
  <c r="E285" i="3"/>
  <c r="F285" i="3"/>
  <c r="G285" i="3"/>
  <c r="H285" i="3"/>
  <c r="C286" i="3"/>
  <c r="D286" i="3"/>
  <c r="E286" i="3"/>
  <c r="F286" i="3"/>
  <c r="G286" i="3"/>
  <c r="H286" i="3"/>
  <c r="C287" i="3"/>
  <c r="D287" i="3"/>
  <c r="E287" i="3"/>
  <c r="F287" i="3"/>
  <c r="G287" i="3"/>
  <c r="H287" i="3"/>
  <c r="C288" i="3"/>
  <c r="D288" i="3"/>
  <c r="E288" i="3"/>
  <c r="F288" i="3"/>
  <c r="G288" i="3"/>
  <c r="H288" i="3"/>
  <c r="C289" i="3"/>
  <c r="D289" i="3"/>
  <c r="E289" i="3"/>
  <c r="F289" i="3"/>
  <c r="G289" i="3"/>
  <c r="H289" i="3"/>
  <c r="C290" i="3"/>
  <c r="D290" i="3"/>
  <c r="E290" i="3"/>
  <c r="F290" i="3"/>
  <c r="G290" i="3"/>
  <c r="H290" i="3"/>
  <c r="C291" i="3"/>
  <c r="D291" i="3"/>
  <c r="E291" i="3"/>
  <c r="F291" i="3"/>
  <c r="G291" i="3"/>
  <c r="H291" i="3"/>
  <c r="C292" i="3"/>
  <c r="D292" i="3"/>
  <c r="E292" i="3"/>
  <c r="F292" i="3"/>
  <c r="G292" i="3"/>
  <c r="H292" i="3"/>
  <c r="C293" i="3"/>
  <c r="D293" i="3"/>
  <c r="E293" i="3"/>
  <c r="F293" i="3"/>
  <c r="G293" i="3"/>
  <c r="H293" i="3"/>
  <c r="C294" i="3"/>
  <c r="D294" i="3"/>
  <c r="E294" i="3"/>
  <c r="F294" i="3"/>
  <c r="G294" i="3"/>
  <c r="H294" i="3"/>
  <c r="C295" i="3"/>
  <c r="D295" i="3"/>
  <c r="E295" i="3"/>
  <c r="F295" i="3"/>
  <c r="G295" i="3"/>
  <c r="H295" i="3"/>
  <c r="C296" i="3"/>
  <c r="D296" i="3"/>
  <c r="E296" i="3"/>
  <c r="F296" i="3"/>
  <c r="G296" i="3"/>
  <c r="H296" i="3"/>
  <c r="C297" i="3"/>
  <c r="D297" i="3"/>
  <c r="E297" i="3"/>
  <c r="F297" i="3"/>
  <c r="G297" i="3"/>
  <c r="H297" i="3"/>
  <c r="C298" i="3"/>
  <c r="D298" i="3"/>
  <c r="E298" i="3"/>
  <c r="F298" i="3"/>
  <c r="G298" i="3"/>
  <c r="H298" i="3"/>
  <c r="C299" i="3"/>
  <c r="D299" i="3"/>
  <c r="E299" i="3"/>
  <c r="F299" i="3"/>
  <c r="G299" i="3"/>
  <c r="H299" i="3"/>
  <c r="C300" i="3"/>
  <c r="D300" i="3"/>
  <c r="E300" i="3"/>
  <c r="F300" i="3"/>
  <c r="G300" i="3"/>
  <c r="H300" i="3"/>
  <c r="C301" i="3"/>
  <c r="D301" i="3"/>
  <c r="E301" i="3"/>
  <c r="F301" i="3"/>
  <c r="G301" i="3"/>
  <c r="H301" i="3"/>
  <c r="C302" i="3"/>
  <c r="D302" i="3"/>
  <c r="E302" i="3"/>
  <c r="F302" i="3"/>
  <c r="G302" i="3"/>
  <c r="H302" i="3"/>
  <c r="C303" i="3"/>
  <c r="D303" i="3"/>
  <c r="E303" i="3"/>
  <c r="F303" i="3"/>
  <c r="G303" i="3"/>
  <c r="H303" i="3"/>
  <c r="C304" i="3"/>
  <c r="D304" i="3"/>
  <c r="E304" i="3"/>
  <c r="F304" i="3"/>
  <c r="G304" i="3"/>
  <c r="H304" i="3"/>
  <c r="C305" i="3"/>
  <c r="D305" i="3"/>
  <c r="E305" i="3"/>
  <c r="F305" i="3"/>
  <c r="G305" i="3"/>
  <c r="H305" i="3"/>
  <c r="C306" i="3"/>
  <c r="D306" i="3"/>
  <c r="E306" i="3"/>
  <c r="F306" i="3"/>
  <c r="G306" i="3"/>
  <c r="H306" i="3"/>
  <c r="C307" i="3"/>
  <c r="D307" i="3"/>
  <c r="E307" i="3"/>
  <c r="F307" i="3"/>
  <c r="G307" i="3"/>
  <c r="H307" i="3"/>
  <c r="C308" i="3"/>
  <c r="D308" i="3"/>
  <c r="E308" i="3"/>
  <c r="F308" i="3"/>
  <c r="G308" i="3"/>
  <c r="H308" i="3"/>
  <c r="C309" i="3"/>
  <c r="D309" i="3"/>
  <c r="E309" i="3"/>
  <c r="F309" i="3"/>
  <c r="G309" i="3"/>
  <c r="H309" i="3"/>
  <c r="C310" i="3"/>
  <c r="D310" i="3"/>
  <c r="E310" i="3"/>
  <c r="F310" i="3"/>
  <c r="G310" i="3"/>
  <c r="H310" i="3"/>
  <c r="C311" i="3"/>
  <c r="D311" i="3"/>
  <c r="E311" i="3"/>
  <c r="F311" i="3"/>
  <c r="G311" i="3"/>
  <c r="H311" i="3"/>
  <c r="C312" i="3"/>
  <c r="D312" i="3"/>
  <c r="E312" i="3"/>
  <c r="F312" i="3"/>
  <c r="G312" i="3"/>
  <c r="H312" i="3"/>
  <c r="C313" i="3"/>
  <c r="D313" i="3"/>
  <c r="E313" i="3"/>
  <c r="F313" i="3"/>
  <c r="G313" i="3"/>
  <c r="H313" i="3"/>
  <c r="C314" i="3"/>
  <c r="D314" i="3"/>
  <c r="E314" i="3"/>
  <c r="F314" i="3"/>
  <c r="G314" i="3"/>
  <c r="H314" i="3"/>
  <c r="C315" i="3"/>
  <c r="D315" i="3"/>
  <c r="E315" i="3"/>
  <c r="F315" i="3"/>
  <c r="G315" i="3"/>
  <c r="H315" i="3"/>
  <c r="C316" i="3"/>
  <c r="D316" i="3"/>
  <c r="E316" i="3"/>
  <c r="F316" i="3"/>
  <c r="G316" i="3"/>
  <c r="H316" i="3"/>
  <c r="C317" i="3"/>
  <c r="D317" i="3"/>
  <c r="E317" i="3"/>
  <c r="F317" i="3"/>
  <c r="G317" i="3"/>
  <c r="H317" i="3"/>
  <c r="C318" i="3"/>
  <c r="D318" i="3"/>
  <c r="E318" i="3"/>
  <c r="F318" i="3"/>
  <c r="G318" i="3"/>
  <c r="H318" i="3"/>
  <c r="C319" i="3"/>
  <c r="D319" i="3"/>
  <c r="E319" i="3"/>
  <c r="F319" i="3"/>
  <c r="G319" i="3"/>
  <c r="H319" i="3"/>
  <c r="C320" i="3"/>
  <c r="D320" i="3"/>
  <c r="E320" i="3"/>
  <c r="F320" i="3"/>
  <c r="G320" i="3"/>
  <c r="H320" i="3"/>
  <c r="C321" i="3"/>
  <c r="D321" i="3"/>
  <c r="E321" i="3"/>
  <c r="F321" i="3"/>
  <c r="G321" i="3"/>
  <c r="H321" i="3"/>
  <c r="C322" i="3"/>
  <c r="D322" i="3"/>
  <c r="E322" i="3"/>
  <c r="F322" i="3"/>
  <c r="G322" i="3"/>
  <c r="H322" i="3"/>
  <c r="C323" i="3"/>
  <c r="D323" i="3"/>
  <c r="E323" i="3"/>
  <c r="F323" i="3"/>
  <c r="G323" i="3"/>
  <c r="H323" i="3"/>
  <c r="C324" i="3"/>
  <c r="D324" i="3"/>
  <c r="E324" i="3"/>
  <c r="F324" i="3"/>
  <c r="G324" i="3"/>
  <c r="H324" i="3"/>
  <c r="C325" i="3"/>
  <c r="D325" i="3"/>
  <c r="E325" i="3"/>
  <c r="F325" i="3"/>
  <c r="G325" i="3"/>
  <c r="H325" i="3"/>
  <c r="C326" i="3"/>
  <c r="D326" i="3"/>
  <c r="E326" i="3"/>
  <c r="F326" i="3"/>
  <c r="G326" i="3"/>
  <c r="H326" i="3"/>
  <c r="C327" i="3"/>
  <c r="D327" i="3"/>
  <c r="E327" i="3"/>
  <c r="F327" i="3"/>
  <c r="G327" i="3"/>
  <c r="H327" i="3"/>
  <c r="C328" i="3"/>
  <c r="D328" i="3"/>
  <c r="E328" i="3"/>
  <c r="F328" i="3"/>
  <c r="G328" i="3"/>
  <c r="H328" i="3"/>
  <c r="C329" i="3"/>
  <c r="D329" i="3"/>
  <c r="E329" i="3"/>
  <c r="F329" i="3"/>
  <c r="G329" i="3"/>
  <c r="H329" i="3"/>
  <c r="C330" i="3"/>
  <c r="D330" i="3"/>
  <c r="E330" i="3"/>
  <c r="F330" i="3"/>
  <c r="G330" i="3"/>
  <c r="H330" i="3"/>
  <c r="C331" i="3"/>
  <c r="D331" i="3"/>
  <c r="E331" i="3"/>
  <c r="F331" i="3"/>
  <c r="G331" i="3"/>
  <c r="H331" i="3"/>
  <c r="C332" i="3"/>
  <c r="D332" i="3"/>
  <c r="E332" i="3"/>
  <c r="F332" i="3"/>
  <c r="G332" i="3"/>
  <c r="H332" i="3"/>
  <c r="C333" i="3"/>
  <c r="D333" i="3"/>
  <c r="E333" i="3"/>
  <c r="F333" i="3"/>
  <c r="G333" i="3"/>
  <c r="H333" i="3"/>
  <c r="C334" i="3"/>
  <c r="D334" i="3"/>
  <c r="E334" i="3"/>
  <c r="F334" i="3"/>
  <c r="G334" i="3"/>
  <c r="H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<sst xmlns="http://schemas.openxmlformats.org/spreadsheetml/2006/main" count="6016" uniqueCount="1145">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</sst>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5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  <xf numFmtId="1" fontId="0" fillId="0" borderId="1" xfId="4" applyNumberFormat="1" applyFont="1" applyBorder="1"/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191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11" zoomScale="77" zoomScaleNormal="146" workbookViewId="0">
      <selection activeCell="N46" sqref="N46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86">
        <f ca="1">TODAY()</f>
        <v>46014</v>
      </c>
      <c r="C1" s="86"/>
      <c r="D1" s="86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27</v>
      </c>
      <c r="R6" s="25">
        <f t="shared" ca="1" si="1"/>
        <v>27</v>
      </c>
      <c r="S6" s="25">
        <f t="shared" ca="1" si="1"/>
        <v>27</v>
      </c>
      <c r="T6" s="25">
        <f t="shared" ca="1" si="1"/>
        <v>27</v>
      </c>
      <c r="U6" s="25">
        <f t="shared" ca="1" si="1"/>
        <v>28</v>
      </c>
      <c r="V6" s="25">
        <f ca="1">IF(V7="","",$B$1-V7)</f>
        <v>28</v>
      </c>
      <c r="W6" s="25">
        <f ca="1">IF(W7="","",$B$1-W7)</f>
        <v>28</v>
      </c>
      <c r="X6" s="25">
        <f ca="1">IF(X7="","",$B$1-X7)</f>
        <v>28</v>
      </c>
      <c r="Y6" s="55"/>
    </row>
    <row r="7" spans="1:25" ht="38.25" customHeight="1" x14ac:dyDescent="0.25">
      <c r="B7" s="87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88"/>
      <c r="Y8" s="55"/>
    </row>
    <row r="9" spans="1:25" x14ac:dyDescent="0.25">
      <c r="B9" s="88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89"/>
      <c r="C10" s="31">
        <f t="shared" ref="C10:H10" ca="1" si="2">IF(C11="","",$B$1-C11)</f>
        <v>32</v>
      </c>
      <c r="D10" s="25">
        <f t="shared" ca="1" si="2"/>
        <v>32</v>
      </c>
      <c r="E10" s="25">
        <f t="shared" ca="1" si="2"/>
        <v>32</v>
      </c>
      <c r="F10" s="25">
        <f t="shared" ca="1" si="2"/>
        <v>32</v>
      </c>
      <c r="G10" s="25">
        <f t="shared" ca="1" si="2"/>
        <v>32</v>
      </c>
      <c r="H10" s="25">
        <f t="shared" ca="1" si="2"/>
        <v>32</v>
      </c>
      <c r="J10" s="25">
        <f t="shared" ref="J10:P10" ca="1" si="3">IF(J11="","",$B$1-J11)</f>
        <v>32</v>
      </c>
      <c r="K10" s="25">
        <f t="shared" ca="1" si="3"/>
        <v>30</v>
      </c>
      <c r="L10" s="25">
        <f t="shared" ca="1" si="3"/>
        <v>30</v>
      </c>
      <c r="M10" s="25">
        <f t="shared" ca="1" si="3"/>
        <v>30</v>
      </c>
      <c r="N10" s="25">
        <f t="shared" ca="1" si="3"/>
        <v>30</v>
      </c>
      <c r="O10" s="25">
        <f t="shared" ca="1" si="3"/>
        <v>30</v>
      </c>
      <c r="P10" s="25">
        <f t="shared" ca="1" si="3"/>
        <v>30</v>
      </c>
      <c r="R10" s="25">
        <f t="shared" ref="R10:W10" ca="1" si="4">IF(R11="","",$B$1-R11)</f>
        <v>30</v>
      </c>
      <c r="S10" s="25">
        <f t="shared" ca="1" si="4"/>
        <v>29</v>
      </c>
      <c r="T10" s="25">
        <f t="shared" ca="1" si="4"/>
        <v>29</v>
      </c>
      <c r="U10" s="25">
        <f t="shared" ca="1" si="4"/>
        <v>28</v>
      </c>
      <c r="V10" s="25">
        <f t="shared" ca="1" si="4"/>
        <v>28</v>
      </c>
      <c r="W10" s="25">
        <f t="shared" ca="1" si="4"/>
        <v>28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33</v>
      </c>
      <c r="D14" s="25">
        <f t="shared" ca="1" si="5"/>
        <v>33</v>
      </c>
      <c r="E14" s="25">
        <f t="shared" ca="1" si="5"/>
        <v>33</v>
      </c>
      <c r="F14" s="25">
        <f t="shared" ca="1" si="5"/>
        <v>33</v>
      </c>
      <c r="G14" s="25">
        <f t="shared" ca="1" si="5"/>
        <v>33</v>
      </c>
      <c r="H14" s="25">
        <f t="shared" ca="1" si="5"/>
        <v>33</v>
      </c>
      <c r="J14" s="25">
        <f t="shared" ref="J14:P14" ca="1" si="6">IF(J15="","",$B$1-J15)</f>
        <v>33</v>
      </c>
      <c r="K14" s="25">
        <f t="shared" ca="1" si="6"/>
        <v>31</v>
      </c>
      <c r="L14" s="25">
        <f t="shared" ca="1" si="6"/>
        <v>31</v>
      </c>
      <c r="M14" s="25">
        <f t="shared" ca="1" si="6"/>
        <v>31</v>
      </c>
      <c r="N14" s="25">
        <f t="shared" ca="1" si="6"/>
        <v>31</v>
      </c>
      <c r="O14" s="25">
        <f t="shared" ca="1" si="6"/>
        <v>31</v>
      </c>
      <c r="P14" s="25">
        <f t="shared" ca="1" si="6"/>
        <v>31</v>
      </c>
      <c r="R14" s="25">
        <f t="shared" ref="R14:W14" ca="1" si="7">IF(R15="","",$B$1-R15)</f>
        <v>31</v>
      </c>
      <c r="S14" s="25">
        <f t="shared" ca="1" si="7"/>
        <v>29</v>
      </c>
      <c r="T14" s="25">
        <f t="shared" ca="1" si="7"/>
        <v>29</v>
      </c>
      <c r="U14" s="25">
        <f t="shared" ca="1" si="7"/>
        <v>29</v>
      </c>
      <c r="V14" s="25">
        <f t="shared" ca="1" si="7"/>
        <v>29</v>
      </c>
      <c r="W14" s="25">
        <f t="shared" ca="1" si="7"/>
        <v>29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>
        <f ca="1">IF(J21="","",$B$1-J21)</f>
        <v>46</v>
      </c>
      <c r="K20" s="25">
        <f ca="1">IF(K21="","",$B$1-K21)</f>
        <v>46</v>
      </c>
      <c r="X20" s="25"/>
      <c r="AF20" s="25"/>
      <c r="AG20" s="25"/>
      <c r="AH20" s="25">
        <f ca="1">IF(AH21="","",$B$1-AH21)</f>
        <v>46</v>
      </c>
      <c r="AI20" s="25">
        <f ca="1">IF(AI21="","",$B$1-AI21)</f>
        <v>46</v>
      </c>
      <c r="AJ20" s="55"/>
    </row>
    <row r="21" spans="1:44" ht="30" x14ac:dyDescent="0.25">
      <c r="B21" s="54"/>
      <c r="J21" s="60">
        <v>45968</v>
      </c>
      <c r="K21" s="60">
        <v>45968</v>
      </c>
      <c r="X21" s="61" t="s">
        <v>124</v>
      </c>
      <c r="AF21" s="62" t="s">
        <v>121</v>
      </c>
      <c r="AG21" s="62" t="s">
        <v>121</v>
      </c>
      <c r="AH21" s="60">
        <v>45968</v>
      </c>
      <c r="AI21" s="60">
        <v>45968</v>
      </c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 t="str">
        <f t="shared" ref="C24:H24" si="8">IF(C25="","",$B$1-C25)</f>
        <v/>
      </c>
      <c r="D24" s="25" t="str">
        <f t="shared" si="8"/>
        <v/>
      </c>
      <c r="E24" s="25" t="str">
        <f t="shared" si="8"/>
        <v/>
      </c>
      <c r="F24" s="25">
        <f t="shared" ca="1" si="8"/>
        <v>49</v>
      </c>
      <c r="G24" s="25">
        <f t="shared" ca="1" si="8"/>
        <v>49</v>
      </c>
      <c r="H24" s="25">
        <f t="shared" ca="1" si="8"/>
        <v>49</v>
      </c>
      <c r="J24" s="25">
        <f ca="1">IF(J25="","",$B$1-J25)</f>
        <v>49</v>
      </c>
      <c r="K24" s="25">
        <f t="shared" ref="K24:AI24" ca="1" si="9">IF(K25="","",$B$1-K25)</f>
        <v>22</v>
      </c>
      <c r="L24" s="25">
        <f t="shared" ca="1" si="9"/>
        <v>22</v>
      </c>
      <c r="M24" s="25">
        <f t="shared" ca="1" si="9"/>
        <v>22</v>
      </c>
      <c r="N24" s="25">
        <f t="shared" ca="1" si="9"/>
        <v>23</v>
      </c>
      <c r="O24" s="25">
        <f t="shared" ca="1" si="9"/>
        <v>23</v>
      </c>
      <c r="P24" s="25">
        <f t="shared" ca="1" si="9"/>
        <v>23</v>
      </c>
      <c r="R24" s="25">
        <f t="shared" ca="1" si="9"/>
        <v>23</v>
      </c>
      <c r="S24" s="25">
        <f t="shared" ca="1" si="9"/>
        <v>20</v>
      </c>
      <c r="T24" s="25">
        <f t="shared" ca="1" si="9"/>
        <v>20</v>
      </c>
      <c r="U24" s="25">
        <f t="shared" ca="1" si="9"/>
        <v>20</v>
      </c>
      <c r="V24" s="25">
        <f t="shared" ca="1" si="9"/>
        <v>20</v>
      </c>
      <c r="W24" s="25">
        <f t="shared" ca="1" si="9"/>
        <v>20</v>
      </c>
      <c r="X24" s="25">
        <f t="shared" ca="1" si="9"/>
        <v>20</v>
      </c>
      <c r="Z24" s="25">
        <f t="shared" ca="1" si="9"/>
        <v>50</v>
      </c>
      <c r="AA24" s="25">
        <f t="shared" ca="1" si="9"/>
        <v>47</v>
      </c>
      <c r="AB24" s="25">
        <f t="shared" ca="1" si="9"/>
        <v>47</v>
      </c>
      <c r="AC24" s="25">
        <f t="shared" ca="1" si="9"/>
        <v>47</v>
      </c>
      <c r="AD24" s="25">
        <f t="shared" ca="1" si="9"/>
        <v>47</v>
      </c>
      <c r="AE24" s="25">
        <f t="shared" ca="1" si="9"/>
        <v>47</v>
      </c>
      <c r="AF24" s="25">
        <f t="shared" ca="1" si="9"/>
        <v>47</v>
      </c>
      <c r="AG24" s="25">
        <f t="shared" ca="1" si="9"/>
        <v>47</v>
      </c>
      <c r="AH24" s="25">
        <f t="shared" ca="1" si="9"/>
        <v>46</v>
      </c>
      <c r="AI24" s="25">
        <f t="shared" ca="1" si="9"/>
        <v>46</v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/>
      <c r="D25" s="60"/>
      <c r="E25" s="60"/>
      <c r="F25" s="60">
        <v>45965</v>
      </c>
      <c r="G25" s="60">
        <v>45965</v>
      </c>
      <c r="H25" s="60">
        <v>45965</v>
      </c>
      <c r="J25" s="60">
        <v>45965</v>
      </c>
      <c r="K25" s="60">
        <v>45992</v>
      </c>
      <c r="L25" s="60">
        <v>45992</v>
      </c>
      <c r="M25" s="60">
        <v>45992</v>
      </c>
      <c r="N25" s="60">
        <v>45991</v>
      </c>
      <c r="O25" s="60">
        <v>45991</v>
      </c>
      <c r="P25" s="60">
        <v>45991</v>
      </c>
      <c r="R25" s="60">
        <v>45991</v>
      </c>
      <c r="S25" s="60">
        <v>45994</v>
      </c>
      <c r="T25" s="60">
        <v>45994</v>
      </c>
      <c r="U25" s="60">
        <v>45994</v>
      </c>
      <c r="V25" s="60">
        <v>45994</v>
      </c>
      <c r="W25" s="60">
        <v>45994</v>
      </c>
      <c r="X25" s="60">
        <v>45994</v>
      </c>
      <c r="Z25" s="60">
        <v>45964</v>
      </c>
      <c r="AA25" s="60">
        <v>45967</v>
      </c>
      <c r="AB25" s="60">
        <v>45967</v>
      </c>
      <c r="AC25" s="60">
        <v>45967</v>
      </c>
      <c r="AD25" s="60">
        <v>45967</v>
      </c>
      <c r="AE25" s="60">
        <v>45967</v>
      </c>
      <c r="AF25" s="60">
        <v>45967</v>
      </c>
      <c r="AG25" s="60">
        <v>45967</v>
      </c>
      <c r="AH25" s="60">
        <v>45968</v>
      </c>
      <c r="AI25" s="60">
        <v>45968</v>
      </c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>
        <f t="shared" ref="C28:H28" ca="1" si="10">IF(C29="","",$B$1-C29)</f>
        <v>34</v>
      </c>
      <c r="D28" s="25">
        <f t="shared" ca="1" si="10"/>
        <v>34</v>
      </c>
      <c r="E28" s="25">
        <f t="shared" ca="1" si="10"/>
        <v>34</v>
      </c>
      <c r="F28" s="25">
        <f t="shared" ca="1" si="10"/>
        <v>34</v>
      </c>
      <c r="G28" s="25">
        <f t="shared" ca="1" si="10"/>
        <v>34</v>
      </c>
      <c r="H28" s="25">
        <f t="shared" ca="1" si="10"/>
        <v>34</v>
      </c>
      <c r="J28" s="25">
        <f ca="1">IF(J29="","",$B$1-J29)</f>
        <v>34</v>
      </c>
      <c r="K28" s="25">
        <f t="shared" ref="K28:P28" ca="1" si="11">IF(K29="","",$B$1-K29)</f>
        <v>27</v>
      </c>
      <c r="L28" s="25">
        <f t="shared" ca="1" si="11"/>
        <v>27</v>
      </c>
      <c r="M28" s="25">
        <f t="shared" ca="1" si="11"/>
        <v>27</v>
      </c>
      <c r="N28" s="25">
        <f t="shared" ca="1" si="11"/>
        <v>27</v>
      </c>
      <c r="O28" s="25">
        <f t="shared" ca="1" si="11"/>
        <v>26</v>
      </c>
      <c r="P28" s="25">
        <f t="shared" ca="1" si="11"/>
        <v>26</v>
      </c>
      <c r="R28" s="25">
        <f t="shared" ref="R28:X28" ca="1" si="12">IF(R29="","",$B$1-R29)</f>
        <v>26</v>
      </c>
      <c r="S28" s="25">
        <f ca="1">IF(S29="","",$B$1-S29)</f>
        <v>22</v>
      </c>
      <c r="T28" s="25">
        <f ca="1">IF(T29="","",$B$1-T29)</f>
        <v>22</v>
      </c>
      <c r="U28" s="25">
        <f ca="1">IF(U29="","",$B$1-U29)</f>
        <v>22</v>
      </c>
      <c r="V28" s="25">
        <f ca="1">IF(V29="","",$B$1-V29)</f>
        <v>22</v>
      </c>
      <c r="W28" s="25">
        <f t="shared" ca="1" si="12"/>
        <v>20</v>
      </c>
      <c r="X28" s="25">
        <f t="shared" ca="1" si="12"/>
        <v>20</v>
      </c>
      <c r="Z28" s="25">
        <f t="shared" ref="Z28:AI28" ca="1" si="13">IF(Z29="","",$B$1-Z29)</f>
        <v>20</v>
      </c>
      <c r="AA28" s="25">
        <f t="shared" ca="1" si="13"/>
        <v>48</v>
      </c>
      <c r="AB28" s="25">
        <f t="shared" ca="1" si="13"/>
        <v>48</v>
      </c>
      <c r="AC28" s="25">
        <f t="shared" ca="1" si="13"/>
        <v>48</v>
      </c>
      <c r="AD28" s="25">
        <f t="shared" ca="1" si="13"/>
        <v>48</v>
      </c>
      <c r="AE28" s="25">
        <f t="shared" ca="1" si="13"/>
        <v>48</v>
      </c>
      <c r="AF28" s="25">
        <f t="shared" ca="1" si="13"/>
        <v>48</v>
      </c>
      <c r="AG28" s="25">
        <f t="shared" ca="1" si="13"/>
        <v>48</v>
      </c>
      <c r="AH28" s="25">
        <f t="shared" ca="1" si="13"/>
        <v>46</v>
      </c>
      <c r="AI28" s="25">
        <f t="shared" ca="1" si="13"/>
        <v>46</v>
      </c>
      <c r="AJ28" s="55"/>
    </row>
    <row r="29" spans="1:44" ht="39.950000000000003" customHeight="1" thickBot="1" x14ac:dyDescent="0.3">
      <c r="B29" s="54"/>
      <c r="C29" s="60">
        <v>45980</v>
      </c>
      <c r="D29" s="60">
        <v>45980</v>
      </c>
      <c r="E29" s="60">
        <v>45980</v>
      </c>
      <c r="F29" s="60">
        <v>45980</v>
      </c>
      <c r="G29" s="60">
        <v>45980</v>
      </c>
      <c r="H29" s="60">
        <v>45980</v>
      </c>
      <c r="J29" s="60">
        <v>45980</v>
      </c>
      <c r="K29" s="60">
        <v>45987</v>
      </c>
      <c r="L29" s="60">
        <v>45987</v>
      </c>
      <c r="M29" s="60">
        <v>45987</v>
      </c>
      <c r="N29" s="60">
        <v>45987</v>
      </c>
      <c r="O29" s="60">
        <v>45988</v>
      </c>
      <c r="P29" s="60">
        <v>45988</v>
      </c>
      <c r="R29" s="60">
        <v>45988</v>
      </c>
      <c r="S29" s="60">
        <v>45992</v>
      </c>
      <c r="T29" s="60">
        <v>45992</v>
      </c>
      <c r="U29" s="60">
        <v>45992</v>
      </c>
      <c r="V29" s="60">
        <v>45992</v>
      </c>
      <c r="W29" s="60">
        <v>45994</v>
      </c>
      <c r="X29" s="60">
        <v>45994</v>
      </c>
      <c r="Z29" s="60">
        <v>45994</v>
      </c>
      <c r="AA29" s="60">
        <v>45966</v>
      </c>
      <c r="AB29" s="60">
        <v>45966</v>
      </c>
      <c r="AC29" s="60">
        <v>45966</v>
      </c>
      <c r="AD29" s="60">
        <v>45966</v>
      </c>
      <c r="AE29" s="60">
        <v>45966</v>
      </c>
      <c r="AF29" s="60">
        <v>45966</v>
      </c>
      <c r="AG29" s="60">
        <v>45966</v>
      </c>
      <c r="AH29" s="60">
        <v>45968</v>
      </c>
      <c r="AI29" s="60">
        <v>45968</v>
      </c>
      <c r="AJ29" s="55"/>
    </row>
    <row r="30" spans="1:44" ht="15.75" thickBot="1" x14ac:dyDescent="0.3">
      <c r="B30" s="54"/>
      <c r="H30" s="90" t="s">
        <v>184</v>
      </c>
      <c r="I30" s="91"/>
      <c r="J30" s="92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86">
        <v>45978</v>
      </c>
      <c r="C36" s="86"/>
      <c r="D36" s="86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42</v>
      </c>
      <c r="D41" s="25">
        <f t="shared" ca="1" si="14"/>
        <v>42</v>
      </c>
      <c r="E41" s="25">
        <f t="shared" ca="1" si="14"/>
        <v>42</v>
      </c>
      <c r="F41" s="25">
        <f t="shared" ca="1" si="14"/>
        <v>42</v>
      </c>
      <c r="G41" s="25">
        <f t="shared" ca="1" si="14"/>
        <v>41</v>
      </c>
      <c r="H41" s="25">
        <f t="shared" ca="1" si="14"/>
        <v>41</v>
      </c>
      <c r="J41" s="25">
        <f t="shared" ca="1" si="14"/>
        <v>41</v>
      </c>
      <c r="K41" s="25">
        <f t="shared" ca="1" si="14"/>
        <v>41</v>
      </c>
      <c r="L41" s="25">
        <f t="shared" ca="1" si="14"/>
        <v>41</v>
      </c>
      <c r="M41" s="25">
        <f t="shared" ca="1" si="14"/>
        <v>41</v>
      </c>
      <c r="N41" s="25">
        <f t="shared" ca="1" si="14"/>
        <v>41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44</v>
      </c>
      <c r="D45" s="25">
        <f ca="1">IF(D46="","",$B$1-D46)</f>
        <v>44</v>
      </c>
      <c r="E45" s="25">
        <f ca="1">IF(E46="","",$B$1-E46)</f>
        <v>43</v>
      </c>
      <c r="F45" s="25">
        <f ca="1">IF(F46="","",$B$1-F46)</f>
        <v>43</v>
      </c>
      <c r="H45" s="25">
        <f ca="1">IF(H46="","",$B$1-H46)</f>
        <v>43</v>
      </c>
      <c r="J45" s="25">
        <f t="shared" ref="J45:P45" ca="1" si="15">IF(J46="","",$B$1-J46)</f>
        <v>43</v>
      </c>
      <c r="K45" s="25">
        <f t="shared" ca="1" si="15"/>
        <v>43</v>
      </c>
      <c r="L45" s="25">
        <f t="shared" ca="1" si="15"/>
        <v>43</v>
      </c>
      <c r="M45" s="25">
        <f t="shared" ca="1" si="15"/>
        <v>43</v>
      </c>
      <c r="N45" s="25">
        <f t="shared" ca="1" si="15"/>
        <v>42</v>
      </c>
      <c r="O45" s="25">
        <f t="shared" ca="1" si="15"/>
        <v>42</v>
      </c>
      <c r="P45" s="25">
        <f t="shared" ca="1" si="15"/>
        <v>42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45</v>
      </c>
      <c r="D49" s="25">
        <f ca="1">IF(D50="","",$B$1-D50)</f>
        <v>45</v>
      </c>
      <c r="E49" s="25">
        <f ca="1">IF(E50="","",$B$1-E50)</f>
        <v>45</v>
      </c>
      <c r="F49" s="25">
        <f ca="1">IF(F50="","",$B$1-F50)</f>
        <v>45</v>
      </c>
      <c r="H49" s="25">
        <f ca="1">IF(H50="","",$B$1-H50)</f>
        <v>45</v>
      </c>
      <c r="J49" s="25">
        <f t="shared" ref="J49:P49" ca="1" si="16">IF(J50="","",$B$1-J50)</f>
        <v>45</v>
      </c>
      <c r="K49" s="25">
        <f t="shared" ca="1" si="16"/>
        <v>45</v>
      </c>
      <c r="L49" s="25">
        <f t="shared" ca="1" si="16"/>
        <v>44</v>
      </c>
      <c r="M49" s="25">
        <f t="shared" ca="1" si="16"/>
        <v>44</v>
      </c>
      <c r="N49" s="25">
        <f t="shared" ca="1" si="16"/>
        <v>44</v>
      </c>
      <c r="O49" s="25">
        <f t="shared" ca="1" si="16"/>
        <v>44</v>
      </c>
      <c r="P49" s="25">
        <f t="shared" ca="1" si="16"/>
        <v>44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0" t="s">
        <v>184</v>
      </c>
      <c r="G51" s="91"/>
      <c r="H51" s="92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37</v>
      </c>
      <c r="D58" s="25">
        <f t="shared" ca="1" si="17"/>
        <v>37</v>
      </c>
      <c r="E58" s="25">
        <f t="shared" ca="1" si="17"/>
        <v>37</v>
      </c>
      <c r="F58" s="25">
        <f t="shared" ca="1" si="17"/>
        <v>37</v>
      </c>
      <c r="G58" s="25">
        <f t="shared" ca="1" si="17"/>
        <v>37</v>
      </c>
      <c r="H58" s="25">
        <f t="shared" ca="1" si="17"/>
        <v>37</v>
      </c>
      <c r="J58" s="25">
        <f t="shared" ref="J58:P58" ca="1" si="18">IF(J59="","",$B$1-J59)</f>
        <v>37</v>
      </c>
      <c r="K58" s="25">
        <f t="shared" ca="1" si="18"/>
        <v>36</v>
      </c>
      <c r="L58" s="25">
        <f t="shared" ca="1" si="18"/>
        <v>36</v>
      </c>
      <c r="M58" s="25">
        <f t="shared" ca="1" si="18"/>
        <v>36</v>
      </c>
      <c r="N58" s="25">
        <f t="shared" ca="1" si="18"/>
        <v>36</v>
      </c>
      <c r="O58" s="25">
        <f t="shared" ca="1" si="18"/>
        <v>36</v>
      </c>
      <c r="P58" s="25">
        <f t="shared" ca="1" si="18"/>
        <v>36</v>
      </c>
      <c r="R58" s="25">
        <f t="shared" ref="R58:X58" ca="1" si="19">IF(R59="","",$B$1-R59)</f>
        <v>36</v>
      </c>
      <c r="S58" s="25">
        <f t="shared" ca="1" si="19"/>
        <v>35</v>
      </c>
      <c r="T58" s="25">
        <f t="shared" ca="1" si="19"/>
        <v>35</v>
      </c>
      <c r="U58" s="25">
        <f t="shared" ca="1" si="19"/>
        <v>35</v>
      </c>
      <c r="V58" s="25">
        <f t="shared" ca="1" si="19"/>
        <v>35</v>
      </c>
      <c r="W58" s="25">
        <f t="shared" ca="1" si="19"/>
        <v>35</v>
      </c>
      <c r="X58" s="25">
        <f t="shared" ca="1" si="19"/>
        <v>35</v>
      </c>
      <c r="Z58" s="25">
        <f ca="1">IF(Z59="","",$B$1-Z59)</f>
        <v>35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87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88"/>
      <c r="AC60" s="55"/>
    </row>
    <row r="61" spans="1:29" x14ac:dyDescent="0.25">
      <c r="B61" s="88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89"/>
      <c r="C62" s="25" t="str">
        <f t="shared" ref="C62:H62" si="20">IF(C63="","",$B$1-C63)</f>
        <v/>
      </c>
      <c r="D62" s="25">
        <f t="shared" ca="1" si="20"/>
        <v>38</v>
      </c>
      <c r="E62" s="25">
        <f t="shared" ca="1" si="20"/>
        <v>38</v>
      </c>
      <c r="F62" s="25">
        <f t="shared" ca="1" si="20"/>
        <v>38</v>
      </c>
      <c r="G62" s="25">
        <f t="shared" ca="1" si="20"/>
        <v>38</v>
      </c>
      <c r="H62" s="25">
        <f t="shared" ca="1" si="20"/>
        <v>38</v>
      </c>
      <c r="J62" s="25">
        <f t="shared" ref="J62:P62" ca="1" si="21">IF(J63="","",$B$1-J63)</f>
        <v>38</v>
      </c>
      <c r="K62" s="25">
        <f t="shared" ca="1" si="21"/>
        <v>38</v>
      </c>
      <c r="L62" s="25">
        <f t="shared" ca="1" si="21"/>
        <v>38</v>
      </c>
      <c r="M62" s="25">
        <f t="shared" ca="1" si="21"/>
        <v>39</v>
      </c>
      <c r="N62" s="25">
        <f t="shared" ca="1" si="21"/>
        <v>39</v>
      </c>
      <c r="O62" s="25">
        <f t="shared" ca="1" si="21"/>
        <v>39</v>
      </c>
      <c r="P62" s="25">
        <f t="shared" ca="1" si="21"/>
        <v>39</v>
      </c>
      <c r="R62" s="25">
        <f t="shared" ref="R62:X62" ca="1" si="22">IF(R63="","",$B$1-R63)</f>
        <v>39</v>
      </c>
      <c r="S62" s="25">
        <f t="shared" ca="1" si="22"/>
        <v>39</v>
      </c>
      <c r="T62" s="25">
        <f t="shared" ca="1" si="22"/>
        <v>39</v>
      </c>
      <c r="U62" s="25">
        <f t="shared" ca="1" si="22"/>
        <v>40</v>
      </c>
      <c r="V62" s="25">
        <f t="shared" ca="1" si="22"/>
        <v>40</v>
      </c>
      <c r="W62" s="25">
        <f t="shared" ca="1" si="22"/>
        <v>40</v>
      </c>
      <c r="X62" s="25">
        <f t="shared" ca="1" si="22"/>
        <v>40</v>
      </c>
      <c r="Z62" s="25">
        <f ca="1">IF(Z63="","",$B$1-Z63)</f>
        <v>40</v>
      </c>
      <c r="AA62" s="25">
        <f ca="1">IF(AA63="","",$B$1-AA63)</f>
        <v>40</v>
      </c>
      <c r="AB62" s="25">
        <f ca="1">IF(AB63="","",$B$1-AB63)</f>
        <v>40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23</v>
      </c>
      <c r="D71" s="25">
        <f t="shared" ca="1" si="23"/>
        <v>23</v>
      </c>
      <c r="E71" s="25">
        <f t="shared" ca="1" si="23"/>
        <v>23</v>
      </c>
      <c r="F71" s="25">
        <f t="shared" ca="1" si="23"/>
        <v>24</v>
      </c>
      <c r="G71" s="25">
        <f t="shared" ca="1" si="23"/>
        <v>24</v>
      </c>
      <c r="H71" s="25">
        <f t="shared" ca="1" si="23"/>
        <v>24</v>
      </c>
      <c r="J71" s="25">
        <f ca="1">IF(J72="","",$B$1-J72)</f>
        <v>24</v>
      </c>
      <c r="K71" s="25">
        <f t="shared" ref="K71:P71" ca="1" si="24">IF(K72="","",$B$1-K72)</f>
        <v>24</v>
      </c>
      <c r="L71" s="25">
        <f t="shared" ca="1" si="24"/>
        <v>24</v>
      </c>
      <c r="M71" s="25">
        <f t="shared" ca="1" si="24"/>
        <v>24</v>
      </c>
      <c r="N71" s="25">
        <f t="shared" ca="1" si="24"/>
        <v>25</v>
      </c>
      <c r="O71" s="25">
        <f t="shared" ca="1" si="24"/>
        <v>25</v>
      </c>
      <c r="P71" s="25">
        <f t="shared" ca="1" si="24"/>
        <v>25</v>
      </c>
      <c r="R71" s="25">
        <f t="shared" ref="R71:X71" ca="1" si="25">IF(R72="","",$B$1-R72)</f>
        <v>25</v>
      </c>
      <c r="S71" s="25">
        <f t="shared" ca="1" si="25"/>
        <v>25</v>
      </c>
      <c r="T71" s="25">
        <f t="shared" ca="1" si="25"/>
        <v>25</v>
      </c>
      <c r="U71" s="25">
        <f t="shared" ca="1" si="25"/>
        <v>25</v>
      </c>
      <c r="V71" s="25">
        <f t="shared" ca="1" si="25"/>
        <v>26</v>
      </c>
      <c r="W71" s="25">
        <f t="shared" ca="1" si="25"/>
        <v>26</v>
      </c>
      <c r="X71" s="25">
        <f t="shared" ca="1" si="25"/>
        <v>26</v>
      </c>
      <c r="Z71" s="25">
        <f ca="1">IF(Z72="","",$B$1-Z72)</f>
        <v>26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83" t="s">
        <v>196</v>
      </c>
    </row>
    <row r="73" spans="1:28" x14ac:dyDescent="0.25">
      <c r="B73" s="54"/>
      <c r="AB73" s="84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84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85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190" priority="123">
      <formula>LEN(TRIM(C72))=0</formula>
    </cfRule>
    <cfRule type="notContainsBlanks" dxfId="1189" priority="124">
      <formula>LEN(TRIM(C72))&gt;0</formula>
    </cfRule>
  </conditionalFormatting>
  <conditionalFormatting sqref="C10:F10 C14:H14 J14:P14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188" priority="89">
      <formula>LEN(TRIM(C42))=0</formula>
    </cfRule>
    <cfRule type="notContainsBlanks" dxfId="1187" priority="90">
      <formula>LEN(TRIM(C42))&gt;0</formula>
    </cfRule>
    <cfRule type="containsBlanks" dxfId="1186" priority="91">
      <formula>LEN(TRIM(C42))=0</formula>
    </cfRule>
    <cfRule type="notContainsBlanks" dxfId="1185" priority="92">
      <formula>LEN(TRIM(C42))&gt;0</formula>
    </cfRule>
  </conditionalFormatting>
  <conditionalFormatting sqref="C46:F46">
    <cfRule type="containsBlanks" dxfId="1184" priority="103">
      <formula>LEN(TRIM(C46))=0</formula>
    </cfRule>
    <cfRule type="notContainsBlanks" dxfId="1183" priority="104">
      <formula>LEN(TRIM(C46))&gt;0</formula>
    </cfRule>
  </conditionalFormatting>
  <conditionalFormatting sqref="C50:F50">
    <cfRule type="containsBlanks" dxfId="1182" priority="243">
      <formula>LEN(TRIM(C50))=0</formula>
    </cfRule>
    <cfRule type="notContainsBlanks" dxfId="1181" priority="244">
      <formula>LEN(TRIM(C50))&gt;0</formula>
    </cfRule>
  </conditionalFormatting>
  <conditionalFormatting sqref="C6:G6">
    <cfRule type="dataBar" priority="2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containsBlanks" dxfId="1180" priority="190">
      <formula>LEN(TRIM(C7))=0</formula>
    </cfRule>
    <cfRule type="notContainsBlanks" dxfId="1179" priority="191">
      <formula>LEN(TRIM(C7))&gt;0</formula>
    </cfRule>
  </conditionalFormatting>
  <conditionalFormatting sqref="C11:H11">
    <cfRule type="containsBlanks" dxfId="1178" priority="236">
      <formula>LEN(TRIM(C11))=0</formula>
    </cfRule>
    <cfRule type="notContainsBlanks" dxfId="1177" priority="237">
      <formula>LEN(TRIM(C11))&gt;0</formula>
    </cfRule>
  </conditionalFormatting>
  <conditionalFormatting sqref="C15:H15">
    <cfRule type="containsBlanks" dxfId="1176" priority="55">
      <formula>LEN(TRIM(C15))=0</formula>
    </cfRule>
    <cfRule type="notContainsBlanks" dxfId="1175" priority="56">
      <formula>LEN(TRIM(C15))&gt;0</formula>
    </cfRule>
  </conditionalFormatting>
  <conditionalFormatting sqref="C24:H24 J24:P24 R24 AA24:AI24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174" priority="151">
      <formula>LEN(TRIM(C25))=0</formula>
    </cfRule>
    <cfRule type="notContainsBlanks" dxfId="1173" priority="152">
      <formula>LEN(TRIM(C25))&gt;0</formula>
    </cfRule>
  </conditionalFormatting>
  <conditionalFormatting sqref="C28:H28 J28:P28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containsBlanks" dxfId="1172" priority="57">
      <formula>LEN(TRIM(C29))=0</formula>
    </cfRule>
    <cfRule type="notContainsBlanks" dxfId="1171" priority="58">
      <formula>LEN(TRIM(C29))&gt;0</formula>
    </cfRule>
  </conditionalFormatting>
  <conditionalFormatting sqref="C41:H41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containsBlanks" dxfId="1170" priority="93">
      <formula>LEN(TRIM(C42))=0</formula>
    </cfRule>
    <cfRule type="notContainsBlanks" dxfId="1169" priority="94">
      <formula>LEN(TRIM(C42))&gt;0</formula>
    </cfRule>
  </conditionalFormatting>
  <conditionalFormatting sqref="C58:H58 R58:X58 Z58:AB58 J58:P58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168" priority="157">
      <formula>LEN(TRIM(C59))=0</formula>
    </cfRule>
    <cfRule type="notContainsBlanks" dxfId="1167" priority="158">
      <formula>LEN(TRIM(C59))&gt;0</formula>
    </cfRule>
  </conditionalFormatting>
  <conditionalFormatting sqref="C62:H62 R62:X62 Z62:AB62 J62:P62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containsBlanks" dxfId="1166" priority="73">
      <formula>LEN(TRIM(C63))=0</formula>
    </cfRule>
    <cfRule type="notContainsBlanks" dxfId="1165" priority="74">
      <formula>LEN(TRIM(C63))&gt;0</formula>
    </cfRule>
  </conditionalFormatting>
  <conditionalFormatting sqref="C72:H72">
    <cfRule type="containsBlanks" dxfId="1164" priority="9">
      <formula>LEN(TRIM(C72))=0</formula>
    </cfRule>
    <cfRule type="notContainsBlanks" dxfId="1163" priority="10">
      <formula>LEN(TRIM(C72))&gt;0</formula>
    </cfRule>
  </conditionalFormatting>
  <conditionalFormatting sqref="C76:H76">
    <cfRule type="containsBlanks" dxfId="1162" priority="188">
      <formula>LEN(TRIM(C76))=0</formula>
    </cfRule>
    <cfRule type="notContainsBlanks" dxfId="1161" priority="189">
      <formula>LEN(TRIM(C76))&gt;0</formula>
    </cfRule>
  </conditionalFormatting>
  <conditionalFormatting sqref="D63:H63">
    <cfRule type="containsBlanks" dxfId="1160" priority="71">
      <formula>LEN(TRIM(D63))=0</formula>
    </cfRule>
    <cfRule type="notContainsBlanks" dxfId="1159" priority="72">
      <formula>LEN(TRIM(D63))&gt;0</formula>
    </cfRule>
  </conditionalFormatting>
  <conditionalFormatting sqref="E45:F45 H45 J45:P45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158" priority="222">
      <formula>LEN(TRIM(E46))=0</formula>
    </cfRule>
    <cfRule type="notContainsBlanks" dxfId="1157" priority="223">
      <formula>LEN(TRIM(E46))&gt;0</formula>
    </cfRule>
  </conditionalFormatting>
  <conditionalFormatting sqref="E10:H10 J10:P10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156" priority="7">
      <formula>LEN(TRIM(F72))=0</formula>
    </cfRule>
    <cfRule type="notContainsBlanks" dxfId="1155" priority="8">
      <formula>LEN(TRIM(F72))&gt;0</formula>
    </cfRule>
  </conditionalFormatting>
  <conditionalFormatting sqref="G10:H10 J10:P10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containsBlanks" dxfId="1154" priority="176">
      <formula>LEN(TRIM(G42))=0</formula>
    </cfRule>
    <cfRule type="notContainsBlanks" dxfId="1153" priority="177">
      <formula>LEN(TRIM(G42))&gt;0</formula>
    </cfRule>
  </conditionalFormatting>
  <conditionalFormatting sqref="H6">
    <cfRule type="dataBar" priority="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  <cfRule type="dataBar" priority="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</conditionalFormatting>
  <conditionalFormatting sqref="H45">
    <cfRule type="dataBar" priority="23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containsBlanks" dxfId="1152" priority="99">
      <formula>LEN(TRIM(H46))=0</formula>
    </cfRule>
    <cfRule type="notContainsBlanks" dxfId="1151" priority="100">
      <formula>LEN(TRIM(H46))&gt;0</formula>
    </cfRule>
    <cfRule type="containsBlanks" dxfId="1150" priority="101">
      <formula>LEN(TRIM(H46))=0</formula>
    </cfRule>
    <cfRule type="notContainsBlanks" dxfId="1149" priority="102">
      <formula>LEN(TRIM(H46))&gt;0</formula>
    </cfRule>
  </conditionalFormatting>
  <conditionalFormatting sqref="H50">
    <cfRule type="containsBlanks" dxfId="1148" priority="107">
      <formula>LEN(TRIM(H50))=0</formula>
    </cfRule>
    <cfRule type="notContainsBlanks" dxfId="1147" priority="108">
      <formula>LEN(TRIM(H50))&gt;0</formula>
    </cfRule>
  </conditionalFormatting>
  <conditionalFormatting sqref="I10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1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146" priority="214">
      <formula>LEN(TRIM(J72))=0</formula>
    </cfRule>
    <cfRule type="notContainsBlanks" dxfId="1145" priority="215">
      <formula>LEN(TRIM(J72))&gt;0</formula>
    </cfRule>
  </conditionalFormatting>
  <conditionalFormatting sqref="J20:K20">
    <cfRule type="dataBar" priority="2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containsBlanks" dxfId="1144" priority="109">
      <formula>LEN(TRIM(J21))=0</formula>
    </cfRule>
    <cfRule type="notContainsBlanks" dxfId="1143" priority="110">
      <formula>LEN(TRIM(J21))&gt;0</formula>
    </cfRule>
  </conditionalFormatting>
  <conditionalFormatting sqref="J63:L63">
    <cfRule type="containsBlanks" dxfId="1142" priority="155">
      <formula>LEN(TRIM(J63))=0</formula>
    </cfRule>
    <cfRule type="notContainsBlanks" dxfId="1141" priority="156">
      <formula>LEN(TRIM(J63))&gt;0</formula>
    </cfRule>
  </conditionalFormatting>
  <conditionalFormatting sqref="J46:M46">
    <cfRule type="containsBlanks" dxfId="1140" priority="95">
      <formula>LEN(TRIM(J46))=0</formula>
    </cfRule>
    <cfRule type="notContainsBlanks" dxfId="1139" priority="96">
      <formula>LEN(TRIM(J46))&gt;0</formula>
    </cfRule>
  </conditionalFormatting>
  <conditionalFormatting sqref="J72:M72">
    <cfRule type="containsBlanks" dxfId="1138" priority="127">
      <formula>LEN(TRIM(J72))=0</formula>
    </cfRule>
    <cfRule type="notContainsBlanks" dxfId="1137" priority="128">
      <formula>LEN(TRIM(J72))&gt;0</formula>
    </cfRule>
  </conditionalFormatting>
  <conditionalFormatting sqref="J42:N42">
    <cfRule type="containsBlanks" dxfId="1136" priority="85">
      <formula>LEN(TRIM(J42))=0</formula>
    </cfRule>
    <cfRule type="notContainsBlanks" dxfId="1135" priority="86">
      <formula>LEN(TRIM(J42))&gt;0</formula>
    </cfRule>
  </conditionalFormatting>
  <conditionalFormatting sqref="J41:O41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134" priority="149">
      <formula>LEN(TRIM(J7))=0</formula>
    </cfRule>
    <cfRule type="notContainsBlanks" dxfId="1133" priority="150">
      <formula>LEN(TRIM(J7))&gt;0</formula>
    </cfRule>
  </conditionalFormatting>
  <conditionalFormatting sqref="J11:P11">
    <cfRule type="containsBlanks" dxfId="1132" priority="51">
      <formula>LEN(TRIM(J11))=0</formula>
    </cfRule>
    <cfRule type="notContainsBlanks" dxfId="1131" priority="52">
      <formula>LEN(TRIM(J11))&gt;0</formula>
    </cfRule>
  </conditionalFormatting>
  <conditionalFormatting sqref="J15:P15">
    <cfRule type="containsBlanks" dxfId="1130" priority="53">
      <formula>LEN(TRIM(J15))=0</formula>
    </cfRule>
    <cfRule type="notContainsBlanks" dxfId="1129" priority="54">
      <formula>LEN(TRIM(J15))&gt;0</formula>
    </cfRule>
  </conditionalFormatting>
  <conditionalFormatting sqref="J25:P25">
    <cfRule type="containsBlanks" dxfId="1128" priority="5">
      <formula>LEN(TRIM(J25))=0</formula>
    </cfRule>
    <cfRule type="notContainsBlanks" dxfId="1127" priority="6">
      <formula>LEN(TRIM(J25))&gt;0</formula>
    </cfRule>
  </conditionalFormatting>
  <conditionalFormatting sqref="J29:P29">
    <cfRule type="containsBlanks" dxfId="1126" priority="15">
      <formula>LEN(TRIM(J29))=0</formula>
    </cfRule>
    <cfRule type="notContainsBlanks" dxfId="1125" priority="16">
      <formula>LEN(TRIM(J29))&gt;0</formula>
    </cfRule>
  </conditionalFormatting>
  <conditionalFormatting sqref="J42:P42">
    <cfRule type="containsBlanks" dxfId="1124" priority="87">
      <formula>LEN(TRIM(J42))=0</formula>
    </cfRule>
    <cfRule type="notContainsBlanks" dxfId="1123" priority="88">
      <formula>LEN(TRIM(J42))&gt;0</formula>
    </cfRule>
  </conditionalFormatting>
  <conditionalFormatting sqref="J45:P45">
    <cfRule type="dataBar" priority="23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122" priority="97">
      <formula>LEN(TRIM(J46))=0</formula>
    </cfRule>
    <cfRule type="notContainsBlanks" dxfId="1121" priority="98">
      <formula>LEN(TRIM(J46))&gt;0</formula>
    </cfRule>
  </conditionalFormatting>
  <conditionalFormatting sqref="J49:P49 C49:F49 H49 C45:F45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containsBlanks" dxfId="1120" priority="105">
      <formula>LEN(TRIM(J50))=0</formula>
    </cfRule>
    <cfRule type="notContainsBlanks" dxfId="1119" priority="106">
      <formula>LEN(TRIM(J50))&gt;0</formula>
    </cfRule>
  </conditionalFormatting>
  <conditionalFormatting sqref="J59:P59">
    <cfRule type="containsBlanks" dxfId="1118" priority="69">
      <formula>LEN(TRIM(J59))=0</formula>
    </cfRule>
    <cfRule type="notContainsBlanks" dxfId="1117" priority="70">
      <formula>LEN(TRIM(J59))&gt;0</formula>
    </cfRule>
  </conditionalFormatting>
  <conditionalFormatting sqref="J63:P63">
    <cfRule type="containsBlanks" dxfId="1116" priority="77">
      <formula>LEN(TRIM(J63))=0</formula>
    </cfRule>
    <cfRule type="notContainsBlanks" dxfId="1115" priority="78">
      <formula>LEN(TRIM(J63))&gt;0</formula>
    </cfRule>
  </conditionalFormatting>
  <conditionalFormatting sqref="J71:P71 R71:X71 Z71:AB71 C71:H71">
    <cfRule type="dataBar" priority="21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containsBlanks" dxfId="1114" priority="11">
      <formula>LEN(TRIM(J72))=0</formula>
    </cfRule>
    <cfRule type="notContainsBlanks" dxfId="1113" priority="12">
      <formula>LEN(TRIM(J72))&gt;0</formula>
    </cfRule>
  </conditionalFormatting>
  <conditionalFormatting sqref="J75:P75 R75:X75 Z75:AA75 C75:H75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containsBlanks" dxfId="1112" priority="186">
      <formula>LEN(TRIM(J76))=0</formula>
    </cfRule>
    <cfRule type="notContainsBlanks" dxfId="1111" priority="187">
      <formula>LEN(TRIM(J76))&gt;0</formula>
    </cfRule>
  </conditionalFormatting>
  <conditionalFormatting sqref="K11:P11">
    <cfRule type="containsBlanks" dxfId="1110" priority="153">
      <formula>LEN(TRIM(K11))=0</formula>
    </cfRule>
    <cfRule type="notContainsBlanks" dxfId="1109" priority="154">
      <formula>LEN(TRIM(K11))&gt;0</formula>
    </cfRule>
  </conditionalFormatting>
  <conditionalFormatting sqref="K59:P59">
    <cfRule type="containsBlanks" dxfId="1108" priority="159">
      <formula>LEN(TRIM(K59))=0</formula>
    </cfRule>
    <cfRule type="notContainsBlanks" dxfId="1107" priority="160">
      <formula>LEN(TRIM(K59))&gt;0</formula>
    </cfRule>
    <cfRule type="containsBlanks" dxfId="1106" priority="161">
      <formula>LEN(TRIM(K59))=0</formula>
    </cfRule>
    <cfRule type="notContainsBlanks" dxfId="1105" priority="162">
      <formula>LEN(TRIM(K59))&gt;0</formula>
    </cfRule>
  </conditionalFormatting>
  <conditionalFormatting sqref="L76:P76">
    <cfRule type="containsBlanks" dxfId="1104" priority="199">
      <formula>LEN(TRIM(L76))=0</formula>
    </cfRule>
    <cfRule type="notContainsBlanks" dxfId="1103" priority="200">
      <formula>LEN(TRIM(L76))&gt;0</formula>
    </cfRule>
  </conditionalFormatting>
  <conditionalFormatting sqref="M50:P50">
    <cfRule type="containsBlanks" dxfId="1102" priority="226">
      <formula>LEN(TRIM(M50))=0</formula>
    </cfRule>
    <cfRule type="notContainsBlanks" dxfId="1101" priority="227">
      <formula>LEN(TRIM(M50))&gt;0</formula>
    </cfRule>
  </conditionalFormatting>
  <conditionalFormatting sqref="M63:P63">
    <cfRule type="containsBlanks" dxfId="1100" priority="75">
      <formula>LEN(TRIM(M63))=0</formula>
    </cfRule>
    <cfRule type="notContainsBlanks" dxfId="1099" priority="76">
      <formula>LEN(TRIM(M63))&gt;0</formula>
    </cfRule>
  </conditionalFormatting>
  <conditionalFormatting sqref="N46:P46">
    <cfRule type="containsBlanks" dxfId="1098" priority="178">
      <formula>LEN(TRIM(N46))=0</formula>
    </cfRule>
    <cfRule type="notContainsBlanks" dxfId="1097" priority="179">
      <formula>LEN(TRIM(N46))&gt;0</formula>
    </cfRule>
    <cfRule type="containsBlanks" dxfId="1096" priority="220">
      <formula>LEN(TRIM(N46))=0</formula>
    </cfRule>
    <cfRule type="notContainsBlanks" dxfId="1095" priority="221">
      <formula>LEN(TRIM(N46))&gt;0</formula>
    </cfRule>
  </conditionalFormatting>
  <conditionalFormatting sqref="O46:P46">
    <cfRule type="containsBlanks" dxfId="1094" priority="224">
      <formula>LEN(TRIM(O46))=0</formula>
    </cfRule>
    <cfRule type="notContainsBlanks" dxfId="1093" priority="225">
      <formula>LEN(TRIM(O46))&gt;0</formula>
    </cfRule>
  </conditionalFormatting>
  <conditionalFormatting sqref="P6">
    <cfRule type="dataBar" priority="1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containsBlanks" dxfId="1092" priority="145">
      <formula>LEN(TRIM(P7))=0</formula>
    </cfRule>
    <cfRule type="notContainsBlanks" dxfId="1091" priority="146">
      <formula>LEN(TRIM(P7))&gt;0</formula>
    </cfRule>
    <cfRule type="containsBlanks" dxfId="1090" priority="147">
      <formula>LEN(TRIM(P7))=0</formula>
    </cfRule>
    <cfRule type="notContainsBlanks" dxfId="1089" priority="148">
      <formula>LEN(TRIM(P7))&gt;0</formula>
    </cfRule>
  </conditionalFormatting>
  <conditionalFormatting sqref="P14">
    <cfRule type="dataBar" priority="22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1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088" priority="48">
      <formula>LEN(TRIM(R11))&gt;0</formula>
    </cfRule>
  </conditionalFormatting>
  <conditionalFormatting sqref="R15">
    <cfRule type="containsBlanks" dxfId="1087" priority="49">
      <formula>LEN(TRIM(R15))=0</formula>
    </cfRule>
    <cfRule type="notContainsBlanks" dxfId="1086" priority="50">
      <formula>LEN(TRIM(R15))&gt;0</formula>
    </cfRule>
  </conditionalFormatting>
  <conditionalFormatting sqref="R59">
    <cfRule type="containsBlanks" dxfId="1085" priority="63">
      <formula>LEN(TRIM(R59))=0</formula>
    </cfRule>
    <cfRule type="notContainsBlanks" dxfId="1084" priority="64">
      <formula>LEN(TRIM(R59))&gt;0</formula>
    </cfRule>
    <cfRule type="containsBlanks" dxfId="1083" priority="65">
      <formula>LEN(TRIM(R59))=0</formula>
    </cfRule>
    <cfRule type="notContainsBlanks" dxfId="1082" priority="66">
      <formula>LEN(TRIM(R59))&gt;0</formula>
    </cfRule>
  </conditionalFormatting>
  <conditionalFormatting sqref="R72">
    <cfRule type="containsBlanks" dxfId="1081" priority="212">
      <formula>LEN(TRIM(R72))=0</formula>
    </cfRule>
    <cfRule type="notContainsBlanks" dxfId="1080" priority="213">
      <formula>LEN(TRIM(R72))&gt;0</formula>
    </cfRule>
  </conditionalFormatting>
  <conditionalFormatting sqref="R63:S63">
    <cfRule type="containsBlanks" dxfId="1079" priority="166">
      <formula>LEN(TRIM(R63))=0</formula>
    </cfRule>
    <cfRule type="notContainsBlanks" dxfId="1078" priority="167">
      <formula>LEN(TRIM(R63))&gt;0</formula>
    </cfRule>
  </conditionalFormatting>
  <conditionalFormatting sqref="R76:S76">
    <cfRule type="containsBlanks" dxfId="1077" priority="182">
      <formula>LEN(TRIM(R76))=0</formula>
    </cfRule>
    <cfRule type="notContainsBlanks" dxfId="1076" priority="183">
      <formula>LEN(TRIM(R76))&gt;0</formula>
    </cfRule>
  </conditionalFormatting>
  <conditionalFormatting sqref="R7:T7">
    <cfRule type="containsBlanks" dxfId="1075" priority="17">
      <formula>LEN(TRIM(R7))=0</formula>
    </cfRule>
    <cfRule type="notContainsBlanks" dxfId="1074" priority="18">
      <formula>LEN(TRIM(R7))&gt;0</formula>
    </cfRule>
    <cfRule type="containsBlanks" dxfId="1073" priority="19">
      <formula>LEN(TRIM(R7))=0</formula>
    </cfRule>
    <cfRule type="notContainsBlanks" dxfId="1072" priority="20">
      <formula>LEN(TRIM(R7))&gt;0</formula>
    </cfRule>
  </conditionalFormatting>
  <conditionalFormatting sqref="R11:T11">
    <cfRule type="containsBlanks" dxfId="1071" priority="41">
      <formula>LEN(TRIM(R11))=0</formula>
    </cfRule>
    <cfRule type="notContainsBlanks" dxfId="1070" priority="42">
      <formula>LEN(TRIM(R11))&gt;0</formula>
    </cfRule>
  </conditionalFormatting>
  <conditionalFormatting sqref="R63:T63">
    <cfRule type="containsBlanks" dxfId="1069" priority="168">
      <formula>LEN(TRIM(R63))=0</formula>
    </cfRule>
    <cfRule type="notContainsBlanks" dxfId="1068" priority="169">
      <formula>LEN(TRIM(R63))&gt;0</formula>
    </cfRule>
    <cfRule type="containsBlanks" dxfId="1067" priority="174">
      <formula>LEN(TRIM(R63))=0</formula>
    </cfRule>
    <cfRule type="notContainsBlanks" dxfId="1066" priority="175">
      <formula>LEN(TRIM(R63))&gt;0</formula>
    </cfRule>
  </conditionalFormatting>
  <conditionalFormatting sqref="R14:W14 R6:X6 R10:W10">
    <cfRule type="dataBar" priority="2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1065" priority="21">
      <formula>LEN(TRIM(R7))=0</formula>
    </cfRule>
    <cfRule type="notContainsBlanks" dxfId="1064" priority="22">
      <formula>LEN(TRIM(R7))&gt;0</formula>
    </cfRule>
  </conditionalFormatting>
  <conditionalFormatting sqref="R25:X25">
    <cfRule type="containsBlanks" dxfId="1063" priority="33">
      <formula>LEN(TRIM(R25))=0</formula>
    </cfRule>
    <cfRule type="notContainsBlanks" dxfId="1062" priority="34">
      <formula>LEN(TRIM(R25))&gt;0</formula>
    </cfRule>
  </conditionalFormatting>
  <conditionalFormatting sqref="R29:X29">
    <cfRule type="containsBlanks" dxfId="1061" priority="3">
      <formula>LEN(TRIM(R29))=0</formula>
    </cfRule>
    <cfRule type="notContainsBlanks" dxfId="1060" priority="4">
      <formula>LEN(TRIM(R29))&gt;0</formula>
    </cfRule>
  </conditionalFormatting>
  <conditionalFormatting sqref="R59:X59">
    <cfRule type="containsBlanks" dxfId="1059" priority="67">
      <formula>LEN(TRIM(R59))=0</formula>
    </cfRule>
    <cfRule type="notContainsBlanks" dxfId="1058" priority="68">
      <formula>LEN(TRIM(R59))&gt;0</formula>
    </cfRule>
  </conditionalFormatting>
  <conditionalFormatting sqref="R72:X72">
    <cfRule type="containsBlanks" dxfId="1057" priority="13">
      <formula>LEN(TRIM(R72))=0</formula>
    </cfRule>
    <cfRule type="notContainsBlanks" dxfId="1056" priority="14">
      <formula>LEN(TRIM(R72))&gt;0</formula>
    </cfRule>
  </conditionalFormatting>
  <conditionalFormatting sqref="R76:X76">
    <cfRule type="containsBlanks" dxfId="1055" priority="184">
      <formula>LEN(TRIM(R76))=0</formula>
    </cfRule>
    <cfRule type="notContainsBlanks" dxfId="1054" priority="185">
      <formula>LEN(TRIM(R76))&gt;0</formula>
    </cfRule>
  </conditionalFormatting>
  <conditionalFormatting sqref="S15:W15">
    <cfRule type="containsBlanks" dxfId="1053" priority="205">
      <formula>LEN(TRIM(S15))=0</formula>
    </cfRule>
    <cfRule type="notContainsBlanks" dxfId="1052" priority="206">
      <formula>LEN(TRIM(S15))&gt;0</formula>
    </cfRule>
  </conditionalFormatting>
  <conditionalFormatting sqref="S24:X24 Z24">
    <cfRule type="dataBar" priority="1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1051" priority="164">
      <formula>LEN(TRIM(S59))=0</formula>
    </cfRule>
    <cfRule type="notContainsBlanks" dxfId="1050" priority="165">
      <formula>LEN(TRIM(S59))&gt;0</formula>
    </cfRule>
  </conditionalFormatting>
  <conditionalFormatting sqref="U11:X11 R11">
    <cfRule type="containsBlanks" dxfId="1049" priority="47">
      <formula>LEN(TRIM(R11))=0</formula>
    </cfRule>
  </conditionalFormatting>
  <conditionalFormatting sqref="U63:X63">
    <cfRule type="containsBlanks" dxfId="1048" priority="79">
      <formula>LEN(TRIM(U63))=0</formula>
    </cfRule>
    <cfRule type="notContainsBlanks" dxfId="1047" priority="80">
      <formula>LEN(TRIM(U63))&gt;0</formula>
    </cfRule>
    <cfRule type="containsBlanks" dxfId="1046" priority="81">
      <formula>LEN(TRIM(U63))=0</formula>
    </cfRule>
    <cfRule type="notContainsBlanks" dxfId="1045" priority="82">
      <formula>LEN(TRIM(U63))&gt;0</formula>
    </cfRule>
    <cfRule type="containsBlanks" dxfId="1044" priority="83">
      <formula>LEN(TRIM(U63))=0</formula>
    </cfRule>
    <cfRule type="notContainsBlanks" dxfId="1043" priority="84">
      <formula>LEN(TRIM(U63))&gt;0</formula>
    </cfRule>
  </conditionalFormatting>
  <conditionalFormatting sqref="V11:W11">
    <cfRule type="containsBlanks" dxfId="1042" priority="43">
      <formula>LEN(TRIM(V11))=0</formula>
    </cfRule>
    <cfRule type="notContainsBlanks" dxfId="1041" priority="44">
      <formula>LEN(TRIM(V11))&gt;0</formula>
    </cfRule>
  </conditionalFormatting>
  <conditionalFormatting sqref="W15:X15">
    <cfRule type="containsBlanks" dxfId="1040" priority="195">
      <formula>LEN(TRIM(W15))=0</formula>
    </cfRule>
    <cfRule type="notContainsBlanks" dxfId="1039" priority="196">
      <formula>LEN(TRIM(W15))&gt;0</formula>
    </cfRule>
  </conditionalFormatting>
  <conditionalFormatting sqref="W32:X32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containsBlanks" dxfId="1038" priority="207">
      <formula>LEN(TRIM(W33))=0</formula>
    </cfRule>
    <cfRule type="notContainsBlanks" dxfId="1037" priority="208">
      <formula>LEN(TRIM(W33))&gt;0</formula>
    </cfRule>
  </conditionalFormatting>
  <conditionalFormatting sqref="X10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19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2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036" priority="276">
      <formula>LEN(TRIM(X21))=0</formula>
    </cfRule>
    <cfRule type="notContainsBlanks" dxfId="1035" priority="277">
      <formula>LEN(TRIM(X21))&gt;0</formula>
    </cfRule>
    <cfRule type="containsBlanks" dxfId="1034" priority="278">
      <formula>LEN(TRIM(X21))=0</formula>
    </cfRule>
    <cfRule type="notContainsBlanks" dxfId="1033" priority="279">
      <formula>LEN(TRIM(X21))&gt;0</formula>
    </cfRule>
    <cfRule type="containsBlanks" dxfId="1032" priority="280">
      <formula>LEN(TRIM(X21))=0</formula>
    </cfRule>
    <cfRule type="notContainsBlanks" dxfId="1031" priority="281">
      <formula>LEN(TRIM(X21))&gt;0</formula>
    </cfRule>
    <cfRule type="containsBlanks" dxfId="1030" priority="282">
      <formula>LEN(TRIM(X21))=0</formula>
    </cfRule>
    <cfRule type="notContainsBlanks" dxfId="1029" priority="283">
      <formula>LEN(TRIM(X21))&gt;0</formula>
    </cfRule>
    <cfRule type="containsBlanks" dxfId="1028" priority="284">
      <formula>LEN(TRIM(X21))=0</formula>
    </cfRule>
    <cfRule type="notContainsBlanks" dxfId="1027" priority="285">
      <formula>LEN(TRIM(X21))&gt;0</formula>
    </cfRule>
  </conditionalFormatting>
  <conditionalFormatting sqref="Y24">
    <cfRule type="dataBar" priority="1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1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containsBlanks" dxfId="1026" priority="59">
      <formula>LEN(TRIM(Z59))=0</formula>
    </cfRule>
    <cfRule type="notContainsBlanks" dxfId="1025" priority="60">
      <formula>LEN(TRIM(Z59))&gt;0</formula>
    </cfRule>
  </conditionalFormatting>
  <conditionalFormatting sqref="Z72">
    <cfRule type="containsBlanks" dxfId="1024" priority="129">
      <formula>LEN(TRIM(Z72))=0</formula>
    </cfRule>
    <cfRule type="notContainsBlanks" dxfId="1023" priority="130">
      <formula>LEN(TRIM(Z72))&gt;0</formula>
    </cfRule>
  </conditionalFormatting>
  <conditionalFormatting sqref="Z76">
    <cfRule type="containsBlanks" dxfId="1022" priority="210">
      <formula>LEN(TRIM(Z76))=0</formula>
    </cfRule>
    <cfRule type="notContainsBlanks" dxfId="1021" priority="211">
      <formula>LEN(TRIM(Z76))&gt;0</formula>
    </cfRule>
  </conditionalFormatting>
  <conditionalFormatting sqref="Z63:AA63">
    <cfRule type="containsBlanks" dxfId="1020" priority="170">
      <formula>LEN(TRIM(Z63))=0</formula>
    </cfRule>
    <cfRule type="notContainsBlanks" dxfId="1019" priority="171">
      <formula>LEN(TRIM(Z63))&gt;0</formula>
    </cfRule>
  </conditionalFormatting>
  <conditionalFormatting sqref="Z59:AB59">
    <cfRule type="containsBlanks" dxfId="1018" priority="61">
      <formula>LEN(TRIM(Z59))=0</formula>
    </cfRule>
    <cfRule type="notContainsBlanks" dxfId="1017" priority="62">
      <formula>LEN(TRIM(Z59))&gt;0</formula>
    </cfRule>
  </conditionalFormatting>
  <conditionalFormatting sqref="Z63:AB63">
    <cfRule type="containsBlanks" dxfId="1016" priority="172">
      <formula>LEN(TRIM(Z63))=0</formula>
    </cfRule>
    <cfRule type="notContainsBlanks" dxfId="1015" priority="173">
      <formula>LEN(TRIM(Z63))&gt;0</formula>
    </cfRule>
    <cfRule type="containsBlanks" dxfId="1014" priority="180">
      <formula>LEN(TRIM(Z63))=0</formula>
    </cfRule>
    <cfRule type="notContainsBlanks" dxfId="1013" priority="181">
      <formula>LEN(TRIM(Z63))&gt;0</formula>
    </cfRule>
  </conditionalFormatting>
  <conditionalFormatting sqref="Z25:AI25">
    <cfRule type="containsBlanks" dxfId="1012" priority="115">
      <formula>LEN(TRIM(Z25))=0</formula>
    </cfRule>
    <cfRule type="notContainsBlanks" dxfId="1011" priority="116">
      <formula>LEN(TRIM(Z25))&gt;0</formula>
    </cfRule>
  </conditionalFormatting>
  <conditionalFormatting sqref="Z29:AI29">
    <cfRule type="containsBlanks" dxfId="1010" priority="1">
      <formula>LEN(TRIM(Z29))=0</formula>
    </cfRule>
    <cfRule type="notContainsBlanks" dxfId="1009" priority="2">
      <formula>LEN(TRIM(Z29))&gt;0</formula>
    </cfRule>
  </conditionalFormatting>
  <conditionalFormatting sqref="AA59:AB59">
    <cfRule type="containsBlanks" dxfId="1008" priority="141">
      <formula>LEN(TRIM(AA59))=0</formula>
    </cfRule>
    <cfRule type="notContainsBlanks" dxfId="1007" priority="142">
      <formula>LEN(TRIM(AA59))&gt;0</formula>
    </cfRule>
  </conditionalFormatting>
  <conditionalFormatting sqref="AA28:AI28 R28">
    <cfRule type="dataBar" priority="2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06" priority="268">
      <formula>LEN(TRIM(AF21))=0</formula>
    </cfRule>
    <cfRule type="notContainsBlanks" dxfId="1005" priority="269">
      <formula>LEN(TRIM(AF21))&gt;0</formula>
    </cfRule>
    <cfRule type="containsBlanks" dxfId="1004" priority="270">
      <formula>LEN(TRIM(AF21))=0</formula>
    </cfRule>
    <cfRule type="notContainsBlanks" dxfId="1003" priority="271">
      <formula>LEN(TRIM(AF21))&gt;0</formula>
    </cfRule>
    <cfRule type="containsBlanks" dxfId="1002" priority="272">
      <formula>LEN(TRIM(AF21))=0</formula>
    </cfRule>
    <cfRule type="notContainsBlanks" dxfId="1001" priority="273">
      <formula>LEN(TRIM(AF21))&gt;0</formula>
    </cfRule>
    <cfRule type="containsBlanks" dxfId="1000" priority="274">
      <formula>LEN(TRIM(AF21))=0</formula>
    </cfRule>
    <cfRule type="notContainsBlanks" dxfId="999" priority="275">
      <formula>LEN(TRIM(AF21))&gt;0</formula>
    </cfRule>
  </conditionalFormatting>
  <conditionalFormatting sqref="AF20:AI20">
    <cfRule type="dataBar" priority="3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containsBlanks" dxfId="998" priority="111">
      <formula>LEN(TRIM(AF21))=0</formula>
    </cfRule>
    <cfRule type="notContainsBlanks" dxfId="997" priority="112">
      <formula>LEN(TRIM(AF21))&gt;0</formula>
    </cfRule>
  </conditionalFormatting>
  <conditionalFormatting sqref="AG32:AI32">
    <cfRule type="dataBar" priority="3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996" priority="286">
      <formula>LEN(TRIM(AG33))=0</formula>
    </cfRule>
    <cfRule type="notContainsBlanks" dxfId="995" priority="287">
      <formula>LEN(TRIM(AG33))&gt;0</formula>
    </cfRule>
    <cfRule type="containsBlanks" dxfId="994" priority="288">
      <formula>LEN(TRIM(AG33))=0</formula>
    </cfRule>
    <cfRule type="notContainsBlanks" dxfId="993" priority="289">
      <formula>LEN(TRIM(AG33))&gt;0</formula>
    </cfRule>
    <cfRule type="containsBlanks" dxfId="992" priority="290">
      <formula>LEN(TRIM(AG33))=0</formula>
    </cfRule>
    <cfRule type="notContainsBlanks" dxfId="991" priority="291">
      <formula>LEN(TRIM(AG33))&gt;0</formula>
    </cfRule>
    <cfRule type="containsBlanks" dxfId="990" priority="292">
      <formula>LEN(TRIM(AG33))=0</formula>
    </cfRule>
    <cfRule type="notContainsBlanks" dxfId="989" priority="293">
      <formula>LEN(TRIM(AG33))&gt;0</formula>
    </cfRule>
    <cfRule type="containsBlanks" dxfId="988" priority="294">
      <formula>LEN(TRIM(AG33))=0</formula>
    </cfRule>
    <cfRule type="notContainsBlanks" dxfId="987" priority="295">
      <formula>LEN(TRIM(AG33))&gt;0</formula>
    </cfRule>
    <cfRule type="containsBlanks" dxfId="986" priority="296">
      <formula>LEN(TRIM(AG33))=0</formula>
    </cfRule>
    <cfRule type="notContainsBlanks" dxfId="985" priority="297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C38" activePane="bottomRight" state="frozen"/>
      <selection pane="topRight" activeCell="C1" sqref="C1"/>
      <selection pane="bottomLeft" activeCell="A14" sqref="A14"/>
      <selection pane="bottomRight" activeCell="C60" sqref="C60:C66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95">
        <v>45695</v>
      </c>
      <c r="B1" s="95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I3" s="4"/>
      <c r="BJ3" s="4"/>
      <c r="BK3" s="4"/>
      <c r="BL3" s="4"/>
      <c r="BM3" s="4"/>
      <c r="BN3" s="4"/>
      <c r="BO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96" t="s">
        <v>3</v>
      </c>
      <c r="C8" s="97"/>
      <c r="D8" s="97"/>
      <c r="E8" s="97"/>
      <c r="F8" s="97"/>
      <c r="G8" s="97"/>
      <c r="H8" s="97"/>
      <c r="I8" s="97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S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si="6"/>
        <v>153</v>
      </c>
      <c r="BR8" s="15">
        <f t="shared" si="6"/>
        <v>119</v>
      </c>
      <c r="BS8" s="15">
        <f t="shared" si="6"/>
        <v>119</v>
      </c>
    </row>
    <row r="9" spans="1:103" s="18" customFormat="1" ht="16.5" customHeight="1" x14ac:dyDescent="0.25">
      <c r="A9" s="12"/>
      <c r="B9" s="98" t="s">
        <v>4</v>
      </c>
      <c r="C9" s="99"/>
      <c r="D9" s="99"/>
      <c r="E9" s="99"/>
      <c r="F9" s="99"/>
      <c r="G9" s="99"/>
      <c r="H9" s="99"/>
      <c r="I9" s="99"/>
      <c r="J9" s="17">
        <f t="shared" ref="J9:AO9" si="7">COUNTIF(J14:J1972,"T")</f>
        <v>7</v>
      </c>
      <c r="K9" s="17">
        <f t="shared" si="7"/>
        <v>7</v>
      </c>
      <c r="L9" s="17">
        <f t="shared" si="7"/>
        <v>7</v>
      </c>
      <c r="M9" s="17">
        <f t="shared" si="7"/>
        <v>7</v>
      </c>
      <c r="N9" s="17">
        <f t="shared" si="7"/>
        <v>7</v>
      </c>
      <c r="O9" s="17">
        <f t="shared" si="7"/>
        <v>7</v>
      </c>
      <c r="P9" s="17">
        <f t="shared" si="7"/>
        <v>7</v>
      </c>
      <c r="Q9" s="17">
        <f t="shared" si="7"/>
        <v>7</v>
      </c>
      <c r="R9" s="17">
        <f t="shared" si="7"/>
        <v>7</v>
      </c>
      <c r="S9" s="17">
        <f t="shared" si="7"/>
        <v>7</v>
      </c>
      <c r="T9" s="17">
        <f t="shared" si="7"/>
        <v>7</v>
      </c>
      <c r="U9" s="17">
        <f t="shared" si="7"/>
        <v>7</v>
      </c>
      <c r="V9" s="17">
        <f t="shared" si="7"/>
        <v>7</v>
      </c>
      <c r="W9" s="17">
        <f t="shared" si="7"/>
        <v>7</v>
      </c>
      <c r="X9" s="17">
        <f t="shared" si="7"/>
        <v>8</v>
      </c>
      <c r="Y9" s="17">
        <f t="shared" si="7"/>
        <v>7</v>
      </c>
      <c r="Z9" s="17">
        <f t="shared" si="7"/>
        <v>7</v>
      </c>
      <c r="AA9" s="17">
        <f t="shared" si="7"/>
        <v>9</v>
      </c>
      <c r="AB9" s="17">
        <f t="shared" si="7"/>
        <v>7</v>
      </c>
      <c r="AC9" s="17">
        <f t="shared" si="7"/>
        <v>7</v>
      </c>
      <c r="AD9" s="17">
        <f t="shared" si="7"/>
        <v>7</v>
      </c>
      <c r="AE9" s="17">
        <f t="shared" si="7"/>
        <v>7</v>
      </c>
      <c r="AF9" s="17">
        <f t="shared" si="7"/>
        <v>7</v>
      </c>
      <c r="AG9" s="17">
        <f t="shared" si="7"/>
        <v>7</v>
      </c>
      <c r="AH9" s="17">
        <f t="shared" si="7"/>
        <v>7</v>
      </c>
      <c r="AI9" s="17">
        <f t="shared" si="7"/>
        <v>8</v>
      </c>
      <c r="AJ9" s="17">
        <f t="shared" si="7"/>
        <v>7</v>
      </c>
      <c r="AK9" s="17">
        <f t="shared" si="7"/>
        <v>7</v>
      </c>
      <c r="AL9" s="17">
        <f t="shared" si="7"/>
        <v>7</v>
      </c>
      <c r="AM9" s="17">
        <f t="shared" si="7"/>
        <v>7</v>
      </c>
      <c r="AN9" s="17">
        <f t="shared" si="7"/>
        <v>7</v>
      </c>
      <c r="AO9" s="17">
        <f t="shared" si="7"/>
        <v>0</v>
      </c>
      <c r="AP9" s="17">
        <f t="shared" ref="AP9:BS9" si="8">COUNTIF(AP14:AP1972,"T")</f>
        <v>9</v>
      </c>
      <c r="AQ9" s="17">
        <f t="shared" si="8"/>
        <v>10</v>
      </c>
      <c r="AR9" s="17">
        <f t="shared" si="8"/>
        <v>7</v>
      </c>
      <c r="AS9" s="17">
        <f t="shared" si="8"/>
        <v>7</v>
      </c>
      <c r="AT9" s="17">
        <f t="shared" si="8"/>
        <v>9</v>
      </c>
      <c r="AU9" s="17">
        <f t="shared" si="8"/>
        <v>7</v>
      </c>
      <c r="AV9" s="17">
        <f t="shared" si="8"/>
        <v>7</v>
      </c>
      <c r="AW9" s="17">
        <f t="shared" si="8"/>
        <v>7</v>
      </c>
      <c r="AX9" s="17">
        <f t="shared" si="8"/>
        <v>7</v>
      </c>
      <c r="AY9" s="17">
        <f t="shared" si="8"/>
        <v>7</v>
      </c>
      <c r="AZ9" s="17">
        <f t="shared" si="8"/>
        <v>7</v>
      </c>
      <c r="BA9" s="17">
        <f t="shared" si="8"/>
        <v>8</v>
      </c>
      <c r="BB9" s="17">
        <f t="shared" si="8"/>
        <v>7</v>
      </c>
      <c r="BC9" s="17">
        <f t="shared" si="8"/>
        <v>7</v>
      </c>
      <c r="BD9" s="17">
        <f t="shared" si="8"/>
        <v>7</v>
      </c>
      <c r="BE9" s="17">
        <f t="shared" si="8"/>
        <v>7</v>
      </c>
      <c r="BF9" s="17">
        <f t="shared" si="8"/>
        <v>7</v>
      </c>
      <c r="BG9" s="17">
        <f t="shared" si="8"/>
        <v>7</v>
      </c>
      <c r="BH9" s="17">
        <f t="shared" si="8"/>
        <v>7</v>
      </c>
      <c r="BI9" s="17">
        <f t="shared" si="8"/>
        <v>7</v>
      </c>
      <c r="BJ9" s="17">
        <f t="shared" si="8"/>
        <v>7</v>
      </c>
      <c r="BK9" s="17">
        <f t="shared" si="8"/>
        <v>0</v>
      </c>
      <c r="BL9" s="17">
        <f t="shared" si="8"/>
        <v>0</v>
      </c>
      <c r="BM9" s="17">
        <f t="shared" si="8"/>
        <v>0</v>
      </c>
      <c r="BN9" s="17">
        <f t="shared" si="8"/>
        <v>0</v>
      </c>
      <c r="BO9" s="17">
        <f t="shared" si="8"/>
        <v>0</v>
      </c>
      <c r="BP9" s="17">
        <f t="shared" si="8"/>
        <v>0</v>
      </c>
      <c r="BQ9" s="17">
        <f t="shared" si="8"/>
        <v>0</v>
      </c>
      <c r="BR9" s="17">
        <f t="shared" si="8"/>
        <v>0</v>
      </c>
      <c r="BS9" s="17">
        <f t="shared" si="8"/>
        <v>0</v>
      </c>
    </row>
    <row r="10" spans="1:103" s="20" customFormat="1" ht="16.5" customHeight="1" x14ac:dyDescent="0.25">
      <c r="A10" s="12"/>
      <c r="B10" s="100" t="s">
        <v>5</v>
      </c>
      <c r="C10" s="101"/>
      <c r="D10" s="101"/>
      <c r="E10" s="101"/>
      <c r="F10" s="101"/>
      <c r="G10" s="101"/>
      <c r="H10" s="101"/>
      <c r="I10" s="101"/>
      <c r="J10" s="19">
        <f t="shared" ref="J10:AO10" si="9">COUNTIF(J14:J1972,"P1")+COUNTIF(J14:J1972,"P2")+COUNTIF(J14:J1972,"P3")</f>
        <v>0</v>
      </c>
      <c r="K10" s="19">
        <f t="shared" si="9"/>
        <v>0</v>
      </c>
      <c r="L10" s="19">
        <f t="shared" si="9"/>
        <v>0</v>
      </c>
      <c r="M10" s="19">
        <f t="shared" si="9"/>
        <v>0</v>
      </c>
      <c r="N10" s="19">
        <f t="shared" si="9"/>
        <v>0</v>
      </c>
      <c r="O10" s="19">
        <f t="shared" si="9"/>
        <v>0</v>
      </c>
      <c r="P10" s="19">
        <f t="shared" si="9"/>
        <v>0</v>
      </c>
      <c r="Q10" s="19">
        <f t="shared" si="9"/>
        <v>7</v>
      </c>
      <c r="R10" s="19">
        <f t="shared" si="9"/>
        <v>7</v>
      </c>
      <c r="S10" s="19">
        <f t="shared" si="9"/>
        <v>7</v>
      </c>
      <c r="T10" s="19">
        <f t="shared" si="9"/>
        <v>7</v>
      </c>
      <c r="U10" s="19">
        <f t="shared" si="9"/>
        <v>7</v>
      </c>
      <c r="V10" s="19">
        <f t="shared" si="9"/>
        <v>7</v>
      </c>
      <c r="W10" s="19">
        <f t="shared" si="9"/>
        <v>7</v>
      </c>
      <c r="X10" s="19">
        <f t="shared" si="9"/>
        <v>14</v>
      </c>
      <c r="Y10" s="19">
        <f t="shared" si="9"/>
        <v>14</v>
      </c>
      <c r="Z10" s="19">
        <f t="shared" si="9"/>
        <v>14</v>
      </c>
      <c r="AA10" s="19">
        <f t="shared" si="9"/>
        <v>14</v>
      </c>
      <c r="AB10" s="19">
        <f t="shared" si="9"/>
        <v>14</v>
      </c>
      <c r="AC10" s="19">
        <f t="shared" si="9"/>
        <v>14</v>
      </c>
      <c r="AD10" s="19">
        <f t="shared" si="9"/>
        <v>21</v>
      </c>
      <c r="AE10" s="19">
        <f t="shared" si="9"/>
        <v>22</v>
      </c>
      <c r="AF10" s="19">
        <f t="shared" si="9"/>
        <v>21</v>
      </c>
      <c r="AG10" s="19">
        <f t="shared" si="9"/>
        <v>21</v>
      </c>
      <c r="AH10" s="19">
        <f t="shared" si="9"/>
        <v>23</v>
      </c>
      <c r="AI10" s="19">
        <f t="shared" si="9"/>
        <v>21</v>
      </c>
      <c r="AJ10" s="19">
        <f t="shared" si="9"/>
        <v>21</v>
      </c>
      <c r="AK10" s="19">
        <f t="shared" si="9"/>
        <v>21</v>
      </c>
      <c r="AL10" s="19">
        <f t="shared" si="9"/>
        <v>22</v>
      </c>
      <c r="AM10" s="19">
        <f t="shared" si="9"/>
        <v>21</v>
      </c>
      <c r="AN10" s="19">
        <f t="shared" si="9"/>
        <v>21</v>
      </c>
      <c r="AO10" s="19">
        <f t="shared" si="9"/>
        <v>23</v>
      </c>
      <c r="AP10" s="19">
        <f t="shared" ref="AP10:BS10" si="10">COUNTIF(AP14:AP1972,"P1")+COUNTIF(AP14:AP1972,"P2")+COUNTIF(AP14:AP1972,"P3")</f>
        <v>22</v>
      </c>
      <c r="AQ10" s="19">
        <f t="shared" si="10"/>
        <v>21</v>
      </c>
      <c r="AR10" s="19">
        <f t="shared" si="10"/>
        <v>22</v>
      </c>
      <c r="AS10" s="19">
        <f t="shared" si="10"/>
        <v>21</v>
      </c>
      <c r="AT10" s="19">
        <f t="shared" si="10"/>
        <v>21</v>
      </c>
      <c r="AU10" s="19">
        <f t="shared" si="10"/>
        <v>23</v>
      </c>
      <c r="AV10" s="19">
        <f t="shared" si="10"/>
        <v>14</v>
      </c>
      <c r="AW10" s="19">
        <f t="shared" si="10"/>
        <v>24</v>
      </c>
      <c r="AX10" s="19">
        <f t="shared" si="10"/>
        <v>24</v>
      </c>
      <c r="AY10" s="19">
        <f t="shared" si="10"/>
        <v>21</v>
      </c>
      <c r="AZ10" s="19">
        <f t="shared" si="10"/>
        <v>21</v>
      </c>
      <c r="BA10" s="19">
        <f t="shared" si="10"/>
        <v>23</v>
      </c>
      <c r="BB10" s="19">
        <f t="shared" si="10"/>
        <v>21</v>
      </c>
      <c r="BC10" s="19">
        <f t="shared" si="10"/>
        <v>15</v>
      </c>
      <c r="BD10" s="19">
        <f t="shared" si="10"/>
        <v>23</v>
      </c>
      <c r="BE10" s="19">
        <f t="shared" si="10"/>
        <v>24</v>
      </c>
      <c r="BF10" s="19">
        <f t="shared" si="10"/>
        <v>21</v>
      </c>
      <c r="BG10" s="19">
        <f t="shared" si="10"/>
        <v>21</v>
      </c>
      <c r="BH10" s="19">
        <f t="shared" si="10"/>
        <v>24</v>
      </c>
      <c r="BI10" s="19">
        <f t="shared" si="10"/>
        <v>14</v>
      </c>
      <c r="BJ10" s="19">
        <f t="shared" si="10"/>
        <v>23</v>
      </c>
      <c r="BK10" s="19">
        <f t="shared" si="10"/>
        <v>24</v>
      </c>
      <c r="BL10" s="19">
        <f t="shared" si="10"/>
        <v>21</v>
      </c>
      <c r="BM10" s="19">
        <f t="shared" si="10"/>
        <v>21</v>
      </c>
      <c r="BN10" s="19">
        <f t="shared" si="10"/>
        <v>23</v>
      </c>
      <c r="BO10" s="19">
        <f t="shared" si="10"/>
        <v>22</v>
      </c>
      <c r="BP10" s="19">
        <f t="shared" si="10"/>
        <v>21</v>
      </c>
      <c r="BQ10" s="19">
        <f t="shared" si="10"/>
        <v>21</v>
      </c>
      <c r="BR10" s="19">
        <f t="shared" si="10"/>
        <v>14</v>
      </c>
      <c r="BS10" s="19">
        <f t="shared" si="10"/>
        <v>14</v>
      </c>
    </row>
    <row r="11" spans="1:103" s="22" customFormat="1" ht="16.5" customHeight="1" x14ac:dyDescent="0.25">
      <c r="A11" s="12"/>
      <c r="B11" s="102" t="s">
        <v>6</v>
      </c>
      <c r="C11" s="103"/>
      <c r="D11" s="103"/>
      <c r="E11" s="103"/>
      <c r="F11" s="103"/>
      <c r="G11" s="103"/>
      <c r="H11" s="103"/>
      <c r="I11" s="103"/>
      <c r="J11" s="21">
        <f t="shared" ref="J11:AO11" si="11">COUNTIF(J14:J1972,"C1")+COUNTIF(J14:J1972,"C2")</f>
        <v>0</v>
      </c>
      <c r="K11" s="21">
        <f t="shared" si="11"/>
        <v>0</v>
      </c>
      <c r="L11" s="21">
        <f t="shared" si="11"/>
        <v>0</v>
      </c>
      <c r="M11" s="21">
        <f t="shared" si="11"/>
        <v>0</v>
      </c>
      <c r="N11" s="21">
        <f t="shared" si="11"/>
        <v>0</v>
      </c>
      <c r="O11" s="21">
        <f t="shared" si="11"/>
        <v>0</v>
      </c>
      <c r="P11" s="21">
        <f t="shared" si="11"/>
        <v>0</v>
      </c>
      <c r="Q11" s="21">
        <f t="shared" si="11"/>
        <v>0</v>
      </c>
      <c r="R11" s="21">
        <f t="shared" si="11"/>
        <v>7</v>
      </c>
      <c r="S11" s="21">
        <f t="shared" si="11"/>
        <v>7</v>
      </c>
      <c r="T11" s="21">
        <f t="shared" si="11"/>
        <v>7</v>
      </c>
      <c r="U11" s="21">
        <f t="shared" si="11"/>
        <v>7</v>
      </c>
      <c r="V11" s="21">
        <f t="shared" si="11"/>
        <v>7</v>
      </c>
      <c r="W11" s="21">
        <f t="shared" si="11"/>
        <v>7</v>
      </c>
      <c r="X11" s="21">
        <f t="shared" si="11"/>
        <v>7</v>
      </c>
      <c r="Y11" s="21">
        <f t="shared" si="11"/>
        <v>14</v>
      </c>
      <c r="Z11" s="21">
        <f t="shared" si="11"/>
        <v>14</v>
      </c>
      <c r="AA11" s="21">
        <f t="shared" si="11"/>
        <v>14</v>
      </c>
      <c r="AB11" s="21">
        <f t="shared" si="11"/>
        <v>14</v>
      </c>
      <c r="AC11" s="21">
        <f t="shared" si="11"/>
        <v>14</v>
      </c>
      <c r="AD11" s="21">
        <f t="shared" si="11"/>
        <v>14</v>
      </c>
      <c r="AE11" s="21">
        <f t="shared" si="11"/>
        <v>14</v>
      </c>
      <c r="AF11" s="21">
        <f t="shared" si="11"/>
        <v>15</v>
      </c>
      <c r="AG11" s="21">
        <f t="shared" si="11"/>
        <v>14</v>
      </c>
      <c r="AH11" s="21">
        <f t="shared" si="11"/>
        <v>14</v>
      </c>
      <c r="AI11" s="21">
        <f t="shared" si="11"/>
        <v>16</v>
      </c>
      <c r="AJ11" s="21">
        <f t="shared" si="11"/>
        <v>14</v>
      </c>
      <c r="AK11" s="21">
        <f t="shared" si="11"/>
        <v>14</v>
      </c>
      <c r="AL11" s="21">
        <f t="shared" si="11"/>
        <v>14</v>
      </c>
      <c r="AM11" s="21">
        <f t="shared" si="11"/>
        <v>15</v>
      </c>
      <c r="AN11" s="21">
        <f t="shared" si="11"/>
        <v>14</v>
      </c>
      <c r="AO11" s="21">
        <f t="shared" si="11"/>
        <v>14</v>
      </c>
      <c r="AP11" s="21">
        <f t="shared" ref="AP11:BS11" si="12">COUNTIF(AP14:AP1972,"C1")+COUNTIF(AP14:AP1972,"C2")</f>
        <v>16</v>
      </c>
      <c r="AQ11" s="21">
        <f t="shared" si="12"/>
        <v>15</v>
      </c>
      <c r="AR11" s="21">
        <f t="shared" si="12"/>
        <v>14</v>
      </c>
      <c r="AS11" s="21">
        <f t="shared" si="12"/>
        <v>14</v>
      </c>
      <c r="AT11" s="21">
        <f t="shared" si="12"/>
        <v>14</v>
      </c>
      <c r="AU11" s="21">
        <f t="shared" si="12"/>
        <v>14</v>
      </c>
      <c r="AV11" s="21">
        <f t="shared" si="12"/>
        <v>14</v>
      </c>
      <c r="AW11" s="21">
        <f t="shared" si="12"/>
        <v>7</v>
      </c>
      <c r="AX11" s="21">
        <f t="shared" si="12"/>
        <v>17</v>
      </c>
      <c r="AY11" s="21">
        <f t="shared" si="12"/>
        <v>17</v>
      </c>
      <c r="AZ11" s="21">
        <f t="shared" si="12"/>
        <v>14</v>
      </c>
      <c r="BA11" s="21">
        <f t="shared" si="12"/>
        <v>14</v>
      </c>
      <c r="BB11" s="21">
        <f t="shared" si="12"/>
        <v>16</v>
      </c>
      <c r="BC11" s="21">
        <f t="shared" si="12"/>
        <v>14</v>
      </c>
      <c r="BD11" s="21">
        <f t="shared" si="12"/>
        <v>7</v>
      </c>
      <c r="BE11" s="21">
        <f t="shared" si="12"/>
        <v>16</v>
      </c>
      <c r="BF11" s="21">
        <f t="shared" si="12"/>
        <v>17</v>
      </c>
      <c r="BG11" s="21">
        <f t="shared" si="12"/>
        <v>14</v>
      </c>
      <c r="BH11" s="21">
        <f t="shared" si="12"/>
        <v>14</v>
      </c>
      <c r="BI11" s="21">
        <f t="shared" si="12"/>
        <v>17</v>
      </c>
      <c r="BJ11" s="21">
        <f t="shared" si="12"/>
        <v>14</v>
      </c>
      <c r="BK11" s="21">
        <f t="shared" si="12"/>
        <v>14</v>
      </c>
      <c r="BL11" s="21">
        <f t="shared" si="12"/>
        <v>14</v>
      </c>
      <c r="BM11" s="21">
        <f t="shared" si="12"/>
        <v>14</v>
      </c>
      <c r="BN11" s="21">
        <f t="shared" si="12"/>
        <v>14</v>
      </c>
      <c r="BO11" s="21">
        <f t="shared" si="12"/>
        <v>14</v>
      </c>
      <c r="BP11" s="21">
        <f t="shared" si="12"/>
        <v>15</v>
      </c>
      <c r="BQ11" s="21">
        <f t="shared" si="12"/>
        <v>14</v>
      </c>
      <c r="BR11" s="21">
        <f t="shared" si="12"/>
        <v>14</v>
      </c>
      <c r="BS11" s="21">
        <f t="shared" si="12"/>
        <v>7</v>
      </c>
    </row>
    <row r="12" spans="1:103" s="24" customFormat="1" ht="16.5" hidden="1" customHeight="1" x14ac:dyDescent="0.25">
      <c r="A12" s="12"/>
      <c r="B12" s="93" t="s">
        <v>7</v>
      </c>
      <c r="C12" s="94"/>
      <c r="D12" s="94"/>
      <c r="E12" s="94"/>
      <c r="F12" s="94"/>
      <c r="G12" s="94"/>
      <c r="H12" s="94"/>
      <c r="I12" s="94"/>
      <c r="J12" s="23">
        <f t="shared" ref="J12:AO12" si="13">COUNTIF(J15:J1972,"")</f>
        <v>1951</v>
      </c>
      <c r="K12" s="23">
        <f t="shared" si="13"/>
        <v>1951</v>
      </c>
      <c r="L12" s="23">
        <f t="shared" si="13"/>
        <v>1951</v>
      </c>
      <c r="M12" s="23">
        <f t="shared" si="13"/>
        <v>1951</v>
      </c>
      <c r="N12" s="23">
        <f t="shared" si="13"/>
        <v>1951</v>
      </c>
      <c r="O12" s="23">
        <f t="shared" si="13"/>
        <v>1951</v>
      </c>
      <c r="P12" s="23">
        <f t="shared" si="13"/>
        <v>1951</v>
      </c>
      <c r="Q12" s="23">
        <f t="shared" si="13"/>
        <v>1944</v>
      </c>
      <c r="R12" s="23">
        <f t="shared" si="13"/>
        <v>1937</v>
      </c>
      <c r="S12" s="23">
        <f t="shared" si="13"/>
        <v>1937</v>
      </c>
      <c r="T12" s="23">
        <f t="shared" si="13"/>
        <v>1937</v>
      </c>
      <c r="U12" s="23">
        <f t="shared" si="13"/>
        <v>1937</v>
      </c>
      <c r="V12" s="23">
        <f t="shared" si="13"/>
        <v>1937</v>
      </c>
      <c r="W12" s="23">
        <f t="shared" si="13"/>
        <v>1937</v>
      </c>
      <c r="X12" s="23">
        <f t="shared" si="13"/>
        <v>1929</v>
      </c>
      <c r="Y12" s="23">
        <f t="shared" si="13"/>
        <v>1923</v>
      </c>
      <c r="Z12" s="23">
        <f t="shared" si="13"/>
        <v>1923</v>
      </c>
      <c r="AA12" s="23">
        <f t="shared" si="13"/>
        <v>1921</v>
      </c>
      <c r="AB12" s="23">
        <f t="shared" si="13"/>
        <v>1923</v>
      </c>
      <c r="AC12" s="23">
        <f t="shared" si="13"/>
        <v>1924</v>
      </c>
      <c r="AD12" s="23">
        <f t="shared" si="13"/>
        <v>1916</v>
      </c>
      <c r="AE12" s="23">
        <f t="shared" si="13"/>
        <v>1915</v>
      </c>
      <c r="AF12" s="23">
        <f t="shared" si="13"/>
        <v>1915</v>
      </c>
      <c r="AG12" s="23">
        <f t="shared" si="13"/>
        <v>1909</v>
      </c>
      <c r="AH12" s="23">
        <f t="shared" si="13"/>
        <v>1907</v>
      </c>
      <c r="AI12" s="23">
        <f t="shared" si="13"/>
        <v>1906</v>
      </c>
      <c r="AJ12" s="23">
        <f t="shared" si="13"/>
        <v>1910</v>
      </c>
      <c r="AK12" s="23">
        <f t="shared" si="13"/>
        <v>1910</v>
      </c>
      <c r="AL12" s="23">
        <f t="shared" si="13"/>
        <v>1908</v>
      </c>
      <c r="AM12" s="23">
        <f t="shared" si="13"/>
        <v>1908</v>
      </c>
      <c r="AN12" s="23">
        <f t="shared" si="13"/>
        <v>1909</v>
      </c>
      <c r="AO12" s="23">
        <f t="shared" si="13"/>
        <v>1914</v>
      </c>
      <c r="AP12" s="23">
        <f t="shared" ref="AP12:BQ12" si="14">COUNTIF(AP15:AP1972,"")</f>
        <v>1904</v>
      </c>
      <c r="AQ12" s="23">
        <f t="shared" si="14"/>
        <v>1906</v>
      </c>
      <c r="AR12" s="23">
        <f t="shared" si="14"/>
        <v>1909</v>
      </c>
      <c r="AS12" s="23">
        <f t="shared" si="14"/>
        <v>1909</v>
      </c>
      <c r="AT12" s="23">
        <f t="shared" si="14"/>
        <v>1907</v>
      </c>
      <c r="AU12" s="23">
        <f t="shared" si="14"/>
        <v>1906</v>
      </c>
      <c r="AV12" s="23">
        <f t="shared" si="14"/>
        <v>1916</v>
      </c>
      <c r="AW12" s="23">
        <f t="shared" si="14"/>
        <v>1914</v>
      </c>
      <c r="AX12" s="23">
        <f t="shared" si="14"/>
        <v>1901</v>
      </c>
      <c r="AY12" s="23">
        <f t="shared" si="14"/>
        <v>1906</v>
      </c>
      <c r="AZ12" s="23">
        <f t="shared" si="14"/>
        <v>1910</v>
      </c>
      <c r="BA12" s="23">
        <f t="shared" si="14"/>
        <v>1906</v>
      </c>
      <c r="BB12" s="23">
        <f t="shared" si="14"/>
        <v>1907</v>
      </c>
      <c r="BC12" s="23">
        <f t="shared" si="14"/>
        <v>1915</v>
      </c>
      <c r="BD12" s="23">
        <f t="shared" si="14"/>
        <v>1914</v>
      </c>
      <c r="BE12" s="23">
        <f t="shared" si="14"/>
        <v>1905</v>
      </c>
      <c r="BF12" s="23">
        <f t="shared" si="14"/>
        <v>1905</v>
      </c>
      <c r="BG12" s="23">
        <f t="shared" si="14"/>
        <v>1909</v>
      </c>
      <c r="BH12" s="23">
        <f t="shared" si="14"/>
        <v>1906</v>
      </c>
      <c r="BI12" s="23">
        <f t="shared" si="14"/>
        <v>1913</v>
      </c>
      <c r="BJ12" s="23">
        <f t="shared" si="14"/>
        <v>1907</v>
      </c>
      <c r="BK12" s="23">
        <f t="shared" si="14"/>
        <v>1913</v>
      </c>
      <c r="BL12" s="23">
        <f t="shared" si="14"/>
        <v>1924</v>
      </c>
      <c r="BM12" s="23">
        <f t="shared" si="14"/>
        <v>1915</v>
      </c>
      <c r="BN12" s="23">
        <f t="shared" si="14"/>
        <v>1911</v>
      </c>
      <c r="BO12" s="23">
        <f t="shared" si="14"/>
        <v>1915</v>
      </c>
      <c r="BP12" s="23">
        <f t="shared" si="14"/>
        <v>1915</v>
      </c>
      <c r="BQ12" s="23">
        <f t="shared" si="14"/>
        <v>1914</v>
      </c>
      <c r="BR12" s="23">
        <f>COUNTIF(BR33:BR1972,"")</f>
        <v>1905</v>
      </c>
      <c r="BS12" s="23">
        <f>COUNTIF(BS28:BS1972,"")</f>
        <v>1924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5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16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5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16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5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16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5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16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5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16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5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16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5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16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5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16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5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16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5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16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5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16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5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16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5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16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5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16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5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16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5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16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5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16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5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16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5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16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5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16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5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16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5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16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5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16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5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16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5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16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5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16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5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16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5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16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5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16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5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16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5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16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5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16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5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16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5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16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5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16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5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16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5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16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5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16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5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16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5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16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5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16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5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16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5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16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5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16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5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16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5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16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5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16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5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16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5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16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5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16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5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16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5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16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5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16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5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16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5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16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5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16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5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16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5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16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5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16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5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16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5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16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5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16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5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16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5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16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17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18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17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18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17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18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17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18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17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18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t="str" cm="1">
        <f t="array" ref="E83">IFERROR(INDEX($J$5:$AVX$5, _xlfn.AGGREGATE(15,6, COLUMN(J83:AVX83)-COLUMN(J83)+1 / (J83:AVX83="T"), F83)), "")</f>
        <v/>
      </c>
      <c r="F83" s="76">
        <f t="shared" si="17"/>
        <v>2</v>
      </c>
      <c r="G83" s="35" cm="1">
        <f t="array" ref="G83">IFERROR(INDEX($J$5:$AVW$5,_xlfn.AGGREGATE(14,6,(COLUMN($J83:$AVW83)-COLUMN($J83)+1)/($J83:$AVW83="T"),1)),"")</f>
        <v>45988</v>
      </c>
      <c r="H83" s="79">
        <f t="shared" si="18"/>
        <v>1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33"/>
      <c r="BM83" s="33"/>
      <c r="BN83" s="33"/>
      <c r="BO83" s="33"/>
      <c r="BP83" s="33"/>
      <c r="BQ83" s="33"/>
      <c r="BR83" s="33"/>
      <c r="BS83" s="33"/>
      <c r="BT83" s="33"/>
      <c r="BU83" s="33"/>
      <c r="BV83" s="33"/>
      <c r="BW83" s="33"/>
      <c r="BX83" s="33"/>
      <c r="BY83" s="33"/>
      <c r="BZ83" s="33"/>
      <c r="CA83" s="33"/>
      <c r="CB83" s="33"/>
      <c r="CC83" s="33"/>
      <c r="CD83" s="33"/>
      <c r="CE83" s="33"/>
      <c r="CF83" s="33"/>
      <c r="CG83" s="33"/>
      <c r="CH83" s="33"/>
      <c r="CI83" s="33"/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t="str" cm="1">
        <f t="array" ref="E84">IFERROR(INDEX($J$5:$AVX$5, _xlfn.AGGREGATE(15,6, COLUMN(J84:AVX84)-COLUMN(J84)+1 / (J84:AVX84="T"), F84)), "")</f>
        <v/>
      </c>
      <c r="F84" s="76">
        <f t="shared" si="17"/>
        <v>2</v>
      </c>
      <c r="G84" s="35" cm="1">
        <f t="array" ref="G84">IFERROR(INDEX($J$5:$AVW$5,_xlfn.AGGREGATE(14,6,(COLUMN($J84:$AVW84)-COLUMN($J84)+1)/($J84:$AVW84="T"),1)),"")</f>
        <v>45988</v>
      </c>
      <c r="H84" s="79">
        <f t="shared" si="18"/>
        <v>1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33"/>
      <c r="BM84" s="33"/>
      <c r="BN84" s="33"/>
      <c r="BO84" s="33"/>
      <c r="BP84" s="33"/>
      <c r="BQ84" s="33"/>
      <c r="BR84" s="33"/>
      <c r="BS84" s="33"/>
      <c r="BT84" s="33"/>
      <c r="BU84" s="33"/>
      <c r="BV84" s="33"/>
      <c r="BW84" s="33"/>
      <c r="BX84" s="33"/>
      <c r="BY84" s="33"/>
      <c r="BZ84" s="33"/>
      <c r="CA84" s="33"/>
      <c r="CB84" s="33"/>
      <c r="CC84" s="33"/>
      <c r="CD84" s="33"/>
      <c r="CE84" s="33"/>
      <c r="CF84" s="33"/>
      <c r="CG84" s="33"/>
      <c r="CH84" s="33"/>
      <c r="CI84" s="33"/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t="str" cm="1">
        <f t="array" ref="E85">IFERROR(INDEX($J$5:$AVX$5, _xlfn.AGGREGATE(15,6, COLUMN(J85:AVX85)-COLUMN(J85)+1 / (J85:AVX85="T"), F85)), "")</f>
        <v/>
      </c>
      <c r="F85" s="76">
        <f t="shared" si="17"/>
        <v>2</v>
      </c>
      <c r="G85" s="35" cm="1">
        <f t="array" ref="G85">IFERROR(INDEX($J$5:$AVW$5,_xlfn.AGGREGATE(14,6,(COLUMN($J85:$AVW85)-COLUMN($J85)+1)/($J85:$AVW85="T"),1)),"")</f>
        <v>45988</v>
      </c>
      <c r="H85" s="79">
        <f t="shared" si="18"/>
        <v>1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33"/>
      <c r="BM85" s="33"/>
      <c r="BN85" s="33"/>
      <c r="BO85" s="33"/>
      <c r="BP85" s="33"/>
      <c r="BQ85" s="33"/>
      <c r="BR85" s="33"/>
      <c r="BS85" s="33"/>
      <c r="BT85" s="33"/>
      <c r="BU85" s="33"/>
      <c r="BV85" s="33"/>
      <c r="BW85" s="33"/>
      <c r="BX85" s="33"/>
      <c r="BY85" s="33"/>
      <c r="BZ85" s="33"/>
      <c r="CA85" s="33"/>
      <c r="CB85" s="33"/>
      <c r="CC85" s="33"/>
      <c r="CD85" s="33"/>
      <c r="CE85" s="33"/>
      <c r="CF85" s="33"/>
      <c r="CG85" s="33"/>
      <c r="CH85" s="33"/>
      <c r="CI85" s="33"/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t="str" cm="1">
        <f t="array" ref="E86">IFERROR(INDEX($J$5:$AVX$5, _xlfn.AGGREGATE(15,6, COLUMN(J86:AVX86)-COLUMN(J86)+1 / (J86:AVX86="T"), F86)), "")</f>
        <v/>
      </c>
      <c r="F86" s="76">
        <f t="shared" si="17"/>
        <v>2</v>
      </c>
      <c r="G86" s="35" cm="1">
        <f t="array" ref="G86">IFERROR(INDEX($J$5:$AVW$5,_xlfn.AGGREGATE(14,6,(COLUMN($J86:$AVW86)-COLUMN($J86)+1)/($J86:$AVW86="T"),1)),"")</f>
        <v>45987</v>
      </c>
      <c r="H86" s="79">
        <f t="shared" si="18"/>
        <v>1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33"/>
      <c r="BM86" s="33"/>
      <c r="BN86" s="33"/>
      <c r="BO86" s="33"/>
      <c r="BP86" s="33"/>
      <c r="BQ86" s="33"/>
      <c r="BR86" s="33"/>
      <c r="BS86" s="33"/>
      <c r="BT86" s="33"/>
      <c r="BU86" s="33"/>
      <c r="BV86" s="33"/>
      <c r="BW86" s="33"/>
      <c r="BX86" s="33"/>
      <c r="BY86" s="33"/>
      <c r="BZ86" s="33"/>
      <c r="CA86" s="33"/>
      <c r="CB86" s="33"/>
      <c r="CC86" s="33"/>
      <c r="CD86" s="33"/>
      <c r="CE86" s="33"/>
      <c r="CF86" s="33"/>
      <c r="CG86" s="33"/>
      <c r="CH86" s="33"/>
      <c r="CI86" s="33"/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t="str" cm="1">
        <f t="array" ref="E87">IFERROR(INDEX($J$5:$AVX$5, _xlfn.AGGREGATE(15,6, COLUMN(J87:AVX87)-COLUMN(J87)+1 / (J87:AVX87="T"), F87)), "")</f>
        <v/>
      </c>
      <c r="F87" s="76">
        <f t="shared" si="17"/>
        <v>2</v>
      </c>
      <c r="G87" s="35" cm="1">
        <f t="array" ref="G87">IFERROR(INDEX($J$5:$AVW$5,_xlfn.AGGREGATE(14,6,(COLUMN($J87:$AVW87)-COLUMN($J87)+1)/($J87:$AVW87="T"),1)),"")</f>
        <v>45987</v>
      </c>
      <c r="H87" s="79">
        <f t="shared" si="18"/>
        <v>1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33"/>
      <c r="BM87" s="33"/>
      <c r="BN87" s="33"/>
      <c r="BO87" s="33"/>
      <c r="BP87" s="33"/>
      <c r="BQ87" s="33"/>
      <c r="BR87" s="33"/>
      <c r="BS87" s="33"/>
      <c r="BT87" s="33"/>
      <c r="BU87" s="33"/>
      <c r="BV87" s="33"/>
      <c r="BW87" s="33"/>
      <c r="BX87" s="33"/>
      <c r="BY87" s="33"/>
      <c r="BZ87" s="33"/>
      <c r="CA87" s="33"/>
      <c r="CB87" s="33"/>
      <c r="CC87" s="33"/>
      <c r="CD87" s="33"/>
      <c r="CE87" s="33"/>
      <c r="CF87" s="33"/>
      <c r="CG87" s="33"/>
      <c r="CH87" s="33"/>
      <c r="CI87" s="33"/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t="str" cm="1">
        <f t="array" ref="E88">IFERROR(INDEX($J$5:$AVX$5, _xlfn.AGGREGATE(15,6, COLUMN(J88:AVX88)-COLUMN(J88)+1 / (J88:AVX88="T"), F88)), "")</f>
        <v/>
      </c>
      <c r="F88" s="76">
        <f t="shared" si="17"/>
        <v>2</v>
      </c>
      <c r="G88" s="35" cm="1">
        <f t="array" ref="G88">IFERROR(INDEX($J$5:$AVW$5,_xlfn.AGGREGATE(14,6,(COLUMN($J88:$AVW88)-COLUMN($J88)+1)/($J88:$AVW88="T"),1)),"")</f>
        <v>45987</v>
      </c>
      <c r="H88" s="79">
        <f t="shared" si="18"/>
        <v>1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33"/>
      <c r="BM88" s="33"/>
      <c r="BN88" s="33"/>
      <c r="BO88" s="33"/>
      <c r="BP88" s="33"/>
      <c r="BQ88" s="33"/>
      <c r="BR88" s="33"/>
      <c r="BS88" s="33"/>
      <c r="BT88" s="33"/>
      <c r="BU88" s="33"/>
      <c r="BV88" s="33"/>
      <c r="BW88" s="33"/>
      <c r="BX88" s="33"/>
      <c r="BY88" s="33"/>
      <c r="BZ88" s="33"/>
      <c r="CA88" s="33"/>
      <c r="CB88" s="33"/>
      <c r="CC88" s="33"/>
      <c r="CD88" s="33"/>
      <c r="CE88" s="33"/>
      <c r="CF88" s="33"/>
      <c r="CG88" s="33"/>
      <c r="CH88" s="33"/>
      <c r="CI88" s="33"/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t="str" cm="1">
        <f t="array" ref="E89">IFERROR(INDEX($J$5:$AVX$5, _xlfn.AGGREGATE(15,6, COLUMN(J89:AVX89)-COLUMN(J89)+1 / (J89:AVX89="T"), F89)), "")</f>
        <v/>
      </c>
      <c r="F89" s="76">
        <f t="shared" si="17"/>
        <v>2</v>
      </c>
      <c r="G89" s="35" cm="1">
        <f t="array" ref="G89">IFERROR(INDEX($J$5:$AVW$5,_xlfn.AGGREGATE(14,6,(COLUMN($J89:$AVW89)-COLUMN($J89)+1)/($J89:$AVW89="T"),1)),"")</f>
        <v>45987</v>
      </c>
      <c r="H89" s="79">
        <f t="shared" si="18"/>
        <v>1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33"/>
      <c r="BM89" s="33"/>
      <c r="BN89" s="33"/>
      <c r="BO89" s="33"/>
      <c r="BP89" s="33"/>
      <c r="BQ89" s="33"/>
      <c r="BR89" s="33"/>
      <c r="BS89" s="33"/>
      <c r="BT89" s="33"/>
      <c r="BU89" s="33"/>
      <c r="BV89" s="33"/>
      <c r="BW89" s="33"/>
      <c r="BX89" s="33"/>
      <c r="BY89" s="33"/>
      <c r="BZ89" s="33"/>
      <c r="CA89" s="33"/>
      <c r="CB89" s="33"/>
      <c r="CC89" s="33"/>
      <c r="CD89" s="33"/>
      <c r="CE89" s="33"/>
      <c r="CF89" s="33"/>
      <c r="CG89" s="33"/>
      <c r="CH89" s="33"/>
      <c r="CI89" s="33"/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t="str" cm="1">
        <f t="array" ref="E90">IFERROR(INDEX($J$5:$AVX$5, _xlfn.AGGREGATE(15,6, COLUMN(J90:AVX90)-COLUMN(J90)+1 / (J90:AVX90="T"), F90)), "")</f>
        <v/>
      </c>
      <c r="F90" s="76">
        <f t="shared" si="17"/>
        <v>2</v>
      </c>
      <c r="G90" s="35" cm="1">
        <f t="array" ref="G90">IFERROR(INDEX($J$5:$AVW$5,_xlfn.AGGREGATE(14,6,(COLUMN($J90:$AVW90)-COLUMN($J90)+1)/($J90:$AVW90="T"),1)),"")</f>
        <v>45980</v>
      </c>
      <c r="H90" s="79">
        <f t="shared" si="18"/>
        <v>1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33"/>
      <c r="BL90" s="33"/>
      <c r="BM90" s="33"/>
      <c r="BN90" s="33"/>
      <c r="BO90" s="33"/>
      <c r="BP90" s="33"/>
      <c r="BQ90" s="33"/>
      <c r="BR90" s="33"/>
      <c r="BS90" s="33"/>
      <c r="BT90" s="33"/>
      <c r="BU90" s="33"/>
      <c r="BV90" s="33"/>
      <c r="BW90" s="33"/>
      <c r="BX90" s="33"/>
      <c r="BY90" s="33"/>
      <c r="BZ90" s="33"/>
      <c r="CA90" s="33"/>
      <c r="CB90" s="33"/>
      <c r="CC90" s="33"/>
      <c r="CD90" s="33"/>
      <c r="CE90" s="33"/>
      <c r="CF90" s="33"/>
      <c r="CG90" s="33"/>
      <c r="CH90" s="33"/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t="str" cm="1">
        <f t="array" ref="E91">IFERROR(INDEX($J$5:$AVX$5, _xlfn.AGGREGATE(15,6, COLUMN(J91:AVX91)-COLUMN(J91)+1 / (J91:AVX91="T"), F91)), "")</f>
        <v/>
      </c>
      <c r="F91" s="76">
        <f t="shared" si="17"/>
        <v>2</v>
      </c>
      <c r="G91" s="35" cm="1">
        <f t="array" ref="G91">IFERROR(INDEX($J$5:$AVW$5,_xlfn.AGGREGATE(14,6,(COLUMN($J91:$AVW91)-COLUMN($J91)+1)/($J91:$AVW91="T"),1)),"")</f>
        <v>45980</v>
      </c>
      <c r="H91" s="79">
        <f t="shared" si="18"/>
        <v>1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33"/>
      <c r="BL91" s="33"/>
      <c r="BM91" s="33"/>
      <c r="BN91" s="33"/>
      <c r="BO91" s="33"/>
      <c r="BP91" s="33"/>
      <c r="BQ91" s="33"/>
      <c r="BR91" s="33"/>
      <c r="BS91" s="33"/>
      <c r="BT91" s="33"/>
      <c r="BU91" s="33"/>
      <c r="BV91" s="33"/>
      <c r="BW91" s="33"/>
      <c r="BX91" s="33"/>
      <c r="BY91" s="33"/>
      <c r="BZ91" s="33"/>
      <c r="CA91" s="33"/>
      <c r="CB91" s="33"/>
      <c r="CC91" s="33"/>
      <c r="CD91" s="33"/>
      <c r="CE91" s="33"/>
      <c r="CF91" s="33"/>
      <c r="CG91" s="33"/>
      <c r="CH91" s="33"/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t="str" cm="1">
        <f t="array" ref="E92">IFERROR(INDEX($J$5:$AVX$5, _xlfn.AGGREGATE(15,6, COLUMN(J92:AVX92)-COLUMN(J92)+1 / (J92:AVX92="T"), F92)), "")</f>
        <v/>
      </c>
      <c r="F92" s="76">
        <f t="shared" si="17"/>
        <v>2</v>
      </c>
      <c r="G92" s="35" cm="1">
        <f t="array" ref="G92">IFERROR(INDEX($J$5:$AVW$5,_xlfn.AGGREGATE(14,6,(COLUMN($J92:$AVW92)-COLUMN($J92)+1)/($J92:$AVW92="T"),1)),"")</f>
        <v>45980</v>
      </c>
      <c r="H92" s="79">
        <f t="shared" si="18"/>
        <v>1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33"/>
      <c r="BL92" s="33"/>
      <c r="BM92" s="33"/>
      <c r="BN92" s="33"/>
      <c r="BO92" s="33"/>
      <c r="BP92" s="33"/>
      <c r="BQ92" s="33"/>
      <c r="BR92" s="33"/>
      <c r="BS92" s="33"/>
      <c r="BT92" s="33"/>
      <c r="BU92" s="33"/>
      <c r="BV92" s="33"/>
      <c r="BW92" s="33"/>
      <c r="BX92" s="33"/>
      <c r="BY92" s="33"/>
      <c r="BZ92" s="33"/>
      <c r="CA92" s="33"/>
      <c r="CB92" s="33"/>
      <c r="CC92" s="33"/>
      <c r="CD92" s="33"/>
      <c r="CE92" s="33"/>
      <c r="CF92" s="33"/>
      <c r="CG92" s="33"/>
      <c r="CH92" s="33"/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t="str" cm="1">
        <f t="array" ref="E93">IFERROR(INDEX($J$5:$AVX$5, _xlfn.AGGREGATE(15,6, COLUMN(J93:AVX93)-COLUMN(J93)+1 / (J93:AVX93="T"), F93)), "")</f>
        <v/>
      </c>
      <c r="F93" s="76">
        <f t="shared" si="17"/>
        <v>2</v>
      </c>
      <c r="G93" s="35" cm="1">
        <f t="array" ref="G93">IFERROR(INDEX($J$5:$AVW$5,_xlfn.AGGREGATE(14,6,(COLUMN($J93:$AVW93)-COLUMN($J93)+1)/($J93:$AVW93="T"),1)),"")</f>
        <v>45980</v>
      </c>
      <c r="H93" s="79">
        <f t="shared" si="18"/>
        <v>1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33"/>
      <c r="BL93" s="33"/>
      <c r="BM93" s="33"/>
      <c r="BN93" s="33"/>
      <c r="BO93" s="33"/>
      <c r="BP93" s="33"/>
      <c r="BQ93" s="33"/>
      <c r="BR93" s="33"/>
      <c r="BS93" s="33"/>
      <c r="BT93" s="33"/>
      <c r="BU93" s="33"/>
      <c r="BV93" s="33"/>
      <c r="BW93" s="33"/>
      <c r="BX93" s="33"/>
      <c r="BY93" s="33"/>
      <c r="BZ93" s="33"/>
      <c r="CA93" s="33"/>
      <c r="CB93" s="33"/>
      <c r="CC93" s="33"/>
      <c r="CD93" s="33"/>
      <c r="CE93" s="33"/>
      <c r="CF93" s="33"/>
      <c r="CG93" s="33"/>
      <c r="CH93" s="33"/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t="str" cm="1">
        <f t="array" ref="E94">IFERROR(INDEX($J$5:$AVX$5, _xlfn.AGGREGATE(15,6, COLUMN(J94:AVX94)-COLUMN(J94)+1 / (J94:AVX94="T"), F94)), "")</f>
        <v/>
      </c>
      <c r="F94" s="76">
        <f t="shared" si="17"/>
        <v>2</v>
      </c>
      <c r="G94" s="35" cm="1">
        <f t="array" ref="G94">IFERROR(INDEX($J$5:$AVW$5,_xlfn.AGGREGATE(14,6,(COLUMN($J94:$AVW94)-COLUMN($J94)+1)/($J94:$AVW94="T"),1)),"")</f>
        <v>45980</v>
      </c>
      <c r="H94" s="79">
        <f t="shared" si="18"/>
        <v>1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33"/>
      <c r="BL94" s="33"/>
      <c r="BM94" s="33"/>
      <c r="BN94" s="33"/>
      <c r="BO94" s="33"/>
      <c r="BP94" s="33"/>
      <c r="BQ94" s="33"/>
      <c r="BR94" s="33"/>
      <c r="BS94" s="33"/>
      <c r="BT94" s="33"/>
      <c r="BU94" s="33"/>
      <c r="BV94" s="33"/>
      <c r="BW94" s="33"/>
      <c r="BX94" s="33"/>
      <c r="BY94" s="33"/>
      <c r="BZ94" s="33"/>
      <c r="CA94" s="33"/>
      <c r="CB94" s="33"/>
      <c r="CC94" s="33"/>
      <c r="CD94" s="33"/>
      <c r="CE94" s="33"/>
      <c r="CF94" s="33"/>
      <c r="CG94" s="33"/>
      <c r="CH94" s="33"/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t="str" cm="1">
        <f t="array" ref="E95">IFERROR(INDEX($J$5:$AVX$5, _xlfn.AGGREGATE(15,6, COLUMN(J95:AVX95)-COLUMN(J95)+1 / (J95:AVX95="T"), F95)), "")</f>
        <v/>
      </c>
      <c r="F95" s="76">
        <f t="shared" si="17"/>
        <v>2</v>
      </c>
      <c r="G95" s="35" cm="1">
        <f t="array" ref="G95">IFERROR(INDEX($J$5:$AVW$5,_xlfn.AGGREGATE(14,6,(COLUMN($J95:$AVW95)-COLUMN($J95)+1)/($J95:$AVW95="T"),1)),"")</f>
        <v>45980</v>
      </c>
      <c r="H95" s="79">
        <f t="shared" si="18"/>
        <v>1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33"/>
      <c r="BL95" s="33"/>
      <c r="BM95" s="33"/>
      <c r="BN95" s="33"/>
      <c r="BO95" s="33"/>
      <c r="BP95" s="33"/>
      <c r="BQ95" s="33"/>
      <c r="BR95" s="33"/>
      <c r="BS95" s="33"/>
      <c r="BT95" s="33"/>
      <c r="BU95" s="33"/>
      <c r="BV95" s="33"/>
      <c r="BW95" s="33"/>
      <c r="BX95" s="33"/>
      <c r="BY95" s="33"/>
      <c r="BZ95" s="33"/>
      <c r="CA95" s="33"/>
      <c r="CB95" s="33"/>
      <c r="CC95" s="33"/>
      <c r="CD95" s="33"/>
      <c r="CE95" s="33"/>
      <c r="CF95" s="33"/>
      <c r="CG95" s="33"/>
      <c r="CH95" s="33"/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t="str" cm="1">
        <f t="array" ref="E96">IFERROR(INDEX($J$5:$AVX$5, _xlfn.AGGREGATE(15,6, COLUMN(J96:AVX96)-COLUMN(J96)+1 / (J96:AVX96="T"), F96)), "")</f>
        <v/>
      </c>
      <c r="F96" s="76">
        <f t="shared" si="17"/>
        <v>2</v>
      </c>
      <c r="G96" s="35" cm="1">
        <f t="array" ref="G96">IFERROR(INDEX($J$5:$AVW$5,_xlfn.AGGREGATE(14,6,(COLUMN($J96:$AVW96)-COLUMN($J96)+1)/($J96:$AVW96="T"),1)),"")</f>
        <v>45980</v>
      </c>
      <c r="H96" s="79">
        <f t="shared" si="18"/>
        <v>1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33"/>
      <c r="BL96" s="33"/>
      <c r="BM96" s="33"/>
      <c r="BN96" s="33"/>
      <c r="BO96" s="33"/>
      <c r="BP96" s="33"/>
      <c r="BQ96" s="33"/>
      <c r="BR96" s="33"/>
      <c r="BS96" s="33"/>
      <c r="BT96" s="33"/>
      <c r="BU96" s="33"/>
      <c r="BV96" s="33"/>
      <c r="BW96" s="33"/>
      <c r="BX96" s="33"/>
      <c r="BY96" s="33"/>
      <c r="BZ96" s="33"/>
      <c r="CA96" s="33"/>
      <c r="CB96" s="33"/>
      <c r="CC96" s="33"/>
      <c r="CD96" s="33"/>
      <c r="CE96" s="33"/>
      <c r="CF96" s="33"/>
      <c r="CG96" s="33"/>
      <c r="CH96" s="33"/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17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18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17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18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17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18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17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18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17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18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17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18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17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18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17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18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17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18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17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18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17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18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17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18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17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18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17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18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17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18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17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18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17"/>
        <v>2</v>
      </c>
      <c r="G113" s="35" cm="1">
        <f t="array" ref="G113">IFERROR(INDEX($J$5:$AVW$5,_xlfn.AGGREGATE(14,6,(COLUMN($J113:$AVW113)-COLUMN($J113)+1)/($J113:$AVW113="T"),1)),"")</f>
        <v>45991</v>
      </c>
      <c r="H113" s="79">
        <f t="shared" si="18"/>
        <v>2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33"/>
      <c r="BR113" s="33"/>
      <c r="BS113" s="33"/>
      <c r="BT113" s="33"/>
      <c r="BU113" s="33"/>
      <c r="BV113" s="33"/>
      <c r="BW113" s="33"/>
      <c r="BX113" s="33"/>
      <c r="BY113" s="33"/>
      <c r="BZ113" s="33"/>
      <c r="CA113" s="33"/>
      <c r="CB113" s="33"/>
      <c r="CC113" s="33"/>
      <c r="CD113" s="33"/>
      <c r="CE113" s="33"/>
      <c r="CF113" s="33"/>
      <c r="CG113" s="33"/>
      <c r="CH113" s="33"/>
      <c r="CI113" s="33"/>
      <c r="CJ113" s="33"/>
      <c r="CK113" s="33"/>
      <c r="CL113" s="33"/>
      <c r="CM113" s="33"/>
      <c r="CN113" s="33"/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17"/>
        <v>2</v>
      </c>
      <c r="G114" s="35" cm="1">
        <f t="array" ref="G114">IFERROR(INDEX($J$5:$AVW$5,_xlfn.AGGREGATE(14,6,(COLUMN($J114:$AVW114)-COLUMN($J114)+1)/($J114:$AVW114="T"),1)),"")</f>
        <v>45991</v>
      </c>
      <c r="H114" s="79">
        <f t="shared" si="18"/>
        <v>2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33"/>
      <c r="BR114" s="33"/>
      <c r="BS114" s="33"/>
      <c r="BT114" s="33"/>
      <c r="BU114" s="33"/>
      <c r="BV114" s="33"/>
      <c r="BW114" s="33"/>
      <c r="BX114" s="33"/>
      <c r="BY114" s="33"/>
      <c r="BZ114" s="33"/>
      <c r="CA114" s="33"/>
      <c r="CB114" s="33"/>
      <c r="CC114" s="33"/>
      <c r="CD114" s="33"/>
      <c r="CE114" s="33"/>
      <c r="CF114" s="33"/>
      <c r="CG114" s="33"/>
      <c r="CH114" s="33"/>
      <c r="CI114" s="33"/>
      <c r="CJ114" s="33"/>
      <c r="CK114" s="33"/>
      <c r="CL114" s="33"/>
      <c r="CM114" s="33"/>
      <c r="CN114" s="33"/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17"/>
        <v>2</v>
      </c>
      <c r="G115" s="35" cm="1">
        <f t="array" ref="G115">IFERROR(INDEX($J$5:$AVW$5,_xlfn.AGGREGATE(14,6,(COLUMN($J115:$AVW115)-COLUMN($J115)+1)/($J115:$AVW115="T"),1)),"")</f>
        <v>45991</v>
      </c>
      <c r="H115" s="79">
        <f t="shared" si="18"/>
        <v>2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33"/>
      <c r="BR115" s="33"/>
      <c r="BS115" s="33"/>
      <c r="BT115" s="33"/>
      <c r="BU115" s="33"/>
      <c r="BV115" s="33"/>
      <c r="BW115" s="33"/>
      <c r="BX115" s="33"/>
      <c r="BY115" s="33"/>
      <c r="BZ115" s="33"/>
      <c r="CA115" s="33"/>
      <c r="CB115" s="33"/>
      <c r="CC115" s="33"/>
      <c r="CD115" s="33"/>
      <c r="CE115" s="33"/>
      <c r="CF115" s="33"/>
      <c r="CG115" s="33"/>
      <c r="CH115" s="33"/>
      <c r="CI115" s="33"/>
      <c r="CJ115" s="33"/>
      <c r="CK115" s="33"/>
      <c r="CL115" s="33"/>
      <c r="CM115" s="33"/>
      <c r="CN115" s="33"/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17"/>
        <v>2</v>
      </c>
      <c r="G116" s="35" cm="1">
        <f t="array" ref="G116">IFERROR(INDEX($J$5:$AVW$5,_xlfn.AGGREGATE(14,6,(COLUMN($J116:$AVW116)-COLUMN($J116)+1)/($J116:$AVW116="T"),1)),"")</f>
        <v>45991</v>
      </c>
      <c r="H116" s="79">
        <f t="shared" si="18"/>
        <v>2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33"/>
      <c r="BR116" s="33"/>
      <c r="BS116" s="33"/>
      <c r="BT116" s="33"/>
      <c r="BU116" s="33"/>
      <c r="BV116" s="33"/>
      <c r="BW116" s="33"/>
      <c r="BX116" s="33"/>
      <c r="BY116" s="33"/>
      <c r="BZ116" s="33"/>
      <c r="CA116" s="33"/>
      <c r="CB116" s="33"/>
      <c r="CC116" s="33"/>
      <c r="CD116" s="33"/>
      <c r="CE116" s="33"/>
      <c r="CF116" s="33"/>
      <c r="CG116" s="33"/>
      <c r="CH116" s="33"/>
      <c r="CI116" s="33"/>
      <c r="CJ116" s="33"/>
      <c r="CK116" s="33"/>
      <c r="CL116" s="33"/>
      <c r="CM116" s="33"/>
      <c r="CN116" s="33"/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17"/>
        <v>2</v>
      </c>
      <c r="G117" s="35" cm="1">
        <f t="array" ref="G117">IFERROR(INDEX($J$5:$AVW$5,_xlfn.AGGREGATE(14,6,(COLUMN($J117:$AVW117)-COLUMN($J117)+1)/($J117:$AVW117="T"),1)),"")</f>
        <v>45992</v>
      </c>
      <c r="H117" s="79">
        <f t="shared" si="18"/>
        <v>2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33"/>
      <c r="BR117" s="33"/>
      <c r="BS117" s="33"/>
      <c r="BT117" s="33"/>
      <c r="BU117" s="33"/>
      <c r="BV117" s="33"/>
      <c r="BW117" s="33"/>
      <c r="BX117" s="33"/>
      <c r="BY117" s="33"/>
      <c r="BZ117" s="33"/>
      <c r="CA117" s="33"/>
      <c r="CB117" s="33"/>
      <c r="CC117" s="33"/>
      <c r="CD117" s="33"/>
      <c r="CE117" s="33"/>
      <c r="CF117" s="33"/>
      <c r="CG117" s="33"/>
      <c r="CH117" s="33"/>
      <c r="CI117" s="33"/>
      <c r="CJ117" s="33"/>
      <c r="CK117" s="33"/>
      <c r="CL117" s="33"/>
      <c r="CM117" s="33"/>
      <c r="CN117" s="33"/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17"/>
        <v>2</v>
      </c>
      <c r="G118" s="35" cm="1">
        <f t="array" ref="G118">IFERROR(INDEX($J$5:$AVW$5,_xlfn.AGGREGATE(14,6,(COLUMN($J118:$AVW118)-COLUMN($J118)+1)/($J118:$AVW118="T"),1)),"")</f>
        <v>45992</v>
      </c>
      <c r="H118" s="79">
        <f t="shared" si="18"/>
        <v>2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33"/>
      <c r="BR118" s="33"/>
      <c r="BS118" s="33"/>
      <c r="BT118" s="33"/>
      <c r="BU118" s="33"/>
      <c r="BV118" s="33"/>
      <c r="BW118" s="33"/>
      <c r="BX118" s="33"/>
      <c r="BY118" s="33"/>
      <c r="BZ118" s="33"/>
      <c r="CA118" s="33"/>
      <c r="CB118" s="33"/>
      <c r="CC118" s="33"/>
      <c r="CD118" s="33"/>
      <c r="CE118" s="33"/>
      <c r="CF118" s="33"/>
      <c r="CG118" s="33"/>
      <c r="CH118" s="33"/>
      <c r="CI118" s="33"/>
      <c r="CJ118" s="33"/>
      <c r="CK118" s="33"/>
      <c r="CL118" s="33"/>
      <c r="CM118" s="33"/>
      <c r="CN118" s="33"/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17"/>
        <v>2</v>
      </c>
      <c r="G119" s="35" cm="1">
        <f t="array" ref="G119">IFERROR(INDEX($J$5:$AVW$5,_xlfn.AGGREGATE(14,6,(COLUMN($J119:$AVW119)-COLUMN($J119)+1)/($J119:$AVW119="T"),1)),"")</f>
        <v>45992</v>
      </c>
      <c r="H119" s="79">
        <f t="shared" si="18"/>
        <v>2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33"/>
      <c r="BR119" s="33"/>
      <c r="BS119" s="33"/>
      <c r="BT119" s="33"/>
      <c r="BU119" s="33"/>
      <c r="BV119" s="33"/>
      <c r="BW119" s="33"/>
      <c r="BX119" s="33"/>
      <c r="BY119" s="33"/>
      <c r="BZ119" s="33"/>
      <c r="CA119" s="33"/>
      <c r="CB119" s="33"/>
      <c r="CC119" s="33"/>
      <c r="CD119" s="33"/>
      <c r="CE119" s="33"/>
      <c r="CF119" s="33"/>
      <c r="CG119" s="33"/>
      <c r="CH119" s="33"/>
      <c r="CI119" s="33"/>
      <c r="CJ119" s="33"/>
      <c r="CK119" s="33"/>
      <c r="CL119" s="33"/>
      <c r="CM119" s="33"/>
      <c r="CN119" s="33"/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17"/>
        <v>2</v>
      </c>
      <c r="G120" s="35" cm="1">
        <f t="array" ref="G120">IFERROR(INDEX($J$5:$AVW$5,_xlfn.AGGREGATE(14,6,(COLUMN($J120:$AVW120)-COLUMN($J120)+1)/($J120:$AVW120="T"),1)),"")</f>
        <v>45995</v>
      </c>
      <c r="H120" s="79">
        <f t="shared" si="18"/>
        <v>2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33"/>
      <c r="BQ120" s="33"/>
      <c r="BR120" s="33"/>
      <c r="BS120" s="33"/>
      <c r="BT120" s="33"/>
      <c r="BU120" s="33"/>
      <c r="BV120" s="33"/>
      <c r="BW120" s="33"/>
      <c r="BX120" s="33"/>
      <c r="BY120" s="33"/>
      <c r="BZ120" s="33"/>
      <c r="CA120" s="33"/>
      <c r="CB120" s="33"/>
      <c r="CC120" s="33"/>
      <c r="CD120" s="33"/>
      <c r="CE120" s="33"/>
      <c r="CF120" s="33"/>
      <c r="CG120" s="33"/>
      <c r="CH120" s="33"/>
      <c r="CI120" s="33"/>
      <c r="CJ120" s="33"/>
      <c r="CK120" s="33"/>
      <c r="CL120" s="33"/>
      <c r="CM120" s="33"/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17"/>
        <v>2</v>
      </c>
      <c r="G121" s="35" cm="1">
        <f t="array" ref="G121">IFERROR(INDEX($J$5:$AVW$5,_xlfn.AGGREGATE(14,6,(COLUMN($J121:$AVW121)-COLUMN($J121)+1)/($J121:$AVW121="T"),1)),"")</f>
        <v>45996</v>
      </c>
      <c r="H121" s="79">
        <f t="shared" si="18"/>
        <v>2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33"/>
      <c r="BQ121" s="33"/>
      <c r="BR121" s="33"/>
      <c r="BS121" s="33"/>
      <c r="BT121" s="33"/>
      <c r="BU121" s="33"/>
      <c r="BV121" s="33"/>
      <c r="BW121" s="33"/>
      <c r="BX121" s="33"/>
      <c r="BY121" s="33"/>
      <c r="BZ121" s="33"/>
      <c r="CA121" s="33"/>
      <c r="CB121" s="33"/>
      <c r="CC121" s="33"/>
      <c r="CD121" s="33"/>
      <c r="CE121" s="33"/>
      <c r="CF121" s="33"/>
      <c r="CG121" s="33"/>
      <c r="CH121" s="33"/>
      <c r="CI121" s="33"/>
      <c r="CJ121" s="33"/>
      <c r="CK121" s="33"/>
      <c r="CL121" s="33"/>
      <c r="CM121" s="33"/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17"/>
        <v>2</v>
      </c>
      <c r="G122" s="35" cm="1">
        <f t="array" ref="G122">IFERROR(INDEX($J$5:$AVW$5,_xlfn.AGGREGATE(14,6,(COLUMN($J122:$AVW122)-COLUMN($J122)+1)/($J122:$AVW122="T"),1)),"")</f>
        <v>45995</v>
      </c>
      <c r="H122" s="79">
        <f t="shared" si="18"/>
        <v>2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33"/>
      <c r="BQ122" s="33"/>
      <c r="BR122" s="33"/>
      <c r="BS122" s="33"/>
      <c r="BT122" s="33"/>
      <c r="BU122" s="33"/>
      <c r="BV122" s="33"/>
      <c r="BW122" s="33"/>
      <c r="BX122" s="33"/>
      <c r="BY122" s="33"/>
      <c r="BZ122" s="33"/>
      <c r="CA122" s="33"/>
      <c r="CB122" s="33"/>
      <c r="CC122" s="33"/>
      <c r="CD122" s="33"/>
      <c r="CE122" s="33"/>
      <c r="CF122" s="33"/>
      <c r="CG122" s="33"/>
      <c r="CH122" s="33"/>
      <c r="CI122" s="33"/>
      <c r="CJ122" s="33"/>
      <c r="CK122" s="33"/>
      <c r="CL122" s="33"/>
      <c r="CM122" s="33"/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17"/>
        <v>2</v>
      </c>
      <c r="G123" s="35" cm="1">
        <f t="array" ref="G123">IFERROR(INDEX($J$5:$AVW$5,_xlfn.AGGREGATE(14,6,(COLUMN($J123:$AVW123)-COLUMN($J123)+1)/($J123:$AVW123="T"),1)),"")</f>
        <v>45996</v>
      </c>
      <c r="H123" s="79">
        <f t="shared" si="18"/>
        <v>2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33"/>
      <c r="BQ123" s="33"/>
      <c r="BR123" s="33"/>
      <c r="BS123" s="33"/>
      <c r="BT123" s="33"/>
      <c r="BU123" s="33"/>
      <c r="BV123" s="33"/>
      <c r="BW123" s="33"/>
      <c r="BX123" s="33"/>
      <c r="BY123" s="33"/>
      <c r="BZ123" s="33"/>
      <c r="CA123" s="33"/>
      <c r="CB123" s="33"/>
      <c r="CC123" s="33"/>
      <c r="CD123" s="33"/>
      <c r="CE123" s="33"/>
      <c r="CF123" s="33"/>
      <c r="CG123" s="33"/>
      <c r="CH123" s="33"/>
      <c r="CI123" s="33"/>
      <c r="CJ123" s="33"/>
      <c r="CK123" s="33"/>
      <c r="CL123" s="33"/>
      <c r="CM123" s="33"/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17"/>
        <v>2</v>
      </c>
      <c r="G124" s="35" cm="1">
        <f t="array" ref="G124">IFERROR(INDEX($J$5:$AVW$5,_xlfn.AGGREGATE(14,6,(COLUMN($J124:$AVW124)-COLUMN($J124)+1)/($J124:$AVW124="T"),1)),"")</f>
        <v>45995</v>
      </c>
      <c r="H124" s="79">
        <f t="shared" si="18"/>
        <v>2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33"/>
      <c r="BQ124" s="33"/>
      <c r="BR124" s="33"/>
      <c r="BS124" s="33"/>
      <c r="BT124" s="33"/>
      <c r="BU124" s="33"/>
      <c r="BV124" s="33"/>
      <c r="BW124" s="33"/>
      <c r="BX124" s="33"/>
      <c r="BY124" s="33"/>
      <c r="BZ124" s="33"/>
      <c r="CA124" s="33"/>
      <c r="CB124" s="33"/>
      <c r="CC124" s="33"/>
      <c r="CD124" s="33"/>
      <c r="CE124" s="33"/>
      <c r="CF124" s="33"/>
      <c r="CG124" s="33"/>
      <c r="CH124" s="33"/>
      <c r="CI124" s="33"/>
      <c r="CJ124" s="33"/>
      <c r="CK124" s="33"/>
      <c r="CL124" s="33"/>
      <c r="CM124" s="33"/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17"/>
        <v>2</v>
      </c>
      <c r="G125" s="35" cm="1">
        <f t="array" ref="G125">IFERROR(INDEX($J$5:$AVW$5,_xlfn.AGGREGATE(14,6,(COLUMN($J125:$AVW125)-COLUMN($J125)+1)/($J125:$AVW125="T"),1)),"")</f>
        <v>45995</v>
      </c>
      <c r="H125" s="79">
        <f t="shared" si="18"/>
        <v>2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33"/>
      <c r="BQ125" s="33"/>
      <c r="BR125" s="33"/>
      <c r="BS125" s="33"/>
      <c r="BT125" s="33"/>
      <c r="BU125" s="33"/>
      <c r="BV125" s="33"/>
      <c r="BW125" s="33"/>
      <c r="BX125" s="33"/>
      <c r="BY125" s="33"/>
      <c r="BZ125" s="33"/>
      <c r="CA125" s="33"/>
      <c r="CB125" s="33"/>
      <c r="CC125" s="33"/>
      <c r="CD125" s="33"/>
      <c r="CE125" s="33"/>
      <c r="CF125" s="33"/>
      <c r="CG125" s="33"/>
      <c r="CH125" s="33"/>
      <c r="CI125" s="33"/>
      <c r="CJ125" s="33"/>
      <c r="CK125" s="33"/>
      <c r="CL125" s="33"/>
      <c r="CM125" s="33"/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17"/>
        <v>2</v>
      </c>
      <c r="G126" s="35" cm="1">
        <f t="array" ref="G126">IFERROR(INDEX($J$5:$AVW$5,_xlfn.AGGREGATE(14,6,(COLUMN($J126:$AVW126)-COLUMN($J126)+1)/($J126:$AVW126="T"),1)),"")</f>
        <v>45995</v>
      </c>
      <c r="H126" s="79">
        <f t="shared" si="18"/>
        <v>2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33"/>
      <c r="BQ126" s="33"/>
      <c r="BR126" s="33"/>
      <c r="BS126" s="33"/>
      <c r="BT126" s="33"/>
      <c r="BU126" s="33"/>
      <c r="BV126" s="33"/>
      <c r="BW126" s="33"/>
      <c r="BX126" s="33"/>
      <c r="BY126" s="33"/>
      <c r="BZ126" s="33"/>
      <c r="CA126" s="33"/>
      <c r="CB126" s="33"/>
      <c r="CC126" s="33"/>
      <c r="CD126" s="33"/>
      <c r="CE126" s="33"/>
      <c r="CF126" s="33"/>
      <c r="CG126" s="33"/>
      <c r="CH126" s="33"/>
      <c r="CI126" s="33"/>
      <c r="CJ126" s="33"/>
      <c r="CK126" s="33"/>
      <c r="CL126" s="33"/>
      <c r="CM126" s="33"/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17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18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17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18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17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18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17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18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17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18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17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18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17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18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17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18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17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18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17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18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17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18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17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18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17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18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17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18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17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18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19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0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19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0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19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0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19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0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19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0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19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0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19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0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19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0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19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0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19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0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19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0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19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0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19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0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19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0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19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0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19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0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19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0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19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0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19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0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19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0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19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0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19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0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19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0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19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0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19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0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19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0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19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0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19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0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19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0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19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0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19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0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19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0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19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0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19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0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19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0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19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0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19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0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19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0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19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0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19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0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19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0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19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0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19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0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19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0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19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0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19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0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19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0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19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0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19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0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19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0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19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0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19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0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19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0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19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0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19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0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19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0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19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0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19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0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19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0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19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0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19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0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19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0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19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0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19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0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1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2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1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2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1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2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1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2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1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2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1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2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1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2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1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2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t="str" cm="1">
        <f t="array" ref="E214">IFERROR(INDEX($J$5:$AVX$5, _xlfn.AGGREGATE(15,6, COLUMN(J214:AVX214)-COLUMN(J214)+1 / (J214:AVX214="T"), F214)), "")</f>
        <v/>
      </c>
      <c r="F214" s="76">
        <f t="shared" si="21"/>
        <v>2</v>
      </c>
      <c r="G214" s="35" cm="1">
        <f t="array" ref="G214">IFERROR(INDEX($J$5:$AVW$5,_xlfn.AGGREGATE(14,6,(COLUMN($J214:$AVW214)-COLUMN($J214)+1)/($J214:$AVW214="T"),1)),"")</f>
        <v>45988</v>
      </c>
      <c r="H214" s="79">
        <f t="shared" si="22"/>
        <v>1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33"/>
      <c r="BN214" s="33"/>
      <c r="BO214" s="33"/>
      <c r="BP214" s="33"/>
      <c r="BQ214" s="33"/>
      <c r="BR214" s="33"/>
      <c r="BS214" s="33"/>
      <c r="BT214" s="33"/>
      <c r="BU214" s="33"/>
      <c r="BV214" s="33"/>
      <c r="BW214" s="33"/>
      <c r="BX214" s="33"/>
      <c r="BY214" s="33"/>
      <c r="BZ214" s="33"/>
      <c r="CA214" s="33"/>
      <c r="CB214" s="33"/>
      <c r="CC214" s="33"/>
      <c r="CD214" s="33"/>
      <c r="CE214" s="33"/>
      <c r="CF214" s="33"/>
      <c r="CG214" s="33"/>
      <c r="CH214" s="33"/>
      <c r="CI214" s="33"/>
      <c r="CJ214" s="33"/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t="str" cm="1">
        <f t="array" ref="E215">IFERROR(INDEX($J$5:$AVX$5, _xlfn.AGGREGATE(15,6, COLUMN(J215:AVX215)-COLUMN(J215)+1 / (J215:AVX215="T"), F215)), "")</f>
        <v/>
      </c>
      <c r="F215" s="76">
        <f t="shared" si="21"/>
        <v>2</v>
      </c>
      <c r="G215" s="35" cm="1">
        <f t="array" ref="G215">IFERROR(INDEX($J$5:$AVW$5,_xlfn.AGGREGATE(14,6,(COLUMN($J215:$AVW215)-COLUMN($J215)+1)/($J215:$AVW215="T"),1)),"")</f>
        <v>45988</v>
      </c>
      <c r="H215" s="79">
        <f t="shared" si="22"/>
        <v>1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33"/>
      <c r="BN215" s="33"/>
      <c r="BO215" s="33"/>
      <c r="BP215" s="33"/>
      <c r="BQ215" s="33"/>
      <c r="BR215" s="33"/>
      <c r="BS215" s="33"/>
      <c r="BT215" s="33"/>
      <c r="BU215" s="33"/>
      <c r="BV215" s="33"/>
      <c r="BW215" s="33"/>
      <c r="BX215" s="33"/>
      <c r="BY215" s="33"/>
      <c r="BZ215" s="33"/>
      <c r="CA215" s="33"/>
      <c r="CB215" s="33"/>
      <c r="CC215" s="33"/>
      <c r="CD215" s="33"/>
      <c r="CE215" s="33"/>
      <c r="CF215" s="33"/>
      <c r="CG215" s="33"/>
      <c r="CH215" s="33"/>
      <c r="CI215" s="33"/>
      <c r="CJ215" s="33"/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t="str" cm="1">
        <f t="array" ref="E216">IFERROR(INDEX($J$5:$AVX$5, _xlfn.AGGREGATE(15,6, COLUMN(J216:AVX216)-COLUMN(J216)+1 / (J216:AVX216="T"), F216)), "")</f>
        <v/>
      </c>
      <c r="F216" s="76">
        <f t="shared" si="21"/>
        <v>2</v>
      </c>
      <c r="G216" s="35" cm="1">
        <f t="array" ref="G216">IFERROR(INDEX($J$5:$AVW$5,_xlfn.AGGREGATE(14,6,(COLUMN($J216:$AVW216)-COLUMN($J216)+1)/($J216:$AVW216="T"),1)),"")</f>
        <v>45988</v>
      </c>
      <c r="H216" s="79">
        <f t="shared" si="22"/>
        <v>1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33"/>
      <c r="BN216" s="33"/>
      <c r="BO216" s="33"/>
      <c r="BP216" s="33"/>
      <c r="BQ216" s="33"/>
      <c r="BR216" s="33"/>
      <c r="BS216" s="33"/>
      <c r="BT216" s="33"/>
      <c r="BU216" s="33"/>
      <c r="BV216" s="33"/>
      <c r="BW216" s="33"/>
      <c r="BX216" s="33"/>
      <c r="BY216" s="33"/>
      <c r="BZ216" s="33"/>
      <c r="CA216" s="33"/>
      <c r="CB216" s="33"/>
      <c r="CC216" s="33"/>
      <c r="CD216" s="33"/>
      <c r="CE216" s="33"/>
      <c r="CF216" s="33"/>
      <c r="CG216" s="33"/>
      <c r="CH216" s="33"/>
      <c r="CI216" s="33"/>
      <c r="CJ216" s="33"/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t="str" cm="1">
        <f t="array" ref="E217">IFERROR(INDEX($J$5:$AVX$5, _xlfn.AGGREGATE(15,6, COLUMN(J217:AVX217)-COLUMN(J217)+1 / (J217:AVX217="T"), F217)), "")</f>
        <v/>
      </c>
      <c r="F217" s="76">
        <f t="shared" si="21"/>
        <v>2</v>
      </c>
      <c r="G217" s="35" cm="1">
        <f t="array" ref="G217">IFERROR(INDEX($J$5:$AVW$5,_xlfn.AGGREGATE(14,6,(COLUMN($J217:$AVW217)-COLUMN($J217)+1)/($J217:$AVW217="T"),1)),"")</f>
        <v>45988</v>
      </c>
      <c r="H217" s="79">
        <f t="shared" si="22"/>
        <v>1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33"/>
      <c r="BN217" s="33"/>
      <c r="BO217" s="33"/>
      <c r="BP217" s="33"/>
      <c r="BQ217" s="33"/>
      <c r="BR217" s="33"/>
      <c r="BS217" s="33"/>
      <c r="BT217" s="33"/>
      <c r="BU217" s="33"/>
      <c r="BV217" s="33"/>
      <c r="BW217" s="33"/>
      <c r="BX217" s="33"/>
      <c r="BY217" s="33"/>
      <c r="BZ217" s="33"/>
      <c r="CA217" s="33"/>
      <c r="CB217" s="33"/>
      <c r="CC217" s="33"/>
      <c r="CD217" s="33"/>
      <c r="CE217" s="33"/>
      <c r="CF217" s="33"/>
      <c r="CG217" s="33"/>
      <c r="CH217" s="33"/>
      <c r="CI217" s="33"/>
      <c r="CJ217" s="33"/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t="str" cm="1">
        <f t="array" ref="E218">IFERROR(INDEX($J$5:$AVX$5, _xlfn.AGGREGATE(15,6, COLUMN(J218:AVX218)-COLUMN(J218)+1 / (J218:AVX218="T"), F218)), "")</f>
        <v/>
      </c>
      <c r="F218" s="76">
        <f t="shared" si="21"/>
        <v>2</v>
      </c>
      <c r="G218" s="35" cm="1">
        <f t="array" ref="G218">IFERROR(INDEX($J$5:$AVW$5,_xlfn.AGGREGATE(14,6,(COLUMN($J218:$AVW218)-COLUMN($J218)+1)/($J218:$AVW218="T"),1)),"")</f>
        <v>45989</v>
      </c>
      <c r="H218" s="79">
        <f t="shared" si="22"/>
        <v>1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33"/>
      <c r="BN218" s="33"/>
      <c r="BO218" s="33"/>
      <c r="BP218" s="33"/>
      <c r="BQ218" s="33"/>
      <c r="BR218" s="33"/>
      <c r="BS218" s="33"/>
      <c r="BT218" s="33"/>
      <c r="BU218" s="33"/>
      <c r="BV218" s="33"/>
      <c r="BW218" s="33"/>
      <c r="BX218" s="33"/>
      <c r="BY218" s="33"/>
      <c r="BZ218" s="33"/>
      <c r="CA218" s="33"/>
      <c r="CB218" s="33"/>
      <c r="CC218" s="33"/>
      <c r="CD218" s="33"/>
      <c r="CE218" s="33"/>
      <c r="CF218" s="33"/>
      <c r="CG218" s="33"/>
      <c r="CH218" s="33"/>
      <c r="CI218" s="33"/>
      <c r="CJ218" s="33"/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t="str" cm="1">
        <f t="array" ref="E219">IFERROR(INDEX($J$5:$AVX$5, _xlfn.AGGREGATE(15,6, COLUMN(J219:AVX219)-COLUMN(J219)+1 / (J219:AVX219="T"), F219)), "")</f>
        <v/>
      </c>
      <c r="F219" s="76">
        <f t="shared" si="21"/>
        <v>2</v>
      </c>
      <c r="G219" s="35" cm="1">
        <f t="array" ref="G219">IFERROR(INDEX($J$5:$AVW$5,_xlfn.AGGREGATE(14,6,(COLUMN($J219:$AVW219)-COLUMN($J219)+1)/($J219:$AVW219="T"),1)),"")</f>
        <v>45989</v>
      </c>
      <c r="H219" s="79">
        <f t="shared" si="22"/>
        <v>1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33"/>
      <c r="BN219" s="33"/>
      <c r="BO219" s="33"/>
      <c r="BP219" s="33"/>
      <c r="BQ219" s="33"/>
      <c r="BR219" s="33"/>
      <c r="BS219" s="33"/>
      <c r="BT219" s="33"/>
      <c r="BU219" s="33"/>
      <c r="BV219" s="33"/>
      <c r="BW219" s="33"/>
      <c r="BX219" s="33"/>
      <c r="BY219" s="33"/>
      <c r="BZ219" s="33"/>
      <c r="CA219" s="33"/>
      <c r="CB219" s="33"/>
      <c r="CC219" s="33"/>
      <c r="CD219" s="33"/>
      <c r="CE219" s="33"/>
      <c r="CF219" s="33"/>
      <c r="CG219" s="33"/>
      <c r="CH219" s="33"/>
      <c r="CI219" s="33"/>
      <c r="CJ219" s="33"/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t="str" cm="1">
        <f t="array" ref="E220">IFERROR(INDEX($J$5:$AVX$5, _xlfn.AGGREGATE(15,6, COLUMN(J220:AVX220)-COLUMN(J220)+1 / (J220:AVX220="T"), F220)), "")</f>
        <v/>
      </c>
      <c r="F220" s="76">
        <f t="shared" si="21"/>
        <v>2</v>
      </c>
      <c r="G220" s="35" cm="1">
        <f t="array" ref="G220">IFERROR(INDEX($J$5:$AVW$5,_xlfn.AGGREGATE(14,6,(COLUMN($J220:$AVW220)-COLUMN($J220)+1)/($J220:$AVW220="T"),1)),"")</f>
        <v>45989</v>
      </c>
      <c r="H220" s="79">
        <f t="shared" si="22"/>
        <v>1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33"/>
      <c r="BN220" s="33"/>
      <c r="BO220" s="33"/>
      <c r="BP220" s="33"/>
      <c r="BQ220" s="33"/>
      <c r="BR220" s="33"/>
      <c r="BS220" s="33"/>
      <c r="BT220" s="33"/>
      <c r="BU220" s="33"/>
      <c r="BV220" s="33"/>
      <c r="BW220" s="33"/>
      <c r="BX220" s="33"/>
      <c r="BY220" s="33"/>
      <c r="BZ220" s="33"/>
      <c r="CA220" s="33"/>
      <c r="CB220" s="33"/>
      <c r="CC220" s="33"/>
      <c r="CD220" s="33"/>
      <c r="CE220" s="33"/>
      <c r="CF220" s="33"/>
      <c r="CG220" s="33"/>
      <c r="CH220" s="33"/>
      <c r="CI220" s="33"/>
      <c r="CJ220" s="33"/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t="str" cm="1">
        <f t="array" ref="E221">IFERROR(INDEX($J$5:$AVX$5, _xlfn.AGGREGATE(15,6, COLUMN(J221:AVX221)-COLUMN(J221)+1 / (J221:AVX221="T"), F221)), "")</f>
        <v/>
      </c>
      <c r="F221" s="76">
        <f t="shared" si="21"/>
        <v>2</v>
      </c>
      <c r="G221" s="35" cm="1">
        <f t="array" ref="G221">IFERROR(INDEX($J$5:$AVW$5,_xlfn.AGGREGATE(14,6,(COLUMN($J221:$AVW221)-COLUMN($J221)+1)/($J221:$AVW221="T"),1)),"")</f>
        <v>45989</v>
      </c>
      <c r="H221" s="79">
        <f t="shared" si="22"/>
        <v>1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33"/>
      <c r="BO221" s="33"/>
      <c r="BP221" s="33"/>
      <c r="BQ221" s="33"/>
      <c r="BR221" s="33"/>
      <c r="BS221" s="33"/>
      <c r="BT221" s="33"/>
      <c r="BU221" s="33"/>
      <c r="BV221" s="33"/>
      <c r="BW221" s="33"/>
      <c r="BX221" s="33"/>
      <c r="BY221" s="33"/>
      <c r="BZ221" s="33"/>
      <c r="CA221" s="33"/>
      <c r="CB221" s="33"/>
      <c r="CC221" s="33"/>
      <c r="CD221" s="33"/>
      <c r="CE221" s="33"/>
      <c r="CF221" s="33"/>
      <c r="CG221" s="33"/>
      <c r="CH221" s="33"/>
      <c r="CI221" s="33"/>
      <c r="CJ221" s="33"/>
      <c r="CK221" s="33"/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t="str" cm="1">
        <f t="array" ref="E222">IFERROR(INDEX($J$5:$AVX$5, _xlfn.AGGREGATE(15,6, COLUMN(J222:AVX222)-COLUMN(J222)+1 / (J222:AVX222="T"), F222)), "")</f>
        <v/>
      </c>
      <c r="F222" s="76">
        <f t="shared" si="21"/>
        <v>2</v>
      </c>
      <c r="G222" s="35" cm="1">
        <f t="array" ref="G222">IFERROR(INDEX($J$5:$AVW$5,_xlfn.AGGREGATE(14,6,(COLUMN($J222:$AVW222)-COLUMN($J222)+1)/($J222:$AVW222="T"),1)),"")</f>
        <v>45989</v>
      </c>
      <c r="H222" s="79">
        <f t="shared" si="22"/>
        <v>1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33"/>
      <c r="BO222" s="33"/>
      <c r="BP222" s="33"/>
      <c r="BQ222" s="33"/>
      <c r="BR222" s="33"/>
      <c r="BS222" s="33"/>
      <c r="BT222" s="33"/>
      <c r="BU222" s="33"/>
      <c r="BV222" s="33"/>
      <c r="BW222" s="33"/>
      <c r="BX222" s="33"/>
      <c r="BY222" s="33"/>
      <c r="BZ222" s="33"/>
      <c r="CA222" s="33"/>
      <c r="CB222" s="33"/>
      <c r="CC222" s="33"/>
      <c r="CD222" s="33"/>
      <c r="CE222" s="33"/>
      <c r="CF222" s="33"/>
      <c r="CG222" s="33"/>
      <c r="CH222" s="33"/>
      <c r="CI222" s="33"/>
      <c r="CJ222" s="33"/>
      <c r="CK222" s="33"/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t="str" cm="1">
        <f t="array" ref="E223">IFERROR(INDEX($J$5:$AVX$5, _xlfn.AGGREGATE(15,6, COLUMN(J223:AVX223)-COLUMN(J223)+1 / (J223:AVX223="T"), F223)), "")</f>
        <v/>
      </c>
      <c r="F223" s="76">
        <f t="shared" si="21"/>
        <v>2</v>
      </c>
      <c r="G223" s="35" cm="1">
        <f t="array" ref="G223">IFERROR(INDEX($J$5:$AVW$5,_xlfn.AGGREGATE(14,6,(COLUMN($J223:$AVW223)-COLUMN($J223)+1)/($J223:$AVW223="T"),1)),"")</f>
        <v>45989</v>
      </c>
      <c r="H223" s="79">
        <f t="shared" si="22"/>
        <v>1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33"/>
      <c r="BO223" s="33"/>
      <c r="BP223" s="33"/>
      <c r="BQ223" s="33"/>
      <c r="BR223" s="33"/>
      <c r="BS223" s="33"/>
      <c r="BT223" s="33"/>
      <c r="BU223" s="33"/>
      <c r="BV223" s="33"/>
      <c r="BW223" s="33"/>
      <c r="BX223" s="33"/>
      <c r="BY223" s="33"/>
      <c r="BZ223" s="33"/>
      <c r="CA223" s="33"/>
      <c r="CB223" s="33"/>
      <c r="CC223" s="33"/>
      <c r="CD223" s="33"/>
      <c r="CE223" s="33"/>
      <c r="CF223" s="33"/>
      <c r="CG223" s="33"/>
      <c r="CH223" s="33"/>
      <c r="CI223" s="33"/>
      <c r="CJ223" s="33"/>
      <c r="CK223" s="33"/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t="str" cm="1">
        <f t="array" ref="E224">IFERROR(INDEX($J$5:$AVX$5, _xlfn.AGGREGATE(15,6, COLUMN(J224:AVX224)-COLUMN(J224)+1 / (J224:AVX224="T"), F224)), "")</f>
        <v/>
      </c>
      <c r="F224" s="76">
        <f t="shared" si="21"/>
        <v>2</v>
      </c>
      <c r="G224" s="35" cm="1">
        <f t="array" ref="G224">IFERROR(INDEX($J$5:$AVW$5,_xlfn.AGGREGATE(14,6,(COLUMN($J224:$AVW224)-COLUMN($J224)+1)/($J224:$AVW224="T"),1)),"")</f>
        <v>45989</v>
      </c>
      <c r="H224" s="79">
        <f t="shared" si="22"/>
        <v>1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33"/>
      <c r="BO224" s="33"/>
      <c r="BP224" s="33"/>
      <c r="BQ224" s="33"/>
      <c r="BR224" s="33"/>
      <c r="BS224" s="33"/>
      <c r="BT224" s="33"/>
      <c r="BU224" s="33"/>
      <c r="BV224" s="33"/>
      <c r="BW224" s="33"/>
      <c r="BX224" s="33"/>
      <c r="BY224" s="33"/>
      <c r="BZ224" s="33"/>
      <c r="CA224" s="33"/>
      <c r="CB224" s="33"/>
      <c r="CC224" s="33"/>
      <c r="CD224" s="33"/>
      <c r="CE224" s="33"/>
      <c r="CF224" s="33"/>
      <c r="CG224" s="33"/>
      <c r="CH224" s="33"/>
      <c r="CI224" s="33"/>
      <c r="CJ224" s="33"/>
      <c r="CK224" s="33"/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t="str" cm="1">
        <f t="array" ref="E225">IFERROR(INDEX($J$5:$AVX$5, _xlfn.AGGREGATE(15,6, COLUMN(J225:AVX225)-COLUMN(J225)+1 / (J225:AVX225="T"), F225)), "")</f>
        <v/>
      </c>
      <c r="F225" s="76">
        <f t="shared" si="21"/>
        <v>2</v>
      </c>
      <c r="G225" s="35" cm="1">
        <f t="array" ref="G225">IFERROR(INDEX($J$5:$AVW$5,_xlfn.AGGREGATE(14,6,(COLUMN($J225:$AVW225)-COLUMN($J225)+1)/($J225:$AVW225="T"),1)),"")</f>
        <v>45990</v>
      </c>
      <c r="H225" s="79">
        <f t="shared" si="22"/>
        <v>1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33"/>
      <c r="BO225" s="33"/>
      <c r="BP225" s="33"/>
      <c r="BQ225" s="33"/>
      <c r="BR225" s="33"/>
      <c r="BS225" s="33"/>
      <c r="BT225" s="33"/>
      <c r="BU225" s="33"/>
      <c r="BV225" s="33"/>
      <c r="BW225" s="33"/>
      <c r="BX225" s="33"/>
      <c r="BY225" s="33"/>
      <c r="BZ225" s="33"/>
      <c r="CA225" s="33"/>
      <c r="CB225" s="33"/>
      <c r="CC225" s="33"/>
      <c r="CD225" s="33"/>
      <c r="CE225" s="33"/>
      <c r="CF225" s="33"/>
      <c r="CG225" s="33"/>
      <c r="CH225" s="33"/>
      <c r="CI225" s="33"/>
      <c r="CJ225" s="33"/>
      <c r="CK225" s="33"/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t="str" cm="1">
        <f t="array" ref="E226">IFERROR(INDEX($J$5:$AVX$5, _xlfn.AGGREGATE(15,6, COLUMN(J226:AVX226)-COLUMN(J226)+1 / (J226:AVX226="T"), F226)), "")</f>
        <v/>
      </c>
      <c r="F226" s="76">
        <f t="shared" si="21"/>
        <v>2</v>
      </c>
      <c r="G226" s="35" cm="1">
        <f t="array" ref="G226">IFERROR(INDEX($J$5:$AVW$5,_xlfn.AGGREGATE(14,6,(COLUMN($J226:$AVW226)-COLUMN($J226)+1)/($J226:$AVW226="T"),1)),"")</f>
        <v>45990</v>
      </c>
      <c r="H226" s="79">
        <f t="shared" si="22"/>
        <v>1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33"/>
      <c r="BO226" s="33"/>
      <c r="BP226" s="33"/>
      <c r="BQ226" s="33"/>
      <c r="BR226" s="33"/>
      <c r="BS226" s="33"/>
      <c r="BT226" s="33"/>
      <c r="BU226" s="33"/>
      <c r="BV226" s="33"/>
      <c r="BW226" s="33"/>
      <c r="BX226" s="33"/>
      <c r="BY226" s="33"/>
      <c r="BZ226" s="33"/>
      <c r="CA226" s="33"/>
      <c r="CB226" s="33"/>
      <c r="CC226" s="33"/>
      <c r="CD226" s="33"/>
      <c r="CE226" s="33"/>
      <c r="CF226" s="33"/>
      <c r="CG226" s="33"/>
      <c r="CH226" s="33"/>
      <c r="CI226" s="33"/>
      <c r="CJ226" s="33"/>
      <c r="CK226" s="33"/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t="str" cm="1">
        <f t="array" ref="E227">IFERROR(INDEX($J$5:$AVX$5, _xlfn.AGGREGATE(15,6, COLUMN(J227:AVX227)-COLUMN(J227)+1 / (J227:AVX227="T"), F227)), "")</f>
        <v/>
      </c>
      <c r="F227" s="76">
        <f t="shared" si="21"/>
        <v>2</v>
      </c>
      <c r="G227" s="35" cm="1">
        <f t="array" ref="G227">IFERROR(INDEX($J$5:$AVW$5,_xlfn.AGGREGATE(14,6,(COLUMN($J227:$AVW227)-COLUMN($J227)+1)/($J227:$AVW227="T"),1)),"")</f>
        <v>45990</v>
      </c>
      <c r="H227" s="79">
        <f t="shared" si="22"/>
        <v>1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33"/>
      <c r="BO227" s="33"/>
      <c r="BP227" s="33"/>
      <c r="BQ227" s="33"/>
      <c r="BR227" s="33"/>
      <c r="BS227" s="33"/>
      <c r="BT227" s="33"/>
      <c r="BU227" s="33"/>
      <c r="BV227" s="33"/>
      <c r="BW227" s="33"/>
      <c r="BX227" s="33"/>
      <c r="BY227" s="33"/>
      <c r="BZ227" s="33"/>
      <c r="CA227" s="33"/>
      <c r="CB227" s="33"/>
      <c r="CC227" s="33"/>
      <c r="CD227" s="33"/>
      <c r="CE227" s="33"/>
      <c r="CF227" s="33"/>
      <c r="CG227" s="33"/>
      <c r="CH227" s="33"/>
      <c r="CI227" s="33"/>
      <c r="CJ227" s="33"/>
      <c r="CK227" s="33"/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t="str" cm="1">
        <f t="array" ref="E228">IFERROR(INDEX($J$5:$AVX$5, _xlfn.AGGREGATE(15,6, COLUMN(J228:AVX228)-COLUMN(J228)+1 / (J228:AVX228="T"), F228)), "")</f>
        <v/>
      </c>
      <c r="F228" s="76">
        <f t="shared" si="21"/>
        <v>2</v>
      </c>
      <c r="G228" s="35" cm="1">
        <f t="array" ref="G228">IFERROR(INDEX($J$5:$AVW$5,_xlfn.AGGREGATE(14,6,(COLUMN($J228:$AVW228)-COLUMN($J228)+1)/($J228:$AVW228="T"),1)),"")</f>
        <v>45990</v>
      </c>
      <c r="H228" s="79">
        <f t="shared" si="22"/>
        <v>1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33"/>
      <c r="BP228" s="33"/>
      <c r="BQ228" s="33"/>
      <c r="BR228" s="33"/>
      <c r="BS228" s="33"/>
      <c r="BT228" s="33"/>
      <c r="BU228" s="33"/>
      <c r="BV228" s="33"/>
      <c r="BW228" s="33"/>
      <c r="BX228" s="33"/>
      <c r="BY228" s="33"/>
      <c r="BZ228" s="33"/>
      <c r="CA228" s="33"/>
      <c r="CB228" s="33"/>
      <c r="CC228" s="33"/>
      <c r="CD228" s="33"/>
      <c r="CE228" s="33"/>
      <c r="CF228" s="33"/>
      <c r="CG228" s="33"/>
      <c r="CH228" s="33"/>
      <c r="CI228" s="33"/>
      <c r="CJ228" s="33"/>
      <c r="CK228" s="33"/>
      <c r="CL228" s="33"/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t="str" cm="1">
        <f t="array" ref="E229">IFERROR(INDEX($J$5:$AVX$5, _xlfn.AGGREGATE(15,6, COLUMN(J229:AVX229)-COLUMN(J229)+1 / (J229:AVX229="T"), F229)), "")</f>
        <v/>
      </c>
      <c r="F229" s="76">
        <f t="shared" si="21"/>
        <v>2</v>
      </c>
      <c r="G229" s="35" cm="1">
        <f t="array" ref="G229">IFERROR(INDEX($J$5:$AVW$5,_xlfn.AGGREGATE(14,6,(COLUMN($J229:$AVW229)-COLUMN($J229)+1)/($J229:$AVW229="T"),1)),"")</f>
        <v>45990</v>
      </c>
      <c r="H229" s="79">
        <f t="shared" si="22"/>
        <v>1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33"/>
      <c r="BP229" s="33"/>
      <c r="BQ229" s="33"/>
      <c r="BR229" s="33"/>
      <c r="BS229" s="33"/>
      <c r="BT229" s="33"/>
      <c r="BU229" s="33"/>
      <c r="BV229" s="33"/>
      <c r="BW229" s="33"/>
      <c r="BX229" s="33"/>
      <c r="BY229" s="33"/>
      <c r="BZ229" s="33"/>
      <c r="CA229" s="33"/>
      <c r="CB229" s="33"/>
      <c r="CC229" s="33"/>
      <c r="CD229" s="33"/>
      <c r="CE229" s="33"/>
      <c r="CF229" s="33"/>
      <c r="CG229" s="33"/>
      <c r="CH229" s="33"/>
      <c r="CI229" s="33"/>
      <c r="CJ229" s="33"/>
      <c r="CK229" s="33"/>
      <c r="CL229" s="33"/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t="str" cm="1">
        <f t="array" ref="E230">IFERROR(INDEX($J$5:$AVX$5, _xlfn.AGGREGATE(15,6, COLUMN(J230:AVX230)-COLUMN(J230)+1 / (J230:AVX230="T"), F230)), "")</f>
        <v/>
      </c>
      <c r="F230" s="76">
        <f t="shared" si="21"/>
        <v>2</v>
      </c>
      <c r="G230" s="35" cm="1">
        <f t="array" ref="G230">IFERROR(INDEX($J$5:$AVW$5,_xlfn.AGGREGATE(14,6,(COLUMN($J230:$AVW230)-COLUMN($J230)+1)/($J230:$AVW230="T"),1)),"")</f>
        <v>45990</v>
      </c>
      <c r="H230" s="79">
        <f t="shared" si="22"/>
        <v>1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33"/>
      <c r="BP230" s="33"/>
      <c r="BQ230" s="33"/>
      <c r="BR230" s="33"/>
      <c r="BS230" s="33"/>
      <c r="BT230" s="33"/>
      <c r="BU230" s="33"/>
      <c r="BV230" s="33"/>
      <c r="BW230" s="33"/>
      <c r="BX230" s="33"/>
      <c r="BY230" s="33"/>
      <c r="BZ230" s="33"/>
      <c r="CA230" s="33"/>
      <c r="CB230" s="33"/>
      <c r="CC230" s="33"/>
      <c r="CD230" s="33"/>
      <c r="CE230" s="33"/>
      <c r="CF230" s="33"/>
      <c r="CG230" s="33"/>
      <c r="CH230" s="33"/>
      <c r="CI230" s="33"/>
      <c r="CJ230" s="33"/>
      <c r="CK230" s="33"/>
      <c r="CL230" s="33"/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t="str" cm="1">
        <f t="array" ref="E231">IFERROR(INDEX($J$5:$AVX$5, _xlfn.AGGREGATE(15,6, COLUMN(J231:AVX231)-COLUMN(J231)+1 / (J231:AVX231="T"), F231)), "")</f>
        <v/>
      </c>
      <c r="F231" s="76">
        <f t="shared" si="21"/>
        <v>2</v>
      </c>
      <c r="G231" s="35" cm="1">
        <f t="array" ref="G231">IFERROR(INDEX($J$5:$AVW$5,_xlfn.AGGREGATE(14,6,(COLUMN($J231:$AVW231)-COLUMN($J231)+1)/($J231:$AVW231="T"),1)),"")</f>
        <v>45990</v>
      </c>
      <c r="H231" s="79">
        <f t="shared" si="22"/>
        <v>1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33"/>
      <c r="BP231" s="33"/>
      <c r="BQ231" s="33"/>
      <c r="BR231" s="33"/>
      <c r="BS231" s="33"/>
      <c r="BT231" s="33"/>
      <c r="BU231" s="33"/>
      <c r="BV231" s="33"/>
      <c r="BW231" s="33"/>
      <c r="BX231" s="33"/>
      <c r="BY231" s="33"/>
      <c r="BZ231" s="33"/>
      <c r="CA231" s="33"/>
      <c r="CB231" s="33"/>
      <c r="CC231" s="33"/>
      <c r="CD231" s="33"/>
      <c r="CE231" s="33"/>
      <c r="CF231" s="33"/>
      <c r="CG231" s="33"/>
      <c r="CH231" s="33"/>
      <c r="CI231" s="33"/>
      <c r="CJ231" s="33"/>
      <c r="CK231" s="33"/>
      <c r="CL231" s="33"/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t="str" cm="1">
        <f t="array" ref="E232">IFERROR(INDEX($J$5:$AVX$5, _xlfn.AGGREGATE(15,6, COLUMN(J232:AVX232)-COLUMN(J232)+1 / (J232:AVX232="T"), F232)), "")</f>
        <v/>
      </c>
      <c r="F232" s="76">
        <f t="shared" si="21"/>
        <v>2</v>
      </c>
      <c r="G232" s="35" cm="1">
        <f t="array" ref="G232">IFERROR(INDEX($J$5:$AVW$5,_xlfn.AGGREGATE(14,6,(COLUMN($J232:$AVW232)-COLUMN($J232)+1)/($J232:$AVW232="T"),1)),"")</f>
        <v>45991</v>
      </c>
      <c r="H232" s="79">
        <f t="shared" si="22"/>
        <v>1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33"/>
      <c r="BP232" s="33"/>
      <c r="BQ232" s="33"/>
      <c r="BR232" s="33"/>
      <c r="BS232" s="33"/>
      <c r="BT232" s="33"/>
      <c r="BU232" s="33"/>
      <c r="BV232" s="33"/>
      <c r="BW232" s="33"/>
      <c r="BX232" s="33"/>
      <c r="BY232" s="33"/>
      <c r="BZ232" s="33"/>
      <c r="CA232" s="33"/>
      <c r="CB232" s="33"/>
      <c r="CC232" s="33"/>
      <c r="CD232" s="33"/>
      <c r="CE232" s="33"/>
      <c r="CF232" s="33"/>
      <c r="CG232" s="33"/>
      <c r="CH232" s="33"/>
      <c r="CI232" s="33"/>
      <c r="CJ232" s="33"/>
      <c r="CK232" s="33"/>
      <c r="CL232" s="33"/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t="str" cm="1">
        <f t="array" ref="E233">IFERROR(INDEX($J$5:$AVX$5, _xlfn.AGGREGATE(15,6, COLUMN(J233:AVX233)-COLUMN(J233)+1 / (J233:AVX233="T"), F233)), "")</f>
        <v/>
      </c>
      <c r="F233" s="76">
        <f t="shared" si="21"/>
        <v>2</v>
      </c>
      <c r="G233" s="35" cm="1">
        <f t="array" ref="G233">IFERROR(INDEX($J$5:$AVW$5,_xlfn.AGGREGATE(14,6,(COLUMN($J233:$AVW233)-COLUMN($J233)+1)/($J233:$AVW233="T"),1)),"")</f>
        <v>45991</v>
      </c>
      <c r="H233" s="79">
        <f t="shared" si="22"/>
        <v>1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33"/>
      <c r="BP233" s="33"/>
      <c r="BQ233" s="33"/>
      <c r="BR233" s="33"/>
      <c r="BS233" s="33"/>
      <c r="BT233" s="33"/>
      <c r="BU233" s="33"/>
      <c r="BV233" s="33"/>
      <c r="BW233" s="33"/>
      <c r="BX233" s="33"/>
      <c r="BY233" s="33"/>
      <c r="BZ233" s="33"/>
      <c r="CA233" s="33"/>
      <c r="CB233" s="33"/>
      <c r="CC233" s="33"/>
      <c r="CD233" s="33"/>
      <c r="CE233" s="33"/>
      <c r="CF233" s="33"/>
      <c r="CG233" s="33"/>
      <c r="CH233" s="33"/>
      <c r="CI233" s="33"/>
      <c r="CJ233" s="33"/>
      <c r="CK233" s="33"/>
      <c r="CL233" s="33"/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t="str" cm="1">
        <f t="array" ref="E234">IFERROR(INDEX($J$5:$AVX$5, _xlfn.AGGREGATE(15,6, COLUMN(J234:AVX234)-COLUMN(J234)+1 / (J234:AVX234="T"), F234)), "")</f>
        <v/>
      </c>
      <c r="F234" s="76">
        <f t="shared" si="21"/>
        <v>2</v>
      </c>
      <c r="G234" s="35" cm="1">
        <f t="array" ref="G234">IFERROR(INDEX($J$5:$AVW$5,_xlfn.AGGREGATE(14,6,(COLUMN($J234:$AVW234)-COLUMN($J234)+1)/($J234:$AVW234="T"),1)),"")</f>
        <v>45991</v>
      </c>
      <c r="H234" s="79">
        <f t="shared" si="22"/>
        <v>1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33"/>
      <c r="BP234" s="33"/>
      <c r="BQ234" s="33"/>
      <c r="BR234" s="33"/>
      <c r="BS234" s="33"/>
      <c r="BT234" s="33"/>
      <c r="BU234" s="33"/>
      <c r="BV234" s="33"/>
      <c r="BW234" s="33"/>
      <c r="BX234" s="33"/>
      <c r="BY234" s="33"/>
      <c r="BZ234" s="33"/>
      <c r="CA234" s="33"/>
      <c r="CB234" s="33"/>
      <c r="CC234" s="33"/>
      <c r="CD234" s="33"/>
      <c r="CE234" s="33"/>
      <c r="CF234" s="33"/>
      <c r="CG234" s="33"/>
      <c r="CH234" s="33"/>
      <c r="CI234" s="33"/>
      <c r="CJ234" s="33"/>
      <c r="CK234" s="33"/>
      <c r="CL234" s="33"/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984" priority="846">
      <formula>LEN(TRIM(E14))=0</formula>
    </cfRule>
  </conditionalFormatting>
  <conditionalFormatting sqref="J114:J119 BT207:BV213 AW168:BA174 BZ168:CP174">
    <cfRule type="containsText" dxfId="983" priority="841" operator="containsText" text="T">
      <formula>NOT(ISERROR(SEARCH("T",J114)))</formula>
    </cfRule>
  </conditionalFormatting>
  <conditionalFormatting sqref="J120:M126">
    <cfRule type="containsText" dxfId="982" priority="382" operator="containsText" text="T">
      <formula>NOT(ISERROR(SEARCH("T",J120)))</formula>
    </cfRule>
  </conditionalFormatting>
  <conditionalFormatting sqref="J113:T113">
    <cfRule type="containsText" dxfId="981" priority="833" operator="containsText" text="17">
      <formula>NOT(ISERROR(SEARCH("17",J113)))</formula>
    </cfRule>
    <cfRule type="containsText" dxfId="980" priority="834" operator="containsText" text="T">
      <formula>NOT(ISERROR(SEARCH("T",J113)))</formula>
    </cfRule>
  </conditionalFormatting>
  <conditionalFormatting sqref="J67:X68 BT207:BV213">
    <cfRule type="containsText" dxfId="979" priority="778" operator="containsText" text="17">
      <formula>NOT(ISERROR(SEARCH("17",J67)))</formula>
    </cfRule>
  </conditionalFormatting>
  <conditionalFormatting sqref="J97:X98">
    <cfRule type="containsText" dxfId="978" priority="768" operator="containsText" text="17">
      <formula>NOT(ISERROR(SEARCH("17",J97)))</formula>
    </cfRule>
  </conditionalFormatting>
  <conditionalFormatting sqref="J67:Z68">
    <cfRule type="containsText" dxfId="977" priority="772" operator="containsText" text="T">
      <formula>NOT(ISERROR(SEARCH("T",J67)))</formula>
    </cfRule>
  </conditionalFormatting>
  <conditionalFormatting sqref="J97:Z98">
    <cfRule type="containsText" dxfId="976" priority="762" operator="containsText" text="T">
      <formula>NOT(ISERROR(SEARCH("T",J97)))</formula>
    </cfRule>
  </conditionalFormatting>
  <conditionalFormatting sqref="J127:Z130">
    <cfRule type="containsText" dxfId="975" priority="742" operator="containsText" text="T">
      <formula>NOT(ISERROR(SEARCH("T",J127)))</formula>
    </cfRule>
  </conditionalFormatting>
  <conditionalFormatting sqref="J114:AD119 J113:R113">
    <cfRule type="containsText" dxfId="974" priority="840" operator="containsText" text="17">
      <formula>NOT(ISERROR(SEARCH("17",J113)))</formula>
    </cfRule>
  </conditionalFormatting>
  <conditionalFormatting sqref="J48:AO49">
    <cfRule type="containsText" dxfId="973" priority="515" operator="containsText" text="17">
      <formula>NOT(ISERROR(SEARCH("17",J48)))</formula>
    </cfRule>
  </conditionalFormatting>
  <conditionalFormatting sqref="J63:AP66">
    <cfRule type="containsText" dxfId="972" priority="495" operator="containsText" text="17">
      <formula>NOT(ISERROR(SEARCH("17",J63)))</formula>
    </cfRule>
  </conditionalFormatting>
  <conditionalFormatting sqref="J48:AQ49">
    <cfRule type="containsText" dxfId="971" priority="509" operator="containsText" text="T">
      <formula>NOT(ISERROR(SEARCH("T",J48)))</formula>
    </cfRule>
  </conditionalFormatting>
  <conditionalFormatting sqref="J59:AQ62">
    <cfRule type="containsText" dxfId="970" priority="481" operator="containsText" text="17">
      <formula>NOT(ISERROR(SEARCH("17",J59)))</formula>
    </cfRule>
  </conditionalFormatting>
  <conditionalFormatting sqref="J86:AQ89">
    <cfRule type="containsText" dxfId="969" priority="471" operator="containsText" text="17">
      <formula>NOT(ISERROR(SEARCH("17",J86)))</formula>
    </cfRule>
  </conditionalFormatting>
  <conditionalFormatting sqref="J50:AR53">
    <cfRule type="containsText" dxfId="968" priority="499" operator="containsText" text="T">
      <formula>NOT(ISERROR(SEARCH("T",J50)))</formula>
    </cfRule>
  </conditionalFormatting>
  <conditionalFormatting sqref="J63:AR66">
    <cfRule type="containsText" dxfId="967" priority="489" operator="containsText" text="T">
      <formula>NOT(ISERROR(SEARCH("T",J63)))</formula>
    </cfRule>
  </conditionalFormatting>
  <conditionalFormatting sqref="J83:AR85">
    <cfRule type="containsText" dxfId="966" priority="461" operator="containsText" text="17">
      <formula>NOT(ISERROR(SEARCH("17",J83)))</formula>
    </cfRule>
  </conditionalFormatting>
  <conditionalFormatting sqref="J214:AR217">
    <cfRule type="containsText" dxfId="965" priority="451" operator="containsText" text="17">
      <formula>NOT(ISERROR(SEARCH("17",J214)))</formula>
    </cfRule>
  </conditionalFormatting>
  <conditionalFormatting sqref="J59:AS62">
    <cfRule type="containsText" dxfId="964" priority="475" operator="containsText" text="T">
      <formula>NOT(ISERROR(SEARCH("T",J59)))</formula>
    </cfRule>
  </conditionalFormatting>
  <conditionalFormatting sqref="J86:AS89">
    <cfRule type="containsText" dxfId="963" priority="465" operator="containsText" text="T">
      <formula>NOT(ISERROR(SEARCH("T",J86)))</formula>
    </cfRule>
  </conditionalFormatting>
  <conditionalFormatting sqref="J218:AS224">
    <cfRule type="containsText" dxfId="962" priority="441" operator="containsText" text="17">
      <formula>NOT(ISERROR(SEARCH("17",J218)))</formula>
    </cfRule>
  </conditionalFormatting>
  <conditionalFormatting sqref="J83:AT85">
    <cfRule type="containsText" dxfId="961" priority="455" operator="containsText" text="T">
      <formula>NOT(ISERROR(SEARCH("T",J83)))</formula>
    </cfRule>
  </conditionalFormatting>
  <conditionalFormatting sqref="J214:AT217">
    <cfRule type="containsText" dxfId="960" priority="445" operator="containsText" text="T">
      <formula>NOT(ISERROR(SEARCH("T",J214)))</formula>
    </cfRule>
  </conditionalFormatting>
  <conditionalFormatting sqref="J225:AT231">
    <cfRule type="containsText" dxfId="959" priority="431" operator="containsText" text="17">
      <formula>NOT(ISERROR(SEARCH("17",J225)))</formula>
    </cfRule>
  </conditionalFormatting>
  <conditionalFormatting sqref="J218:AU224">
    <cfRule type="containsText" dxfId="958" priority="435" operator="containsText" text="T">
      <formula>NOT(ISERROR(SEARCH("T",J218)))</formula>
    </cfRule>
  </conditionalFormatting>
  <conditionalFormatting sqref="J232:AU234">
    <cfRule type="containsText" dxfId="957" priority="421" operator="containsText" text="17">
      <formula>NOT(ISERROR(SEARCH("17",J232)))</formula>
    </cfRule>
  </conditionalFormatting>
  <conditionalFormatting sqref="J225:AV231">
    <cfRule type="containsText" dxfId="956" priority="425" operator="containsText" text="T">
      <formula>NOT(ISERROR(SEARCH("T",J225)))</formula>
    </cfRule>
  </conditionalFormatting>
  <conditionalFormatting sqref="J232:AW234">
    <cfRule type="containsText" dxfId="955" priority="415" operator="containsText" text="T">
      <formula>NOT(ISERROR(SEARCH("T",J232)))</formula>
    </cfRule>
  </conditionalFormatting>
  <conditionalFormatting sqref="J33:CP33">
    <cfRule type="containsText" dxfId="954" priority="993" operator="containsText" text="T">
      <formula>NOT(ISERROR(SEARCH("T",J33)))</formula>
    </cfRule>
  </conditionalFormatting>
  <conditionalFormatting sqref="K77:K82">
    <cfRule type="containsText" dxfId="953" priority="828" operator="containsText" text="T">
      <formula>NOT(ISERROR(SEARCH("T",K77)))</formula>
    </cfRule>
  </conditionalFormatting>
  <conditionalFormatting sqref="K76:U76">
    <cfRule type="containsText" dxfId="952" priority="820" operator="containsText" text="17">
      <formula>NOT(ISERROR(SEARCH("17",K76)))</formula>
    </cfRule>
    <cfRule type="containsText" dxfId="951" priority="821" operator="containsText" text="T">
      <formula>NOT(ISERROR(SEARCH("T",K76)))</formula>
    </cfRule>
  </conditionalFormatting>
  <conditionalFormatting sqref="K77:AE82 K76:S76">
    <cfRule type="containsText" dxfId="950" priority="827" operator="containsText" text="17">
      <formula>NOT(ISERROR(SEARCH("17",K76)))</formula>
    </cfRule>
  </conditionalFormatting>
  <conditionalFormatting sqref="L107:L112">
    <cfRule type="containsText" dxfId="949" priority="815" operator="containsText" text="T">
      <formula>NOT(ISERROR(SEARCH("T",L107)))</formula>
    </cfRule>
  </conditionalFormatting>
  <conditionalFormatting sqref="L106:V106">
    <cfRule type="containsText" dxfId="948" priority="807" operator="containsText" text="17">
      <formula>NOT(ISERROR(SEARCH("17",L106)))</formula>
    </cfRule>
    <cfRule type="containsText" dxfId="947" priority="808" operator="containsText" text="T">
      <formula>NOT(ISERROR(SEARCH("T",L106)))</formula>
    </cfRule>
  </conditionalFormatting>
  <conditionalFormatting sqref="L107:AF112 L106:T106">
    <cfRule type="containsText" dxfId="946" priority="814" operator="containsText" text="17">
      <formula>NOT(ISERROR(SEARCH("17",L106)))</formula>
    </cfRule>
  </conditionalFormatting>
  <conditionalFormatting sqref="M120:AG126 AJ120:AJ126">
    <cfRule type="containsText" dxfId="945" priority="379" operator="containsText" text="T">
      <formula>NOT(ISERROR(SEARCH("T",M120)))</formula>
    </cfRule>
  </conditionalFormatting>
  <conditionalFormatting sqref="M120:AG126">
    <cfRule type="containsText" dxfId="944" priority="381" operator="containsText" text="17">
      <formula>NOT(ISERROR(SEARCH("17",M120)))</formula>
    </cfRule>
  </conditionalFormatting>
  <conditionalFormatting sqref="N70:N75">
    <cfRule type="containsText" dxfId="943" priority="802" operator="containsText" text="T">
      <formula>NOT(ISERROR(SEARCH("T",N70)))</formula>
    </cfRule>
  </conditionalFormatting>
  <conditionalFormatting sqref="N69:X69">
    <cfRule type="containsText" dxfId="942" priority="794" operator="containsText" text="17">
      <formula>NOT(ISERROR(SEARCH("17",N69)))</formula>
    </cfRule>
    <cfRule type="containsText" dxfId="941" priority="795" operator="containsText" text="T">
      <formula>NOT(ISERROR(SEARCH("T",N69)))</formula>
    </cfRule>
  </conditionalFormatting>
  <conditionalFormatting sqref="N70:AH75 N69:V69">
    <cfRule type="containsText" dxfId="940" priority="801" operator="containsText" text="17">
      <formula>NOT(ISERROR(SEARCH("17",N69)))</formula>
    </cfRule>
  </conditionalFormatting>
  <conditionalFormatting sqref="O100:O105">
    <cfRule type="containsText" dxfId="939" priority="789" operator="containsText" text="T">
      <formula>NOT(ISERROR(SEARCH("T",O100)))</formula>
    </cfRule>
  </conditionalFormatting>
  <conditionalFormatting sqref="O99:Y99">
    <cfRule type="containsText" dxfId="938" priority="781" operator="containsText" text="17">
      <formula>NOT(ISERROR(SEARCH("17",O99)))</formula>
    </cfRule>
    <cfRule type="containsText" dxfId="937" priority="782" operator="containsText" text="T">
      <formula>NOT(ISERROR(SEARCH("T",O99)))</formula>
    </cfRule>
  </conditionalFormatting>
  <conditionalFormatting sqref="O100:AI105 O99:W99">
    <cfRule type="containsText" dxfId="936" priority="788" operator="containsText" text="17">
      <formula>NOT(ISERROR(SEARCH("17",O99)))</formula>
    </cfRule>
  </conditionalFormatting>
  <conditionalFormatting sqref="P67:Z68">
    <cfRule type="containsText" dxfId="935" priority="771" operator="containsText" text="17">
      <formula>NOT(ISERROR(SEARCH("17",P67)))</formula>
    </cfRule>
  </conditionalFormatting>
  <conditionalFormatting sqref="P97:Z98">
    <cfRule type="containsText" dxfId="934" priority="761" operator="containsText" text="17">
      <formula>NOT(ISERROR(SEARCH("17",P97)))</formula>
    </cfRule>
  </conditionalFormatting>
  <conditionalFormatting sqref="P127:Z130">
    <cfRule type="containsText" dxfId="933" priority="741" operator="containsText" text="17">
      <formula>NOT(ISERROR(SEARCH("17",P127)))</formula>
    </cfRule>
  </conditionalFormatting>
  <conditionalFormatting sqref="Q132:Q137">
    <cfRule type="containsText" dxfId="932" priority="736" operator="containsText" text="T">
      <formula>NOT(ISERROR(SEARCH("T",Q132)))</formula>
    </cfRule>
  </conditionalFormatting>
  <conditionalFormatting sqref="Q131:AA131">
    <cfRule type="containsText" dxfId="931" priority="728" operator="containsText" text="17">
      <formula>NOT(ISERROR(SEARCH("17",Q131)))</formula>
    </cfRule>
    <cfRule type="containsText" dxfId="930" priority="729" operator="containsText" text="T">
      <formula>NOT(ISERROR(SEARCH("T",Q131)))</formula>
    </cfRule>
  </conditionalFormatting>
  <conditionalFormatting sqref="Q132:AK137 Q131:Y131">
    <cfRule type="containsText" dxfId="929" priority="735" operator="containsText" text="17">
      <formula>NOT(ISERROR(SEARCH("17",Q131)))</formula>
    </cfRule>
  </conditionalFormatting>
  <conditionalFormatting sqref="R139:R144">
    <cfRule type="containsText" dxfId="928" priority="723" operator="containsText" text="T">
      <formula>NOT(ISERROR(SEARCH("T",R139)))</formula>
    </cfRule>
  </conditionalFormatting>
  <conditionalFormatting sqref="R138:AB138">
    <cfRule type="containsText" dxfId="927" priority="715" operator="containsText" text="17">
      <formula>NOT(ISERROR(SEARCH("17",R138)))</formula>
    </cfRule>
    <cfRule type="containsText" dxfId="926" priority="716" operator="containsText" text="T">
      <formula>NOT(ISERROR(SEARCH("T",R138)))</formula>
    </cfRule>
  </conditionalFormatting>
  <conditionalFormatting sqref="R139:AL144 R138:Z138">
    <cfRule type="containsText" dxfId="925" priority="722" operator="containsText" text="17">
      <formula>NOT(ISERROR(SEARCH("17",R138)))</formula>
    </cfRule>
  </conditionalFormatting>
  <conditionalFormatting sqref="S146:S151">
    <cfRule type="containsText" dxfId="924" priority="710" operator="containsText" text="T">
      <formula>NOT(ISERROR(SEARCH("T",S146)))</formula>
    </cfRule>
  </conditionalFormatting>
  <conditionalFormatting sqref="S145:AC145">
    <cfRule type="containsText" dxfId="923" priority="702" operator="containsText" text="17">
      <formula>NOT(ISERROR(SEARCH("17",S145)))</formula>
    </cfRule>
    <cfRule type="containsText" dxfId="922" priority="703" operator="containsText" text="T">
      <formula>NOT(ISERROR(SEARCH("T",S145)))</formula>
    </cfRule>
  </conditionalFormatting>
  <conditionalFormatting sqref="S146:AM151 S145:AA145">
    <cfRule type="containsText" dxfId="921" priority="709" operator="containsText" text="17">
      <formula>NOT(ISERROR(SEARCH("17",S145)))</formula>
    </cfRule>
  </conditionalFormatting>
  <conditionalFormatting sqref="T153:T158">
    <cfRule type="containsText" dxfId="920" priority="697" operator="containsText" text="T">
      <formula>NOT(ISERROR(SEARCH("T",T153)))</formula>
    </cfRule>
  </conditionalFormatting>
  <conditionalFormatting sqref="T152:AD152">
    <cfRule type="containsText" dxfId="919" priority="689" operator="containsText" text="17">
      <formula>NOT(ISERROR(SEARCH("17",T152)))</formula>
    </cfRule>
    <cfRule type="containsText" dxfId="918" priority="690" operator="containsText" text="T">
      <formula>NOT(ISERROR(SEARCH("T",T152)))</formula>
    </cfRule>
  </conditionalFormatting>
  <conditionalFormatting sqref="T153:AN158 T152:AB152">
    <cfRule type="containsText" dxfId="917" priority="696" operator="containsText" text="17">
      <formula>NOT(ISERROR(SEARCH("17",T152)))</formula>
    </cfRule>
  </conditionalFormatting>
  <conditionalFormatting sqref="U160:U165">
    <cfRule type="containsText" dxfId="916" priority="684" operator="containsText" text="T">
      <formula>NOT(ISERROR(SEARCH("T",U160)))</formula>
    </cfRule>
  </conditionalFormatting>
  <conditionalFormatting sqref="U113:AA113">
    <cfRule type="containsText" dxfId="915" priority="842" operator="containsText" text="17">
      <formula>NOT(ISERROR(SEARCH("17",U113)))</formula>
    </cfRule>
    <cfRule type="containsText" dxfId="914" priority="843" operator="containsText" text="T">
      <formula>NOT(ISERROR(SEARCH("T",U113)))</formula>
    </cfRule>
  </conditionalFormatting>
  <conditionalFormatting sqref="U159:AE159">
    <cfRule type="containsText" dxfId="913" priority="676" operator="containsText" text="17">
      <formula>NOT(ISERROR(SEARCH("17",U159)))</formula>
    </cfRule>
    <cfRule type="containsText" dxfId="912" priority="677" operator="containsText" text="T">
      <formula>NOT(ISERROR(SEARCH("T",U159)))</formula>
    </cfRule>
  </conditionalFormatting>
  <conditionalFormatting sqref="U160:AO165 U159:AC159">
    <cfRule type="containsText" dxfId="911" priority="683" operator="containsText" text="17">
      <formula>NOT(ISERROR(SEARCH("17",U159)))</formula>
    </cfRule>
  </conditionalFormatting>
  <conditionalFormatting sqref="V113">
    <cfRule type="containsText" dxfId="910" priority="838" operator="containsText" text="17">
      <formula>NOT(ISERROR(SEARCH("17",V113)))</formula>
    </cfRule>
    <cfRule type="containsText" dxfId="909" priority="839" operator="containsText" text="T">
      <formula>NOT(ISERROR(SEARCH("T",V113)))</formula>
    </cfRule>
  </conditionalFormatting>
  <conditionalFormatting sqref="V208:V213">
    <cfRule type="containsText" dxfId="908" priority="671" operator="containsText" text="T">
      <formula>NOT(ISERROR(SEARCH("T",V208)))</formula>
    </cfRule>
  </conditionalFormatting>
  <conditionalFormatting sqref="V76:AB76">
    <cfRule type="containsText" dxfId="907" priority="829" operator="containsText" text="17">
      <formula>NOT(ISERROR(SEARCH("17",V76)))</formula>
    </cfRule>
    <cfRule type="containsText" dxfId="906" priority="830" operator="containsText" text="T">
      <formula>NOT(ISERROR(SEARCH("T",V76)))</formula>
    </cfRule>
  </conditionalFormatting>
  <conditionalFormatting sqref="V207:AF207">
    <cfRule type="containsText" dxfId="905" priority="663" operator="containsText" text="17">
      <formula>NOT(ISERROR(SEARCH("17",V207)))</formula>
    </cfRule>
    <cfRule type="containsText" dxfId="904" priority="664" operator="containsText" text="T">
      <formula>NOT(ISERROR(SEARCH("T",V207)))</formula>
    </cfRule>
  </conditionalFormatting>
  <conditionalFormatting sqref="V208:AP213 V207:AD207">
    <cfRule type="containsText" dxfId="903" priority="670" operator="containsText" text="17">
      <formula>NOT(ISERROR(SEARCH("17",V207)))</formula>
    </cfRule>
  </conditionalFormatting>
  <conditionalFormatting sqref="W76">
    <cfRule type="containsText" dxfId="902" priority="825" operator="containsText" text="17">
      <formula>NOT(ISERROR(SEARCH("17",W76)))</formula>
    </cfRule>
    <cfRule type="containsText" dxfId="901" priority="826" operator="containsText" text="T">
      <formula>NOT(ISERROR(SEARCH("T",W76)))</formula>
    </cfRule>
  </conditionalFormatting>
  <conditionalFormatting sqref="W201:W206">
    <cfRule type="containsText" dxfId="900" priority="658" operator="containsText" text="T">
      <formula>NOT(ISERROR(SEARCH("T",W201)))</formula>
    </cfRule>
  </conditionalFormatting>
  <conditionalFormatting sqref="W106:AC106">
    <cfRule type="containsText" dxfId="899" priority="816" operator="containsText" text="17">
      <formula>NOT(ISERROR(SEARCH("17",W106)))</formula>
    </cfRule>
    <cfRule type="containsText" dxfId="898" priority="817" operator="containsText" text="T">
      <formula>NOT(ISERROR(SEARCH("T",W106)))</formula>
    </cfRule>
  </conditionalFormatting>
  <conditionalFormatting sqref="W200:AG200">
    <cfRule type="containsText" dxfId="897" priority="650" operator="containsText" text="17">
      <formula>NOT(ISERROR(SEARCH("17",W200)))</formula>
    </cfRule>
    <cfRule type="containsText" dxfId="896" priority="651" operator="containsText" text="T">
      <formula>NOT(ISERROR(SEARCH("T",W200)))</formula>
    </cfRule>
  </conditionalFormatting>
  <conditionalFormatting sqref="W201:AQ206 W200:AE200">
    <cfRule type="containsText" dxfId="895" priority="657" operator="containsText" text="17">
      <formula>NOT(ISERROR(SEARCH("17",W200)))</formula>
    </cfRule>
  </conditionalFormatting>
  <conditionalFormatting sqref="X106">
    <cfRule type="containsText" dxfId="894" priority="812" operator="containsText" text="17">
      <formula>NOT(ISERROR(SEARCH("17",X106)))</formula>
    </cfRule>
    <cfRule type="containsText" dxfId="893" priority="813" operator="containsText" text="T">
      <formula>NOT(ISERROR(SEARCH("T",X106)))</formula>
    </cfRule>
  </conditionalFormatting>
  <conditionalFormatting sqref="X194:X199">
    <cfRule type="containsText" dxfId="892" priority="645" operator="containsText" text="T">
      <formula>NOT(ISERROR(SEARCH("T",X194)))</formula>
    </cfRule>
  </conditionalFormatting>
  <conditionalFormatting sqref="X192:AH193">
    <cfRule type="containsText" dxfId="891" priority="632" operator="containsText" text="17">
      <formula>NOT(ISERROR(SEARCH("17",X192)))</formula>
    </cfRule>
    <cfRule type="containsText" dxfId="890" priority="633" operator="containsText" text="T">
      <formula>NOT(ISERROR(SEARCH("T",X192)))</formula>
    </cfRule>
  </conditionalFormatting>
  <conditionalFormatting sqref="Y169:Y174">
    <cfRule type="containsText" dxfId="889" priority="627" operator="containsText" text="T">
      <formula>NOT(ISERROR(SEARCH("T",Y169)))</formula>
    </cfRule>
  </conditionalFormatting>
  <conditionalFormatting sqref="Y69:AE69">
    <cfRule type="containsText" dxfId="888" priority="803" operator="containsText" text="17">
      <formula>NOT(ISERROR(SEARCH("17",Y69)))</formula>
    </cfRule>
    <cfRule type="containsText" dxfId="887" priority="804" operator="containsText" text="T">
      <formula>NOT(ISERROR(SEARCH("T",Y69)))</formula>
    </cfRule>
  </conditionalFormatting>
  <conditionalFormatting sqref="Y168:AI168">
    <cfRule type="containsText" dxfId="886" priority="619" operator="containsText" text="17">
      <formula>NOT(ISERROR(SEARCH("17",Y168)))</formula>
    </cfRule>
    <cfRule type="containsText" dxfId="885" priority="620" operator="containsText" text="T">
      <formula>NOT(ISERROR(SEARCH("T",Y168)))</formula>
    </cfRule>
  </conditionalFormatting>
  <conditionalFormatting sqref="Y169:AS174 Y168:AG168">
    <cfRule type="containsText" dxfId="884" priority="626" operator="containsText" text="17">
      <formula>NOT(ISERROR(SEARCH("17",Y168)))</formula>
    </cfRule>
  </conditionalFormatting>
  <conditionalFormatting sqref="Z69">
    <cfRule type="containsText" dxfId="883" priority="799" operator="containsText" text="17">
      <formula>NOT(ISERROR(SEARCH("17",Z69)))</formula>
    </cfRule>
    <cfRule type="containsText" dxfId="882" priority="800" operator="containsText" text="T">
      <formula>NOT(ISERROR(SEARCH("T",Z69)))</formula>
    </cfRule>
  </conditionalFormatting>
  <conditionalFormatting sqref="Z176:Z181">
    <cfRule type="containsText" dxfId="881" priority="614" operator="containsText" text="T">
      <formula>NOT(ISERROR(SEARCH("T",Z176)))</formula>
    </cfRule>
  </conditionalFormatting>
  <conditionalFormatting sqref="Z99:AF99">
    <cfRule type="containsText" dxfId="880" priority="790" operator="containsText" text="17">
      <formula>NOT(ISERROR(SEARCH("17",Z99)))</formula>
    </cfRule>
    <cfRule type="containsText" dxfId="879" priority="791" operator="containsText" text="T">
      <formula>NOT(ISERROR(SEARCH("T",Z99)))</formula>
    </cfRule>
  </conditionalFormatting>
  <conditionalFormatting sqref="Z175:AJ175">
    <cfRule type="containsText" dxfId="878" priority="606" operator="containsText" text="17">
      <formula>NOT(ISERROR(SEARCH("17",Z175)))</formula>
    </cfRule>
    <cfRule type="containsText" dxfId="877" priority="607" operator="containsText" text="T">
      <formula>NOT(ISERROR(SEARCH("T",Z175)))</formula>
    </cfRule>
  </conditionalFormatting>
  <conditionalFormatting sqref="Z176:AT181 Z175:AH175">
    <cfRule type="containsText" dxfId="876" priority="613" operator="containsText" text="17">
      <formula>NOT(ISERROR(SEARCH("17",Z175)))</formula>
    </cfRule>
  </conditionalFormatting>
  <conditionalFormatting sqref="AA99">
    <cfRule type="containsText" dxfId="875" priority="786" operator="containsText" text="17">
      <formula>NOT(ISERROR(SEARCH("17",AA99)))</formula>
    </cfRule>
    <cfRule type="containsText" dxfId="874" priority="787" operator="containsText" text="T">
      <formula>NOT(ISERROR(SEARCH("T",AA99)))</formula>
    </cfRule>
  </conditionalFormatting>
  <conditionalFormatting sqref="AA113 AE113:AG113 J114:AD119 AG114:AG119">
    <cfRule type="containsText" dxfId="873" priority="835" operator="containsText" text="T">
      <formula>NOT(ISERROR(SEARCH("T",J113)))</formula>
    </cfRule>
  </conditionalFormatting>
  <conditionalFormatting sqref="AA183:AA190">
    <cfRule type="containsText" dxfId="872" priority="601" operator="containsText" text="T">
      <formula>NOT(ISERROR(SEARCH("T",AA183)))</formula>
    </cfRule>
  </conditionalFormatting>
  <conditionalFormatting sqref="AA113:AB113 AE113:AG113 AG114:AG119">
    <cfRule type="containsText" dxfId="871" priority="836" operator="containsText" text="17">
      <formula>NOT(ISERROR(SEARCH("17",AA113)))</formula>
    </cfRule>
  </conditionalFormatting>
  <conditionalFormatting sqref="AA67:AG68">
    <cfRule type="containsText" dxfId="870" priority="779" operator="containsText" text="17">
      <formula>NOT(ISERROR(SEARCH("17",AA67)))</formula>
    </cfRule>
    <cfRule type="containsText" dxfId="869" priority="780" operator="containsText" text="T">
      <formula>NOT(ISERROR(SEARCH("T",AA67)))</formula>
    </cfRule>
  </conditionalFormatting>
  <conditionalFormatting sqref="AA97:AG98">
    <cfRule type="containsText" dxfId="868" priority="769" operator="containsText" text="17">
      <formula>NOT(ISERROR(SEARCH("17",AA97)))</formula>
    </cfRule>
    <cfRule type="containsText" dxfId="867" priority="770" operator="containsText" text="T">
      <formula>NOT(ISERROR(SEARCH("T",AA97)))</formula>
    </cfRule>
  </conditionalFormatting>
  <conditionalFormatting sqref="AA127:AG130">
    <cfRule type="containsText" dxfId="866" priority="749" operator="containsText" text="17">
      <formula>NOT(ISERROR(SEARCH("17",AA127)))</formula>
    </cfRule>
    <cfRule type="containsText" dxfId="865" priority="750" operator="containsText" text="T">
      <formula>NOT(ISERROR(SEARCH("T",AA127)))</formula>
    </cfRule>
  </conditionalFormatting>
  <conditionalFormatting sqref="AA182:AK182">
    <cfRule type="containsText" dxfId="864" priority="593" operator="containsText" text="17">
      <formula>NOT(ISERROR(SEARCH("17",AA182)))</formula>
    </cfRule>
    <cfRule type="containsText" dxfId="863" priority="594" operator="containsText" text="T">
      <formula>NOT(ISERROR(SEARCH("T",AA182)))</formula>
    </cfRule>
  </conditionalFormatting>
  <conditionalFormatting sqref="AA183:AU190 AA182:AI182">
    <cfRule type="containsText" dxfId="862" priority="600" operator="containsText" text="17">
      <formula>NOT(ISERROR(SEARCH("17",AA182)))</formula>
    </cfRule>
  </conditionalFormatting>
  <conditionalFormatting sqref="AB67:AB68">
    <cfRule type="containsText" dxfId="861" priority="776" operator="containsText" text="17">
      <formula>NOT(ISERROR(SEARCH("17",AB67)))</formula>
    </cfRule>
    <cfRule type="containsText" dxfId="860" priority="777" operator="containsText" text="T">
      <formula>NOT(ISERROR(SEARCH("T",AB67)))</formula>
    </cfRule>
  </conditionalFormatting>
  <conditionalFormatting sqref="AB76 AF76:AH76 K77:AE82 AH77:AH82">
    <cfRule type="containsText" dxfId="859" priority="822" operator="containsText" text="T">
      <formula>NOT(ISERROR(SEARCH("T",K76)))</formula>
    </cfRule>
  </conditionalFormatting>
  <conditionalFormatting sqref="AB91:AB96">
    <cfRule type="containsText" dxfId="858" priority="588" operator="containsText" text="T">
      <formula>NOT(ISERROR(SEARCH("T",AB91)))</formula>
    </cfRule>
  </conditionalFormatting>
  <conditionalFormatting sqref="AB97:AB98">
    <cfRule type="containsText" dxfId="857" priority="766" operator="containsText" text="17">
      <formula>NOT(ISERROR(SEARCH("17",AB97)))</formula>
    </cfRule>
    <cfRule type="containsText" dxfId="856" priority="767" operator="containsText" text="T">
      <formula>NOT(ISERROR(SEARCH("T",AB97)))</formula>
    </cfRule>
  </conditionalFormatting>
  <conditionalFormatting sqref="AB113">
    <cfRule type="containsText" dxfId="855" priority="837" operator="containsText" text="T">
      <formula>NOT(ISERROR(SEARCH("T",AB113)))</formula>
    </cfRule>
  </conditionalFormatting>
  <conditionalFormatting sqref="AB127:AB130">
    <cfRule type="containsText" dxfId="854" priority="746" operator="containsText" text="17">
      <formula>NOT(ISERROR(SEARCH("17",AB127)))</formula>
    </cfRule>
    <cfRule type="containsText" dxfId="853" priority="747" operator="containsText" text="T">
      <formula>NOT(ISERROR(SEARCH("T",AB127)))</formula>
    </cfRule>
  </conditionalFormatting>
  <conditionalFormatting sqref="AB76:AC76 AF76:AH76 AH77:AH82">
    <cfRule type="containsText" dxfId="852" priority="823" operator="containsText" text="17">
      <formula>NOT(ISERROR(SEARCH("17",AB76)))</formula>
    </cfRule>
  </conditionalFormatting>
  <conditionalFormatting sqref="AB131:AH131">
    <cfRule type="containsText" dxfId="851" priority="737" operator="containsText" text="17">
      <formula>NOT(ISERROR(SEARCH("17",AB131)))</formula>
    </cfRule>
    <cfRule type="containsText" dxfId="850" priority="738" operator="containsText" text="T">
      <formula>NOT(ISERROR(SEARCH("T",AB131)))</formula>
    </cfRule>
  </conditionalFormatting>
  <conditionalFormatting sqref="AB90:AL90">
    <cfRule type="containsText" dxfId="849" priority="580" operator="containsText" text="17">
      <formula>NOT(ISERROR(SEARCH("17",AB90)))</formula>
    </cfRule>
    <cfRule type="containsText" dxfId="848" priority="581" operator="containsText" text="T">
      <formula>NOT(ISERROR(SEARCH("T",AB90)))</formula>
    </cfRule>
  </conditionalFormatting>
  <conditionalFormatting sqref="AB91:AV96 AB90:AJ90">
    <cfRule type="containsText" dxfId="847" priority="587" operator="containsText" text="17">
      <formula>NOT(ISERROR(SEARCH("17",AB90)))</formula>
    </cfRule>
  </conditionalFormatting>
  <conditionalFormatting sqref="AC15:AC20">
    <cfRule type="containsText" dxfId="846" priority="575" operator="containsText" text="T">
      <formula>NOT(ISERROR(SEARCH("T",AC15)))</formula>
    </cfRule>
  </conditionalFormatting>
  <conditionalFormatting sqref="AC76">
    <cfRule type="containsText" dxfId="845" priority="824" operator="containsText" text="T">
      <formula>NOT(ISERROR(SEARCH("T",AC76)))</formula>
    </cfRule>
  </conditionalFormatting>
  <conditionalFormatting sqref="AC106 L107:AF112 AI107:AI112">
    <cfRule type="containsText" dxfId="844" priority="809" operator="containsText" text="T">
      <formula>NOT(ISERROR(SEARCH("T",L106)))</formula>
    </cfRule>
  </conditionalFormatting>
  <conditionalFormatting sqref="AC131">
    <cfRule type="containsText" dxfId="843" priority="733" operator="containsText" text="17">
      <formula>NOT(ISERROR(SEARCH("17",AC131)))</formula>
    </cfRule>
    <cfRule type="containsText" dxfId="842" priority="734" operator="containsText" text="T">
      <formula>NOT(ISERROR(SEARCH("T",AC131)))</formula>
    </cfRule>
  </conditionalFormatting>
  <conditionalFormatting sqref="AC106:AD106 AI107:AI112">
    <cfRule type="containsText" dxfId="841" priority="810" operator="containsText" text="17">
      <formula>NOT(ISERROR(SEARCH("17",AC106)))</formula>
    </cfRule>
  </conditionalFormatting>
  <conditionalFormatting sqref="AC138:AI138">
    <cfRule type="containsText" dxfId="840" priority="724" operator="containsText" text="17">
      <formula>NOT(ISERROR(SEARCH("17",AC138)))</formula>
    </cfRule>
    <cfRule type="containsText" dxfId="839" priority="725" operator="containsText" text="T">
      <formula>NOT(ISERROR(SEARCH("T",AC138)))</formula>
    </cfRule>
  </conditionalFormatting>
  <conditionalFormatting sqref="AC14:AM14">
    <cfRule type="containsText" dxfId="838" priority="567" operator="containsText" text="17">
      <formula>NOT(ISERROR(SEARCH("17",AC14)))</formula>
    </cfRule>
    <cfRule type="containsText" dxfId="837" priority="568" operator="containsText" text="T">
      <formula>NOT(ISERROR(SEARCH("T",AC14)))</formula>
    </cfRule>
  </conditionalFormatting>
  <conditionalFormatting sqref="AC15:AW20 AC14:AK14">
    <cfRule type="containsText" dxfId="836" priority="574" operator="containsText" text="17">
      <formula>NOT(ISERROR(SEARCH("17",AC14)))</formula>
    </cfRule>
  </conditionalFormatting>
  <conditionalFormatting sqref="AD35:AD40">
    <cfRule type="containsText" dxfId="835" priority="562" operator="containsText" text="T">
      <formula>NOT(ISERROR(SEARCH("T",AD35)))</formula>
    </cfRule>
  </conditionalFormatting>
  <conditionalFormatting sqref="AD106">
    <cfRule type="containsText" dxfId="834" priority="811" operator="containsText" text="T">
      <formula>NOT(ISERROR(SEARCH("T",AD106)))</formula>
    </cfRule>
  </conditionalFormatting>
  <conditionalFormatting sqref="AD138">
    <cfRule type="containsText" dxfId="833" priority="720" operator="containsText" text="17">
      <formula>NOT(ISERROR(SEARCH("17",AD138)))</formula>
    </cfRule>
    <cfRule type="containsText" dxfId="832" priority="721" operator="containsText" text="T">
      <formula>NOT(ISERROR(SEARCH("T",AD138)))</formula>
    </cfRule>
  </conditionalFormatting>
  <conditionalFormatting sqref="AD145:AJ145">
    <cfRule type="containsText" dxfId="831" priority="711" operator="containsText" text="17">
      <formula>NOT(ISERROR(SEARCH("17",AD145)))</formula>
    </cfRule>
    <cfRule type="containsText" dxfId="830" priority="712" operator="containsText" text="T">
      <formula>NOT(ISERROR(SEARCH("T",AD145)))</formula>
    </cfRule>
  </conditionalFormatting>
  <conditionalFormatting sqref="AD34:AN34">
    <cfRule type="containsText" dxfId="829" priority="554" operator="containsText" text="17">
      <formula>NOT(ISERROR(SEARCH("17",AD34)))</formula>
    </cfRule>
    <cfRule type="containsText" dxfId="828" priority="555" operator="containsText" text="T">
      <formula>NOT(ISERROR(SEARCH("T",AD34)))</formula>
    </cfRule>
  </conditionalFormatting>
  <conditionalFormatting sqref="AD35:AX40 AD34:AL34">
    <cfRule type="containsText" dxfId="827" priority="561" operator="containsText" text="17">
      <formula>NOT(ISERROR(SEARCH("17",AD34)))</formula>
    </cfRule>
  </conditionalFormatting>
  <conditionalFormatting sqref="AE22:AE27">
    <cfRule type="containsText" dxfId="826" priority="549" operator="containsText" text="T">
      <formula>NOT(ISERROR(SEARCH("T",AE22)))</formula>
    </cfRule>
  </conditionalFormatting>
  <conditionalFormatting sqref="AE69 AI69:AK69 N70:AH75 AK70:AK75">
    <cfRule type="containsText" dxfId="825" priority="796" operator="containsText" text="T">
      <formula>NOT(ISERROR(SEARCH("T",N69)))</formula>
    </cfRule>
  </conditionalFormatting>
  <conditionalFormatting sqref="AE145">
    <cfRule type="containsText" dxfId="824" priority="707" operator="containsText" text="17">
      <formula>NOT(ISERROR(SEARCH("17",AE145)))</formula>
    </cfRule>
    <cfRule type="containsText" dxfId="823" priority="708" operator="containsText" text="T">
      <formula>NOT(ISERROR(SEARCH("T",AE145)))</formula>
    </cfRule>
  </conditionalFormatting>
  <conditionalFormatting sqref="AE69:AF69 AI69:AK69 AK70:AK75">
    <cfRule type="containsText" dxfId="822" priority="797" operator="containsText" text="17">
      <formula>NOT(ISERROR(SEARCH("17",AE69)))</formula>
    </cfRule>
  </conditionalFormatting>
  <conditionalFormatting sqref="AE152:AK152">
    <cfRule type="containsText" dxfId="821" priority="698" operator="containsText" text="17">
      <formula>NOT(ISERROR(SEARCH("17",AE152)))</formula>
    </cfRule>
    <cfRule type="containsText" dxfId="820" priority="699" operator="containsText" text="T">
      <formula>NOT(ISERROR(SEARCH("T",AE152)))</formula>
    </cfRule>
  </conditionalFormatting>
  <conditionalFormatting sqref="AE21:AO21">
    <cfRule type="containsText" dxfId="819" priority="541" operator="containsText" text="17">
      <formula>NOT(ISERROR(SEARCH("17",AE21)))</formula>
    </cfRule>
    <cfRule type="containsText" dxfId="818" priority="542" operator="containsText" text="T">
      <formula>NOT(ISERROR(SEARCH("T",AE21)))</formula>
    </cfRule>
  </conditionalFormatting>
  <conditionalFormatting sqref="AE22:AY27 AE21:AM21">
    <cfRule type="containsText" dxfId="817" priority="548" operator="containsText" text="17">
      <formula>NOT(ISERROR(SEARCH("17",AE21)))</formula>
    </cfRule>
  </conditionalFormatting>
  <conditionalFormatting sqref="AF42:AF47">
    <cfRule type="containsText" dxfId="816" priority="536" operator="containsText" text="T">
      <formula>NOT(ISERROR(SEARCH("T",AF42)))</formula>
    </cfRule>
  </conditionalFormatting>
  <conditionalFormatting sqref="AF69">
    <cfRule type="containsText" dxfId="815" priority="798" operator="containsText" text="T">
      <formula>NOT(ISERROR(SEARCH("T",AF69)))</formula>
    </cfRule>
  </conditionalFormatting>
  <conditionalFormatting sqref="AF99 AJ99:AL99 O100:AI105 AL100:AL105">
    <cfRule type="containsText" dxfId="814" priority="783" operator="containsText" text="T">
      <formula>NOT(ISERROR(SEARCH("T",O99)))</formula>
    </cfRule>
  </conditionalFormatting>
  <conditionalFormatting sqref="AF152">
    <cfRule type="containsText" dxfId="813" priority="694" operator="containsText" text="17">
      <formula>NOT(ISERROR(SEARCH("17",AF152)))</formula>
    </cfRule>
    <cfRule type="containsText" dxfId="812" priority="695" operator="containsText" text="T">
      <formula>NOT(ISERROR(SEARCH("T",AF152)))</formula>
    </cfRule>
  </conditionalFormatting>
  <conditionalFormatting sqref="AF99:AG99 AJ99:AL99 AL100:AL105">
    <cfRule type="containsText" dxfId="811" priority="784" operator="containsText" text="17">
      <formula>NOT(ISERROR(SEARCH("17",AF99)))</formula>
    </cfRule>
  </conditionalFormatting>
  <conditionalFormatting sqref="AF159:AL159">
    <cfRule type="containsText" dxfId="810" priority="685" operator="containsText" text="17">
      <formula>NOT(ISERROR(SEARCH("17",AF159)))</formula>
    </cfRule>
    <cfRule type="containsText" dxfId="809" priority="686" operator="containsText" text="T">
      <formula>NOT(ISERROR(SEARCH("T",AF159)))</formula>
    </cfRule>
  </conditionalFormatting>
  <conditionalFormatting sqref="AF41:AP41">
    <cfRule type="containsText" dxfId="808" priority="528" operator="containsText" text="17">
      <formula>NOT(ISERROR(SEARCH("17",AF41)))</formula>
    </cfRule>
    <cfRule type="containsText" dxfId="807" priority="529" operator="containsText" text="T">
      <formula>NOT(ISERROR(SEARCH("T",AF41)))</formula>
    </cfRule>
  </conditionalFormatting>
  <conditionalFormatting sqref="AF42:AZ47 AF41:AN41">
    <cfRule type="containsText" dxfId="806" priority="535" operator="containsText" text="17">
      <formula>NOT(ISERROR(SEARCH("17",AF41)))</formula>
    </cfRule>
  </conditionalFormatting>
  <conditionalFormatting sqref="AG67:AG68">
    <cfRule type="containsText" dxfId="805" priority="773" operator="containsText" text="T">
      <formula>NOT(ISERROR(SEARCH("T",AG67)))</formula>
    </cfRule>
  </conditionalFormatting>
  <conditionalFormatting sqref="AG97:AG98">
    <cfRule type="containsText" dxfId="804" priority="763" operator="containsText" text="T">
      <formula>NOT(ISERROR(SEARCH("T",AG97)))</formula>
    </cfRule>
  </conditionalFormatting>
  <conditionalFormatting sqref="AG99">
    <cfRule type="containsText" dxfId="803" priority="785" operator="containsText" text="T">
      <formula>NOT(ISERROR(SEARCH("T",AG99)))</formula>
    </cfRule>
  </conditionalFormatting>
  <conditionalFormatting sqref="AG114:AG119">
    <cfRule type="containsText" dxfId="802" priority="845" operator="containsText" text="T">
      <formula>NOT(ISERROR(SEARCH("T",AG114)))</formula>
    </cfRule>
  </conditionalFormatting>
  <conditionalFormatting sqref="AG127:AG130 AK127:AM130">
    <cfRule type="containsText" dxfId="801" priority="743" operator="containsText" text="T">
      <formula>NOT(ISERROR(SEARCH("T",AG127)))</formula>
    </cfRule>
  </conditionalFormatting>
  <conditionalFormatting sqref="AG159">
    <cfRule type="containsText" dxfId="800" priority="681" operator="containsText" text="17">
      <formula>NOT(ISERROR(SEARCH("17",AG159)))</formula>
    </cfRule>
    <cfRule type="containsText" dxfId="799" priority="682" operator="containsText" text="T">
      <formula>NOT(ISERROR(SEARCH("T",AG159)))</formula>
    </cfRule>
  </conditionalFormatting>
  <conditionalFormatting sqref="AG67:AH68">
    <cfRule type="containsText" dxfId="798" priority="774" operator="containsText" text="17">
      <formula>NOT(ISERROR(SEARCH("17",AG67)))</formula>
    </cfRule>
  </conditionalFormatting>
  <conditionalFormatting sqref="AG97:AH98">
    <cfRule type="containsText" dxfId="797" priority="764" operator="containsText" text="17">
      <formula>NOT(ISERROR(SEARCH("17",AG97)))</formula>
    </cfRule>
  </conditionalFormatting>
  <conditionalFormatting sqref="AG127:AH130 AK127:AM130">
    <cfRule type="containsText" dxfId="796" priority="744" operator="containsText" text="17">
      <formula>NOT(ISERROR(SEARCH("17",AG127)))</formula>
    </cfRule>
  </conditionalFormatting>
  <conditionalFormatting sqref="AG207:AM207">
    <cfRule type="containsText" dxfId="795" priority="672" operator="containsText" text="17">
      <formula>NOT(ISERROR(SEARCH("17",AG207)))</formula>
    </cfRule>
    <cfRule type="containsText" dxfId="794" priority="673" operator="containsText" text="T">
      <formula>NOT(ISERROR(SEARCH("T",AG207)))</formula>
    </cfRule>
  </conditionalFormatting>
  <conditionalFormatting sqref="AG28:AO32">
    <cfRule type="containsText" dxfId="793" priority="525" operator="containsText" text="17">
      <formula>NOT(ISERROR(SEARCH("17",AG28)))</formula>
    </cfRule>
  </conditionalFormatting>
  <conditionalFormatting sqref="AG28:AQ32">
    <cfRule type="containsText" dxfId="792" priority="518" operator="containsText" text="17">
      <formula>NOT(ISERROR(SEARCH("17",AG28)))</formula>
    </cfRule>
    <cfRule type="containsText" dxfId="791" priority="519" operator="containsText" text="T">
      <formula>NOT(ISERROR(SEARCH("T",AG28)))</formula>
    </cfRule>
  </conditionalFormatting>
  <conditionalFormatting sqref="AG48:AQ49">
    <cfRule type="containsText" dxfId="790" priority="508" operator="containsText" text="17">
      <formula>NOT(ISERROR(SEARCH("17",AG48)))</formula>
    </cfRule>
  </conditionalFormatting>
  <conditionalFormatting sqref="AG106:AY106">
    <cfRule type="containsText" dxfId="789" priority="346" operator="containsText" text="17">
      <formula>NOT(ISERROR(SEARCH("17",AG106)))</formula>
    </cfRule>
  </conditionalFormatting>
  <conditionalFormatting sqref="AG106:BA106">
    <cfRule type="containsText" dxfId="788" priority="340" operator="containsText" text="T">
      <formula>NOT(ISERROR(SEARCH("T",AG106)))</formula>
    </cfRule>
  </conditionalFormatting>
  <conditionalFormatting sqref="AH67:AH68">
    <cfRule type="containsText" dxfId="787" priority="775" operator="containsText" text="T">
      <formula>NOT(ISERROR(SEARCH("T",AH67)))</formula>
    </cfRule>
  </conditionalFormatting>
  <conditionalFormatting sqref="AH77:AH82">
    <cfRule type="containsText" dxfId="786" priority="832" operator="containsText" text="T">
      <formula>NOT(ISERROR(SEARCH("T",AH77)))</formula>
    </cfRule>
  </conditionalFormatting>
  <conditionalFormatting sqref="AH97:AH98">
    <cfRule type="containsText" dxfId="785" priority="765" operator="containsText" text="T">
      <formula>NOT(ISERROR(SEARCH("T",AH97)))</formula>
    </cfRule>
  </conditionalFormatting>
  <conditionalFormatting sqref="AH127:AH130">
    <cfRule type="containsText" dxfId="784" priority="745" operator="containsText" text="T">
      <formula>NOT(ISERROR(SEARCH("T",AH127)))</formula>
    </cfRule>
  </conditionalFormatting>
  <conditionalFormatting sqref="AH131 AL131:AN131 Q132:AK137 AN132:AN137">
    <cfRule type="containsText" dxfId="783" priority="730" operator="containsText" text="T">
      <formula>NOT(ISERROR(SEARCH("T",Q131)))</formula>
    </cfRule>
  </conditionalFormatting>
  <conditionalFormatting sqref="AH207">
    <cfRule type="containsText" dxfId="782" priority="668" operator="containsText" text="17">
      <formula>NOT(ISERROR(SEARCH("17",AH207)))</formula>
    </cfRule>
    <cfRule type="containsText" dxfId="781" priority="669" operator="containsText" text="T">
      <formula>NOT(ISERROR(SEARCH("T",AH207)))</formula>
    </cfRule>
  </conditionalFormatting>
  <conditionalFormatting sqref="AH131:AI131 AL131:AN131 AN132:AN137">
    <cfRule type="containsText" dxfId="780" priority="731" operator="containsText" text="17">
      <formula>NOT(ISERROR(SEARCH("17",AH131)))</formula>
    </cfRule>
  </conditionalFormatting>
  <conditionalFormatting sqref="AH200:AN200">
    <cfRule type="containsText" dxfId="779" priority="659" operator="containsText" text="17">
      <formula>NOT(ISERROR(SEARCH("17",AH200)))</formula>
    </cfRule>
    <cfRule type="containsText" dxfId="778" priority="660" operator="containsText" text="T">
      <formula>NOT(ISERROR(SEARCH("T",AH200)))</formula>
    </cfRule>
  </conditionalFormatting>
  <conditionalFormatting sqref="AH50:AP53">
    <cfRule type="containsText" dxfId="777" priority="505" operator="containsText" text="17">
      <formula>NOT(ISERROR(SEARCH("17",AH50)))</formula>
    </cfRule>
  </conditionalFormatting>
  <conditionalFormatting sqref="AH50:AR53">
    <cfRule type="containsText" dxfId="776" priority="498" operator="containsText" text="17">
      <formula>NOT(ISERROR(SEARCH("17",AH50)))</formula>
    </cfRule>
  </conditionalFormatting>
  <conditionalFormatting sqref="AH63:AR66">
    <cfRule type="containsText" dxfId="775" priority="488" operator="containsText" text="17">
      <formula>NOT(ISERROR(SEARCH("17",AH63)))</formula>
    </cfRule>
  </conditionalFormatting>
  <conditionalFormatting sqref="AH113:AU116">
    <cfRule type="containsText" dxfId="774" priority="411" operator="containsText" text="17">
      <formula>NOT(ISERROR(SEARCH("17",AH113)))</formula>
    </cfRule>
  </conditionalFormatting>
  <conditionalFormatting sqref="AH117:AV119">
    <cfRule type="containsText" dxfId="773" priority="401" operator="containsText" text="17">
      <formula>NOT(ISERROR(SEARCH("17",AH117)))</formula>
    </cfRule>
  </conditionalFormatting>
  <conditionalFormatting sqref="AH113:AW116">
    <cfRule type="containsText" dxfId="772" priority="405" operator="containsText" text="T">
      <formula>NOT(ISERROR(SEARCH("T",AH113)))</formula>
    </cfRule>
  </conditionalFormatting>
  <conditionalFormatting sqref="AH117:AX119">
    <cfRule type="containsText" dxfId="771" priority="395" operator="containsText" text="T">
      <formula>NOT(ISERROR(SEARCH("T",AH117)))</formula>
    </cfRule>
  </conditionalFormatting>
  <conditionalFormatting sqref="AI131">
    <cfRule type="containsText" dxfId="770" priority="732" operator="containsText" text="T">
      <formula>NOT(ISERROR(SEARCH("T",AI131)))</formula>
    </cfRule>
  </conditionalFormatting>
  <conditionalFormatting sqref="AI138 AM138:AO138 R139:AL144 AO139:AO144">
    <cfRule type="containsText" dxfId="769" priority="717" operator="containsText" text="T">
      <formula>NOT(ISERROR(SEARCH("T",R138)))</formula>
    </cfRule>
  </conditionalFormatting>
  <conditionalFormatting sqref="AI200">
    <cfRule type="containsText" dxfId="768" priority="655" operator="containsText" text="17">
      <formula>NOT(ISERROR(SEARCH("17",AI200)))</formula>
    </cfRule>
    <cfRule type="containsText" dxfId="767" priority="656" operator="containsText" text="T">
      <formula>NOT(ISERROR(SEARCH("T",AI200)))</formula>
    </cfRule>
  </conditionalFormatting>
  <conditionalFormatting sqref="AI138:AJ138 AM138:AO138 AO139:AO144">
    <cfRule type="containsText" dxfId="766" priority="718" operator="containsText" text="17">
      <formula>NOT(ISERROR(SEARCH("17",AI138)))</formula>
    </cfRule>
  </conditionalFormatting>
  <conditionalFormatting sqref="AI107:AO112">
    <cfRule type="containsText" dxfId="765" priority="819" operator="containsText" text="T">
      <formula>NOT(ISERROR(SEARCH("T",AI107)))</formula>
    </cfRule>
  </conditionalFormatting>
  <conditionalFormatting sqref="AI192:AO192">
    <cfRule type="containsText" dxfId="764" priority="636" operator="containsText" text="T">
      <formula>NOT(ISERROR(SEARCH("T",AI192)))</formula>
    </cfRule>
  </conditionalFormatting>
  <conditionalFormatting sqref="AI193:AO193">
    <cfRule type="containsText" dxfId="763" priority="646" operator="containsText" text="17">
      <formula>NOT(ISERROR(SEARCH("17",AI193)))</formula>
    </cfRule>
    <cfRule type="containsText" dxfId="762" priority="647" operator="containsText" text="T">
      <formula>NOT(ISERROR(SEARCH("T",AI193)))</formula>
    </cfRule>
  </conditionalFormatting>
  <conditionalFormatting sqref="AI192:AP192 AS192:AU192">
    <cfRule type="containsText" dxfId="761" priority="634" operator="containsText" text="17">
      <formula>NOT(ISERROR(SEARCH("17",AI192)))</formula>
    </cfRule>
  </conditionalFormatting>
  <conditionalFormatting sqref="AI59:AS62">
    <cfRule type="containsText" dxfId="760" priority="474" operator="containsText" text="17">
      <formula>NOT(ISERROR(SEARCH("17",AI59)))</formula>
    </cfRule>
  </conditionalFormatting>
  <conditionalFormatting sqref="AI86:AS89">
    <cfRule type="containsText" dxfId="759" priority="464" operator="containsText" text="17">
      <formula>NOT(ISERROR(SEARCH("17",AI86)))</formula>
    </cfRule>
  </conditionalFormatting>
  <conditionalFormatting sqref="AI79:AV82">
    <cfRule type="containsText" dxfId="758" priority="391" operator="containsText" text="17">
      <formula>NOT(ISERROR(SEARCH("17",AI79)))</formula>
    </cfRule>
  </conditionalFormatting>
  <conditionalFormatting sqref="AI76:AX78">
    <cfRule type="containsText" dxfId="757" priority="366" operator="containsText" text="17">
      <formula>NOT(ISERROR(SEARCH("17",AI76)))</formula>
    </cfRule>
  </conditionalFormatting>
  <conditionalFormatting sqref="AI79:AX82">
    <cfRule type="containsText" dxfId="756" priority="385" operator="containsText" text="T">
      <formula>NOT(ISERROR(SEARCH("T",AI79)))</formula>
    </cfRule>
  </conditionalFormatting>
  <conditionalFormatting sqref="AI76:AZ78">
    <cfRule type="containsText" dxfId="755" priority="360" operator="containsText" text="T">
      <formula>NOT(ISERROR(SEARCH("T",AI76)))</formula>
    </cfRule>
  </conditionalFormatting>
  <conditionalFormatting sqref="AJ120:AJ126">
    <cfRule type="containsText" dxfId="754" priority="380" operator="containsText" text="17">
      <formula>NOT(ISERROR(SEARCH("17",AJ120)))</formula>
    </cfRule>
    <cfRule type="containsText" dxfId="753" priority="383" operator="containsText" text="T">
      <formula>NOT(ISERROR(SEARCH("T",AJ120)))</formula>
    </cfRule>
  </conditionalFormatting>
  <conditionalFormatting sqref="AJ138">
    <cfRule type="containsText" dxfId="752" priority="719" operator="containsText" text="T">
      <formula>NOT(ISERROR(SEARCH("T",AJ138)))</formula>
    </cfRule>
  </conditionalFormatting>
  <conditionalFormatting sqref="AJ145 AN145:AP145 S146:AM151 AP146:AP151">
    <cfRule type="containsText" dxfId="751" priority="704" operator="containsText" text="T">
      <formula>NOT(ISERROR(SEARCH("T",S145)))</formula>
    </cfRule>
  </conditionalFormatting>
  <conditionalFormatting sqref="AJ192:AJ193">
    <cfRule type="containsText" dxfId="750" priority="642" operator="containsText" text="17">
      <formula>NOT(ISERROR(SEARCH("17",AJ192)))</formula>
    </cfRule>
    <cfRule type="containsText" dxfId="749" priority="643" operator="containsText" text="T">
      <formula>NOT(ISERROR(SEARCH("T",AJ192)))</formula>
    </cfRule>
  </conditionalFormatting>
  <conditionalFormatting sqref="AJ145:AK145 AN145:AP145 AP146:AP151">
    <cfRule type="containsText" dxfId="748" priority="705" operator="containsText" text="17">
      <formula>NOT(ISERROR(SEARCH("17",AJ145)))</formula>
    </cfRule>
  </conditionalFormatting>
  <conditionalFormatting sqref="AJ168:AP168">
    <cfRule type="containsText" dxfId="747" priority="628" operator="containsText" text="17">
      <formula>NOT(ISERROR(SEARCH("17",AJ168)))</formula>
    </cfRule>
    <cfRule type="containsText" dxfId="746" priority="629" operator="containsText" text="T">
      <formula>NOT(ISERROR(SEARCH("T",AJ168)))</formula>
    </cfRule>
  </conditionalFormatting>
  <conditionalFormatting sqref="AJ83:AT85">
    <cfRule type="containsText" dxfId="745" priority="454" operator="containsText" text="17">
      <formula>NOT(ISERROR(SEARCH("17",AJ83)))</formula>
    </cfRule>
  </conditionalFormatting>
  <conditionalFormatting sqref="AJ214:AT217">
    <cfRule type="containsText" dxfId="744" priority="444" operator="containsText" text="17">
      <formula>NOT(ISERROR(SEARCH("17",AJ214)))</formula>
    </cfRule>
  </conditionalFormatting>
  <conditionalFormatting sqref="AK70:AK75">
    <cfRule type="containsText" dxfId="743" priority="806" operator="containsText" text="T">
      <formula>NOT(ISERROR(SEARCH("T",AK70)))</formula>
    </cfRule>
  </conditionalFormatting>
  <conditionalFormatting sqref="AK129:AK130 P127:X130">
    <cfRule type="containsText" dxfId="742" priority="748" operator="containsText" text="17">
      <formula>NOT(ISERROR(SEARCH("17",P127)))</formula>
    </cfRule>
  </conditionalFormatting>
  <conditionalFormatting sqref="AK145">
    <cfRule type="containsText" dxfId="741" priority="706" operator="containsText" text="T">
      <formula>NOT(ISERROR(SEARCH("T",AK145)))</formula>
    </cfRule>
  </conditionalFormatting>
  <conditionalFormatting sqref="AK152 AO152:AQ152 T153:AN158 AQ153:AQ158">
    <cfRule type="containsText" dxfId="740" priority="691" operator="containsText" text="T">
      <formula>NOT(ISERROR(SEARCH("T",T152)))</formula>
    </cfRule>
  </conditionalFormatting>
  <conditionalFormatting sqref="AK168">
    <cfRule type="containsText" dxfId="739" priority="624" operator="containsText" text="17">
      <formula>NOT(ISERROR(SEARCH("17",AK168)))</formula>
    </cfRule>
    <cfRule type="containsText" dxfId="738" priority="625" operator="containsText" text="T">
      <formula>NOT(ISERROR(SEARCH("T",AK168)))</formula>
    </cfRule>
  </conditionalFormatting>
  <conditionalFormatting sqref="AK152:AL152 AO152:AQ152 AQ153:AQ158">
    <cfRule type="containsText" dxfId="737" priority="692" operator="containsText" text="17">
      <formula>NOT(ISERROR(SEARCH("17",AK152)))</formula>
    </cfRule>
  </conditionalFormatting>
  <conditionalFormatting sqref="AK175:AQ175">
    <cfRule type="containsText" dxfId="736" priority="615" operator="containsText" text="17">
      <formula>NOT(ISERROR(SEARCH("17",AK175)))</formula>
    </cfRule>
    <cfRule type="containsText" dxfId="735" priority="616" operator="containsText" text="T">
      <formula>NOT(ISERROR(SEARCH("T",AK175)))</formula>
    </cfRule>
  </conditionalFormatting>
  <conditionalFormatting sqref="AK218:AU224">
    <cfRule type="containsText" dxfId="734" priority="434" operator="containsText" text="17">
      <formula>NOT(ISERROR(SEARCH("17",AK218)))</formula>
    </cfRule>
  </conditionalFormatting>
  <conditionalFormatting sqref="AK120:AY120">
    <cfRule type="containsText" dxfId="733" priority="326" operator="containsText" text="17">
      <formula>NOT(ISERROR(SEARCH("17",AK120)))</formula>
    </cfRule>
  </conditionalFormatting>
  <conditionalFormatting sqref="AK122:AY122">
    <cfRule type="containsText" dxfId="732" priority="316" operator="containsText" text="17">
      <formula>NOT(ISERROR(SEARCH("17",AK122)))</formula>
    </cfRule>
  </conditionalFormatting>
  <conditionalFormatting sqref="AK124:AY126">
    <cfRule type="containsText" dxfId="731" priority="336" operator="containsText" text="17">
      <formula>NOT(ISERROR(SEARCH("17",AK124)))</formula>
    </cfRule>
  </conditionalFormatting>
  <conditionalFormatting sqref="AK121:AZ121">
    <cfRule type="containsText" dxfId="730" priority="296" operator="containsText" text="17">
      <formula>NOT(ISERROR(SEARCH("17",AK121)))</formula>
    </cfRule>
  </conditionalFormatting>
  <conditionalFormatting sqref="AK123:AZ123">
    <cfRule type="containsText" dxfId="729" priority="286" operator="containsText" text="17">
      <formula>NOT(ISERROR(SEARCH("17",AK123)))</formula>
    </cfRule>
  </conditionalFormatting>
  <conditionalFormatting sqref="AK67:BA68">
    <cfRule type="containsText" dxfId="728" priority="246" operator="containsText" text="17">
      <formula>NOT(ISERROR(SEARCH("17",AK67)))</formula>
    </cfRule>
  </conditionalFormatting>
  <conditionalFormatting sqref="AK120:BA120">
    <cfRule type="containsText" dxfId="727" priority="320" operator="containsText" text="T">
      <formula>NOT(ISERROR(SEARCH("T",AK120)))</formula>
    </cfRule>
  </conditionalFormatting>
  <conditionalFormatting sqref="AK122:BA122">
    <cfRule type="containsText" dxfId="726" priority="310" operator="containsText" text="T">
      <formula>NOT(ISERROR(SEARCH("T",AK122)))</formula>
    </cfRule>
  </conditionalFormatting>
  <conditionalFormatting sqref="AK124:BA126">
    <cfRule type="containsText" dxfId="725" priority="330" operator="containsText" text="T">
      <formula>NOT(ISERROR(SEARCH("T",AK124)))</formula>
    </cfRule>
  </conditionalFormatting>
  <conditionalFormatting sqref="AK97:BB98">
    <cfRule type="containsText" dxfId="724" priority="236" operator="containsText" text="17">
      <formula>NOT(ISERROR(SEARCH("17",AK97)))</formula>
    </cfRule>
  </conditionalFormatting>
  <conditionalFormatting sqref="AK121:BB121">
    <cfRule type="containsText" dxfId="723" priority="290" operator="containsText" text="T">
      <formula>NOT(ISERROR(SEARCH("T",AK121)))</formula>
    </cfRule>
  </conditionalFormatting>
  <conditionalFormatting sqref="AK123:BB123">
    <cfRule type="containsText" dxfId="722" priority="280" operator="containsText" text="T">
      <formula>NOT(ISERROR(SEARCH("T",AK123)))</formula>
    </cfRule>
  </conditionalFormatting>
  <conditionalFormatting sqref="AK67:BC68">
    <cfRule type="containsText" dxfId="721" priority="240" operator="containsText" text="T">
      <formula>NOT(ISERROR(SEARCH("T",AK67)))</formula>
    </cfRule>
  </conditionalFormatting>
  <conditionalFormatting sqref="AK97:BD98">
    <cfRule type="containsText" dxfId="720" priority="230" operator="containsText" text="T">
      <formula>NOT(ISERROR(SEARCH("T",AK97)))</formula>
    </cfRule>
  </conditionalFormatting>
  <conditionalFormatting sqref="AL100:AL105">
    <cfRule type="containsText" dxfId="719" priority="793" operator="containsText" text="T">
      <formula>NOT(ISERROR(SEARCH("T",AL100)))</formula>
    </cfRule>
  </conditionalFormatting>
  <conditionalFormatting sqref="AL152">
    <cfRule type="containsText" dxfId="718" priority="693" operator="containsText" text="T">
      <formula>NOT(ISERROR(SEARCH("T",AL152)))</formula>
    </cfRule>
  </conditionalFormatting>
  <conditionalFormatting sqref="AL159 AP159:AR159 U160:AO165 AR160:AR165">
    <cfRule type="containsText" dxfId="717" priority="678" operator="containsText" text="T">
      <formula>NOT(ISERROR(SEARCH("T",U159)))</formula>
    </cfRule>
  </conditionalFormatting>
  <conditionalFormatting sqref="AL175">
    <cfRule type="containsText" dxfId="716" priority="611" operator="containsText" text="17">
      <formula>NOT(ISERROR(SEARCH("17",AL175)))</formula>
    </cfRule>
    <cfRule type="containsText" dxfId="715" priority="612" operator="containsText" text="T">
      <formula>NOT(ISERROR(SEARCH("T",AL175)))</formula>
    </cfRule>
  </conditionalFormatting>
  <conditionalFormatting sqref="AL159:AM159 AP159:AR159 AR160:AR165">
    <cfRule type="containsText" dxfId="714" priority="679" operator="containsText" text="17">
      <formula>NOT(ISERROR(SEARCH("17",AL159)))</formula>
    </cfRule>
  </conditionalFormatting>
  <conditionalFormatting sqref="AL182:AR182">
    <cfRule type="containsText" dxfId="713" priority="602" operator="containsText" text="17">
      <formula>NOT(ISERROR(SEARCH("17",AL182)))</formula>
    </cfRule>
    <cfRule type="containsText" dxfId="712" priority="603" operator="containsText" text="T">
      <formula>NOT(ISERROR(SEARCH("T",AL182)))</formula>
    </cfRule>
  </conditionalFormatting>
  <conditionalFormatting sqref="AL225:AV231">
    <cfRule type="containsText" dxfId="711" priority="424" operator="containsText" text="17">
      <formula>NOT(ISERROR(SEARCH("17",AL225)))</formula>
    </cfRule>
  </conditionalFormatting>
  <conditionalFormatting sqref="AL72:AY75">
    <cfRule type="containsText" dxfId="710" priority="356" operator="containsText" text="17">
      <formula>NOT(ISERROR(SEARCH("17",AL72)))</formula>
    </cfRule>
  </conditionalFormatting>
  <conditionalFormatting sqref="AL69:AZ71">
    <cfRule type="containsText" dxfId="709" priority="276" operator="containsText" text="17">
      <formula>NOT(ISERROR(SEARCH("17",AL69)))</formula>
    </cfRule>
  </conditionalFormatting>
  <conditionalFormatting sqref="AL72:BA75">
    <cfRule type="containsText" dxfId="708" priority="350" operator="containsText" text="T">
      <formula>NOT(ISERROR(SEARCH("T",AL72)))</formula>
    </cfRule>
  </conditionalFormatting>
  <conditionalFormatting sqref="AL69:BB71">
    <cfRule type="containsText" dxfId="707" priority="270" operator="containsText" text="T">
      <formula>NOT(ISERROR(SEARCH("T",AL69)))</formula>
    </cfRule>
  </conditionalFormatting>
  <conditionalFormatting sqref="AM159">
    <cfRule type="containsText" dxfId="706" priority="680" operator="containsText" text="T">
      <formula>NOT(ISERROR(SEARCH("T",AM159)))</formula>
    </cfRule>
  </conditionalFormatting>
  <conditionalFormatting sqref="AM182">
    <cfRule type="containsText" dxfId="705" priority="598" operator="containsText" text="17">
      <formula>NOT(ISERROR(SEARCH("17",AM182)))</formula>
    </cfRule>
    <cfRule type="containsText" dxfId="704" priority="599" operator="containsText" text="T">
      <formula>NOT(ISERROR(SEARCH("T",AM182)))</formula>
    </cfRule>
  </conditionalFormatting>
  <conditionalFormatting sqref="AM207 AQ207:AS207 V208:AP213 AS208:AS213">
    <cfRule type="containsText" dxfId="703" priority="665" operator="containsText" text="T">
      <formula>NOT(ISERROR(SEARCH("T",V207)))</formula>
    </cfRule>
  </conditionalFormatting>
  <conditionalFormatting sqref="AM207:AN207 AQ207:AS207 AS208:AS213">
    <cfRule type="containsText" dxfId="702" priority="666" operator="containsText" text="17">
      <formula>NOT(ISERROR(SEARCH("17",AM207)))</formula>
    </cfRule>
  </conditionalFormatting>
  <conditionalFormatting sqref="AM90:AS90">
    <cfRule type="containsText" dxfId="701" priority="589" operator="containsText" text="17">
      <formula>NOT(ISERROR(SEARCH("17",AM90)))</formula>
    </cfRule>
    <cfRule type="containsText" dxfId="700" priority="590" operator="containsText" text="T">
      <formula>NOT(ISERROR(SEARCH("T",AM90)))</formula>
    </cfRule>
  </conditionalFormatting>
  <conditionalFormatting sqref="AM113:AW116">
    <cfRule type="containsText" dxfId="699" priority="404" operator="containsText" text="17">
      <formula>NOT(ISERROR(SEARCH("17",AM113)))</formula>
    </cfRule>
  </conditionalFormatting>
  <conditionalFormatting sqref="AM232:AW234">
    <cfRule type="containsText" dxfId="698" priority="414" operator="containsText" text="17">
      <formula>NOT(ISERROR(SEARCH("17",AM232)))</formula>
    </cfRule>
  </conditionalFormatting>
  <conditionalFormatting sqref="AM103:AZ104">
    <cfRule type="containsText" dxfId="697" priority="306" operator="containsText" text="17">
      <formula>NOT(ISERROR(SEARCH("17",AM103)))</formula>
    </cfRule>
  </conditionalFormatting>
  <conditionalFormatting sqref="AM99:BA102">
    <cfRule type="containsText" dxfId="696" priority="266" operator="containsText" text="17">
      <formula>NOT(ISERROR(SEARCH("17",AM99)))</formula>
    </cfRule>
  </conditionalFormatting>
  <conditionalFormatting sqref="AM105:BA105">
    <cfRule type="containsText" dxfId="695" priority="256" operator="containsText" text="17">
      <formula>NOT(ISERROR(SEARCH("17",AM105)))</formula>
    </cfRule>
  </conditionalFormatting>
  <conditionalFormatting sqref="AM103:BB104">
    <cfRule type="containsText" dxfId="694" priority="300" operator="containsText" text="T">
      <formula>NOT(ISERROR(SEARCH("T",AM103)))</formula>
    </cfRule>
  </conditionalFormatting>
  <conditionalFormatting sqref="AM99:BC102">
    <cfRule type="containsText" dxfId="693" priority="260" operator="containsText" text="T">
      <formula>NOT(ISERROR(SEARCH("T",AM99)))</formula>
    </cfRule>
  </conditionalFormatting>
  <conditionalFormatting sqref="AM105:BC105">
    <cfRule type="containsText" dxfId="692" priority="250" operator="containsText" text="T">
      <formula>NOT(ISERROR(SEARCH("T",AM105)))</formula>
    </cfRule>
  </conditionalFormatting>
  <conditionalFormatting sqref="AN90">
    <cfRule type="containsText" dxfId="691" priority="585" operator="containsText" text="17">
      <formula>NOT(ISERROR(SEARCH("17",AN90)))</formula>
    </cfRule>
    <cfRule type="containsText" dxfId="690" priority="586" operator="containsText" text="T">
      <formula>NOT(ISERROR(SEARCH("T",AN90)))</formula>
    </cfRule>
  </conditionalFormatting>
  <conditionalFormatting sqref="AN132:AN137">
    <cfRule type="containsText" dxfId="689" priority="740" operator="containsText" text="T">
      <formula>NOT(ISERROR(SEARCH("T",AN132)))</formula>
    </cfRule>
  </conditionalFormatting>
  <conditionalFormatting sqref="AN200 AR200:AT200 W201:AQ206 AT201:AT206">
    <cfRule type="containsText" dxfId="688" priority="652" operator="containsText" text="T">
      <formula>NOT(ISERROR(SEARCH("T",W200)))</formula>
    </cfRule>
  </conditionalFormatting>
  <conditionalFormatting sqref="AN207">
    <cfRule type="containsText" dxfId="687" priority="667" operator="containsText" text="T">
      <formula>NOT(ISERROR(SEARCH("T",AN207)))</formula>
    </cfRule>
  </conditionalFormatting>
  <conditionalFormatting sqref="AN200:AO200 AR200:AT200 AT201:AT206">
    <cfRule type="containsText" dxfId="686" priority="653" operator="containsText" text="17">
      <formula>NOT(ISERROR(SEARCH("17",AN200)))</formula>
    </cfRule>
  </conditionalFormatting>
  <conditionalFormatting sqref="AN14:AT14">
    <cfRule type="containsText" dxfId="685" priority="576" operator="containsText" text="17">
      <formula>NOT(ISERROR(SEARCH("17",AN14)))</formula>
    </cfRule>
    <cfRule type="containsText" dxfId="684" priority="577" operator="containsText" text="T">
      <formula>NOT(ISERROR(SEARCH("T",AN14)))</formula>
    </cfRule>
  </conditionalFormatting>
  <conditionalFormatting sqref="AN79:AX82">
    <cfRule type="containsText" dxfId="683" priority="384" operator="containsText" text="17">
      <formula>NOT(ISERROR(SEARCH("17",AN79)))</formula>
    </cfRule>
  </conditionalFormatting>
  <conditionalFormatting sqref="AN117:AX119">
    <cfRule type="containsText" dxfId="682" priority="394" operator="containsText" text="17">
      <formula>NOT(ISERROR(SEARCH("17",AN117)))</formula>
    </cfRule>
  </conditionalFormatting>
  <conditionalFormatting sqref="AO14">
    <cfRule type="containsText" dxfId="681" priority="572" operator="containsText" text="17">
      <formula>NOT(ISERROR(SEARCH("17",AO14)))</formula>
    </cfRule>
    <cfRule type="containsText" dxfId="680" priority="573" operator="containsText" text="T">
      <formula>NOT(ISERROR(SEARCH("T",AO14)))</formula>
    </cfRule>
  </conditionalFormatting>
  <conditionalFormatting sqref="AO139:AO144">
    <cfRule type="containsText" dxfId="679" priority="727" operator="containsText" text="T">
      <formula>NOT(ISERROR(SEARCH("T",AO139)))</formula>
    </cfRule>
  </conditionalFormatting>
  <conditionalFormatting sqref="AO192:AO193 AS192:AU193 X194:AR199 AU194:AU199">
    <cfRule type="containsText" dxfId="678" priority="639" operator="containsText" text="T">
      <formula>NOT(ISERROR(SEARCH("T",X192)))</formula>
    </cfRule>
  </conditionalFormatting>
  <conditionalFormatting sqref="AO200">
    <cfRule type="containsText" dxfId="677" priority="654" operator="containsText" text="T">
      <formula>NOT(ISERROR(SEARCH("T",AO200)))</formula>
    </cfRule>
  </conditionalFormatting>
  <conditionalFormatting sqref="AO193:AP193 AS193:AU193 AU194:AU199">
    <cfRule type="containsText" dxfId="676" priority="640" operator="containsText" text="17">
      <formula>NOT(ISERROR(SEARCH("17",AO193)))</formula>
    </cfRule>
  </conditionalFormatting>
  <conditionalFormatting sqref="AO34:AU34">
    <cfRule type="containsText" dxfId="675" priority="563" operator="containsText" text="17">
      <formula>NOT(ISERROR(SEARCH("17",AO34)))</formula>
    </cfRule>
    <cfRule type="containsText" dxfId="674" priority="564" operator="containsText" text="T">
      <formula>NOT(ISERROR(SEARCH("T",AO34)))</formula>
    </cfRule>
  </conditionalFormatting>
  <conditionalFormatting sqref="AO131:BB137">
    <cfRule type="containsText" dxfId="673" priority="226" operator="containsText" text="17">
      <formula>NOT(ISERROR(SEARCH("17",AO131)))</formula>
    </cfRule>
  </conditionalFormatting>
  <conditionalFormatting sqref="AO131:BD137">
    <cfRule type="containsText" dxfId="672" priority="220" operator="containsText" text="T">
      <formula>NOT(ISERROR(SEARCH("T",AO131)))</formula>
    </cfRule>
  </conditionalFormatting>
  <conditionalFormatting sqref="AP34">
    <cfRule type="containsText" dxfId="671" priority="559" operator="containsText" text="17">
      <formula>NOT(ISERROR(SEARCH("17",AP34)))</formula>
    </cfRule>
    <cfRule type="containsText" dxfId="670" priority="560" operator="containsText" text="T">
      <formula>NOT(ISERROR(SEARCH("T",AP34)))</formula>
    </cfRule>
  </conditionalFormatting>
  <conditionalFormatting sqref="AP146:AP151">
    <cfRule type="containsText" dxfId="669" priority="714" operator="containsText" text="T">
      <formula>NOT(ISERROR(SEARCH("T",AP146)))</formula>
    </cfRule>
  </conditionalFormatting>
  <conditionalFormatting sqref="AP168 AT168:AV168 Y169:AS174 AV169:AV174">
    <cfRule type="containsText" dxfId="668" priority="621" operator="containsText" text="T">
      <formula>NOT(ISERROR(SEARCH("T",Y168)))</formula>
    </cfRule>
  </conditionalFormatting>
  <conditionalFormatting sqref="AP192:AP193">
    <cfRule type="containsText" dxfId="667" priority="641" operator="containsText" text="T">
      <formula>NOT(ISERROR(SEARCH("T",AP192)))</formula>
    </cfRule>
  </conditionalFormatting>
  <conditionalFormatting sqref="AP168:AQ168 AT168:AV168 AV169:AV174">
    <cfRule type="containsText" dxfId="666" priority="622" operator="containsText" text="17">
      <formula>NOT(ISERROR(SEARCH("17",AP168)))</formula>
    </cfRule>
  </conditionalFormatting>
  <conditionalFormatting sqref="AP21:AV21">
    <cfRule type="containsText" dxfId="665" priority="550" operator="containsText" text="17">
      <formula>NOT(ISERROR(SEARCH("17",AP21)))</formula>
    </cfRule>
    <cfRule type="containsText" dxfId="664" priority="551" operator="containsText" text="T">
      <formula>NOT(ISERROR(SEARCH("T",AP21)))</formula>
    </cfRule>
  </conditionalFormatting>
  <conditionalFormatting sqref="AP107:AX112">
    <cfRule type="containsText" dxfId="663" priority="376" operator="containsText" text="17">
      <formula>NOT(ISERROR(SEARCH("17",AP107)))</formula>
    </cfRule>
  </conditionalFormatting>
  <conditionalFormatting sqref="AP76:AZ78">
    <cfRule type="containsText" dxfId="662" priority="359" operator="containsText" text="17">
      <formula>NOT(ISERROR(SEARCH("17",AP76)))</formula>
    </cfRule>
  </conditionalFormatting>
  <conditionalFormatting sqref="AP107:AZ112">
    <cfRule type="containsText" dxfId="661" priority="369" operator="containsText" text="17">
      <formula>NOT(ISERROR(SEARCH("17",AP107)))</formula>
    </cfRule>
    <cfRule type="containsText" dxfId="660" priority="370" operator="containsText" text="T">
      <formula>NOT(ISERROR(SEARCH("T",AP107)))</formula>
    </cfRule>
  </conditionalFormatting>
  <conditionalFormatting sqref="AP138:BC144">
    <cfRule type="containsText" dxfId="659" priority="216" operator="containsText" text="17">
      <formula>NOT(ISERROR(SEARCH("17",AP138)))</formula>
    </cfRule>
  </conditionalFormatting>
  <conditionalFormatting sqref="AP138:BE144">
    <cfRule type="containsText" dxfId="658" priority="210" operator="containsText" text="T">
      <formula>NOT(ISERROR(SEARCH("T",AP138)))</formula>
    </cfRule>
  </conditionalFormatting>
  <conditionalFormatting sqref="AQ21">
    <cfRule type="containsText" dxfId="657" priority="546" operator="containsText" text="17">
      <formula>NOT(ISERROR(SEARCH("17",AQ21)))</formula>
    </cfRule>
    <cfRule type="containsText" dxfId="656" priority="547" operator="containsText" text="T">
      <formula>NOT(ISERROR(SEARCH("T",AQ21)))</formula>
    </cfRule>
  </conditionalFormatting>
  <conditionalFormatting sqref="AQ153:AQ158">
    <cfRule type="containsText" dxfId="655" priority="701" operator="containsText" text="T">
      <formula>NOT(ISERROR(SEARCH("T",AQ153)))</formula>
    </cfRule>
  </conditionalFormatting>
  <conditionalFormatting sqref="AQ168">
    <cfRule type="containsText" dxfId="654" priority="623" operator="containsText" text="T">
      <formula>NOT(ISERROR(SEARCH("T",AQ168)))</formula>
    </cfRule>
  </conditionalFormatting>
  <conditionalFormatting sqref="AQ175 AU175:AW175 Z176:AT181 AW176:AW181">
    <cfRule type="containsText" dxfId="653" priority="608" operator="containsText" text="T">
      <formula>NOT(ISERROR(SEARCH("T",Z175)))</formula>
    </cfRule>
  </conditionalFormatting>
  <conditionalFormatting sqref="AQ175:AR175 AU175:AW175 AW176:AW181">
    <cfRule type="containsText" dxfId="652" priority="609" operator="containsText" text="17">
      <formula>NOT(ISERROR(SEARCH("17",AQ175)))</formula>
    </cfRule>
  </conditionalFormatting>
  <conditionalFormatting sqref="AQ41:AW41">
    <cfRule type="containsText" dxfId="651" priority="537" operator="containsText" text="17">
      <formula>NOT(ISERROR(SEARCH("17",AQ41)))</formula>
    </cfRule>
    <cfRule type="containsText" dxfId="650" priority="538" operator="containsText" text="T">
      <formula>NOT(ISERROR(SEARCH("T",AQ41)))</formula>
    </cfRule>
  </conditionalFormatting>
  <conditionalFormatting sqref="AQ72:BA75">
    <cfRule type="containsText" dxfId="649" priority="349" operator="containsText" text="17">
      <formula>NOT(ISERROR(SEARCH("17",AQ72)))</formula>
    </cfRule>
  </conditionalFormatting>
  <conditionalFormatting sqref="AQ106:BA106">
    <cfRule type="containsText" dxfId="648" priority="339" operator="containsText" text="17">
      <formula>NOT(ISERROR(SEARCH("17",AQ106)))</formula>
    </cfRule>
  </conditionalFormatting>
  <conditionalFormatting sqref="AQ120:BA120">
    <cfRule type="containsText" dxfId="647" priority="319" operator="containsText" text="17">
      <formula>NOT(ISERROR(SEARCH("17",AQ120)))</formula>
    </cfRule>
  </conditionalFormatting>
  <conditionalFormatting sqref="AQ122:BA122">
    <cfRule type="containsText" dxfId="646" priority="309" operator="containsText" text="17">
      <formula>NOT(ISERROR(SEARCH("17",AQ122)))</formula>
    </cfRule>
  </conditionalFormatting>
  <conditionalFormatting sqref="AQ124:BA126">
    <cfRule type="containsText" dxfId="645" priority="329" operator="containsText" text="17">
      <formula>NOT(ISERROR(SEARCH("17",AQ124)))</formula>
    </cfRule>
  </conditionalFormatting>
  <conditionalFormatting sqref="AQ145:BD151">
    <cfRule type="containsText" dxfId="644" priority="206" operator="containsText" text="17">
      <formula>NOT(ISERROR(SEARCH("17",AQ145)))</formula>
    </cfRule>
  </conditionalFormatting>
  <conditionalFormatting sqref="AQ145:BF151">
    <cfRule type="containsText" dxfId="643" priority="200" operator="containsText" text="T">
      <formula>NOT(ISERROR(SEARCH("T",AQ145)))</formula>
    </cfRule>
  </conditionalFormatting>
  <conditionalFormatting sqref="AR41">
    <cfRule type="containsText" dxfId="642" priority="533" operator="containsText" text="17">
      <formula>NOT(ISERROR(SEARCH("17",AR41)))</formula>
    </cfRule>
    <cfRule type="containsText" dxfId="641" priority="534" operator="containsText" text="T">
      <formula>NOT(ISERROR(SEARCH("T",AR41)))</formula>
    </cfRule>
  </conditionalFormatting>
  <conditionalFormatting sqref="AR160:AR165">
    <cfRule type="containsText" dxfId="640" priority="688" operator="containsText" text="T">
      <formula>NOT(ISERROR(SEARCH("T",AR160)))</formula>
    </cfRule>
  </conditionalFormatting>
  <conditionalFormatting sqref="AR175">
    <cfRule type="containsText" dxfId="639" priority="610" operator="containsText" text="T">
      <formula>NOT(ISERROR(SEARCH("T",AR175)))</formula>
    </cfRule>
  </conditionalFormatting>
  <conditionalFormatting sqref="AR182 AV182:AX182 AA183:AU190 AX183:AX190">
    <cfRule type="containsText" dxfId="638" priority="595" operator="containsText" text="T">
      <formula>NOT(ISERROR(SEARCH("T",AA182)))</formula>
    </cfRule>
  </conditionalFormatting>
  <conditionalFormatting sqref="AR182:AS182 AV182:AX182 AX183:AX190">
    <cfRule type="containsText" dxfId="637" priority="596" operator="containsText" text="17">
      <formula>NOT(ISERROR(SEARCH("17",AR182)))</formula>
    </cfRule>
  </conditionalFormatting>
  <conditionalFormatting sqref="AR28:AX32">
    <cfRule type="containsText" dxfId="636" priority="526" operator="containsText" text="17">
      <formula>NOT(ISERROR(SEARCH("17",AR28)))</formula>
    </cfRule>
    <cfRule type="containsText" dxfId="635" priority="527" operator="containsText" text="T">
      <formula>NOT(ISERROR(SEARCH("T",AR28)))</formula>
    </cfRule>
  </conditionalFormatting>
  <conditionalFormatting sqref="AR48:AX49">
    <cfRule type="containsText" dxfId="634" priority="516" operator="containsText" text="17">
      <formula>NOT(ISERROR(SEARCH("17",AR48)))</formula>
    </cfRule>
    <cfRule type="containsText" dxfId="633" priority="517" operator="containsText" text="T">
      <formula>NOT(ISERROR(SEARCH("T",AR48)))</formula>
    </cfRule>
  </conditionalFormatting>
  <conditionalFormatting sqref="AR69:BB71">
    <cfRule type="containsText" dxfId="632" priority="269" operator="containsText" text="17">
      <formula>NOT(ISERROR(SEARCH("17",AR69)))</formula>
    </cfRule>
  </conditionalFormatting>
  <conditionalFormatting sqref="AR103:BB104">
    <cfRule type="containsText" dxfId="631" priority="299" operator="containsText" text="17">
      <formula>NOT(ISERROR(SEARCH("17",AR103)))</formula>
    </cfRule>
  </conditionalFormatting>
  <conditionalFormatting sqref="AR121:BB121">
    <cfRule type="containsText" dxfId="630" priority="289" operator="containsText" text="17">
      <formula>NOT(ISERROR(SEARCH("17",AR121)))</formula>
    </cfRule>
  </conditionalFormatting>
  <conditionalFormatting sqref="AR123:BB123">
    <cfRule type="containsText" dxfId="629" priority="279" operator="containsText" text="17">
      <formula>NOT(ISERROR(SEARCH("17",AR123)))</formula>
    </cfRule>
  </conditionalFormatting>
  <conditionalFormatting sqref="AR152:BE158">
    <cfRule type="containsText" dxfId="628" priority="196" operator="containsText" text="17">
      <formula>NOT(ISERROR(SEARCH("17",AR152)))</formula>
    </cfRule>
  </conditionalFormatting>
  <conditionalFormatting sqref="AR152:BG158">
    <cfRule type="containsText" dxfId="627" priority="190" operator="containsText" text="T">
      <formula>NOT(ISERROR(SEARCH("T",AR152)))</formula>
    </cfRule>
  </conditionalFormatting>
  <conditionalFormatting sqref="AS28:AS32">
    <cfRule type="containsText" dxfId="626" priority="523" operator="containsText" text="17">
      <formula>NOT(ISERROR(SEARCH("17",AS28)))</formula>
    </cfRule>
    <cfRule type="containsText" dxfId="625" priority="524" operator="containsText" text="T">
      <formula>NOT(ISERROR(SEARCH("T",AS28)))</formula>
    </cfRule>
  </conditionalFormatting>
  <conditionalFormatting sqref="AS48:AS49">
    <cfRule type="containsText" dxfId="624" priority="513" operator="containsText" text="17">
      <formula>NOT(ISERROR(SEARCH("17",AS48)))</formula>
    </cfRule>
    <cfRule type="containsText" dxfId="623" priority="514" operator="containsText" text="T">
      <formula>NOT(ISERROR(SEARCH("T",AS48)))</formula>
    </cfRule>
  </conditionalFormatting>
  <conditionalFormatting sqref="AS90 AW90:AY90 AB91:AV96 AY91:AY96">
    <cfRule type="containsText" dxfId="622" priority="582" operator="containsText" text="T">
      <formula>NOT(ISERROR(SEARCH("T",AB90)))</formula>
    </cfRule>
  </conditionalFormatting>
  <conditionalFormatting sqref="AS182">
    <cfRule type="containsText" dxfId="621" priority="597" operator="containsText" text="T">
      <formula>NOT(ISERROR(SEARCH("T",AS182)))</formula>
    </cfRule>
  </conditionalFormatting>
  <conditionalFormatting sqref="AS192:AS193 X194:AR199 X192:AF193">
    <cfRule type="containsText" dxfId="620" priority="644" operator="containsText" text="17">
      <formula>NOT(ISERROR(SEARCH("17",X192)))</formula>
    </cfRule>
  </conditionalFormatting>
  <conditionalFormatting sqref="AS208:AS213">
    <cfRule type="containsText" dxfId="619" priority="675" operator="containsText" text="T">
      <formula>NOT(ISERROR(SEARCH("T",AS208)))</formula>
    </cfRule>
  </conditionalFormatting>
  <conditionalFormatting sqref="AS90:AT90 AW90:AY90 AY91:AY96">
    <cfRule type="containsText" dxfId="618" priority="583" operator="containsText" text="17">
      <formula>NOT(ISERROR(SEARCH("17",AS90)))</formula>
    </cfRule>
  </conditionalFormatting>
  <conditionalFormatting sqref="AS50:AY53">
    <cfRule type="containsText" dxfId="617" priority="506" operator="containsText" text="17">
      <formula>NOT(ISERROR(SEARCH("17",AS50)))</formula>
    </cfRule>
    <cfRule type="containsText" dxfId="616" priority="507" operator="containsText" text="T">
      <formula>NOT(ISERROR(SEARCH("T",AS50)))</formula>
    </cfRule>
  </conditionalFormatting>
  <conditionalFormatting sqref="AS63:AY66">
    <cfRule type="containsText" dxfId="615" priority="496" operator="containsText" text="17">
      <formula>NOT(ISERROR(SEARCH("17",AS63)))</formula>
    </cfRule>
    <cfRule type="containsText" dxfId="614" priority="497" operator="containsText" text="T">
      <formula>NOT(ISERROR(SEARCH("T",AS63)))</formula>
    </cfRule>
  </conditionalFormatting>
  <conditionalFormatting sqref="AS67:BC68">
    <cfRule type="containsText" dxfId="613" priority="239" operator="containsText" text="17">
      <formula>NOT(ISERROR(SEARCH("17",AS67)))</formula>
    </cfRule>
  </conditionalFormatting>
  <conditionalFormatting sqref="AS99:BC102">
    <cfRule type="containsText" dxfId="612" priority="259" operator="containsText" text="17">
      <formula>NOT(ISERROR(SEARCH("17",AS99)))</formula>
    </cfRule>
  </conditionalFormatting>
  <conditionalFormatting sqref="AS105:BC105">
    <cfRule type="containsText" dxfId="611" priority="249" operator="containsText" text="17">
      <formula>NOT(ISERROR(SEARCH("17",AS105)))</formula>
    </cfRule>
  </conditionalFormatting>
  <conditionalFormatting sqref="AS159:BF165">
    <cfRule type="containsText" dxfId="610" priority="186" operator="containsText" text="17">
      <formula>NOT(ISERROR(SEARCH("17",AS159)))</formula>
    </cfRule>
  </conditionalFormatting>
  <conditionalFormatting sqref="AS159:BH165">
    <cfRule type="containsText" dxfId="609" priority="180" operator="containsText" text="T">
      <formula>NOT(ISERROR(SEARCH("T",AS159)))</formula>
    </cfRule>
  </conditionalFormatting>
  <conditionalFormatting sqref="AT14 AX14:AZ14 AC15:AW20 AZ15:AZ20">
    <cfRule type="containsText" dxfId="608" priority="569" operator="containsText" text="T">
      <formula>NOT(ISERROR(SEARCH("T",AC14)))</formula>
    </cfRule>
  </conditionalFormatting>
  <conditionalFormatting sqref="AT50:AT53">
    <cfRule type="containsText" dxfId="607" priority="503" operator="containsText" text="17">
      <formula>NOT(ISERROR(SEARCH("17",AT50)))</formula>
    </cfRule>
    <cfRule type="containsText" dxfId="606" priority="504" operator="containsText" text="T">
      <formula>NOT(ISERROR(SEARCH("T",AT50)))</formula>
    </cfRule>
  </conditionalFormatting>
  <conditionalFormatting sqref="AT63:AT66">
    <cfRule type="containsText" dxfId="605" priority="493" operator="containsText" text="17">
      <formula>NOT(ISERROR(SEARCH("17",AT63)))</formula>
    </cfRule>
    <cfRule type="containsText" dxfId="604" priority="494" operator="containsText" text="T">
      <formula>NOT(ISERROR(SEARCH("T",AT63)))</formula>
    </cfRule>
  </conditionalFormatting>
  <conditionalFormatting sqref="AT90">
    <cfRule type="containsText" dxfId="603" priority="584" operator="containsText" text="T">
      <formula>NOT(ISERROR(SEARCH("T",AT90)))</formula>
    </cfRule>
  </conditionalFormatting>
  <conditionalFormatting sqref="AT201:AT206">
    <cfRule type="containsText" dxfId="602" priority="662" operator="containsText" text="T">
      <formula>NOT(ISERROR(SEARCH("T",AT201)))</formula>
    </cfRule>
  </conditionalFormatting>
  <conditionalFormatting sqref="AT14:AU14 AX14:AZ14 AZ15:AZ20">
    <cfRule type="containsText" dxfId="601" priority="570" operator="containsText" text="17">
      <formula>NOT(ISERROR(SEARCH("17",AT14)))</formula>
    </cfRule>
  </conditionalFormatting>
  <conditionalFormatting sqref="AT59:AZ62">
    <cfRule type="containsText" dxfId="600" priority="482" operator="containsText" text="17">
      <formula>NOT(ISERROR(SEARCH("17",AT59)))</formula>
    </cfRule>
    <cfRule type="containsText" dxfId="599" priority="483" operator="containsText" text="T">
      <formula>NOT(ISERROR(SEARCH("T",AT59)))</formula>
    </cfRule>
  </conditionalFormatting>
  <conditionalFormatting sqref="AT86:AZ89">
    <cfRule type="containsText" dxfId="598" priority="472" operator="containsText" text="17">
      <formula>NOT(ISERROR(SEARCH("17",AT86)))</formula>
    </cfRule>
    <cfRule type="containsText" dxfId="597" priority="473" operator="containsText" text="T">
      <formula>NOT(ISERROR(SEARCH("T",AT86)))</formula>
    </cfRule>
  </conditionalFormatting>
  <conditionalFormatting sqref="AT97:BD98">
    <cfRule type="containsText" dxfId="596" priority="229" operator="containsText" text="17">
      <formula>NOT(ISERROR(SEARCH("17",AT97)))</formula>
    </cfRule>
  </conditionalFormatting>
  <conditionalFormatting sqref="AT131:BD137">
    <cfRule type="containsText" dxfId="595" priority="219" operator="containsText" text="17">
      <formula>NOT(ISERROR(SEARCH("17",AT131)))</formula>
    </cfRule>
  </conditionalFormatting>
  <conditionalFormatting sqref="AU14">
    <cfRule type="containsText" dxfId="594" priority="571" operator="containsText" text="T">
      <formula>NOT(ISERROR(SEARCH("T",AU14)))</formula>
    </cfRule>
  </conditionalFormatting>
  <conditionalFormatting sqref="AU34 AY34:BA34 AD35:AX40 BA35:BA40">
    <cfRule type="containsText" dxfId="593" priority="556" operator="containsText" text="T">
      <formula>NOT(ISERROR(SEARCH("T",AD34)))</formula>
    </cfRule>
  </conditionalFormatting>
  <conditionalFormatting sqref="AU59:AU62">
    <cfRule type="containsText" dxfId="592" priority="479" operator="containsText" text="17">
      <formula>NOT(ISERROR(SEARCH("17",AU59)))</formula>
    </cfRule>
    <cfRule type="containsText" dxfId="591" priority="480" operator="containsText" text="T">
      <formula>NOT(ISERROR(SEARCH("T",AU59)))</formula>
    </cfRule>
  </conditionalFormatting>
  <conditionalFormatting sqref="AU86:AU89">
    <cfRule type="containsText" dxfId="590" priority="469" operator="containsText" text="17">
      <formula>NOT(ISERROR(SEARCH("17",AU86)))</formula>
    </cfRule>
    <cfRule type="containsText" dxfId="589" priority="470" operator="containsText" text="T">
      <formula>NOT(ISERROR(SEARCH("T",AU86)))</formula>
    </cfRule>
  </conditionalFormatting>
  <conditionalFormatting sqref="AU194:AU199">
    <cfRule type="containsText" dxfId="588" priority="649" operator="containsText" text="T">
      <formula>NOT(ISERROR(SEARCH("T",AU194)))</formula>
    </cfRule>
  </conditionalFormatting>
  <conditionalFormatting sqref="AU34:AV34 AY34:BA34 BA35:BA40">
    <cfRule type="containsText" dxfId="587" priority="557" operator="containsText" text="17">
      <formula>NOT(ISERROR(SEARCH("17",AU34)))</formula>
    </cfRule>
  </conditionalFormatting>
  <conditionalFormatting sqref="AU83:BA85">
    <cfRule type="containsText" dxfId="586" priority="462" operator="containsText" text="17">
      <formula>NOT(ISERROR(SEARCH("17",AU83)))</formula>
    </cfRule>
    <cfRule type="containsText" dxfId="585" priority="463" operator="containsText" text="T">
      <formula>NOT(ISERROR(SEARCH("T",AU83)))</formula>
    </cfRule>
  </conditionalFormatting>
  <conditionalFormatting sqref="AU214:BA217">
    <cfRule type="containsText" dxfId="584" priority="452" operator="containsText" text="17">
      <formula>NOT(ISERROR(SEARCH("17",AU214)))</formula>
    </cfRule>
    <cfRule type="containsText" dxfId="583" priority="453" operator="containsText" text="T">
      <formula>NOT(ISERROR(SEARCH("T",AU214)))</formula>
    </cfRule>
  </conditionalFormatting>
  <conditionalFormatting sqref="AU138:BE144">
    <cfRule type="containsText" dxfId="582" priority="209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F63:BI66 BQ67:CP68 BP69:CP71 J69:M75 BO72:CP75 BN76:CP78 J76:J82 BL79:CP82 BH83:CP85 BG86:CP89 J90:AA96 AZ90:CP96 BQ99:CP102 J99:N105 BP103:CP104 BO106:CP106 J106:K112 BN107:CP112 BK113:CP116 BL117:CP119 BO120:CP120 BP121:CP121 BO122:CP122 BP123:CP123 BO124:CP126 J127:O130 AN127:CP130 O130:AO130 J131:P137 BR131:CP137 J138:Q144 BS138:CP144 J145:R151 BT145:CP151 J152:S158 BU152:CP158 J159:T165 BV159:CP165 J166:CP167 J168:X174 J175:Y181 J182:Z190 J192:W199 AV192:CP199 J200:V206 J207:U213 BH214:XFD217 BI218:XFD220 BI218:CP224 BJ225:CP231 BK232:CP234 BQ105:CP105 AJ107:AO112 J120:L126 CG28:CP32 CF41:CP47 CG48:CP49 BG60:BI62 CH60:CP66">
    <cfRule type="containsText" dxfId="581" priority="8468" operator="containsText" text="17">
      <formula>NOT(ISERROR(SEARCH("17",J14)))</formula>
    </cfRule>
  </conditionalFormatting>
  <conditionalFormatting sqref="AV21 AZ21:BB21 AE22:AY27">
    <cfRule type="containsText" dxfId="580" priority="543" operator="containsText" text="T">
      <formula>NOT(ISERROR(SEARCH("T",AE21)))</formula>
    </cfRule>
  </conditionalFormatting>
  <conditionalFormatting sqref="AV34">
    <cfRule type="containsText" dxfId="579" priority="558" operator="containsText" text="T">
      <formula>NOT(ISERROR(SEARCH("T",AV34)))</formula>
    </cfRule>
  </conditionalFormatting>
  <conditionalFormatting sqref="AV83:AV85">
    <cfRule type="containsText" dxfId="578" priority="459" operator="containsText" text="17">
      <formula>NOT(ISERROR(SEARCH("17",AV83)))</formula>
    </cfRule>
    <cfRule type="containsText" dxfId="577" priority="460" operator="containsText" text="T">
      <formula>NOT(ISERROR(SEARCH("T",AV83)))</formula>
    </cfRule>
  </conditionalFormatting>
  <conditionalFormatting sqref="AV169:AV174">
    <cfRule type="containsText" dxfId="576" priority="631" operator="containsText" text="T">
      <formula>NOT(ISERROR(SEARCH("T",AV169)))</formula>
    </cfRule>
  </conditionalFormatting>
  <conditionalFormatting sqref="AV214:AV217">
    <cfRule type="containsText" dxfId="575" priority="449" operator="containsText" text="17">
      <formula>NOT(ISERROR(SEARCH("17",AV214)))</formula>
    </cfRule>
    <cfRule type="containsText" dxfId="574" priority="450" operator="containsText" text="T">
      <formula>NOT(ISERROR(SEARCH("T",AV214)))</formula>
    </cfRule>
  </conditionalFormatting>
  <conditionalFormatting sqref="AV21:AW21 AZ21:BB21 BB22:BF27">
    <cfRule type="containsText" dxfId="573" priority="544" operator="containsText" text="17">
      <formula>NOT(ISERROR(SEARCH("17",AV21)))</formula>
    </cfRule>
  </conditionalFormatting>
  <conditionalFormatting sqref="AV218:BB224">
    <cfRule type="containsText" dxfId="572" priority="442" operator="containsText" text="17">
      <formula>NOT(ISERROR(SEARCH("17",AV218)))</formula>
    </cfRule>
    <cfRule type="containsText" dxfId="571" priority="443" operator="containsText" text="T">
      <formula>NOT(ISERROR(SEARCH("T",AV218)))</formula>
    </cfRule>
  </conditionalFormatting>
  <conditionalFormatting sqref="AV145:BF151">
    <cfRule type="containsText" dxfId="570" priority="199" operator="containsText" text="17">
      <formula>NOT(ISERROR(SEARCH("17",AV145)))</formula>
    </cfRule>
  </conditionalFormatting>
  <conditionalFormatting sqref="AV192:CP199 BH214:XFD217 BJ225:CP231 BI218:XFD220 BI218:CP224 AU200:CP206 AT207:CP213 AN127:CP130 AY189:CP190 BG86:CP89 AZ90:CP96 BL79:CP82 BT145:CP151 BC21:BF27 BE28:BH32 BD41:BG47 BE48:BH49 BF50:CP53 AG53:BG53 J54:CP58 BG59:CP59 BF63:BI66 BQ67:CP68 BP69:CP71 BO72:CP75 BN76:CP78 BH83:CP85 BQ99:CP102 BP103:CP104 BO106:CP106 BN107:CP112 BK113:CP116 BL117:CP119 BO120:CP120 BP121:CP121 BO122:CP122 BP123:CP123 BO124:CP126 BR131:CP137 BS138:CP144 BU152:CP158 BV159:CP165 AY182:BC188 O130:AO13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 BG60:BI62 CH60:CP66">
    <cfRule type="containsText" dxfId="569" priority="7238" operator="containsText" text="T">
      <formula>NOT(ISERROR(SEARCH("T",J14)))</formula>
    </cfRule>
  </conditionalFormatting>
  <conditionalFormatting sqref="AW21">
    <cfRule type="containsText" dxfId="568" priority="545" operator="containsText" text="T">
      <formula>NOT(ISERROR(SEARCH("T",AW21)))</formula>
    </cfRule>
  </conditionalFormatting>
  <conditionalFormatting sqref="AW41 BA41:BC41 AF42:AZ47 BC42:BC47">
    <cfRule type="containsText" dxfId="567" priority="530" operator="containsText" text="T">
      <formula>NOT(ISERROR(SEARCH("T",AF41)))</formula>
    </cfRule>
  </conditionalFormatting>
  <conditionalFormatting sqref="AW176:AW181">
    <cfRule type="containsText" dxfId="566" priority="618" operator="containsText" text="T">
      <formula>NOT(ISERROR(SEARCH("T",AW176)))</formula>
    </cfRule>
  </conditionalFormatting>
  <conditionalFormatting sqref="AW218:AW224">
    <cfRule type="containsText" dxfId="565" priority="439" operator="containsText" text="17">
      <formula>NOT(ISERROR(SEARCH("17",AW218)))</formula>
    </cfRule>
    <cfRule type="containsText" dxfId="564" priority="440" operator="containsText" text="T">
      <formula>NOT(ISERROR(SEARCH("T",AW218)))</formula>
    </cfRule>
  </conditionalFormatting>
  <conditionalFormatting sqref="AW41:AX41 BA41:BC41 BC42:BC47">
    <cfRule type="containsText" dxfId="563" priority="531" operator="containsText" text="17">
      <formula>NOT(ISERROR(SEARCH("17",AW41)))</formula>
    </cfRule>
  </conditionalFormatting>
  <conditionalFormatting sqref="AW225:BC231">
    <cfRule type="containsText" dxfId="562" priority="432" operator="containsText" text="17">
      <formula>NOT(ISERROR(SEARCH("17",AW225)))</formula>
    </cfRule>
    <cfRule type="containsText" dxfId="561" priority="433" operator="containsText" text="T">
      <formula>NOT(ISERROR(SEARCH("T",AW225)))</formula>
    </cfRule>
  </conditionalFormatting>
  <conditionalFormatting sqref="AW152:BG158">
    <cfRule type="containsText" dxfId="560" priority="189" operator="containsText" text="17">
      <formula>NOT(ISERROR(SEARCH("17",AW152)))</formula>
    </cfRule>
  </conditionalFormatting>
  <conditionalFormatting sqref="AW168:CP174">
    <cfRule type="containsText" dxfId="559" priority="140" operator="containsText" text="17">
      <formula>NOT(ISERROR(SEARCH("17",AW168)))</formula>
    </cfRule>
  </conditionalFormatting>
  <conditionalFormatting sqref="AX28:AX32 BB28:BD32">
    <cfRule type="containsText" dxfId="558" priority="520" operator="containsText" text="T">
      <formula>NOT(ISERROR(SEARCH("T",AX28)))</formula>
    </cfRule>
  </conditionalFormatting>
  <conditionalFormatting sqref="AX41">
    <cfRule type="containsText" dxfId="557" priority="532" operator="containsText" text="T">
      <formula>NOT(ISERROR(SEARCH("T",AX41)))</formula>
    </cfRule>
  </conditionalFormatting>
  <conditionalFormatting sqref="AX48:AX49 BB48:BD49">
    <cfRule type="containsText" dxfId="556" priority="510" operator="containsText" text="T">
      <formula>NOT(ISERROR(SEARCH("T",AX48)))</formula>
    </cfRule>
  </conditionalFormatting>
  <conditionalFormatting sqref="AX180:AX181 AY182:AY185 BM191 BU200:BU202 BV203:BV205">
    <cfRule type="containsText" dxfId="555" priority="7254" operator="containsText" text="T">
      <formula>NOT(ISERROR(SEARCH("T",AX180)))</formula>
    </cfRule>
    <cfRule type="containsText" dxfId="554" priority="7255" operator="containsText" text="17">
      <formula>NOT(ISERROR(SEARCH("17",AX180)))</formula>
    </cfRule>
    <cfRule type="containsText" dxfId="553" priority="7256" operator="containsText" text="T">
      <formula>NOT(ISERROR(SEARCH("T",AX180)))</formula>
    </cfRule>
  </conditionalFormatting>
  <conditionalFormatting sqref="AX183:AX190">
    <cfRule type="containsText" dxfId="552" priority="605" operator="containsText" text="T">
      <formula>NOT(ISERROR(SEARCH("T",AX183)))</formula>
    </cfRule>
  </conditionalFormatting>
  <conditionalFormatting sqref="AX192">
    <cfRule type="containsText" dxfId="551" priority="2304" operator="containsText" text="17">
      <formula>NOT(ISERROR(SEARCH("17",AX192)))</formula>
    </cfRule>
    <cfRule type="containsText" dxfId="550" priority="2305" operator="containsText" text="T">
      <formula>NOT(ISERROR(SEARCH("T",AX192)))</formula>
    </cfRule>
    <cfRule type="containsText" dxfId="549" priority="6201" operator="containsText" text="17">
      <formula>NOT(ISERROR(SEARCH("17",AX192)))</formula>
    </cfRule>
    <cfRule type="containsText" dxfId="548" priority="6202" operator="containsText" text="T">
      <formula>NOT(ISERROR(SEARCH("T",AX192)))</formula>
    </cfRule>
  </conditionalFormatting>
  <conditionalFormatting sqref="AX196:AX198">
    <cfRule type="containsText" dxfId="547" priority="7229" operator="containsText" text="17">
      <formula>NOT(ISERROR(SEARCH("17",AX196)))</formula>
    </cfRule>
    <cfRule type="containsText" dxfId="546" priority="7230" operator="containsText" text="T">
      <formula>NOT(ISERROR(SEARCH("T",AX196)))</formula>
    </cfRule>
  </conditionalFormatting>
  <conditionalFormatting sqref="AX225:AX231">
    <cfRule type="containsText" dxfId="545" priority="429" operator="containsText" text="17">
      <formula>NOT(ISERROR(SEARCH("17",AX225)))</formula>
    </cfRule>
    <cfRule type="containsText" dxfId="544" priority="430" operator="containsText" text="T">
      <formula>NOT(ISERROR(SEARCH("T",AX225)))</formula>
    </cfRule>
  </conditionalFormatting>
  <conditionalFormatting sqref="AX28:AY32 BB28:BD32">
    <cfRule type="containsText" dxfId="543" priority="521" operator="containsText" text="17">
      <formula>NOT(ISERROR(SEARCH("17",AX28)))</formula>
    </cfRule>
  </conditionalFormatting>
  <conditionalFormatting sqref="AX48:AY49 BB48:BD49">
    <cfRule type="containsText" dxfId="542" priority="511" operator="containsText" text="17">
      <formula>NOT(ISERROR(SEARCH("17",AX48)))</formula>
    </cfRule>
  </conditionalFormatting>
  <conditionalFormatting sqref="AX170:BA170">
    <cfRule type="containsText" dxfId="541" priority="8663" operator="containsText" text="17">
      <formula>NOT(ISERROR(SEARCH("17",AX170)))</formula>
    </cfRule>
    <cfRule type="containsText" dxfId="540" priority="8664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539" priority="4995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538" priority="4996" operator="containsText" text="T">
      <formula>NOT(ISERROR(SEARCH("T",AX199)))</formula>
    </cfRule>
  </conditionalFormatting>
  <conditionalFormatting sqref="AX33:BC33">
    <cfRule type="containsText" dxfId="537" priority="8767" operator="containsText" text="T">
      <formula>NOT(ISERROR(SEARCH("T",AX33)))</formula>
    </cfRule>
  </conditionalFormatting>
  <conditionalFormatting sqref="AX113:BD116">
    <cfRule type="containsText" dxfId="536" priority="412" operator="containsText" text="17">
      <formula>NOT(ISERROR(SEARCH("17",AX113)))</formula>
    </cfRule>
    <cfRule type="containsText" dxfId="535" priority="413" operator="containsText" text="T">
      <formula>NOT(ISERROR(SEARCH("T",AX113)))</formula>
    </cfRule>
  </conditionalFormatting>
  <conditionalFormatting sqref="AX232:BD234">
    <cfRule type="containsText" dxfId="534" priority="422" operator="containsText" text="17">
      <formula>NOT(ISERROR(SEARCH("17",AX232)))</formula>
    </cfRule>
    <cfRule type="containsText" dxfId="533" priority="423" operator="containsText" text="T">
      <formula>NOT(ISERROR(SEARCH("T",AX232)))</formula>
    </cfRule>
  </conditionalFormatting>
  <conditionalFormatting sqref="AX199:BE199 AX206:BD206 AX213">
    <cfRule type="containsText" dxfId="532" priority="5003" operator="containsText" text="17">
      <formula>NOT(ISERROR(SEARCH("17",AX199)))</formula>
    </cfRule>
    <cfRule type="containsText" dxfId="531" priority="5004" operator="containsText" text="T">
      <formula>NOT(ISERROR(SEARCH("T",AX199)))</formula>
    </cfRule>
  </conditionalFormatting>
  <conditionalFormatting sqref="AX159:BH165">
    <cfRule type="containsText" dxfId="530" priority="179" operator="containsText" text="17">
      <formula>NOT(ISERROR(SEARCH("17",AX159)))</formula>
    </cfRule>
  </conditionalFormatting>
  <conditionalFormatting sqref="AX175:CP181">
    <cfRule type="containsText" dxfId="529" priority="107" operator="containsText" text="T">
      <formula>NOT(ISERROR(SEARCH("T",AX175)))</formula>
    </cfRule>
  </conditionalFormatting>
  <conditionalFormatting sqref="AY28:AY32">
    <cfRule type="containsText" dxfId="528" priority="522" operator="containsText" text="T">
      <formula>NOT(ISERROR(SEARCH("T",AY28)))</formula>
    </cfRule>
  </conditionalFormatting>
  <conditionalFormatting sqref="AY33">
    <cfRule type="containsText" dxfId="527" priority="8141" operator="containsText" text="17">
      <formula>NOT(ISERROR(SEARCH("17",AY33)))</formula>
    </cfRule>
    <cfRule type="containsText" dxfId="526" priority="8142" operator="containsText" text="T">
      <formula>NOT(ISERROR(SEARCH("T",AY33)))</formula>
    </cfRule>
  </conditionalFormatting>
  <conditionalFormatting sqref="AY48:AY49">
    <cfRule type="containsText" dxfId="525" priority="512" operator="containsText" text="T">
      <formula>NOT(ISERROR(SEARCH("T",AY48)))</formula>
    </cfRule>
  </conditionalFormatting>
  <conditionalFormatting sqref="AY50:AY53 BC50:BE53">
    <cfRule type="containsText" dxfId="524" priority="500" operator="containsText" text="T">
      <formula>NOT(ISERROR(SEARCH("T",AY50)))</formula>
    </cfRule>
  </conditionalFormatting>
  <conditionalFormatting sqref="AY63:AY66 BC63:BI66">
    <cfRule type="containsText" dxfId="523" priority="490" operator="containsText" text="T">
      <formula>NOT(ISERROR(SEARCH("T",AY63)))</formula>
    </cfRule>
  </conditionalFormatting>
  <conditionalFormatting sqref="AY91:AY96">
    <cfRule type="containsText" dxfId="522" priority="592" operator="containsText" text="T">
      <formula>NOT(ISERROR(SEARCH("T",AY91)))</formula>
    </cfRule>
  </conditionalFormatting>
  <conditionalFormatting sqref="AY113:AY116">
    <cfRule type="containsText" dxfId="521" priority="409" operator="containsText" text="17">
      <formula>NOT(ISERROR(SEARCH("17",AY113)))</formula>
    </cfRule>
    <cfRule type="containsText" dxfId="520" priority="410" operator="containsText" text="T">
      <formula>NOT(ISERROR(SEARCH("T",AY113)))</formula>
    </cfRule>
  </conditionalFormatting>
  <conditionalFormatting sqref="AY182:AY185 BM191 BU200:BU202 BV203:BV205 AX180:AX181">
    <cfRule type="containsText" dxfId="519" priority="7253" operator="containsText" text="17">
      <formula>NOT(ISERROR(SEARCH("17",AX180)))</formula>
    </cfRule>
  </conditionalFormatting>
  <conditionalFormatting sqref="AY189">
    <cfRule type="containsText" dxfId="518" priority="4827" operator="containsText" text="17">
      <formula>NOT(ISERROR(SEARCH("17",AY189)))</formula>
    </cfRule>
    <cfRule type="containsText" dxfId="517" priority="4828" operator="containsText" text="T">
      <formula>NOT(ISERROR(SEARCH("T",AY189)))</formula>
    </cfRule>
    <cfRule type="containsText" dxfId="516" priority="4845" operator="containsText" text="17">
      <formula>NOT(ISERROR(SEARCH("17",AY189)))</formula>
    </cfRule>
    <cfRule type="containsText" dxfId="515" priority="4846" operator="containsText" text="T">
      <formula>NOT(ISERROR(SEARCH("T",AY189)))</formula>
    </cfRule>
  </conditionalFormatting>
  <conditionalFormatting sqref="AY190 AX191:BH191 BK191 BO191:BS191">
    <cfRule type="containsText" dxfId="514" priority="8449" operator="containsText" text="T">
      <formula>NOT(ISERROR(SEARCH("T",AX190)))</formula>
    </cfRule>
  </conditionalFormatting>
  <conditionalFormatting sqref="AY199 AX206">
    <cfRule type="containsText" dxfId="513" priority="2078" operator="containsText" text="17">
      <formula>NOT(ISERROR(SEARCH("17",AX199)))</formula>
    </cfRule>
    <cfRule type="containsText" dxfId="512" priority="2079" operator="containsText" text="T">
      <formula>NOT(ISERROR(SEARCH("T",AX199)))</formula>
    </cfRule>
  </conditionalFormatting>
  <conditionalFormatting sqref="AY232:AY234">
    <cfRule type="containsText" dxfId="511" priority="419" operator="containsText" text="17">
      <formula>NOT(ISERROR(SEARCH("17",AY232)))</formula>
    </cfRule>
    <cfRule type="containsText" dxfId="510" priority="420" operator="containsText" text="T">
      <formula>NOT(ISERROR(SEARCH("T",AY232)))</formula>
    </cfRule>
  </conditionalFormatting>
  <conditionalFormatting sqref="AY50:AZ53 BC50:BE53">
    <cfRule type="containsText" dxfId="509" priority="501" operator="containsText" text="17">
      <formula>NOT(ISERROR(SEARCH("17",AY50)))</formula>
    </cfRule>
  </conditionalFormatting>
  <conditionalFormatting sqref="AY63:AZ66 BC63:BE66">
    <cfRule type="containsText" dxfId="508" priority="491" operator="containsText" text="17">
      <formula>NOT(ISERROR(SEARCH("17",AY63)))</formula>
    </cfRule>
  </conditionalFormatting>
  <conditionalFormatting sqref="AY79:BE82">
    <cfRule type="containsText" dxfId="507" priority="392" operator="containsText" text="17">
      <formula>NOT(ISERROR(SEARCH("17",AY79)))</formula>
    </cfRule>
    <cfRule type="containsText" dxfId="506" priority="393" operator="containsText" text="T">
      <formula>NOT(ISERROR(SEARCH("T",AY79)))</formula>
    </cfRule>
  </conditionalFormatting>
  <conditionalFormatting sqref="AY117:BE119">
    <cfRule type="containsText" dxfId="505" priority="402" operator="containsText" text="17">
      <formula>NOT(ISERROR(SEARCH("17",AY117)))</formula>
    </cfRule>
    <cfRule type="containsText" dxfId="504" priority="403" operator="containsText" text="T">
      <formula>NOT(ISERROR(SEARCH("T",AY117)))</formula>
    </cfRule>
  </conditionalFormatting>
  <conditionalFormatting sqref="AY207:BI213">
    <cfRule type="containsText" dxfId="503" priority="169" operator="containsText" text="17">
      <formula>NOT(ISERROR(SEARCH("17",AY207)))</formula>
    </cfRule>
  </conditionalFormatting>
  <conditionalFormatting sqref="AY207:BP213">
    <cfRule type="containsText" dxfId="502" priority="178" operator="containsText" text="T">
      <formula>NOT(ISERROR(SEARCH("T",AY207)))</formula>
    </cfRule>
  </conditionalFormatting>
  <conditionalFormatting sqref="AY193:BV213 AX195:BV195 BH214:BV215">
    <cfRule type="containsText" dxfId="501" priority="849" operator="containsText" text="T">
      <formula>NOT(ISERROR(SEARCH("T",AX193)))</formula>
    </cfRule>
  </conditionalFormatting>
  <conditionalFormatting sqref="AZ15:AZ20">
    <cfRule type="containsText" dxfId="500" priority="579" operator="containsText" text="T">
      <formula>NOT(ISERROR(SEARCH("T",AZ15)))</formula>
    </cfRule>
  </conditionalFormatting>
  <conditionalFormatting sqref="AZ50:AZ53">
    <cfRule type="containsText" dxfId="499" priority="502" operator="containsText" text="T">
      <formula>NOT(ISERROR(SEARCH("T",AZ50)))</formula>
    </cfRule>
  </conditionalFormatting>
  <conditionalFormatting sqref="AZ63:AZ66">
    <cfRule type="containsText" dxfId="498" priority="492" operator="containsText" text="T">
      <formula>NOT(ISERROR(SEARCH("T",AZ63)))</formula>
    </cfRule>
  </conditionalFormatting>
  <conditionalFormatting sqref="AZ79:AZ82">
    <cfRule type="containsText" dxfId="497" priority="389" operator="containsText" text="17">
      <formula>NOT(ISERROR(SEARCH("17",AZ79)))</formula>
    </cfRule>
    <cfRule type="containsText" dxfId="496" priority="390" operator="containsText" text="T">
      <formula>NOT(ISERROR(SEARCH("T",AZ79)))</formula>
    </cfRule>
  </conditionalFormatting>
  <conditionalFormatting sqref="AZ86:AZ89 BD86:BF89">
    <cfRule type="containsText" dxfId="495" priority="466" operator="containsText" text="T">
      <formula>NOT(ISERROR(SEARCH("T",AZ86)))</formula>
    </cfRule>
  </conditionalFormatting>
  <conditionalFormatting sqref="AZ117:AZ119">
    <cfRule type="containsText" dxfId="494" priority="399" operator="containsText" text="17">
      <formula>NOT(ISERROR(SEARCH("17",AZ117)))</formula>
    </cfRule>
    <cfRule type="containsText" dxfId="493" priority="400" operator="containsText" text="T">
      <formula>NOT(ISERROR(SEARCH("T",AZ117)))</formula>
    </cfRule>
  </conditionalFormatting>
  <conditionalFormatting sqref="AZ59:BA62 BD59:BF62">
    <cfRule type="containsText" dxfId="492" priority="477" operator="containsText" text="17">
      <formula>NOT(ISERROR(SEARCH("17",AZ59)))</formula>
    </cfRule>
  </conditionalFormatting>
  <conditionalFormatting sqref="AZ86:BA89 BD86:BF89">
    <cfRule type="containsText" dxfId="491" priority="467" operator="containsText" text="17">
      <formula>NOT(ISERROR(SEARCH("17",AZ86)))</formula>
    </cfRule>
  </conditionalFormatting>
  <conditionalFormatting sqref="AZ93:BB93">
    <cfRule type="containsText" dxfId="490" priority="3991" operator="containsText" text="17">
      <formula>NOT(ISERROR(SEARCH("17",AZ93)))</formula>
    </cfRule>
    <cfRule type="containsText" dxfId="489" priority="3992" operator="containsText" text="T">
      <formula>NOT(ISERROR(SEARCH("T",AZ93)))</formula>
    </cfRule>
  </conditionalFormatting>
  <conditionalFormatting sqref="AZ175:BB178">
    <cfRule type="containsText" dxfId="488" priority="868" operator="containsText" text="T">
      <formula>NOT(ISERROR(SEARCH("T",AZ175)))</formula>
    </cfRule>
  </conditionalFormatting>
  <conditionalFormatting sqref="AZ180:BB181 AZ182:BC183">
    <cfRule type="containsText" dxfId="487" priority="862" operator="containsText" text="T">
      <formula>NOT(ISERROR(SEARCH("T",AZ180)))</formula>
    </cfRule>
  </conditionalFormatting>
  <conditionalFormatting sqref="AZ185:BC188 AZ189:BW190">
    <cfRule type="containsText" dxfId="486" priority="856" operator="containsText" text="T">
      <formula>NOT(ISERROR(SEARCH("T",AZ185)))</formula>
    </cfRule>
  </conditionalFormatting>
  <conditionalFormatting sqref="AZ200:BJ206">
    <cfRule type="containsText" dxfId="485" priority="158" operator="containsText" text="17">
      <formula>NOT(ISERROR(SEARCH("17",AZ200)))</formula>
    </cfRule>
  </conditionalFormatting>
  <conditionalFormatting sqref="AZ200:BW206">
    <cfRule type="containsText" dxfId="484" priority="167" operator="containsText" text="T">
      <formula>NOT(ISERROR(SEARCH("T",AZ200)))</formula>
    </cfRule>
  </conditionalFormatting>
  <conditionalFormatting sqref="BA22:BA27">
    <cfRule type="containsText" dxfId="483" priority="484" operator="containsText" text="T">
      <formula>NOT(ISERROR(SEARCH("T",BA22)))</formula>
    </cfRule>
    <cfRule type="containsText" dxfId="482" priority="485" operator="containsText" text="17">
      <formula>NOT(ISERROR(SEARCH("17",BA22)))</formula>
    </cfRule>
  </conditionalFormatting>
  <conditionalFormatting sqref="BA35:BA40">
    <cfRule type="containsText" dxfId="481" priority="566" operator="containsText" text="T">
      <formula>NOT(ISERROR(SEARCH("T",BA35)))</formula>
    </cfRule>
  </conditionalFormatting>
  <conditionalFormatting sqref="BA59:BA62">
    <cfRule type="containsText" dxfId="480" priority="478" operator="containsText" text="T">
      <formula>NOT(ISERROR(SEARCH("T",BA59)))</formula>
    </cfRule>
  </conditionalFormatting>
  <conditionalFormatting sqref="BA83:BA85 BE83:BG85">
    <cfRule type="containsText" dxfId="479" priority="456" operator="containsText" text="T">
      <formula>NOT(ISERROR(SEARCH("T",BA83)))</formula>
    </cfRule>
  </conditionalFormatting>
  <conditionalFormatting sqref="BA86:BA89">
    <cfRule type="containsText" dxfId="478" priority="468" operator="containsText" text="T">
      <formula>NOT(ISERROR(SEARCH("T",BA86)))</formula>
    </cfRule>
  </conditionalFormatting>
  <conditionalFormatting sqref="BA199 AZ206">
    <cfRule type="containsText" dxfId="477" priority="4991" operator="containsText" text="17">
      <formula>NOT(ISERROR(SEARCH("17",AZ199)))</formula>
    </cfRule>
    <cfRule type="containsText" dxfId="476" priority="4992" operator="containsText" text="T">
      <formula>NOT(ISERROR(SEARCH("T",AZ199)))</formula>
    </cfRule>
  </conditionalFormatting>
  <conditionalFormatting sqref="BA214:BA217 BE214:BG217">
    <cfRule type="containsText" dxfId="475" priority="446" operator="containsText" text="T">
      <formula>NOT(ISERROR(SEARCH("T",BA214)))</formula>
    </cfRule>
  </conditionalFormatting>
  <conditionalFormatting sqref="BA22:BB27">
    <cfRule type="containsText" dxfId="474" priority="487" operator="containsText" text="T">
      <formula>NOT(ISERROR(SEARCH("T",BA22)))</formula>
    </cfRule>
  </conditionalFormatting>
  <conditionalFormatting sqref="BA83:BB85 BE83:BG85">
    <cfRule type="containsText" dxfId="473" priority="457" operator="containsText" text="17">
      <formula>NOT(ISERROR(SEARCH("17",BA83)))</formula>
    </cfRule>
  </conditionalFormatting>
  <conditionalFormatting sqref="BA214:BB217 BE214:BG217">
    <cfRule type="containsText" dxfId="472" priority="447" operator="containsText" text="17">
      <formula>NOT(ISERROR(SEARCH("17",BA214)))</formula>
    </cfRule>
  </conditionalFormatting>
  <conditionalFormatting sqref="BA76:BG78">
    <cfRule type="containsText" dxfId="471" priority="367" operator="containsText" text="17">
      <formula>NOT(ISERROR(SEARCH("17",BA76)))</formula>
    </cfRule>
    <cfRule type="containsText" dxfId="470" priority="368" operator="containsText" text="T">
      <formula>NOT(ISERROR(SEARCH("T",BA76)))</formula>
    </cfRule>
  </conditionalFormatting>
  <conditionalFormatting sqref="BA107:BG112">
    <cfRule type="containsText" dxfId="469" priority="377" operator="containsText" text="17">
      <formula>NOT(ISERROR(SEARCH("17",BA107)))</formula>
    </cfRule>
    <cfRule type="containsText" dxfId="468" priority="378" operator="containsText" text="T">
      <formula>NOT(ISERROR(SEARCH("T",BA107)))</formula>
    </cfRule>
  </conditionalFormatting>
  <conditionalFormatting sqref="BA192:BK199">
    <cfRule type="containsText" dxfId="467" priority="141" operator="containsText" text="17">
      <formula>NOT(ISERROR(SEARCH("17",BA192)))</formula>
    </cfRule>
  </conditionalFormatting>
  <conditionalFormatting sqref="BA192:BR199">
    <cfRule type="containsText" dxfId="466" priority="148" operator="containsText" text="T">
      <formula>NOT(ISERROR(SEARCH("T",BA192)))</formula>
    </cfRule>
  </conditionalFormatting>
  <conditionalFormatting sqref="BA192:BX199 AY193:BV213 AX195:BV195 AZ200:BW206 BH214:BV215">
    <cfRule type="containsText" dxfId="465" priority="850" operator="containsText" text="17">
      <formula>NOT(ISERROR(SEARCH("17",AX192)))</formula>
    </cfRule>
  </conditionalFormatting>
  <conditionalFormatting sqref="BA192:BX199">
    <cfRule type="containsText" dxfId="464" priority="157" operator="containsText" text="T">
      <formula>NOT(ISERROR(SEARCH("T",BA192)))</formula>
    </cfRule>
  </conditionalFormatting>
  <conditionalFormatting sqref="BB22:BB27">
    <cfRule type="containsText" dxfId="463" priority="553" operator="containsText" text="T">
      <formula>NOT(ISERROR(SEARCH("T",BB22)))</formula>
    </cfRule>
  </conditionalFormatting>
  <conditionalFormatting sqref="BB76:BB78">
    <cfRule type="containsText" dxfId="462" priority="364" operator="containsText" text="17">
      <formula>NOT(ISERROR(SEARCH("17",BB76)))</formula>
    </cfRule>
    <cfRule type="containsText" dxfId="461" priority="365" operator="containsText" text="T">
      <formula>NOT(ISERROR(SEARCH("T",BB76)))</formula>
    </cfRule>
  </conditionalFormatting>
  <conditionalFormatting sqref="BB83:BB85">
    <cfRule type="containsText" dxfId="460" priority="458" operator="containsText" text="T">
      <formula>NOT(ISERROR(SEARCH("T",BB83)))</formula>
    </cfRule>
  </conditionalFormatting>
  <conditionalFormatting sqref="BB107:BB112">
    <cfRule type="containsText" dxfId="459" priority="374" operator="containsText" text="17">
      <formula>NOT(ISERROR(SEARCH("17",BB107)))</formula>
    </cfRule>
    <cfRule type="containsText" dxfId="458" priority="375" operator="containsText" text="T">
      <formula>NOT(ISERROR(SEARCH("T",BB107)))</formula>
    </cfRule>
  </conditionalFormatting>
  <conditionalFormatting sqref="BB199 BD199:BI199 BA206 BC206:BH206">
    <cfRule type="containsText" dxfId="457" priority="5005" operator="containsText" text="17">
      <formula>NOT(ISERROR(SEARCH("17",BA199)))</formula>
    </cfRule>
    <cfRule type="containsText" dxfId="456" priority="5006" operator="containsText" text="T">
      <formula>NOT(ISERROR(SEARCH("T",BA199)))</formula>
    </cfRule>
  </conditionalFormatting>
  <conditionalFormatting sqref="BB214:BB217">
    <cfRule type="containsText" dxfId="455" priority="448" operator="containsText" text="T">
      <formula>NOT(ISERROR(SEARCH("T",BB214)))</formula>
    </cfRule>
  </conditionalFormatting>
  <conditionalFormatting sqref="BB218:BB224 BF218:BH224">
    <cfRule type="containsText" dxfId="454" priority="436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453" priority="8481" operator="containsText" text="T">
      <formula>NOT(ISERROR(SEARCH("T",AX35)))</formula>
    </cfRule>
  </conditionalFormatting>
  <conditionalFormatting sqref="BB218:BC224 BF218:BH224">
    <cfRule type="containsText" dxfId="452" priority="437" operator="containsText" text="17">
      <formula>NOT(ISERROR(SEARCH("17",BB218)))</formula>
    </cfRule>
  </conditionalFormatting>
  <conditionalFormatting sqref="BB72:BH75">
    <cfRule type="containsText" dxfId="451" priority="357" operator="containsText" text="17">
      <formula>NOT(ISERROR(SEARCH("17",BB72)))</formula>
    </cfRule>
    <cfRule type="containsText" dxfId="450" priority="358" operator="containsText" text="T">
      <formula>NOT(ISERROR(SEARCH("T",BB72)))</formula>
    </cfRule>
  </conditionalFormatting>
  <conditionalFormatting sqref="BB106:BH106">
    <cfRule type="containsText" dxfId="449" priority="347" operator="containsText" text="17">
      <formula>NOT(ISERROR(SEARCH("17",BB106)))</formula>
    </cfRule>
    <cfRule type="containsText" dxfId="448" priority="348" operator="containsText" text="T">
      <formula>NOT(ISERROR(SEARCH("T",BB106)))</formula>
    </cfRule>
  </conditionalFormatting>
  <conditionalFormatting sqref="BB120:BH120">
    <cfRule type="containsText" dxfId="447" priority="327" operator="containsText" text="17">
      <formula>NOT(ISERROR(SEARCH("17",BB120)))</formula>
    </cfRule>
    <cfRule type="containsText" dxfId="446" priority="328" operator="containsText" text="T">
      <formula>NOT(ISERROR(SEARCH("T",BB120)))</formula>
    </cfRule>
  </conditionalFormatting>
  <conditionalFormatting sqref="BB122:BH122">
    <cfRule type="containsText" dxfId="445" priority="317" operator="containsText" text="17">
      <formula>NOT(ISERROR(SEARCH("17",BB122)))</formula>
    </cfRule>
    <cfRule type="containsText" dxfId="444" priority="318" operator="containsText" text="T">
      <formula>NOT(ISERROR(SEARCH("T",BB122)))</formula>
    </cfRule>
  </conditionalFormatting>
  <conditionalFormatting sqref="BB124:BH126">
    <cfRule type="containsText" dxfId="443" priority="337" operator="containsText" text="17">
      <formula>NOT(ISERROR(SEARCH("17",BB124)))</formula>
    </cfRule>
    <cfRule type="containsText" dxfId="442" priority="338" operator="containsText" text="T">
      <formula>NOT(ISERROR(SEARCH("T",BB124)))</formula>
    </cfRule>
  </conditionalFormatting>
  <conditionalFormatting sqref="BB168:BL174">
    <cfRule type="containsText" dxfId="441" priority="117" operator="containsText" text="17">
      <formula>NOT(ISERROR(SEARCH("17",BB168)))</formula>
    </cfRule>
  </conditionalFormatting>
  <conditionalFormatting sqref="BB194:BN194 BB196:BN198">
    <cfRule type="containsText" dxfId="440" priority="851" operator="containsText" text="17">
      <formula>NOT(ISERROR(SEARCH("17",BB194)))</formula>
    </cfRule>
  </conditionalFormatting>
  <conditionalFormatting sqref="BB168:BY174">
    <cfRule type="containsText" dxfId="439" priority="126" operator="containsText" text="T">
      <formula>NOT(ISERROR(SEARCH("T",BB168)))</formula>
    </cfRule>
    <cfRule type="containsText" dxfId="438" priority="129" operator="containsText" text="17">
      <formula>NOT(ISERROR(SEARCH("17",BB168)))</formula>
    </cfRule>
    <cfRule type="containsText" dxfId="437" priority="131" operator="containsText" text="T">
      <formula>NOT(ISERROR(SEARCH("T",BB168)))</formula>
    </cfRule>
  </conditionalFormatting>
  <conditionalFormatting sqref="BC34">
    <cfRule type="containsText" dxfId="436" priority="7995" operator="containsText" text="17">
      <formula>NOT(ISERROR(SEARCH("17",BC34)))</formula>
    </cfRule>
    <cfRule type="containsText" dxfId="435" priority="7996" operator="containsText" text="T">
      <formula>NOT(ISERROR(SEARCH("T",BC34)))</formula>
    </cfRule>
    <cfRule type="containsText" dxfId="434" priority="7997" operator="containsText" text="17">
      <formula>NOT(ISERROR(SEARCH("17",BC34)))</formula>
    </cfRule>
    <cfRule type="containsText" dxfId="433" priority="7998" operator="containsText" text="T">
      <formula>NOT(ISERROR(SEARCH("T",BC34)))</formula>
    </cfRule>
  </conditionalFormatting>
  <conditionalFormatting sqref="BC42:BC47">
    <cfRule type="containsText" dxfId="432" priority="540" operator="containsText" text="T">
      <formula>NOT(ISERROR(SEARCH("T",BC42)))</formula>
    </cfRule>
  </conditionalFormatting>
  <conditionalFormatting sqref="BC72:BC75">
    <cfRule type="containsText" dxfId="431" priority="354" operator="containsText" text="17">
      <formula>NOT(ISERROR(SEARCH("17",BC72)))</formula>
    </cfRule>
    <cfRule type="containsText" dxfId="430" priority="355" operator="containsText" text="T">
      <formula>NOT(ISERROR(SEARCH("T",BC72)))</formula>
    </cfRule>
  </conditionalFormatting>
  <conditionalFormatting sqref="BC106">
    <cfRule type="containsText" dxfId="429" priority="344" operator="containsText" text="17">
      <formula>NOT(ISERROR(SEARCH("17",BC106)))</formula>
    </cfRule>
    <cfRule type="containsText" dxfId="428" priority="345" operator="containsText" text="T">
      <formula>NOT(ISERROR(SEARCH("T",BC106)))</formula>
    </cfRule>
  </conditionalFormatting>
  <conditionalFormatting sqref="BC120">
    <cfRule type="containsText" dxfId="427" priority="324" operator="containsText" text="17">
      <formula>NOT(ISERROR(SEARCH("17",BC120)))</formula>
    </cfRule>
    <cfRule type="containsText" dxfId="426" priority="325" operator="containsText" text="T">
      <formula>NOT(ISERROR(SEARCH("T",BC120)))</formula>
    </cfRule>
  </conditionalFormatting>
  <conditionalFormatting sqref="BC122">
    <cfRule type="containsText" dxfId="425" priority="314" operator="containsText" text="17">
      <formula>NOT(ISERROR(SEARCH("17",BC122)))</formula>
    </cfRule>
    <cfRule type="containsText" dxfId="424" priority="315" operator="containsText" text="T">
      <formula>NOT(ISERROR(SEARCH("T",BC122)))</formula>
    </cfRule>
  </conditionalFormatting>
  <conditionalFormatting sqref="BC124:BC126">
    <cfRule type="containsText" dxfId="423" priority="334" operator="containsText" text="17">
      <formula>NOT(ISERROR(SEARCH("17",BC124)))</formula>
    </cfRule>
    <cfRule type="containsText" dxfId="422" priority="335" operator="containsText" text="T">
      <formula>NOT(ISERROR(SEARCH("T",BC124)))</formula>
    </cfRule>
  </conditionalFormatting>
  <conditionalFormatting sqref="BC182:BC183">
    <cfRule type="containsText" dxfId="421" priority="863" operator="containsText" text="17">
      <formula>NOT(ISERROR(SEARCH("17",BC182)))</formula>
    </cfRule>
  </conditionalFormatting>
  <conditionalFormatting sqref="BC186:BC188 BC189:BV190">
    <cfRule type="containsText" dxfId="420" priority="857" operator="containsText" text="17">
      <formula>NOT(ISERROR(SEARCH("17",BC186)))</formula>
    </cfRule>
  </conditionalFormatting>
  <conditionalFormatting sqref="BC199 BB206 BS127">
    <cfRule type="containsText" dxfId="419" priority="2080" operator="containsText" text="17">
      <formula>NOT(ISERROR(SEARCH("17",BB127)))</formula>
    </cfRule>
  </conditionalFormatting>
  <conditionalFormatting sqref="BC218:BC224">
    <cfRule type="containsText" dxfId="418" priority="438" operator="containsText" text="T">
      <formula>NOT(ISERROR(SEARCH("T",BC218)))</formula>
    </cfRule>
  </conditionalFormatting>
  <conditionalFormatting sqref="BC225:BC231 BG225:BI231">
    <cfRule type="containsText" dxfId="417" priority="426" operator="containsText" text="T">
      <formula>NOT(ISERROR(SEARCH("T",BC225)))</formula>
    </cfRule>
  </conditionalFormatting>
  <conditionalFormatting sqref="BC16:BD20">
    <cfRule type="containsText" dxfId="416" priority="8314" operator="containsText" text="17">
      <formula>NOT(ISERROR(SEARCH("17",BC16)))</formula>
    </cfRule>
  </conditionalFormatting>
  <conditionalFormatting sqref="BC225:BD231 BG225:BI231">
    <cfRule type="containsText" dxfId="415" priority="427" operator="containsText" text="17">
      <formula>NOT(ISERROR(SEARCH("17",BC225)))</formula>
    </cfRule>
  </conditionalFormatting>
  <conditionalFormatting sqref="BC69:BI71">
    <cfRule type="containsText" dxfId="414" priority="277" operator="containsText" text="17">
      <formula>NOT(ISERROR(SEARCH("17",BC69)))</formula>
    </cfRule>
    <cfRule type="containsText" dxfId="413" priority="278" operator="containsText" text="T">
      <formula>NOT(ISERROR(SEARCH("T",BC69)))</formula>
    </cfRule>
  </conditionalFormatting>
  <conditionalFormatting sqref="BC103:BI104">
    <cfRule type="containsText" dxfId="412" priority="307" operator="containsText" text="17">
      <formula>NOT(ISERROR(SEARCH("17",BC103)))</formula>
    </cfRule>
    <cfRule type="containsText" dxfId="411" priority="308" operator="containsText" text="T">
      <formula>NOT(ISERROR(SEARCH("T",BC103)))</formula>
    </cfRule>
  </conditionalFormatting>
  <conditionalFormatting sqref="BC121:BI121">
    <cfRule type="containsText" dxfId="410" priority="297" operator="containsText" text="17">
      <formula>NOT(ISERROR(SEARCH("17",BC121)))</formula>
    </cfRule>
    <cfRule type="containsText" dxfId="409" priority="298" operator="containsText" text="T">
      <formula>NOT(ISERROR(SEARCH("T",BC121)))</formula>
    </cfRule>
  </conditionalFormatting>
  <conditionalFormatting sqref="BC123:BI123">
    <cfRule type="containsText" dxfId="408" priority="287" operator="containsText" text="17">
      <formula>NOT(ISERROR(SEARCH("17",BC123)))</formula>
    </cfRule>
    <cfRule type="containsText" dxfId="407" priority="288" operator="containsText" text="T">
      <formula>NOT(ISERROR(SEARCH("T",BC123)))</formula>
    </cfRule>
  </conditionalFormatting>
  <conditionalFormatting sqref="BC175:BM181">
    <cfRule type="containsText" dxfId="406" priority="93" operator="containsText" text="17">
      <formula>NOT(ISERROR(SEARCH("17",BC175)))</formula>
    </cfRule>
  </conditionalFormatting>
  <conditionalFormatting sqref="BC199:BR199 BB206:BQ206 BS127">
    <cfRule type="containsText" dxfId="405" priority="4985" operator="containsText" text="17">
      <formula>NOT(ISERROR(SEARCH("17",BB127)))</formula>
    </cfRule>
  </conditionalFormatting>
  <conditionalFormatting sqref="BC175:BZ181">
    <cfRule type="containsText" dxfId="404" priority="102" operator="containsText" text="T">
      <formula>NOT(ISERROR(SEARCH("T",BC175)))</formula>
    </cfRule>
    <cfRule type="containsText" dxfId="403" priority="105" operator="containsText" text="17">
      <formula>NOT(ISERROR(SEARCH("17",BC175)))</formula>
    </cfRule>
  </conditionalFormatting>
  <conditionalFormatting sqref="BC175:CP181">
    <cfRule type="containsText" dxfId="402" priority="116" operator="containsText" text="17">
      <formula>NOT(ISERROR(SEARCH("17",BC175)))</formula>
    </cfRule>
  </conditionalFormatting>
  <conditionalFormatting sqref="BD69:BD71">
    <cfRule type="containsText" dxfId="401" priority="274" operator="containsText" text="17">
      <formula>NOT(ISERROR(SEARCH("17",BD69)))</formula>
    </cfRule>
    <cfRule type="containsText" dxfId="400" priority="275" operator="containsText" text="T">
      <formula>NOT(ISERROR(SEARCH("T",BD69)))</formula>
    </cfRule>
  </conditionalFormatting>
  <conditionalFormatting sqref="BD103:BD104">
    <cfRule type="containsText" dxfId="399" priority="304" operator="containsText" text="17">
      <formula>NOT(ISERROR(SEARCH("17",BD103)))</formula>
    </cfRule>
    <cfRule type="containsText" dxfId="398" priority="305" operator="containsText" text="T">
      <formula>NOT(ISERROR(SEARCH("T",BD103)))</formula>
    </cfRule>
  </conditionalFormatting>
  <conditionalFormatting sqref="BD113:BD116 BH113:BJ116">
    <cfRule type="containsText" dxfId="397" priority="406" operator="containsText" text="T">
      <formula>NOT(ISERROR(SEARCH("T",BD113)))</formula>
    </cfRule>
  </conditionalFormatting>
  <conditionalFormatting sqref="BD121">
    <cfRule type="containsText" dxfId="396" priority="294" operator="containsText" text="17">
      <formula>NOT(ISERROR(SEARCH("17",BD121)))</formula>
    </cfRule>
    <cfRule type="containsText" dxfId="395" priority="295" operator="containsText" text="T">
      <formula>NOT(ISERROR(SEARCH("T",BD121)))</formula>
    </cfRule>
  </conditionalFormatting>
  <conditionalFormatting sqref="BD123">
    <cfRule type="containsText" dxfId="394" priority="284" operator="containsText" text="17">
      <formula>NOT(ISERROR(SEARCH("17",BD123)))</formula>
    </cfRule>
    <cfRule type="containsText" dxfId="393" priority="285" operator="containsText" text="T">
      <formula>NOT(ISERROR(SEARCH("T",BD123)))</formula>
    </cfRule>
  </conditionalFormatting>
  <conditionalFormatting sqref="BD225:BD231">
    <cfRule type="containsText" dxfId="392" priority="428" operator="containsText" text="T">
      <formula>NOT(ISERROR(SEARCH("T",BD225)))</formula>
    </cfRule>
  </conditionalFormatting>
  <conditionalFormatting sqref="BD232:BD234 BH232:BJ234">
    <cfRule type="containsText" dxfId="391" priority="416" operator="containsText" text="T">
      <formula>NOT(ISERROR(SEARCH("T",BD232)))</formula>
    </cfRule>
  </conditionalFormatting>
  <conditionalFormatting sqref="BD35:BE39">
    <cfRule type="containsText" dxfId="390" priority="984" operator="containsText" text="T">
      <formula>NOT(ISERROR(SEARCH("T",BD35)))</formula>
    </cfRule>
  </conditionalFormatting>
  <conditionalFormatting sqref="BD113:BE116 BH113:BJ116">
    <cfRule type="containsText" dxfId="389" priority="407" operator="containsText" text="17">
      <formula>NOT(ISERROR(SEARCH("17",BD113)))</formula>
    </cfRule>
  </conditionalFormatting>
  <conditionalFormatting sqref="BD232:BE234 BH232:BV234">
    <cfRule type="containsText" dxfId="388" priority="417" operator="containsText" text="17">
      <formula>NOT(ISERROR(SEARCH("17",BD232)))</formula>
    </cfRule>
  </conditionalFormatting>
  <conditionalFormatting sqref="BD41:BG45">
    <cfRule type="containsText" dxfId="387" priority="977" operator="containsText" text="T">
      <formula>NOT(ISERROR(SEARCH("T",BD41)))</formula>
    </cfRule>
  </conditionalFormatting>
  <conditionalFormatting sqref="BD47:BG47 BE48:BH48">
    <cfRule type="containsText" dxfId="386" priority="972" operator="containsText" text="T">
      <formula>NOT(ISERROR(SEARCH("T",BD47)))</formula>
    </cfRule>
  </conditionalFormatting>
  <conditionalFormatting sqref="BD67:BJ68">
    <cfRule type="containsText" dxfId="385" priority="247" operator="containsText" text="17">
      <formula>NOT(ISERROR(SEARCH("17",BD67)))</formula>
    </cfRule>
    <cfRule type="containsText" dxfId="384" priority="248" operator="containsText" text="T">
      <formula>NOT(ISERROR(SEARCH("T",BD67)))</formula>
    </cfRule>
  </conditionalFormatting>
  <conditionalFormatting sqref="BD99:BJ102">
    <cfRule type="containsText" dxfId="383" priority="267" operator="containsText" text="17">
      <formula>NOT(ISERROR(SEARCH("17",BD99)))</formula>
    </cfRule>
    <cfRule type="containsText" dxfId="382" priority="268" operator="containsText" text="T">
      <formula>NOT(ISERROR(SEARCH("T",BD99)))</formula>
    </cfRule>
  </conditionalFormatting>
  <conditionalFormatting sqref="BD105:BJ105">
    <cfRule type="containsText" dxfId="381" priority="257" operator="containsText" text="17">
      <formula>NOT(ISERROR(SEARCH("17",BD105)))</formula>
    </cfRule>
    <cfRule type="containsText" dxfId="380" priority="258" operator="containsText" text="T">
      <formula>NOT(ISERROR(SEARCH("T",BD105)))</formula>
    </cfRule>
  </conditionalFormatting>
  <conditionalFormatting sqref="BD54:BN59 AZ59:AZ62 BD60:BI62">
    <cfRule type="containsText" dxfId="379" priority="476" operator="containsText" text="T">
      <formula>NOT(ISERROR(SEARCH("T",AZ54)))</formula>
    </cfRule>
  </conditionalFormatting>
  <conditionalFormatting sqref="BD182:BN188">
    <cfRule type="containsText" dxfId="378" priority="69" operator="containsText" text="17">
      <formula>NOT(ISERROR(SEARCH("17",BD182)))</formula>
    </cfRule>
  </conditionalFormatting>
  <conditionalFormatting sqref="BD182:CA188">
    <cfRule type="containsText" dxfId="377" priority="78" operator="containsText" text="T">
      <formula>NOT(ISERROR(SEARCH("T",BD182)))</formula>
    </cfRule>
    <cfRule type="containsText" dxfId="376" priority="81" operator="containsText" text="17">
      <formula>NOT(ISERROR(SEARCH("17",BD182)))</formula>
    </cfRule>
  </conditionalFormatting>
  <conditionalFormatting sqref="BD182:CP188">
    <cfRule type="containsText" dxfId="375" priority="83" operator="containsText" text="T">
      <formula>NOT(ISERROR(SEARCH("T",BD182)))</formula>
    </cfRule>
    <cfRule type="containsText" dxfId="374" priority="92" operator="containsText" text="17">
      <formula>NOT(ISERROR(SEARCH("17",BD182)))</formula>
    </cfRule>
  </conditionalFormatting>
  <conditionalFormatting sqref="BE15:BE20">
    <cfRule type="containsText" dxfId="373" priority="65" operator="containsText" text="T">
      <formula>NOT(ISERROR(SEARCH("T",BE15)))</formula>
    </cfRule>
  </conditionalFormatting>
  <conditionalFormatting sqref="BE67:BE68">
    <cfRule type="containsText" dxfId="372" priority="244" operator="containsText" text="17">
      <formula>NOT(ISERROR(SEARCH("17",BE67)))</formula>
    </cfRule>
    <cfRule type="containsText" dxfId="371" priority="245" operator="containsText" text="T">
      <formula>NOT(ISERROR(SEARCH("T",BE67)))</formula>
    </cfRule>
  </conditionalFormatting>
  <conditionalFormatting sqref="BE79:BE82 BI79:BK82">
    <cfRule type="containsText" dxfId="370" priority="386" operator="containsText" text="T">
      <formula>NOT(ISERROR(SEARCH("T",BE79)))</formula>
    </cfRule>
  </conditionalFormatting>
  <conditionalFormatting sqref="BE99:BE102">
    <cfRule type="containsText" dxfId="369" priority="264" operator="containsText" text="17">
      <formula>NOT(ISERROR(SEARCH("17",BE99)))</formula>
    </cfRule>
    <cfRule type="containsText" dxfId="368" priority="265" operator="containsText" text="T">
      <formula>NOT(ISERROR(SEARCH("T",BE99)))</formula>
    </cfRule>
  </conditionalFormatting>
  <conditionalFormatting sqref="BE105">
    <cfRule type="containsText" dxfId="367" priority="254" operator="containsText" text="17">
      <formula>NOT(ISERROR(SEARCH("17",BE105)))</formula>
    </cfRule>
    <cfRule type="containsText" dxfId="366" priority="255" operator="containsText" text="T">
      <formula>NOT(ISERROR(SEARCH("T",BE105)))</formula>
    </cfRule>
  </conditionalFormatting>
  <conditionalFormatting sqref="BE113:BE116">
    <cfRule type="containsText" dxfId="365" priority="408" operator="containsText" text="T">
      <formula>NOT(ISERROR(SEARCH("T",BE113)))</formula>
    </cfRule>
  </conditionalFormatting>
  <conditionalFormatting sqref="BE117:BE119 BI117:BK119">
    <cfRule type="containsText" dxfId="364" priority="396" operator="containsText" text="T">
      <formula>NOT(ISERROR(SEARCH("T",BE117)))</formula>
    </cfRule>
  </conditionalFormatting>
  <conditionalFormatting sqref="BE232:BE234">
    <cfRule type="containsText" dxfId="363" priority="418" operator="containsText" text="T">
      <formula>NOT(ISERROR(SEARCH("T",BE232)))</formula>
    </cfRule>
  </conditionalFormatting>
  <conditionalFormatting sqref="BE23:BF27">
    <cfRule type="containsText" dxfId="362" priority="997" operator="containsText" text="17">
      <formula>NOT(ISERROR(SEARCH("17",BE23)))</formula>
    </cfRule>
  </conditionalFormatting>
  <conditionalFormatting sqref="BE79:BF82 BI79:BK82">
    <cfRule type="containsText" dxfId="361" priority="387" operator="containsText" text="17">
      <formula>NOT(ISERROR(SEARCH("17",BE79)))</formula>
    </cfRule>
  </conditionalFormatting>
  <conditionalFormatting sqref="BE117:BF119 BI117:CI119">
    <cfRule type="containsText" dxfId="360" priority="397" operator="containsText" text="17">
      <formula>NOT(ISERROR(SEARCH("17",BE117)))</formula>
    </cfRule>
  </conditionalFormatting>
  <conditionalFormatting sqref="BE199:BF199 BD206:BE206">
    <cfRule type="containsText" dxfId="359" priority="2076" operator="containsText" text="17">
      <formula>NOT(ISERROR(SEARCH("17",BD199)))</formula>
    </cfRule>
    <cfRule type="containsText" dxfId="358" priority="2077" operator="containsText" text="T">
      <formula>NOT(ISERROR(SEARCH("T",BD199)))</formula>
    </cfRule>
  </conditionalFormatting>
  <conditionalFormatting sqref="BE97:BK98">
    <cfRule type="containsText" dxfId="357" priority="237" operator="containsText" text="17">
      <formula>NOT(ISERROR(SEARCH("17",BE97)))</formula>
    </cfRule>
    <cfRule type="containsText" dxfId="356" priority="238" operator="containsText" text="T">
      <formula>NOT(ISERROR(SEARCH("T",BE97)))</formula>
    </cfRule>
  </conditionalFormatting>
  <conditionalFormatting sqref="BE131:BK137">
    <cfRule type="containsText" dxfId="355" priority="227" operator="containsText" text="17">
      <formula>NOT(ISERROR(SEARCH("17",BE131)))</formula>
    </cfRule>
    <cfRule type="containsText" dxfId="354" priority="228" operator="containsText" text="T">
      <formula>NOT(ISERROR(SEARCH("T",BE131)))</formula>
    </cfRule>
  </conditionalFormatting>
  <conditionalFormatting sqref="BE14:BO14">
    <cfRule type="containsText" dxfId="353" priority="57" operator="containsText" text="17">
      <formula>NOT(ISERROR(SEARCH("17",BE14)))</formula>
    </cfRule>
    <cfRule type="containsText" dxfId="352" priority="58" operator="containsText" text="T">
      <formula>NOT(ISERROR(SEARCH("T",BE14)))</formula>
    </cfRule>
  </conditionalFormatting>
  <conditionalFormatting sqref="BE15:BY20 BE14:BM14">
    <cfRule type="containsText" dxfId="351" priority="64" operator="containsText" text="17">
      <formula>NOT(ISERROR(SEARCH("17",BE14)))</formula>
    </cfRule>
  </conditionalFormatting>
  <conditionalFormatting sqref="BF35:BF40">
    <cfRule type="containsText" dxfId="350" priority="53" operator="containsText" text="T">
      <formula>NOT(ISERROR(SEARCH("T",BF35)))</formula>
    </cfRule>
  </conditionalFormatting>
  <conditionalFormatting sqref="BF79:BF82">
    <cfRule type="containsText" dxfId="349" priority="388" operator="containsText" text="T">
      <formula>NOT(ISERROR(SEARCH("T",BF79)))</formula>
    </cfRule>
  </conditionalFormatting>
  <conditionalFormatting sqref="BF93:BF96 AZ94:BB96 BG94:BI96 BS97 BM231:BV234">
    <cfRule type="containsText" dxfId="348" priority="8511" operator="containsText" text="T">
      <formula>NOT(ISERROR(SEARCH("T",AZ93)))</formula>
    </cfRule>
  </conditionalFormatting>
  <conditionalFormatting sqref="BF93:BF96 AZ94:BB96 BS97 BG94:BI96 BM231:BV234">
    <cfRule type="containsText" dxfId="347" priority="8510" operator="containsText" text="17">
      <formula>NOT(ISERROR(SEARCH("17",AZ93)))</formula>
    </cfRule>
  </conditionalFormatting>
  <conditionalFormatting sqref="BF97:BF98">
    <cfRule type="containsText" dxfId="346" priority="234" operator="containsText" text="17">
      <formula>NOT(ISERROR(SEARCH("17",BF97)))</formula>
    </cfRule>
    <cfRule type="containsText" dxfId="345" priority="235" operator="containsText" text="T">
      <formula>NOT(ISERROR(SEARCH("T",BF97)))</formula>
    </cfRule>
  </conditionalFormatting>
  <conditionalFormatting sqref="BF117:BF119">
    <cfRule type="containsText" dxfId="344" priority="398" operator="containsText" text="T">
      <formula>NOT(ISERROR(SEARCH("T",BF117)))</formula>
    </cfRule>
  </conditionalFormatting>
  <conditionalFormatting sqref="BF131:BF137">
    <cfRule type="containsText" dxfId="343" priority="224" operator="containsText" text="17">
      <formula>NOT(ISERROR(SEARCH("17",BF131)))</formula>
    </cfRule>
    <cfRule type="containsText" dxfId="342" priority="225" operator="containsText" text="T">
      <formula>NOT(ISERROR(SEARCH("T",BF131)))</formula>
    </cfRule>
  </conditionalFormatting>
  <conditionalFormatting sqref="BF138:BL144">
    <cfRule type="containsText" dxfId="341" priority="217" operator="containsText" text="17">
      <formula>NOT(ISERROR(SEARCH("17",BF138)))</formula>
    </cfRule>
    <cfRule type="containsText" dxfId="340" priority="218" operator="containsText" text="T">
      <formula>NOT(ISERROR(SEARCH("T",BF138)))</formula>
    </cfRule>
  </conditionalFormatting>
  <conditionalFormatting sqref="BF34:BP34">
    <cfRule type="containsText" dxfId="339" priority="45" operator="containsText" text="17">
      <formula>NOT(ISERROR(SEARCH("17",BF34)))</formula>
    </cfRule>
    <cfRule type="containsText" dxfId="338" priority="46" operator="containsText" text="T">
      <formula>NOT(ISERROR(SEARCH("T",BF34)))</formula>
    </cfRule>
  </conditionalFormatting>
  <conditionalFormatting sqref="BF35:BZ40 BF34:BN34">
    <cfRule type="containsText" dxfId="337" priority="52" operator="containsText" text="17">
      <formula>NOT(ISERROR(SEARCH("17",BF34)))</formula>
    </cfRule>
  </conditionalFormatting>
  <conditionalFormatting sqref="BF50:CA52 BF53:BN53">
    <cfRule type="containsText" dxfId="336" priority="967" operator="containsText" text="T">
      <formula>NOT(ISERROR(SEARCH("T",BF50)))</formula>
    </cfRule>
  </conditionalFormatting>
  <conditionalFormatting sqref="BG22:BG27">
    <cfRule type="containsText" dxfId="335" priority="41" operator="containsText" text="T">
      <formula>NOT(ISERROR(SEARCH("T",BG22)))</formula>
    </cfRule>
  </conditionalFormatting>
  <conditionalFormatting sqref="BG41:BG45">
    <cfRule type="containsText" dxfId="334" priority="978" operator="containsText" text="17">
      <formula>NOT(ISERROR(SEARCH("17",BG41)))</formula>
    </cfRule>
  </conditionalFormatting>
  <conditionalFormatting sqref="BG47">
    <cfRule type="containsText" dxfId="333" priority="976" operator="containsText" text="17">
      <formula>NOT(ISERROR(SEARCH("17",BG47)))</formula>
    </cfRule>
  </conditionalFormatting>
  <conditionalFormatting sqref="BG76:BG78 BK76:BM78">
    <cfRule type="containsText" dxfId="332" priority="361" operator="containsText" text="T">
      <formula>NOT(ISERROR(SEARCH("T",BG76)))</formula>
    </cfRule>
  </conditionalFormatting>
  <conditionalFormatting sqref="BG86 BG93:BI93">
    <cfRule type="containsText" dxfId="331" priority="4035" operator="containsText" text="17">
      <formula>NOT(ISERROR(SEARCH("17",BG86)))</formula>
    </cfRule>
    <cfRule type="containsText" dxfId="330" priority="4036" operator="containsText" text="T">
      <formula>NOT(ISERROR(SEARCH("T",BG86)))</formula>
    </cfRule>
  </conditionalFormatting>
  <conditionalFormatting sqref="BG107:BG112 BK107:BM112">
    <cfRule type="containsText" dxfId="329" priority="371" operator="containsText" text="T">
      <formula>NOT(ISERROR(SEARCH("T",BG107)))</formula>
    </cfRule>
  </conditionalFormatting>
  <conditionalFormatting sqref="BG138:BG144">
    <cfRule type="containsText" dxfId="328" priority="214" operator="containsText" text="17">
      <formula>NOT(ISERROR(SEARCH("17",BG138)))</formula>
    </cfRule>
    <cfRule type="containsText" dxfId="327" priority="215" operator="containsText" text="T">
      <formula>NOT(ISERROR(SEARCH("T",BG138)))</formula>
    </cfRule>
  </conditionalFormatting>
  <conditionalFormatting sqref="BG30:BH32 BG33:BZ33">
    <cfRule type="containsText" dxfId="326" priority="991" operator="containsText" text="17">
      <formula>NOT(ISERROR(SEARCH("17",BG30)))</formula>
    </cfRule>
  </conditionalFormatting>
  <conditionalFormatting sqref="BG48:BH48">
    <cfRule type="containsText" dxfId="325" priority="973" operator="containsText" text="17">
      <formula>NOT(ISERROR(SEARCH("17",BG48)))</formula>
    </cfRule>
  </conditionalFormatting>
  <conditionalFormatting sqref="BG76:BH78 BK76:BM78">
    <cfRule type="containsText" dxfId="324" priority="362" operator="containsText" text="17">
      <formula>NOT(ISERROR(SEARCH("17",BG76)))</formula>
    </cfRule>
  </conditionalFormatting>
  <conditionalFormatting sqref="BG107:BH112 BK107:BM112">
    <cfRule type="containsText" dxfId="323" priority="372" operator="containsText" text="17">
      <formula>NOT(ISERROR(SEARCH("17",BG107)))</formula>
    </cfRule>
  </conditionalFormatting>
  <conditionalFormatting sqref="BG145:BM151">
    <cfRule type="containsText" dxfId="322" priority="207" operator="containsText" text="17">
      <formula>NOT(ISERROR(SEARCH("17",BG145)))</formula>
    </cfRule>
    <cfRule type="containsText" dxfId="321" priority="208" operator="containsText" text="T">
      <formula>NOT(ISERROR(SEARCH("T",BG145)))</formula>
    </cfRule>
  </conditionalFormatting>
  <conditionalFormatting sqref="BG21:BQ21">
    <cfRule type="containsText" dxfId="320" priority="33" operator="containsText" text="17">
      <formula>NOT(ISERROR(SEARCH("17",BG21)))</formula>
    </cfRule>
    <cfRule type="containsText" dxfId="319" priority="34" operator="containsText" text="T">
      <formula>NOT(ISERROR(SEARCH("T",BG21)))</formula>
    </cfRule>
  </conditionalFormatting>
  <conditionalFormatting sqref="BG50:BQ52">
    <cfRule type="containsText" dxfId="318" priority="971" operator="containsText" text="17">
      <formula>NOT(ISERROR(SEARCH("17",BG50)))</formula>
    </cfRule>
  </conditionalFormatting>
  <conditionalFormatting sqref="BG51:BS52 BG53:BN59 BG60:BI66">
    <cfRule type="containsText" dxfId="317" priority="968" operator="containsText" text="17">
      <formula>NOT(ISERROR(SEARCH("17",BG51)))</formula>
    </cfRule>
  </conditionalFormatting>
  <conditionalFormatting sqref="BG22:CA27 BG21:BO21">
    <cfRule type="containsText" dxfId="316" priority="40" operator="containsText" text="17">
      <formula>NOT(ISERROR(SEARCH("17",BG21)))</formula>
    </cfRule>
  </conditionalFormatting>
  <conditionalFormatting sqref="BH42:BH47">
    <cfRule type="containsText" dxfId="315" priority="29" operator="containsText" text="T">
      <formula>NOT(ISERROR(SEARCH("T",BH42)))</formula>
    </cfRule>
  </conditionalFormatting>
  <conditionalFormatting sqref="BH72:BH75 BL72:BN75">
    <cfRule type="containsText" dxfId="314" priority="351" operator="containsText" text="T">
      <formula>NOT(ISERROR(SEARCH("T",BH72)))</formula>
    </cfRule>
  </conditionalFormatting>
  <conditionalFormatting sqref="BH76:BH78">
    <cfRule type="containsText" dxfId="313" priority="363" operator="containsText" text="T">
      <formula>NOT(ISERROR(SEARCH("T",BH76)))</formula>
    </cfRule>
  </conditionalFormatting>
  <conditionalFormatting sqref="BH106 BL106:BN106">
    <cfRule type="containsText" dxfId="312" priority="341" operator="containsText" text="T">
      <formula>NOT(ISERROR(SEARCH("T",BH106)))</formula>
    </cfRule>
  </conditionalFormatting>
  <conditionalFormatting sqref="BH107:BH112">
    <cfRule type="containsText" dxfId="311" priority="373" operator="containsText" text="T">
      <formula>NOT(ISERROR(SEARCH("T",BH107)))</formula>
    </cfRule>
  </conditionalFormatting>
  <conditionalFormatting sqref="BH120 BL120:BN120">
    <cfRule type="containsText" dxfId="310" priority="321" operator="containsText" text="T">
      <formula>NOT(ISERROR(SEARCH("T",BH120)))</formula>
    </cfRule>
  </conditionalFormatting>
  <conditionalFormatting sqref="BH122 BL122:BN122">
    <cfRule type="containsText" dxfId="309" priority="311" operator="containsText" text="T">
      <formula>NOT(ISERROR(SEARCH("T",BH122)))</formula>
    </cfRule>
  </conditionalFormatting>
  <conditionalFormatting sqref="BH124:BH126 BL124:BN126">
    <cfRule type="containsText" dxfId="308" priority="331" operator="containsText" text="T">
      <formula>NOT(ISERROR(SEARCH("T",BH124)))</formula>
    </cfRule>
  </conditionalFormatting>
  <conditionalFormatting sqref="BH145:BH151">
    <cfRule type="containsText" dxfId="307" priority="204" operator="containsText" text="17">
      <formula>NOT(ISERROR(SEARCH("17",BH145)))</formula>
    </cfRule>
    <cfRule type="containsText" dxfId="306" priority="205" operator="containsText" text="T">
      <formula>NOT(ISERROR(SEARCH("T",BH145)))</formula>
    </cfRule>
  </conditionalFormatting>
  <conditionalFormatting sqref="BH72:BI75 BL72:BN75">
    <cfRule type="containsText" dxfId="305" priority="352" operator="containsText" text="17">
      <formula>NOT(ISERROR(SEARCH("17",BH72)))</formula>
    </cfRule>
  </conditionalFormatting>
  <conditionalFormatting sqref="BH106:BI106 BL106:CJ106">
    <cfRule type="containsText" dxfId="304" priority="342" operator="containsText" text="17">
      <formula>NOT(ISERROR(SEARCH("17",BH106)))</formula>
    </cfRule>
  </conditionalFormatting>
  <conditionalFormatting sqref="BH120:BI120 BL120:CI120">
    <cfRule type="containsText" dxfId="303" priority="322" operator="containsText" text="17">
      <formula>NOT(ISERROR(SEARCH("17",BH120)))</formula>
    </cfRule>
  </conditionalFormatting>
  <conditionalFormatting sqref="BH122:BI122 BL122:BN122">
    <cfRule type="containsText" dxfId="302" priority="312" operator="containsText" text="17">
      <formula>NOT(ISERROR(SEARCH("17",BH122)))</formula>
    </cfRule>
  </conditionalFormatting>
  <conditionalFormatting sqref="BH124:BI126 BL124:BZ126">
    <cfRule type="containsText" dxfId="301" priority="332" operator="containsText" text="17">
      <formula>NOT(ISERROR(SEARCH("17",BH124)))</formula>
    </cfRule>
  </conditionalFormatting>
  <conditionalFormatting sqref="BH214:BI216">
    <cfRule type="containsText" dxfId="300" priority="5791" operator="containsText" text="17">
      <formula>NOT(ISERROR(SEARCH("17",BH214)))</formula>
    </cfRule>
    <cfRule type="containsText" dxfId="299" priority="5792" operator="containsText" text="T">
      <formula>NOT(ISERROR(SEARCH("T",BH214)))</formula>
    </cfRule>
  </conditionalFormatting>
  <conditionalFormatting sqref="BH152:BN158">
    <cfRule type="containsText" dxfId="298" priority="197" operator="containsText" text="17">
      <formula>NOT(ISERROR(SEARCH("17",BH152)))</formula>
    </cfRule>
    <cfRule type="containsText" dxfId="297" priority="198" operator="containsText" text="T">
      <formula>NOT(ISERROR(SEARCH("T",BH152)))</formula>
    </cfRule>
  </conditionalFormatting>
  <conditionalFormatting sqref="BH41:BR41">
    <cfRule type="containsText" dxfId="296" priority="21" operator="containsText" text="17">
      <formula>NOT(ISERROR(SEARCH("17",BH41)))</formula>
    </cfRule>
    <cfRule type="containsText" dxfId="295" priority="22" operator="containsText" text="T">
      <formula>NOT(ISERROR(SEARCH("T",BH41)))</formula>
    </cfRule>
  </conditionalFormatting>
  <conditionalFormatting sqref="BH42:CB47 BH41:BP41">
    <cfRule type="containsText" dxfId="294" priority="28" operator="containsText" text="17">
      <formula>NOT(ISERROR(SEARCH("17",BH41)))</formula>
    </cfRule>
  </conditionalFormatting>
  <conditionalFormatting sqref="BH84:CE89">
    <cfRule type="containsText" dxfId="293" priority="944" operator="containsText" text="17">
      <formula>NOT(ISERROR(SEARCH("17",BH84)))</formula>
    </cfRule>
  </conditionalFormatting>
  <conditionalFormatting sqref="BI28:BI32">
    <cfRule type="containsText" dxfId="292" priority="14" operator="containsText" text="T">
      <formula>NOT(ISERROR(SEARCH("T",BI28)))</formula>
    </cfRule>
  </conditionalFormatting>
  <conditionalFormatting sqref="BI48:BI49">
    <cfRule type="containsText" dxfId="291" priority="9" operator="containsText" text="T">
      <formula>NOT(ISERROR(SEARCH("T",BI48)))</formula>
    </cfRule>
  </conditionalFormatting>
  <conditionalFormatting sqref="BI69:BI71 BM69:BO71">
    <cfRule type="containsText" dxfId="290" priority="271" operator="containsText" text="T">
      <formula>NOT(ISERROR(SEARCH("T",BI69)))</formula>
    </cfRule>
  </conditionalFormatting>
  <conditionalFormatting sqref="BI72:BI75">
    <cfRule type="containsText" dxfId="289" priority="353" operator="containsText" text="T">
      <formula>NOT(ISERROR(SEARCH("T",BI72)))</formula>
    </cfRule>
  </conditionalFormatting>
  <conditionalFormatting sqref="BI103:BI104 BM103:BO104">
    <cfRule type="containsText" dxfId="288" priority="301" operator="containsText" text="T">
      <formula>NOT(ISERROR(SEARCH("T",BI103)))</formula>
    </cfRule>
  </conditionalFormatting>
  <conditionalFormatting sqref="BI106">
    <cfRule type="containsText" dxfId="287" priority="343" operator="containsText" text="T">
      <formula>NOT(ISERROR(SEARCH("T",BI106)))</formula>
    </cfRule>
  </conditionalFormatting>
  <conditionalFormatting sqref="BI120">
    <cfRule type="containsText" dxfId="286" priority="323" operator="containsText" text="T">
      <formula>NOT(ISERROR(SEARCH("T",BI120)))</formula>
    </cfRule>
  </conditionalFormatting>
  <conditionalFormatting sqref="BI121 BM121:BO121">
    <cfRule type="containsText" dxfId="285" priority="291" operator="containsText" text="T">
      <formula>NOT(ISERROR(SEARCH("T",BI121)))</formula>
    </cfRule>
  </conditionalFormatting>
  <conditionalFormatting sqref="BI122">
    <cfRule type="containsText" dxfId="284" priority="313" operator="containsText" text="T">
      <formula>NOT(ISERROR(SEARCH("T",BI122)))</formula>
    </cfRule>
  </conditionalFormatting>
  <conditionalFormatting sqref="BI123 BM123:BO123">
    <cfRule type="containsText" dxfId="283" priority="281" operator="containsText" text="T">
      <formula>NOT(ISERROR(SEARCH("T",BI123)))</formula>
    </cfRule>
  </conditionalFormatting>
  <conditionalFormatting sqref="BI124:BI126">
    <cfRule type="containsText" dxfId="282" priority="333" operator="containsText" text="T">
      <formula>NOT(ISERROR(SEARCH("T",BI124)))</formula>
    </cfRule>
  </conditionalFormatting>
  <conditionalFormatting sqref="BI152:BI158">
    <cfRule type="containsText" dxfId="281" priority="194" operator="containsText" text="17">
      <formula>NOT(ISERROR(SEARCH("17",BI152)))</formula>
    </cfRule>
    <cfRule type="containsText" dxfId="280" priority="195" operator="containsText" text="T">
      <formula>NOT(ISERROR(SEARCH("T",BI152)))</formula>
    </cfRule>
  </conditionalFormatting>
  <conditionalFormatting sqref="BI69:BJ71 BM69:BO71">
    <cfRule type="containsText" dxfId="279" priority="272" operator="containsText" text="17">
      <formula>NOT(ISERROR(SEARCH("17",BI69)))</formula>
    </cfRule>
  </conditionalFormatting>
  <conditionalFormatting sqref="BI103:BJ104 BM103:BO104">
    <cfRule type="containsText" dxfId="278" priority="302" operator="containsText" text="17">
      <formula>NOT(ISERROR(SEARCH("17",BI103)))</formula>
    </cfRule>
  </conditionalFormatting>
  <conditionalFormatting sqref="BI121:BJ121 BM121:BO121">
    <cfRule type="containsText" dxfId="277" priority="292" operator="containsText" text="17">
      <formula>NOT(ISERROR(SEARCH("17",BI121)))</formula>
    </cfRule>
  </conditionalFormatting>
  <conditionalFormatting sqref="BI123:BJ123 BM123:BZ123">
    <cfRule type="containsText" dxfId="276" priority="282" operator="containsText" text="17">
      <formula>NOT(ISERROR(SEARCH("17",BI123)))</formula>
    </cfRule>
  </conditionalFormatting>
  <conditionalFormatting sqref="BI214:BJ216 BM214:BM216">
    <cfRule type="containsText" dxfId="275" priority="5798" operator="containsText" text="T">
      <formula>NOT(ISERROR(SEARCH("T",BI214)))</formula>
    </cfRule>
  </conditionalFormatting>
  <conditionalFormatting sqref="BI159:BO165">
    <cfRule type="containsText" dxfId="274" priority="187" operator="containsText" text="17">
      <formula>NOT(ISERROR(SEARCH("17",BI159)))</formula>
    </cfRule>
    <cfRule type="containsText" dxfId="273" priority="188" operator="containsText" text="T">
      <formula>NOT(ISERROR(SEARCH("T",BI159)))</formula>
    </cfRule>
  </conditionalFormatting>
  <conditionalFormatting sqref="BI28:CC32 CF28:CF32">
    <cfRule type="containsText" dxfId="272" priority="11" operator="containsText" text="T">
      <formula>NOT(ISERROR(SEARCH("T",BI28)))</formula>
    </cfRule>
  </conditionalFormatting>
  <conditionalFormatting sqref="BI28:CC32">
    <cfRule type="containsText" dxfId="271" priority="13" operator="containsText" text="17">
      <formula>NOT(ISERROR(SEARCH("17",BI28)))</formula>
    </cfRule>
  </conditionalFormatting>
  <conditionalFormatting sqref="BI48:CC49 CF48:CF49">
    <cfRule type="containsText" dxfId="270" priority="6" operator="containsText" text="T">
      <formula>NOT(ISERROR(SEARCH("T",BI48)))</formula>
    </cfRule>
  </conditionalFormatting>
  <conditionalFormatting sqref="BI48:CC49">
    <cfRule type="containsText" dxfId="269" priority="8" operator="containsText" text="17">
      <formula>NOT(ISERROR(SEARCH("17",BI48)))</formula>
    </cfRule>
  </conditionalFormatting>
  <conditionalFormatting sqref="BJ67:BJ68 BN67:BP68">
    <cfRule type="containsText" dxfId="268" priority="241" operator="containsText" text="T">
      <formula>NOT(ISERROR(SEARCH("T",BJ67)))</formula>
    </cfRule>
  </conditionalFormatting>
  <conditionalFormatting sqref="BJ69:BJ71">
    <cfRule type="containsText" dxfId="267" priority="273" operator="containsText" text="T">
      <formula>NOT(ISERROR(SEARCH("T",BJ69)))</formula>
    </cfRule>
  </conditionalFormatting>
  <conditionalFormatting sqref="BJ99:BJ102 BN99:BP102">
    <cfRule type="containsText" dxfId="266" priority="261" operator="containsText" text="T">
      <formula>NOT(ISERROR(SEARCH("T",BJ99)))</formula>
    </cfRule>
  </conditionalFormatting>
  <conditionalFormatting sqref="BJ103:BJ104">
    <cfRule type="containsText" dxfId="265" priority="303" operator="containsText" text="T">
      <formula>NOT(ISERROR(SEARCH("T",BJ103)))</formula>
    </cfRule>
  </conditionalFormatting>
  <conditionalFormatting sqref="BJ105 BN105:BP105">
    <cfRule type="containsText" dxfId="264" priority="251" operator="containsText" text="T">
      <formula>NOT(ISERROR(SEARCH("T",BJ105)))</formula>
    </cfRule>
  </conditionalFormatting>
  <conditionalFormatting sqref="BJ121">
    <cfRule type="containsText" dxfId="263" priority="293" operator="containsText" text="T">
      <formula>NOT(ISERROR(SEARCH("T",BJ121)))</formula>
    </cfRule>
  </conditionalFormatting>
  <conditionalFormatting sqref="BJ123">
    <cfRule type="containsText" dxfId="262" priority="283" operator="containsText" text="T">
      <formula>NOT(ISERROR(SEARCH("T",BJ123)))</formula>
    </cfRule>
  </conditionalFormatting>
  <conditionalFormatting sqref="BJ159:BJ165">
    <cfRule type="containsText" dxfId="261" priority="184" operator="containsText" text="17">
      <formula>NOT(ISERROR(SEARCH("17",BJ159)))</formula>
    </cfRule>
    <cfRule type="containsText" dxfId="260" priority="185" operator="containsText" text="T">
      <formula>NOT(ISERROR(SEARCH("T",BJ159)))</formula>
    </cfRule>
  </conditionalFormatting>
  <conditionalFormatting sqref="BJ199 BI206">
    <cfRule type="containsText" dxfId="259" priority="4983" operator="containsText" text="17">
      <formula>NOT(ISERROR(SEARCH("17",BI199)))</formula>
    </cfRule>
    <cfRule type="containsText" dxfId="258" priority="4984" operator="containsText" text="T">
      <formula>NOT(ISERROR(SEARCH("T",BI199)))</formula>
    </cfRule>
  </conditionalFormatting>
  <conditionalFormatting sqref="BJ67:BK68 BN67:BP68">
    <cfRule type="containsText" dxfId="257" priority="242" operator="containsText" text="17">
      <formula>NOT(ISERROR(SEARCH("17",BJ67)))</formula>
    </cfRule>
  </conditionalFormatting>
  <conditionalFormatting sqref="BJ99:BK102 BN99:BP102">
    <cfRule type="containsText" dxfId="256" priority="262" operator="containsText" text="17">
      <formula>NOT(ISERROR(SEARCH("17",BJ99)))</formula>
    </cfRule>
  </conditionalFormatting>
  <conditionalFormatting sqref="BJ105:BK105 BN105:CJ105">
    <cfRule type="containsText" dxfId="255" priority="252" operator="containsText" text="17">
      <formula>NOT(ISERROR(SEARCH("17",BJ105)))</formula>
    </cfRule>
  </conditionalFormatting>
  <conditionalFormatting sqref="BJ207:BP213">
    <cfRule type="containsText" dxfId="254" priority="177" operator="containsText" text="17">
      <formula>NOT(ISERROR(SEARCH("17",BJ207)))</formula>
    </cfRule>
  </conditionalFormatting>
  <conditionalFormatting sqref="BJ228:BV231 BK232:BV234">
    <cfRule type="containsText" dxfId="253" priority="5622" operator="containsText" text="T">
      <formula>NOT(ISERROR(SEARCH("T",BJ228)))</formula>
    </cfRule>
    <cfRule type="containsText" dxfId="252" priority="5625" operator="containsText" text="17">
      <formula>NOT(ISERROR(SEARCH("17",BJ228)))</formula>
    </cfRule>
  </conditionalFormatting>
  <conditionalFormatting sqref="BJ228:BV231 BK232:CP234">
    <cfRule type="containsText" dxfId="251" priority="5626" operator="containsText" text="T">
      <formula>NOT(ISERROR(SEARCH("T",BJ228)))</formula>
    </cfRule>
  </conditionalFormatting>
  <conditionalFormatting sqref="BJ228:BV231">
    <cfRule type="containsText" dxfId="250" priority="5621" operator="containsText" text="17">
      <formula>NOT(ISERROR(SEARCH("17",BJ228)))</formula>
    </cfRule>
  </conditionalFormatting>
  <conditionalFormatting sqref="BK67:BK68">
    <cfRule type="containsText" dxfId="249" priority="243" operator="containsText" text="T">
      <formula>NOT(ISERROR(SEARCH("T",BK67)))</formula>
    </cfRule>
  </conditionalFormatting>
  <conditionalFormatting sqref="BK97:BK98 BO97:CP98">
    <cfRule type="containsText" dxfId="248" priority="231" operator="containsText" text="T">
      <formula>NOT(ISERROR(SEARCH("T",BK97)))</formula>
    </cfRule>
  </conditionalFormatting>
  <conditionalFormatting sqref="BK99:BK102">
    <cfRule type="containsText" dxfId="247" priority="263" operator="containsText" text="T">
      <formula>NOT(ISERROR(SEARCH("T",BK99)))</formula>
    </cfRule>
  </conditionalFormatting>
  <conditionalFormatting sqref="BK105">
    <cfRule type="containsText" dxfId="246" priority="253" operator="containsText" text="T">
      <formula>NOT(ISERROR(SEARCH("T",BK105)))</formula>
    </cfRule>
  </conditionalFormatting>
  <conditionalFormatting sqref="BK131:BK137 BO131:BQ137">
    <cfRule type="containsText" dxfId="245" priority="221" operator="containsText" text="T">
      <formula>NOT(ISERROR(SEARCH("T",BK131)))</formula>
    </cfRule>
  </conditionalFormatting>
  <conditionalFormatting sqref="BK199 BJ206">
    <cfRule type="containsText" dxfId="244" priority="4999" operator="containsText" text="17">
      <formula>NOT(ISERROR(SEARCH("17",BJ199)))</formula>
    </cfRule>
    <cfRule type="containsText" dxfId="243" priority="5000" operator="containsText" text="T">
      <formula>NOT(ISERROR(SEARCH("T",BJ199)))</formula>
    </cfRule>
  </conditionalFormatting>
  <conditionalFormatting sqref="BK207:BK213">
    <cfRule type="containsText" dxfId="242" priority="174" operator="containsText" text="17">
      <formula>NOT(ISERROR(SEARCH("17",BK207)))</formula>
    </cfRule>
    <cfRule type="containsText" dxfId="241" priority="175" operator="containsText" text="T">
      <formula>NOT(ISERROR(SEARCH("T",BK207)))</formula>
    </cfRule>
  </conditionalFormatting>
  <conditionalFormatting sqref="BK217:BK223 BL224:BL230">
    <cfRule type="containsText" dxfId="240" priority="5549" operator="containsText" text="17">
      <formula>NOT(ISERROR(SEARCH("17",BK217)))</formula>
    </cfRule>
    <cfRule type="containsText" dxfId="239" priority="5550" operator="containsText" text="T">
      <formula>NOT(ISERROR(SEARCH("T",BK217)))</formula>
    </cfRule>
  </conditionalFormatting>
  <conditionalFormatting sqref="BK97:BL98 BO97:CP98">
    <cfRule type="containsText" dxfId="238" priority="232" operator="containsText" text="17">
      <formula>NOT(ISERROR(SEARCH("17",BK97)))</formula>
    </cfRule>
  </conditionalFormatting>
  <conditionalFormatting sqref="BK131:BL137 BO131:BQ137">
    <cfRule type="containsText" dxfId="237" priority="222" operator="containsText" text="17">
      <formula>NOT(ISERROR(SEARCH("17",BK131)))</formula>
    </cfRule>
  </conditionalFormatting>
  <conditionalFormatting sqref="BK217:BN217">
    <cfRule type="containsText" dxfId="236" priority="5247" operator="containsText" text="17">
      <formula>NOT(ISERROR(SEARCH("17",BK217)))</formula>
    </cfRule>
    <cfRule type="containsText" dxfId="235" priority="5248" operator="containsText" text="T">
      <formula>NOT(ISERROR(SEARCH("T",BK217)))</formula>
    </cfRule>
  </conditionalFormatting>
  <conditionalFormatting sqref="BK218:BN223">
    <cfRule type="containsText" dxfId="234" priority="5555" operator="containsText" text="17">
      <formula>NOT(ISERROR(SEARCH("17",BK218)))</formula>
    </cfRule>
    <cfRule type="containsText" dxfId="233" priority="5556" operator="containsText" text="T">
      <formula>NOT(ISERROR(SEARCH("T",BK218)))</formula>
    </cfRule>
  </conditionalFormatting>
  <conditionalFormatting sqref="BK200:BQ206">
    <cfRule type="containsText" dxfId="232" priority="164" operator="containsText" text="17">
      <formula>NOT(ISERROR(SEARCH("17",BK200)))</formula>
    </cfRule>
    <cfRule type="containsText" dxfId="231" priority="165" operator="containsText" text="T">
      <formula>NOT(ISERROR(SEARCH("T",BK200)))</formula>
    </cfRule>
  </conditionalFormatting>
  <conditionalFormatting sqref="BK85:BW89">
    <cfRule type="containsText" dxfId="230" priority="945" operator="containsText" text="17">
      <formula>NOT(ISERROR(SEARCH("17",BK85)))</formula>
    </cfRule>
  </conditionalFormatting>
  <conditionalFormatting sqref="BL79">
    <cfRule type="containsText" dxfId="229" priority="3803" operator="containsText" text="17">
      <formula>NOT(ISERROR(SEARCH("17",BL79)))</formula>
    </cfRule>
    <cfRule type="containsText" dxfId="228" priority="3804" operator="containsText" text="T">
      <formula>NOT(ISERROR(SEARCH("T",BL79)))</formula>
    </cfRule>
  </conditionalFormatting>
  <conditionalFormatting sqref="BL97:BL98">
    <cfRule type="containsText" dxfId="227" priority="233" operator="containsText" text="T">
      <formula>NOT(ISERROR(SEARCH("T",BL97)))</formula>
    </cfRule>
  </conditionalFormatting>
  <conditionalFormatting sqref="BL131:BL137">
    <cfRule type="containsText" dxfId="226" priority="223" operator="containsText" text="T">
      <formula>NOT(ISERROR(SEARCH("T",BL131)))</formula>
    </cfRule>
  </conditionalFormatting>
  <conditionalFormatting sqref="BL138:BL144 BP138:BR144">
    <cfRule type="containsText" dxfId="225" priority="211" operator="containsText" text="T">
      <formula>NOT(ISERROR(SEARCH("T",BL138)))</formula>
    </cfRule>
  </conditionalFormatting>
  <conditionalFormatting sqref="BL200:BL206">
    <cfRule type="containsText" dxfId="224" priority="162" operator="containsText" text="17">
      <formula>NOT(ISERROR(SEARCH("17",BL200)))</formula>
    </cfRule>
    <cfRule type="containsText" dxfId="223" priority="163" operator="containsText" text="T">
      <formula>NOT(ISERROR(SEARCH("T",BL200)))</formula>
    </cfRule>
  </conditionalFormatting>
  <conditionalFormatting sqref="BL138:BM144 BP138:BR144">
    <cfRule type="containsText" dxfId="222" priority="212" operator="containsText" text="17">
      <formula>NOT(ISERROR(SEARCH("17",BL138)))</formula>
    </cfRule>
  </conditionalFormatting>
  <conditionalFormatting sqref="BL199:BM199 BK206:BL206">
    <cfRule type="containsText" dxfId="221" priority="2074" operator="containsText" text="17">
      <formula>NOT(ISERROR(SEARCH("17",BK199)))</formula>
    </cfRule>
    <cfRule type="containsText" dxfId="220" priority="2075" operator="containsText" text="T">
      <formula>NOT(ISERROR(SEARCH("T",BK199)))</formula>
    </cfRule>
  </conditionalFormatting>
  <conditionalFormatting sqref="BL224:BP230 BO214:BO223">
    <cfRule type="containsText" dxfId="219" priority="5553" operator="containsText" text="17">
      <formula>NOT(ISERROR(SEARCH("17",BL214)))</formula>
    </cfRule>
  </conditionalFormatting>
  <conditionalFormatting sqref="BL217:BQ217">
    <cfRule type="containsText" dxfId="218" priority="5249" operator="containsText" text="17">
      <formula>NOT(ISERROR(SEARCH("17",BL217)))</formula>
    </cfRule>
    <cfRule type="containsText" dxfId="217" priority="5250" operator="containsText" text="T">
      <formula>NOT(ISERROR(SEARCH("T",BL217)))</formula>
    </cfRule>
  </conditionalFormatting>
  <conditionalFormatting sqref="BL218:BQ223 BM224:BV230">
    <cfRule type="containsText" dxfId="216" priority="5561" operator="containsText" text="17">
      <formula>NOT(ISERROR(SEARCH("17",BL218)))</formula>
    </cfRule>
    <cfRule type="containsText" dxfId="215" priority="5562" operator="containsText" text="T">
      <formula>NOT(ISERROR(SEARCH("T",BL218)))</formula>
    </cfRule>
  </conditionalFormatting>
  <conditionalFormatting sqref="BL192:BR199">
    <cfRule type="containsText" dxfId="214" priority="147" operator="containsText" text="17">
      <formula>NOT(ISERROR(SEARCH("17",BL192)))</formula>
    </cfRule>
  </conditionalFormatting>
  <conditionalFormatting sqref="BM138:BM144">
    <cfRule type="containsText" dxfId="213" priority="213" operator="containsText" text="T">
      <formula>NOT(ISERROR(SEARCH("T",BM138)))</formula>
    </cfRule>
  </conditionalFormatting>
  <conditionalFormatting sqref="BM145:BM151 BQ145:BS151">
    <cfRule type="containsText" dxfId="212" priority="201" operator="containsText" text="T">
      <formula>NOT(ISERROR(SEARCH("T",BM145)))</formula>
    </cfRule>
  </conditionalFormatting>
  <conditionalFormatting sqref="BM192:BM199">
    <cfRule type="containsText" dxfId="211" priority="145" operator="containsText" text="17">
      <formula>NOT(ISERROR(SEARCH("17",BM192)))</formula>
    </cfRule>
    <cfRule type="containsText" dxfId="210" priority="146" operator="containsText" text="T">
      <formula>NOT(ISERROR(SEARCH("T",BM192)))</formula>
    </cfRule>
  </conditionalFormatting>
  <conditionalFormatting sqref="BM214:BM216 BI214:BJ216">
    <cfRule type="containsText" dxfId="209" priority="5797" operator="containsText" text="17">
      <formula>NOT(ISERROR(SEARCH("17",BI214)))</formula>
    </cfRule>
  </conditionalFormatting>
  <conditionalFormatting sqref="BM214:BM216">
    <cfRule type="containsText" dxfId="208" priority="5795" operator="containsText" text="17">
      <formula>NOT(ISERROR(SEARCH("17",BM214)))</formula>
    </cfRule>
    <cfRule type="containsText" dxfId="207" priority="5796" operator="containsText" text="T">
      <formula>NOT(ISERROR(SEARCH("T",BM214)))</formula>
    </cfRule>
  </conditionalFormatting>
  <conditionalFormatting sqref="BM145:BN151 BQ145:BS151">
    <cfRule type="containsText" dxfId="206" priority="202" operator="containsText" text="17">
      <formula>NOT(ISERROR(SEARCH("17",BM145)))</formula>
    </cfRule>
  </conditionalFormatting>
  <conditionalFormatting sqref="BM168:BS174">
    <cfRule type="containsText" dxfId="205" priority="123" operator="containsText" text="17">
      <formula>NOT(ISERROR(SEARCH("17",BM168)))</formula>
    </cfRule>
    <cfRule type="containsText" dxfId="204" priority="124" operator="containsText" text="T">
      <formula>NOT(ISERROR(SEARCH("T",BM168)))</formula>
    </cfRule>
  </conditionalFormatting>
  <conditionalFormatting sqref="BM193:BU215">
    <cfRule type="containsText" dxfId="203" priority="852" operator="containsText" text="17">
      <formula>NOT(ISERROR(SEARCH("17",BM193)))</formula>
    </cfRule>
  </conditionalFormatting>
  <conditionalFormatting sqref="BM92:BY96">
    <cfRule type="containsText" dxfId="202" priority="939" operator="containsText" text="17">
      <formula>NOT(ISERROR(SEARCH("17",BM92)))</formula>
    </cfRule>
  </conditionalFormatting>
  <conditionalFormatting sqref="BM79:CJ82 CF83:CJ84">
    <cfRule type="containsText" dxfId="201" priority="950" operator="containsText" text="17">
      <formula>NOT(ISERROR(SEARCH("17",BM79)))</formula>
    </cfRule>
  </conditionalFormatting>
  <conditionalFormatting sqref="BN145:BN151">
    <cfRule type="containsText" dxfId="200" priority="203" operator="containsText" text="T">
      <formula>NOT(ISERROR(SEARCH("T",BN145)))</formula>
    </cfRule>
  </conditionalFormatting>
  <conditionalFormatting sqref="BN152:BN158 BR152:BT158">
    <cfRule type="containsText" dxfId="199" priority="191" operator="containsText" text="T">
      <formula>NOT(ISERROR(SEARCH("T",BN152)))</formula>
    </cfRule>
  </conditionalFormatting>
  <conditionalFormatting sqref="BN168:BN174">
    <cfRule type="containsText" dxfId="198" priority="121" operator="containsText" text="17">
      <formula>NOT(ISERROR(SEARCH("17",BN168)))</formula>
    </cfRule>
    <cfRule type="containsText" dxfId="197" priority="122" operator="containsText" text="T">
      <formula>NOT(ISERROR(SEARCH("T",BN168)))</formula>
    </cfRule>
  </conditionalFormatting>
  <conditionalFormatting sqref="BN152:BO158 BR152:BT158">
    <cfRule type="containsText" dxfId="196" priority="192" operator="containsText" text="17">
      <formula>NOT(ISERROR(SEARCH("17",BN152)))</formula>
    </cfRule>
  </conditionalFormatting>
  <conditionalFormatting sqref="BN175:BT181">
    <cfRule type="containsText" dxfId="195" priority="99" operator="containsText" text="17">
      <formula>NOT(ISERROR(SEARCH("17",BN175)))</formula>
    </cfRule>
    <cfRule type="containsText" dxfId="194" priority="100" operator="containsText" text="T">
      <formula>NOT(ISERROR(SEARCH("T",BN175)))</formula>
    </cfRule>
  </conditionalFormatting>
  <conditionalFormatting sqref="BN192:BW199 BM193:BN215 BP193:BU215 BN200:BO206 BQ200:BV206">
    <cfRule type="containsText" dxfId="193" priority="853" operator="containsText" text="T">
      <formula>NOT(ISERROR(SEARCH("T",BM192)))</formula>
    </cfRule>
  </conditionalFormatting>
  <conditionalFormatting sqref="BN107:CJ109">
    <cfRule type="containsText" dxfId="192" priority="928" operator="containsText" text="17">
      <formula>NOT(ISERROR(SEARCH("17",BN107)))</formula>
    </cfRule>
  </conditionalFormatting>
  <conditionalFormatting sqref="BN111:CJ112 BM113:CJ115 CJ116">
    <cfRule type="containsText" dxfId="191" priority="922" operator="containsText" text="17">
      <formula>NOT(ISERROR(SEARCH("17",BM111)))</formula>
    </cfRule>
  </conditionalFormatting>
  <conditionalFormatting sqref="BO152:BO158">
    <cfRule type="containsText" dxfId="190" priority="193" operator="containsText" text="T">
      <formula>NOT(ISERROR(SEARCH("T",BO152)))</formula>
    </cfRule>
  </conditionalFormatting>
  <conditionalFormatting sqref="BO159:BO165 BS159:BU165">
    <cfRule type="containsText" dxfId="189" priority="181" operator="containsText" text="T">
      <formula>NOT(ISERROR(SEARCH("T",BO159)))</formula>
    </cfRule>
  </conditionalFormatting>
  <conditionalFormatting sqref="BO175:BO181">
    <cfRule type="containsText" dxfId="188" priority="97" operator="containsText" text="17">
      <formula>NOT(ISERROR(SEARCH("17",BO175)))</formula>
    </cfRule>
    <cfRule type="containsText" dxfId="187" priority="98" operator="containsText" text="T">
      <formula>NOT(ISERROR(SEARCH("T",BO175)))</formula>
    </cfRule>
  </conditionalFormatting>
  <conditionalFormatting sqref="BO214:BO216">
    <cfRule type="containsText" dxfId="186" priority="5819" operator="containsText" text="17">
      <formula>NOT(ISERROR(SEARCH("17",BO214)))</formula>
    </cfRule>
    <cfRule type="containsText" dxfId="185" priority="5820" operator="containsText" text="T">
      <formula>NOT(ISERROR(SEARCH("T",BO214)))</formula>
    </cfRule>
  </conditionalFormatting>
  <conditionalFormatting sqref="BO214:BO223 BL224:BP230">
    <cfRule type="containsText" dxfId="184" priority="5554" operator="containsText" text="T">
      <formula>NOT(ISERROR(SEARCH("T",BL214)))</formula>
    </cfRule>
  </conditionalFormatting>
  <conditionalFormatting sqref="BO159:BP165 BS159:BU165">
    <cfRule type="containsText" dxfId="183" priority="182" operator="containsText" text="17">
      <formula>NOT(ISERROR(SEARCH("17",BO159)))</formula>
    </cfRule>
  </conditionalFormatting>
  <conditionalFormatting sqref="BO182:BU188">
    <cfRule type="containsText" dxfId="182" priority="75" operator="containsText" text="17">
      <formula>NOT(ISERROR(SEARCH("17",BO182)))</formula>
    </cfRule>
    <cfRule type="containsText" dxfId="181" priority="76" operator="containsText" text="T">
      <formula>NOT(ISERROR(SEARCH("T",BO182)))</formula>
    </cfRule>
  </conditionalFormatting>
  <conditionalFormatting sqref="BO118:CA120">
    <cfRule type="containsText" dxfId="180" priority="917" operator="containsText" text="17">
      <formula>NOT(ISERROR(SEARCH("17",BO118)))</formula>
    </cfRule>
  </conditionalFormatting>
  <conditionalFormatting sqref="BO73:CK75 BN76:CK77 CK78">
    <cfRule type="containsText" dxfId="179" priority="956" operator="containsText" text="17">
      <formula>NOT(ISERROR(SEARCH("17",BN73)))</formula>
    </cfRule>
  </conditionalFormatting>
  <conditionalFormatting sqref="BP159:BP165">
    <cfRule type="containsText" dxfId="178" priority="183" operator="containsText" text="T">
      <formula>NOT(ISERROR(SEARCH("T",BP159)))</formula>
    </cfRule>
  </conditionalFormatting>
  <conditionalFormatting sqref="BP182:BP188">
    <cfRule type="containsText" dxfId="177" priority="73" operator="containsText" text="17">
      <formula>NOT(ISERROR(SEARCH("17",BP182)))</formula>
    </cfRule>
    <cfRule type="containsText" dxfId="176" priority="74" operator="containsText" text="T">
      <formula>NOT(ISERROR(SEARCH("T",BP182)))</formula>
    </cfRule>
  </conditionalFormatting>
  <conditionalFormatting sqref="BP192:BP199 BO193:BO215 BP194:BT194 BM195:BS195 BO196:BT198">
    <cfRule type="containsText" dxfId="175" priority="855" operator="containsText" text="T">
      <formula>NOT(ISERROR(SEARCH("T",BM192)))</formula>
    </cfRule>
  </conditionalFormatting>
  <conditionalFormatting sqref="BP200:BP213">
    <cfRule type="containsText" dxfId="174" priority="168" operator="containsText" text="T">
      <formula>NOT(ISERROR(SEARCH("T",BP200)))</formula>
    </cfRule>
  </conditionalFormatting>
  <conditionalFormatting sqref="BP217:BP223 BQ224:BQ230 BR217:BU223">
    <cfRule type="containsText" dxfId="173" priority="5563" operator="containsText" text="17">
      <formula>NOT(ISERROR(SEARCH("17",BP217)))</formula>
    </cfRule>
  </conditionalFormatting>
  <conditionalFormatting sqref="BP217:BP223 BR217:BU223 BQ224:BQ230">
    <cfRule type="containsText" dxfId="172" priority="5564" operator="containsText" text="T">
      <formula>NOT(ISERROR(SEARCH("T",BP217)))</formula>
    </cfRule>
  </conditionalFormatting>
  <conditionalFormatting sqref="BP207:BQ213">
    <cfRule type="containsText" dxfId="171" priority="172" operator="containsText" text="17">
      <formula>NOT(ISERROR(SEARCH("17",BP207)))</formula>
    </cfRule>
  </conditionalFormatting>
  <conditionalFormatting sqref="BP194:BT194 BM195:BS195 BO196:BT198">
    <cfRule type="containsText" dxfId="170" priority="854" operator="containsText" text="17">
      <formula>NOT(ISERROR(SEARCH("17",BM194)))</formula>
    </cfRule>
  </conditionalFormatting>
  <conditionalFormatting sqref="BP14:BV14">
    <cfRule type="containsText" dxfId="169" priority="66" operator="containsText" text="17">
      <formula>NOT(ISERROR(SEARCH("17",BP14)))</formula>
    </cfRule>
    <cfRule type="containsText" dxfId="168" priority="67" operator="containsText" text="T">
      <formula>NOT(ISERROR(SEARCH("T",BP14)))</formula>
    </cfRule>
  </conditionalFormatting>
  <conditionalFormatting sqref="BP189:BV190">
    <cfRule type="containsText" dxfId="167" priority="859" operator="containsText" text="T">
      <formula>NOT(ISERROR(SEARCH("T",BP189)))</formula>
    </cfRule>
  </conditionalFormatting>
  <conditionalFormatting sqref="BP80:CB82">
    <cfRule type="containsText" dxfId="166" priority="951" operator="containsText" text="17">
      <formula>NOT(ISERROR(SEARCH("17",BP80)))</formula>
    </cfRule>
  </conditionalFormatting>
  <conditionalFormatting sqref="BP106:CB109">
    <cfRule type="containsText" dxfId="165" priority="929" operator="containsText" text="17">
      <formula>NOT(ISERROR(SEARCH("17",BP106)))</formula>
    </cfRule>
  </conditionalFormatting>
  <conditionalFormatting sqref="BP112:CB115">
    <cfRule type="containsText" dxfId="164" priority="923" operator="containsText" text="17">
      <formula>NOT(ISERROR(SEARCH("17",BP112)))</formula>
    </cfRule>
  </conditionalFormatting>
  <conditionalFormatting sqref="BQ14">
    <cfRule type="containsText" dxfId="163" priority="62" operator="containsText" text="17">
      <formula>NOT(ISERROR(SEARCH("17",BQ14)))</formula>
    </cfRule>
    <cfRule type="containsText" dxfId="162" priority="63" operator="containsText" text="T">
      <formula>NOT(ISERROR(SEARCH("T",BQ14)))</formula>
    </cfRule>
  </conditionalFormatting>
  <conditionalFormatting sqref="BQ192:BQ206">
    <cfRule type="containsText" dxfId="161" priority="151" operator="containsText" text="T">
      <formula>NOT(ISERROR(SEARCH("T",BQ192)))</formula>
    </cfRule>
  </conditionalFormatting>
  <conditionalFormatting sqref="BQ207:BQ213">
    <cfRule type="containsText" dxfId="160" priority="173" operator="containsText" text="T">
      <formula>NOT(ISERROR(SEARCH("T",BQ207)))</formula>
    </cfRule>
  </conditionalFormatting>
  <conditionalFormatting sqref="BQ214:BQ223">
    <cfRule type="containsText" dxfId="159" priority="5547" operator="containsText" text="17">
      <formula>NOT(ISERROR(SEARCH("17",BQ214)))</formula>
    </cfRule>
    <cfRule type="containsText" dxfId="158" priority="5548" operator="containsText" text="T">
      <formula>NOT(ISERROR(SEARCH("T",BQ214)))</formula>
    </cfRule>
  </conditionalFormatting>
  <conditionalFormatting sqref="BQ200:BR206">
    <cfRule type="containsText" dxfId="157" priority="160" operator="containsText" text="17">
      <formula>NOT(ISERROR(SEARCH("17",BQ200)))</formula>
    </cfRule>
  </conditionalFormatting>
  <conditionalFormatting sqref="BQ214:BU216">
    <cfRule type="containsText" dxfId="156" priority="5775" operator="containsText" text="17">
      <formula>NOT(ISERROR(SEARCH("17",BQ214)))</formula>
    </cfRule>
    <cfRule type="containsText" dxfId="155" priority="5776" operator="containsText" text="T">
      <formula>NOT(ISERROR(SEARCH("T",BQ214)))</formula>
    </cfRule>
  </conditionalFormatting>
  <conditionalFormatting sqref="BQ34:BW34">
    <cfRule type="containsText" dxfId="154" priority="54" operator="containsText" text="17">
      <formula>NOT(ISERROR(SEARCH("17",BQ34)))</formula>
    </cfRule>
    <cfRule type="containsText" dxfId="153" priority="55" operator="containsText" text="T">
      <formula>NOT(ISERROR(SEARCH("T",BQ34)))</formula>
    </cfRule>
  </conditionalFormatting>
  <conditionalFormatting sqref="BQ100:CB102 BP103:CB103">
    <cfRule type="containsText" dxfId="152" priority="934" operator="containsText" text="17">
      <formula>NOT(ISERROR(SEARCH("17",BP100)))</formula>
    </cfRule>
  </conditionalFormatting>
  <conditionalFormatting sqref="BR34">
    <cfRule type="containsText" dxfId="151" priority="50" operator="containsText" text="17">
      <formula>NOT(ISERROR(SEARCH("17",BR34)))</formula>
    </cfRule>
    <cfRule type="containsText" dxfId="150" priority="51" operator="containsText" text="T">
      <formula>NOT(ISERROR(SEARCH("T",BR34)))</formula>
    </cfRule>
  </conditionalFormatting>
  <conditionalFormatting sqref="BR192:BR199">
    <cfRule type="containsText" dxfId="149" priority="142" operator="containsText" text="T">
      <formula>NOT(ISERROR(SEARCH("T",BR192)))</formula>
    </cfRule>
  </conditionalFormatting>
  <conditionalFormatting sqref="BR200:BR206">
    <cfRule type="containsText" dxfId="148" priority="161" operator="containsText" text="T">
      <formula>NOT(ISERROR(SEARCH("T",BR200)))</formula>
    </cfRule>
  </conditionalFormatting>
  <conditionalFormatting sqref="BR50:BS50 BU50:BY50">
    <cfRule type="containsText" dxfId="147" priority="969" operator="containsText" text="17">
      <formula>NOT(ISERROR(SEARCH("17",BR50)))</formula>
    </cfRule>
    <cfRule type="containsText" dxfId="146" priority="970" operator="containsText" text="T">
      <formula>NOT(ISERROR(SEARCH("T",BR50)))</formula>
    </cfRule>
  </conditionalFormatting>
  <conditionalFormatting sqref="BR192:BS199">
    <cfRule type="containsText" dxfId="145" priority="143" operator="containsText" text="17">
      <formula>NOT(ISERROR(SEARCH("17",BR192)))</formula>
    </cfRule>
  </conditionalFormatting>
  <conditionalFormatting sqref="BR214:BV216">
    <cfRule type="containsText" dxfId="144" priority="5781" operator="containsText" text="17">
      <formula>NOT(ISERROR(SEARCH("17",BR214)))</formula>
    </cfRule>
    <cfRule type="containsText" dxfId="143" priority="5782" operator="containsText" text="T">
      <formula>NOT(ISERROR(SEARCH("T",BR214)))</formula>
    </cfRule>
  </conditionalFormatting>
  <conditionalFormatting sqref="BR217:BV230">
    <cfRule type="containsText" dxfId="142" priority="5245" operator="containsText" text="17">
      <formula>NOT(ISERROR(SEARCH("17",BR217)))</formula>
    </cfRule>
    <cfRule type="containsText" dxfId="141" priority="5246" operator="containsText" text="T">
      <formula>NOT(ISERROR(SEARCH("T",BR217)))</formula>
    </cfRule>
  </conditionalFormatting>
  <conditionalFormatting sqref="BR21:BX21">
    <cfRule type="containsText" dxfId="140" priority="42" operator="containsText" text="17">
      <formula>NOT(ISERROR(SEARCH("17",BR21)))</formula>
    </cfRule>
    <cfRule type="containsText" dxfId="139" priority="43" operator="containsText" text="T">
      <formula>NOT(ISERROR(SEARCH("T",BR21)))</formula>
    </cfRule>
  </conditionalFormatting>
  <conditionalFormatting sqref="BR68:CD71 BQ74:CC77">
    <cfRule type="containsText" dxfId="138" priority="957" operator="containsText" text="17">
      <formula>NOT(ISERROR(SEARCH("17",BQ68)))</formula>
    </cfRule>
  </conditionalFormatting>
  <conditionalFormatting sqref="BS21">
    <cfRule type="containsText" dxfId="137" priority="38" operator="containsText" text="17">
      <formula>NOT(ISERROR(SEARCH("17",BS21)))</formula>
    </cfRule>
    <cfRule type="containsText" dxfId="136" priority="39" operator="containsText" text="T">
      <formula>NOT(ISERROR(SEARCH("T",BS21)))</formula>
    </cfRule>
  </conditionalFormatting>
  <conditionalFormatting sqref="BS127 BC199 BB206">
    <cfRule type="containsText" dxfId="135" priority="2081" operator="containsText" text="T">
      <formula>NOT(ISERROR(SEARCH("T",BB127)))</formula>
    </cfRule>
  </conditionalFormatting>
  <conditionalFormatting sqref="BS127 BC199:BR199 BB206:BQ206">
    <cfRule type="containsText" dxfId="134" priority="4986" operator="containsText" text="T">
      <formula>NOT(ISERROR(SEARCH("T",BB127)))</formula>
    </cfRule>
  </conditionalFormatting>
  <conditionalFormatting sqref="BS168:BS181">
    <cfRule type="containsText" dxfId="133" priority="103" operator="containsText" text="T">
      <formula>NOT(ISERROR(SEARCH("T",BS168)))</formula>
    </cfRule>
  </conditionalFormatting>
  <conditionalFormatting sqref="BS192:BS199">
    <cfRule type="containsText" dxfId="132" priority="144" operator="containsText" text="T">
      <formula>NOT(ISERROR(SEARCH("T",BS192)))</formula>
    </cfRule>
  </conditionalFormatting>
  <conditionalFormatting sqref="BS168:BT174">
    <cfRule type="containsText" dxfId="131" priority="119" operator="containsText" text="17">
      <formula>NOT(ISERROR(SEARCH("17",BS168)))</formula>
    </cfRule>
  </conditionalFormatting>
  <conditionalFormatting sqref="BS199:BT199 BR206:BS206">
    <cfRule type="containsText" dxfId="130" priority="2084" operator="containsText" text="17">
      <formula>NOT(ISERROR(SEARCH("17",BR199)))</formula>
    </cfRule>
    <cfRule type="containsText" dxfId="129" priority="2085" operator="containsText" text="T">
      <formula>NOT(ISERROR(SEARCH("T",BR199)))</formula>
    </cfRule>
  </conditionalFormatting>
  <conditionalFormatting sqref="BS41:BY41">
    <cfRule type="containsText" dxfId="128" priority="30" operator="containsText" text="17">
      <formula>NOT(ISERROR(SEARCH("17",BS41)))</formula>
    </cfRule>
    <cfRule type="containsText" dxfId="127" priority="31" operator="containsText" text="T">
      <formula>NOT(ISERROR(SEARCH("T",BS41)))</formula>
    </cfRule>
  </conditionalFormatting>
  <conditionalFormatting sqref="BT41">
    <cfRule type="containsText" dxfId="126" priority="26" operator="containsText" text="17">
      <formula>NOT(ISERROR(SEARCH("17",BT41)))</formula>
    </cfRule>
    <cfRule type="containsText" dxfId="125" priority="27" operator="containsText" text="T">
      <formula>NOT(ISERROR(SEARCH("T",BT41)))</formula>
    </cfRule>
  </conditionalFormatting>
  <conditionalFormatting sqref="BT50:BT52 BZ50:BZ52 BU51:BY52">
    <cfRule type="containsText" dxfId="124" priority="8494" operator="containsText" text="17">
      <formula>NOT(ISERROR(SEARCH("17",BT50)))</formula>
    </cfRule>
    <cfRule type="containsText" dxfId="123" priority="8495" operator="containsText" text="T">
      <formula>NOT(ISERROR(SEARCH("T",BT50)))</formula>
    </cfRule>
  </conditionalFormatting>
  <conditionalFormatting sqref="BT145:BT148">
    <cfRule type="containsText" dxfId="122" priority="1524" operator="containsText" text="17">
      <formula>NOT(ISERROR(SEARCH("17",BT145)))</formula>
    </cfRule>
    <cfRule type="containsText" dxfId="121" priority="1525" operator="containsText" text="T">
      <formula>NOT(ISERROR(SEARCH("T",BT145)))</formula>
    </cfRule>
    <cfRule type="containsText" dxfId="120" priority="8469" operator="containsText" text="T">
      <formula>NOT(ISERROR(SEARCH("T",BT145)))</formula>
    </cfRule>
  </conditionalFormatting>
  <conditionalFormatting sqref="BT168:BT174">
    <cfRule type="containsText" dxfId="119" priority="120" operator="containsText" text="T">
      <formula>NOT(ISERROR(SEARCH("T",BT168)))</formula>
    </cfRule>
  </conditionalFormatting>
  <conditionalFormatting sqref="BT175:BT188">
    <cfRule type="containsText" dxfId="118" priority="79" operator="containsText" text="T">
      <formula>NOT(ISERROR(SEARCH("T",BT175)))</formula>
    </cfRule>
  </conditionalFormatting>
  <conditionalFormatting sqref="BT175:BU181">
    <cfRule type="containsText" dxfId="117" priority="95" operator="containsText" text="17">
      <formula>NOT(ISERROR(SEARCH("17",BT175)))</formula>
    </cfRule>
  </conditionalFormatting>
  <conditionalFormatting sqref="BT139:CQ144">
    <cfRule type="containsText" dxfId="116" priority="900" operator="containsText" text="17">
      <formula>NOT(ISERROR(SEARCH("17",BT139)))</formula>
    </cfRule>
    <cfRule type="containsText" dxfId="115" priority="903" operator="containsText" text="T">
      <formula>NOT(ISERROR(SEARCH("T",BT139)))</formula>
    </cfRule>
  </conditionalFormatting>
  <conditionalFormatting sqref="BU175:BU181">
    <cfRule type="containsText" dxfId="114" priority="96" operator="containsText" text="T">
      <formula>NOT(ISERROR(SEARCH("T",BU175)))</formula>
    </cfRule>
  </conditionalFormatting>
  <conditionalFormatting sqref="BU182:BU188">
    <cfRule type="containsText" dxfId="113" priority="70" operator="containsText" text="T">
      <formula>NOT(ISERROR(SEARCH("T",BU182)))</formula>
    </cfRule>
  </conditionalFormatting>
  <conditionalFormatting sqref="BU200:BU202 AX210:AX211">
    <cfRule type="containsText" dxfId="112" priority="8455" operator="containsText" text="T">
      <formula>NOT(ISERROR(SEARCH("T",AX200)))</formula>
    </cfRule>
  </conditionalFormatting>
  <conditionalFormatting sqref="BU200:BU202 AY190 AX191:BH191 BK191 BO191:BS191">
    <cfRule type="containsText" dxfId="111" priority="8448" operator="containsText" text="17">
      <formula>NOT(ISERROR(SEARCH("17",AX190)))</formula>
    </cfRule>
  </conditionalFormatting>
  <conditionalFormatting sqref="BU182:BV188">
    <cfRule type="containsText" dxfId="110" priority="71" operator="containsText" text="17">
      <formula>NOT(ISERROR(SEARCH("17",BU182)))</formula>
    </cfRule>
  </conditionalFormatting>
  <conditionalFormatting sqref="BU200:BW206">
    <cfRule type="containsText" dxfId="109" priority="166" operator="containsText" text="17">
      <formula>NOT(ISERROR(SEARCH("17",BU200)))</formula>
    </cfRule>
  </conditionalFormatting>
  <conditionalFormatting sqref="BU153:CQ158">
    <cfRule type="containsText" dxfId="108" priority="887" operator="containsText" text="17">
      <formula>NOT(ISERROR(SEARCH("17",BU153)))</formula>
    </cfRule>
    <cfRule type="containsText" dxfId="107" priority="890" operator="containsText" text="T">
      <formula>NOT(ISERROR(SEARCH("T",BU153)))</formula>
    </cfRule>
  </conditionalFormatting>
  <conditionalFormatting sqref="BU146:CR151 BV160:CQ165">
    <cfRule type="containsText" dxfId="106" priority="8302" operator="containsText" text="17">
      <formula>NOT(ISERROR(SEARCH("17",BU146)))</formula>
    </cfRule>
  </conditionalFormatting>
  <conditionalFormatting sqref="BU146:CR151">
    <cfRule type="containsText" dxfId="105" priority="899" operator="containsText" text="T">
      <formula>NOT(ISERROR(SEARCH("T",BU146)))</formula>
    </cfRule>
  </conditionalFormatting>
  <conditionalFormatting sqref="BV14 BZ14:CB14 BE15:BY20 CB15:CB20">
    <cfRule type="containsText" dxfId="104" priority="59" operator="containsText" text="T">
      <formula>NOT(ISERROR(SEARCH("T",BE14)))</formula>
    </cfRule>
  </conditionalFormatting>
  <conditionalFormatting sqref="BV182:BV188">
    <cfRule type="containsText" dxfId="103" priority="72" operator="containsText" text="T">
      <formula>NOT(ISERROR(SEARCH("T",BV182)))</formula>
    </cfRule>
  </conditionalFormatting>
  <conditionalFormatting sqref="BV192:BV199">
    <cfRule type="containsText" dxfId="102" priority="152" operator="containsText" text="17">
      <formula>NOT(ISERROR(SEARCH("17",BV192)))</formula>
    </cfRule>
    <cfRule type="containsText" dxfId="101" priority="153" operator="containsText" text="T">
      <formula>NOT(ISERROR(SEARCH("T",BV192)))</formula>
    </cfRule>
    <cfRule type="containsText" dxfId="100" priority="154" operator="containsText" text="17">
      <formula>NOT(ISERROR(SEARCH("17",BV192)))</formula>
    </cfRule>
    <cfRule type="containsText" dxfId="99" priority="155" operator="containsText" text="T">
      <formula>NOT(ISERROR(SEARCH("T",BV192)))</formula>
    </cfRule>
    <cfRule type="containsText" dxfId="98" priority="156" operator="containsText" text="17">
      <formula>NOT(ISERROR(SEARCH("17",BV192)))</formula>
    </cfRule>
  </conditionalFormatting>
  <conditionalFormatting sqref="BV199 BU206">
    <cfRule type="containsText" dxfId="97" priority="2082" operator="containsText" text="17">
      <formula>NOT(ISERROR(SEARCH("17",BU199)))</formula>
    </cfRule>
    <cfRule type="containsText" dxfId="96" priority="2083" operator="containsText" text="T">
      <formula>NOT(ISERROR(SEARCH("T",BU199)))</formula>
    </cfRule>
  </conditionalFormatting>
  <conditionalFormatting sqref="BV214:BV216">
    <cfRule type="containsText" dxfId="95" priority="5783" operator="containsText" text="17">
      <formula>NOT(ISERROR(SEARCH("17",BV214)))</formula>
    </cfRule>
    <cfRule type="containsText" dxfId="94" priority="5784" operator="containsText" text="T">
      <formula>NOT(ISERROR(SEARCH("T",BV214)))</formula>
    </cfRule>
  </conditionalFormatting>
  <conditionalFormatting sqref="BV14:BW14 BZ14:CB14 CB15:CB20">
    <cfRule type="containsText" dxfId="93" priority="60" operator="containsText" text="17">
      <formula>NOT(ISERROR(SEARCH("17",BV14)))</formula>
    </cfRule>
  </conditionalFormatting>
  <conditionalFormatting sqref="BV84:BW84 BX84:CD89">
    <cfRule type="containsText" dxfId="92" priority="947" operator="containsText" text="T">
      <formula>NOT(ISERROR(SEARCH("T",BV84)))</formula>
    </cfRule>
  </conditionalFormatting>
  <conditionalFormatting sqref="BV84:BW84">
    <cfRule type="containsText" dxfId="91" priority="946" operator="containsText" text="17">
      <formula>NOT(ISERROR(SEARCH("17",BV84)))</formula>
    </cfRule>
  </conditionalFormatting>
  <conditionalFormatting sqref="BV192:BX199">
    <cfRule type="containsText" dxfId="90" priority="149" operator="containsText" text="17">
      <formula>NOT(ISERROR(SEARCH("17",BV192)))</formula>
    </cfRule>
    <cfRule type="containsText" dxfId="89" priority="150" operator="containsText" text="T">
      <formula>NOT(ISERROR(SEARCH("T",BV192)))</formula>
    </cfRule>
  </conditionalFormatting>
  <conditionalFormatting sqref="BV133:CH137">
    <cfRule type="containsText" dxfId="88" priority="906" operator="containsText" text="17">
      <formula>NOT(ISERROR(SEARCH("17",BV133)))</formula>
    </cfRule>
  </conditionalFormatting>
  <conditionalFormatting sqref="BV160:CQ165">
    <cfRule type="containsText" dxfId="87" priority="886" operator="containsText" text="T">
      <formula>NOT(ISERROR(SEARCH("T",BV160)))</formula>
    </cfRule>
  </conditionalFormatting>
  <conditionalFormatting sqref="BW14">
    <cfRule type="containsText" dxfId="86" priority="61" operator="containsText" text="T">
      <formula>NOT(ISERROR(SEARCH("T",BW14)))</formula>
    </cfRule>
  </conditionalFormatting>
  <conditionalFormatting sqref="BW34 CA34:CC34 BF35:BZ40 CC35:CC40">
    <cfRule type="containsText" dxfId="85" priority="47" operator="containsText" text="T">
      <formula>NOT(ISERROR(SEARCH("T",BF34)))</formula>
    </cfRule>
  </conditionalFormatting>
  <conditionalFormatting sqref="BW168:BW174">
    <cfRule type="containsText" dxfId="84" priority="134" operator="containsText" text="17">
      <formula>NOT(ISERROR(SEARCH("17",BW168)))</formula>
    </cfRule>
    <cfRule type="containsText" dxfId="83" priority="135" operator="containsText" text="T">
      <formula>NOT(ISERROR(SEARCH("T",BW168)))</formula>
    </cfRule>
    <cfRule type="containsText" dxfId="82" priority="136" operator="containsText" text="17">
      <formula>NOT(ISERROR(SEARCH("17",BW168)))</formula>
    </cfRule>
    <cfRule type="containsText" dxfId="81" priority="137" operator="containsText" text="T">
      <formula>NOT(ISERROR(SEARCH("T",BW168)))</formula>
    </cfRule>
    <cfRule type="containsText" dxfId="80" priority="138" operator="containsText" text="17">
      <formula>NOT(ISERROR(SEARCH("17",BW168)))</formula>
    </cfRule>
    <cfRule type="containsText" dxfId="79" priority="139" operator="containsText" text="T">
      <formula>NOT(ISERROR(SEARCH("T",BW168)))</formula>
    </cfRule>
  </conditionalFormatting>
  <conditionalFormatting sqref="BW34:BX34 CA34:CC34 CC35:CC40">
    <cfRule type="containsText" dxfId="78" priority="48" operator="containsText" text="17">
      <formula>NOT(ISERROR(SEARCH("17",BW34)))</formula>
    </cfRule>
  </conditionalFormatting>
  <conditionalFormatting sqref="BW168:BY174">
    <cfRule type="containsText" dxfId="77" priority="125" operator="containsText" text="17">
      <formula>NOT(ISERROR(SEARCH("17",BW168)))</formula>
    </cfRule>
  </conditionalFormatting>
  <conditionalFormatting sqref="BW160:CG165">
    <cfRule type="containsText" dxfId="76" priority="884" operator="containsText" text="17">
      <formula>NOT(ISERROR(SEARCH("17",BW160)))</formula>
    </cfRule>
  </conditionalFormatting>
  <conditionalFormatting sqref="BW140:CI144">
    <cfRule type="containsText" dxfId="75" priority="901" operator="containsText" text="17">
      <formula>NOT(ISERROR(SEARCH("17",BW140)))</formula>
    </cfRule>
  </conditionalFormatting>
  <conditionalFormatting sqref="BW154:CI158">
    <cfRule type="containsText" dxfId="74" priority="888" operator="containsText" text="17">
      <formula>NOT(ISERROR(SEARCH("17",BW154)))</formula>
    </cfRule>
  </conditionalFormatting>
  <conditionalFormatting sqref="BW161:CI165">
    <cfRule type="containsText" dxfId="73" priority="881" operator="containsText" text="17">
      <formula>NOT(ISERROR(SEARCH("17",BW161)))</formula>
    </cfRule>
  </conditionalFormatting>
  <conditionalFormatting sqref="BX21 CB21:CD21 BG22:CA27 CD22:CD27">
    <cfRule type="containsText" dxfId="72" priority="35" operator="containsText" text="T">
      <formula>NOT(ISERROR(SEARCH("T",BG21)))</formula>
    </cfRule>
  </conditionalFormatting>
  <conditionalFormatting sqref="BX34">
    <cfRule type="containsText" dxfId="71" priority="49" operator="containsText" text="T">
      <formula>NOT(ISERROR(SEARCH("T",BX34)))</formula>
    </cfRule>
  </conditionalFormatting>
  <conditionalFormatting sqref="BX175:BX181">
    <cfRule type="containsText" dxfId="70" priority="110" operator="containsText" text="17">
      <formula>NOT(ISERROR(SEARCH("17",BX175)))</formula>
    </cfRule>
    <cfRule type="containsText" dxfId="69" priority="111" operator="containsText" text="T">
      <formula>NOT(ISERROR(SEARCH("T",BX175)))</formula>
    </cfRule>
    <cfRule type="containsText" dxfId="68" priority="112" operator="containsText" text="17">
      <formula>NOT(ISERROR(SEARCH("17",BX175)))</formula>
    </cfRule>
    <cfRule type="containsText" dxfId="67" priority="113" operator="containsText" text="T">
      <formula>NOT(ISERROR(SEARCH("T",BX175)))</formula>
    </cfRule>
    <cfRule type="containsText" dxfId="66" priority="114" operator="containsText" text="17">
      <formula>NOT(ISERROR(SEARCH("17",BX175)))</formula>
    </cfRule>
    <cfRule type="containsText" dxfId="65" priority="115" operator="containsText" text="T">
      <formula>NOT(ISERROR(SEARCH("T",BX175)))</formula>
    </cfRule>
  </conditionalFormatting>
  <conditionalFormatting sqref="BX21:BY21 CB21:CD21 CD22:CD27">
    <cfRule type="containsText" dxfId="64" priority="36" operator="containsText" text="17">
      <formula>NOT(ISERROR(SEARCH("17",BX21)))</formula>
    </cfRule>
  </conditionalFormatting>
  <conditionalFormatting sqref="BX91:BY91 BZ91:CF96">
    <cfRule type="containsText" dxfId="63" priority="940" operator="containsText" text="17">
      <formula>NOT(ISERROR(SEARCH("17",BX91)))</formula>
    </cfRule>
    <cfRule type="containsText" dxfId="62" priority="941" operator="containsText" text="T">
      <formula>NOT(ISERROR(SEARCH("T",BX91)))</formula>
    </cfRule>
  </conditionalFormatting>
  <conditionalFormatting sqref="BX175:BZ181">
    <cfRule type="containsText" dxfId="61" priority="101" operator="containsText" text="17">
      <formula>NOT(ISERROR(SEARCH("17",BX175)))</formula>
    </cfRule>
  </conditionalFormatting>
  <conditionalFormatting sqref="BX146:CH151">
    <cfRule type="containsText" dxfId="60" priority="897" operator="containsText" text="17">
      <formula>NOT(ISERROR(SEARCH("17",BX146)))</formula>
    </cfRule>
  </conditionalFormatting>
  <conditionalFormatting sqref="BX147:CJ151">
    <cfRule type="containsText" dxfId="59" priority="894" operator="containsText" text="17">
      <formula>NOT(ISERROR(SEARCH("17",BX147)))</formula>
    </cfRule>
  </conditionalFormatting>
  <conditionalFormatting sqref="BY21">
    <cfRule type="containsText" dxfId="58" priority="37" operator="containsText" text="T">
      <formula>NOT(ISERROR(SEARCH("T",BY21)))</formula>
    </cfRule>
  </conditionalFormatting>
  <conditionalFormatting sqref="BY41 CC41:CE41 BH42:CB47 CE42:CE47">
    <cfRule type="containsText" dxfId="57" priority="23" operator="containsText" text="T">
      <formula>NOT(ISERROR(SEARCH("T",BH41)))</formula>
    </cfRule>
  </conditionalFormatting>
  <conditionalFormatting sqref="BY182:BY188">
    <cfRule type="containsText" dxfId="56" priority="86" operator="containsText" text="17">
      <formula>NOT(ISERROR(SEARCH("17",BY182)))</formula>
    </cfRule>
    <cfRule type="containsText" dxfId="55" priority="87" operator="containsText" text="T">
      <formula>NOT(ISERROR(SEARCH("T",BY182)))</formula>
    </cfRule>
    <cfRule type="containsText" dxfId="54" priority="88" operator="containsText" text="17">
      <formula>NOT(ISERROR(SEARCH("17",BY182)))</formula>
    </cfRule>
    <cfRule type="containsText" dxfId="53" priority="89" operator="containsText" text="T">
      <formula>NOT(ISERROR(SEARCH("T",BY182)))</formula>
    </cfRule>
    <cfRule type="containsText" dxfId="52" priority="90" operator="containsText" text="17">
      <formula>NOT(ISERROR(SEARCH("17",BY182)))</formula>
    </cfRule>
    <cfRule type="containsText" dxfId="51" priority="91" operator="containsText" text="T">
      <formula>NOT(ISERROR(SEARCH("T",BY182)))</formula>
    </cfRule>
  </conditionalFormatting>
  <conditionalFormatting sqref="BY41:BZ41 CC41:CE41 CE42:CE47">
    <cfRule type="containsText" dxfId="50" priority="24" operator="containsText" text="17">
      <formula>NOT(ISERROR(SEARCH("17",BY41)))</formula>
    </cfRule>
  </conditionalFormatting>
  <conditionalFormatting sqref="BY122:BZ122 CA122:CG126">
    <cfRule type="containsText" dxfId="49" priority="912" operator="containsText" text="17">
      <formula>NOT(ISERROR(SEARCH("17",BY122)))</formula>
    </cfRule>
    <cfRule type="containsText" dxfId="48" priority="913" operator="containsText" text="T">
      <formula>NOT(ISERROR(SEARCH("T",BY122)))</formula>
    </cfRule>
  </conditionalFormatting>
  <conditionalFormatting sqref="BY182:CA188">
    <cfRule type="containsText" dxfId="47" priority="77" operator="containsText" text="17">
      <formula>NOT(ISERROR(SEARCH("17",BY182)))</formula>
    </cfRule>
  </conditionalFormatting>
  <conditionalFormatting sqref="BZ41">
    <cfRule type="containsText" dxfId="46" priority="25" operator="containsText" text="T">
      <formula>NOT(ISERROR(SEARCH("T",BZ41)))</formula>
    </cfRule>
  </conditionalFormatting>
  <conditionalFormatting sqref="BZ117:CA117 CB117:CH120">
    <cfRule type="containsText" dxfId="45" priority="919" operator="containsText" text="T">
      <formula>NOT(ISERROR(SEARCH("T",BZ117)))</formula>
    </cfRule>
  </conditionalFormatting>
  <conditionalFormatting sqref="BZ117:CA117">
    <cfRule type="containsText" dxfId="44" priority="918" operator="containsText" text="17">
      <formula>NOT(ISERROR(SEARCH("17",BZ117)))</formula>
    </cfRule>
  </conditionalFormatting>
  <conditionalFormatting sqref="CA79:CB79 CC79:CH82">
    <cfRule type="containsText" dxfId="43" priority="953" operator="containsText" text="T">
      <formula>NOT(ISERROR(SEARCH("T",CA79)))</formula>
    </cfRule>
  </conditionalFormatting>
  <conditionalFormatting sqref="CA79:CB79">
    <cfRule type="containsText" dxfId="42" priority="952" operator="containsText" text="17">
      <formula>NOT(ISERROR(SEARCH("17",CA79)))</formula>
    </cfRule>
  </conditionalFormatting>
  <conditionalFormatting sqref="CA99:CB99 CC99:CI103">
    <cfRule type="containsText" dxfId="41" priority="935" operator="containsText" text="17">
      <formula>NOT(ISERROR(SEARCH("17",CA99)))</formula>
    </cfRule>
    <cfRule type="containsText" dxfId="40" priority="936" operator="containsText" text="T">
      <formula>NOT(ISERROR(SEARCH("T",CA99)))</formula>
    </cfRule>
  </conditionalFormatting>
  <conditionalFormatting sqref="CA111:CB111 CC111:CI115">
    <cfRule type="containsText" dxfId="39" priority="925" operator="containsText" text="T">
      <formula>NOT(ISERROR(SEARCH("T",CA111)))</formula>
    </cfRule>
  </conditionalFormatting>
  <conditionalFormatting sqref="CA111:CB111">
    <cfRule type="containsText" dxfId="38" priority="924" operator="containsText" text="17">
      <formula>NOT(ISERROR(SEARCH("17",CA111)))</formula>
    </cfRule>
  </conditionalFormatting>
  <conditionalFormatting sqref="CB15:CB20">
    <cfRule type="containsText" dxfId="37" priority="68" operator="containsText" text="T">
      <formula>NOT(ISERROR(SEARCH("T",CB15)))</formula>
    </cfRule>
  </conditionalFormatting>
  <conditionalFormatting sqref="CC35:CC40">
    <cfRule type="containsText" dxfId="36" priority="56" operator="containsText" text="T">
      <formula>NOT(ISERROR(SEARCH("T",CC35)))</formula>
    </cfRule>
  </conditionalFormatting>
  <conditionalFormatting sqref="CC67:CD67 CE67:CK71 CB73:CC73 CD73:CJ77">
    <cfRule type="containsText" dxfId="35" priority="959" operator="containsText" text="T">
      <formula>NOT(ISERROR(SEARCH("T",CB67)))</formula>
    </cfRule>
  </conditionalFormatting>
  <conditionalFormatting sqref="CC67:CD67 CE67:CK71 CB73:CC73">
    <cfRule type="containsText" dxfId="34" priority="958" operator="containsText" text="17">
      <formula>NOT(ISERROR(SEARCH("17",CB67)))</formula>
    </cfRule>
  </conditionalFormatting>
  <conditionalFormatting sqref="CC105:CI109 BQ105:CP105">
    <cfRule type="containsText" dxfId="33" priority="931" operator="containsText" text="T">
      <formula>NOT(ISERROR(SEARCH("T",BQ105)))</formula>
    </cfRule>
  </conditionalFormatting>
  <conditionalFormatting sqref="CD22:CD27">
    <cfRule type="containsText" dxfId="32" priority="44" operator="containsText" text="T">
      <formula>NOT(ISERROR(SEARCH("T",CD22)))</formula>
    </cfRule>
  </conditionalFormatting>
  <conditionalFormatting sqref="CE42:CE47">
    <cfRule type="containsText" dxfId="31" priority="32" operator="containsText" text="T">
      <formula>NOT(ISERROR(SEARCH("T",CE42)))</formula>
    </cfRule>
  </conditionalFormatting>
  <conditionalFormatting sqref="CF28:CF32">
    <cfRule type="containsText" dxfId="30" priority="12" operator="containsText" text="17">
      <formula>NOT(ISERROR(SEARCH("17",CF28)))</formula>
    </cfRule>
  </conditionalFormatting>
  <conditionalFormatting sqref="CF48:CF49">
    <cfRule type="containsText" dxfId="29" priority="7" operator="containsText" text="17">
      <formula>NOT(ISERROR(SEARCH("17",CF48)))</formula>
    </cfRule>
  </conditionalFormatting>
  <conditionalFormatting sqref="CF28:CP32">
    <cfRule type="containsText" dxfId="28" priority="15" operator="containsText" text="T">
      <formula>NOT(ISERROR(SEARCH("T",CF28)))</formula>
    </cfRule>
  </conditionalFormatting>
  <conditionalFormatting sqref="CF41:CP49">
    <cfRule type="containsText" dxfId="27" priority="10" operator="containsText" text="T">
      <formula>NOT(ISERROR(SEARCH("T",CF41)))</formula>
    </cfRule>
  </conditionalFormatting>
  <conditionalFormatting sqref="CG132:CH132 CI132:CO137">
    <cfRule type="containsText" dxfId="26" priority="907" operator="containsText" text="17">
      <formula>NOT(ISERROR(SEARCH("17",CG132)))</formula>
    </cfRule>
    <cfRule type="containsText" dxfId="25" priority="908" operator="containsText" text="T">
      <formula>NOT(ISERROR(SEARCH("T",CG132)))</formula>
    </cfRule>
  </conditionalFormatting>
  <conditionalFormatting sqref="CH139:CI139">
    <cfRule type="containsText" dxfId="24" priority="902" operator="containsText" text="17">
      <formula>NOT(ISERROR(SEARCH("17",CH139)))</formula>
    </cfRule>
  </conditionalFormatting>
  <conditionalFormatting sqref="CH153:CI153">
    <cfRule type="containsText" dxfId="23" priority="889" operator="containsText" text="17">
      <formula>NOT(ISERROR(SEARCH("17",CH153)))</formula>
    </cfRule>
  </conditionalFormatting>
  <conditionalFormatting sqref="CH160:CI160 CJ160:CP165">
    <cfRule type="containsText" dxfId="22" priority="882" operator="containsText" text="17">
      <formula>NOT(ISERROR(SEARCH("17",CH160)))</formula>
    </cfRule>
  </conditionalFormatting>
  <conditionalFormatting sqref="CH160:CI160 CK160:CO165">
    <cfRule type="containsText" dxfId="21" priority="883" operator="containsText" text="T">
      <formula>NOT(ISERROR(SEARCH("T",CH160)))</formula>
    </cfRule>
  </conditionalFormatting>
  <conditionalFormatting sqref="CI79:CI84 CF83:CH84">
    <cfRule type="containsText" dxfId="20" priority="955" operator="containsText" text="T">
      <formula>NOT(ISERROR(SEARCH("T",CF79)))</formula>
    </cfRule>
  </conditionalFormatting>
  <conditionalFormatting sqref="CI79:CI84">
    <cfRule type="containsText" dxfId="19" priority="954" operator="containsText" text="17">
      <formula>NOT(ISERROR(SEARCH("17",CI79)))</formula>
    </cfRule>
  </conditionalFormatting>
  <conditionalFormatting sqref="CI121:CI122">
    <cfRule type="containsText" dxfId="18" priority="916" operator="containsText" text="17">
      <formula>NOT(ISERROR(SEARCH("17",CI121)))</formula>
    </cfRule>
  </conditionalFormatting>
  <conditionalFormatting sqref="CI146:CJ146 CK146:CQ151">
    <cfRule type="containsText" dxfId="17" priority="895" operator="containsText" text="17">
      <formula>NOT(ISERROR(SEARCH("17",CI146)))</formula>
    </cfRule>
  </conditionalFormatting>
  <conditionalFormatting sqref="CI146:CJ146 CL146:CP151">
    <cfRule type="containsText" dxfId="16" priority="896" operator="containsText" text="T">
      <formula>NOT(ISERROR(SEARCH("T",CI146)))</formula>
    </cfRule>
  </conditionalFormatting>
  <conditionalFormatting sqref="BJ60:BJ66">
    <cfRule type="containsText" dxfId="15" priority="4" operator="containsText" text="T">
      <formula>NOT(ISERROR(SEARCH("T",BJ60)))</formula>
    </cfRule>
  </conditionalFormatting>
  <conditionalFormatting sqref="BJ60:CD66 CG60:CG66">
    <cfRule type="containsText" dxfId="14" priority="1" operator="containsText" text="T">
      <formula>NOT(ISERROR(SEARCH("T",BJ60)))</formula>
    </cfRule>
  </conditionalFormatting>
  <conditionalFormatting sqref="BJ60:CD66">
    <cfRule type="containsText" dxfId="13" priority="3" operator="containsText" text="17">
      <formula>NOT(ISERROR(SEARCH("17",BJ60)))</formula>
    </cfRule>
  </conditionalFormatting>
  <conditionalFormatting sqref="CG60:CG66">
    <cfRule type="containsText" dxfId="12" priority="2" operator="containsText" text="17">
      <formula>NOT(ISERROR(SEARCH("17",CG60)))</formula>
    </cfRule>
  </conditionalFormatting>
  <conditionalFormatting sqref="CG60:CG66">
    <cfRule type="containsText" dxfId="11" priority="5" operator="containsText" text="T">
      <formula>NOT(ISERROR(SEARCH("T",CG60)))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N375"/>
  <sheetViews>
    <sheetView tabSelected="1" workbookViewId="0">
      <pane xSplit="2" ySplit="1" topLeftCell="C346" activePane="bottomRight" state="frozen"/>
      <selection pane="topRight" activeCell="C1" sqref="C1"/>
      <selection pane="bottomLeft" activeCell="A2" sqref="A2"/>
      <selection pane="bottomRight" activeCell="C368" sqref="C368:N375"/>
    </sheetView>
  </sheetViews>
  <sheetFormatPr defaultRowHeight="15" x14ac:dyDescent="0.25"/>
  <cols>
    <col min="1" max="1" width="14" customWidth="1"/>
    <col min="2" max="2" width="10.42578125" customWidth="1"/>
    <col min="3" max="3" width="11.42578125" bestFit="1" customWidth="1"/>
    <col min="4" max="8" width="10.42578125" customWidth="1"/>
    <col min="9" max="9" width="13.140625" bestFit="1" customWidth="1"/>
    <col min="10" max="10" width="13.42578125" customWidth="1"/>
    <col min="11" max="13" width="10.42578125" customWidth="1"/>
    <col min="14" max="14" width="11.85546875" bestFit="1" customWidth="1"/>
    <col min="15" max="20" width="10.42578125" customWidth="1"/>
  </cols>
  <sheetData>
    <row r="1" spans="1:14" x14ac:dyDescent="0.25">
      <c r="A1" s="25" t="s">
        <v>212</v>
      </c>
      <c r="B1" s="25" t="s">
        <v>213</v>
      </c>
      <c r="C1" s="25" t="s">
        <v>585</v>
      </c>
      <c r="D1" s="25" t="s">
        <v>580</v>
      </c>
      <c r="E1" s="25" t="s">
        <v>581</v>
      </c>
      <c r="F1" s="25" t="s">
        <v>582</v>
      </c>
      <c r="G1" s="25" t="s">
        <v>583</v>
      </c>
      <c r="H1" s="25" t="s">
        <v>584</v>
      </c>
      <c r="I1" s="25" t="s">
        <v>586</v>
      </c>
      <c r="J1" s="25" t="s">
        <v>590</v>
      </c>
      <c r="K1" s="25" t="s">
        <v>587</v>
      </c>
      <c r="L1" s="25" t="s">
        <v>588</v>
      </c>
      <c r="M1" s="25" t="s">
        <v>589</v>
      </c>
      <c r="N1" s="25" t="s">
        <v>591</v>
      </c>
    </row>
    <row r="2" spans="1:14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4" x14ac:dyDescent="0.25">
      <c r="A3" s="77">
        <v>45962</v>
      </c>
      <c r="B3" s="25" t="s">
        <v>458</v>
      </c>
      <c r="C3" s="77">
        <f t="shared" ref="C3:C66" si="0">A3+23</f>
        <v>45985</v>
      </c>
      <c r="D3" s="77">
        <f t="shared" ref="D3:D66" si="1">A3+7</f>
        <v>45969</v>
      </c>
      <c r="E3" s="77">
        <f t="shared" ref="E3:E66" si="2">A3+14</f>
        <v>45976</v>
      </c>
      <c r="F3" s="77">
        <f t="shared" ref="F3:F66" si="3">A3+20</f>
        <v>45982</v>
      </c>
      <c r="G3" s="77">
        <f t="shared" ref="G3:G66" si="4">A3+8</f>
        <v>45970</v>
      </c>
      <c r="H3" s="77">
        <f t="shared" ref="H3:H66" si="5">A3+15</f>
        <v>45977</v>
      </c>
      <c r="I3" s="77">
        <v>45991</v>
      </c>
      <c r="J3" s="78">
        <f t="shared" ref="J3:J34" si="6">I3-A3</f>
        <v>29</v>
      </c>
      <c r="K3" s="25">
        <v>19.739999999999998</v>
      </c>
      <c r="L3" s="25">
        <v>10.58</v>
      </c>
      <c r="M3" s="25">
        <f t="shared" ref="M3:M66" si="7">K3-L3</f>
        <v>9.1599999999999984</v>
      </c>
      <c r="N3" s="25" t="s">
        <v>592</v>
      </c>
    </row>
    <row r="4" spans="1:14" x14ac:dyDescent="0.25">
      <c r="A4" s="77">
        <v>45962</v>
      </c>
      <c r="B4" s="25" t="s">
        <v>459</v>
      </c>
      <c r="C4" s="77">
        <f t="shared" si="0"/>
        <v>45985</v>
      </c>
      <c r="D4" s="77">
        <f t="shared" si="1"/>
        <v>45969</v>
      </c>
      <c r="E4" s="77">
        <f t="shared" si="2"/>
        <v>45976</v>
      </c>
      <c r="F4" s="77">
        <f t="shared" si="3"/>
        <v>45982</v>
      </c>
      <c r="G4" s="77">
        <f t="shared" si="4"/>
        <v>45970</v>
      </c>
      <c r="H4" s="77">
        <f t="shared" si="5"/>
        <v>45977</v>
      </c>
      <c r="I4" s="77">
        <v>45991</v>
      </c>
      <c r="J4" s="78">
        <f t="shared" si="6"/>
        <v>29</v>
      </c>
      <c r="K4" s="25">
        <v>19.829999999999998</v>
      </c>
      <c r="L4" s="25">
        <v>10.97</v>
      </c>
      <c r="M4" s="25">
        <f t="shared" si="7"/>
        <v>8.8599999999999977</v>
      </c>
      <c r="N4" s="25" t="s">
        <v>592</v>
      </c>
    </row>
    <row r="5" spans="1:14" x14ac:dyDescent="0.25">
      <c r="A5" s="77">
        <v>45962</v>
      </c>
      <c r="B5" s="25" t="s">
        <v>460</v>
      </c>
      <c r="C5" s="77">
        <f t="shared" si="0"/>
        <v>45985</v>
      </c>
      <c r="D5" s="77">
        <f t="shared" si="1"/>
        <v>45969</v>
      </c>
      <c r="E5" s="77">
        <f t="shared" si="2"/>
        <v>45976</v>
      </c>
      <c r="F5" s="77">
        <f t="shared" si="3"/>
        <v>45982</v>
      </c>
      <c r="G5" s="77">
        <f t="shared" si="4"/>
        <v>45970</v>
      </c>
      <c r="H5" s="77">
        <f t="shared" si="5"/>
        <v>45977</v>
      </c>
      <c r="I5" s="77">
        <v>45991</v>
      </c>
      <c r="J5" s="78">
        <f t="shared" si="6"/>
        <v>29</v>
      </c>
      <c r="K5" s="25">
        <v>18.91</v>
      </c>
      <c r="L5" s="25">
        <v>18.420000000000002</v>
      </c>
      <c r="M5" s="25">
        <f t="shared" si="7"/>
        <v>0.48999999999999844</v>
      </c>
      <c r="N5" s="25" t="s">
        <v>593</v>
      </c>
    </row>
    <row r="6" spans="1:14" x14ac:dyDescent="0.25">
      <c r="A6" s="77">
        <v>45962</v>
      </c>
      <c r="B6" s="25" t="s">
        <v>461</v>
      </c>
      <c r="C6" s="77">
        <f t="shared" si="0"/>
        <v>45985</v>
      </c>
      <c r="D6" s="77">
        <f t="shared" si="1"/>
        <v>45969</v>
      </c>
      <c r="E6" s="77">
        <f t="shared" si="2"/>
        <v>45976</v>
      </c>
      <c r="F6" s="77">
        <f t="shared" si="3"/>
        <v>45982</v>
      </c>
      <c r="G6" s="77">
        <f t="shared" si="4"/>
        <v>45970</v>
      </c>
      <c r="H6" s="77">
        <f t="shared" si="5"/>
        <v>45977</v>
      </c>
      <c r="I6" s="77">
        <v>45991</v>
      </c>
      <c r="J6" s="78">
        <f t="shared" si="6"/>
        <v>29</v>
      </c>
      <c r="K6" s="25">
        <v>17.75</v>
      </c>
      <c r="L6" s="25">
        <v>16.28</v>
      </c>
      <c r="M6" s="25">
        <f t="shared" si="7"/>
        <v>1.4699999999999989</v>
      </c>
      <c r="N6" s="25" t="s">
        <v>593</v>
      </c>
    </row>
    <row r="7" spans="1:14" x14ac:dyDescent="0.25">
      <c r="A7" s="77">
        <v>45962</v>
      </c>
      <c r="B7" s="25" t="s">
        <v>462</v>
      </c>
      <c r="C7" s="77">
        <f t="shared" si="0"/>
        <v>45985</v>
      </c>
      <c r="D7" s="77">
        <f t="shared" si="1"/>
        <v>45969</v>
      </c>
      <c r="E7" s="77">
        <f t="shared" si="2"/>
        <v>45976</v>
      </c>
      <c r="F7" s="77">
        <f t="shared" si="3"/>
        <v>45982</v>
      </c>
      <c r="G7" s="77">
        <f t="shared" si="4"/>
        <v>45970</v>
      </c>
      <c r="H7" s="77">
        <f t="shared" si="5"/>
        <v>45977</v>
      </c>
      <c r="I7" s="77">
        <v>45991</v>
      </c>
      <c r="J7" s="78">
        <f t="shared" si="6"/>
        <v>29</v>
      </c>
      <c r="K7" s="25">
        <v>16.420000000000002</v>
      </c>
      <c r="L7" s="25">
        <v>15.72</v>
      </c>
      <c r="M7" s="25">
        <f t="shared" si="7"/>
        <v>0.70000000000000107</v>
      </c>
      <c r="N7" s="25" t="s">
        <v>593</v>
      </c>
    </row>
    <row r="8" spans="1:14" x14ac:dyDescent="0.25">
      <c r="A8" s="77">
        <v>45962</v>
      </c>
      <c r="B8" s="25" t="s">
        <v>464</v>
      </c>
      <c r="C8" s="77">
        <f t="shared" si="0"/>
        <v>45985</v>
      </c>
      <c r="D8" s="77">
        <f t="shared" si="1"/>
        <v>45969</v>
      </c>
      <c r="E8" s="77">
        <f t="shared" si="2"/>
        <v>45976</v>
      </c>
      <c r="F8" s="77">
        <f t="shared" si="3"/>
        <v>45982</v>
      </c>
      <c r="G8" s="77">
        <f t="shared" si="4"/>
        <v>45970</v>
      </c>
      <c r="H8" s="77">
        <f t="shared" si="5"/>
        <v>45977</v>
      </c>
      <c r="I8" s="77">
        <v>45991</v>
      </c>
      <c r="J8" s="78">
        <f t="shared" si="6"/>
        <v>29</v>
      </c>
      <c r="K8" s="25">
        <v>15.36</v>
      </c>
      <c r="L8" s="25">
        <v>14.51</v>
      </c>
      <c r="M8" s="25">
        <f t="shared" si="7"/>
        <v>0.84999999999999964</v>
      </c>
      <c r="N8" s="25" t="s">
        <v>593</v>
      </c>
    </row>
    <row r="9" spans="1:14" x14ac:dyDescent="0.25">
      <c r="A9" s="77">
        <v>45962</v>
      </c>
      <c r="B9" s="25" t="s">
        <v>463</v>
      </c>
      <c r="C9" s="77">
        <f t="shared" si="0"/>
        <v>45985</v>
      </c>
      <c r="D9" s="77">
        <f t="shared" si="1"/>
        <v>45969</v>
      </c>
      <c r="E9" s="77">
        <f t="shared" si="2"/>
        <v>45976</v>
      </c>
      <c r="F9" s="77">
        <f t="shared" si="3"/>
        <v>45982</v>
      </c>
      <c r="G9" s="77">
        <f t="shared" si="4"/>
        <v>45970</v>
      </c>
      <c r="H9" s="77">
        <f t="shared" si="5"/>
        <v>45977</v>
      </c>
      <c r="I9" s="77">
        <v>45992</v>
      </c>
      <c r="J9" s="78">
        <f t="shared" si="6"/>
        <v>30</v>
      </c>
      <c r="K9" s="25">
        <v>19.91</v>
      </c>
      <c r="L9" s="25">
        <v>10.84</v>
      </c>
      <c r="M9" s="25">
        <f t="shared" si="7"/>
        <v>9.07</v>
      </c>
      <c r="N9" s="25" t="s">
        <v>592</v>
      </c>
    </row>
    <row r="10" spans="1:14" x14ac:dyDescent="0.25">
      <c r="A10" s="77">
        <v>45963</v>
      </c>
      <c r="B10" s="25" t="s">
        <v>424</v>
      </c>
      <c r="C10" s="77">
        <f t="shared" si="0"/>
        <v>45986</v>
      </c>
      <c r="D10" s="77">
        <f t="shared" si="1"/>
        <v>45970</v>
      </c>
      <c r="E10" s="77">
        <f t="shared" si="2"/>
        <v>45977</v>
      </c>
      <c r="F10" s="77">
        <f t="shared" si="3"/>
        <v>45983</v>
      </c>
      <c r="G10" s="77">
        <f t="shared" si="4"/>
        <v>45971</v>
      </c>
      <c r="H10" s="77">
        <f t="shared" si="5"/>
        <v>45978</v>
      </c>
      <c r="I10" s="77">
        <v>45992</v>
      </c>
      <c r="J10" s="78">
        <f t="shared" si="6"/>
        <v>29</v>
      </c>
      <c r="K10" s="25">
        <v>16.170000000000002</v>
      </c>
      <c r="L10" s="25">
        <v>14.96</v>
      </c>
      <c r="M10" s="25">
        <f t="shared" si="7"/>
        <v>1.2100000000000009</v>
      </c>
      <c r="N10" s="25" t="s">
        <v>593</v>
      </c>
    </row>
    <row r="11" spans="1:14" x14ac:dyDescent="0.25">
      <c r="A11" s="77">
        <v>45963</v>
      </c>
      <c r="B11" s="25" t="s">
        <v>425</v>
      </c>
      <c r="C11" s="77">
        <f t="shared" si="0"/>
        <v>45986</v>
      </c>
      <c r="D11" s="77">
        <f t="shared" si="1"/>
        <v>45970</v>
      </c>
      <c r="E11" s="77">
        <f t="shared" si="2"/>
        <v>45977</v>
      </c>
      <c r="F11" s="77">
        <f t="shared" si="3"/>
        <v>45983</v>
      </c>
      <c r="G11" s="77">
        <f t="shared" si="4"/>
        <v>45971</v>
      </c>
      <c r="H11" s="77">
        <f t="shared" si="5"/>
        <v>45978</v>
      </c>
      <c r="I11" s="77">
        <v>45992</v>
      </c>
      <c r="J11" s="78">
        <f t="shared" si="6"/>
        <v>29</v>
      </c>
      <c r="K11" s="25">
        <v>17.53</v>
      </c>
      <c r="L11" s="25">
        <v>16.28</v>
      </c>
      <c r="M11" s="25">
        <f t="shared" si="7"/>
        <v>1.25</v>
      </c>
      <c r="N11" s="25" t="s">
        <v>593</v>
      </c>
    </row>
    <row r="12" spans="1:14" x14ac:dyDescent="0.25">
      <c r="A12" s="77">
        <v>45963</v>
      </c>
      <c r="B12" s="25" t="s">
        <v>426</v>
      </c>
      <c r="C12" s="77">
        <f t="shared" si="0"/>
        <v>45986</v>
      </c>
      <c r="D12" s="77">
        <f t="shared" si="1"/>
        <v>45970</v>
      </c>
      <c r="E12" s="77">
        <f t="shared" si="2"/>
        <v>45977</v>
      </c>
      <c r="F12" s="77">
        <f t="shared" si="3"/>
        <v>45983</v>
      </c>
      <c r="G12" s="77">
        <f t="shared" si="4"/>
        <v>45971</v>
      </c>
      <c r="H12" s="77">
        <f t="shared" si="5"/>
        <v>45978</v>
      </c>
      <c r="I12" s="77">
        <v>45992</v>
      </c>
      <c r="J12" s="78">
        <f t="shared" si="6"/>
        <v>29</v>
      </c>
      <c r="K12" s="25">
        <v>16.760000000000002</v>
      </c>
      <c r="L12" s="25">
        <v>15.35</v>
      </c>
      <c r="M12" s="25">
        <f t="shared" si="7"/>
        <v>1.4100000000000019</v>
      </c>
      <c r="N12" s="25" t="s">
        <v>593</v>
      </c>
    </row>
    <row r="13" spans="1:14" x14ac:dyDescent="0.25">
      <c r="A13" s="77">
        <v>45963</v>
      </c>
      <c r="B13" s="25" t="s">
        <v>427</v>
      </c>
      <c r="C13" s="77">
        <f t="shared" si="0"/>
        <v>45986</v>
      </c>
      <c r="D13" s="77">
        <f t="shared" si="1"/>
        <v>45970</v>
      </c>
      <c r="E13" s="77">
        <f t="shared" si="2"/>
        <v>45977</v>
      </c>
      <c r="F13" s="77">
        <f t="shared" si="3"/>
        <v>45983</v>
      </c>
      <c r="G13" s="77">
        <f t="shared" si="4"/>
        <v>45971</v>
      </c>
      <c r="H13" s="77">
        <f t="shared" si="5"/>
        <v>45978</v>
      </c>
      <c r="I13" s="77">
        <v>45992</v>
      </c>
      <c r="J13" s="78">
        <f t="shared" si="6"/>
        <v>29</v>
      </c>
      <c r="K13" s="25">
        <v>19.739999999999998</v>
      </c>
      <c r="L13" s="25">
        <v>10.51</v>
      </c>
      <c r="M13" s="25">
        <f t="shared" si="7"/>
        <v>9.2299999999999986</v>
      </c>
      <c r="N13" s="25" t="s">
        <v>592</v>
      </c>
    </row>
    <row r="14" spans="1:14" x14ac:dyDescent="0.25">
      <c r="A14" s="77">
        <v>45963</v>
      </c>
      <c r="B14" s="25" t="s">
        <v>421</v>
      </c>
      <c r="C14" s="77">
        <f t="shared" si="0"/>
        <v>45986</v>
      </c>
      <c r="D14" s="77">
        <f t="shared" si="1"/>
        <v>45970</v>
      </c>
      <c r="E14" s="77">
        <f t="shared" si="2"/>
        <v>45977</v>
      </c>
      <c r="F14" s="77">
        <f t="shared" si="3"/>
        <v>45983</v>
      </c>
      <c r="G14" s="77">
        <f t="shared" si="4"/>
        <v>45971</v>
      </c>
      <c r="H14" s="77">
        <f t="shared" si="5"/>
        <v>45978</v>
      </c>
      <c r="I14" s="77">
        <v>45993</v>
      </c>
      <c r="J14" s="78">
        <f t="shared" si="6"/>
        <v>30</v>
      </c>
      <c r="K14" s="25">
        <v>18.91</v>
      </c>
      <c r="L14" s="25">
        <v>17.62</v>
      </c>
      <c r="M14" s="25">
        <f t="shared" si="7"/>
        <v>1.2899999999999991</v>
      </c>
      <c r="N14" s="25" t="s">
        <v>593</v>
      </c>
    </row>
    <row r="15" spans="1:14" x14ac:dyDescent="0.25">
      <c r="A15" s="77">
        <v>45963</v>
      </c>
      <c r="B15" s="25" t="s">
        <v>422</v>
      </c>
      <c r="C15" s="77">
        <f t="shared" si="0"/>
        <v>45986</v>
      </c>
      <c r="D15" s="77">
        <f t="shared" si="1"/>
        <v>45970</v>
      </c>
      <c r="E15" s="77">
        <f t="shared" si="2"/>
        <v>45977</v>
      </c>
      <c r="F15" s="77">
        <f t="shared" si="3"/>
        <v>45983</v>
      </c>
      <c r="G15" s="77">
        <f t="shared" si="4"/>
        <v>45971</v>
      </c>
      <c r="H15" s="77">
        <f t="shared" si="5"/>
        <v>45978</v>
      </c>
      <c r="I15" s="77">
        <v>45993</v>
      </c>
      <c r="J15" s="78">
        <f t="shared" si="6"/>
        <v>30</v>
      </c>
      <c r="K15" s="25">
        <v>19.239999999999998</v>
      </c>
      <c r="L15" s="25">
        <v>9.73</v>
      </c>
      <c r="M15" s="25">
        <f t="shared" si="7"/>
        <v>9.509999999999998</v>
      </c>
      <c r="N15" s="25" t="s">
        <v>592</v>
      </c>
    </row>
    <row r="16" spans="1:14" x14ac:dyDescent="0.25">
      <c r="A16" s="77">
        <v>45963</v>
      </c>
      <c r="B16" s="25" t="s">
        <v>423</v>
      </c>
      <c r="C16" s="77">
        <f t="shared" si="0"/>
        <v>45986</v>
      </c>
      <c r="D16" s="77">
        <f t="shared" si="1"/>
        <v>45970</v>
      </c>
      <c r="E16" s="77">
        <f t="shared" si="2"/>
        <v>45977</v>
      </c>
      <c r="F16" s="77">
        <f t="shared" si="3"/>
        <v>45983</v>
      </c>
      <c r="G16" s="77">
        <f t="shared" si="4"/>
        <v>45971</v>
      </c>
      <c r="H16" s="77">
        <f t="shared" si="5"/>
        <v>45978</v>
      </c>
      <c r="I16" s="77">
        <v>45993</v>
      </c>
      <c r="J16" s="78">
        <f t="shared" si="6"/>
        <v>30</v>
      </c>
      <c r="K16" s="25">
        <v>17.579999999999998</v>
      </c>
      <c r="L16" s="25">
        <v>8.0399999999999991</v>
      </c>
      <c r="M16" s="25">
        <f t="shared" si="7"/>
        <v>9.5399999999999991</v>
      </c>
      <c r="N16" s="25" t="s">
        <v>592</v>
      </c>
    </row>
    <row r="17" spans="1:14" x14ac:dyDescent="0.25">
      <c r="A17" s="77">
        <v>45964</v>
      </c>
      <c r="B17" s="25" t="s">
        <v>452</v>
      </c>
      <c r="C17" s="77">
        <f t="shared" si="0"/>
        <v>45987</v>
      </c>
      <c r="D17" s="77">
        <f t="shared" si="1"/>
        <v>45971</v>
      </c>
      <c r="E17" s="77">
        <f t="shared" si="2"/>
        <v>45978</v>
      </c>
      <c r="F17" s="77">
        <f t="shared" si="3"/>
        <v>45984</v>
      </c>
      <c r="G17" s="77">
        <f t="shared" si="4"/>
        <v>45972</v>
      </c>
      <c r="H17" s="77">
        <f t="shared" si="5"/>
        <v>45979</v>
      </c>
      <c r="I17" s="77">
        <v>45994</v>
      </c>
      <c r="J17" s="78">
        <f t="shared" si="6"/>
        <v>30</v>
      </c>
      <c r="K17" s="25">
        <v>18.21</v>
      </c>
      <c r="L17" s="25">
        <v>17.809999999999999</v>
      </c>
      <c r="M17" s="25">
        <f t="shared" si="7"/>
        <v>0.40000000000000213</v>
      </c>
      <c r="N17" s="25" t="s">
        <v>593</v>
      </c>
    </row>
    <row r="18" spans="1:14" x14ac:dyDescent="0.25">
      <c r="A18" s="77">
        <v>45964</v>
      </c>
      <c r="B18" s="25" t="s">
        <v>453</v>
      </c>
      <c r="C18" s="77">
        <f t="shared" si="0"/>
        <v>45987</v>
      </c>
      <c r="D18" s="77">
        <f t="shared" si="1"/>
        <v>45971</v>
      </c>
      <c r="E18" s="77">
        <f t="shared" si="2"/>
        <v>45978</v>
      </c>
      <c r="F18" s="77">
        <f t="shared" si="3"/>
        <v>45984</v>
      </c>
      <c r="G18" s="77">
        <f t="shared" si="4"/>
        <v>45972</v>
      </c>
      <c r="H18" s="77">
        <f t="shared" si="5"/>
        <v>45979</v>
      </c>
      <c r="I18" s="77">
        <v>45994</v>
      </c>
      <c r="J18" s="78">
        <f t="shared" si="6"/>
        <v>30</v>
      </c>
      <c r="K18" s="25">
        <v>17.93</v>
      </c>
      <c r="L18" s="25">
        <v>16.579999999999998</v>
      </c>
      <c r="M18" s="25">
        <f t="shared" si="7"/>
        <v>1.3500000000000014</v>
      </c>
      <c r="N18" s="25" t="s">
        <v>593</v>
      </c>
    </row>
    <row r="19" spans="1:14" x14ac:dyDescent="0.25">
      <c r="A19" s="77">
        <v>45964</v>
      </c>
      <c r="B19" s="25" t="s">
        <v>454</v>
      </c>
      <c r="C19" s="77">
        <f t="shared" si="0"/>
        <v>45987</v>
      </c>
      <c r="D19" s="77">
        <f t="shared" si="1"/>
        <v>45971</v>
      </c>
      <c r="E19" s="77">
        <f t="shared" si="2"/>
        <v>45978</v>
      </c>
      <c r="F19" s="77">
        <f t="shared" si="3"/>
        <v>45984</v>
      </c>
      <c r="G19" s="77">
        <f t="shared" si="4"/>
        <v>45972</v>
      </c>
      <c r="H19" s="77">
        <f t="shared" si="5"/>
        <v>45979</v>
      </c>
      <c r="I19" s="77">
        <v>45994</v>
      </c>
      <c r="J19" s="78">
        <f t="shared" si="6"/>
        <v>30</v>
      </c>
      <c r="K19" s="25">
        <v>18.559999999999999</v>
      </c>
      <c r="L19" s="25">
        <v>17.21</v>
      </c>
      <c r="M19" s="25">
        <f t="shared" si="7"/>
        <v>1.3499999999999979</v>
      </c>
      <c r="N19" s="25" t="s">
        <v>593</v>
      </c>
    </row>
    <row r="20" spans="1:14" x14ac:dyDescent="0.25">
      <c r="A20" s="77">
        <v>45964</v>
      </c>
      <c r="B20" s="25" t="s">
        <v>455</v>
      </c>
      <c r="C20" s="77">
        <f t="shared" si="0"/>
        <v>45987</v>
      </c>
      <c r="D20" s="77">
        <f t="shared" si="1"/>
        <v>45971</v>
      </c>
      <c r="E20" s="77">
        <f t="shared" si="2"/>
        <v>45978</v>
      </c>
      <c r="F20" s="77">
        <f t="shared" si="3"/>
        <v>45984</v>
      </c>
      <c r="G20" s="77">
        <f t="shared" si="4"/>
        <v>45972</v>
      </c>
      <c r="H20" s="77">
        <f t="shared" si="5"/>
        <v>45979</v>
      </c>
      <c r="I20" s="77">
        <v>45994</v>
      </c>
      <c r="J20" s="78">
        <f t="shared" si="6"/>
        <v>30</v>
      </c>
      <c r="K20" s="25">
        <v>18.11</v>
      </c>
      <c r="L20" s="25">
        <v>8.76</v>
      </c>
      <c r="M20" s="25">
        <f t="shared" si="7"/>
        <v>9.35</v>
      </c>
      <c r="N20" s="25" t="s">
        <v>592</v>
      </c>
    </row>
    <row r="21" spans="1:14" x14ac:dyDescent="0.25">
      <c r="A21" s="77">
        <v>45964</v>
      </c>
      <c r="B21" s="25" t="s">
        <v>456</v>
      </c>
      <c r="C21" s="77">
        <f t="shared" si="0"/>
        <v>45987</v>
      </c>
      <c r="D21" s="77">
        <f t="shared" si="1"/>
        <v>45971</v>
      </c>
      <c r="E21" s="77">
        <f t="shared" si="2"/>
        <v>45978</v>
      </c>
      <c r="F21" s="77">
        <f t="shared" si="3"/>
        <v>45984</v>
      </c>
      <c r="G21" s="77">
        <f t="shared" si="4"/>
        <v>45972</v>
      </c>
      <c r="H21" s="77">
        <f t="shared" si="5"/>
        <v>45979</v>
      </c>
      <c r="I21" s="77">
        <v>45994</v>
      </c>
      <c r="J21" s="78">
        <f t="shared" si="6"/>
        <v>30</v>
      </c>
      <c r="K21" s="25">
        <v>17.510000000000002</v>
      </c>
      <c r="L21" s="25">
        <v>7.91</v>
      </c>
      <c r="M21" s="25">
        <f t="shared" si="7"/>
        <v>9.6000000000000014</v>
      </c>
      <c r="N21" s="25" t="s">
        <v>592</v>
      </c>
    </row>
    <row r="22" spans="1:14" x14ac:dyDescent="0.25">
      <c r="A22" s="77">
        <v>45964</v>
      </c>
      <c r="B22" s="25" t="s">
        <v>457</v>
      </c>
      <c r="C22" s="77">
        <f t="shared" si="0"/>
        <v>45987</v>
      </c>
      <c r="D22" s="77">
        <f t="shared" si="1"/>
        <v>45971</v>
      </c>
      <c r="E22" s="77">
        <f t="shared" si="2"/>
        <v>45978</v>
      </c>
      <c r="F22" s="77">
        <f t="shared" si="3"/>
        <v>45984</v>
      </c>
      <c r="G22" s="77">
        <f t="shared" si="4"/>
        <v>45972</v>
      </c>
      <c r="H22" s="77">
        <f t="shared" si="5"/>
        <v>45979</v>
      </c>
      <c r="I22" s="77">
        <v>45994</v>
      </c>
      <c r="J22" s="78">
        <f t="shared" si="6"/>
        <v>30</v>
      </c>
      <c r="K22" s="25">
        <v>16.59</v>
      </c>
      <c r="L22" s="25">
        <v>7.14</v>
      </c>
      <c r="M22" s="25">
        <f t="shared" si="7"/>
        <v>9.4499999999999993</v>
      </c>
      <c r="N22" s="25" t="s">
        <v>592</v>
      </c>
    </row>
    <row r="23" spans="1:14" x14ac:dyDescent="0.25">
      <c r="A23" s="77">
        <v>45964</v>
      </c>
      <c r="B23" s="25" t="s">
        <v>451</v>
      </c>
      <c r="C23" s="77">
        <f t="shared" si="0"/>
        <v>45987</v>
      </c>
      <c r="D23" s="77">
        <f t="shared" si="1"/>
        <v>45971</v>
      </c>
      <c r="E23" s="77">
        <f t="shared" si="2"/>
        <v>45978</v>
      </c>
      <c r="F23" s="77">
        <f t="shared" si="3"/>
        <v>45984</v>
      </c>
      <c r="G23" s="77">
        <f t="shared" si="4"/>
        <v>45972</v>
      </c>
      <c r="H23" s="77">
        <f t="shared" si="5"/>
        <v>45979</v>
      </c>
      <c r="I23" s="77">
        <v>45995</v>
      </c>
      <c r="J23" s="78">
        <f t="shared" si="6"/>
        <v>31</v>
      </c>
      <c r="K23" s="25">
        <v>16.28</v>
      </c>
      <c r="L23" s="25">
        <v>7.08</v>
      </c>
      <c r="M23" s="25">
        <f t="shared" si="7"/>
        <v>9.2000000000000011</v>
      </c>
      <c r="N23" s="25" t="s">
        <v>592</v>
      </c>
    </row>
    <row r="24" spans="1:14" x14ac:dyDescent="0.25">
      <c r="A24" s="77">
        <v>45965</v>
      </c>
      <c r="B24" s="25" t="s">
        <v>465</v>
      </c>
      <c r="C24" s="77">
        <f t="shared" si="0"/>
        <v>45988</v>
      </c>
      <c r="D24" s="77">
        <f t="shared" si="1"/>
        <v>45972</v>
      </c>
      <c r="E24" s="77">
        <f t="shared" si="2"/>
        <v>45979</v>
      </c>
      <c r="F24" s="77">
        <f t="shared" si="3"/>
        <v>45985</v>
      </c>
      <c r="G24" s="77">
        <f t="shared" si="4"/>
        <v>45973</v>
      </c>
      <c r="H24" s="77">
        <f t="shared" si="5"/>
        <v>45980</v>
      </c>
      <c r="I24" s="77">
        <v>45995</v>
      </c>
      <c r="J24" s="78">
        <f t="shared" si="6"/>
        <v>30</v>
      </c>
      <c r="K24" s="25">
        <v>16.21</v>
      </c>
      <c r="L24" s="25">
        <v>15.12</v>
      </c>
      <c r="M24" s="25">
        <f t="shared" si="7"/>
        <v>1.0900000000000016</v>
      </c>
      <c r="N24" s="25" t="s">
        <v>593</v>
      </c>
    </row>
    <row r="25" spans="1:14" x14ac:dyDescent="0.25">
      <c r="A25" s="77">
        <v>45965</v>
      </c>
      <c r="B25" s="25" t="s">
        <v>467</v>
      </c>
      <c r="C25" s="77">
        <f t="shared" si="0"/>
        <v>45988</v>
      </c>
      <c r="D25" s="77">
        <f t="shared" si="1"/>
        <v>45972</v>
      </c>
      <c r="E25" s="77">
        <f t="shared" si="2"/>
        <v>45979</v>
      </c>
      <c r="F25" s="77">
        <f t="shared" si="3"/>
        <v>45985</v>
      </c>
      <c r="G25" s="77">
        <f t="shared" si="4"/>
        <v>45973</v>
      </c>
      <c r="H25" s="77">
        <f t="shared" si="5"/>
        <v>45980</v>
      </c>
      <c r="I25" s="77">
        <v>45995</v>
      </c>
      <c r="J25" s="78">
        <f t="shared" si="6"/>
        <v>30</v>
      </c>
      <c r="K25" s="25">
        <v>14.28</v>
      </c>
      <c r="L25" s="25">
        <v>13.1</v>
      </c>
      <c r="M25" s="25">
        <f t="shared" si="7"/>
        <v>1.1799999999999997</v>
      </c>
      <c r="N25" s="25" t="s">
        <v>593</v>
      </c>
    </row>
    <row r="26" spans="1:14" x14ac:dyDescent="0.25">
      <c r="A26" s="77">
        <v>45965</v>
      </c>
      <c r="B26" s="25" t="s">
        <v>469</v>
      </c>
      <c r="C26" s="77">
        <f t="shared" si="0"/>
        <v>45988</v>
      </c>
      <c r="D26" s="77">
        <f t="shared" si="1"/>
        <v>45972</v>
      </c>
      <c r="E26" s="77">
        <f t="shared" si="2"/>
        <v>45979</v>
      </c>
      <c r="F26" s="77">
        <f t="shared" si="3"/>
        <v>45985</v>
      </c>
      <c r="G26" s="77">
        <f t="shared" si="4"/>
        <v>45973</v>
      </c>
      <c r="H26" s="77">
        <f t="shared" si="5"/>
        <v>45980</v>
      </c>
      <c r="I26" s="77">
        <v>45995</v>
      </c>
      <c r="J26" s="78">
        <f t="shared" si="6"/>
        <v>30</v>
      </c>
      <c r="K26" s="25">
        <v>15.74</v>
      </c>
      <c r="L26" s="25">
        <v>14.21</v>
      </c>
      <c r="M26" s="25">
        <f t="shared" si="7"/>
        <v>1.5299999999999994</v>
      </c>
      <c r="N26" s="25" t="s">
        <v>593</v>
      </c>
    </row>
    <row r="27" spans="1:14" x14ac:dyDescent="0.25">
      <c r="A27" s="77">
        <v>45965</v>
      </c>
      <c r="B27" s="25" t="s">
        <v>470</v>
      </c>
      <c r="C27" s="77">
        <f t="shared" si="0"/>
        <v>45988</v>
      </c>
      <c r="D27" s="77">
        <f t="shared" si="1"/>
        <v>45972</v>
      </c>
      <c r="E27" s="77">
        <f t="shared" si="2"/>
        <v>45979</v>
      </c>
      <c r="F27" s="77">
        <f t="shared" si="3"/>
        <v>45985</v>
      </c>
      <c r="G27" s="77">
        <f t="shared" si="4"/>
        <v>45973</v>
      </c>
      <c r="H27" s="77">
        <f t="shared" si="5"/>
        <v>45980</v>
      </c>
      <c r="I27" s="77">
        <v>45995</v>
      </c>
      <c r="J27" s="78">
        <f t="shared" si="6"/>
        <v>30</v>
      </c>
      <c r="K27" s="25">
        <v>15.02</v>
      </c>
      <c r="L27" s="25">
        <v>13.98</v>
      </c>
      <c r="M27" s="25">
        <f t="shared" si="7"/>
        <v>1.0399999999999991</v>
      </c>
      <c r="N27" s="25" t="s">
        <v>593</v>
      </c>
    </row>
    <row r="28" spans="1:14" x14ac:dyDescent="0.25">
      <c r="A28" s="77">
        <v>45965</v>
      </c>
      <c r="B28" s="25" t="s">
        <v>471</v>
      </c>
      <c r="C28" s="77">
        <f t="shared" si="0"/>
        <v>45988</v>
      </c>
      <c r="D28" s="77">
        <f t="shared" si="1"/>
        <v>45972</v>
      </c>
      <c r="E28" s="77">
        <f t="shared" si="2"/>
        <v>45979</v>
      </c>
      <c r="F28" s="77">
        <f t="shared" si="3"/>
        <v>45985</v>
      </c>
      <c r="G28" s="77">
        <f t="shared" si="4"/>
        <v>45973</v>
      </c>
      <c r="H28" s="77">
        <f t="shared" si="5"/>
        <v>45980</v>
      </c>
      <c r="I28" s="77">
        <v>45995</v>
      </c>
      <c r="J28" s="78">
        <f t="shared" si="6"/>
        <v>30</v>
      </c>
      <c r="K28" s="25">
        <v>17.21</v>
      </c>
      <c r="L28" s="25">
        <v>16.12</v>
      </c>
      <c r="M28" s="25">
        <f t="shared" si="7"/>
        <v>1.0899999999999999</v>
      </c>
      <c r="N28" s="25" t="s">
        <v>593</v>
      </c>
    </row>
    <row r="29" spans="1:14" x14ac:dyDescent="0.25">
      <c r="A29" s="77">
        <v>45965</v>
      </c>
      <c r="B29" s="25" t="s">
        <v>466</v>
      </c>
      <c r="C29" s="77">
        <f t="shared" si="0"/>
        <v>45988</v>
      </c>
      <c r="D29" s="77">
        <f t="shared" si="1"/>
        <v>45972</v>
      </c>
      <c r="E29" s="77">
        <f t="shared" si="2"/>
        <v>45979</v>
      </c>
      <c r="F29" s="77">
        <f t="shared" si="3"/>
        <v>45985</v>
      </c>
      <c r="G29" s="77">
        <f t="shared" si="4"/>
        <v>45973</v>
      </c>
      <c r="H29" s="77">
        <f t="shared" si="5"/>
        <v>45980</v>
      </c>
      <c r="I29" s="77">
        <v>45996</v>
      </c>
      <c r="J29" s="78">
        <f t="shared" si="6"/>
        <v>31</v>
      </c>
      <c r="K29" s="25">
        <v>12.51</v>
      </c>
      <c r="L29" s="25">
        <v>5.12</v>
      </c>
      <c r="M29" s="25">
        <f t="shared" si="7"/>
        <v>7.39</v>
      </c>
      <c r="N29" s="25" t="s">
        <v>592</v>
      </c>
    </row>
    <row r="30" spans="1:14" x14ac:dyDescent="0.25">
      <c r="A30" s="77">
        <v>45965</v>
      </c>
      <c r="B30" s="25" t="s">
        <v>468</v>
      </c>
      <c r="C30" s="77">
        <f t="shared" si="0"/>
        <v>45988</v>
      </c>
      <c r="D30" s="77">
        <f t="shared" si="1"/>
        <v>45972</v>
      </c>
      <c r="E30" s="77">
        <f t="shared" si="2"/>
        <v>45979</v>
      </c>
      <c r="F30" s="77">
        <f t="shared" si="3"/>
        <v>45985</v>
      </c>
      <c r="G30" s="77">
        <f t="shared" si="4"/>
        <v>45973</v>
      </c>
      <c r="H30" s="77">
        <f t="shared" si="5"/>
        <v>45980</v>
      </c>
      <c r="I30" s="77">
        <v>45996</v>
      </c>
      <c r="J30" s="78">
        <f t="shared" si="6"/>
        <v>31</v>
      </c>
      <c r="K30" s="25">
        <v>11.27</v>
      </c>
      <c r="L30" s="25">
        <v>4.8</v>
      </c>
      <c r="M30" s="25">
        <f t="shared" si="7"/>
        <v>6.47</v>
      </c>
      <c r="N30" s="25" t="s">
        <v>592</v>
      </c>
    </row>
    <row r="31" spans="1:14" x14ac:dyDescent="0.25">
      <c r="A31" s="77">
        <v>45966</v>
      </c>
      <c r="B31" s="25" t="s">
        <v>417</v>
      </c>
      <c r="C31" s="77">
        <f t="shared" si="0"/>
        <v>45989</v>
      </c>
      <c r="D31" s="77">
        <f t="shared" si="1"/>
        <v>45973</v>
      </c>
      <c r="E31" s="77">
        <f t="shared" si="2"/>
        <v>45980</v>
      </c>
      <c r="F31" s="77">
        <f t="shared" si="3"/>
        <v>45986</v>
      </c>
      <c r="G31" s="77">
        <f t="shared" si="4"/>
        <v>45974</v>
      </c>
      <c r="H31" s="77">
        <f t="shared" si="5"/>
        <v>45981</v>
      </c>
      <c r="I31" s="77">
        <v>45995</v>
      </c>
      <c r="J31" s="78">
        <f t="shared" si="6"/>
        <v>29</v>
      </c>
      <c r="K31" s="25">
        <v>17.510000000000002</v>
      </c>
      <c r="L31" s="25">
        <v>16.059999999999999</v>
      </c>
      <c r="M31" s="25">
        <f t="shared" si="7"/>
        <v>1.4500000000000028</v>
      </c>
      <c r="N31" s="25" t="s">
        <v>593</v>
      </c>
    </row>
    <row r="32" spans="1:14" x14ac:dyDescent="0.25">
      <c r="A32" s="77">
        <v>45966</v>
      </c>
      <c r="B32" s="25" t="s">
        <v>418</v>
      </c>
      <c r="C32" s="77">
        <f t="shared" si="0"/>
        <v>45989</v>
      </c>
      <c r="D32" s="77">
        <f t="shared" si="1"/>
        <v>45973</v>
      </c>
      <c r="E32" s="77">
        <f t="shared" si="2"/>
        <v>45980</v>
      </c>
      <c r="F32" s="77">
        <f t="shared" si="3"/>
        <v>45986</v>
      </c>
      <c r="G32" s="77">
        <f t="shared" si="4"/>
        <v>45974</v>
      </c>
      <c r="H32" s="77">
        <f t="shared" si="5"/>
        <v>45981</v>
      </c>
      <c r="I32" s="77">
        <v>45995</v>
      </c>
      <c r="J32" s="78">
        <f t="shared" si="6"/>
        <v>29</v>
      </c>
      <c r="K32" s="25">
        <v>15.24</v>
      </c>
      <c r="L32" s="25">
        <v>14.81</v>
      </c>
      <c r="M32" s="25">
        <f t="shared" si="7"/>
        <v>0.42999999999999972</v>
      </c>
      <c r="N32" s="25" t="s">
        <v>593</v>
      </c>
    </row>
    <row r="33" spans="1:14" x14ac:dyDescent="0.25">
      <c r="A33" s="77">
        <v>45966</v>
      </c>
      <c r="B33" s="25" t="s">
        <v>419</v>
      </c>
      <c r="C33" s="77">
        <f t="shared" si="0"/>
        <v>45989</v>
      </c>
      <c r="D33" s="77">
        <f t="shared" si="1"/>
        <v>45973</v>
      </c>
      <c r="E33" s="77">
        <f t="shared" si="2"/>
        <v>45980</v>
      </c>
      <c r="F33" s="77">
        <f t="shared" si="3"/>
        <v>45986</v>
      </c>
      <c r="G33" s="77">
        <f t="shared" si="4"/>
        <v>45974</v>
      </c>
      <c r="H33" s="77">
        <f t="shared" si="5"/>
        <v>45981</v>
      </c>
      <c r="I33" s="77">
        <v>45995</v>
      </c>
      <c r="J33" s="78">
        <f t="shared" si="6"/>
        <v>29</v>
      </c>
      <c r="K33" s="25">
        <v>16.91</v>
      </c>
      <c r="L33" s="25">
        <v>7.68</v>
      </c>
      <c r="M33" s="25">
        <f t="shared" si="7"/>
        <v>9.23</v>
      </c>
      <c r="N33" s="25" t="s">
        <v>592</v>
      </c>
    </row>
    <row r="34" spans="1:14" x14ac:dyDescent="0.25">
      <c r="A34" s="77">
        <v>45966</v>
      </c>
      <c r="B34" s="25" t="s">
        <v>420</v>
      </c>
      <c r="C34" s="77">
        <f t="shared" si="0"/>
        <v>45989</v>
      </c>
      <c r="D34" s="77">
        <f t="shared" si="1"/>
        <v>45973</v>
      </c>
      <c r="E34" s="77">
        <f t="shared" si="2"/>
        <v>45980</v>
      </c>
      <c r="F34" s="77">
        <f t="shared" si="3"/>
        <v>45986</v>
      </c>
      <c r="G34" s="77">
        <f t="shared" si="4"/>
        <v>45974</v>
      </c>
      <c r="H34" s="77">
        <f t="shared" si="5"/>
        <v>45981</v>
      </c>
      <c r="I34" s="77">
        <v>45995</v>
      </c>
      <c r="J34" s="78">
        <f t="shared" si="6"/>
        <v>29</v>
      </c>
      <c r="K34" s="25">
        <v>18.510000000000002</v>
      </c>
      <c r="L34" s="25">
        <v>8.51</v>
      </c>
      <c r="M34" s="25">
        <f t="shared" si="7"/>
        <v>10.000000000000002</v>
      </c>
      <c r="N34" s="25" t="s">
        <v>592</v>
      </c>
    </row>
    <row r="35" spans="1:14" x14ac:dyDescent="0.25">
      <c r="A35" s="77">
        <v>45966</v>
      </c>
      <c r="B35" s="25" t="s">
        <v>414</v>
      </c>
      <c r="C35" s="77">
        <f t="shared" si="0"/>
        <v>45989</v>
      </c>
      <c r="D35" s="77">
        <f t="shared" si="1"/>
        <v>45973</v>
      </c>
      <c r="E35" s="77">
        <f t="shared" si="2"/>
        <v>45980</v>
      </c>
      <c r="F35" s="77">
        <f t="shared" si="3"/>
        <v>45986</v>
      </c>
      <c r="G35" s="77">
        <f t="shared" si="4"/>
        <v>45974</v>
      </c>
      <c r="H35" s="77">
        <f t="shared" si="5"/>
        <v>45981</v>
      </c>
      <c r="I35" s="77">
        <v>45996</v>
      </c>
      <c r="J35" s="78">
        <f t="shared" ref="J35:J66" si="8">I35-A35</f>
        <v>30</v>
      </c>
      <c r="K35" s="25">
        <v>15.19</v>
      </c>
      <c r="L35" s="25">
        <v>14.76</v>
      </c>
      <c r="M35" s="25">
        <f t="shared" si="7"/>
        <v>0.42999999999999972</v>
      </c>
      <c r="N35" s="25" t="s">
        <v>593</v>
      </c>
    </row>
    <row r="36" spans="1:14" x14ac:dyDescent="0.25">
      <c r="A36" s="77">
        <v>45966</v>
      </c>
      <c r="B36" s="25" t="s">
        <v>415</v>
      </c>
      <c r="C36" s="77">
        <f t="shared" si="0"/>
        <v>45989</v>
      </c>
      <c r="D36" s="77">
        <f t="shared" si="1"/>
        <v>45973</v>
      </c>
      <c r="E36" s="77">
        <f t="shared" si="2"/>
        <v>45980</v>
      </c>
      <c r="F36" s="77">
        <f t="shared" si="3"/>
        <v>45986</v>
      </c>
      <c r="G36" s="77">
        <f t="shared" si="4"/>
        <v>45974</v>
      </c>
      <c r="H36" s="77">
        <f t="shared" si="5"/>
        <v>45981</v>
      </c>
      <c r="I36" s="77">
        <v>45996</v>
      </c>
      <c r="J36" s="78">
        <f t="shared" si="8"/>
        <v>30</v>
      </c>
      <c r="K36" s="25">
        <v>15.07</v>
      </c>
      <c r="L36" s="25">
        <v>13.91</v>
      </c>
      <c r="M36" s="25">
        <f t="shared" si="7"/>
        <v>1.1600000000000001</v>
      </c>
      <c r="N36" s="25" t="s">
        <v>593</v>
      </c>
    </row>
    <row r="37" spans="1:14" x14ac:dyDescent="0.25">
      <c r="A37" s="77">
        <v>45966</v>
      </c>
      <c r="B37" s="25" t="s">
        <v>416</v>
      </c>
      <c r="C37" s="77">
        <f t="shared" si="0"/>
        <v>45989</v>
      </c>
      <c r="D37" s="77">
        <f t="shared" si="1"/>
        <v>45973</v>
      </c>
      <c r="E37" s="77">
        <f t="shared" si="2"/>
        <v>45980</v>
      </c>
      <c r="F37" s="77">
        <f t="shared" si="3"/>
        <v>45986</v>
      </c>
      <c r="G37" s="77">
        <f t="shared" si="4"/>
        <v>45974</v>
      </c>
      <c r="H37" s="77">
        <f t="shared" si="5"/>
        <v>45981</v>
      </c>
      <c r="I37" s="77">
        <v>45996</v>
      </c>
      <c r="J37" s="78">
        <f t="shared" si="8"/>
        <v>30</v>
      </c>
      <c r="K37" s="25">
        <v>14.33</v>
      </c>
      <c r="L37" s="25">
        <v>13.12</v>
      </c>
      <c r="M37" s="25">
        <f t="shared" si="7"/>
        <v>1.2100000000000009</v>
      </c>
      <c r="N37" s="25" t="s">
        <v>593</v>
      </c>
    </row>
    <row r="38" spans="1:14" x14ac:dyDescent="0.25">
      <c r="A38" s="77">
        <v>45967</v>
      </c>
      <c r="B38" s="25" t="s">
        <v>448</v>
      </c>
      <c r="C38" s="77">
        <f t="shared" si="0"/>
        <v>45990</v>
      </c>
      <c r="D38" s="77">
        <f t="shared" si="1"/>
        <v>45974</v>
      </c>
      <c r="E38" s="77">
        <f t="shared" si="2"/>
        <v>45981</v>
      </c>
      <c r="F38" s="77">
        <f t="shared" si="3"/>
        <v>45987</v>
      </c>
      <c r="G38" s="77">
        <f t="shared" si="4"/>
        <v>45975</v>
      </c>
      <c r="H38" s="77">
        <f t="shared" si="5"/>
        <v>45982</v>
      </c>
      <c r="I38" s="77">
        <v>45996</v>
      </c>
      <c r="J38" s="78">
        <f t="shared" si="8"/>
        <v>29</v>
      </c>
      <c r="K38" s="25">
        <v>16.11</v>
      </c>
      <c r="L38" s="25">
        <v>14.97</v>
      </c>
      <c r="M38" s="25">
        <f t="shared" si="7"/>
        <v>1.1399999999999988</v>
      </c>
      <c r="N38" s="25" t="s">
        <v>593</v>
      </c>
    </row>
    <row r="39" spans="1:14" x14ac:dyDescent="0.25">
      <c r="A39" s="77">
        <v>45967</v>
      </c>
      <c r="B39" s="25" t="s">
        <v>449</v>
      </c>
      <c r="C39" s="77">
        <f t="shared" si="0"/>
        <v>45990</v>
      </c>
      <c r="D39" s="77">
        <f t="shared" si="1"/>
        <v>45974</v>
      </c>
      <c r="E39" s="77">
        <f t="shared" si="2"/>
        <v>45981</v>
      </c>
      <c r="F39" s="77">
        <f t="shared" si="3"/>
        <v>45987</v>
      </c>
      <c r="G39" s="77">
        <f t="shared" si="4"/>
        <v>45975</v>
      </c>
      <c r="H39" s="77">
        <f t="shared" si="5"/>
        <v>45982</v>
      </c>
      <c r="I39" s="77">
        <v>45996</v>
      </c>
      <c r="J39" s="78">
        <f t="shared" si="8"/>
        <v>29</v>
      </c>
      <c r="K39" s="25">
        <v>14.56</v>
      </c>
      <c r="L39" s="25">
        <v>13.82</v>
      </c>
      <c r="M39" s="25">
        <f t="shared" si="7"/>
        <v>0.74000000000000021</v>
      </c>
      <c r="N39" s="25" t="s">
        <v>593</v>
      </c>
    </row>
    <row r="40" spans="1:14" x14ac:dyDescent="0.25">
      <c r="A40" s="77">
        <v>45967</v>
      </c>
      <c r="B40" s="25" t="s">
        <v>444</v>
      </c>
      <c r="C40" s="77">
        <f t="shared" si="0"/>
        <v>45990</v>
      </c>
      <c r="D40" s="77">
        <f t="shared" si="1"/>
        <v>45974</v>
      </c>
      <c r="E40" s="77">
        <f t="shared" si="2"/>
        <v>45981</v>
      </c>
      <c r="F40" s="77">
        <f t="shared" si="3"/>
        <v>45987</v>
      </c>
      <c r="G40" s="77">
        <f t="shared" si="4"/>
        <v>45975</v>
      </c>
      <c r="H40" s="77">
        <f t="shared" si="5"/>
        <v>45982</v>
      </c>
      <c r="I40" s="77">
        <v>45997</v>
      </c>
      <c r="J40" s="78">
        <f t="shared" si="8"/>
        <v>30</v>
      </c>
      <c r="K40" s="25">
        <v>15.21</v>
      </c>
      <c r="L40" s="25">
        <v>6.98</v>
      </c>
      <c r="M40" s="25">
        <f t="shared" si="7"/>
        <v>8.23</v>
      </c>
      <c r="N40" s="25" t="s">
        <v>592</v>
      </c>
    </row>
    <row r="41" spans="1:14" x14ac:dyDescent="0.25">
      <c r="A41" s="77">
        <v>45967</v>
      </c>
      <c r="B41" s="25" t="s">
        <v>445</v>
      </c>
      <c r="C41" s="77">
        <f t="shared" si="0"/>
        <v>45990</v>
      </c>
      <c r="D41" s="77">
        <f t="shared" si="1"/>
        <v>45974</v>
      </c>
      <c r="E41" s="77">
        <f t="shared" si="2"/>
        <v>45981</v>
      </c>
      <c r="F41" s="77">
        <f t="shared" si="3"/>
        <v>45987</v>
      </c>
      <c r="G41" s="77">
        <f t="shared" si="4"/>
        <v>45975</v>
      </c>
      <c r="H41" s="77">
        <f t="shared" si="5"/>
        <v>45982</v>
      </c>
      <c r="I41" s="77">
        <v>45997</v>
      </c>
      <c r="J41" s="78">
        <f t="shared" si="8"/>
        <v>30</v>
      </c>
      <c r="K41" s="25">
        <v>13.98</v>
      </c>
      <c r="L41" s="25">
        <v>5.71</v>
      </c>
      <c r="M41" s="25">
        <f t="shared" si="7"/>
        <v>8.27</v>
      </c>
      <c r="N41" s="25" t="s">
        <v>592</v>
      </c>
    </row>
    <row r="42" spans="1:14" x14ac:dyDescent="0.25">
      <c r="A42" s="77">
        <v>45967</v>
      </c>
      <c r="B42" s="25" t="s">
        <v>446</v>
      </c>
      <c r="C42" s="77">
        <f t="shared" si="0"/>
        <v>45990</v>
      </c>
      <c r="D42" s="77">
        <f t="shared" si="1"/>
        <v>45974</v>
      </c>
      <c r="E42" s="77">
        <f t="shared" si="2"/>
        <v>45981</v>
      </c>
      <c r="F42" s="77">
        <f t="shared" si="3"/>
        <v>45987</v>
      </c>
      <c r="G42" s="77">
        <f t="shared" si="4"/>
        <v>45975</v>
      </c>
      <c r="H42" s="77">
        <f t="shared" si="5"/>
        <v>45982</v>
      </c>
      <c r="I42" s="77">
        <v>45997</v>
      </c>
      <c r="J42" s="78">
        <f t="shared" si="8"/>
        <v>30</v>
      </c>
      <c r="K42" s="25">
        <v>16.2</v>
      </c>
      <c r="L42" s="25">
        <v>8.1199999999999992</v>
      </c>
      <c r="M42" s="25">
        <f t="shared" si="7"/>
        <v>8.08</v>
      </c>
      <c r="N42" s="25" t="s">
        <v>592</v>
      </c>
    </row>
    <row r="43" spans="1:14" x14ac:dyDescent="0.25">
      <c r="A43" s="77">
        <v>45967</v>
      </c>
      <c r="B43" s="25" t="s">
        <v>447</v>
      </c>
      <c r="C43" s="77">
        <f t="shared" si="0"/>
        <v>45990</v>
      </c>
      <c r="D43" s="77">
        <f t="shared" si="1"/>
        <v>45974</v>
      </c>
      <c r="E43" s="77">
        <f t="shared" si="2"/>
        <v>45981</v>
      </c>
      <c r="F43" s="77">
        <f t="shared" si="3"/>
        <v>45987</v>
      </c>
      <c r="G43" s="77">
        <f t="shared" si="4"/>
        <v>45975</v>
      </c>
      <c r="H43" s="77">
        <f t="shared" si="5"/>
        <v>45982</v>
      </c>
      <c r="I43" s="77">
        <v>45997</v>
      </c>
      <c r="J43" s="78">
        <f t="shared" si="8"/>
        <v>30</v>
      </c>
      <c r="K43" s="25">
        <v>14.91</v>
      </c>
      <c r="L43" s="25">
        <v>7.08</v>
      </c>
      <c r="M43" s="25">
        <f t="shared" si="7"/>
        <v>7.83</v>
      </c>
      <c r="N43" s="25" t="s">
        <v>592</v>
      </c>
    </row>
    <row r="44" spans="1:14" x14ac:dyDescent="0.25">
      <c r="A44" s="77">
        <v>45967</v>
      </c>
      <c r="B44" s="25" t="s">
        <v>450</v>
      </c>
      <c r="C44" s="77">
        <f t="shared" si="0"/>
        <v>45990</v>
      </c>
      <c r="D44" s="77">
        <f t="shared" si="1"/>
        <v>45974</v>
      </c>
      <c r="E44" s="77">
        <f t="shared" si="2"/>
        <v>45981</v>
      </c>
      <c r="F44" s="77">
        <f t="shared" si="3"/>
        <v>45987</v>
      </c>
      <c r="G44" s="77">
        <f t="shared" si="4"/>
        <v>45975</v>
      </c>
      <c r="H44" s="77">
        <f t="shared" si="5"/>
        <v>45982</v>
      </c>
      <c r="I44" s="77">
        <v>45997</v>
      </c>
      <c r="J44" s="78">
        <f t="shared" si="8"/>
        <v>30</v>
      </c>
      <c r="K44" s="25">
        <v>15.24</v>
      </c>
      <c r="L44" s="25">
        <v>7.62</v>
      </c>
      <c r="M44" s="25">
        <f t="shared" si="7"/>
        <v>7.62</v>
      </c>
      <c r="N44" s="25" t="s">
        <v>592</v>
      </c>
    </row>
    <row r="45" spans="1:14" x14ac:dyDescent="0.25">
      <c r="A45" s="77">
        <v>45968</v>
      </c>
      <c r="B45" s="25" t="s">
        <v>412</v>
      </c>
      <c r="C45" s="77">
        <f t="shared" si="0"/>
        <v>45991</v>
      </c>
      <c r="D45" s="77">
        <f t="shared" si="1"/>
        <v>45975</v>
      </c>
      <c r="E45" s="77">
        <f t="shared" si="2"/>
        <v>45982</v>
      </c>
      <c r="F45" s="77">
        <f t="shared" si="3"/>
        <v>45988</v>
      </c>
      <c r="G45" s="77">
        <f t="shared" si="4"/>
        <v>45976</v>
      </c>
      <c r="H45" s="77">
        <f t="shared" si="5"/>
        <v>45983</v>
      </c>
      <c r="I45" s="77">
        <v>45997</v>
      </c>
      <c r="J45" s="78">
        <f t="shared" si="8"/>
        <v>29</v>
      </c>
      <c r="K45" s="25">
        <v>14.56</v>
      </c>
      <c r="L45" s="25">
        <v>7.03</v>
      </c>
      <c r="M45" s="25">
        <f t="shared" si="7"/>
        <v>7.53</v>
      </c>
      <c r="N45" s="25" t="s">
        <v>593</v>
      </c>
    </row>
    <row r="46" spans="1:14" x14ac:dyDescent="0.25">
      <c r="A46" s="77">
        <v>45968</v>
      </c>
      <c r="B46" s="25" t="s">
        <v>413</v>
      </c>
      <c r="C46" s="77">
        <f t="shared" si="0"/>
        <v>45991</v>
      </c>
      <c r="D46" s="77">
        <f t="shared" si="1"/>
        <v>45975</v>
      </c>
      <c r="E46" s="77">
        <f t="shared" si="2"/>
        <v>45982</v>
      </c>
      <c r="F46" s="77">
        <f t="shared" si="3"/>
        <v>45988</v>
      </c>
      <c r="G46" s="77">
        <f t="shared" si="4"/>
        <v>45976</v>
      </c>
      <c r="H46" s="77">
        <f t="shared" si="5"/>
        <v>45983</v>
      </c>
      <c r="I46" s="77">
        <v>45997</v>
      </c>
      <c r="J46" s="78">
        <f t="shared" si="8"/>
        <v>29</v>
      </c>
      <c r="K46" s="25">
        <v>15.27</v>
      </c>
      <c r="L46" s="25">
        <v>14.31</v>
      </c>
      <c r="M46" s="25">
        <f t="shared" si="7"/>
        <v>0.95999999999999908</v>
      </c>
      <c r="N46" s="25" t="s">
        <v>593</v>
      </c>
    </row>
    <row r="47" spans="1:14" x14ac:dyDescent="0.25">
      <c r="A47" s="77">
        <v>45968</v>
      </c>
      <c r="B47" s="25" t="s">
        <v>442</v>
      </c>
      <c r="C47" s="77">
        <f t="shared" si="0"/>
        <v>45991</v>
      </c>
      <c r="D47" s="77">
        <f t="shared" si="1"/>
        <v>45975</v>
      </c>
      <c r="E47" s="77">
        <f t="shared" si="2"/>
        <v>45982</v>
      </c>
      <c r="F47" s="77">
        <f t="shared" si="3"/>
        <v>45988</v>
      </c>
      <c r="G47" s="77">
        <f t="shared" si="4"/>
        <v>45976</v>
      </c>
      <c r="H47" s="77">
        <f t="shared" si="5"/>
        <v>45983</v>
      </c>
      <c r="I47" s="77">
        <v>45997</v>
      </c>
      <c r="J47" s="78">
        <f t="shared" si="8"/>
        <v>29</v>
      </c>
      <c r="K47" s="25">
        <v>14.32</v>
      </c>
      <c r="L47" s="25">
        <v>13.59</v>
      </c>
      <c r="M47" s="25">
        <f t="shared" si="7"/>
        <v>0.73000000000000043</v>
      </c>
      <c r="N47" s="25" t="s">
        <v>593</v>
      </c>
    </row>
    <row r="48" spans="1:14" x14ac:dyDescent="0.25">
      <c r="A48" s="77">
        <v>45968</v>
      </c>
      <c r="B48" s="25" t="s">
        <v>443</v>
      </c>
      <c r="C48" s="77">
        <f t="shared" si="0"/>
        <v>45991</v>
      </c>
      <c r="D48" s="77">
        <f t="shared" si="1"/>
        <v>45975</v>
      </c>
      <c r="E48" s="77">
        <f t="shared" si="2"/>
        <v>45982</v>
      </c>
      <c r="F48" s="77">
        <f t="shared" si="3"/>
        <v>45988</v>
      </c>
      <c r="G48" s="77">
        <f t="shared" si="4"/>
        <v>45976</v>
      </c>
      <c r="H48" s="77">
        <f t="shared" si="5"/>
        <v>45983</v>
      </c>
      <c r="I48" s="77">
        <v>45997</v>
      </c>
      <c r="J48" s="78">
        <f t="shared" si="8"/>
        <v>29</v>
      </c>
      <c r="K48" s="25">
        <v>15.29</v>
      </c>
      <c r="L48" s="25">
        <v>14.62</v>
      </c>
      <c r="M48" s="25">
        <f t="shared" si="7"/>
        <v>0.66999999999999993</v>
      </c>
      <c r="N48" s="25" t="s">
        <v>593</v>
      </c>
    </row>
    <row r="49" spans="1:14" x14ac:dyDescent="0.25">
      <c r="A49" s="77">
        <v>45968</v>
      </c>
      <c r="B49" s="25" t="s">
        <v>472</v>
      </c>
      <c r="C49" s="77">
        <f t="shared" si="0"/>
        <v>45991</v>
      </c>
      <c r="D49" s="77">
        <f t="shared" si="1"/>
        <v>45975</v>
      </c>
      <c r="E49" s="77">
        <f t="shared" si="2"/>
        <v>45982</v>
      </c>
      <c r="F49" s="77">
        <f t="shared" si="3"/>
        <v>45988</v>
      </c>
      <c r="G49" s="77">
        <f t="shared" si="4"/>
        <v>45976</v>
      </c>
      <c r="H49" s="77">
        <f t="shared" si="5"/>
        <v>45983</v>
      </c>
      <c r="I49" s="77">
        <v>45997</v>
      </c>
      <c r="J49" s="78">
        <f t="shared" si="8"/>
        <v>29</v>
      </c>
      <c r="K49" s="25">
        <v>11.74</v>
      </c>
      <c r="L49" s="25">
        <v>10.28</v>
      </c>
      <c r="M49" s="25">
        <f t="shared" si="7"/>
        <v>1.4600000000000009</v>
      </c>
      <c r="N49" s="25" t="s">
        <v>593</v>
      </c>
    </row>
    <row r="50" spans="1:14" x14ac:dyDescent="0.25">
      <c r="A50" s="77">
        <v>45968</v>
      </c>
      <c r="B50" s="25" t="s">
        <v>473</v>
      </c>
      <c r="C50" s="77">
        <f t="shared" si="0"/>
        <v>45991</v>
      </c>
      <c r="D50" s="77">
        <f t="shared" si="1"/>
        <v>45975</v>
      </c>
      <c r="E50" s="77">
        <f t="shared" si="2"/>
        <v>45982</v>
      </c>
      <c r="F50" s="77">
        <f t="shared" si="3"/>
        <v>45988</v>
      </c>
      <c r="G50" s="77">
        <f t="shared" si="4"/>
        <v>45976</v>
      </c>
      <c r="H50" s="77">
        <f t="shared" si="5"/>
        <v>45983</v>
      </c>
      <c r="I50" s="77">
        <v>45997</v>
      </c>
      <c r="J50" s="78">
        <f t="shared" si="8"/>
        <v>29</v>
      </c>
      <c r="K50" s="25">
        <v>11.28</v>
      </c>
      <c r="L50" s="25">
        <v>10.14</v>
      </c>
      <c r="M50" s="25">
        <f t="shared" si="7"/>
        <v>1.1399999999999988</v>
      </c>
      <c r="N50" s="25" t="s">
        <v>593</v>
      </c>
    </row>
    <row r="51" spans="1:14" x14ac:dyDescent="0.25">
      <c r="A51" s="77">
        <v>45968</v>
      </c>
      <c r="B51" s="25" t="s">
        <v>474</v>
      </c>
      <c r="C51" s="77">
        <f t="shared" si="0"/>
        <v>45991</v>
      </c>
      <c r="D51" s="77">
        <f t="shared" si="1"/>
        <v>45975</v>
      </c>
      <c r="E51" s="77">
        <f t="shared" si="2"/>
        <v>45982</v>
      </c>
      <c r="F51" s="77">
        <f t="shared" si="3"/>
        <v>45988</v>
      </c>
      <c r="G51" s="77">
        <f t="shared" si="4"/>
        <v>45976</v>
      </c>
      <c r="H51" s="77">
        <f t="shared" si="5"/>
        <v>45983</v>
      </c>
      <c r="I51" s="77">
        <v>45997</v>
      </c>
      <c r="J51" s="78">
        <f t="shared" si="8"/>
        <v>29</v>
      </c>
      <c r="K51" s="25">
        <v>8.2100000000000009</v>
      </c>
      <c r="L51" s="25">
        <v>7.05</v>
      </c>
      <c r="M51" s="25">
        <f t="shared" si="7"/>
        <v>1.160000000000001</v>
      </c>
      <c r="N51" s="25" t="s">
        <v>593</v>
      </c>
    </row>
    <row r="52" spans="1:14" x14ac:dyDescent="0.25">
      <c r="A52" s="77">
        <v>45969</v>
      </c>
      <c r="B52" s="25" t="s">
        <v>476</v>
      </c>
      <c r="C52" s="77">
        <f t="shared" si="0"/>
        <v>45992</v>
      </c>
      <c r="D52" s="77">
        <f t="shared" si="1"/>
        <v>45976</v>
      </c>
      <c r="E52" s="77">
        <f t="shared" si="2"/>
        <v>45983</v>
      </c>
      <c r="F52" s="77">
        <f t="shared" si="3"/>
        <v>45989</v>
      </c>
      <c r="G52" s="77">
        <f t="shared" si="4"/>
        <v>45977</v>
      </c>
      <c r="H52" s="77">
        <f t="shared" si="5"/>
        <v>45984</v>
      </c>
      <c r="I52" s="77">
        <v>45998</v>
      </c>
      <c r="J52" s="78">
        <f t="shared" si="8"/>
        <v>29</v>
      </c>
      <c r="K52" s="25">
        <v>14.21</v>
      </c>
      <c r="L52" s="25">
        <v>7.71</v>
      </c>
      <c r="M52" s="25">
        <f t="shared" si="7"/>
        <v>6.5000000000000009</v>
      </c>
      <c r="N52" s="25" t="s">
        <v>592</v>
      </c>
    </row>
    <row r="53" spans="1:14" x14ac:dyDescent="0.25">
      <c r="A53" s="77">
        <v>45969</v>
      </c>
      <c r="B53" s="25" t="s">
        <v>477</v>
      </c>
      <c r="C53" s="77">
        <f t="shared" si="0"/>
        <v>45992</v>
      </c>
      <c r="D53" s="77">
        <f t="shared" si="1"/>
        <v>45976</v>
      </c>
      <c r="E53" s="77">
        <f t="shared" si="2"/>
        <v>45983</v>
      </c>
      <c r="F53" s="77">
        <f t="shared" si="3"/>
        <v>45989</v>
      </c>
      <c r="G53" s="77">
        <f t="shared" si="4"/>
        <v>45977</v>
      </c>
      <c r="H53" s="77">
        <f t="shared" si="5"/>
        <v>45984</v>
      </c>
      <c r="I53" s="77">
        <v>45998</v>
      </c>
      <c r="J53" s="78">
        <f t="shared" si="8"/>
        <v>29</v>
      </c>
      <c r="K53" s="25">
        <v>13.68</v>
      </c>
      <c r="L53" s="25">
        <v>6.22</v>
      </c>
      <c r="M53" s="25">
        <f t="shared" si="7"/>
        <v>7.46</v>
      </c>
      <c r="N53" s="25" t="s">
        <v>592</v>
      </c>
    </row>
    <row r="54" spans="1:14" x14ac:dyDescent="0.25">
      <c r="A54" s="77">
        <v>45969</v>
      </c>
      <c r="B54" s="25" t="s">
        <v>478</v>
      </c>
      <c r="C54" s="77">
        <f t="shared" si="0"/>
        <v>45992</v>
      </c>
      <c r="D54" s="77">
        <f t="shared" si="1"/>
        <v>45976</v>
      </c>
      <c r="E54" s="77">
        <f t="shared" si="2"/>
        <v>45983</v>
      </c>
      <c r="F54" s="77">
        <f t="shared" si="3"/>
        <v>45989</v>
      </c>
      <c r="G54" s="77">
        <f t="shared" si="4"/>
        <v>45977</v>
      </c>
      <c r="H54" s="77">
        <f t="shared" si="5"/>
        <v>45984</v>
      </c>
      <c r="I54" s="77">
        <v>45998</v>
      </c>
      <c r="J54" s="78">
        <f t="shared" si="8"/>
        <v>29</v>
      </c>
      <c r="K54" s="25">
        <v>15.29</v>
      </c>
      <c r="L54" s="25">
        <v>8.69</v>
      </c>
      <c r="M54" s="25">
        <f t="shared" si="7"/>
        <v>6.6</v>
      </c>
      <c r="N54" s="25" t="s">
        <v>592</v>
      </c>
    </row>
    <row r="55" spans="1:14" x14ac:dyDescent="0.25">
      <c r="A55" s="77">
        <v>45969</v>
      </c>
      <c r="B55" s="25" t="s">
        <v>479</v>
      </c>
      <c r="C55" s="77">
        <f t="shared" si="0"/>
        <v>45992</v>
      </c>
      <c r="D55" s="77">
        <f t="shared" si="1"/>
        <v>45976</v>
      </c>
      <c r="E55" s="77">
        <f t="shared" si="2"/>
        <v>45983</v>
      </c>
      <c r="F55" s="77">
        <f t="shared" si="3"/>
        <v>45989</v>
      </c>
      <c r="G55" s="77">
        <f t="shared" si="4"/>
        <v>45977</v>
      </c>
      <c r="H55" s="77">
        <f t="shared" si="5"/>
        <v>45984</v>
      </c>
      <c r="I55" s="77">
        <v>45998</v>
      </c>
      <c r="J55" s="78">
        <f t="shared" si="8"/>
        <v>29</v>
      </c>
      <c r="K55" s="25">
        <v>11.52</v>
      </c>
      <c r="L55" s="25">
        <v>10.77</v>
      </c>
      <c r="M55" s="25">
        <f t="shared" si="7"/>
        <v>0.75</v>
      </c>
      <c r="N55" s="25" t="s">
        <v>593</v>
      </c>
    </row>
    <row r="56" spans="1:14" x14ac:dyDescent="0.25">
      <c r="A56" s="77">
        <v>45969</v>
      </c>
      <c r="B56" s="25" t="s">
        <v>480</v>
      </c>
      <c r="C56" s="77">
        <f t="shared" si="0"/>
        <v>45992</v>
      </c>
      <c r="D56" s="77">
        <f t="shared" si="1"/>
        <v>45976</v>
      </c>
      <c r="E56" s="77">
        <f t="shared" si="2"/>
        <v>45983</v>
      </c>
      <c r="F56" s="77">
        <f t="shared" si="3"/>
        <v>45989</v>
      </c>
      <c r="G56" s="77">
        <f t="shared" si="4"/>
        <v>45977</v>
      </c>
      <c r="H56" s="77">
        <f t="shared" si="5"/>
        <v>45984</v>
      </c>
      <c r="I56" s="77">
        <v>45998</v>
      </c>
      <c r="J56" s="78">
        <f t="shared" si="8"/>
        <v>29</v>
      </c>
      <c r="K56" s="25">
        <v>13.4</v>
      </c>
      <c r="L56" s="25">
        <v>12.19</v>
      </c>
      <c r="M56" s="25">
        <f t="shared" si="7"/>
        <v>1.2100000000000009</v>
      </c>
      <c r="N56" s="25" t="s">
        <v>593</v>
      </c>
    </row>
    <row r="57" spans="1:14" x14ac:dyDescent="0.25">
      <c r="A57" s="77">
        <v>45969</v>
      </c>
      <c r="B57" s="25" t="s">
        <v>481</v>
      </c>
      <c r="C57" s="77">
        <f t="shared" si="0"/>
        <v>45992</v>
      </c>
      <c r="D57" s="77">
        <f t="shared" si="1"/>
        <v>45976</v>
      </c>
      <c r="E57" s="77">
        <f t="shared" si="2"/>
        <v>45983</v>
      </c>
      <c r="F57" s="77">
        <f t="shared" si="3"/>
        <v>45989</v>
      </c>
      <c r="G57" s="77">
        <f t="shared" si="4"/>
        <v>45977</v>
      </c>
      <c r="H57" s="77">
        <f t="shared" si="5"/>
        <v>45984</v>
      </c>
      <c r="I57" s="77">
        <v>45998</v>
      </c>
      <c r="J57" s="78">
        <f t="shared" si="8"/>
        <v>29</v>
      </c>
      <c r="K57" s="25">
        <v>11.58</v>
      </c>
      <c r="L57" s="25">
        <v>10.71</v>
      </c>
      <c r="M57" s="25">
        <f t="shared" si="7"/>
        <v>0.86999999999999922</v>
      </c>
      <c r="N57" s="25" t="s">
        <v>593</v>
      </c>
    </row>
    <row r="58" spans="1:14" x14ac:dyDescent="0.25">
      <c r="A58" s="77">
        <v>45969</v>
      </c>
      <c r="B58" s="25" t="s">
        <v>482</v>
      </c>
      <c r="C58" s="77">
        <f t="shared" si="0"/>
        <v>45992</v>
      </c>
      <c r="D58" s="77">
        <f t="shared" si="1"/>
        <v>45976</v>
      </c>
      <c r="E58" s="77">
        <f t="shared" si="2"/>
        <v>45983</v>
      </c>
      <c r="F58" s="77">
        <f t="shared" si="3"/>
        <v>45989</v>
      </c>
      <c r="G58" s="77">
        <f t="shared" si="4"/>
        <v>45977</v>
      </c>
      <c r="H58" s="77">
        <f t="shared" si="5"/>
        <v>45984</v>
      </c>
      <c r="I58" s="77">
        <v>45998</v>
      </c>
      <c r="J58" s="78">
        <f t="shared" si="8"/>
        <v>29</v>
      </c>
      <c r="K58" s="25">
        <v>12.17</v>
      </c>
      <c r="L58" s="25">
        <v>11.59</v>
      </c>
      <c r="M58" s="25">
        <f t="shared" si="7"/>
        <v>0.58000000000000007</v>
      </c>
      <c r="N58" s="25" t="s">
        <v>593</v>
      </c>
    </row>
    <row r="59" spans="1:14" x14ac:dyDescent="0.25">
      <c r="A59" s="77">
        <v>45970</v>
      </c>
      <c r="B59" s="25" t="s">
        <v>483</v>
      </c>
      <c r="C59" s="77">
        <f t="shared" si="0"/>
        <v>45993</v>
      </c>
      <c r="D59" s="77">
        <f t="shared" si="1"/>
        <v>45977</v>
      </c>
      <c r="E59" s="77">
        <f t="shared" si="2"/>
        <v>45984</v>
      </c>
      <c r="F59" s="77">
        <f t="shared" si="3"/>
        <v>45990</v>
      </c>
      <c r="G59" s="77">
        <f t="shared" si="4"/>
        <v>45978</v>
      </c>
      <c r="H59" s="77">
        <f t="shared" si="5"/>
        <v>45985</v>
      </c>
      <c r="I59" s="77">
        <v>45998</v>
      </c>
      <c r="J59" s="78">
        <f t="shared" si="8"/>
        <v>28</v>
      </c>
      <c r="K59" s="25">
        <v>11.98</v>
      </c>
      <c r="L59" s="25">
        <v>10.01</v>
      </c>
      <c r="M59" s="25">
        <f t="shared" si="7"/>
        <v>1.9700000000000006</v>
      </c>
      <c r="N59" s="25" t="s">
        <v>593</v>
      </c>
    </row>
    <row r="60" spans="1:14" x14ac:dyDescent="0.25">
      <c r="A60" s="77">
        <v>45970</v>
      </c>
      <c r="B60" s="25" t="s">
        <v>484</v>
      </c>
      <c r="C60" s="77">
        <f t="shared" si="0"/>
        <v>45993</v>
      </c>
      <c r="D60" s="77">
        <f t="shared" si="1"/>
        <v>45977</v>
      </c>
      <c r="E60" s="77">
        <f t="shared" si="2"/>
        <v>45984</v>
      </c>
      <c r="F60" s="77">
        <f t="shared" si="3"/>
        <v>45990</v>
      </c>
      <c r="G60" s="77">
        <f t="shared" si="4"/>
        <v>45978</v>
      </c>
      <c r="H60" s="77">
        <f t="shared" si="5"/>
        <v>45985</v>
      </c>
      <c r="I60" s="77">
        <v>45998</v>
      </c>
      <c r="J60" s="78">
        <f t="shared" si="8"/>
        <v>28</v>
      </c>
      <c r="K60" s="25">
        <v>10.71</v>
      </c>
      <c r="L60" s="25">
        <v>9.84</v>
      </c>
      <c r="M60" s="25">
        <f t="shared" si="7"/>
        <v>0.87000000000000099</v>
      </c>
      <c r="N60" s="25" t="s">
        <v>593</v>
      </c>
    </row>
    <row r="61" spans="1:14" x14ac:dyDescent="0.25">
      <c r="A61" s="77">
        <v>45970</v>
      </c>
      <c r="B61" s="25" t="s">
        <v>485</v>
      </c>
      <c r="C61" s="77">
        <f t="shared" si="0"/>
        <v>45993</v>
      </c>
      <c r="D61" s="77">
        <f t="shared" si="1"/>
        <v>45977</v>
      </c>
      <c r="E61" s="77">
        <f t="shared" si="2"/>
        <v>45984</v>
      </c>
      <c r="F61" s="77">
        <f t="shared" si="3"/>
        <v>45990</v>
      </c>
      <c r="G61" s="77">
        <f t="shared" si="4"/>
        <v>45978</v>
      </c>
      <c r="H61" s="77">
        <f t="shared" si="5"/>
        <v>45985</v>
      </c>
      <c r="I61" s="77">
        <v>45998</v>
      </c>
      <c r="J61" s="78">
        <f t="shared" si="8"/>
        <v>28</v>
      </c>
      <c r="K61" s="25">
        <v>7.55</v>
      </c>
      <c r="L61" s="25">
        <v>6.64</v>
      </c>
      <c r="M61" s="25">
        <f t="shared" si="7"/>
        <v>0.91000000000000014</v>
      </c>
      <c r="N61" s="25" t="s">
        <v>593</v>
      </c>
    </row>
    <row r="62" spans="1:14" x14ac:dyDescent="0.25">
      <c r="A62" s="77">
        <v>45970</v>
      </c>
      <c r="B62" s="25" t="s">
        <v>486</v>
      </c>
      <c r="C62" s="77">
        <f t="shared" si="0"/>
        <v>45993</v>
      </c>
      <c r="D62" s="77">
        <f t="shared" si="1"/>
        <v>45977</v>
      </c>
      <c r="E62" s="77">
        <f t="shared" si="2"/>
        <v>45984</v>
      </c>
      <c r="F62" s="77">
        <f t="shared" si="3"/>
        <v>45990</v>
      </c>
      <c r="G62" s="77">
        <f t="shared" si="4"/>
        <v>45978</v>
      </c>
      <c r="H62" s="77">
        <f t="shared" si="5"/>
        <v>45985</v>
      </c>
      <c r="I62" s="77">
        <v>45998</v>
      </c>
      <c r="J62" s="78">
        <f t="shared" si="8"/>
        <v>28</v>
      </c>
      <c r="K62" s="25">
        <v>7.41</v>
      </c>
      <c r="L62" s="25">
        <v>6.28</v>
      </c>
      <c r="M62" s="25">
        <f t="shared" si="7"/>
        <v>1.1299999999999999</v>
      </c>
      <c r="N62" s="25" t="s">
        <v>593</v>
      </c>
    </row>
    <row r="63" spans="1:14" x14ac:dyDescent="0.25">
      <c r="A63" s="77">
        <v>45970</v>
      </c>
      <c r="B63" s="25" t="s">
        <v>487</v>
      </c>
      <c r="C63" s="77">
        <f t="shared" si="0"/>
        <v>45993</v>
      </c>
      <c r="D63" s="77">
        <f t="shared" si="1"/>
        <v>45977</v>
      </c>
      <c r="E63" s="77">
        <f t="shared" si="2"/>
        <v>45984</v>
      </c>
      <c r="F63" s="77">
        <f t="shared" si="3"/>
        <v>45990</v>
      </c>
      <c r="G63" s="77">
        <f t="shared" si="4"/>
        <v>45978</v>
      </c>
      <c r="H63" s="77">
        <f t="shared" si="5"/>
        <v>45985</v>
      </c>
      <c r="I63" s="77">
        <v>45998</v>
      </c>
      <c r="J63" s="78">
        <f t="shared" si="8"/>
        <v>28</v>
      </c>
      <c r="K63" s="25">
        <v>6.36</v>
      </c>
      <c r="L63" s="25">
        <v>5.71</v>
      </c>
      <c r="M63" s="25">
        <f t="shared" si="7"/>
        <v>0.65000000000000036</v>
      </c>
      <c r="N63" s="25" t="s">
        <v>593</v>
      </c>
    </row>
    <row r="64" spans="1:14" x14ac:dyDescent="0.25">
      <c r="A64" s="77">
        <v>45970</v>
      </c>
      <c r="B64" s="25" t="s">
        <v>488</v>
      </c>
      <c r="C64" s="77">
        <f t="shared" si="0"/>
        <v>45993</v>
      </c>
      <c r="D64" s="77">
        <f t="shared" si="1"/>
        <v>45977</v>
      </c>
      <c r="E64" s="77">
        <f t="shared" si="2"/>
        <v>45984</v>
      </c>
      <c r="F64" s="77">
        <f t="shared" si="3"/>
        <v>45990</v>
      </c>
      <c r="G64" s="77">
        <f t="shared" si="4"/>
        <v>45978</v>
      </c>
      <c r="H64" s="77">
        <f t="shared" si="5"/>
        <v>45985</v>
      </c>
      <c r="I64" s="77">
        <v>45999</v>
      </c>
      <c r="J64" s="78">
        <f t="shared" si="8"/>
        <v>29</v>
      </c>
      <c r="K64" s="25">
        <v>7.21</v>
      </c>
      <c r="L64" s="25">
        <v>3.42</v>
      </c>
      <c r="M64" s="25">
        <f t="shared" si="7"/>
        <v>3.79</v>
      </c>
      <c r="N64" s="25" t="s">
        <v>592</v>
      </c>
    </row>
    <row r="65" spans="1:14" x14ac:dyDescent="0.25">
      <c r="A65" s="77">
        <v>45970</v>
      </c>
      <c r="B65" s="25" t="s">
        <v>489</v>
      </c>
      <c r="C65" s="77">
        <f t="shared" si="0"/>
        <v>45993</v>
      </c>
      <c r="D65" s="77">
        <f t="shared" si="1"/>
        <v>45977</v>
      </c>
      <c r="E65" s="77">
        <f t="shared" si="2"/>
        <v>45984</v>
      </c>
      <c r="F65" s="77">
        <f t="shared" si="3"/>
        <v>45990</v>
      </c>
      <c r="G65" s="77">
        <f t="shared" si="4"/>
        <v>45978</v>
      </c>
      <c r="H65" s="77">
        <f t="shared" si="5"/>
        <v>45985</v>
      </c>
      <c r="I65" s="77">
        <v>45999</v>
      </c>
      <c r="J65" s="78">
        <f t="shared" si="8"/>
        <v>29</v>
      </c>
      <c r="K65" s="25">
        <v>6.13</v>
      </c>
      <c r="L65" s="25">
        <v>3.28</v>
      </c>
      <c r="M65" s="25">
        <f t="shared" si="7"/>
        <v>2.85</v>
      </c>
      <c r="N65" s="25" t="s">
        <v>592</v>
      </c>
    </row>
    <row r="66" spans="1:14" x14ac:dyDescent="0.25">
      <c r="A66" s="77">
        <v>45971</v>
      </c>
      <c r="B66" s="25" t="s">
        <v>490</v>
      </c>
      <c r="C66" s="77">
        <f t="shared" si="0"/>
        <v>45994</v>
      </c>
      <c r="D66" s="77">
        <f t="shared" si="1"/>
        <v>45978</v>
      </c>
      <c r="E66" s="77">
        <f t="shared" si="2"/>
        <v>45985</v>
      </c>
      <c r="F66" s="77">
        <f t="shared" si="3"/>
        <v>45991</v>
      </c>
      <c r="G66" s="77">
        <f t="shared" si="4"/>
        <v>45979</v>
      </c>
      <c r="H66" s="77">
        <f t="shared" si="5"/>
        <v>45986</v>
      </c>
      <c r="I66" s="77">
        <v>45999</v>
      </c>
      <c r="J66" s="78">
        <f t="shared" si="8"/>
        <v>28</v>
      </c>
      <c r="K66" s="25">
        <v>13.21</v>
      </c>
      <c r="L66" s="25">
        <v>6.51</v>
      </c>
      <c r="M66" s="25">
        <f t="shared" si="7"/>
        <v>6.7000000000000011</v>
      </c>
      <c r="N66" s="25" t="s">
        <v>592</v>
      </c>
    </row>
    <row r="67" spans="1:14" x14ac:dyDescent="0.25">
      <c r="A67" s="77">
        <v>45971</v>
      </c>
      <c r="B67" s="25" t="s">
        <v>491</v>
      </c>
      <c r="C67" s="77">
        <f t="shared" ref="C67:C130" si="9">A67+23</f>
        <v>45994</v>
      </c>
      <c r="D67" s="77">
        <f t="shared" ref="D67:D130" si="10">A67+7</f>
        <v>45978</v>
      </c>
      <c r="E67" s="77">
        <f t="shared" ref="E67:E130" si="11">A67+14</f>
        <v>45985</v>
      </c>
      <c r="F67" s="77">
        <f t="shared" ref="F67:F130" si="12">A67+20</f>
        <v>45991</v>
      </c>
      <c r="G67" s="77">
        <f t="shared" ref="G67:G130" si="13">A67+8</f>
        <v>45979</v>
      </c>
      <c r="H67" s="77">
        <f t="shared" ref="H67:H130" si="14">A67+15</f>
        <v>45986</v>
      </c>
      <c r="I67" s="77">
        <v>45999</v>
      </c>
      <c r="J67" s="78">
        <f t="shared" ref="J67:J98" si="15">I67-A67</f>
        <v>28</v>
      </c>
      <c r="K67" s="25">
        <v>14.17</v>
      </c>
      <c r="L67" s="25">
        <v>8.17</v>
      </c>
      <c r="M67" s="25">
        <f t="shared" ref="M67:M133" si="16">K67-L67</f>
        <v>6</v>
      </c>
      <c r="N67" s="25" t="s">
        <v>592</v>
      </c>
    </row>
    <row r="68" spans="1:14" x14ac:dyDescent="0.25">
      <c r="A68" s="77">
        <v>45971</v>
      </c>
      <c r="B68" s="25" t="s">
        <v>492</v>
      </c>
      <c r="C68" s="77">
        <f t="shared" si="9"/>
        <v>45994</v>
      </c>
      <c r="D68" s="77">
        <f t="shared" si="10"/>
        <v>45978</v>
      </c>
      <c r="E68" s="77">
        <f t="shared" si="11"/>
        <v>45985</v>
      </c>
      <c r="F68" s="77">
        <f t="shared" si="12"/>
        <v>45991</v>
      </c>
      <c r="G68" s="77">
        <f t="shared" si="13"/>
        <v>45979</v>
      </c>
      <c r="H68" s="77">
        <f t="shared" si="14"/>
        <v>45986</v>
      </c>
      <c r="I68" s="77">
        <v>45999</v>
      </c>
      <c r="J68" s="78">
        <f t="shared" si="15"/>
        <v>28</v>
      </c>
      <c r="K68" s="25">
        <v>14.36</v>
      </c>
      <c r="L68" s="25">
        <v>8.24</v>
      </c>
      <c r="M68" s="25">
        <f t="shared" si="16"/>
        <v>6.1199999999999992</v>
      </c>
      <c r="N68" s="25" t="s">
        <v>592</v>
      </c>
    </row>
    <row r="69" spans="1:14" x14ac:dyDescent="0.25">
      <c r="A69" s="77">
        <v>45971</v>
      </c>
      <c r="B69" s="25" t="s">
        <v>493</v>
      </c>
      <c r="C69" s="77">
        <f t="shared" si="9"/>
        <v>45994</v>
      </c>
      <c r="D69" s="77">
        <f t="shared" si="10"/>
        <v>45978</v>
      </c>
      <c r="E69" s="77">
        <f t="shared" si="11"/>
        <v>45985</v>
      </c>
      <c r="F69" s="77">
        <f t="shared" si="12"/>
        <v>45991</v>
      </c>
      <c r="G69" s="77">
        <f t="shared" si="13"/>
        <v>45979</v>
      </c>
      <c r="H69" s="77">
        <f t="shared" si="14"/>
        <v>45986</v>
      </c>
      <c r="I69" s="77">
        <v>45999</v>
      </c>
      <c r="J69" s="78">
        <f t="shared" si="15"/>
        <v>28</v>
      </c>
      <c r="K69" s="25">
        <v>12.71</v>
      </c>
      <c r="L69" s="25">
        <v>11.28</v>
      </c>
      <c r="M69" s="25">
        <f t="shared" si="16"/>
        <v>1.4300000000000015</v>
      </c>
      <c r="N69" s="25" t="s">
        <v>593</v>
      </c>
    </row>
    <row r="70" spans="1:14" x14ac:dyDescent="0.25">
      <c r="A70" s="77">
        <v>45971</v>
      </c>
      <c r="B70" s="25" t="s">
        <v>494</v>
      </c>
      <c r="C70" s="77">
        <f t="shared" si="9"/>
        <v>45994</v>
      </c>
      <c r="D70" s="77">
        <f t="shared" si="10"/>
        <v>45978</v>
      </c>
      <c r="E70" s="77">
        <f t="shared" si="11"/>
        <v>45985</v>
      </c>
      <c r="F70" s="77">
        <f t="shared" si="12"/>
        <v>45991</v>
      </c>
      <c r="G70" s="77">
        <f t="shared" si="13"/>
        <v>45979</v>
      </c>
      <c r="H70" s="77">
        <f t="shared" si="14"/>
        <v>45986</v>
      </c>
      <c r="I70" s="77">
        <v>45999</v>
      </c>
      <c r="J70" s="78">
        <f t="shared" si="15"/>
        <v>28</v>
      </c>
      <c r="K70" s="25">
        <v>13.9</v>
      </c>
      <c r="L70" s="25">
        <v>12.01</v>
      </c>
      <c r="M70" s="25">
        <f t="shared" si="16"/>
        <v>1.8900000000000006</v>
      </c>
      <c r="N70" s="25" t="s">
        <v>593</v>
      </c>
    </row>
    <row r="71" spans="1:14" x14ac:dyDescent="0.25">
      <c r="A71" s="77">
        <v>45971</v>
      </c>
      <c r="B71" s="25" t="s">
        <v>495</v>
      </c>
      <c r="C71" s="77">
        <f t="shared" si="9"/>
        <v>45994</v>
      </c>
      <c r="D71" s="77">
        <f t="shared" si="10"/>
        <v>45978</v>
      </c>
      <c r="E71" s="77">
        <f t="shared" si="11"/>
        <v>45985</v>
      </c>
      <c r="F71" s="77">
        <f t="shared" si="12"/>
        <v>45991</v>
      </c>
      <c r="G71" s="77">
        <f t="shared" si="13"/>
        <v>45979</v>
      </c>
      <c r="H71" s="77">
        <f t="shared" si="14"/>
        <v>45986</v>
      </c>
      <c r="I71" s="77">
        <v>45999</v>
      </c>
      <c r="J71" s="78">
        <f t="shared" si="15"/>
        <v>28</v>
      </c>
      <c r="K71" s="25">
        <v>10.77</v>
      </c>
      <c r="L71" s="25">
        <v>9.06</v>
      </c>
      <c r="M71" s="25">
        <f t="shared" si="16"/>
        <v>1.7099999999999991</v>
      </c>
      <c r="N71" s="25" t="s">
        <v>593</v>
      </c>
    </row>
    <row r="72" spans="1:14" x14ac:dyDescent="0.25">
      <c r="A72" s="77">
        <v>45971</v>
      </c>
      <c r="B72" s="25" t="s">
        <v>496</v>
      </c>
      <c r="C72" s="77">
        <f t="shared" si="9"/>
        <v>45994</v>
      </c>
      <c r="D72" s="77">
        <f t="shared" si="10"/>
        <v>45978</v>
      </c>
      <c r="E72" s="77">
        <f t="shared" si="11"/>
        <v>45985</v>
      </c>
      <c r="F72" s="77">
        <f t="shared" si="12"/>
        <v>45991</v>
      </c>
      <c r="G72" s="77">
        <f t="shared" si="13"/>
        <v>45979</v>
      </c>
      <c r="H72" s="77">
        <f t="shared" si="14"/>
        <v>45986</v>
      </c>
      <c r="I72" s="77">
        <v>45999</v>
      </c>
      <c r="J72" s="78">
        <f t="shared" si="15"/>
        <v>28</v>
      </c>
      <c r="K72" s="25">
        <v>11.28</v>
      </c>
      <c r="L72" s="25">
        <v>10.51</v>
      </c>
      <c r="M72" s="25">
        <f t="shared" si="16"/>
        <v>0.76999999999999957</v>
      </c>
      <c r="N72" s="25" t="s">
        <v>593</v>
      </c>
    </row>
    <row r="73" spans="1:14" x14ac:dyDescent="0.25">
      <c r="A73" s="77">
        <v>45972</v>
      </c>
      <c r="B73" s="25" t="s">
        <v>497</v>
      </c>
      <c r="C73" s="77">
        <f t="shared" si="9"/>
        <v>45995</v>
      </c>
      <c r="D73" s="77">
        <f t="shared" si="10"/>
        <v>45979</v>
      </c>
      <c r="E73" s="77">
        <f t="shared" si="11"/>
        <v>45986</v>
      </c>
      <c r="F73" s="77">
        <f t="shared" si="12"/>
        <v>45992</v>
      </c>
      <c r="G73" s="77">
        <f t="shared" si="13"/>
        <v>45980</v>
      </c>
      <c r="H73" s="77">
        <f t="shared" si="14"/>
        <v>45987</v>
      </c>
      <c r="I73" s="77">
        <v>45999</v>
      </c>
      <c r="J73" s="78">
        <f t="shared" si="15"/>
        <v>27</v>
      </c>
      <c r="K73" s="25">
        <v>9.64</v>
      </c>
      <c r="L73" s="25">
        <v>8.1199999999999992</v>
      </c>
      <c r="M73" s="25">
        <f t="shared" si="16"/>
        <v>1.5200000000000014</v>
      </c>
      <c r="N73" s="25" t="s">
        <v>593</v>
      </c>
    </row>
    <row r="74" spans="1:14" x14ac:dyDescent="0.25">
      <c r="A74" s="77">
        <v>45972</v>
      </c>
      <c r="B74" s="25" t="s">
        <v>498</v>
      </c>
      <c r="C74" s="77">
        <f t="shared" si="9"/>
        <v>45995</v>
      </c>
      <c r="D74" s="77">
        <f t="shared" si="10"/>
        <v>45979</v>
      </c>
      <c r="E74" s="77">
        <f t="shared" si="11"/>
        <v>45986</v>
      </c>
      <c r="F74" s="77">
        <f t="shared" si="12"/>
        <v>45992</v>
      </c>
      <c r="G74" s="77">
        <f t="shared" si="13"/>
        <v>45980</v>
      </c>
      <c r="H74" s="77">
        <f t="shared" si="14"/>
        <v>45987</v>
      </c>
      <c r="I74" s="77">
        <v>46000</v>
      </c>
      <c r="J74" s="78">
        <f t="shared" si="15"/>
        <v>28</v>
      </c>
      <c r="K74" s="25">
        <v>12.72</v>
      </c>
      <c r="L74" s="25">
        <v>6.36</v>
      </c>
      <c r="M74" s="25">
        <f t="shared" si="16"/>
        <v>6.36</v>
      </c>
      <c r="N74" s="25" t="s">
        <v>592</v>
      </c>
    </row>
    <row r="75" spans="1:14" x14ac:dyDescent="0.25">
      <c r="A75" s="77">
        <v>45972</v>
      </c>
      <c r="B75" s="25" t="s">
        <v>499</v>
      </c>
      <c r="C75" s="77">
        <f t="shared" si="9"/>
        <v>45995</v>
      </c>
      <c r="D75" s="77">
        <f t="shared" si="10"/>
        <v>45979</v>
      </c>
      <c r="E75" s="77">
        <f t="shared" si="11"/>
        <v>45986</v>
      </c>
      <c r="F75" s="77">
        <f t="shared" si="12"/>
        <v>45992</v>
      </c>
      <c r="G75" s="77">
        <f t="shared" si="13"/>
        <v>45980</v>
      </c>
      <c r="H75" s="77">
        <f t="shared" si="14"/>
        <v>45987</v>
      </c>
      <c r="I75" s="77">
        <v>46000</v>
      </c>
      <c r="J75" s="78">
        <f t="shared" si="15"/>
        <v>28</v>
      </c>
      <c r="K75" s="25">
        <v>8.32</v>
      </c>
      <c r="L75" s="25">
        <v>4.1900000000000004</v>
      </c>
      <c r="M75" s="25">
        <f t="shared" si="16"/>
        <v>4.13</v>
      </c>
      <c r="N75" s="25" t="s">
        <v>592</v>
      </c>
    </row>
    <row r="76" spans="1:14" x14ac:dyDescent="0.25">
      <c r="A76" s="77">
        <v>45972</v>
      </c>
      <c r="B76" s="25" t="s">
        <v>500</v>
      </c>
      <c r="C76" s="77">
        <f t="shared" si="9"/>
        <v>45995</v>
      </c>
      <c r="D76" s="77">
        <f t="shared" si="10"/>
        <v>45979</v>
      </c>
      <c r="E76" s="77">
        <f t="shared" si="11"/>
        <v>45986</v>
      </c>
      <c r="F76" s="77">
        <f t="shared" si="12"/>
        <v>45992</v>
      </c>
      <c r="G76" s="77">
        <f t="shared" si="13"/>
        <v>45980</v>
      </c>
      <c r="H76" s="77">
        <f t="shared" si="14"/>
        <v>45987</v>
      </c>
      <c r="I76" s="77">
        <v>46000</v>
      </c>
      <c r="J76" s="78">
        <f t="shared" si="15"/>
        <v>28</v>
      </c>
      <c r="K76" s="25">
        <v>11.98</v>
      </c>
      <c r="L76" s="25">
        <v>7.94</v>
      </c>
      <c r="M76" s="25">
        <f t="shared" si="16"/>
        <v>4.04</v>
      </c>
      <c r="N76" s="25" t="s">
        <v>592</v>
      </c>
    </row>
    <row r="77" spans="1:14" x14ac:dyDescent="0.25">
      <c r="A77" s="77">
        <v>45972</v>
      </c>
      <c r="B77" s="25" t="s">
        <v>501</v>
      </c>
      <c r="C77" s="77">
        <f t="shared" si="9"/>
        <v>45995</v>
      </c>
      <c r="D77" s="77">
        <f t="shared" si="10"/>
        <v>45979</v>
      </c>
      <c r="E77" s="77">
        <f t="shared" si="11"/>
        <v>45986</v>
      </c>
      <c r="F77" s="77">
        <f t="shared" si="12"/>
        <v>45992</v>
      </c>
      <c r="G77" s="77">
        <f t="shared" si="13"/>
        <v>45980</v>
      </c>
      <c r="H77" s="77">
        <f t="shared" si="14"/>
        <v>45987</v>
      </c>
      <c r="I77" s="77">
        <v>46000</v>
      </c>
      <c r="J77" s="78">
        <f t="shared" si="15"/>
        <v>28</v>
      </c>
      <c r="K77" s="25">
        <v>9.1199999999999992</v>
      </c>
      <c r="L77" s="25">
        <v>6.7</v>
      </c>
      <c r="M77" s="25">
        <f t="shared" si="16"/>
        <v>2.419999999999999</v>
      </c>
      <c r="N77" s="25" t="s">
        <v>593</v>
      </c>
    </row>
    <row r="78" spans="1:14" x14ac:dyDescent="0.25">
      <c r="A78" s="77">
        <v>45972</v>
      </c>
      <c r="B78" s="25" t="s">
        <v>502</v>
      </c>
      <c r="C78" s="77">
        <f t="shared" si="9"/>
        <v>45995</v>
      </c>
      <c r="D78" s="77">
        <f t="shared" si="10"/>
        <v>45979</v>
      </c>
      <c r="E78" s="77">
        <f t="shared" si="11"/>
        <v>45986</v>
      </c>
      <c r="F78" s="77">
        <f t="shared" si="12"/>
        <v>45992</v>
      </c>
      <c r="G78" s="77">
        <f t="shared" si="13"/>
        <v>45980</v>
      </c>
      <c r="H78" s="77">
        <f t="shared" si="14"/>
        <v>45987</v>
      </c>
      <c r="I78" s="77">
        <v>46000</v>
      </c>
      <c r="J78" s="78">
        <f t="shared" si="15"/>
        <v>28</v>
      </c>
      <c r="K78" s="25">
        <v>5.32</v>
      </c>
      <c r="L78" s="25">
        <v>4.12</v>
      </c>
      <c r="M78" s="25">
        <f t="shared" si="16"/>
        <v>1.2000000000000002</v>
      </c>
      <c r="N78" s="25" t="s">
        <v>593</v>
      </c>
    </row>
    <row r="79" spans="1:14" x14ac:dyDescent="0.25">
      <c r="A79" s="77">
        <v>45972</v>
      </c>
      <c r="B79" s="25" t="s">
        <v>503</v>
      </c>
      <c r="C79" s="77">
        <f t="shared" si="9"/>
        <v>45995</v>
      </c>
      <c r="D79" s="77">
        <f t="shared" si="10"/>
        <v>45979</v>
      </c>
      <c r="E79" s="77">
        <f t="shared" si="11"/>
        <v>45986</v>
      </c>
      <c r="F79" s="77">
        <f t="shared" si="12"/>
        <v>45992</v>
      </c>
      <c r="G79" s="77">
        <f t="shared" si="13"/>
        <v>45980</v>
      </c>
      <c r="H79" s="77">
        <f t="shared" si="14"/>
        <v>45987</v>
      </c>
      <c r="I79" s="77">
        <v>46000</v>
      </c>
      <c r="J79" s="78">
        <f t="shared" si="15"/>
        <v>28</v>
      </c>
      <c r="K79" s="25">
        <v>8.58</v>
      </c>
      <c r="L79" s="25">
        <v>6.29</v>
      </c>
      <c r="M79" s="25">
        <f t="shared" si="16"/>
        <v>2.29</v>
      </c>
      <c r="N79" s="25" t="s">
        <v>593</v>
      </c>
    </row>
    <row r="80" spans="1:14" x14ac:dyDescent="0.25">
      <c r="A80" s="77">
        <v>45973</v>
      </c>
      <c r="B80" s="25" t="s">
        <v>504</v>
      </c>
      <c r="C80" s="77">
        <f t="shared" si="9"/>
        <v>45996</v>
      </c>
      <c r="D80" s="77">
        <f t="shared" si="10"/>
        <v>45980</v>
      </c>
      <c r="E80" s="77">
        <f t="shared" si="11"/>
        <v>45987</v>
      </c>
      <c r="F80" s="77">
        <f t="shared" si="12"/>
        <v>45993</v>
      </c>
      <c r="G80" s="77">
        <f t="shared" si="13"/>
        <v>45981</v>
      </c>
      <c r="H80" s="77">
        <f t="shared" si="14"/>
        <v>45988</v>
      </c>
      <c r="I80" s="77">
        <v>46000</v>
      </c>
      <c r="J80" s="78">
        <f t="shared" si="15"/>
        <v>27</v>
      </c>
      <c r="K80" s="25">
        <v>9.23</v>
      </c>
      <c r="L80" s="25">
        <v>5.23</v>
      </c>
      <c r="M80" s="25">
        <f t="shared" si="16"/>
        <v>4</v>
      </c>
      <c r="N80" s="25" t="s">
        <v>593</v>
      </c>
    </row>
    <row r="81" spans="1:14" x14ac:dyDescent="0.25">
      <c r="A81" s="77">
        <v>45973</v>
      </c>
      <c r="B81" s="25" t="s">
        <v>505</v>
      </c>
      <c r="C81" s="77">
        <f t="shared" si="9"/>
        <v>45996</v>
      </c>
      <c r="D81" s="77">
        <f t="shared" si="10"/>
        <v>45980</v>
      </c>
      <c r="E81" s="77">
        <f t="shared" si="11"/>
        <v>45987</v>
      </c>
      <c r="F81" s="77">
        <f t="shared" si="12"/>
        <v>45993</v>
      </c>
      <c r="G81" s="77">
        <f t="shared" si="13"/>
        <v>45981</v>
      </c>
      <c r="H81" s="77">
        <f t="shared" si="14"/>
        <v>45988</v>
      </c>
      <c r="I81" s="77">
        <v>46001</v>
      </c>
      <c r="J81" s="78">
        <f t="shared" si="15"/>
        <v>28</v>
      </c>
      <c r="K81" s="25">
        <v>12.21</v>
      </c>
      <c r="L81" s="25">
        <v>6.01</v>
      </c>
      <c r="M81" s="25">
        <f t="shared" si="16"/>
        <v>6.2000000000000011</v>
      </c>
      <c r="N81" s="25" t="s">
        <v>592</v>
      </c>
    </row>
    <row r="82" spans="1:14" x14ac:dyDescent="0.25">
      <c r="A82" s="77">
        <v>45973</v>
      </c>
      <c r="B82" s="25" t="s">
        <v>506</v>
      </c>
      <c r="C82" s="77">
        <f t="shared" si="9"/>
        <v>45996</v>
      </c>
      <c r="D82" s="77">
        <f t="shared" si="10"/>
        <v>45980</v>
      </c>
      <c r="E82" s="77">
        <f t="shared" si="11"/>
        <v>45987</v>
      </c>
      <c r="F82" s="77">
        <f t="shared" si="12"/>
        <v>45993</v>
      </c>
      <c r="G82" s="77">
        <f t="shared" si="13"/>
        <v>45981</v>
      </c>
      <c r="H82" s="77">
        <f t="shared" si="14"/>
        <v>45988</v>
      </c>
      <c r="I82" s="77">
        <v>46001</v>
      </c>
      <c r="J82" s="78">
        <f t="shared" si="15"/>
        <v>28</v>
      </c>
      <c r="K82" s="25">
        <v>12.57</v>
      </c>
      <c r="L82" s="25">
        <v>6.24</v>
      </c>
      <c r="M82" s="25">
        <f t="shared" si="16"/>
        <v>6.33</v>
      </c>
      <c r="N82" s="25" t="s">
        <v>592</v>
      </c>
    </row>
    <row r="83" spans="1:14" x14ac:dyDescent="0.25">
      <c r="A83" s="77">
        <v>45973</v>
      </c>
      <c r="B83" s="25" t="s">
        <v>507</v>
      </c>
      <c r="C83" s="77">
        <f t="shared" si="9"/>
        <v>45996</v>
      </c>
      <c r="D83" s="77">
        <f t="shared" si="10"/>
        <v>45980</v>
      </c>
      <c r="E83" s="77">
        <f t="shared" si="11"/>
        <v>45987</v>
      </c>
      <c r="F83" s="77">
        <f t="shared" si="12"/>
        <v>45993</v>
      </c>
      <c r="G83" s="77">
        <f t="shared" si="13"/>
        <v>45981</v>
      </c>
      <c r="H83" s="77">
        <f t="shared" si="14"/>
        <v>45988</v>
      </c>
      <c r="I83" s="77">
        <v>46001</v>
      </c>
      <c r="J83" s="78">
        <f t="shared" si="15"/>
        <v>28</v>
      </c>
      <c r="K83" s="25">
        <v>11.12</v>
      </c>
      <c r="L83" s="25">
        <v>5.17</v>
      </c>
      <c r="M83" s="25">
        <f t="shared" si="16"/>
        <v>5.9499999999999993</v>
      </c>
      <c r="N83" s="25" t="s">
        <v>592</v>
      </c>
    </row>
    <row r="84" spans="1:14" x14ac:dyDescent="0.25">
      <c r="A84" s="77">
        <v>45973</v>
      </c>
      <c r="B84" s="25" t="s">
        <v>508</v>
      </c>
      <c r="C84" s="77">
        <f t="shared" si="9"/>
        <v>45996</v>
      </c>
      <c r="D84" s="77">
        <f t="shared" si="10"/>
        <v>45980</v>
      </c>
      <c r="E84" s="77">
        <f t="shared" si="11"/>
        <v>45987</v>
      </c>
      <c r="F84" s="77">
        <f t="shared" si="12"/>
        <v>45993</v>
      </c>
      <c r="G84" s="77">
        <f t="shared" si="13"/>
        <v>45981</v>
      </c>
      <c r="H84" s="77">
        <f t="shared" si="14"/>
        <v>45988</v>
      </c>
      <c r="I84" s="77">
        <v>46001</v>
      </c>
      <c r="J84" s="78">
        <f t="shared" si="15"/>
        <v>28</v>
      </c>
      <c r="K84" s="25">
        <v>11.63</v>
      </c>
      <c r="L84" s="25">
        <v>10.210000000000001</v>
      </c>
      <c r="M84" s="25">
        <f t="shared" si="16"/>
        <v>1.42</v>
      </c>
      <c r="N84" s="25" t="s">
        <v>593</v>
      </c>
    </row>
    <row r="85" spans="1:14" x14ac:dyDescent="0.25">
      <c r="A85" s="77">
        <v>45973</v>
      </c>
      <c r="B85" s="25" t="s">
        <v>509</v>
      </c>
      <c r="C85" s="77">
        <f t="shared" si="9"/>
        <v>45996</v>
      </c>
      <c r="D85" s="77">
        <f t="shared" si="10"/>
        <v>45980</v>
      </c>
      <c r="E85" s="77">
        <f t="shared" si="11"/>
        <v>45987</v>
      </c>
      <c r="F85" s="77">
        <f t="shared" si="12"/>
        <v>45993</v>
      </c>
      <c r="G85" s="77">
        <f t="shared" si="13"/>
        <v>45981</v>
      </c>
      <c r="H85" s="77">
        <f t="shared" si="14"/>
        <v>45988</v>
      </c>
      <c r="I85" s="77">
        <v>46001</v>
      </c>
      <c r="J85" s="78">
        <f t="shared" si="15"/>
        <v>28</v>
      </c>
      <c r="K85" s="25">
        <v>10.71</v>
      </c>
      <c r="L85" s="25">
        <v>9.89</v>
      </c>
      <c r="M85" s="25">
        <f t="shared" si="16"/>
        <v>0.82000000000000028</v>
      </c>
      <c r="N85" s="25" t="s">
        <v>593</v>
      </c>
    </row>
    <row r="86" spans="1:14" x14ac:dyDescent="0.25">
      <c r="A86" s="77">
        <v>45973</v>
      </c>
      <c r="B86" s="25" t="s">
        <v>510</v>
      </c>
      <c r="C86" s="77">
        <f t="shared" si="9"/>
        <v>45996</v>
      </c>
      <c r="D86" s="77">
        <f t="shared" si="10"/>
        <v>45980</v>
      </c>
      <c r="E86" s="77">
        <f t="shared" si="11"/>
        <v>45987</v>
      </c>
      <c r="F86" s="77">
        <f t="shared" si="12"/>
        <v>45993</v>
      </c>
      <c r="G86" s="77">
        <f t="shared" si="13"/>
        <v>45981</v>
      </c>
      <c r="H86" s="77">
        <f t="shared" si="14"/>
        <v>45988</v>
      </c>
      <c r="I86" s="77">
        <v>46001</v>
      </c>
      <c r="J86" s="78">
        <f t="shared" si="15"/>
        <v>28</v>
      </c>
      <c r="K86" s="25">
        <v>10.66</v>
      </c>
      <c r="L86" s="25">
        <v>9.27</v>
      </c>
      <c r="M86" s="25">
        <f t="shared" si="16"/>
        <v>1.3900000000000006</v>
      </c>
      <c r="N86" s="25" t="s">
        <v>593</v>
      </c>
    </row>
    <row r="87" spans="1:14" x14ac:dyDescent="0.25">
      <c r="A87" s="77">
        <v>45974</v>
      </c>
      <c r="B87" s="25" t="s">
        <v>557</v>
      </c>
      <c r="C87" s="77">
        <f t="shared" si="9"/>
        <v>45997</v>
      </c>
      <c r="D87" s="77">
        <f t="shared" si="10"/>
        <v>45981</v>
      </c>
      <c r="E87" s="77">
        <f t="shared" si="11"/>
        <v>45988</v>
      </c>
      <c r="F87" s="77">
        <f t="shared" si="12"/>
        <v>45994</v>
      </c>
      <c r="G87" s="77">
        <f t="shared" si="13"/>
        <v>45982</v>
      </c>
      <c r="H87" s="77">
        <f t="shared" si="14"/>
        <v>45989</v>
      </c>
      <c r="I87" s="77">
        <v>46001</v>
      </c>
      <c r="J87" s="78">
        <f t="shared" si="15"/>
        <v>27</v>
      </c>
      <c r="K87" s="25">
        <v>15.82</v>
      </c>
      <c r="L87" s="25">
        <v>14.25</v>
      </c>
      <c r="M87" s="25">
        <f t="shared" si="16"/>
        <v>1.5700000000000003</v>
      </c>
      <c r="N87" s="25" t="s">
        <v>593</v>
      </c>
    </row>
    <row r="88" spans="1:14" x14ac:dyDescent="0.25">
      <c r="A88" s="77">
        <v>45974</v>
      </c>
      <c r="B88" s="25" t="s">
        <v>558</v>
      </c>
      <c r="C88" s="77">
        <f t="shared" si="9"/>
        <v>45997</v>
      </c>
      <c r="D88" s="77">
        <f t="shared" si="10"/>
        <v>45981</v>
      </c>
      <c r="E88" s="77">
        <f t="shared" si="11"/>
        <v>45988</v>
      </c>
      <c r="F88" s="77">
        <f t="shared" si="12"/>
        <v>45994</v>
      </c>
      <c r="G88" s="77">
        <f t="shared" si="13"/>
        <v>45982</v>
      </c>
      <c r="H88" s="77">
        <f t="shared" si="14"/>
        <v>45989</v>
      </c>
      <c r="I88" s="77">
        <v>46001</v>
      </c>
      <c r="J88" s="78">
        <f t="shared" si="15"/>
        <v>27</v>
      </c>
      <c r="K88" s="25">
        <v>16.89</v>
      </c>
      <c r="L88" s="25">
        <v>15.28</v>
      </c>
      <c r="M88" s="25">
        <f t="shared" si="16"/>
        <v>1.6100000000000012</v>
      </c>
      <c r="N88" s="25" t="s">
        <v>593</v>
      </c>
    </row>
    <row r="89" spans="1:14" x14ac:dyDescent="0.25">
      <c r="A89" s="77">
        <v>45974</v>
      </c>
      <c r="B89" s="25" t="s">
        <v>552</v>
      </c>
      <c r="C89" s="77">
        <f t="shared" si="9"/>
        <v>45997</v>
      </c>
      <c r="D89" s="77">
        <f t="shared" si="10"/>
        <v>45981</v>
      </c>
      <c r="E89" s="77">
        <f t="shared" si="11"/>
        <v>45988</v>
      </c>
      <c r="F89" s="77">
        <f t="shared" si="12"/>
        <v>45994</v>
      </c>
      <c r="G89" s="77">
        <f t="shared" si="13"/>
        <v>45982</v>
      </c>
      <c r="H89" s="77">
        <f t="shared" si="14"/>
        <v>45989</v>
      </c>
      <c r="I89" s="77">
        <v>46002</v>
      </c>
      <c r="J89" s="78">
        <f t="shared" si="15"/>
        <v>28</v>
      </c>
      <c r="K89" s="25">
        <v>13.73</v>
      </c>
      <c r="L89" s="25">
        <v>12.51</v>
      </c>
      <c r="M89" s="25">
        <f t="shared" si="16"/>
        <v>1.2200000000000006</v>
      </c>
      <c r="N89" s="25" t="s">
        <v>593</v>
      </c>
    </row>
    <row r="90" spans="1:14" x14ac:dyDescent="0.25">
      <c r="A90" s="77">
        <v>45974</v>
      </c>
      <c r="B90" s="25" t="s">
        <v>553</v>
      </c>
      <c r="C90" s="77">
        <f t="shared" si="9"/>
        <v>45997</v>
      </c>
      <c r="D90" s="77">
        <f t="shared" si="10"/>
        <v>45981</v>
      </c>
      <c r="E90" s="77">
        <f t="shared" si="11"/>
        <v>45988</v>
      </c>
      <c r="F90" s="77">
        <f t="shared" si="12"/>
        <v>45994</v>
      </c>
      <c r="G90" s="77">
        <f t="shared" si="13"/>
        <v>45982</v>
      </c>
      <c r="H90" s="77">
        <f t="shared" si="14"/>
        <v>45989</v>
      </c>
      <c r="I90" s="77">
        <v>46002</v>
      </c>
      <c r="J90" s="78">
        <f t="shared" si="15"/>
        <v>28</v>
      </c>
      <c r="K90" s="25">
        <v>14.51</v>
      </c>
      <c r="L90" s="25">
        <v>7.39</v>
      </c>
      <c r="M90" s="25">
        <f t="shared" si="16"/>
        <v>7.12</v>
      </c>
      <c r="N90" s="25" t="s">
        <v>592</v>
      </c>
    </row>
    <row r="91" spans="1:14" x14ac:dyDescent="0.25">
      <c r="A91" s="77">
        <v>45974</v>
      </c>
      <c r="B91" s="25" t="s">
        <v>554</v>
      </c>
      <c r="C91" s="77">
        <f t="shared" si="9"/>
        <v>45997</v>
      </c>
      <c r="D91" s="77">
        <f t="shared" si="10"/>
        <v>45981</v>
      </c>
      <c r="E91" s="77">
        <f t="shared" si="11"/>
        <v>45988</v>
      </c>
      <c r="F91" s="77">
        <f t="shared" si="12"/>
        <v>45994</v>
      </c>
      <c r="G91" s="77">
        <f t="shared" si="13"/>
        <v>45982</v>
      </c>
      <c r="H91" s="77">
        <f t="shared" si="14"/>
        <v>45989</v>
      </c>
      <c r="I91" s="77">
        <v>46002</v>
      </c>
      <c r="J91" s="78">
        <f t="shared" si="15"/>
        <v>28</v>
      </c>
      <c r="K91" s="25">
        <v>14.39</v>
      </c>
      <c r="L91" s="25">
        <v>7.21</v>
      </c>
      <c r="M91" s="25">
        <f t="shared" si="16"/>
        <v>7.1800000000000006</v>
      </c>
      <c r="N91" s="25" t="s">
        <v>592</v>
      </c>
    </row>
    <row r="92" spans="1:14" x14ac:dyDescent="0.25">
      <c r="A92" s="77">
        <v>45974</v>
      </c>
      <c r="B92" s="25" t="s">
        <v>555</v>
      </c>
      <c r="C92" s="77">
        <f t="shared" si="9"/>
        <v>45997</v>
      </c>
      <c r="D92" s="77">
        <f t="shared" si="10"/>
        <v>45981</v>
      </c>
      <c r="E92" s="77">
        <f t="shared" si="11"/>
        <v>45988</v>
      </c>
      <c r="F92" s="77">
        <f t="shared" si="12"/>
        <v>45994</v>
      </c>
      <c r="G92" s="77">
        <f t="shared" si="13"/>
        <v>45982</v>
      </c>
      <c r="H92" s="77">
        <f t="shared" si="14"/>
        <v>45989</v>
      </c>
      <c r="I92" s="77">
        <v>46002</v>
      </c>
      <c r="J92" s="78">
        <f t="shared" si="15"/>
        <v>28</v>
      </c>
      <c r="K92" s="25">
        <v>11.19</v>
      </c>
      <c r="L92" s="25">
        <v>5.15</v>
      </c>
      <c r="M92" s="25">
        <f t="shared" si="16"/>
        <v>6.0399999999999991</v>
      </c>
      <c r="N92" s="25" t="s">
        <v>592</v>
      </c>
    </row>
    <row r="93" spans="1:14" x14ac:dyDescent="0.25">
      <c r="A93" s="77">
        <v>45974</v>
      </c>
      <c r="B93" s="25" t="s">
        <v>556</v>
      </c>
      <c r="C93" s="77">
        <f t="shared" si="9"/>
        <v>45997</v>
      </c>
      <c r="D93" s="77">
        <f t="shared" si="10"/>
        <v>45981</v>
      </c>
      <c r="E93" s="77">
        <f t="shared" si="11"/>
        <v>45988</v>
      </c>
      <c r="F93" s="77">
        <f t="shared" si="12"/>
        <v>45994</v>
      </c>
      <c r="G93" s="77">
        <f t="shared" si="13"/>
        <v>45982</v>
      </c>
      <c r="H93" s="77">
        <f t="shared" si="14"/>
        <v>45989</v>
      </c>
      <c r="I93" s="77">
        <v>46002</v>
      </c>
      <c r="J93" s="78">
        <f t="shared" si="15"/>
        <v>28</v>
      </c>
      <c r="K93" s="25">
        <v>12.47</v>
      </c>
      <c r="L93" s="25">
        <v>6.28</v>
      </c>
      <c r="M93" s="25">
        <f t="shared" si="16"/>
        <v>6.19</v>
      </c>
      <c r="N93" s="25" t="s">
        <v>592</v>
      </c>
    </row>
    <row r="94" spans="1:14" x14ac:dyDescent="0.25">
      <c r="A94" s="77">
        <v>45975</v>
      </c>
      <c r="B94" s="25" t="s">
        <v>549</v>
      </c>
      <c r="C94" s="77">
        <f t="shared" si="9"/>
        <v>45998</v>
      </c>
      <c r="D94" s="77">
        <f t="shared" si="10"/>
        <v>45982</v>
      </c>
      <c r="E94" s="77">
        <f t="shared" si="11"/>
        <v>45989</v>
      </c>
      <c r="F94" s="77">
        <f t="shared" si="12"/>
        <v>45995</v>
      </c>
      <c r="G94" s="77">
        <f t="shared" si="13"/>
        <v>45983</v>
      </c>
      <c r="H94" s="77">
        <f t="shared" si="14"/>
        <v>45990</v>
      </c>
      <c r="I94" s="77">
        <v>46002</v>
      </c>
      <c r="J94" s="78">
        <f t="shared" si="15"/>
        <v>27</v>
      </c>
      <c r="K94" s="25">
        <v>13.66</v>
      </c>
      <c r="L94" s="25">
        <v>12.73</v>
      </c>
      <c r="M94" s="25">
        <f t="shared" si="16"/>
        <v>0.92999999999999972</v>
      </c>
      <c r="N94" s="25" t="s">
        <v>593</v>
      </c>
    </row>
    <row r="95" spans="1:14" x14ac:dyDescent="0.25">
      <c r="A95" s="77">
        <v>45975</v>
      </c>
      <c r="B95" s="25" t="s">
        <v>550</v>
      </c>
      <c r="C95" s="77">
        <f t="shared" si="9"/>
        <v>45998</v>
      </c>
      <c r="D95" s="77">
        <f t="shared" si="10"/>
        <v>45982</v>
      </c>
      <c r="E95" s="77">
        <f t="shared" si="11"/>
        <v>45989</v>
      </c>
      <c r="F95" s="77">
        <f t="shared" si="12"/>
        <v>45995</v>
      </c>
      <c r="G95" s="77">
        <f t="shared" si="13"/>
        <v>45983</v>
      </c>
      <c r="H95" s="77">
        <f t="shared" si="14"/>
        <v>45990</v>
      </c>
      <c r="I95" s="77">
        <v>46002</v>
      </c>
      <c r="J95" s="78">
        <f t="shared" si="15"/>
        <v>27</v>
      </c>
      <c r="K95" s="25">
        <v>15.17</v>
      </c>
      <c r="L95" s="25">
        <v>14.58</v>
      </c>
      <c r="M95" s="25">
        <f t="shared" si="16"/>
        <v>0.58999999999999986</v>
      </c>
      <c r="N95" s="25" t="s">
        <v>593</v>
      </c>
    </row>
    <row r="96" spans="1:14" x14ac:dyDescent="0.25">
      <c r="A96" s="77">
        <v>45975</v>
      </c>
      <c r="B96" s="25" t="s">
        <v>551</v>
      </c>
      <c r="C96" s="77">
        <f t="shared" si="9"/>
        <v>45998</v>
      </c>
      <c r="D96" s="77">
        <f t="shared" si="10"/>
        <v>45982</v>
      </c>
      <c r="E96" s="77">
        <f t="shared" si="11"/>
        <v>45989</v>
      </c>
      <c r="F96" s="77">
        <f t="shared" si="12"/>
        <v>45995</v>
      </c>
      <c r="G96" s="77">
        <f t="shared" si="13"/>
        <v>45983</v>
      </c>
      <c r="H96" s="77">
        <f t="shared" si="14"/>
        <v>45990</v>
      </c>
      <c r="I96" s="77">
        <v>46002</v>
      </c>
      <c r="J96" s="78">
        <f t="shared" si="15"/>
        <v>27</v>
      </c>
      <c r="K96" s="25">
        <v>14.25</v>
      </c>
      <c r="L96" s="25">
        <v>13.1</v>
      </c>
      <c r="M96" s="25">
        <f t="shared" si="16"/>
        <v>1.1500000000000004</v>
      </c>
      <c r="N96" s="25" t="s">
        <v>593</v>
      </c>
    </row>
    <row r="97" spans="1:14" x14ac:dyDescent="0.25">
      <c r="A97" s="77">
        <v>45975</v>
      </c>
      <c r="B97" s="25" t="s">
        <v>545</v>
      </c>
      <c r="C97" s="77">
        <f t="shared" si="9"/>
        <v>45998</v>
      </c>
      <c r="D97" s="77">
        <f t="shared" si="10"/>
        <v>45982</v>
      </c>
      <c r="E97" s="77">
        <f t="shared" si="11"/>
        <v>45989</v>
      </c>
      <c r="F97" s="77">
        <f t="shared" si="12"/>
        <v>45995</v>
      </c>
      <c r="G97" s="77">
        <f t="shared" si="13"/>
        <v>45983</v>
      </c>
      <c r="H97" s="77">
        <f t="shared" si="14"/>
        <v>45990</v>
      </c>
      <c r="I97" s="77">
        <v>46003</v>
      </c>
      <c r="J97" s="78">
        <f t="shared" si="15"/>
        <v>28</v>
      </c>
      <c r="K97" s="25">
        <v>10.98</v>
      </c>
      <c r="L97" s="25">
        <v>4.1100000000000003</v>
      </c>
      <c r="M97" s="25">
        <f t="shared" si="16"/>
        <v>6.87</v>
      </c>
      <c r="N97" s="25" t="s">
        <v>592</v>
      </c>
    </row>
    <row r="98" spans="1:14" x14ac:dyDescent="0.25">
      <c r="A98" s="77">
        <v>45975</v>
      </c>
      <c r="B98" s="25" t="s">
        <v>546</v>
      </c>
      <c r="C98" s="77">
        <f t="shared" si="9"/>
        <v>45998</v>
      </c>
      <c r="D98" s="77">
        <f t="shared" si="10"/>
        <v>45982</v>
      </c>
      <c r="E98" s="77">
        <f t="shared" si="11"/>
        <v>45989</v>
      </c>
      <c r="F98" s="77">
        <f t="shared" si="12"/>
        <v>45995</v>
      </c>
      <c r="G98" s="77">
        <f t="shared" si="13"/>
        <v>45983</v>
      </c>
      <c r="H98" s="77">
        <f t="shared" si="14"/>
        <v>45990</v>
      </c>
      <c r="I98" s="77">
        <v>46003</v>
      </c>
      <c r="J98" s="78">
        <f t="shared" si="15"/>
        <v>28</v>
      </c>
      <c r="K98" s="25">
        <v>11.61</v>
      </c>
      <c r="L98" s="25">
        <v>5.21</v>
      </c>
      <c r="M98" s="25">
        <f t="shared" si="16"/>
        <v>6.3999999999999995</v>
      </c>
      <c r="N98" s="25" t="s">
        <v>592</v>
      </c>
    </row>
    <row r="99" spans="1:14" x14ac:dyDescent="0.25">
      <c r="A99" s="77">
        <v>45975</v>
      </c>
      <c r="B99" s="25" t="s">
        <v>547</v>
      </c>
      <c r="C99" s="77">
        <f t="shared" si="9"/>
        <v>45998</v>
      </c>
      <c r="D99" s="77">
        <f t="shared" si="10"/>
        <v>45982</v>
      </c>
      <c r="E99" s="77">
        <f t="shared" si="11"/>
        <v>45989</v>
      </c>
      <c r="F99" s="77">
        <f t="shared" si="12"/>
        <v>45995</v>
      </c>
      <c r="G99" s="77">
        <f t="shared" si="13"/>
        <v>45983</v>
      </c>
      <c r="H99" s="77">
        <f t="shared" si="14"/>
        <v>45990</v>
      </c>
      <c r="I99" s="77">
        <v>46003</v>
      </c>
      <c r="J99" s="78">
        <f t="shared" ref="J99:J162" si="17">I99-A99</f>
        <v>28</v>
      </c>
      <c r="K99" s="25">
        <v>10.43</v>
      </c>
      <c r="L99" s="25">
        <v>4.6399999999999997</v>
      </c>
      <c r="M99" s="25">
        <f t="shared" si="16"/>
        <v>5.79</v>
      </c>
      <c r="N99" s="25" t="s">
        <v>592</v>
      </c>
    </row>
    <row r="100" spans="1:14" x14ac:dyDescent="0.25">
      <c r="A100" s="77">
        <v>45975</v>
      </c>
      <c r="B100" s="25" t="s">
        <v>548</v>
      </c>
      <c r="C100" s="77">
        <f t="shared" si="9"/>
        <v>45998</v>
      </c>
      <c r="D100" s="77">
        <f t="shared" si="10"/>
        <v>45982</v>
      </c>
      <c r="E100" s="77">
        <f t="shared" si="11"/>
        <v>45989</v>
      </c>
      <c r="F100" s="77">
        <f t="shared" si="12"/>
        <v>45995</v>
      </c>
      <c r="G100" s="77">
        <f t="shared" si="13"/>
        <v>45983</v>
      </c>
      <c r="H100" s="77">
        <f t="shared" si="14"/>
        <v>45990</v>
      </c>
      <c r="I100" s="77">
        <v>46003</v>
      </c>
      <c r="J100" s="78">
        <f t="shared" si="17"/>
        <v>28</v>
      </c>
      <c r="K100" s="25">
        <v>11.82</v>
      </c>
      <c r="L100" s="25">
        <v>5.71</v>
      </c>
      <c r="M100" s="25">
        <f t="shared" si="16"/>
        <v>6.11</v>
      </c>
      <c r="N100" s="25" t="s">
        <v>592</v>
      </c>
    </row>
    <row r="101" spans="1:14" x14ac:dyDescent="0.25">
      <c r="A101" s="77">
        <v>45976</v>
      </c>
      <c r="B101" s="25" t="s">
        <v>537</v>
      </c>
      <c r="C101" s="77">
        <f t="shared" si="9"/>
        <v>45999</v>
      </c>
      <c r="D101" s="77">
        <f t="shared" si="10"/>
        <v>45983</v>
      </c>
      <c r="E101" s="77">
        <f t="shared" si="11"/>
        <v>45990</v>
      </c>
      <c r="F101" s="77">
        <f t="shared" si="12"/>
        <v>45996</v>
      </c>
      <c r="G101" s="77">
        <f t="shared" si="13"/>
        <v>45984</v>
      </c>
      <c r="H101" s="77">
        <f t="shared" si="14"/>
        <v>45991</v>
      </c>
      <c r="I101" s="77">
        <v>46003</v>
      </c>
      <c r="J101" s="78">
        <f t="shared" si="17"/>
        <v>27</v>
      </c>
      <c r="K101" s="25">
        <v>9.76</v>
      </c>
      <c r="L101" s="25">
        <v>8.6199999999999992</v>
      </c>
      <c r="M101" s="25">
        <f t="shared" si="16"/>
        <v>1.1400000000000006</v>
      </c>
      <c r="N101" s="25" t="s">
        <v>593</v>
      </c>
    </row>
    <row r="102" spans="1:14" x14ac:dyDescent="0.25">
      <c r="A102" s="77">
        <v>45976</v>
      </c>
      <c r="B102" s="25" t="s">
        <v>538</v>
      </c>
      <c r="C102" s="77">
        <f t="shared" si="9"/>
        <v>45999</v>
      </c>
      <c r="D102" s="77">
        <f t="shared" si="10"/>
        <v>45983</v>
      </c>
      <c r="E102" s="77">
        <f t="shared" si="11"/>
        <v>45990</v>
      </c>
      <c r="F102" s="77">
        <f t="shared" si="12"/>
        <v>45996</v>
      </c>
      <c r="G102" s="77">
        <f t="shared" si="13"/>
        <v>45984</v>
      </c>
      <c r="H102" s="77">
        <f t="shared" si="14"/>
        <v>45991</v>
      </c>
      <c r="I102" s="77">
        <v>46003</v>
      </c>
      <c r="J102" s="78">
        <f t="shared" si="17"/>
        <v>27</v>
      </c>
      <c r="K102" s="25">
        <v>9.81</v>
      </c>
      <c r="L102" s="25">
        <v>8.76</v>
      </c>
      <c r="M102" s="25">
        <f t="shared" si="16"/>
        <v>1.0500000000000007</v>
      </c>
      <c r="N102" s="25" t="s">
        <v>593</v>
      </c>
    </row>
    <row r="103" spans="1:14" x14ac:dyDescent="0.25">
      <c r="A103" s="77">
        <v>45976</v>
      </c>
      <c r="B103" s="25" t="s">
        <v>539</v>
      </c>
      <c r="C103" s="77">
        <f t="shared" si="9"/>
        <v>45999</v>
      </c>
      <c r="D103" s="77">
        <f t="shared" si="10"/>
        <v>45983</v>
      </c>
      <c r="E103" s="77">
        <f t="shared" si="11"/>
        <v>45990</v>
      </c>
      <c r="F103" s="77">
        <f t="shared" si="12"/>
        <v>45996</v>
      </c>
      <c r="G103" s="77">
        <f t="shared" si="13"/>
        <v>45984</v>
      </c>
      <c r="H103" s="77">
        <f t="shared" si="14"/>
        <v>45991</v>
      </c>
      <c r="I103" s="77">
        <v>46003</v>
      </c>
      <c r="J103" s="78">
        <f t="shared" si="17"/>
        <v>27</v>
      </c>
      <c r="K103" s="25">
        <v>13.25</v>
      </c>
      <c r="L103" s="25">
        <v>12.15</v>
      </c>
      <c r="M103" s="25">
        <f t="shared" si="16"/>
        <v>1.0999999999999996</v>
      </c>
      <c r="N103" s="25" t="s">
        <v>593</v>
      </c>
    </row>
    <row r="104" spans="1:14" x14ac:dyDescent="0.25">
      <c r="A104" s="77">
        <v>45976</v>
      </c>
      <c r="B104" s="25" t="s">
        <v>540</v>
      </c>
      <c r="C104" s="77">
        <f t="shared" si="9"/>
        <v>45999</v>
      </c>
      <c r="D104" s="77">
        <f t="shared" si="10"/>
        <v>45983</v>
      </c>
      <c r="E104" s="77">
        <f t="shared" si="11"/>
        <v>45990</v>
      </c>
      <c r="F104" s="77">
        <f t="shared" si="12"/>
        <v>45996</v>
      </c>
      <c r="G104" s="77">
        <f t="shared" si="13"/>
        <v>45984</v>
      </c>
      <c r="H104" s="77">
        <f t="shared" si="14"/>
        <v>45991</v>
      </c>
      <c r="I104" s="77">
        <v>46003</v>
      </c>
      <c r="J104" s="78">
        <f t="shared" si="17"/>
        <v>27</v>
      </c>
      <c r="K104" s="25">
        <v>13.53</v>
      </c>
      <c r="L104" s="25">
        <v>12.37</v>
      </c>
      <c r="M104" s="25">
        <f t="shared" si="16"/>
        <v>1.1600000000000001</v>
      </c>
      <c r="N104" s="25" t="s">
        <v>593</v>
      </c>
    </row>
    <row r="105" spans="1:14" x14ac:dyDescent="0.25">
      <c r="A105" s="77">
        <v>45976</v>
      </c>
      <c r="B105" s="25" t="s">
        <v>541</v>
      </c>
      <c r="C105" s="77">
        <f t="shared" si="9"/>
        <v>45999</v>
      </c>
      <c r="D105" s="77">
        <f t="shared" si="10"/>
        <v>45983</v>
      </c>
      <c r="E105" s="77">
        <f t="shared" si="11"/>
        <v>45990</v>
      </c>
      <c r="F105" s="77">
        <f t="shared" si="12"/>
        <v>45996</v>
      </c>
      <c r="G105" s="77">
        <f t="shared" si="13"/>
        <v>45984</v>
      </c>
      <c r="H105" s="77">
        <f t="shared" si="14"/>
        <v>45991</v>
      </c>
      <c r="I105" s="77">
        <v>46003</v>
      </c>
      <c r="J105" s="78">
        <f t="shared" si="17"/>
        <v>27</v>
      </c>
      <c r="K105" s="25">
        <v>12.49</v>
      </c>
      <c r="L105" s="25">
        <v>11.21</v>
      </c>
      <c r="M105" s="25">
        <f t="shared" si="16"/>
        <v>1.2799999999999994</v>
      </c>
      <c r="N105" s="25" t="s">
        <v>593</v>
      </c>
    </row>
    <row r="106" spans="1:14" x14ac:dyDescent="0.25">
      <c r="A106" s="77">
        <v>45976</v>
      </c>
      <c r="B106" s="25" t="s">
        <v>542</v>
      </c>
      <c r="C106" s="77">
        <f t="shared" si="9"/>
        <v>45999</v>
      </c>
      <c r="D106" s="77">
        <f t="shared" si="10"/>
        <v>45983</v>
      </c>
      <c r="E106" s="77">
        <f t="shared" si="11"/>
        <v>45990</v>
      </c>
      <c r="F106" s="77">
        <f t="shared" si="12"/>
        <v>45996</v>
      </c>
      <c r="G106" s="77">
        <f t="shared" si="13"/>
        <v>45984</v>
      </c>
      <c r="H106" s="77">
        <f t="shared" si="14"/>
        <v>45991</v>
      </c>
      <c r="I106" s="77">
        <v>46003</v>
      </c>
      <c r="J106" s="78">
        <f t="shared" si="17"/>
        <v>27</v>
      </c>
      <c r="K106" s="25">
        <v>13.17</v>
      </c>
      <c r="L106" s="25">
        <v>12.56</v>
      </c>
      <c r="M106" s="25">
        <f t="shared" si="16"/>
        <v>0.60999999999999943</v>
      </c>
      <c r="N106" s="25" t="s">
        <v>593</v>
      </c>
    </row>
    <row r="107" spans="1:14" x14ac:dyDescent="0.25">
      <c r="A107" s="77">
        <v>45976</v>
      </c>
      <c r="B107" s="25" t="s">
        <v>543</v>
      </c>
      <c r="C107" s="77">
        <f t="shared" si="9"/>
        <v>45999</v>
      </c>
      <c r="D107" s="77">
        <f t="shared" si="10"/>
        <v>45983</v>
      </c>
      <c r="E107" s="77">
        <f t="shared" si="11"/>
        <v>45990</v>
      </c>
      <c r="F107" s="77">
        <f t="shared" si="12"/>
        <v>45996</v>
      </c>
      <c r="G107" s="77">
        <f t="shared" si="13"/>
        <v>45984</v>
      </c>
      <c r="H107" s="77">
        <f t="shared" si="14"/>
        <v>45991</v>
      </c>
      <c r="I107" s="77">
        <v>46003</v>
      </c>
      <c r="J107" s="78">
        <f t="shared" si="17"/>
        <v>27</v>
      </c>
      <c r="K107" s="25">
        <v>10.56</v>
      </c>
      <c r="L107" s="25">
        <v>4.71</v>
      </c>
      <c r="M107" s="25">
        <f t="shared" si="16"/>
        <v>5.8500000000000005</v>
      </c>
      <c r="N107" s="25" t="s">
        <v>593</v>
      </c>
    </row>
    <row r="108" spans="1:14" x14ac:dyDescent="0.25">
      <c r="A108" s="77">
        <v>45976</v>
      </c>
      <c r="B108" s="25" t="s">
        <v>544</v>
      </c>
      <c r="C108" s="77">
        <f t="shared" si="9"/>
        <v>45999</v>
      </c>
      <c r="D108" s="77">
        <f t="shared" si="10"/>
        <v>45983</v>
      </c>
      <c r="E108" s="77">
        <f t="shared" si="11"/>
        <v>45990</v>
      </c>
      <c r="F108" s="77">
        <f t="shared" si="12"/>
        <v>45996</v>
      </c>
      <c r="G108" s="77">
        <f t="shared" si="13"/>
        <v>45984</v>
      </c>
      <c r="H108" s="77">
        <f t="shared" si="14"/>
        <v>45991</v>
      </c>
      <c r="I108" s="77">
        <v>46003</v>
      </c>
      <c r="J108" s="78">
        <f t="shared" si="17"/>
        <v>27</v>
      </c>
      <c r="K108" s="25">
        <v>11.09</v>
      </c>
      <c r="L108" s="25">
        <v>5.04</v>
      </c>
      <c r="M108" s="25">
        <f t="shared" si="16"/>
        <v>6.05</v>
      </c>
      <c r="N108" s="25" t="s">
        <v>593</v>
      </c>
    </row>
    <row r="109" spans="1:14" x14ac:dyDescent="0.25">
      <c r="A109" s="77">
        <v>45977</v>
      </c>
      <c r="B109" s="25" t="s">
        <v>513</v>
      </c>
      <c r="C109" s="77">
        <f t="shared" si="9"/>
        <v>46000</v>
      </c>
      <c r="D109" s="77">
        <f t="shared" si="10"/>
        <v>45984</v>
      </c>
      <c r="E109" s="77">
        <f t="shared" si="11"/>
        <v>45991</v>
      </c>
      <c r="F109" s="77">
        <f t="shared" si="12"/>
        <v>45997</v>
      </c>
      <c r="G109" s="77">
        <f t="shared" si="13"/>
        <v>45985</v>
      </c>
      <c r="H109" s="77">
        <f t="shared" si="14"/>
        <v>45992</v>
      </c>
      <c r="I109" s="77">
        <v>46004</v>
      </c>
      <c r="J109" s="78">
        <f t="shared" si="17"/>
        <v>27</v>
      </c>
      <c r="K109" s="25">
        <v>12.55</v>
      </c>
      <c r="L109" s="25">
        <v>6.07</v>
      </c>
      <c r="M109" s="25">
        <f t="shared" si="16"/>
        <v>6.48</v>
      </c>
      <c r="N109" s="25" t="s">
        <v>592</v>
      </c>
    </row>
    <row r="110" spans="1:14" x14ac:dyDescent="0.25">
      <c r="A110" s="77">
        <v>45977</v>
      </c>
      <c r="B110" s="25" t="s">
        <v>514</v>
      </c>
      <c r="C110" s="77">
        <f t="shared" si="9"/>
        <v>46000</v>
      </c>
      <c r="D110" s="77">
        <f t="shared" si="10"/>
        <v>45984</v>
      </c>
      <c r="E110" s="77">
        <f t="shared" si="11"/>
        <v>45991</v>
      </c>
      <c r="F110" s="77">
        <f t="shared" si="12"/>
        <v>45997</v>
      </c>
      <c r="G110" s="77">
        <f t="shared" si="13"/>
        <v>45985</v>
      </c>
      <c r="H110" s="77">
        <f t="shared" si="14"/>
        <v>45992</v>
      </c>
      <c r="I110" s="77">
        <v>46004</v>
      </c>
      <c r="J110" s="78">
        <f t="shared" si="17"/>
        <v>27</v>
      </c>
      <c r="K110" s="25">
        <v>11.71</v>
      </c>
      <c r="L110" s="25">
        <v>5.58</v>
      </c>
      <c r="M110" s="25">
        <f t="shared" si="16"/>
        <v>6.1300000000000008</v>
      </c>
      <c r="N110" s="25" t="s">
        <v>592</v>
      </c>
    </row>
    <row r="111" spans="1:14" x14ac:dyDescent="0.25">
      <c r="A111" s="77">
        <v>45977</v>
      </c>
      <c r="B111" s="25" t="s">
        <v>515</v>
      </c>
      <c r="C111" s="77">
        <f t="shared" si="9"/>
        <v>46000</v>
      </c>
      <c r="D111" s="77">
        <f t="shared" si="10"/>
        <v>45984</v>
      </c>
      <c r="E111" s="77">
        <f t="shared" si="11"/>
        <v>45991</v>
      </c>
      <c r="F111" s="77">
        <f t="shared" si="12"/>
        <v>45997</v>
      </c>
      <c r="G111" s="77">
        <f t="shared" si="13"/>
        <v>45985</v>
      </c>
      <c r="H111" s="77">
        <f t="shared" si="14"/>
        <v>45992</v>
      </c>
      <c r="I111" s="77">
        <v>46004</v>
      </c>
      <c r="J111" s="78">
        <f t="shared" si="17"/>
        <v>27</v>
      </c>
      <c r="K111" s="25">
        <v>11.62</v>
      </c>
      <c r="L111" s="25">
        <v>5.22</v>
      </c>
      <c r="M111" s="25">
        <f t="shared" si="16"/>
        <v>6.3999999999999995</v>
      </c>
      <c r="N111" s="25" t="s">
        <v>592</v>
      </c>
    </row>
    <row r="112" spans="1:14" x14ac:dyDescent="0.25">
      <c r="A112" s="77">
        <v>45977</v>
      </c>
      <c r="B112" s="25" t="s">
        <v>516</v>
      </c>
      <c r="C112" s="77">
        <f t="shared" si="9"/>
        <v>46000</v>
      </c>
      <c r="D112" s="77">
        <f t="shared" si="10"/>
        <v>45984</v>
      </c>
      <c r="E112" s="77">
        <f t="shared" si="11"/>
        <v>45991</v>
      </c>
      <c r="F112" s="77">
        <f t="shared" si="12"/>
        <v>45997</v>
      </c>
      <c r="G112" s="77">
        <f t="shared" si="13"/>
        <v>45985</v>
      </c>
      <c r="H112" s="77">
        <f t="shared" si="14"/>
        <v>45992</v>
      </c>
      <c r="I112" s="77">
        <v>46004</v>
      </c>
      <c r="J112" s="78">
        <f t="shared" si="17"/>
        <v>27</v>
      </c>
      <c r="K112" s="25">
        <v>12.47</v>
      </c>
      <c r="L112" s="25">
        <v>11.29</v>
      </c>
      <c r="M112" s="25">
        <f t="shared" si="16"/>
        <v>1.1800000000000015</v>
      </c>
      <c r="N112" s="25" t="s">
        <v>593</v>
      </c>
    </row>
    <row r="113" spans="1:14" x14ac:dyDescent="0.25">
      <c r="A113" s="77">
        <v>45977</v>
      </c>
      <c r="B113" s="25" t="s">
        <v>517</v>
      </c>
      <c r="C113" s="77">
        <f t="shared" si="9"/>
        <v>46000</v>
      </c>
      <c r="D113" s="77">
        <f t="shared" si="10"/>
        <v>45984</v>
      </c>
      <c r="E113" s="77">
        <f t="shared" si="11"/>
        <v>45991</v>
      </c>
      <c r="F113" s="77">
        <f t="shared" si="12"/>
        <v>45997</v>
      </c>
      <c r="G113" s="77">
        <f t="shared" si="13"/>
        <v>45985</v>
      </c>
      <c r="H113" s="77">
        <f t="shared" si="14"/>
        <v>45992</v>
      </c>
      <c r="I113" s="77">
        <v>46004</v>
      </c>
      <c r="J113" s="78">
        <f t="shared" si="17"/>
        <v>27</v>
      </c>
      <c r="K113" s="25">
        <v>11.81</v>
      </c>
      <c r="L113" s="25">
        <v>10.76</v>
      </c>
      <c r="M113" s="25">
        <f t="shared" si="16"/>
        <v>1.0500000000000007</v>
      </c>
      <c r="N113" s="25" t="s">
        <v>593</v>
      </c>
    </row>
    <row r="114" spans="1:14" x14ac:dyDescent="0.25">
      <c r="A114" s="77">
        <v>45977</v>
      </c>
      <c r="B114" s="25" t="s">
        <v>518</v>
      </c>
      <c r="C114" s="77">
        <f t="shared" si="9"/>
        <v>46000</v>
      </c>
      <c r="D114" s="77">
        <f t="shared" si="10"/>
        <v>45984</v>
      </c>
      <c r="E114" s="77">
        <f t="shared" si="11"/>
        <v>45991</v>
      </c>
      <c r="F114" s="77">
        <f t="shared" si="12"/>
        <v>45997</v>
      </c>
      <c r="G114" s="77">
        <f t="shared" si="13"/>
        <v>45985</v>
      </c>
      <c r="H114" s="77">
        <f t="shared" si="14"/>
        <v>45992</v>
      </c>
      <c r="I114" s="77">
        <v>46004</v>
      </c>
      <c r="J114" s="78">
        <f t="shared" si="17"/>
        <v>27</v>
      </c>
      <c r="K114" s="25">
        <v>13.49</v>
      </c>
      <c r="L114" s="25">
        <v>12.15</v>
      </c>
      <c r="M114" s="25">
        <f t="shared" si="16"/>
        <v>1.3399999999999999</v>
      </c>
      <c r="N114" s="25" t="s">
        <v>593</v>
      </c>
    </row>
    <row r="115" spans="1:14" x14ac:dyDescent="0.25">
      <c r="A115" s="77">
        <v>45977</v>
      </c>
      <c r="B115" s="25" t="s">
        <v>519</v>
      </c>
      <c r="C115" s="77">
        <f t="shared" si="9"/>
        <v>46000</v>
      </c>
      <c r="D115" s="77">
        <f t="shared" si="10"/>
        <v>45984</v>
      </c>
      <c r="E115" s="77">
        <f t="shared" si="11"/>
        <v>45991</v>
      </c>
      <c r="F115" s="77">
        <f t="shared" si="12"/>
        <v>45997</v>
      </c>
      <c r="G115" s="77">
        <f t="shared" si="13"/>
        <v>45985</v>
      </c>
      <c r="H115" s="77">
        <f t="shared" si="14"/>
        <v>45992</v>
      </c>
      <c r="I115" s="77">
        <v>46004</v>
      </c>
      <c r="J115" s="78">
        <f t="shared" si="17"/>
        <v>27</v>
      </c>
      <c r="K115" s="25">
        <v>12.68</v>
      </c>
      <c r="L115" s="25">
        <v>11.33</v>
      </c>
      <c r="M115" s="25">
        <f t="shared" si="16"/>
        <v>1.3499999999999996</v>
      </c>
      <c r="N115" s="25" t="s">
        <v>593</v>
      </c>
    </row>
    <row r="116" spans="1:14" x14ac:dyDescent="0.25">
      <c r="A116" s="77">
        <v>45978</v>
      </c>
      <c r="B116" s="25" t="s">
        <v>520</v>
      </c>
      <c r="C116" s="77">
        <f t="shared" si="9"/>
        <v>46001</v>
      </c>
      <c r="D116" s="77">
        <f t="shared" si="10"/>
        <v>45985</v>
      </c>
      <c r="E116" s="77">
        <f t="shared" si="11"/>
        <v>45992</v>
      </c>
      <c r="F116" s="77">
        <f t="shared" si="12"/>
        <v>45998</v>
      </c>
      <c r="G116" s="77">
        <f t="shared" si="13"/>
        <v>45986</v>
      </c>
      <c r="H116" s="77">
        <f t="shared" si="14"/>
        <v>45993</v>
      </c>
      <c r="I116" s="77">
        <v>46005</v>
      </c>
      <c r="J116" s="78">
        <f t="shared" si="17"/>
        <v>27</v>
      </c>
      <c r="K116" s="25">
        <v>12.74</v>
      </c>
      <c r="L116" s="25">
        <v>6.28</v>
      </c>
      <c r="M116" s="25">
        <f t="shared" si="16"/>
        <v>6.46</v>
      </c>
      <c r="N116" s="25" t="s">
        <v>592</v>
      </c>
    </row>
    <row r="117" spans="1:14" x14ac:dyDescent="0.25">
      <c r="A117" s="77">
        <v>45978</v>
      </c>
      <c r="B117" s="25" t="s">
        <v>521</v>
      </c>
      <c r="C117" s="77">
        <f t="shared" si="9"/>
        <v>46001</v>
      </c>
      <c r="D117" s="77">
        <f t="shared" si="10"/>
        <v>45985</v>
      </c>
      <c r="E117" s="77">
        <f t="shared" si="11"/>
        <v>45992</v>
      </c>
      <c r="F117" s="77">
        <f t="shared" si="12"/>
        <v>45998</v>
      </c>
      <c r="G117" s="77">
        <f t="shared" si="13"/>
        <v>45986</v>
      </c>
      <c r="H117" s="77">
        <f t="shared" si="14"/>
        <v>45993</v>
      </c>
      <c r="I117" s="77">
        <v>46005</v>
      </c>
      <c r="J117" s="78">
        <f t="shared" si="17"/>
        <v>27</v>
      </c>
      <c r="K117" s="25">
        <v>14.52</v>
      </c>
      <c r="L117" s="25">
        <v>7.31</v>
      </c>
      <c r="M117" s="25">
        <f t="shared" si="16"/>
        <v>7.21</v>
      </c>
      <c r="N117" s="25" t="s">
        <v>592</v>
      </c>
    </row>
    <row r="118" spans="1:14" x14ac:dyDescent="0.25">
      <c r="A118" s="77">
        <v>45978</v>
      </c>
      <c r="B118" s="25" t="s">
        <v>522</v>
      </c>
      <c r="C118" s="77">
        <f t="shared" si="9"/>
        <v>46001</v>
      </c>
      <c r="D118" s="77">
        <f t="shared" si="10"/>
        <v>45985</v>
      </c>
      <c r="E118" s="77">
        <f t="shared" si="11"/>
        <v>45992</v>
      </c>
      <c r="F118" s="77">
        <f t="shared" si="12"/>
        <v>45998</v>
      </c>
      <c r="G118" s="77">
        <f t="shared" si="13"/>
        <v>45986</v>
      </c>
      <c r="H118" s="77">
        <f t="shared" si="14"/>
        <v>45993</v>
      </c>
      <c r="I118" s="77">
        <v>46005</v>
      </c>
      <c r="J118" s="78">
        <f t="shared" si="17"/>
        <v>27</v>
      </c>
      <c r="K118" s="25">
        <v>14.81</v>
      </c>
      <c r="L118" s="25">
        <v>7.52</v>
      </c>
      <c r="M118" s="25">
        <f t="shared" si="16"/>
        <v>7.2900000000000009</v>
      </c>
      <c r="N118" s="25" t="s">
        <v>592</v>
      </c>
    </row>
    <row r="119" spans="1:14" x14ac:dyDescent="0.25">
      <c r="A119" s="77">
        <v>45978</v>
      </c>
      <c r="B119" s="25" t="s">
        <v>523</v>
      </c>
      <c r="C119" s="77">
        <f t="shared" si="9"/>
        <v>46001</v>
      </c>
      <c r="D119" s="77">
        <f t="shared" si="10"/>
        <v>45985</v>
      </c>
      <c r="E119" s="77">
        <f t="shared" si="11"/>
        <v>45992</v>
      </c>
      <c r="F119" s="77">
        <f t="shared" si="12"/>
        <v>45998</v>
      </c>
      <c r="G119" s="77">
        <f t="shared" si="13"/>
        <v>45986</v>
      </c>
      <c r="H119" s="77">
        <f t="shared" si="14"/>
        <v>45993</v>
      </c>
      <c r="I119" s="77">
        <v>46005</v>
      </c>
      <c r="J119" s="78">
        <f t="shared" si="17"/>
        <v>27</v>
      </c>
      <c r="K119" s="25">
        <v>13.1</v>
      </c>
      <c r="L119" s="25">
        <v>6.98</v>
      </c>
      <c r="M119" s="25">
        <f t="shared" si="16"/>
        <v>6.1199999999999992</v>
      </c>
      <c r="N119" s="25" t="s">
        <v>592</v>
      </c>
    </row>
    <row r="120" spans="1:14" x14ac:dyDescent="0.25">
      <c r="A120" s="77">
        <v>45978</v>
      </c>
      <c r="B120" s="25" t="s">
        <v>524</v>
      </c>
      <c r="C120" s="77">
        <f t="shared" si="9"/>
        <v>46001</v>
      </c>
      <c r="D120" s="77">
        <f t="shared" si="10"/>
        <v>45985</v>
      </c>
      <c r="E120" s="77">
        <f t="shared" si="11"/>
        <v>45992</v>
      </c>
      <c r="F120" s="77">
        <f t="shared" si="12"/>
        <v>45998</v>
      </c>
      <c r="G120" s="77">
        <f t="shared" si="13"/>
        <v>45986</v>
      </c>
      <c r="H120" s="77">
        <f t="shared" si="14"/>
        <v>45993</v>
      </c>
      <c r="I120" s="77">
        <v>46005</v>
      </c>
      <c r="J120" s="78">
        <f t="shared" si="17"/>
        <v>27</v>
      </c>
      <c r="K120" s="25">
        <v>11.66</v>
      </c>
      <c r="L120" s="25">
        <v>10.210000000000001</v>
      </c>
      <c r="M120" s="25">
        <f t="shared" si="16"/>
        <v>1.4499999999999993</v>
      </c>
      <c r="N120" s="25" t="s">
        <v>593</v>
      </c>
    </row>
    <row r="121" spans="1:14" x14ac:dyDescent="0.25">
      <c r="A121" s="77">
        <v>45978</v>
      </c>
      <c r="B121" s="25" t="s">
        <v>525</v>
      </c>
      <c r="C121" s="77">
        <f t="shared" si="9"/>
        <v>46001</v>
      </c>
      <c r="D121" s="77">
        <f t="shared" si="10"/>
        <v>45985</v>
      </c>
      <c r="E121" s="77">
        <f t="shared" si="11"/>
        <v>45992</v>
      </c>
      <c r="F121" s="77">
        <f t="shared" si="12"/>
        <v>45998</v>
      </c>
      <c r="G121" s="77">
        <f t="shared" si="13"/>
        <v>45986</v>
      </c>
      <c r="H121" s="77">
        <f t="shared" si="14"/>
        <v>45993</v>
      </c>
      <c r="I121" s="77">
        <v>46005</v>
      </c>
      <c r="J121" s="78">
        <f t="shared" si="17"/>
        <v>27</v>
      </c>
      <c r="K121" s="25">
        <v>13.79</v>
      </c>
      <c r="L121" s="25">
        <v>12.17</v>
      </c>
      <c r="M121" s="25">
        <f t="shared" si="16"/>
        <v>1.6199999999999992</v>
      </c>
      <c r="N121" s="25" t="s">
        <v>593</v>
      </c>
    </row>
    <row r="122" spans="1:14" x14ac:dyDescent="0.25">
      <c r="A122" s="77">
        <v>45978</v>
      </c>
      <c r="B122" s="25" t="s">
        <v>526</v>
      </c>
      <c r="C122" s="77">
        <f t="shared" si="9"/>
        <v>46001</v>
      </c>
      <c r="D122" s="77">
        <f t="shared" si="10"/>
        <v>45985</v>
      </c>
      <c r="E122" s="77">
        <f t="shared" si="11"/>
        <v>45992</v>
      </c>
      <c r="F122" s="77">
        <f t="shared" si="12"/>
        <v>45998</v>
      </c>
      <c r="G122" s="77">
        <f t="shared" si="13"/>
        <v>45986</v>
      </c>
      <c r="H122" s="77">
        <f t="shared" si="14"/>
        <v>45993</v>
      </c>
      <c r="I122" s="77">
        <v>46005</v>
      </c>
      <c r="J122" s="78">
        <f t="shared" si="17"/>
        <v>27</v>
      </c>
      <c r="K122" s="25">
        <v>11.82</v>
      </c>
      <c r="L122" s="25">
        <v>10.58</v>
      </c>
      <c r="M122" s="25">
        <f t="shared" si="16"/>
        <v>1.2400000000000002</v>
      </c>
      <c r="N122" s="25" t="s">
        <v>593</v>
      </c>
    </row>
    <row r="123" spans="1:14" x14ac:dyDescent="0.25">
      <c r="A123" s="77">
        <v>45979</v>
      </c>
      <c r="B123" s="25" t="s">
        <v>527</v>
      </c>
      <c r="C123" s="77">
        <f t="shared" si="9"/>
        <v>46002</v>
      </c>
      <c r="D123" s="77">
        <f t="shared" si="10"/>
        <v>45986</v>
      </c>
      <c r="E123" s="77">
        <f t="shared" si="11"/>
        <v>45993</v>
      </c>
      <c r="F123" s="77">
        <f t="shared" si="12"/>
        <v>45999</v>
      </c>
      <c r="G123" s="77">
        <f t="shared" si="13"/>
        <v>45987</v>
      </c>
      <c r="H123" s="77">
        <f t="shared" si="14"/>
        <v>45994</v>
      </c>
      <c r="I123" s="77">
        <v>46005</v>
      </c>
      <c r="J123" s="78">
        <f t="shared" si="17"/>
        <v>26</v>
      </c>
      <c r="K123" s="25">
        <v>12.75</v>
      </c>
      <c r="L123" s="25">
        <v>11.07</v>
      </c>
      <c r="M123" s="25">
        <f t="shared" si="16"/>
        <v>1.6799999999999997</v>
      </c>
      <c r="N123" s="25" t="s">
        <v>593</v>
      </c>
    </row>
    <row r="124" spans="1:14" x14ac:dyDescent="0.25">
      <c r="A124" s="77">
        <v>45979</v>
      </c>
      <c r="B124" s="25" t="s">
        <v>528</v>
      </c>
      <c r="C124" s="77">
        <f t="shared" si="9"/>
        <v>46002</v>
      </c>
      <c r="D124" s="77">
        <f t="shared" si="10"/>
        <v>45986</v>
      </c>
      <c r="E124" s="77">
        <f t="shared" si="11"/>
        <v>45993</v>
      </c>
      <c r="F124" s="77">
        <f t="shared" si="12"/>
        <v>45999</v>
      </c>
      <c r="G124" s="77">
        <f t="shared" si="13"/>
        <v>45987</v>
      </c>
      <c r="H124" s="77">
        <f t="shared" si="14"/>
        <v>45994</v>
      </c>
      <c r="I124" s="77">
        <v>46005</v>
      </c>
      <c r="J124" s="78">
        <f t="shared" si="17"/>
        <v>26</v>
      </c>
      <c r="K124" s="25">
        <v>12.88</v>
      </c>
      <c r="L124" s="25">
        <v>11.16</v>
      </c>
      <c r="M124" s="25">
        <f t="shared" si="16"/>
        <v>1.7200000000000006</v>
      </c>
      <c r="N124" s="25" t="s">
        <v>593</v>
      </c>
    </row>
    <row r="125" spans="1:14" x14ac:dyDescent="0.25">
      <c r="A125" s="77">
        <v>45979</v>
      </c>
      <c r="B125" s="25" t="s">
        <v>529</v>
      </c>
      <c r="C125" s="77">
        <f t="shared" si="9"/>
        <v>46002</v>
      </c>
      <c r="D125" s="77">
        <f t="shared" si="10"/>
        <v>45986</v>
      </c>
      <c r="E125" s="77">
        <f t="shared" si="11"/>
        <v>45993</v>
      </c>
      <c r="F125" s="77">
        <f t="shared" si="12"/>
        <v>45999</v>
      </c>
      <c r="G125" s="77">
        <f t="shared" si="13"/>
        <v>45987</v>
      </c>
      <c r="H125" s="77">
        <f t="shared" si="14"/>
        <v>45994</v>
      </c>
      <c r="I125" s="77">
        <v>46005</v>
      </c>
      <c r="J125" s="78">
        <f t="shared" si="17"/>
        <v>26</v>
      </c>
      <c r="K125" s="25">
        <v>13.54</v>
      </c>
      <c r="L125" s="25">
        <v>12.42</v>
      </c>
      <c r="M125" s="25">
        <f t="shared" si="16"/>
        <v>1.1199999999999992</v>
      </c>
      <c r="N125" s="25" t="s">
        <v>593</v>
      </c>
    </row>
    <row r="126" spans="1:14" x14ac:dyDescent="0.25">
      <c r="A126" s="77">
        <v>45979</v>
      </c>
      <c r="B126" s="25" t="s">
        <v>530</v>
      </c>
      <c r="C126" s="77">
        <f t="shared" si="9"/>
        <v>46002</v>
      </c>
      <c r="D126" s="77">
        <f t="shared" si="10"/>
        <v>45986</v>
      </c>
      <c r="E126" s="77">
        <f t="shared" si="11"/>
        <v>45993</v>
      </c>
      <c r="F126" s="77">
        <f t="shared" si="12"/>
        <v>45999</v>
      </c>
      <c r="G126" s="77">
        <f t="shared" si="13"/>
        <v>45987</v>
      </c>
      <c r="H126" s="77">
        <f t="shared" si="14"/>
        <v>45994</v>
      </c>
      <c r="I126" s="77">
        <v>46006</v>
      </c>
      <c r="J126" s="78">
        <f t="shared" si="17"/>
        <v>27</v>
      </c>
      <c r="K126" s="25">
        <v>13.52</v>
      </c>
      <c r="L126" s="25">
        <v>5.91</v>
      </c>
      <c r="M126" s="25">
        <f t="shared" si="16"/>
        <v>7.6099999999999994</v>
      </c>
      <c r="N126" s="25" t="s">
        <v>592</v>
      </c>
    </row>
    <row r="127" spans="1:14" x14ac:dyDescent="0.25">
      <c r="A127" s="77">
        <v>45979</v>
      </c>
      <c r="B127" s="25" t="s">
        <v>531</v>
      </c>
      <c r="C127" s="77">
        <f t="shared" si="9"/>
        <v>46002</v>
      </c>
      <c r="D127" s="77">
        <f t="shared" si="10"/>
        <v>45986</v>
      </c>
      <c r="E127" s="77">
        <f t="shared" si="11"/>
        <v>45993</v>
      </c>
      <c r="F127" s="77">
        <f t="shared" si="12"/>
        <v>45999</v>
      </c>
      <c r="G127" s="77">
        <f t="shared" si="13"/>
        <v>45987</v>
      </c>
      <c r="H127" s="77">
        <f t="shared" si="14"/>
        <v>45994</v>
      </c>
      <c r="I127" s="77">
        <v>46006</v>
      </c>
      <c r="J127" s="78">
        <f t="shared" si="17"/>
        <v>27</v>
      </c>
      <c r="K127" s="25">
        <v>12.96</v>
      </c>
      <c r="L127" s="25">
        <v>5.86</v>
      </c>
      <c r="M127" s="25">
        <f t="shared" si="16"/>
        <v>7.1000000000000005</v>
      </c>
      <c r="N127" s="25" t="s">
        <v>592</v>
      </c>
    </row>
    <row r="128" spans="1:14" x14ac:dyDescent="0.25">
      <c r="A128" s="77">
        <v>45979</v>
      </c>
      <c r="B128" s="25" t="s">
        <v>532</v>
      </c>
      <c r="C128" s="77">
        <f t="shared" si="9"/>
        <v>46002</v>
      </c>
      <c r="D128" s="77">
        <f t="shared" si="10"/>
        <v>45986</v>
      </c>
      <c r="E128" s="77">
        <f t="shared" si="11"/>
        <v>45993</v>
      </c>
      <c r="F128" s="77">
        <f t="shared" si="12"/>
        <v>45999</v>
      </c>
      <c r="G128" s="77">
        <f t="shared" si="13"/>
        <v>45987</v>
      </c>
      <c r="H128" s="77">
        <f t="shared" si="14"/>
        <v>45994</v>
      </c>
      <c r="I128" s="77">
        <v>46006</v>
      </c>
      <c r="J128" s="78">
        <f t="shared" si="17"/>
        <v>27</v>
      </c>
      <c r="K128" s="25">
        <v>12.25</v>
      </c>
      <c r="L128" s="25">
        <v>5.1100000000000003</v>
      </c>
      <c r="M128" s="25">
        <f t="shared" si="16"/>
        <v>7.14</v>
      </c>
      <c r="N128" s="25" t="s">
        <v>592</v>
      </c>
    </row>
    <row r="129" spans="1:14" x14ac:dyDescent="0.25">
      <c r="A129" s="77">
        <v>45979</v>
      </c>
      <c r="B129" s="25" t="s">
        <v>533</v>
      </c>
      <c r="C129" s="77">
        <f t="shared" si="9"/>
        <v>46002</v>
      </c>
      <c r="D129" s="77">
        <f t="shared" si="10"/>
        <v>45986</v>
      </c>
      <c r="E129" s="77">
        <f t="shared" si="11"/>
        <v>45993</v>
      </c>
      <c r="F129" s="77">
        <f t="shared" si="12"/>
        <v>45999</v>
      </c>
      <c r="G129" s="77">
        <f t="shared" si="13"/>
        <v>45987</v>
      </c>
      <c r="H129" s="77">
        <f t="shared" si="14"/>
        <v>45994</v>
      </c>
      <c r="I129" s="77">
        <v>46006</v>
      </c>
      <c r="J129" s="78">
        <f t="shared" si="17"/>
        <v>27</v>
      </c>
      <c r="K129" s="25">
        <v>11.81</v>
      </c>
      <c r="L129" s="25">
        <v>4.75</v>
      </c>
      <c r="M129" s="25">
        <f t="shared" si="16"/>
        <v>7.0600000000000005</v>
      </c>
      <c r="N129" s="25" t="s">
        <v>592</v>
      </c>
    </row>
    <row r="130" spans="1:14" x14ac:dyDescent="0.25">
      <c r="A130" s="77">
        <v>45980</v>
      </c>
      <c r="B130" s="25" t="s">
        <v>435</v>
      </c>
      <c r="C130" s="77">
        <f t="shared" si="9"/>
        <v>46003</v>
      </c>
      <c r="D130" s="77">
        <f t="shared" si="10"/>
        <v>45987</v>
      </c>
      <c r="E130" s="77">
        <f t="shared" si="11"/>
        <v>45994</v>
      </c>
      <c r="F130" s="77">
        <f t="shared" si="12"/>
        <v>46000</v>
      </c>
      <c r="G130" s="77">
        <f t="shared" si="13"/>
        <v>45988</v>
      </c>
      <c r="H130" s="77">
        <f t="shared" si="14"/>
        <v>45995</v>
      </c>
      <c r="I130" s="77">
        <v>46008</v>
      </c>
      <c r="J130" s="78">
        <f t="shared" si="17"/>
        <v>28</v>
      </c>
      <c r="K130" s="25">
        <v>11.28</v>
      </c>
      <c r="L130" s="25">
        <v>6.56</v>
      </c>
      <c r="M130" s="25">
        <f t="shared" si="16"/>
        <v>4.72</v>
      </c>
      <c r="N130" s="25" t="s">
        <v>592</v>
      </c>
    </row>
    <row r="131" spans="1:14" x14ac:dyDescent="0.25">
      <c r="A131" s="77">
        <v>45980</v>
      </c>
      <c r="B131" s="25" t="s">
        <v>436</v>
      </c>
      <c r="C131" s="77">
        <f t="shared" ref="C131:C194" si="18">A131+23</f>
        <v>46003</v>
      </c>
      <c r="D131" s="77">
        <f t="shared" ref="D131:D194" si="19">A131+7</f>
        <v>45987</v>
      </c>
      <c r="E131" s="77">
        <f t="shared" ref="E131:E194" si="20">A131+14</f>
        <v>45994</v>
      </c>
      <c r="F131" s="77">
        <f t="shared" ref="F131:F194" si="21">A131+20</f>
        <v>46000</v>
      </c>
      <c r="G131" s="77">
        <f t="shared" ref="G131:G194" si="22">A131+8</f>
        <v>45988</v>
      </c>
      <c r="H131" s="77">
        <f t="shared" ref="H131:H194" si="23">A131+15</f>
        <v>45995</v>
      </c>
      <c r="I131" s="77">
        <v>46008</v>
      </c>
      <c r="J131" s="78">
        <f t="shared" si="17"/>
        <v>28</v>
      </c>
      <c r="K131" s="25">
        <v>10.76</v>
      </c>
      <c r="L131" s="25">
        <v>5.17</v>
      </c>
      <c r="M131" s="25">
        <f t="shared" si="16"/>
        <v>5.59</v>
      </c>
      <c r="N131" s="25" t="s">
        <v>592</v>
      </c>
    </row>
    <row r="132" spans="1:14" x14ac:dyDescent="0.25">
      <c r="A132" s="77">
        <v>45980</v>
      </c>
      <c r="B132" s="25" t="s">
        <v>437</v>
      </c>
      <c r="C132" s="77">
        <f t="shared" si="18"/>
        <v>46003</v>
      </c>
      <c r="D132" s="77">
        <f t="shared" si="19"/>
        <v>45987</v>
      </c>
      <c r="E132" s="77">
        <f t="shared" si="20"/>
        <v>45994</v>
      </c>
      <c r="F132" s="77">
        <f t="shared" si="21"/>
        <v>46000</v>
      </c>
      <c r="G132" s="77">
        <f t="shared" si="22"/>
        <v>45988</v>
      </c>
      <c r="H132" s="77">
        <f t="shared" si="23"/>
        <v>45995</v>
      </c>
      <c r="I132" s="77">
        <v>46008</v>
      </c>
      <c r="J132" s="78">
        <f t="shared" si="17"/>
        <v>28</v>
      </c>
      <c r="K132" s="25">
        <v>11.19</v>
      </c>
      <c r="L132" s="25">
        <v>5.91</v>
      </c>
      <c r="M132" s="25">
        <f t="shared" si="16"/>
        <v>5.2799999999999994</v>
      </c>
      <c r="N132" s="25" t="s">
        <v>592</v>
      </c>
    </row>
    <row r="133" spans="1:14" x14ac:dyDescent="0.25">
      <c r="A133" s="77">
        <v>45980</v>
      </c>
      <c r="B133" s="25" t="s">
        <v>438</v>
      </c>
      <c r="C133" s="77">
        <f t="shared" si="18"/>
        <v>46003</v>
      </c>
      <c r="D133" s="77">
        <f t="shared" si="19"/>
        <v>45987</v>
      </c>
      <c r="E133" s="77">
        <f t="shared" si="20"/>
        <v>45994</v>
      </c>
      <c r="F133" s="77">
        <f t="shared" si="21"/>
        <v>46000</v>
      </c>
      <c r="G133" s="77">
        <f t="shared" si="22"/>
        <v>45988</v>
      </c>
      <c r="H133" s="77">
        <f t="shared" si="23"/>
        <v>45995</v>
      </c>
      <c r="I133" s="77">
        <v>46008</v>
      </c>
      <c r="J133" s="78">
        <f t="shared" si="17"/>
        <v>28</v>
      </c>
      <c r="K133" s="25">
        <v>9.91</v>
      </c>
      <c r="L133" s="25">
        <v>4.38</v>
      </c>
      <c r="M133" s="25">
        <f t="shared" si="16"/>
        <v>5.53</v>
      </c>
      <c r="N133" s="25" t="s">
        <v>592</v>
      </c>
    </row>
    <row r="134" spans="1:14" x14ac:dyDescent="0.25">
      <c r="A134" s="77">
        <v>45980</v>
      </c>
      <c r="B134" s="25" t="s">
        <v>439</v>
      </c>
      <c r="C134" s="77">
        <f t="shared" si="18"/>
        <v>46003</v>
      </c>
      <c r="D134" s="77">
        <f t="shared" si="19"/>
        <v>45987</v>
      </c>
      <c r="E134" s="77">
        <f t="shared" si="20"/>
        <v>45994</v>
      </c>
      <c r="F134" s="77">
        <f t="shared" si="21"/>
        <v>46000</v>
      </c>
      <c r="G134" s="77">
        <f t="shared" si="22"/>
        <v>45988</v>
      </c>
      <c r="H134" s="77">
        <f t="shared" si="23"/>
        <v>45995</v>
      </c>
      <c r="I134" s="77">
        <v>46007</v>
      </c>
      <c r="J134" s="78">
        <f t="shared" si="17"/>
        <v>27</v>
      </c>
      <c r="K134" s="25">
        <v>9.1999999999999993</v>
      </c>
      <c r="L134" s="25">
        <v>7.21</v>
      </c>
      <c r="M134" s="25">
        <f t="shared" ref="M134:M169" si="24">K134-L134</f>
        <v>1.9899999999999993</v>
      </c>
      <c r="N134" s="25" t="s">
        <v>593</v>
      </c>
    </row>
    <row r="135" spans="1:14" x14ac:dyDescent="0.25">
      <c r="A135" s="77">
        <v>45980</v>
      </c>
      <c r="B135" s="25" t="s">
        <v>440</v>
      </c>
      <c r="C135" s="77">
        <f t="shared" si="18"/>
        <v>46003</v>
      </c>
      <c r="D135" s="77">
        <f t="shared" si="19"/>
        <v>45987</v>
      </c>
      <c r="E135" s="77">
        <f t="shared" si="20"/>
        <v>45994</v>
      </c>
      <c r="F135" s="77">
        <f t="shared" si="21"/>
        <v>46000</v>
      </c>
      <c r="G135" s="77">
        <f t="shared" si="22"/>
        <v>45988</v>
      </c>
      <c r="H135" s="77">
        <f t="shared" si="23"/>
        <v>45995</v>
      </c>
      <c r="I135" s="77">
        <v>46007</v>
      </c>
      <c r="J135" s="78">
        <f t="shared" si="17"/>
        <v>27</v>
      </c>
      <c r="K135" s="25">
        <v>10.51</v>
      </c>
      <c r="L135" s="25">
        <v>8.76</v>
      </c>
      <c r="M135" s="25">
        <f t="shared" si="24"/>
        <v>1.75</v>
      </c>
      <c r="N135" s="25" t="s">
        <v>593</v>
      </c>
    </row>
    <row r="136" spans="1:14" x14ac:dyDescent="0.25">
      <c r="A136" s="77">
        <v>45980</v>
      </c>
      <c r="B136" s="25" t="s">
        <v>441</v>
      </c>
      <c r="C136" s="77">
        <f t="shared" si="18"/>
        <v>46003</v>
      </c>
      <c r="D136" s="77">
        <f t="shared" si="19"/>
        <v>45987</v>
      </c>
      <c r="E136" s="77">
        <f t="shared" si="20"/>
        <v>45994</v>
      </c>
      <c r="F136" s="77">
        <f t="shared" si="21"/>
        <v>46000</v>
      </c>
      <c r="G136" s="77">
        <f t="shared" si="22"/>
        <v>45988</v>
      </c>
      <c r="H136" s="77">
        <f t="shared" si="23"/>
        <v>45995</v>
      </c>
      <c r="I136" s="77">
        <v>46007</v>
      </c>
      <c r="J136" s="78">
        <f t="shared" si="17"/>
        <v>27</v>
      </c>
      <c r="K136" s="25">
        <v>14.81</v>
      </c>
      <c r="L136" s="25">
        <v>6.98</v>
      </c>
      <c r="M136" s="25">
        <f t="shared" si="24"/>
        <v>7.83</v>
      </c>
      <c r="N136" s="25" t="s">
        <v>592</v>
      </c>
    </row>
    <row r="137" spans="1:14" x14ac:dyDescent="0.25">
      <c r="A137" s="77">
        <v>45981</v>
      </c>
      <c r="B137" s="25" t="s">
        <v>359</v>
      </c>
      <c r="C137" s="77">
        <f t="shared" si="18"/>
        <v>46004</v>
      </c>
      <c r="D137" s="77">
        <f t="shared" si="19"/>
        <v>45988</v>
      </c>
      <c r="E137" s="77">
        <f t="shared" si="20"/>
        <v>45995</v>
      </c>
      <c r="F137" s="77">
        <f t="shared" si="21"/>
        <v>46001</v>
      </c>
      <c r="G137" s="77">
        <f t="shared" si="22"/>
        <v>45989</v>
      </c>
      <c r="H137" s="77">
        <f t="shared" si="23"/>
        <v>45996</v>
      </c>
      <c r="I137" s="77">
        <v>46006</v>
      </c>
      <c r="J137" s="78">
        <f t="shared" si="17"/>
        <v>25</v>
      </c>
      <c r="K137" s="25">
        <v>16.739999999999998</v>
      </c>
      <c r="L137" s="25">
        <v>12.16</v>
      </c>
      <c r="M137" s="25">
        <f t="shared" si="24"/>
        <v>4.5799999999999983</v>
      </c>
      <c r="N137" s="25" t="s">
        <v>593</v>
      </c>
    </row>
    <row r="138" spans="1:14" x14ac:dyDescent="0.25">
      <c r="A138" s="77">
        <v>45981</v>
      </c>
      <c r="B138" s="25" t="s">
        <v>360</v>
      </c>
      <c r="C138" s="77">
        <f t="shared" si="18"/>
        <v>46004</v>
      </c>
      <c r="D138" s="77">
        <f t="shared" si="19"/>
        <v>45988</v>
      </c>
      <c r="E138" s="77">
        <f t="shared" si="20"/>
        <v>45995</v>
      </c>
      <c r="F138" s="77">
        <f t="shared" si="21"/>
        <v>46001</v>
      </c>
      <c r="G138" s="77">
        <f t="shared" si="22"/>
        <v>45989</v>
      </c>
      <c r="H138" s="77">
        <f t="shared" si="23"/>
        <v>45996</v>
      </c>
      <c r="I138" s="77">
        <v>46006</v>
      </c>
      <c r="J138" s="78">
        <f t="shared" si="17"/>
        <v>25</v>
      </c>
      <c r="K138" s="25">
        <v>18.91</v>
      </c>
      <c r="L138" s="25">
        <v>16.38</v>
      </c>
      <c r="M138" s="25">
        <f t="shared" si="24"/>
        <v>2.5300000000000011</v>
      </c>
      <c r="N138" s="25" t="s">
        <v>593</v>
      </c>
    </row>
    <row r="139" spans="1:14" x14ac:dyDescent="0.25">
      <c r="A139" s="77">
        <v>45981</v>
      </c>
      <c r="B139" s="25" t="s">
        <v>361</v>
      </c>
      <c r="C139" s="77">
        <f t="shared" si="18"/>
        <v>46004</v>
      </c>
      <c r="D139" s="77">
        <f t="shared" si="19"/>
        <v>45988</v>
      </c>
      <c r="E139" s="77">
        <f t="shared" si="20"/>
        <v>45995</v>
      </c>
      <c r="F139" s="77">
        <f t="shared" si="21"/>
        <v>46001</v>
      </c>
      <c r="G139" s="77">
        <f t="shared" si="22"/>
        <v>45989</v>
      </c>
      <c r="H139" s="77">
        <f t="shared" si="23"/>
        <v>45996</v>
      </c>
      <c r="I139" s="77">
        <v>46006</v>
      </c>
      <c r="J139" s="78">
        <f t="shared" si="17"/>
        <v>25</v>
      </c>
      <c r="K139" s="25">
        <v>18.27</v>
      </c>
      <c r="L139" s="25">
        <v>15.14</v>
      </c>
      <c r="M139" s="25">
        <f t="shared" si="24"/>
        <v>3.129999999999999</v>
      </c>
      <c r="N139" s="25" t="s">
        <v>593</v>
      </c>
    </row>
    <row r="140" spans="1:14" x14ac:dyDescent="0.25">
      <c r="A140" s="77">
        <v>45981</v>
      </c>
      <c r="B140" s="25" t="s">
        <v>362</v>
      </c>
      <c r="C140" s="77">
        <f t="shared" si="18"/>
        <v>46004</v>
      </c>
      <c r="D140" s="77">
        <f t="shared" si="19"/>
        <v>45988</v>
      </c>
      <c r="E140" s="77">
        <f t="shared" si="20"/>
        <v>45995</v>
      </c>
      <c r="F140" s="77">
        <f t="shared" si="21"/>
        <v>46001</v>
      </c>
      <c r="G140" s="77">
        <f t="shared" si="22"/>
        <v>45989</v>
      </c>
      <c r="H140" s="77">
        <f t="shared" si="23"/>
        <v>45996</v>
      </c>
      <c r="I140" s="77">
        <v>46006</v>
      </c>
      <c r="J140" s="78">
        <f t="shared" si="17"/>
        <v>25</v>
      </c>
      <c r="K140" s="25">
        <v>16.100000000000001</v>
      </c>
      <c r="L140" s="25">
        <v>13.47</v>
      </c>
      <c r="M140" s="25">
        <f t="shared" si="24"/>
        <v>2.6300000000000008</v>
      </c>
      <c r="N140" s="25" t="s">
        <v>593</v>
      </c>
    </row>
    <row r="141" spans="1:14" x14ac:dyDescent="0.25">
      <c r="A141" s="77">
        <v>45981</v>
      </c>
      <c r="B141" s="25" t="s">
        <v>363</v>
      </c>
      <c r="C141" s="77">
        <f t="shared" si="18"/>
        <v>46004</v>
      </c>
      <c r="D141" s="77">
        <f t="shared" si="19"/>
        <v>45988</v>
      </c>
      <c r="E141" s="77">
        <f t="shared" si="20"/>
        <v>45995</v>
      </c>
      <c r="F141" s="77">
        <f t="shared" si="21"/>
        <v>46001</v>
      </c>
      <c r="G141" s="77">
        <f t="shared" si="22"/>
        <v>45989</v>
      </c>
      <c r="H141" s="77">
        <f t="shared" si="23"/>
        <v>45996</v>
      </c>
      <c r="I141" s="77">
        <v>46006</v>
      </c>
      <c r="J141" s="78">
        <f t="shared" si="17"/>
        <v>25</v>
      </c>
      <c r="K141" s="25">
        <v>16.190000000000001</v>
      </c>
      <c r="L141" s="25">
        <v>12.1</v>
      </c>
      <c r="M141" s="25">
        <f t="shared" si="24"/>
        <v>4.0900000000000016</v>
      </c>
      <c r="N141" s="25" t="s">
        <v>593</v>
      </c>
    </row>
    <row r="142" spans="1:14" x14ac:dyDescent="0.25">
      <c r="A142" s="77">
        <v>45981</v>
      </c>
      <c r="B142" s="25" t="s">
        <v>364</v>
      </c>
      <c r="C142" s="77">
        <f t="shared" si="18"/>
        <v>46004</v>
      </c>
      <c r="D142" s="77">
        <f t="shared" si="19"/>
        <v>45988</v>
      </c>
      <c r="E142" s="77">
        <f t="shared" si="20"/>
        <v>45995</v>
      </c>
      <c r="F142" s="77">
        <f t="shared" si="21"/>
        <v>46001</v>
      </c>
      <c r="G142" s="77">
        <f t="shared" si="22"/>
        <v>45989</v>
      </c>
      <c r="H142" s="77">
        <f t="shared" si="23"/>
        <v>45996</v>
      </c>
      <c r="I142" s="77">
        <v>46007</v>
      </c>
      <c r="J142" s="78">
        <f t="shared" si="17"/>
        <v>26</v>
      </c>
      <c r="K142" s="25">
        <v>16.670000000000002</v>
      </c>
      <c r="L142" s="25">
        <v>7.1</v>
      </c>
      <c r="M142" s="25">
        <f t="shared" si="24"/>
        <v>9.5700000000000021</v>
      </c>
      <c r="N142" s="25" t="s">
        <v>592</v>
      </c>
    </row>
    <row r="143" spans="1:14" x14ac:dyDescent="0.25">
      <c r="A143" s="77">
        <v>45981</v>
      </c>
      <c r="B143" s="25" t="s">
        <v>365</v>
      </c>
      <c r="C143" s="77">
        <f t="shared" si="18"/>
        <v>46004</v>
      </c>
      <c r="D143" s="77">
        <f t="shared" si="19"/>
        <v>45988</v>
      </c>
      <c r="E143" s="77">
        <f t="shared" si="20"/>
        <v>45995</v>
      </c>
      <c r="F143" s="77">
        <f t="shared" si="21"/>
        <v>46001</v>
      </c>
      <c r="G143" s="77">
        <f t="shared" si="22"/>
        <v>45989</v>
      </c>
      <c r="H143" s="77">
        <f t="shared" si="23"/>
        <v>45996</v>
      </c>
      <c r="I143" s="77">
        <v>46007</v>
      </c>
      <c r="J143" s="78">
        <f t="shared" si="17"/>
        <v>26</v>
      </c>
      <c r="K143" s="25">
        <v>17.100000000000001</v>
      </c>
      <c r="L143" s="25">
        <v>7.33</v>
      </c>
      <c r="M143" s="25">
        <f t="shared" si="24"/>
        <v>9.7700000000000014</v>
      </c>
      <c r="N143" s="25" t="s">
        <v>592</v>
      </c>
    </row>
    <row r="144" spans="1:14" x14ac:dyDescent="0.25">
      <c r="A144" s="77">
        <v>45982</v>
      </c>
      <c r="B144" s="25" t="s">
        <v>379</v>
      </c>
      <c r="C144" s="77">
        <f t="shared" si="18"/>
        <v>46005</v>
      </c>
      <c r="D144" s="77">
        <f t="shared" si="19"/>
        <v>45989</v>
      </c>
      <c r="E144" s="77">
        <f t="shared" si="20"/>
        <v>45996</v>
      </c>
      <c r="F144" s="77">
        <f t="shared" si="21"/>
        <v>46002</v>
      </c>
      <c r="G144" s="77">
        <f t="shared" si="22"/>
        <v>45990</v>
      </c>
      <c r="H144" s="77">
        <f t="shared" si="23"/>
        <v>45997</v>
      </c>
      <c r="I144" s="77">
        <v>46008</v>
      </c>
      <c r="J144" s="78">
        <f t="shared" si="17"/>
        <v>26</v>
      </c>
      <c r="K144" s="81">
        <v>16.13</v>
      </c>
      <c r="L144" s="82">
        <v>14.08</v>
      </c>
      <c r="M144" s="25">
        <f t="shared" si="24"/>
        <v>2.0499999999999989</v>
      </c>
      <c r="N144" s="25" t="s">
        <v>593</v>
      </c>
    </row>
    <row r="145" spans="1:14" x14ac:dyDescent="0.25">
      <c r="A145" s="77">
        <v>45982</v>
      </c>
      <c r="B145" s="25" t="s">
        <v>380</v>
      </c>
      <c r="C145" s="77">
        <f t="shared" si="18"/>
        <v>46005</v>
      </c>
      <c r="D145" s="77">
        <f t="shared" si="19"/>
        <v>45989</v>
      </c>
      <c r="E145" s="77">
        <f t="shared" si="20"/>
        <v>45996</v>
      </c>
      <c r="F145" s="77">
        <f t="shared" si="21"/>
        <v>46002</v>
      </c>
      <c r="G145" s="77">
        <f t="shared" si="22"/>
        <v>45990</v>
      </c>
      <c r="H145" s="77">
        <f t="shared" si="23"/>
        <v>45997</v>
      </c>
      <c r="I145" s="77">
        <v>46008</v>
      </c>
      <c r="J145" s="78">
        <f t="shared" si="17"/>
        <v>26</v>
      </c>
      <c r="K145" s="81">
        <v>17.260000000000002</v>
      </c>
      <c r="L145" s="82">
        <v>15.21</v>
      </c>
      <c r="M145" s="25">
        <f t="shared" si="24"/>
        <v>2.0500000000000007</v>
      </c>
      <c r="N145" s="25" t="s">
        <v>593</v>
      </c>
    </row>
    <row r="146" spans="1:14" x14ac:dyDescent="0.25">
      <c r="A146" s="77">
        <v>45982</v>
      </c>
      <c r="B146" s="25" t="s">
        <v>381</v>
      </c>
      <c r="C146" s="77">
        <f t="shared" si="18"/>
        <v>46005</v>
      </c>
      <c r="D146" s="77">
        <f t="shared" si="19"/>
        <v>45989</v>
      </c>
      <c r="E146" s="77">
        <f t="shared" si="20"/>
        <v>45996</v>
      </c>
      <c r="F146" s="77">
        <f t="shared" si="21"/>
        <v>46002</v>
      </c>
      <c r="G146" s="77">
        <f t="shared" si="22"/>
        <v>45990</v>
      </c>
      <c r="H146" s="77">
        <f t="shared" si="23"/>
        <v>45997</v>
      </c>
      <c r="I146" s="77">
        <v>46008</v>
      </c>
      <c r="J146" s="78">
        <f t="shared" si="17"/>
        <v>26</v>
      </c>
      <c r="K146" s="81">
        <v>17.8</v>
      </c>
      <c r="L146" s="82">
        <v>15.56</v>
      </c>
      <c r="M146" s="25">
        <f t="shared" si="24"/>
        <v>2.2400000000000002</v>
      </c>
      <c r="N146" s="25" t="s">
        <v>593</v>
      </c>
    </row>
    <row r="147" spans="1:14" x14ac:dyDescent="0.25">
      <c r="A147" s="77">
        <v>45982</v>
      </c>
      <c r="B147" s="25" t="s">
        <v>382</v>
      </c>
      <c r="C147" s="77">
        <f t="shared" si="18"/>
        <v>46005</v>
      </c>
      <c r="D147" s="77">
        <f t="shared" si="19"/>
        <v>45989</v>
      </c>
      <c r="E147" s="77">
        <f t="shared" si="20"/>
        <v>45996</v>
      </c>
      <c r="F147" s="77">
        <f t="shared" si="21"/>
        <v>46002</v>
      </c>
      <c r="G147" s="77">
        <f t="shared" si="22"/>
        <v>45990</v>
      </c>
      <c r="H147" s="77">
        <f t="shared" si="23"/>
        <v>45997</v>
      </c>
      <c r="I147" s="77">
        <v>46008</v>
      </c>
      <c r="J147" s="78">
        <f t="shared" si="17"/>
        <v>26</v>
      </c>
      <c r="K147" s="81">
        <v>18.149999999999999</v>
      </c>
      <c r="L147" s="82">
        <v>16.2</v>
      </c>
      <c r="M147" s="25">
        <f t="shared" si="24"/>
        <v>1.9499999999999993</v>
      </c>
      <c r="N147" s="25" t="s">
        <v>593</v>
      </c>
    </row>
    <row r="148" spans="1:14" x14ac:dyDescent="0.25">
      <c r="A148" s="77">
        <v>45982</v>
      </c>
      <c r="B148" s="25" t="s">
        <v>383</v>
      </c>
      <c r="C148" s="77">
        <f t="shared" si="18"/>
        <v>46005</v>
      </c>
      <c r="D148" s="77">
        <f t="shared" si="19"/>
        <v>45989</v>
      </c>
      <c r="E148" s="77">
        <f t="shared" si="20"/>
        <v>45996</v>
      </c>
      <c r="F148" s="77">
        <f t="shared" si="21"/>
        <v>46002</v>
      </c>
      <c r="G148" s="77">
        <f t="shared" si="22"/>
        <v>45990</v>
      </c>
      <c r="H148" s="77">
        <f t="shared" si="23"/>
        <v>45997</v>
      </c>
      <c r="I148" s="77">
        <v>46008</v>
      </c>
      <c r="J148" s="78">
        <f t="shared" si="17"/>
        <v>26</v>
      </c>
      <c r="K148" s="81">
        <v>17.010000000000002</v>
      </c>
      <c r="L148" s="82">
        <v>14.88</v>
      </c>
      <c r="M148" s="25">
        <f t="shared" si="24"/>
        <v>2.1300000000000008</v>
      </c>
      <c r="N148" s="25" t="s">
        <v>593</v>
      </c>
    </row>
    <row r="149" spans="1:14" x14ac:dyDescent="0.25">
      <c r="A149" s="77">
        <v>45982</v>
      </c>
      <c r="B149" s="25" t="s">
        <v>384</v>
      </c>
      <c r="C149" s="77">
        <f t="shared" si="18"/>
        <v>46005</v>
      </c>
      <c r="D149" s="77">
        <f t="shared" si="19"/>
        <v>45989</v>
      </c>
      <c r="E149" s="77">
        <f t="shared" si="20"/>
        <v>45996</v>
      </c>
      <c r="F149" s="77">
        <f t="shared" si="21"/>
        <v>46002</v>
      </c>
      <c r="G149" s="77">
        <f t="shared" si="22"/>
        <v>45990</v>
      </c>
      <c r="H149" s="77">
        <f t="shared" si="23"/>
        <v>45997</v>
      </c>
      <c r="I149" s="77">
        <v>46009</v>
      </c>
      <c r="J149" s="78">
        <f t="shared" si="17"/>
        <v>27</v>
      </c>
      <c r="K149" s="25">
        <v>14.23</v>
      </c>
      <c r="L149" s="25">
        <v>7.06</v>
      </c>
      <c r="M149" s="25">
        <f t="shared" si="24"/>
        <v>7.1700000000000008</v>
      </c>
      <c r="N149" s="25" t="s">
        <v>592</v>
      </c>
    </row>
    <row r="150" spans="1:14" x14ac:dyDescent="0.25">
      <c r="A150" s="77">
        <v>45982</v>
      </c>
      <c r="B150" s="25" t="s">
        <v>385</v>
      </c>
      <c r="C150" s="77">
        <f t="shared" si="18"/>
        <v>46005</v>
      </c>
      <c r="D150" s="77">
        <f t="shared" si="19"/>
        <v>45989</v>
      </c>
      <c r="E150" s="77">
        <f t="shared" si="20"/>
        <v>45996</v>
      </c>
      <c r="F150" s="77">
        <f t="shared" si="21"/>
        <v>46002</v>
      </c>
      <c r="G150" s="77">
        <f t="shared" si="22"/>
        <v>45990</v>
      </c>
      <c r="H150" s="77">
        <f t="shared" si="23"/>
        <v>45997</v>
      </c>
      <c r="I150" s="77">
        <v>46009</v>
      </c>
      <c r="J150" s="78">
        <f t="shared" si="17"/>
        <v>27</v>
      </c>
      <c r="K150" s="25">
        <v>14.51</v>
      </c>
      <c r="L150" s="25">
        <v>7.12</v>
      </c>
      <c r="M150" s="25">
        <f t="shared" si="24"/>
        <v>7.39</v>
      </c>
      <c r="N150" s="25" t="s">
        <v>592</v>
      </c>
    </row>
    <row r="151" spans="1:14" x14ac:dyDescent="0.25">
      <c r="A151" s="77">
        <v>45983</v>
      </c>
      <c r="B151" s="25" t="s">
        <v>366</v>
      </c>
      <c r="C151" s="77">
        <f t="shared" si="18"/>
        <v>46006</v>
      </c>
      <c r="D151" s="77">
        <f t="shared" si="19"/>
        <v>45990</v>
      </c>
      <c r="E151" s="77">
        <f t="shared" si="20"/>
        <v>45997</v>
      </c>
      <c r="F151" s="77">
        <f t="shared" si="21"/>
        <v>46003</v>
      </c>
      <c r="G151" s="77">
        <f t="shared" si="22"/>
        <v>45991</v>
      </c>
      <c r="H151" s="77">
        <f t="shared" si="23"/>
        <v>45998</v>
      </c>
      <c r="I151" s="77">
        <v>46009</v>
      </c>
      <c r="J151" s="78">
        <f t="shared" si="17"/>
        <v>26</v>
      </c>
      <c r="K151" s="25">
        <v>16.899999999999999</v>
      </c>
      <c r="L151" s="25">
        <v>14.19</v>
      </c>
      <c r="M151" s="25">
        <f t="shared" si="24"/>
        <v>2.7099999999999991</v>
      </c>
      <c r="N151" s="25" t="s">
        <v>593</v>
      </c>
    </row>
    <row r="152" spans="1:14" x14ac:dyDescent="0.25">
      <c r="A152" s="77">
        <v>45983</v>
      </c>
      <c r="B152" s="25" t="s">
        <v>367</v>
      </c>
      <c r="C152" s="77">
        <f t="shared" si="18"/>
        <v>46006</v>
      </c>
      <c r="D152" s="77">
        <f t="shared" si="19"/>
        <v>45990</v>
      </c>
      <c r="E152" s="77">
        <f t="shared" si="20"/>
        <v>45997</v>
      </c>
      <c r="F152" s="77">
        <f t="shared" si="21"/>
        <v>46003</v>
      </c>
      <c r="G152" s="77">
        <f t="shared" si="22"/>
        <v>45991</v>
      </c>
      <c r="H152" s="77">
        <f t="shared" si="23"/>
        <v>45998</v>
      </c>
      <c r="I152" s="77">
        <v>46009</v>
      </c>
      <c r="J152" s="78">
        <f t="shared" si="17"/>
        <v>26</v>
      </c>
      <c r="K152" s="25">
        <v>17.96</v>
      </c>
      <c r="L152" s="25">
        <v>15.06</v>
      </c>
      <c r="M152" s="25">
        <f t="shared" si="24"/>
        <v>2.9000000000000004</v>
      </c>
      <c r="N152" s="25" t="s">
        <v>593</v>
      </c>
    </row>
    <row r="153" spans="1:14" x14ac:dyDescent="0.25">
      <c r="A153" s="77">
        <v>45983</v>
      </c>
      <c r="B153" s="25" t="s">
        <v>368</v>
      </c>
      <c r="C153" s="77">
        <f t="shared" si="18"/>
        <v>46006</v>
      </c>
      <c r="D153" s="77">
        <f t="shared" si="19"/>
        <v>45990</v>
      </c>
      <c r="E153" s="77">
        <f t="shared" si="20"/>
        <v>45997</v>
      </c>
      <c r="F153" s="77">
        <f t="shared" si="21"/>
        <v>46003</v>
      </c>
      <c r="G153" s="77">
        <f t="shared" si="22"/>
        <v>45991</v>
      </c>
      <c r="H153" s="77">
        <f t="shared" si="23"/>
        <v>45998</v>
      </c>
      <c r="I153" s="77">
        <v>46009</v>
      </c>
      <c r="J153" s="78">
        <f t="shared" si="17"/>
        <v>26</v>
      </c>
      <c r="K153" s="25">
        <v>16.03</v>
      </c>
      <c r="L153" s="25">
        <v>13.98</v>
      </c>
      <c r="M153" s="25">
        <f t="shared" si="24"/>
        <v>2.0500000000000007</v>
      </c>
      <c r="N153" s="25" t="s">
        <v>593</v>
      </c>
    </row>
    <row r="154" spans="1:14" x14ac:dyDescent="0.25">
      <c r="A154" s="77">
        <v>45983</v>
      </c>
      <c r="B154" s="25" t="s">
        <v>369</v>
      </c>
      <c r="C154" s="77">
        <f t="shared" si="18"/>
        <v>46006</v>
      </c>
      <c r="D154" s="77">
        <f t="shared" si="19"/>
        <v>45990</v>
      </c>
      <c r="E154" s="77">
        <f t="shared" si="20"/>
        <v>45997</v>
      </c>
      <c r="F154" s="77">
        <f t="shared" si="21"/>
        <v>46003</v>
      </c>
      <c r="G154" s="77">
        <f t="shared" si="22"/>
        <v>45991</v>
      </c>
      <c r="H154" s="77">
        <f t="shared" si="23"/>
        <v>45998</v>
      </c>
      <c r="I154" s="77">
        <v>46009</v>
      </c>
      <c r="J154" s="78">
        <f t="shared" si="17"/>
        <v>26</v>
      </c>
      <c r="K154" s="25">
        <v>17.190000000000001</v>
      </c>
      <c r="L154" s="25">
        <v>14.57</v>
      </c>
      <c r="M154" s="25">
        <f t="shared" si="24"/>
        <v>2.620000000000001</v>
      </c>
      <c r="N154" s="25" t="s">
        <v>593</v>
      </c>
    </row>
    <row r="155" spans="1:14" x14ac:dyDescent="0.25">
      <c r="A155" s="77">
        <v>45983</v>
      </c>
      <c r="B155" s="25" t="s">
        <v>370</v>
      </c>
      <c r="C155" s="77">
        <f t="shared" si="18"/>
        <v>46006</v>
      </c>
      <c r="D155" s="77">
        <f t="shared" si="19"/>
        <v>45990</v>
      </c>
      <c r="E155" s="77">
        <f t="shared" si="20"/>
        <v>45997</v>
      </c>
      <c r="F155" s="77">
        <f t="shared" si="21"/>
        <v>46003</v>
      </c>
      <c r="G155" s="77">
        <f t="shared" si="22"/>
        <v>45991</v>
      </c>
      <c r="H155" s="77">
        <f t="shared" si="23"/>
        <v>45998</v>
      </c>
      <c r="I155" s="77">
        <v>46010</v>
      </c>
      <c r="J155" s="78">
        <f t="shared" si="17"/>
        <v>27</v>
      </c>
      <c r="K155" s="81">
        <v>19.37</v>
      </c>
      <c r="L155" s="82">
        <v>10.11</v>
      </c>
      <c r="M155" s="25">
        <f t="shared" si="24"/>
        <v>9.2600000000000016</v>
      </c>
      <c r="N155" s="82" t="s">
        <v>592</v>
      </c>
    </row>
    <row r="156" spans="1:14" x14ac:dyDescent="0.25">
      <c r="A156" s="77">
        <v>45983</v>
      </c>
      <c r="B156" s="25" t="s">
        <v>371</v>
      </c>
      <c r="C156" s="77">
        <f t="shared" si="18"/>
        <v>46006</v>
      </c>
      <c r="D156" s="77">
        <f t="shared" si="19"/>
        <v>45990</v>
      </c>
      <c r="E156" s="77">
        <f t="shared" si="20"/>
        <v>45997</v>
      </c>
      <c r="F156" s="77">
        <f t="shared" si="21"/>
        <v>46003</v>
      </c>
      <c r="G156" s="77">
        <f t="shared" si="22"/>
        <v>45991</v>
      </c>
      <c r="H156" s="77">
        <f t="shared" si="23"/>
        <v>45998</v>
      </c>
      <c r="I156" s="77">
        <v>46010</v>
      </c>
      <c r="J156" s="78">
        <f t="shared" si="17"/>
        <v>27</v>
      </c>
      <c r="K156" s="81">
        <v>16.52</v>
      </c>
      <c r="L156" s="82">
        <v>8.27</v>
      </c>
      <c r="M156" s="25">
        <f t="shared" si="24"/>
        <v>8.25</v>
      </c>
      <c r="N156" s="82" t="s">
        <v>592</v>
      </c>
    </row>
    <row r="157" spans="1:14" x14ac:dyDescent="0.25">
      <c r="A157" s="77">
        <v>45983</v>
      </c>
      <c r="B157" s="25" t="s">
        <v>372</v>
      </c>
      <c r="C157" s="77">
        <f t="shared" si="18"/>
        <v>46006</v>
      </c>
      <c r="D157" s="77">
        <f t="shared" si="19"/>
        <v>45990</v>
      </c>
      <c r="E157" s="77">
        <f t="shared" si="20"/>
        <v>45997</v>
      </c>
      <c r="F157" s="77">
        <f t="shared" si="21"/>
        <v>46003</v>
      </c>
      <c r="G157" s="77">
        <f t="shared" si="22"/>
        <v>45991</v>
      </c>
      <c r="H157" s="77">
        <f t="shared" si="23"/>
        <v>45998</v>
      </c>
      <c r="I157" s="77">
        <v>46010</v>
      </c>
      <c r="J157" s="78">
        <f t="shared" si="17"/>
        <v>27</v>
      </c>
      <c r="K157" s="81">
        <v>15.76</v>
      </c>
      <c r="L157" s="82">
        <v>13.89</v>
      </c>
      <c r="M157" s="25">
        <f t="shared" si="24"/>
        <v>1.8699999999999992</v>
      </c>
      <c r="N157" s="82" t="s">
        <v>593</v>
      </c>
    </row>
    <row r="158" spans="1:14" x14ac:dyDescent="0.25">
      <c r="A158" s="77">
        <v>45984</v>
      </c>
      <c r="B158" s="25" t="s">
        <v>386</v>
      </c>
      <c r="C158" s="77">
        <f t="shared" si="18"/>
        <v>46007</v>
      </c>
      <c r="D158" s="77">
        <f t="shared" si="19"/>
        <v>45991</v>
      </c>
      <c r="E158" s="77">
        <f t="shared" si="20"/>
        <v>45998</v>
      </c>
      <c r="F158" s="77">
        <f t="shared" si="21"/>
        <v>46004</v>
      </c>
      <c r="G158" s="77">
        <f t="shared" si="22"/>
        <v>45992</v>
      </c>
      <c r="H158" s="77">
        <f t="shared" si="23"/>
        <v>45999</v>
      </c>
      <c r="I158" s="77">
        <v>46010</v>
      </c>
      <c r="J158" s="78">
        <f t="shared" si="17"/>
        <v>26</v>
      </c>
      <c r="K158" s="81">
        <v>17.02</v>
      </c>
      <c r="L158" s="82">
        <v>15.12</v>
      </c>
      <c r="M158" s="25">
        <f t="shared" si="24"/>
        <v>1.9000000000000004</v>
      </c>
      <c r="N158" s="82" t="s">
        <v>593</v>
      </c>
    </row>
    <row r="159" spans="1:14" x14ac:dyDescent="0.25">
      <c r="A159" s="77">
        <v>45984</v>
      </c>
      <c r="B159" s="25" t="s">
        <v>387</v>
      </c>
      <c r="C159" s="77">
        <f t="shared" si="18"/>
        <v>46007</v>
      </c>
      <c r="D159" s="77">
        <f t="shared" si="19"/>
        <v>45991</v>
      </c>
      <c r="E159" s="77">
        <f t="shared" si="20"/>
        <v>45998</v>
      </c>
      <c r="F159" s="77">
        <f t="shared" si="21"/>
        <v>46004</v>
      </c>
      <c r="G159" s="77">
        <f t="shared" si="22"/>
        <v>45992</v>
      </c>
      <c r="H159" s="77">
        <f t="shared" si="23"/>
        <v>45999</v>
      </c>
      <c r="I159" s="77">
        <v>46010</v>
      </c>
      <c r="J159" s="78">
        <f t="shared" si="17"/>
        <v>26</v>
      </c>
      <c r="K159" s="81">
        <v>16.170000000000002</v>
      </c>
      <c r="L159" s="82">
        <v>14.59</v>
      </c>
      <c r="M159" s="25">
        <f t="shared" si="24"/>
        <v>1.5800000000000018</v>
      </c>
      <c r="N159" s="82" t="s">
        <v>593</v>
      </c>
    </row>
    <row r="160" spans="1:14" x14ac:dyDescent="0.25">
      <c r="A160" s="77">
        <v>45984</v>
      </c>
      <c r="B160" s="25" t="s">
        <v>388</v>
      </c>
      <c r="C160" s="77">
        <f t="shared" si="18"/>
        <v>46007</v>
      </c>
      <c r="D160" s="77">
        <f t="shared" si="19"/>
        <v>45991</v>
      </c>
      <c r="E160" s="77">
        <f t="shared" si="20"/>
        <v>45998</v>
      </c>
      <c r="F160" s="77">
        <f t="shared" si="21"/>
        <v>46004</v>
      </c>
      <c r="G160" s="77">
        <f t="shared" si="22"/>
        <v>45992</v>
      </c>
      <c r="H160" s="77">
        <f t="shared" si="23"/>
        <v>45999</v>
      </c>
      <c r="I160" s="77">
        <v>46010</v>
      </c>
      <c r="J160" s="78">
        <f t="shared" si="17"/>
        <v>26</v>
      </c>
      <c r="K160" s="81">
        <v>16.89</v>
      </c>
      <c r="L160" s="82">
        <v>15.28</v>
      </c>
      <c r="M160" s="25">
        <f t="shared" si="24"/>
        <v>1.6100000000000012</v>
      </c>
      <c r="N160" s="82" t="s">
        <v>593</v>
      </c>
    </row>
    <row r="161" spans="1:14" x14ac:dyDescent="0.25">
      <c r="A161" s="77">
        <v>45984</v>
      </c>
      <c r="B161" s="25" t="s">
        <v>389</v>
      </c>
      <c r="C161" s="77">
        <f t="shared" si="18"/>
        <v>46007</v>
      </c>
      <c r="D161" s="77">
        <f t="shared" si="19"/>
        <v>45991</v>
      </c>
      <c r="E161" s="77">
        <f t="shared" si="20"/>
        <v>45998</v>
      </c>
      <c r="F161" s="77">
        <f t="shared" si="21"/>
        <v>46004</v>
      </c>
      <c r="G161" s="77">
        <f t="shared" si="22"/>
        <v>45992</v>
      </c>
      <c r="H161" s="77">
        <f t="shared" si="23"/>
        <v>45999</v>
      </c>
      <c r="I161" s="77">
        <v>46010</v>
      </c>
      <c r="J161" s="78">
        <f t="shared" si="17"/>
        <v>26</v>
      </c>
      <c r="K161" s="81">
        <v>18.55</v>
      </c>
      <c r="L161" s="82">
        <v>16.36</v>
      </c>
      <c r="M161" s="25">
        <f t="shared" si="24"/>
        <v>2.1900000000000013</v>
      </c>
      <c r="N161" s="82" t="s">
        <v>593</v>
      </c>
    </row>
    <row r="162" spans="1:14" x14ac:dyDescent="0.25">
      <c r="A162" s="77">
        <v>45984</v>
      </c>
      <c r="B162" s="25" t="s">
        <v>390</v>
      </c>
      <c r="C162" s="77">
        <f t="shared" si="18"/>
        <v>46007</v>
      </c>
      <c r="D162" s="77">
        <f t="shared" si="19"/>
        <v>45991</v>
      </c>
      <c r="E162" s="77">
        <f t="shared" si="20"/>
        <v>45998</v>
      </c>
      <c r="F162" s="77">
        <f t="shared" si="21"/>
        <v>46004</v>
      </c>
      <c r="G162" s="77">
        <f t="shared" si="22"/>
        <v>45992</v>
      </c>
      <c r="H162" s="77">
        <f t="shared" si="23"/>
        <v>45999</v>
      </c>
      <c r="I162" s="77">
        <v>46011</v>
      </c>
      <c r="J162" s="78">
        <f t="shared" si="17"/>
        <v>27</v>
      </c>
      <c r="K162" s="25">
        <v>18.93</v>
      </c>
      <c r="L162" s="25">
        <v>9.1300000000000008</v>
      </c>
      <c r="M162" s="25">
        <f t="shared" si="24"/>
        <v>9.7999999999999989</v>
      </c>
      <c r="N162" s="25" t="s">
        <v>592</v>
      </c>
    </row>
    <row r="163" spans="1:14" x14ac:dyDescent="0.25">
      <c r="A163" s="77">
        <v>45984</v>
      </c>
      <c r="B163" s="25" t="s">
        <v>391</v>
      </c>
      <c r="C163" s="77">
        <f t="shared" si="18"/>
        <v>46007</v>
      </c>
      <c r="D163" s="77">
        <f t="shared" si="19"/>
        <v>45991</v>
      </c>
      <c r="E163" s="77">
        <f t="shared" si="20"/>
        <v>45998</v>
      </c>
      <c r="F163" s="77">
        <f t="shared" si="21"/>
        <v>46004</v>
      </c>
      <c r="G163" s="77">
        <f t="shared" si="22"/>
        <v>45992</v>
      </c>
      <c r="H163" s="77">
        <f t="shared" si="23"/>
        <v>45999</v>
      </c>
      <c r="I163" s="77">
        <v>46011</v>
      </c>
      <c r="J163" s="78">
        <f t="shared" ref="J163:J169" si="25">I163-A163</f>
        <v>27</v>
      </c>
      <c r="K163" s="25">
        <v>17.239999999999998</v>
      </c>
      <c r="L163" s="25">
        <v>8.7200000000000006</v>
      </c>
      <c r="M163" s="25">
        <f t="shared" si="24"/>
        <v>8.5199999999999978</v>
      </c>
      <c r="N163" s="25" t="s">
        <v>592</v>
      </c>
    </row>
    <row r="164" spans="1:14" x14ac:dyDescent="0.25">
      <c r="A164" s="77">
        <v>45984</v>
      </c>
      <c r="B164" s="25" t="s">
        <v>392</v>
      </c>
      <c r="C164" s="77">
        <f t="shared" si="18"/>
        <v>46007</v>
      </c>
      <c r="D164" s="77">
        <f t="shared" si="19"/>
        <v>45991</v>
      </c>
      <c r="E164" s="77">
        <f t="shared" si="20"/>
        <v>45998</v>
      </c>
      <c r="F164" s="77">
        <f t="shared" si="21"/>
        <v>46004</v>
      </c>
      <c r="G164" s="77">
        <f t="shared" si="22"/>
        <v>45992</v>
      </c>
      <c r="H164" s="77">
        <f t="shared" si="23"/>
        <v>45999</v>
      </c>
      <c r="I164" s="77">
        <v>46011</v>
      </c>
      <c r="J164" s="78">
        <f t="shared" si="25"/>
        <v>27</v>
      </c>
      <c r="K164" s="25">
        <v>16.22</v>
      </c>
      <c r="L164" s="25">
        <v>8.1199999999999992</v>
      </c>
      <c r="M164" s="25">
        <f t="shared" si="24"/>
        <v>8.1</v>
      </c>
      <c r="N164" s="25" t="s">
        <v>592</v>
      </c>
    </row>
    <row r="165" spans="1:14" x14ac:dyDescent="0.25">
      <c r="A165" s="77">
        <v>45985</v>
      </c>
      <c r="B165" s="25" t="s">
        <v>373</v>
      </c>
      <c r="C165" s="77">
        <f t="shared" si="18"/>
        <v>46008</v>
      </c>
      <c r="D165" s="77">
        <f t="shared" si="19"/>
        <v>45992</v>
      </c>
      <c r="E165" s="77">
        <f t="shared" si="20"/>
        <v>45999</v>
      </c>
      <c r="F165" s="77">
        <f t="shared" si="21"/>
        <v>46005</v>
      </c>
      <c r="G165" s="77">
        <f t="shared" si="22"/>
        <v>45993</v>
      </c>
      <c r="H165" s="77">
        <f t="shared" si="23"/>
        <v>46000</v>
      </c>
      <c r="I165" s="77">
        <v>46011</v>
      </c>
      <c r="J165" s="78">
        <f t="shared" si="25"/>
        <v>26</v>
      </c>
      <c r="K165" s="25">
        <v>15.2</v>
      </c>
      <c r="L165" s="25">
        <v>8.43</v>
      </c>
      <c r="M165" s="25">
        <f t="shared" si="24"/>
        <v>6.77</v>
      </c>
      <c r="N165" s="25" t="s">
        <v>592</v>
      </c>
    </row>
    <row r="166" spans="1:14" x14ac:dyDescent="0.25">
      <c r="A166" s="77">
        <v>45985</v>
      </c>
      <c r="B166" s="25" t="s">
        <v>374</v>
      </c>
      <c r="C166" s="77">
        <f t="shared" si="18"/>
        <v>46008</v>
      </c>
      <c r="D166" s="77">
        <f t="shared" si="19"/>
        <v>45992</v>
      </c>
      <c r="E166" s="77">
        <f t="shared" si="20"/>
        <v>45999</v>
      </c>
      <c r="F166" s="77">
        <f t="shared" si="21"/>
        <v>46005</v>
      </c>
      <c r="G166" s="77">
        <f t="shared" si="22"/>
        <v>45993</v>
      </c>
      <c r="H166" s="77">
        <f t="shared" si="23"/>
        <v>46000</v>
      </c>
      <c r="I166" s="77">
        <v>46011</v>
      </c>
      <c r="J166" s="78">
        <f t="shared" si="25"/>
        <v>26</v>
      </c>
      <c r="K166" s="25">
        <v>17.41</v>
      </c>
      <c r="L166" s="25">
        <v>15.35</v>
      </c>
      <c r="M166" s="25">
        <f t="shared" si="24"/>
        <v>2.0600000000000005</v>
      </c>
      <c r="N166" s="25" t="s">
        <v>593</v>
      </c>
    </row>
    <row r="167" spans="1:14" x14ac:dyDescent="0.25">
      <c r="A167" s="77">
        <v>45985</v>
      </c>
      <c r="B167" s="25" t="s">
        <v>375</v>
      </c>
      <c r="C167" s="77">
        <f t="shared" si="18"/>
        <v>46008</v>
      </c>
      <c r="D167" s="77">
        <f t="shared" si="19"/>
        <v>45992</v>
      </c>
      <c r="E167" s="77">
        <f t="shared" si="20"/>
        <v>45999</v>
      </c>
      <c r="F167" s="77">
        <f t="shared" si="21"/>
        <v>46005</v>
      </c>
      <c r="G167" s="77">
        <f t="shared" si="22"/>
        <v>45993</v>
      </c>
      <c r="H167" s="77">
        <f t="shared" si="23"/>
        <v>46000</v>
      </c>
      <c r="I167" s="77">
        <v>46011</v>
      </c>
      <c r="J167" s="78">
        <f t="shared" si="25"/>
        <v>26</v>
      </c>
      <c r="K167" s="25">
        <v>15.87</v>
      </c>
      <c r="L167" s="25">
        <v>14.92</v>
      </c>
      <c r="M167" s="25">
        <f t="shared" si="24"/>
        <v>0.94999999999999929</v>
      </c>
      <c r="N167" s="25" t="s">
        <v>593</v>
      </c>
    </row>
    <row r="168" spans="1:14" x14ac:dyDescent="0.25">
      <c r="A168" s="77">
        <v>45985</v>
      </c>
      <c r="B168" s="25" t="s">
        <v>376</v>
      </c>
      <c r="C168" s="77">
        <f t="shared" si="18"/>
        <v>46008</v>
      </c>
      <c r="D168" s="77">
        <f t="shared" si="19"/>
        <v>45992</v>
      </c>
      <c r="E168" s="77">
        <f t="shared" si="20"/>
        <v>45999</v>
      </c>
      <c r="F168" s="77">
        <f t="shared" si="21"/>
        <v>46005</v>
      </c>
      <c r="G168" s="77">
        <f t="shared" si="22"/>
        <v>45993</v>
      </c>
      <c r="H168" s="77">
        <f t="shared" si="23"/>
        <v>46000</v>
      </c>
      <c r="I168" s="77">
        <v>46011</v>
      </c>
      <c r="J168" s="78">
        <f t="shared" si="25"/>
        <v>26</v>
      </c>
      <c r="K168" s="25">
        <v>14.73</v>
      </c>
      <c r="L168" s="25">
        <v>13.63</v>
      </c>
      <c r="M168" s="25">
        <f t="shared" si="24"/>
        <v>1.0999999999999996</v>
      </c>
      <c r="N168" s="25" t="s">
        <v>593</v>
      </c>
    </row>
    <row r="169" spans="1:14" x14ac:dyDescent="0.25">
      <c r="A169" s="77">
        <v>45985</v>
      </c>
      <c r="B169" s="25" t="s">
        <v>377</v>
      </c>
      <c r="C169" s="77">
        <f t="shared" si="18"/>
        <v>46008</v>
      </c>
      <c r="D169" s="77">
        <f t="shared" si="19"/>
        <v>45992</v>
      </c>
      <c r="E169" s="77">
        <f t="shared" si="20"/>
        <v>45999</v>
      </c>
      <c r="F169" s="77">
        <f t="shared" si="21"/>
        <v>46005</v>
      </c>
      <c r="G169" s="77">
        <f t="shared" si="22"/>
        <v>45993</v>
      </c>
      <c r="H169" s="77">
        <f t="shared" si="23"/>
        <v>46000</v>
      </c>
      <c r="I169" s="77">
        <v>46011</v>
      </c>
      <c r="J169" s="78">
        <f t="shared" si="25"/>
        <v>26</v>
      </c>
      <c r="K169" s="25">
        <v>15.84</v>
      </c>
      <c r="L169" s="25">
        <v>13.82</v>
      </c>
      <c r="M169" s="25">
        <f t="shared" si="24"/>
        <v>2.0199999999999996</v>
      </c>
      <c r="N169" s="25" t="s">
        <v>593</v>
      </c>
    </row>
    <row r="170" spans="1:14" x14ac:dyDescent="0.25">
      <c r="A170" s="77">
        <v>45985</v>
      </c>
      <c r="B170" s="25" t="s">
        <v>393</v>
      </c>
      <c r="C170" s="77">
        <f>A170+23</f>
        <v>46008</v>
      </c>
      <c r="D170" s="77">
        <f>A170+7</f>
        <v>45992</v>
      </c>
      <c r="E170" s="77">
        <f>A170+14</f>
        <v>45999</v>
      </c>
      <c r="F170" s="77">
        <f>A170+20</f>
        <v>46005</v>
      </c>
      <c r="G170" s="77">
        <f>A170+8</f>
        <v>45993</v>
      </c>
      <c r="H170" s="77">
        <f>A170+15</f>
        <v>46000</v>
      </c>
      <c r="I170" s="77">
        <v>46012</v>
      </c>
      <c r="J170" s="104">
        <f>I170-A170</f>
        <v>27</v>
      </c>
      <c r="K170" s="81">
        <v>19.52</v>
      </c>
      <c r="L170" s="82">
        <v>9.18</v>
      </c>
      <c r="M170" s="25">
        <f t="shared" ref="M170:M188" si="26">K170-L170</f>
        <v>10.34</v>
      </c>
      <c r="N170" s="82" t="s">
        <v>592</v>
      </c>
    </row>
    <row r="171" spans="1:14" x14ac:dyDescent="0.25">
      <c r="A171" s="77">
        <v>45985</v>
      </c>
      <c r="B171" s="25" t="s">
        <v>394</v>
      </c>
      <c r="C171" s="77">
        <f>A171+23</f>
        <v>46008</v>
      </c>
      <c r="D171" s="77">
        <f>A171+7</f>
        <v>45992</v>
      </c>
      <c r="E171" s="77">
        <f>A171+14</f>
        <v>45999</v>
      </c>
      <c r="F171" s="77">
        <f>A171+20</f>
        <v>46005</v>
      </c>
      <c r="G171" s="77">
        <f>A171+8</f>
        <v>45993</v>
      </c>
      <c r="H171" s="77">
        <f>A171+15</f>
        <v>46000</v>
      </c>
      <c r="I171" s="77">
        <v>46012</v>
      </c>
      <c r="J171" s="104">
        <f>I171-A171</f>
        <v>27</v>
      </c>
      <c r="K171" s="81">
        <v>18.739999999999998</v>
      </c>
      <c r="L171" s="82">
        <v>8.36</v>
      </c>
      <c r="M171" s="25">
        <f t="shared" si="26"/>
        <v>10.379999999999999</v>
      </c>
      <c r="N171" s="82" t="s">
        <v>592</v>
      </c>
    </row>
    <row r="172" spans="1:14" x14ac:dyDescent="0.25">
      <c r="A172" s="77">
        <v>45986</v>
      </c>
      <c r="B172" s="25" t="s">
        <v>395</v>
      </c>
      <c r="C172" s="77">
        <f>A172+23</f>
        <v>46009</v>
      </c>
      <c r="D172" s="77">
        <f>A172+7</f>
        <v>45993</v>
      </c>
      <c r="E172" s="77">
        <f>A172+14</f>
        <v>46000</v>
      </c>
      <c r="F172" s="77">
        <f>A172+20</f>
        <v>46006</v>
      </c>
      <c r="G172" s="77">
        <f>A172+8</f>
        <v>45994</v>
      </c>
      <c r="H172" s="77">
        <f>A172+15</f>
        <v>46001</v>
      </c>
      <c r="I172" s="77">
        <v>46012</v>
      </c>
      <c r="J172" s="104">
        <f>I172-A172</f>
        <v>26</v>
      </c>
      <c r="K172" s="81">
        <v>14.17</v>
      </c>
      <c r="L172" s="82">
        <v>12.51</v>
      </c>
      <c r="M172" s="25">
        <f t="shared" si="26"/>
        <v>1.6600000000000001</v>
      </c>
      <c r="N172" s="82" t="s">
        <v>593</v>
      </c>
    </row>
    <row r="173" spans="1:14" x14ac:dyDescent="0.25">
      <c r="A173" s="77">
        <v>45986</v>
      </c>
      <c r="B173" s="25" t="s">
        <v>396</v>
      </c>
      <c r="C173" s="77">
        <f>A173+23</f>
        <v>46009</v>
      </c>
      <c r="D173" s="77">
        <f>A173+7</f>
        <v>45993</v>
      </c>
      <c r="E173" s="77">
        <f>A173+14</f>
        <v>46000</v>
      </c>
      <c r="F173" s="77">
        <f>A173+20</f>
        <v>46006</v>
      </c>
      <c r="G173" s="77">
        <f>A173+8</f>
        <v>45994</v>
      </c>
      <c r="H173" s="77">
        <f>A173+15</f>
        <v>46001</v>
      </c>
      <c r="I173" s="77">
        <v>46012</v>
      </c>
      <c r="J173" s="104">
        <f>I173-A173</f>
        <v>26</v>
      </c>
      <c r="K173" s="81">
        <v>15.21</v>
      </c>
      <c r="L173" s="82">
        <v>13.78</v>
      </c>
      <c r="M173" s="25">
        <f t="shared" si="26"/>
        <v>1.4300000000000015</v>
      </c>
      <c r="N173" s="25" t="s">
        <v>593</v>
      </c>
    </row>
    <row r="174" spans="1:14" x14ac:dyDescent="0.25">
      <c r="A174" s="77">
        <v>45986</v>
      </c>
      <c r="B174" s="25" t="s">
        <v>397</v>
      </c>
      <c r="C174" s="77">
        <f>A174+23</f>
        <v>46009</v>
      </c>
      <c r="D174" s="77">
        <f>A174+7</f>
        <v>45993</v>
      </c>
      <c r="E174" s="77">
        <f>A174+14</f>
        <v>46000</v>
      </c>
      <c r="F174" s="77">
        <f>A174+20</f>
        <v>46006</v>
      </c>
      <c r="G174" s="77">
        <f>A174+8</f>
        <v>45994</v>
      </c>
      <c r="H174" s="77">
        <f>A174+15</f>
        <v>46001</v>
      </c>
      <c r="I174" s="77">
        <v>46012</v>
      </c>
      <c r="J174" s="104">
        <f>I174-A174</f>
        <v>26</v>
      </c>
      <c r="K174" s="81">
        <v>17.86</v>
      </c>
      <c r="L174" s="82">
        <v>15.14</v>
      </c>
      <c r="M174" s="25">
        <f t="shared" si="26"/>
        <v>2.7199999999999989</v>
      </c>
      <c r="N174" s="25" t="s">
        <v>593</v>
      </c>
    </row>
    <row r="175" spans="1:14" x14ac:dyDescent="0.25">
      <c r="A175" s="77">
        <v>45986</v>
      </c>
      <c r="B175" s="25" t="s">
        <v>408</v>
      </c>
      <c r="C175" s="77">
        <f>A175+23</f>
        <v>46009</v>
      </c>
      <c r="D175" s="77">
        <f>A175+7</f>
        <v>45993</v>
      </c>
      <c r="E175" s="77">
        <f>A175+14</f>
        <v>46000</v>
      </c>
      <c r="F175" s="77">
        <f>A175+20</f>
        <v>46006</v>
      </c>
      <c r="G175" s="77">
        <f>A175+8</f>
        <v>45994</v>
      </c>
      <c r="H175" s="77">
        <f>A175+15</f>
        <v>46001</v>
      </c>
      <c r="I175" s="77">
        <v>46013</v>
      </c>
      <c r="J175" s="104">
        <f>I175-A175</f>
        <v>27</v>
      </c>
      <c r="K175" s="81">
        <v>18.809999999999999</v>
      </c>
      <c r="L175" s="82">
        <v>8.51</v>
      </c>
      <c r="M175" s="25">
        <f t="shared" si="26"/>
        <v>10.299999999999999</v>
      </c>
      <c r="N175" s="25" t="s">
        <v>592</v>
      </c>
    </row>
    <row r="176" spans="1:14" x14ac:dyDescent="0.25">
      <c r="A176" s="77">
        <v>45986</v>
      </c>
      <c r="B176" s="25" t="s">
        <v>409</v>
      </c>
      <c r="C176" s="77">
        <f>A176+23</f>
        <v>46009</v>
      </c>
      <c r="D176" s="77">
        <f>A176+7</f>
        <v>45993</v>
      </c>
      <c r="E176" s="77">
        <f>A176+14</f>
        <v>46000</v>
      </c>
      <c r="F176" s="77">
        <f>A176+20</f>
        <v>46006</v>
      </c>
      <c r="G176" s="77">
        <f>A176+8</f>
        <v>45994</v>
      </c>
      <c r="H176" s="77">
        <f>A176+15</f>
        <v>46001</v>
      </c>
      <c r="I176" s="77">
        <v>46013</v>
      </c>
      <c r="J176" s="104">
        <f>I176-A176</f>
        <v>27</v>
      </c>
      <c r="K176" s="81">
        <v>18.64</v>
      </c>
      <c r="L176" s="82">
        <v>8.49</v>
      </c>
      <c r="M176" s="25">
        <f t="shared" si="26"/>
        <v>10.15</v>
      </c>
      <c r="N176" s="25" t="s">
        <v>592</v>
      </c>
    </row>
    <row r="177" spans="1:14" x14ac:dyDescent="0.25">
      <c r="A177" s="77">
        <v>45986</v>
      </c>
      <c r="B177" s="25" t="s">
        <v>410</v>
      </c>
      <c r="C177" s="77">
        <f>A177+23</f>
        <v>46009</v>
      </c>
      <c r="D177" s="77">
        <f>A177+7</f>
        <v>45993</v>
      </c>
      <c r="E177" s="77">
        <f>A177+14</f>
        <v>46000</v>
      </c>
      <c r="F177" s="77">
        <f>A177+20</f>
        <v>46006</v>
      </c>
      <c r="G177" s="77">
        <f>A177+8</f>
        <v>45994</v>
      </c>
      <c r="H177" s="77">
        <f>A177+15</f>
        <v>46001</v>
      </c>
      <c r="I177" s="77">
        <v>46012</v>
      </c>
      <c r="J177" s="104">
        <f>I177-A177</f>
        <v>26</v>
      </c>
      <c r="K177" s="81">
        <v>16.73</v>
      </c>
      <c r="L177" s="82">
        <v>14.42</v>
      </c>
      <c r="M177" s="25">
        <f t="shared" si="26"/>
        <v>2.3100000000000005</v>
      </c>
      <c r="N177" s="25" t="s">
        <v>593</v>
      </c>
    </row>
    <row r="178" spans="1:14" x14ac:dyDescent="0.25">
      <c r="A178" s="77">
        <v>45986</v>
      </c>
      <c r="B178" s="25" t="s">
        <v>411</v>
      </c>
      <c r="C178" s="77">
        <f>A178+23</f>
        <v>46009</v>
      </c>
      <c r="D178" s="77">
        <f>A178+7</f>
        <v>45993</v>
      </c>
      <c r="E178" s="77">
        <f>A178+14</f>
        <v>46000</v>
      </c>
      <c r="F178" s="77">
        <f>A178+20</f>
        <v>46006</v>
      </c>
      <c r="G178" s="77">
        <f>A178+8</f>
        <v>45994</v>
      </c>
      <c r="H178" s="77">
        <f>A178+15</f>
        <v>46001</v>
      </c>
      <c r="I178" s="77">
        <v>46012</v>
      </c>
      <c r="J178" s="104">
        <f>I178-A178</f>
        <v>26</v>
      </c>
      <c r="K178" s="81">
        <v>18.89</v>
      </c>
      <c r="L178" s="82">
        <v>16.29</v>
      </c>
      <c r="M178" s="25">
        <f t="shared" si="26"/>
        <v>2.6000000000000014</v>
      </c>
      <c r="N178" s="25" t="s">
        <v>593</v>
      </c>
    </row>
    <row r="179" spans="1:14" x14ac:dyDescent="0.25">
      <c r="A179" s="77">
        <v>45987</v>
      </c>
      <c r="B179" s="25" t="s">
        <v>404</v>
      </c>
      <c r="C179" s="77">
        <f>A179+23</f>
        <v>46010</v>
      </c>
      <c r="D179" s="77">
        <f>A179+7</f>
        <v>45994</v>
      </c>
      <c r="E179" s="77">
        <f>A179+14</f>
        <v>46001</v>
      </c>
      <c r="F179" s="77">
        <f>A179+20</f>
        <v>46007</v>
      </c>
      <c r="G179" s="77">
        <f>A179+8</f>
        <v>45995</v>
      </c>
      <c r="H179" s="77">
        <f>A179+15</f>
        <v>46002</v>
      </c>
      <c r="I179" s="77">
        <v>46013</v>
      </c>
      <c r="J179" s="104">
        <f>I179-A179</f>
        <v>26</v>
      </c>
      <c r="K179" s="81">
        <v>17.559999999999999</v>
      </c>
      <c r="L179" s="82">
        <v>15.3</v>
      </c>
      <c r="M179" s="25">
        <f t="shared" si="26"/>
        <v>2.259999999999998</v>
      </c>
      <c r="N179" s="25" t="s">
        <v>593</v>
      </c>
    </row>
    <row r="180" spans="1:14" x14ac:dyDescent="0.25">
      <c r="A180" s="77">
        <v>45987</v>
      </c>
      <c r="B180" s="25" t="s">
        <v>405</v>
      </c>
      <c r="C180" s="77">
        <f>A180+23</f>
        <v>46010</v>
      </c>
      <c r="D180" s="77">
        <f>A180+7</f>
        <v>45994</v>
      </c>
      <c r="E180" s="77">
        <f>A180+14</f>
        <v>46001</v>
      </c>
      <c r="F180" s="77">
        <f>A180+20</f>
        <v>46007</v>
      </c>
      <c r="G180" s="77">
        <f>A180+8</f>
        <v>45995</v>
      </c>
      <c r="H180" s="77">
        <f>A180+15</f>
        <v>46002</v>
      </c>
      <c r="I180" s="77">
        <v>46013</v>
      </c>
      <c r="J180" s="104">
        <f>I180-A180</f>
        <v>26</v>
      </c>
      <c r="K180" s="81">
        <v>17.25</v>
      </c>
      <c r="L180" s="82">
        <v>15.19</v>
      </c>
      <c r="M180" s="25">
        <f t="shared" si="26"/>
        <v>2.0600000000000005</v>
      </c>
      <c r="N180" s="25" t="s">
        <v>593</v>
      </c>
    </row>
    <row r="181" spans="1:14" x14ac:dyDescent="0.25">
      <c r="A181" s="77">
        <v>45987</v>
      </c>
      <c r="B181" s="25" t="s">
        <v>406</v>
      </c>
      <c r="C181" s="77">
        <f>A181+23</f>
        <v>46010</v>
      </c>
      <c r="D181" s="77">
        <f>A181+7</f>
        <v>45994</v>
      </c>
      <c r="E181" s="77">
        <f>A181+14</f>
        <v>46001</v>
      </c>
      <c r="F181" s="77">
        <f>A181+20</f>
        <v>46007</v>
      </c>
      <c r="G181" s="77">
        <f>A181+8</f>
        <v>45995</v>
      </c>
      <c r="H181" s="77">
        <f>A181+15</f>
        <v>46002</v>
      </c>
      <c r="I181" s="77">
        <v>46013</v>
      </c>
      <c r="J181" s="104">
        <f>I181-A181</f>
        <v>26</v>
      </c>
      <c r="K181" s="81">
        <v>16.12</v>
      </c>
      <c r="L181" s="82">
        <v>14.35</v>
      </c>
      <c r="M181" s="25">
        <f t="shared" si="26"/>
        <v>1.7700000000000014</v>
      </c>
      <c r="N181" s="25" t="s">
        <v>593</v>
      </c>
    </row>
    <row r="182" spans="1:14" x14ac:dyDescent="0.25">
      <c r="A182" s="77">
        <v>45987</v>
      </c>
      <c r="B182" s="25" t="s">
        <v>407</v>
      </c>
      <c r="C182" s="77">
        <f>A182+23</f>
        <v>46010</v>
      </c>
      <c r="D182" s="77">
        <f>A182+7</f>
        <v>45994</v>
      </c>
      <c r="E182" s="77">
        <f>A182+14</f>
        <v>46001</v>
      </c>
      <c r="F182" s="77">
        <f>A182+20</f>
        <v>46007</v>
      </c>
      <c r="G182" s="77">
        <f>A182+8</f>
        <v>45995</v>
      </c>
      <c r="H182" s="77">
        <f>A182+15</f>
        <v>46002</v>
      </c>
      <c r="I182" s="77">
        <v>46013</v>
      </c>
      <c r="J182" s="104">
        <f>I182-A182</f>
        <v>26</v>
      </c>
      <c r="K182" s="81">
        <v>19.329999999999998</v>
      </c>
      <c r="L182" s="82">
        <v>9.27</v>
      </c>
      <c r="M182" s="25">
        <f t="shared" si="26"/>
        <v>10.059999999999999</v>
      </c>
      <c r="N182" s="25" t="s">
        <v>592</v>
      </c>
    </row>
    <row r="183" spans="1:14" x14ac:dyDescent="0.25">
      <c r="A183" s="77">
        <v>45987</v>
      </c>
      <c r="B183" s="25" t="s">
        <v>431</v>
      </c>
      <c r="C183" s="77">
        <f>A183+23</f>
        <v>46010</v>
      </c>
      <c r="D183" s="77">
        <f>A183+7</f>
        <v>45994</v>
      </c>
      <c r="E183" s="77">
        <f>A183+14</f>
        <v>46001</v>
      </c>
      <c r="F183" s="77">
        <f>A183+20</f>
        <v>46007</v>
      </c>
      <c r="G183" s="77">
        <f>A183+8</f>
        <v>45995</v>
      </c>
      <c r="H183" s="77">
        <f>A183+15</f>
        <v>46002</v>
      </c>
      <c r="I183" s="77"/>
      <c r="J183" s="104"/>
      <c r="K183" s="25"/>
      <c r="L183" s="25"/>
      <c r="M183" s="25"/>
      <c r="N183" s="25"/>
    </row>
    <row r="184" spans="1:14" x14ac:dyDescent="0.25">
      <c r="A184" s="77">
        <v>45987</v>
      </c>
      <c r="B184" s="25" t="s">
        <v>432</v>
      </c>
      <c r="C184" s="77">
        <f>A184+23</f>
        <v>46010</v>
      </c>
      <c r="D184" s="77">
        <f>A184+7</f>
        <v>45994</v>
      </c>
      <c r="E184" s="77">
        <f>A184+14</f>
        <v>46001</v>
      </c>
      <c r="F184" s="77">
        <f>A184+20</f>
        <v>46007</v>
      </c>
      <c r="G184" s="77">
        <f>A184+8</f>
        <v>45995</v>
      </c>
      <c r="H184" s="77">
        <f>A184+15</f>
        <v>46002</v>
      </c>
      <c r="I184" s="77"/>
      <c r="J184" s="104"/>
      <c r="K184" s="25"/>
      <c r="L184" s="25"/>
      <c r="M184" s="25"/>
      <c r="N184" s="25"/>
    </row>
    <row r="185" spans="1:14" x14ac:dyDescent="0.25">
      <c r="A185" s="77">
        <v>45987</v>
      </c>
      <c r="B185" s="25" t="s">
        <v>433</v>
      </c>
      <c r="C185" s="77">
        <f>A185+23</f>
        <v>46010</v>
      </c>
      <c r="D185" s="77">
        <f>A185+7</f>
        <v>45994</v>
      </c>
      <c r="E185" s="77">
        <f>A185+14</f>
        <v>46001</v>
      </c>
      <c r="F185" s="77">
        <f>A185+20</f>
        <v>46007</v>
      </c>
      <c r="G185" s="77">
        <f>A185+8</f>
        <v>45995</v>
      </c>
      <c r="H185" s="77">
        <f>A185+15</f>
        <v>46002</v>
      </c>
      <c r="I185" s="77"/>
      <c r="J185" s="104"/>
      <c r="K185" s="25"/>
      <c r="L185" s="25"/>
      <c r="M185" s="25"/>
      <c r="N185" s="25"/>
    </row>
    <row r="186" spans="1:14" x14ac:dyDescent="0.25">
      <c r="A186" s="77">
        <v>45987</v>
      </c>
      <c r="B186" s="25" t="s">
        <v>434</v>
      </c>
      <c r="C186" s="77">
        <f>A186+23</f>
        <v>46010</v>
      </c>
      <c r="D186" s="77">
        <f>A186+7</f>
        <v>45994</v>
      </c>
      <c r="E186" s="77">
        <f>A186+14</f>
        <v>46001</v>
      </c>
      <c r="F186" s="77">
        <f>A186+20</f>
        <v>46007</v>
      </c>
      <c r="G186" s="77">
        <f>A186+8</f>
        <v>45995</v>
      </c>
      <c r="H186" s="77">
        <f>A186+15</f>
        <v>46002</v>
      </c>
      <c r="I186" s="77"/>
      <c r="J186" s="104"/>
      <c r="K186" s="25"/>
      <c r="L186" s="25"/>
      <c r="M186" s="25"/>
      <c r="N186" s="25"/>
    </row>
    <row r="187" spans="1:14" x14ac:dyDescent="0.25">
      <c r="A187" s="77">
        <v>45988</v>
      </c>
      <c r="B187" s="25" t="s">
        <v>428</v>
      </c>
      <c r="C187" s="77">
        <f>A187+23</f>
        <v>46011</v>
      </c>
      <c r="D187" s="77">
        <f>A187+7</f>
        <v>45995</v>
      </c>
      <c r="E187" s="77">
        <f>A187+14</f>
        <v>46002</v>
      </c>
      <c r="F187" s="77">
        <f>A187+20</f>
        <v>46008</v>
      </c>
      <c r="G187" s="77">
        <f>A187+8</f>
        <v>45996</v>
      </c>
      <c r="H187" s="77">
        <f>A187+15</f>
        <v>46003</v>
      </c>
      <c r="I187" s="77">
        <v>46013</v>
      </c>
      <c r="J187" s="104">
        <f>I187-A187</f>
        <v>25</v>
      </c>
      <c r="K187" s="81">
        <v>14.13</v>
      </c>
      <c r="L187" s="82">
        <v>12.72</v>
      </c>
      <c r="M187" s="25">
        <f t="shared" si="26"/>
        <v>1.4100000000000001</v>
      </c>
      <c r="N187" s="25" t="s">
        <v>593</v>
      </c>
    </row>
    <row r="188" spans="1:14" x14ac:dyDescent="0.25">
      <c r="A188" s="77">
        <v>45988</v>
      </c>
      <c r="B188" s="25" t="s">
        <v>429</v>
      </c>
      <c r="C188" s="77">
        <f>A188+23</f>
        <v>46011</v>
      </c>
      <c r="D188" s="77">
        <f>A188+7</f>
        <v>45995</v>
      </c>
      <c r="E188" s="77">
        <f>A188+14</f>
        <v>46002</v>
      </c>
      <c r="F188" s="77">
        <f>A188+20</f>
        <v>46008</v>
      </c>
      <c r="G188" s="77">
        <f>A188+8</f>
        <v>45996</v>
      </c>
      <c r="H188" s="77">
        <f>A188+15</f>
        <v>46003</v>
      </c>
      <c r="I188" s="77">
        <v>46013</v>
      </c>
      <c r="J188" s="104">
        <f>I188-A188</f>
        <v>25</v>
      </c>
      <c r="K188" s="81">
        <v>14.02</v>
      </c>
      <c r="L188" s="82">
        <v>12.68</v>
      </c>
      <c r="M188" s="25">
        <f t="shared" si="26"/>
        <v>1.3399999999999999</v>
      </c>
      <c r="N188" s="25" t="s">
        <v>593</v>
      </c>
    </row>
    <row r="189" spans="1:14" x14ac:dyDescent="0.25">
      <c r="A189" s="77">
        <v>45988</v>
      </c>
      <c r="B189" s="25" t="s">
        <v>430</v>
      </c>
      <c r="C189" s="77">
        <f t="shared" si="18"/>
        <v>46011</v>
      </c>
      <c r="D189" s="77">
        <f t="shared" si="19"/>
        <v>45995</v>
      </c>
      <c r="E189" s="77">
        <f t="shared" si="20"/>
        <v>46002</v>
      </c>
      <c r="F189" s="77">
        <f t="shared" si="21"/>
        <v>46008</v>
      </c>
      <c r="G189" s="77">
        <f t="shared" si="22"/>
        <v>45996</v>
      </c>
      <c r="H189" s="77">
        <f t="shared" si="23"/>
        <v>46003</v>
      </c>
      <c r="I189" s="77"/>
      <c r="J189" s="78"/>
      <c r="K189" s="25"/>
      <c r="L189" s="25"/>
      <c r="M189" s="25"/>
      <c r="N189" s="25"/>
    </row>
    <row r="190" spans="1:14" x14ac:dyDescent="0.25">
      <c r="A190" s="77">
        <v>45988</v>
      </c>
      <c r="B190" s="25" t="s">
        <v>559</v>
      </c>
      <c r="C190" s="77">
        <f t="shared" si="18"/>
        <v>46011</v>
      </c>
      <c r="D190" s="77">
        <f t="shared" si="19"/>
        <v>45995</v>
      </c>
      <c r="E190" s="77">
        <f t="shared" si="20"/>
        <v>46002</v>
      </c>
      <c r="F190" s="77">
        <f t="shared" si="21"/>
        <v>46008</v>
      </c>
      <c r="G190" s="77">
        <f t="shared" si="22"/>
        <v>45996</v>
      </c>
      <c r="H190" s="77">
        <f t="shared" si="23"/>
        <v>46003</v>
      </c>
      <c r="I190" s="77"/>
      <c r="J190" s="78"/>
      <c r="K190" s="25"/>
      <c r="L190" s="25"/>
      <c r="M190" s="25"/>
      <c r="N190" s="25"/>
    </row>
    <row r="191" spans="1:14" x14ac:dyDescent="0.25">
      <c r="A191" s="77">
        <v>45988</v>
      </c>
      <c r="B191" s="25" t="s">
        <v>560</v>
      </c>
      <c r="C191" s="77">
        <f t="shared" si="18"/>
        <v>46011</v>
      </c>
      <c r="D191" s="77">
        <f t="shared" si="19"/>
        <v>45995</v>
      </c>
      <c r="E191" s="77">
        <f t="shared" si="20"/>
        <v>46002</v>
      </c>
      <c r="F191" s="77">
        <f t="shared" si="21"/>
        <v>46008</v>
      </c>
      <c r="G191" s="77">
        <f t="shared" si="22"/>
        <v>45996</v>
      </c>
      <c r="H191" s="77">
        <f t="shared" si="23"/>
        <v>46003</v>
      </c>
      <c r="I191" s="77"/>
      <c r="J191" s="78"/>
      <c r="K191" s="25"/>
      <c r="L191" s="25"/>
      <c r="M191" s="25"/>
      <c r="N191" s="25"/>
    </row>
    <row r="192" spans="1:14" x14ac:dyDescent="0.25">
      <c r="A192" s="77">
        <v>45988</v>
      </c>
      <c r="B192" s="25" t="s">
        <v>561</v>
      </c>
      <c r="C192" s="77">
        <f t="shared" si="18"/>
        <v>46011</v>
      </c>
      <c r="D192" s="77">
        <f t="shared" si="19"/>
        <v>45995</v>
      </c>
      <c r="E192" s="77">
        <f t="shared" si="20"/>
        <v>46002</v>
      </c>
      <c r="F192" s="77">
        <f t="shared" si="21"/>
        <v>46008</v>
      </c>
      <c r="G192" s="77">
        <f t="shared" si="22"/>
        <v>45996</v>
      </c>
      <c r="H192" s="77">
        <f t="shared" si="23"/>
        <v>46003</v>
      </c>
      <c r="I192" s="77"/>
      <c r="J192" s="78"/>
      <c r="K192" s="25"/>
      <c r="L192" s="25"/>
      <c r="M192" s="25"/>
      <c r="N192" s="25"/>
    </row>
    <row r="193" spans="1:14" x14ac:dyDescent="0.25">
      <c r="A193" s="77">
        <v>45988</v>
      </c>
      <c r="B193" s="25" t="s">
        <v>562</v>
      </c>
      <c r="C193" s="77">
        <f t="shared" si="18"/>
        <v>46011</v>
      </c>
      <c r="D193" s="77">
        <f t="shared" si="19"/>
        <v>45995</v>
      </c>
      <c r="E193" s="77">
        <f t="shared" si="20"/>
        <v>46002</v>
      </c>
      <c r="F193" s="77">
        <f t="shared" si="21"/>
        <v>46008</v>
      </c>
      <c r="G193" s="77">
        <f t="shared" si="22"/>
        <v>45996</v>
      </c>
      <c r="H193" s="77">
        <f t="shared" si="23"/>
        <v>46003</v>
      </c>
      <c r="I193" s="77"/>
      <c r="J193" s="78"/>
      <c r="K193" s="25"/>
      <c r="L193" s="25"/>
      <c r="M193" s="25"/>
      <c r="N193" s="25"/>
    </row>
    <row r="194" spans="1:14" x14ac:dyDescent="0.25">
      <c r="A194" s="77">
        <v>45989</v>
      </c>
      <c r="B194" s="25" t="s">
        <v>563</v>
      </c>
      <c r="C194" s="77">
        <f t="shared" si="18"/>
        <v>46012</v>
      </c>
      <c r="D194" s="77">
        <f t="shared" si="19"/>
        <v>45996</v>
      </c>
      <c r="E194" s="77">
        <f t="shared" si="20"/>
        <v>46003</v>
      </c>
      <c r="F194" s="77">
        <f t="shared" si="21"/>
        <v>46009</v>
      </c>
      <c r="G194" s="77">
        <f t="shared" si="22"/>
        <v>45997</v>
      </c>
      <c r="H194" s="77">
        <f t="shared" si="23"/>
        <v>46004</v>
      </c>
      <c r="I194" s="77"/>
      <c r="J194" s="78"/>
      <c r="K194" s="25"/>
      <c r="L194" s="25"/>
      <c r="M194" s="25"/>
      <c r="N194" s="25"/>
    </row>
    <row r="195" spans="1:14" x14ac:dyDescent="0.25">
      <c r="A195" s="77">
        <v>45989</v>
      </c>
      <c r="B195" s="25" t="s">
        <v>564</v>
      </c>
      <c r="C195" s="77">
        <f t="shared" ref="C195:C258" si="27">A195+23</f>
        <v>46012</v>
      </c>
      <c r="D195" s="77">
        <f t="shared" ref="D195:D258" si="28">A195+7</f>
        <v>45996</v>
      </c>
      <c r="E195" s="77">
        <f t="shared" ref="E195:E258" si="29">A195+14</f>
        <v>46003</v>
      </c>
      <c r="F195" s="77">
        <f t="shared" ref="F195:F258" si="30">A195+20</f>
        <v>46009</v>
      </c>
      <c r="G195" s="77">
        <f t="shared" ref="G195:G258" si="31">A195+8</f>
        <v>45997</v>
      </c>
      <c r="H195" s="77">
        <f t="shared" ref="H195:H258" si="32">A195+15</f>
        <v>46004</v>
      </c>
      <c r="I195" s="77"/>
      <c r="J195" s="78"/>
      <c r="K195" s="25"/>
      <c r="L195" s="25"/>
      <c r="M195" s="25"/>
      <c r="N195" s="25"/>
    </row>
    <row r="196" spans="1:14" x14ac:dyDescent="0.25">
      <c r="A196" s="77">
        <v>45989</v>
      </c>
      <c r="B196" s="25" t="s">
        <v>565</v>
      </c>
      <c r="C196" s="77">
        <f t="shared" si="27"/>
        <v>46012</v>
      </c>
      <c r="D196" s="77">
        <f t="shared" si="28"/>
        <v>45996</v>
      </c>
      <c r="E196" s="77">
        <f t="shared" si="29"/>
        <v>46003</v>
      </c>
      <c r="F196" s="77">
        <f t="shared" si="30"/>
        <v>46009</v>
      </c>
      <c r="G196" s="77">
        <f t="shared" si="31"/>
        <v>45997</v>
      </c>
      <c r="H196" s="77">
        <f t="shared" si="32"/>
        <v>46004</v>
      </c>
      <c r="I196" s="77"/>
      <c r="J196" s="78"/>
      <c r="K196" s="25"/>
      <c r="L196" s="25"/>
      <c r="M196" s="25"/>
      <c r="N196" s="25"/>
    </row>
    <row r="197" spans="1:14" x14ac:dyDescent="0.25">
      <c r="A197" s="77">
        <v>45989</v>
      </c>
      <c r="B197" s="25" t="s">
        <v>566</v>
      </c>
      <c r="C197" s="77">
        <f t="shared" si="27"/>
        <v>46012</v>
      </c>
      <c r="D197" s="77">
        <f t="shared" si="28"/>
        <v>45996</v>
      </c>
      <c r="E197" s="77">
        <f t="shared" si="29"/>
        <v>46003</v>
      </c>
      <c r="F197" s="77">
        <f t="shared" si="30"/>
        <v>46009</v>
      </c>
      <c r="G197" s="77">
        <f t="shared" si="31"/>
        <v>45997</v>
      </c>
      <c r="H197" s="77">
        <f t="shared" si="32"/>
        <v>46004</v>
      </c>
      <c r="I197" s="77"/>
      <c r="J197" s="78"/>
      <c r="K197" s="25"/>
      <c r="L197" s="25"/>
      <c r="M197" s="25"/>
      <c r="N197" s="25"/>
    </row>
    <row r="198" spans="1:14" x14ac:dyDescent="0.25">
      <c r="A198" s="77">
        <v>45989</v>
      </c>
      <c r="B198" s="25" t="s">
        <v>567</v>
      </c>
      <c r="C198" s="77">
        <f t="shared" si="27"/>
        <v>46012</v>
      </c>
      <c r="D198" s="77">
        <f t="shared" si="28"/>
        <v>45996</v>
      </c>
      <c r="E198" s="77">
        <f t="shared" si="29"/>
        <v>46003</v>
      </c>
      <c r="F198" s="77">
        <f t="shared" si="30"/>
        <v>46009</v>
      </c>
      <c r="G198" s="77">
        <f t="shared" si="31"/>
        <v>45997</v>
      </c>
      <c r="H198" s="77">
        <f t="shared" si="32"/>
        <v>46004</v>
      </c>
      <c r="I198" s="77"/>
      <c r="J198" s="78"/>
      <c r="K198" s="25"/>
      <c r="L198" s="25"/>
      <c r="M198" s="25"/>
      <c r="N198" s="25"/>
    </row>
    <row r="199" spans="1:14" x14ac:dyDescent="0.25">
      <c r="A199" s="77">
        <v>45989</v>
      </c>
      <c r="B199" s="25" t="s">
        <v>568</v>
      </c>
      <c r="C199" s="77">
        <f t="shared" si="27"/>
        <v>46012</v>
      </c>
      <c r="D199" s="77">
        <f t="shared" si="28"/>
        <v>45996</v>
      </c>
      <c r="E199" s="77">
        <f t="shared" si="29"/>
        <v>46003</v>
      </c>
      <c r="F199" s="77">
        <f t="shared" si="30"/>
        <v>46009</v>
      </c>
      <c r="G199" s="77">
        <f t="shared" si="31"/>
        <v>45997</v>
      </c>
      <c r="H199" s="77">
        <f t="shared" si="32"/>
        <v>46004</v>
      </c>
      <c r="I199" s="77"/>
      <c r="J199" s="78"/>
      <c r="K199" s="25"/>
      <c r="L199" s="25"/>
      <c r="M199" s="25"/>
      <c r="N199" s="25"/>
    </row>
    <row r="200" spans="1:14" x14ac:dyDescent="0.25">
      <c r="A200" s="77">
        <v>45989</v>
      </c>
      <c r="B200" s="25" t="s">
        <v>569</v>
      </c>
      <c r="C200" s="77">
        <f t="shared" si="27"/>
        <v>46012</v>
      </c>
      <c r="D200" s="77">
        <f t="shared" si="28"/>
        <v>45996</v>
      </c>
      <c r="E200" s="77">
        <f t="shared" si="29"/>
        <v>46003</v>
      </c>
      <c r="F200" s="77">
        <f t="shared" si="30"/>
        <v>46009</v>
      </c>
      <c r="G200" s="77">
        <f t="shared" si="31"/>
        <v>45997</v>
      </c>
      <c r="H200" s="77">
        <f t="shared" si="32"/>
        <v>46004</v>
      </c>
      <c r="I200" s="77"/>
      <c r="J200" s="78"/>
      <c r="K200" s="25"/>
      <c r="L200" s="25"/>
      <c r="M200" s="25"/>
      <c r="N200" s="25"/>
    </row>
    <row r="201" spans="1:14" x14ac:dyDescent="0.25">
      <c r="A201" s="77">
        <v>45990</v>
      </c>
      <c r="B201" s="25" t="s">
        <v>570</v>
      </c>
      <c r="C201" s="77">
        <f t="shared" si="27"/>
        <v>46013</v>
      </c>
      <c r="D201" s="77">
        <f t="shared" si="28"/>
        <v>45997</v>
      </c>
      <c r="E201" s="77">
        <f t="shared" si="29"/>
        <v>46004</v>
      </c>
      <c r="F201" s="77">
        <f t="shared" si="30"/>
        <v>46010</v>
      </c>
      <c r="G201" s="77">
        <f t="shared" si="31"/>
        <v>45998</v>
      </c>
      <c r="H201" s="77">
        <f t="shared" si="32"/>
        <v>46005</v>
      </c>
      <c r="I201" s="77"/>
      <c r="J201" s="78"/>
      <c r="K201" s="25"/>
      <c r="L201" s="25"/>
      <c r="M201" s="25"/>
      <c r="N201" s="25"/>
    </row>
    <row r="202" spans="1:14" x14ac:dyDescent="0.25">
      <c r="A202" s="77">
        <v>45990</v>
      </c>
      <c r="B202" s="25" t="s">
        <v>571</v>
      </c>
      <c r="C202" s="77">
        <f t="shared" si="27"/>
        <v>46013</v>
      </c>
      <c r="D202" s="77">
        <f t="shared" si="28"/>
        <v>45997</v>
      </c>
      <c r="E202" s="77">
        <f t="shared" si="29"/>
        <v>46004</v>
      </c>
      <c r="F202" s="77">
        <f t="shared" si="30"/>
        <v>46010</v>
      </c>
      <c r="G202" s="77">
        <f t="shared" si="31"/>
        <v>45998</v>
      </c>
      <c r="H202" s="77">
        <f t="shared" si="32"/>
        <v>46005</v>
      </c>
      <c r="I202" s="77"/>
      <c r="J202" s="78"/>
      <c r="K202" s="25"/>
      <c r="L202" s="25"/>
      <c r="M202" s="25"/>
      <c r="N202" s="25"/>
    </row>
    <row r="203" spans="1:14" x14ac:dyDescent="0.25">
      <c r="A203" s="77">
        <v>45990</v>
      </c>
      <c r="B203" s="25" t="s">
        <v>572</v>
      </c>
      <c r="C203" s="77">
        <f t="shared" si="27"/>
        <v>46013</v>
      </c>
      <c r="D203" s="77">
        <f t="shared" si="28"/>
        <v>45997</v>
      </c>
      <c r="E203" s="77">
        <f t="shared" si="29"/>
        <v>46004</v>
      </c>
      <c r="F203" s="77">
        <f t="shared" si="30"/>
        <v>46010</v>
      </c>
      <c r="G203" s="77">
        <f t="shared" si="31"/>
        <v>45998</v>
      </c>
      <c r="H203" s="77">
        <f t="shared" si="32"/>
        <v>46005</v>
      </c>
      <c r="I203" s="77"/>
      <c r="J203" s="78"/>
      <c r="K203" s="25"/>
      <c r="L203" s="25"/>
      <c r="M203" s="25"/>
      <c r="N203" s="25"/>
    </row>
    <row r="204" spans="1:14" x14ac:dyDescent="0.25">
      <c r="A204" s="77">
        <v>45990</v>
      </c>
      <c r="B204" s="25" t="s">
        <v>573</v>
      </c>
      <c r="C204" s="77">
        <f t="shared" si="27"/>
        <v>46013</v>
      </c>
      <c r="D204" s="77">
        <f t="shared" si="28"/>
        <v>45997</v>
      </c>
      <c r="E204" s="77">
        <f t="shared" si="29"/>
        <v>46004</v>
      </c>
      <c r="F204" s="77">
        <f t="shared" si="30"/>
        <v>46010</v>
      </c>
      <c r="G204" s="77">
        <f t="shared" si="31"/>
        <v>45998</v>
      </c>
      <c r="H204" s="77">
        <f t="shared" si="32"/>
        <v>46005</v>
      </c>
      <c r="I204" s="77"/>
      <c r="J204" s="78"/>
      <c r="K204" s="25"/>
      <c r="L204" s="25"/>
      <c r="M204" s="25"/>
      <c r="N204" s="25"/>
    </row>
    <row r="205" spans="1:14" x14ac:dyDescent="0.25">
      <c r="A205" s="77">
        <v>45990</v>
      </c>
      <c r="B205" s="25" t="s">
        <v>574</v>
      </c>
      <c r="C205" s="77">
        <f t="shared" si="27"/>
        <v>46013</v>
      </c>
      <c r="D205" s="77">
        <f t="shared" si="28"/>
        <v>45997</v>
      </c>
      <c r="E205" s="77">
        <f t="shared" si="29"/>
        <v>46004</v>
      </c>
      <c r="F205" s="77">
        <f t="shared" si="30"/>
        <v>46010</v>
      </c>
      <c r="G205" s="77">
        <f t="shared" si="31"/>
        <v>45998</v>
      </c>
      <c r="H205" s="77">
        <f t="shared" si="32"/>
        <v>46005</v>
      </c>
      <c r="I205" s="77"/>
      <c r="J205" s="78"/>
      <c r="K205" s="25"/>
      <c r="L205" s="25"/>
      <c r="M205" s="25"/>
      <c r="N205" s="25"/>
    </row>
    <row r="206" spans="1:14" x14ac:dyDescent="0.25">
      <c r="A206" s="77">
        <v>45990</v>
      </c>
      <c r="B206" s="25" t="s">
        <v>575</v>
      </c>
      <c r="C206" s="77">
        <f t="shared" si="27"/>
        <v>46013</v>
      </c>
      <c r="D206" s="77">
        <f t="shared" si="28"/>
        <v>45997</v>
      </c>
      <c r="E206" s="77">
        <f t="shared" si="29"/>
        <v>46004</v>
      </c>
      <c r="F206" s="77">
        <f t="shared" si="30"/>
        <v>46010</v>
      </c>
      <c r="G206" s="77">
        <f t="shared" si="31"/>
        <v>45998</v>
      </c>
      <c r="H206" s="77">
        <f t="shared" si="32"/>
        <v>46005</v>
      </c>
      <c r="I206" s="77"/>
      <c r="J206" s="78"/>
      <c r="K206" s="25"/>
      <c r="L206" s="25"/>
      <c r="M206" s="25"/>
      <c r="N206" s="25"/>
    </row>
    <row r="207" spans="1:14" x14ac:dyDescent="0.25">
      <c r="A207" s="77">
        <v>45990</v>
      </c>
      <c r="B207" s="25" t="s">
        <v>576</v>
      </c>
      <c r="C207" s="77">
        <f t="shared" si="27"/>
        <v>46013</v>
      </c>
      <c r="D207" s="77">
        <f t="shared" si="28"/>
        <v>45997</v>
      </c>
      <c r="E207" s="77">
        <f t="shared" si="29"/>
        <v>46004</v>
      </c>
      <c r="F207" s="77">
        <f t="shared" si="30"/>
        <v>46010</v>
      </c>
      <c r="G207" s="77">
        <f t="shared" si="31"/>
        <v>45998</v>
      </c>
      <c r="H207" s="77">
        <f t="shared" si="32"/>
        <v>46005</v>
      </c>
      <c r="I207" s="77"/>
      <c r="J207" s="78"/>
      <c r="K207" s="25"/>
      <c r="L207" s="25"/>
      <c r="M207" s="25"/>
      <c r="N207" s="25"/>
    </row>
    <row r="208" spans="1:14" x14ac:dyDescent="0.25">
      <c r="A208" s="77">
        <v>45991</v>
      </c>
      <c r="B208" s="25" t="s">
        <v>458</v>
      </c>
      <c r="C208" s="77">
        <f t="shared" si="27"/>
        <v>46014</v>
      </c>
      <c r="D208" s="77">
        <f t="shared" si="28"/>
        <v>45998</v>
      </c>
      <c r="E208" s="77">
        <f t="shared" si="29"/>
        <v>46005</v>
      </c>
      <c r="F208" s="77">
        <f t="shared" si="30"/>
        <v>46011</v>
      </c>
      <c r="G208" s="77">
        <f t="shared" si="31"/>
        <v>45999</v>
      </c>
      <c r="H208" s="77">
        <f t="shared" si="32"/>
        <v>46006</v>
      </c>
      <c r="I208" s="77"/>
      <c r="J208" s="78"/>
      <c r="K208" s="25"/>
      <c r="L208" s="25"/>
      <c r="M208" s="25"/>
      <c r="N208" s="25"/>
    </row>
    <row r="209" spans="1:14" x14ac:dyDescent="0.25">
      <c r="A209" s="77">
        <v>45991</v>
      </c>
      <c r="B209" s="25" t="s">
        <v>459</v>
      </c>
      <c r="C209" s="77">
        <f t="shared" si="27"/>
        <v>46014</v>
      </c>
      <c r="D209" s="77">
        <f t="shared" si="28"/>
        <v>45998</v>
      </c>
      <c r="E209" s="77">
        <f t="shared" si="29"/>
        <v>46005</v>
      </c>
      <c r="F209" s="77">
        <f t="shared" si="30"/>
        <v>46011</v>
      </c>
      <c r="G209" s="77">
        <f t="shared" si="31"/>
        <v>45999</v>
      </c>
      <c r="H209" s="77">
        <f t="shared" si="32"/>
        <v>46006</v>
      </c>
      <c r="I209" s="77"/>
      <c r="J209" s="78"/>
      <c r="K209" s="25"/>
      <c r="L209" s="25"/>
      <c r="M209" s="25"/>
      <c r="N209" s="25"/>
    </row>
    <row r="210" spans="1:14" x14ac:dyDescent="0.25">
      <c r="A210" s="77">
        <v>45991</v>
      </c>
      <c r="B210" s="25" t="s">
        <v>460</v>
      </c>
      <c r="C210" s="77">
        <f t="shared" si="27"/>
        <v>46014</v>
      </c>
      <c r="D210" s="77">
        <f t="shared" si="28"/>
        <v>45998</v>
      </c>
      <c r="E210" s="77">
        <f t="shared" si="29"/>
        <v>46005</v>
      </c>
      <c r="F210" s="77">
        <f t="shared" si="30"/>
        <v>46011</v>
      </c>
      <c r="G210" s="77">
        <f t="shared" si="31"/>
        <v>45999</v>
      </c>
      <c r="H210" s="77">
        <f t="shared" si="32"/>
        <v>46006</v>
      </c>
      <c r="I210" s="77"/>
      <c r="J210" s="78"/>
      <c r="K210" s="25"/>
      <c r="L210" s="25"/>
      <c r="M210" s="25"/>
      <c r="N210" s="25"/>
    </row>
    <row r="211" spans="1:14" x14ac:dyDescent="0.25">
      <c r="A211" s="77">
        <v>45991</v>
      </c>
      <c r="B211" s="25" t="s">
        <v>461</v>
      </c>
      <c r="C211" s="77">
        <f t="shared" si="27"/>
        <v>46014</v>
      </c>
      <c r="D211" s="77">
        <f t="shared" si="28"/>
        <v>45998</v>
      </c>
      <c r="E211" s="77">
        <f t="shared" si="29"/>
        <v>46005</v>
      </c>
      <c r="F211" s="77">
        <f t="shared" si="30"/>
        <v>46011</v>
      </c>
      <c r="G211" s="77">
        <f t="shared" si="31"/>
        <v>45999</v>
      </c>
      <c r="H211" s="77">
        <f t="shared" si="32"/>
        <v>46006</v>
      </c>
      <c r="I211" s="77"/>
      <c r="J211" s="78"/>
      <c r="K211" s="25"/>
      <c r="L211" s="25"/>
      <c r="M211" s="25"/>
      <c r="N211" s="25"/>
    </row>
    <row r="212" spans="1:14" x14ac:dyDescent="0.25">
      <c r="A212" s="77">
        <v>45991</v>
      </c>
      <c r="B212" s="25" t="s">
        <v>577</v>
      </c>
      <c r="C212" s="77">
        <f t="shared" si="27"/>
        <v>46014</v>
      </c>
      <c r="D212" s="77">
        <f t="shared" si="28"/>
        <v>45998</v>
      </c>
      <c r="E212" s="77">
        <f t="shared" si="29"/>
        <v>46005</v>
      </c>
      <c r="F212" s="77">
        <f t="shared" si="30"/>
        <v>46011</v>
      </c>
      <c r="G212" s="77">
        <f t="shared" si="31"/>
        <v>45999</v>
      </c>
      <c r="H212" s="77">
        <f t="shared" si="32"/>
        <v>46006</v>
      </c>
      <c r="I212" s="77"/>
      <c r="J212" s="78"/>
      <c r="K212" s="25"/>
      <c r="L212" s="25"/>
      <c r="M212" s="25"/>
      <c r="N212" s="25"/>
    </row>
    <row r="213" spans="1:14" x14ac:dyDescent="0.25">
      <c r="A213" s="77">
        <v>45991</v>
      </c>
      <c r="B213" s="25" t="s">
        <v>578</v>
      </c>
      <c r="C213" s="77">
        <f t="shared" si="27"/>
        <v>46014</v>
      </c>
      <c r="D213" s="77">
        <f t="shared" si="28"/>
        <v>45998</v>
      </c>
      <c r="E213" s="77">
        <f t="shared" si="29"/>
        <v>46005</v>
      </c>
      <c r="F213" s="77">
        <f t="shared" si="30"/>
        <v>46011</v>
      </c>
      <c r="G213" s="77">
        <f t="shared" si="31"/>
        <v>45999</v>
      </c>
      <c r="H213" s="77">
        <f t="shared" si="32"/>
        <v>46006</v>
      </c>
      <c r="I213" s="77"/>
      <c r="J213" s="78"/>
      <c r="K213" s="25"/>
      <c r="L213" s="25"/>
      <c r="M213" s="25"/>
      <c r="N213" s="25"/>
    </row>
    <row r="214" spans="1:14" x14ac:dyDescent="0.25">
      <c r="A214" s="77">
        <v>45991</v>
      </c>
      <c r="B214" s="25" t="s">
        <v>1144</v>
      </c>
      <c r="C214" s="77">
        <f t="shared" si="27"/>
        <v>46014</v>
      </c>
      <c r="D214" s="77">
        <f t="shared" si="28"/>
        <v>45998</v>
      </c>
      <c r="E214" s="77">
        <f t="shared" si="29"/>
        <v>46005</v>
      </c>
      <c r="F214" s="77">
        <f t="shared" si="30"/>
        <v>46011</v>
      </c>
      <c r="G214" s="77">
        <f t="shared" si="31"/>
        <v>45999</v>
      </c>
      <c r="H214" s="77">
        <f t="shared" si="32"/>
        <v>46006</v>
      </c>
      <c r="I214" s="77"/>
      <c r="J214" s="78"/>
      <c r="K214" s="25"/>
      <c r="L214" s="25"/>
      <c r="M214" s="25"/>
      <c r="N214" s="25"/>
    </row>
    <row r="215" spans="1:14" x14ac:dyDescent="0.25">
      <c r="A215" s="77">
        <v>45992</v>
      </c>
      <c r="B215" s="25" t="s">
        <v>462</v>
      </c>
      <c r="C215" s="77">
        <f t="shared" si="27"/>
        <v>46015</v>
      </c>
      <c r="D215" s="77">
        <f t="shared" si="28"/>
        <v>45999</v>
      </c>
      <c r="E215" s="77">
        <f t="shared" si="29"/>
        <v>46006</v>
      </c>
      <c r="F215" s="77">
        <f t="shared" si="30"/>
        <v>46012</v>
      </c>
      <c r="G215" s="77">
        <f t="shared" si="31"/>
        <v>46000</v>
      </c>
      <c r="H215" s="77">
        <f t="shared" si="32"/>
        <v>46007</v>
      </c>
      <c r="I215" s="77"/>
      <c r="J215" s="78"/>
      <c r="K215" s="25"/>
      <c r="L215" s="25"/>
      <c r="M215" s="25"/>
      <c r="N215" s="25"/>
    </row>
    <row r="216" spans="1:14" x14ac:dyDescent="0.25">
      <c r="A216" s="77">
        <v>45992</v>
      </c>
      <c r="B216" s="25" t="s">
        <v>463</v>
      </c>
      <c r="C216" s="77">
        <f t="shared" si="27"/>
        <v>46015</v>
      </c>
      <c r="D216" s="77">
        <f t="shared" si="28"/>
        <v>45999</v>
      </c>
      <c r="E216" s="77">
        <f t="shared" si="29"/>
        <v>46006</v>
      </c>
      <c r="F216" s="77">
        <f t="shared" si="30"/>
        <v>46012</v>
      </c>
      <c r="G216" s="77">
        <f t="shared" si="31"/>
        <v>46000</v>
      </c>
      <c r="H216" s="77">
        <f t="shared" si="32"/>
        <v>46007</v>
      </c>
      <c r="I216" s="77"/>
      <c r="J216" s="78"/>
      <c r="K216" s="25"/>
      <c r="L216" s="25"/>
      <c r="M216" s="25"/>
      <c r="N216" s="25"/>
    </row>
    <row r="217" spans="1:14" x14ac:dyDescent="0.25">
      <c r="A217" s="77">
        <v>45992</v>
      </c>
      <c r="B217" s="25" t="s">
        <v>464</v>
      </c>
      <c r="C217" s="77">
        <f t="shared" si="27"/>
        <v>46015</v>
      </c>
      <c r="D217" s="77">
        <f t="shared" si="28"/>
        <v>45999</v>
      </c>
      <c r="E217" s="77">
        <f t="shared" si="29"/>
        <v>46006</v>
      </c>
      <c r="F217" s="77">
        <f t="shared" si="30"/>
        <v>46012</v>
      </c>
      <c r="G217" s="77">
        <f t="shared" si="31"/>
        <v>46000</v>
      </c>
      <c r="H217" s="77">
        <f t="shared" si="32"/>
        <v>46007</v>
      </c>
      <c r="I217" s="77"/>
      <c r="J217" s="78"/>
      <c r="K217" s="25"/>
      <c r="L217" s="25"/>
      <c r="M217" s="25"/>
      <c r="N217" s="25"/>
    </row>
    <row r="218" spans="1:14" x14ac:dyDescent="0.25">
      <c r="A218" s="77">
        <v>45992</v>
      </c>
      <c r="B218" s="25" t="s">
        <v>424</v>
      </c>
      <c r="C218" s="77">
        <f t="shared" si="27"/>
        <v>46015</v>
      </c>
      <c r="D218" s="77">
        <f t="shared" si="28"/>
        <v>45999</v>
      </c>
      <c r="E218" s="77">
        <f t="shared" si="29"/>
        <v>46006</v>
      </c>
      <c r="F218" s="77">
        <f t="shared" si="30"/>
        <v>46012</v>
      </c>
      <c r="G218" s="77">
        <f t="shared" si="31"/>
        <v>46000</v>
      </c>
      <c r="H218" s="77">
        <f t="shared" si="32"/>
        <v>46007</v>
      </c>
      <c r="I218" s="77"/>
      <c r="J218" s="78"/>
      <c r="K218" s="25"/>
      <c r="L218" s="25"/>
      <c r="M218" s="25"/>
      <c r="N218" s="25"/>
    </row>
    <row r="219" spans="1:14" x14ac:dyDescent="0.25">
      <c r="A219" s="77">
        <v>45992</v>
      </c>
      <c r="B219" s="25" t="s">
        <v>425</v>
      </c>
      <c r="C219" s="77">
        <f t="shared" si="27"/>
        <v>46015</v>
      </c>
      <c r="D219" s="77">
        <f t="shared" si="28"/>
        <v>45999</v>
      </c>
      <c r="E219" s="77">
        <f t="shared" si="29"/>
        <v>46006</v>
      </c>
      <c r="F219" s="77">
        <f t="shared" si="30"/>
        <v>46012</v>
      </c>
      <c r="G219" s="77">
        <f t="shared" si="31"/>
        <v>46000</v>
      </c>
      <c r="H219" s="77">
        <f t="shared" si="32"/>
        <v>46007</v>
      </c>
      <c r="I219" s="77"/>
      <c r="J219" s="78"/>
      <c r="K219" s="25"/>
      <c r="L219" s="25"/>
      <c r="M219" s="25"/>
      <c r="N219" s="25"/>
    </row>
    <row r="220" spans="1:14" x14ac:dyDescent="0.25">
      <c r="A220" s="77">
        <v>45992</v>
      </c>
      <c r="B220" s="25" t="s">
        <v>426</v>
      </c>
      <c r="C220" s="77">
        <f t="shared" si="27"/>
        <v>46015</v>
      </c>
      <c r="D220" s="77">
        <f t="shared" si="28"/>
        <v>45999</v>
      </c>
      <c r="E220" s="77">
        <f t="shared" si="29"/>
        <v>46006</v>
      </c>
      <c r="F220" s="77">
        <f t="shared" si="30"/>
        <v>46012</v>
      </c>
      <c r="G220" s="77">
        <f t="shared" si="31"/>
        <v>46000</v>
      </c>
      <c r="H220" s="77">
        <f t="shared" si="32"/>
        <v>46007</v>
      </c>
      <c r="I220" s="77"/>
      <c r="J220" s="78"/>
      <c r="K220" s="25"/>
      <c r="L220" s="25"/>
      <c r="M220" s="25"/>
      <c r="N220" s="25"/>
    </row>
    <row r="221" spans="1:14" x14ac:dyDescent="0.25">
      <c r="A221" s="77">
        <v>45992</v>
      </c>
      <c r="B221" s="25" t="s">
        <v>427</v>
      </c>
      <c r="C221" s="77">
        <f t="shared" si="27"/>
        <v>46015</v>
      </c>
      <c r="D221" s="77">
        <f t="shared" si="28"/>
        <v>45999</v>
      </c>
      <c r="E221" s="77">
        <f t="shared" si="29"/>
        <v>46006</v>
      </c>
      <c r="F221" s="77">
        <f t="shared" si="30"/>
        <v>46012</v>
      </c>
      <c r="G221" s="77">
        <f t="shared" si="31"/>
        <v>46000</v>
      </c>
      <c r="H221" s="77">
        <f t="shared" si="32"/>
        <v>46007</v>
      </c>
      <c r="I221" s="77"/>
      <c r="J221" s="78"/>
      <c r="K221" s="25"/>
      <c r="L221" s="25"/>
      <c r="M221" s="25"/>
      <c r="N221" s="25"/>
    </row>
    <row r="222" spans="1:14" x14ac:dyDescent="0.25">
      <c r="A222" s="77">
        <v>45994</v>
      </c>
      <c r="B222" s="25" t="s">
        <v>421</v>
      </c>
      <c r="C222" s="77">
        <f t="shared" si="27"/>
        <v>46017</v>
      </c>
      <c r="D222" s="77">
        <f t="shared" si="28"/>
        <v>46001</v>
      </c>
      <c r="E222" s="77">
        <f t="shared" si="29"/>
        <v>46008</v>
      </c>
      <c r="F222" s="77">
        <f t="shared" si="30"/>
        <v>46014</v>
      </c>
      <c r="G222" s="77">
        <f t="shared" si="31"/>
        <v>46002</v>
      </c>
      <c r="H222" s="77">
        <f t="shared" si="32"/>
        <v>46009</v>
      </c>
      <c r="I222" s="77"/>
      <c r="J222" s="78"/>
      <c r="K222" s="25"/>
      <c r="L222" s="25"/>
      <c r="M222" s="25"/>
      <c r="N222" s="25"/>
    </row>
    <row r="223" spans="1:14" x14ac:dyDescent="0.25">
      <c r="A223" s="77">
        <v>45994</v>
      </c>
      <c r="B223" s="25" t="s">
        <v>422</v>
      </c>
      <c r="C223" s="77">
        <f t="shared" si="27"/>
        <v>46017</v>
      </c>
      <c r="D223" s="77">
        <f t="shared" si="28"/>
        <v>46001</v>
      </c>
      <c r="E223" s="77">
        <f t="shared" si="29"/>
        <v>46008</v>
      </c>
      <c r="F223" s="77">
        <f t="shared" si="30"/>
        <v>46014</v>
      </c>
      <c r="G223" s="77">
        <f t="shared" si="31"/>
        <v>46002</v>
      </c>
      <c r="H223" s="77">
        <f t="shared" si="32"/>
        <v>46009</v>
      </c>
      <c r="I223" s="77"/>
      <c r="J223" s="78"/>
      <c r="K223" s="25"/>
      <c r="L223" s="25"/>
      <c r="M223" s="25"/>
      <c r="N223" s="25"/>
    </row>
    <row r="224" spans="1:14" x14ac:dyDescent="0.25">
      <c r="A224" s="77">
        <v>45994</v>
      </c>
      <c r="B224" s="25" t="s">
        <v>423</v>
      </c>
      <c r="C224" s="77">
        <f t="shared" si="27"/>
        <v>46017</v>
      </c>
      <c r="D224" s="77">
        <f t="shared" si="28"/>
        <v>46001</v>
      </c>
      <c r="E224" s="77">
        <f t="shared" si="29"/>
        <v>46008</v>
      </c>
      <c r="F224" s="77">
        <f t="shared" si="30"/>
        <v>46014</v>
      </c>
      <c r="G224" s="77">
        <f t="shared" si="31"/>
        <v>46002</v>
      </c>
      <c r="H224" s="77">
        <f t="shared" si="32"/>
        <v>46009</v>
      </c>
      <c r="I224" s="77"/>
      <c r="J224" s="78"/>
      <c r="K224" s="25"/>
      <c r="L224" s="25"/>
      <c r="M224" s="25"/>
      <c r="N224" s="25"/>
    </row>
    <row r="225" spans="1:14" x14ac:dyDescent="0.25">
      <c r="A225" s="77">
        <v>45994</v>
      </c>
      <c r="B225" s="25" t="s">
        <v>452</v>
      </c>
      <c r="C225" s="77">
        <f t="shared" si="27"/>
        <v>46017</v>
      </c>
      <c r="D225" s="77">
        <f t="shared" si="28"/>
        <v>46001</v>
      </c>
      <c r="E225" s="77">
        <f t="shared" si="29"/>
        <v>46008</v>
      </c>
      <c r="F225" s="77">
        <f t="shared" si="30"/>
        <v>46014</v>
      </c>
      <c r="G225" s="77">
        <f t="shared" si="31"/>
        <v>46002</v>
      </c>
      <c r="H225" s="77">
        <f t="shared" si="32"/>
        <v>46009</v>
      </c>
      <c r="I225" s="77"/>
      <c r="J225" s="78"/>
      <c r="K225" s="25"/>
      <c r="L225" s="25"/>
      <c r="M225" s="25"/>
      <c r="N225" s="25"/>
    </row>
    <row r="226" spans="1:14" x14ac:dyDescent="0.25">
      <c r="A226" s="77">
        <v>45994</v>
      </c>
      <c r="B226" s="25" t="s">
        <v>453</v>
      </c>
      <c r="C226" s="77">
        <f t="shared" si="27"/>
        <v>46017</v>
      </c>
      <c r="D226" s="77">
        <f t="shared" si="28"/>
        <v>46001</v>
      </c>
      <c r="E226" s="77">
        <f t="shared" si="29"/>
        <v>46008</v>
      </c>
      <c r="F226" s="77">
        <f t="shared" si="30"/>
        <v>46014</v>
      </c>
      <c r="G226" s="77">
        <f t="shared" si="31"/>
        <v>46002</v>
      </c>
      <c r="H226" s="77">
        <f t="shared" si="32"/>
        <v>46009</v>
      </c>
      <c r="I226" s="77"/>
      <c r="J226" s="78"/>
      <c r="K226" s="25"/>
      <c r="L226" s="25"/>
      <c r="M226" s="25"/>
      <c r="N226" s="25"/>
    </row>
    <row r="227" spans="1:14" x14ac:dyDescent="0.25">
      <c r="A227" s="77">
        <v>45994</v>
      </c>
      <c r="B227" s="25" t="s">
        <v>454</v>
      </c>
      <c r="C227" s="77">
        <f t="shared" si="27"/>
        <v>46017</v>
      </c>
      <c r="D227" s="77">
        <f t="shared" si="28"/>
        <v>46001</v>
      </c>
      <c r="E227" s="77">
        <f t="shared" si="29"/>
        <v>46008</v>
      </c>
      <c r="F227" s="77">
        <f t="shared" si="30"/>
        <v>46014</v>
      </c>
      <c r="G227" s="77">
        <f t="shared" si="31"/>
        <v>46002</v>
      </c>
      <c r="H227" s="77">
        <f t="shared" si="32"/>
        <v>46009</v>
      </c>
      <c r="I227" s="77"/>
      <c r="J227" s="78"/>
      <c r="K227" s="25"/>
      <c r="L227" s="25"/>
      <c r="M227" s="25"/>
      <c r="N227" s="25"/>
    </row>
    <row r="228" spans="1:14" x14ac:dyDescent="0.25">
      <c r="A228" s="77">
        <v>45994</v>
      </c>
      <c r="B228" s="25" t="s">
        <v>455</v>
      </c>
      <c r="C228" s="77">
        <f t="shared" si="27"/>
        <v>46017</v>
      </c>
      <c r="D228" s="77">
        <f t="shared" si="28"/>
        <v>46001</v>
      </c>
      <c r="E228" s="77">
        <f t="shared" si="29"/>
        <v>46008</v>
      </c>
      <c r="F228" s="77">
        <f t="shared" si="30"/>
        <v>46014</v>
      </c>
      <c r="G228" s="77">
        <f t="shared" si="31"/>
        <v>46002</v>
      </c>
      <c r="H228" s="77">
        <f t="shared" si="32"/>
        <v>46009</v>
      </c>
      <c r="I228" s="77"/>
      <c r="J228" s="78"/>
      <c r="K228" s="25"/>
      <c r="L228" s="25"/>
      <c r="M228" s="25"/>
      <c r="N228" s="25"/>
    </row>
    <row r="229" spans="1:14" x14ac:dyDescent="0.25">
      <c r="A229" s="77">
        <v>45994</v>
      </c>
      <c r="B229" s="25" t="s">
        <v>456</v>
      </c>
      <c r="C229" s="77">
        <f t="shared" si="27"/>
        <v>46017</v>
      </c>
      <c r="D229" s="77">
        <f t="shared" si="28"/>
        <v>46001</v>
      </c>
      <c r="E229" s="77">
        <f t="shared" si="29"/>
        <v>46008</v>
      </c>
      <c r="F229" s="77">
        <f t="shared" si="30"/>
        <v>46014</v>
      </c>
      <c r="G229" s="77">
        <f t="shared" si="31"/>
        <v>46002</v>
      </c>
      <c r="H229" s="77">
        <f t="shared" si="32"/>
        <v>46009</v>
      </c>
      <c r="I229" s="77"/>
      <c r="J229" s="78"/>
      <c r="K229" s="25"/>
      <c r="L229" s="25"/>
      <c r="M229" s="25"/>
      <c r="N229" s="25"/>
    </row>
    <row r="230" spans="1:14" x14ac:dyDescent="0.25">
      <c r="A230" s="77">
        <v>45994</v>
      </c>
      <c r="B230" s="25" t="s">
        <v>457</v>
      </c>
      <c r="C230" s="77">
        <f t="shared" si="27"/>
        <v>46017</v>
      </c>
      <c r="D230" s="77">
        <f t="shared" si="28"/>
        <v>46001</v>
      </c>
      <c r="E230" s="77">
        <f t="shared" si="29"/>
        <v>46008</v>
      </c>
      <c r="F230" s="77">
        <f t="shared" si="30"/>
        <v>46014</v>
      </c>
      <c r="G230" s="77">
        <f t="shared" si="31"/>
        <v>46002</v>
      </c>
      <c r="H230" s="77">
        <f t="shared" si="32"/>
        <v>46009</v>
      </c>
      <c r="I230" s="77"/>
      <c r="J230" s="78"/>
      <c r="K230" s="25"/>
      <c r="L230" s="25"/>
      <c r="M230" s="25"/>
      <c r="N230" s="25"/>
    </row>
    <row r="231" spans="1:14" x14ac:dyDescent="0.25">
      <c r="A231" s="77">
        <v>45995</v>
      </c>
      <c r="B231" s="25" t="s">
        <v>417</v>
      </c>
      <c r="C231" s="77">
        <f t="shared" si="27"/>
        <v>46018</v>
      </c>
      <c r="D231" s="77">
        <f t="shared" si="28"/>
        <v>46002</v>
      </c>
      <c r="E231" s="77">
        <f t="shared" si="29"/>
        <v>46009</v>
      </c>
      <c r="F231" s="77">
        <f t="shared" si="30"/>
        <v>46015</v>
      </c>
      <c r="G231" s="77">
        <f t="shared" si="31"/>
        <v>46003</v>
      </c>
      <c r="H231" s="77">
        <f t="shared" si="32"/>
        <v>46010</v>
      </c>
      <c r="I231" s="77"/>
      <c r="J231" s="78"/>
      <c r="K231" s="25"/>
      <c r="L231" s="25"/>
      <c r="M231" s="25"/>
      <c r="N231" s="25"/>
    </row>
    <row r="232" spans="1:14" x14ac:dyDescent="0.25">
      <c r="A232" s="77">
        <v>45995</v>
      </c>
      <c r="B232" s="25" t="s">
        <v>418</v>
      </c>
      <c r="C232" s="77">
        <f t="shared" si="27"/>
        <v>46018</v>
      </c>
      <c r="D232" s="77">
        <f t="shared" si="28"/>
        <v>46002</v>
      </c>
      <c r="E232" s="77">
        <f t="shared" si="29"/>
        <v>46009</v>
      </c>
      <c r="F232" s="77">
        <f t="shared" si="30"/>
        <v>46015</v>
      </c>
      <c r="G232" s="77">
        <f t="shared" si="31"/>
        <v>46003</v>
      </c>
      <c r="H232" s="77">
        <f t="shared" si="32"/>
        <v>46010</v>
      </c>
      <c r="I232" s="77"/>
      <c r="J232" s="78"/>
      <c r="K232" s="25"/>
      <c r="L232" s="25"/>
      <c r="M232" s="25"/>
      <c r="N232" s="25"/>
    </row>
    <row r="233" spans="1:14" x14ac:dyDescent="0.25">
      <c r="A233" s="77">
        <v>45995</v>
      </c>
      <c r="B233" s="25" t="s">
        <v>419</v>
      </c>
      <c r="C233" s="77">
        <f t="shared" si="27"/>
        <v>46018</v>
      </c>
      <c r="D233" s="77">
        <f t="shared" si="28"/>
        <v>46002</v>
      </c>
      <c r="E233" s="77">
        <f t="shared" si="29"/>
        <v>46009</v>
      </c>
      <c r="F233" s="77">
        <f t="shared" si="30"/>
        <v>46015</v>
      </c>
      <c r="G233" s="77">
        <f t="shared" si="31"/>
        <v>46003</v>
      </c>
      <c r="H233" s="77">
        <f t="shared" si="32"/>
        <v>46010</v>
      </c>
      <c r="I233" s="77"/>
      <c r="J233" s="78"/>
      <c r="K233" s="25"/>
      <c r="L233" s="25"/>
      <c r="M233" s="25"/>
      <c r="N233" s="25"/>
    </row>
    <row r="234" spans="1:14" x14ac:dyDescent="0.25">
      <c r="A234" s="77">
        <v>45995</v>
      </c>
      <c r="B234" s="25" t="s">
        <v>420</v>
      </c>
      <c r="C234" s="77">
        <f t="shared" si="27"/>
        <v>46018</v>
      </c>
      <c r="D234" s="77">
        <f t="shared" si="28"/>
        <v>46002</v>
      </c>
      <c r="E234" s="77">
        <f t="shared" si="29"/>
        <v>46009</v>
      </c>
      <c r="F234" s="77">
        <f t="shared" si="30"/>
        <v>46015</v>
      </c>
      <c r="G234" s="77">
        <f t="shared" si="31"/>
        <v>46003</v>
      </c>
      <c r="H234" s="77">
        <f t="shared" si="32"/>
        <v>46010</v>
      </c>
      <c r="I234" s="77"/>
      <c r="J234" s="78"/>
      <c r="K234" s="25"/>
      <c r="L234" s="25"/>
      <c r="M234" s="25"/>
      <c r="N234" s="25"/>
    </row>
    <row r="235" spans="1:14" x14ac:dyDescent="0.25">
      <c r="A235" s="77">
        <v>45995</v>
      </c>
      <c r="B235" s="25" t="s">
        <v>451</v>
      </c>
      <c r="C235" s="77">
        <f t="shared" si="27"/>
        <v>46018</v>
      </c>
      <c r="D235" s="77">
        <f t="shared" si="28"/>
        <v>46002</v>
      </c>
      <c r="E235" s="77">
        <f t="shared" si="29"/>
        <v>46009</v>
      </c>
      <c r="F235" s="77">
        <f t="shared" si="30"/>
        <v>46015</v>
      </c>
      <c r="G235" s="77">
        <f t="shared" si="31"/>
        <v>46003</v>
      </c>
      <c r="H235" s="77">
        <f t="shared" si="32"/>
        <v>46010</v>
      </c>
      <c r="I235" s="77"/>
      <c r="J235" s="78"/>
      <c r="K235" s="25"/>
      <c r="L235" s="25"/>
      <c r="M235" s="25"/>
      <c r="N235" s="25"/>
    </row>
    <row r="236" spans="1:14" x14ac:dyDescent="0.25">
      <c r="A236" s="77">
        <v>45995</v>
      </c>
      <c r="B236" s="25" t="s">
        <v>465</v>
      </c>
      <c r="C236" s="77">
        <f t="shared" si="27"/>
        <v>46018</v>
      </c>
      <c r="D236" s="77">
        <f t="shared" si="28"/>
        <v>46002</v>
      </c>
      <c r="E236" s="77">
        <f t="shared" si="29"/>
        <v>46009</v>
      </c>
      <c r="F236" s="77">
        <f t="shared" si="30"/>
        <v>46015</v>
      </c>
      <c r="G236" s="77">
        <f t="shared" si="31"/>
        <v>46003</v>
      </c>
      <c r="H236" s="77">
        <f t="shared" si="32"/>
        <v>46010</v>
      </c>
      <c r="I236" s="77"/>
      <c r="J236" s="78"/>
      <c r="K236" s="25"/>
      <c r="L236" s="25"/>
      <c r="M236" s="25"/>
      <c r="N236" s="25"/>
    </row>
    <row r="237" spans="1:14" x14ac:dyDescent="0.25">
      <c r="A237" s="77">
        <v>45995</v>
      </c>
      <c r="B237" s="25" t="s">
        <v>467</v>
      </c>
      <c r="C237" s="77">
        <f t="shared" si="27"/>
        <v>46018</v>
      </c>
      <c r="D237" s="77">
        <f t="shared" si="28"/>
        <v>46002</v>
      </c>
      <c r="E237" s="77">
        <f t="shared" si="29"/>
        <v>46009</v>
      </c>
      <c r="F237" s="77">
        <f t="shared" si="30"/>
        <v>46015</v>
      </c>
      <c r="G237" s="77">
        <f t="shared" si="31"/>
        <v>46003</v>
      </c>
      <c r="H237" s="77">
        <f t="shared" si="32"/>
        <v>46010</v>
      </c>
      <c r="I237" s="77"/>
      <c r="J237" s="78"/>
      <c r="K237" s="25"/>
      <c r="L237" s="25"/>
      <c r="M237" s="25"/>
      <c r="N237" s="25"/>
    </row>
    <row r="238" spans="1:14" x14ac:dyDescent="0.25">
      <c r="A238" s="77">
        <v>45995</v>
      </c>
      <c r="B238" s="25" t="s">
        <v>469</v>
      </c>
      <c r="C238" s="77">
        <f t="shared" si="27"/>
        <v>46018</v>
      </c>
      <c r="D238" s="77">
        <f t="shared" si="28"/>
        <v>46002</v>
      </c>
      <c r="E238" s="77">
        <f t="shared" si="29"/>
        <v>46009</v>
      </c>
      <c r="F238" s="77">
        <f t="shared" si="30"/>
        <v>46015</v>
      </c>
      <c r="G238" s="77">
        <f t="shared" si="31"/>
        <v>46003</v>
      </c>
      <c r="H238" s="77">
        <f t="shared" si="32"/>
        <v>46010</v>
      </c>
      <c r="I238" s="77"/>
      <c r="J238" s="78"/>
      <c r="K238" s="25"/>
      <c r="L238" s="25"/>
      <c r="M238" s="25"/>
      <c r="N238" s="25"/>
    </row>
    <row r="239" spans="1:14" x14ac:dyDescent="0.25">
      <c r="A239" s="77">
        <v>45995</v>
      </c>
      <c r="B239" s="25" t="s">
        <v>470</v>
      </c>
      <c r="C239" s="77">
        <f t="shared" si="27"/>
        <v>46018</v>
      </c>
      <c r="D239" s="77">
        <f t="shared" si="28"/>
        <v>46002</v>
      </c>
      <c r="E239" s="77">
        <f t="shared" si="29"/>
        <v>46009</v>
      </c>
      <c r="F239" s="77">
        <f t="shared" si="30"/>
        <v>46015</v>
      </c>
      <c r="G239" s="77">
        <f t="shared" si="31"/>
        <v>46003</v>
      </c>
      <c r="H239" s="77">
        <f t="shared" si="32"/>
        <v>46010</v>
      </c>
      <c r="I239" s="77"/>
      <c r="J239" s="78"/>
      <c r="K239" s="25"/>
      <c r="L239" s="25"/>
      <c r="M239" s="25"/>
      <c r="N239" s="25"/>
    </row>
    <row r="240" spans="1:14" x14ac:dyDescent="0.25">
      <c r="A240" s="77">
        <v>45995</v>
      </c>
      <c r="B240" s="25" t="s">
        <v>471</v>
      </c>
      <c r="C240" s="77">
        <f t="shared" si="27"/>
        <v>46018</v>
      </c>
      <c r="D240" s="77">
        <f t="shared" si="28"/>
        <v>46002</v>
      </c>
      <c r="E240" s="77">
        <f t="shared" si="29"/>
        <v>46009</v>
      </c>
      <c r="F240" s="77">
        <f t="shared" si="30"/>
        <v>46015</v>
      </c>
      <c r="G240" s="77">
        <f t="shared" si="31"/>
        <v>46003</v>
      </c>
      <c r="H240" s="77">
        <f t="shared" si="32"/>
        <v>46010</v>
      </c>
      <c r="I240" s="77"/>
      <c r="J240" s="78"/>
      <c r="K240" s="25"/>
      <c r="L240" s="25"/>
      <c r="M240" s="25"/>
      <c r="N240" s="25"/>
    </row>
    <row r="241" spans="1:14" x14ac:dyDescent="0.25">
      <c r="A241" s="77">
        <v>45996</v>
      </c>
      <c r="B241" s="25" t="s">
        <v>414</v>
      </c>
      <c r="C241" s="77">
        <f t="shared" si="27"/>
        <v>46019</v>
      </c>
      <c r="D241" s="77">
        <f t="shared" si="28"/>
        <v>46003</v>
      </c>
      <c r="E241" s="77">
        <f t="shared" si="29"/>
        <v>46010</v>
      </c>
      <c r="F241" s="77">
        <f t="shared" si="30"/>
        <v>46016</v>
      </c>
      <c r="G241" s="77">
        <f t="shared" si="31"/>
        <v>46004</v>
      </c>
      <c r="H241" s="77">
        <f t="shared" si="32"/>
        <v>46011</v>
      </c>
      <c r="I241" s="77"/>
      <c r="J241" s="78"/>
      <c r="K241" s="25"/>
      <c r="L241" s="25"/>
      <c r="M241" s="25"/>
      <c r="N241" s="25"/>
    </row>
    <row r="242" spans="1:14" x14ac:dyDescent="0.25">
      <c r="A242" s="77">
        <v>45996</v>
      </c>
      <c r="B242" s="25" t="s">
        <v>415</v>
      </c>
      <c r="C242" s="77">
        <f t="shared" si="27"/>
        <v>46019</v>
      </c>
      <c r="D242" s="77">
        <f t="shared" si="28"/>
        <v>46003</v>
      </c>
      <c r="E242" s="77">
        <f t="shared" si="29"/>
        <v>46010</v>
      </c>
      <c r="F242" s="77">
        <f t="shared" si="30"/>
        <v>46016</v>
      </c>
      <c r="G242" s="77">
        <f t="shared" si="31"/>
        <v>46004</v>
      </c>
      <c r="H242" s="77">
        <f t="shared" si="32"/>
        <v>46011</v>
      </c>
      <c r="I242" s="77"/>
      <c r="J242" s="78"/>
      <c r="K242" s="25"/>
      <c r="L242" s="25"/>
      <c r="M242" s="25"/>
      <c r="N242" s="25"/>
    </row>
    <row r="243" spans="1:14" x14ac:dyDescent="0.25">
      <c r="A243" s="77">
        <v>45996</v>
      </c>
      <c r="B243" s="25" t="s">
        <v>416</v>
      </c>
      <c r="C243" s="77">
        <f t="shared" si="27"/>
        <v>46019</v>
      </c>
      <c r="D243" s="77">
        <f t="shared" si="28"/>
        <v>46003</v>
      </c>
      <c r="E243" s="77">
        <f t="shared" si="29"/>
        <v>46010</v>
      </c>
      <c r="F243" s="77">
        <f t="shared" si="30"/>
        <v>46016</v>
      </c>
      <c r="G243" s="77">
        <f t="shared" si="31"/>
        <v>46004</v>
      </c>
      <c r="H243" s="77">
        <f t="shared" si="32"/>
        <v>46011</v>
      </c>
      <c r="I243" s="77"/>
      <c r="J243" s="78"/>
      <c r="K243" s="25"/>
      <c r="L243" s="25"/>
      <c r="M243" s="25"/>
      <c r="N243" s="25"/>
    </row>
    <row r="244" spans="1:14" x14ac:dyDescent="0.25">
      <c r="A244" s="77">
        <v>45996</v>
      </c>
      <c r="B244" s="25" t="s">
        <v>448</v>
      </c>
      <c r="C244" s="77">
        <f t="shared" si="27"/>
        <v>46019</v>
      </c>
      <c r="D244" s="77">
        <f t="shared" si="28"/>
        <v>46003</v>
      </c>
      <c r="E244" s="77">
        <f t="shared" si="29"/>
        <v>46010</v>
      </c>
      <c r="F244" s="77">
        <f t="shared" si="30"/>
        <v>46016</v>
      </c>
      <c r="G244" s="77">
        <f t="shared" si="31"/>
        <v>46004</v>
      </c>
      <c r="H244" s="77">
        <f t="shared" si="32"/>
        <v>46011</v>
      </c>
      <c r="I244" s="77"/>
      <c r="J244" s="78"/>
      <c r="K244" s="25"/>
      <c r="L244" s="25"/>
      <c r="M244" s="25"/>
      <c r="N244" s="25"/>
    </row>
    <row r="245" spans="1:14" x14ac:dyDescent="0.25">
      <c r="A245" s="77">
        <v>45996</v>
      </c>
      <c r="B245" s="25" t="s">
        <v>449</v>
      </c>
      <c r="C245" s="77">
        <f t="shared" si="27"/>
        <v>46019</v>
      </c>
      <c r="D245" s="77">
        <f t="shared" si="28"/>
        <v>46003</v>
      </c>
      <c r="E245" s="77">
        <f t="shared" si="29"/>
        <v>46010</v>
      </c>
      <c r="F245" s="77">
        <f t="shared" si="30"/>
        <v>46016</v>
      </c>
      <c r="G245" s="77">
        <f t="shared" si="31"/>
        <v>46004</v>
      </c>
      <c r="H245" s="77">
        <f t="shared" si="32"/>
        <v>46011</v>
      </c>
      <c r="I245" s="77"/>
      <c r="J245" s="78"/>
      <c r="K245" s="25"/>
      <c r="L245" s="25"/>
      <c r="M245" s="25"/>
      <c r="N245" s="25"/>
    </row>
    <row r="246" spans="1:14" x14ac:dyDescent="0.25">
      <c r="A246" s="77">
        <v>45996</v>
      </c>
      <c r="B246" s="25" t="s">
        <v>466</v>
      </c>
      <c r="C246" s="77">
        <f t="shared" si="27"/>
        <v>46019</v>
      </c>
      <c r="D246" s="77">
        <f t="shared" si="28"/>
        <v>46003</v>
      </c>
      <c r="E246" s="77">
        <f t="shared" si="29"/>
        <v>46010</v>
      </c>
      <c r="F246" s="77">
        <f t="shared" si="30"/>
        <v>46016</v>
      </c>
      <c r="G246" s="77">
        <f t="shared" si="31"/>
        <v>46004</v>
      </c>
      <c r="H246" s="77">
        <f t="shared" si="32"/>
        <v>46011</v>
      </c>
      <c r="I246" s="77"/>
      <c r="J246" s="78"/>
      <c r="K246" s="25"/>
      <c r="L246" s="25"/>
      <c r="M246" s="25"/>
      <c r="N246" s="25"/>
    </row>
    <row r="247" spans="1:14" x14ac:dyDescent="0.25">
      <c r="A247" s="77">
        <v>45996</v>
      </c>
      <c r="B247" s="25" t="s">
        <v>468</v>
      </c>
      <c r="C247" s="77">
        <f t="shared" si="27"/>
        <v>46019</v>
      </c>
      <c r="D247" s="77">
        <f t="shared" si="28"/>
        <v>46003</v>
      </c>
      <c r="E247" s="77">
        <f t="shared" si="29"/>
        <v>46010</v>
      </c>
      <c r="F247" s="77">
        <f t="shared" si="30"/>
        <v>46016</v>
      </c>
      <c r="G247" s="77">
        <f t="shared" si="31"/>
        <v>46004</v>
      </c>
      <c r="H247" s="77">
        <f t="shared" si="32"/>
        <v>46011</v>
      </c>
      <c r="I247" s="77"/>
      <c r="J247" s="78"/>
      <c r="K247" s="25"/>
      <c r="L247" s="25"/>
      <c r="M247" s="25"/>
      <c r="N247" s="25"/>
    </row>
    <row r="248" spans="1:14" x14ac:dyDescent="0.25">
      <c r="A248" s="77">
        <v>45997</v>
      </c>
      <c r="B248" s="25" t="s">
        <v>412</v>
      </c>
      <c r="C248" s="77">
        <f t="shared" si="27"/>
        <v>46020</v>
      </c>
      <c r="D248" s="77">
        <f t="shared" si="28"/>
        <v>46004</v>
      </c>
      <c r="E248" s="77">
        <f t="shared" si="29"/>
        <v>46011</v>
      </c>
      <c r="F248" s="77">
        <f t="shared" si="30"/>
        <v>46017</v>
      </c>
      <c r="G248" s="77">
        <f t="shared" si="31"/>
        <v>46005</v>
      </c>
      <c r="H248" s="77">
        <f t="shared" si="32"/>
        <v>46012</v>
      </c>
      <c r="I248" s="77"/>
      <c r="J248" s="78"/>
      <c r="K248" s="25"/>
      <c r="L248" s="25"/>
      <c r="M248" s="25"/>
      <c r="N248" s="25"/>
    </row>
    <row r="249" spans="1:14" x14ac:dyDescent="0.25">
      <c r="A249" s="77">
        <v>45997</v>
      </c>
      <c r="B249" s="25" t="s">
        <v>413</v>
      </c>
      <c r="C249" s="77">
        <f t="shared" si="27"/>
        <v>46020</v>
      </c>
      <c r="D249" s="77">
        <f t="shared" si="28"/>
        <v>46004</v>
      </c>
      <c r="E249" s="77">
        <f t="shared" si="29"/>
        <v>46011</v>
      </c>
      <c r="F249" s="77">
        <f t="shared" si="30"/>
        <v>46017</v>
      </c>
      <c r="G249" s="77">
        <f t="shared" si="31"/>
        <v>46005</v>
      </c>
      <c r="H249" s="77">
        <f t="shared" si="32"/>
        <v>46012</v>
      </c>
      <c r="I249" s="77"/>
      <c r="J249" s="78"/>
      <c r="K249" s="25"/>
      <c r="L249" s="25"/>
      <c r="M249" s="25"/>
      <c r="N249" s="25"/>
    </row>
    <row r="250" spans="1:14" x14ac:dyDescent="0.25">
      <c r="A250" s="77">
        <v>45997</v>
      </c>
      <c r="B250" s="25" t="s">
        <v>444</v>
      </c>
      <c r="C250" s="77">
        <f t="shared" si="27"/>
        <v>46020</v>
      </c>
      <c r="D250" s="77">
        <f t="shared" si="28"/>
        <v>46004</v>
      </c>
      <c r="E250" s="77">
        <f t="shared" si="29"/>
        <v>46011</v>
      </c>
      <c r="F250" s="77">
        <f t="shared" si="30"/>
        <v>46017</v>
      </c>
      <c r="G250" s="77">
        <f t="shared" si="31"/>
        <v>46005</v>
      </c>
      <c r="H250" s="77">
        <f t="shared" si="32"/>
        <v>46012</v>
      </c>
      <c r="I250" s="77"/>
      <c r="J250" s="78"/>
      <c r="K250" s="25"/>
      <c r="L250" s="25"/>
      <c r="M250" s="25"/>
      <c r="N250" s="25"/>
    </row>
    <row r="251" spans="1:14" x14ac:dyDescent="0.25">
      <c r="A251" s="77">
        <v>45997</v>
      </c>
      <c r="B251" s="25" t="s">
        <v>445</v>
      </c>
      <c r="C251" s="77">
        <f t="shared" si="27"/>
        <v>46020</v>
      </c>
      <c r="D251" s="77">
        <f t="shared" si="28"/>
        <v>46004</v>
      </c>
      <c r="E251" s="77">
        <f t="shared" si="29"/>
        <v>46011</v>
      </c>
      <c r="F251" s="77">
        <f t="shared" si="30"/>
        <v>46017</v>
      </c>
      <c r="G251" s="77">
        <f t="shared" si="31"/>
        <v>46005</v>
      </c>
      <c r="H251" s="77">
        <f t="shared" si="32"/>
        <v>46012</v>
      </c>
      <c r="I251" s="77"/>
      <c r="J251" s="78"/>
      <c r="K251" s="25"/>
      <c r="L251" s="25"/>
      <c r="M251" s="25"/>
      <c r="N251" s="25"/>
    </row>
    <row r="252" spans="1:14" x14ac:dyDescent="0.25">
      <c r="A252" s="77">
        <v>45997</v>
      </c>
      <c r="B252" s="25" t="s">
        <v>446</v>
      </c>
      <c r="C252" s="77">
        <f t="shared" si="27"/>
        <v>46020</v>
      </c>
      <c r="D252" s="77">
        <f t="shared" si="28"/>
        <v>46004</v>
      </c>
      <c r="E252" s="77">
        <f t="shared" si="29"/>
        <v>46011</v>
      </c>
      <c r="F252" s="77">
        <f t="shared" si="30"/>
        <v>46017</v>
      </c>
      <c r="G252" s="77">
        <f t="shared" si="31"/>
        <v>46005</v>
      </c>
      <c r="H252" s="77">
        <f t="shared" si="32"/>
        <v>46012</v>
      </c>
      <c r="I252" s="77"/>
      <c r="J252" s="78"/>
      <c r="K252" s="25"/>
      <c r="L252" s="25"/>
      <c r="M252" s="25"/>
      <c r="N252" s="25"/>
    </row>
    <row r="253" spans="1:14" x14ac:dyDescent="0.25">
      <c r="A253" s="77">
        <v>45997</v>
      </c>
      <c r="B253" s="25" t="s">
        <v>447</v>
      </c>
      <c r="C253" s="77">
        <f t="shared" si="27"/>
        <v>46020</v>
      </c>
      <c r="D253" s="77">
        <f t="shared" si="28"/>
        <v>46004</v>
      </c>
      <c r="E253" s="77">
        <f t="shared" si="29"/>
        <v>46011</v>
      </c>
      <c r="F253" s="77">
        <f t="shared" si="30"/>
        <v>46017</v>
      </c>
      <c r="G253" s="77">
        <f t="shared" si="31"/>
        <v>46005</v>
      </c>
      <c r="H253" s="77">
        <f t="shared" si="32"/>
        <v>46012</v>
      </c>
      <c r="I253" s="77"/>
      <c r="J253" s="78"/>
      <c r="K253" s="25"/>
      <c r="L253" s="25"/>
      <c r="M253" s="25"/>
      <c r="N253" s="25"/>
    </row>
    <row r="254" spans="1:14" x14ac:dyDescent="0.25">
      <c r="A254" s="77">
        <v>45997</v>
      </c>
      <c r="B254" s="25" t="s">
        <v>450</v>
      </c>
      <c r="C254" s="77">
        <f t="shared" si="27"/>
        <v>46020</v>
      </c>
      <c r="D254" s="77">
        <f t="shared" si="28"/>
        <v>46004</v>
      </c>
      <c r="E254" s="77">
        <f t="shared" si="29"/>
        <v>46011</v>
      </c>
      <c r="F254" s="77">
        <f t="shared" si="30"/>
        <v>46017</v>
      </c>
      <c r="G254" s="77">
        <f t="shared" si="31"/>
        <v>46005</v>
      </c>
      <c r="H254" s="77">
        <f t="shared" si="32"/>
        <v>46012</v>
      </c>
      <c r="I254" s="77"/>
      <c r="J254" s="78"/>
      <c r="K254" s="25"/>
      <c r="L254" s="25"/>
      <c r="M254" s="25"/>
      <c r="N254" s="25"/>
    </row>
    <row r="255" spans="1:14" x14ac:dyDescent="0.25">
      <c r="A255" s="77">
        <v>45998</v>
      </c>
      <c r="B255" s="25" t="s">
        <v>442</v>
      </c>
      <c r="C255" s="77">
        <f t="shared" si="27"/>
        <v>46021</v>
      </c>
      <c r="D255" s="77">
        <f t="shared" si="28"/>
        <v>46005</v>
      </c>
      <c r="E255" s="77">
        <f t="shared" si="29"/>
        <v>46012</v>
      </c>
      <c r="F255" s="77">
        <f t="shared" si="30"/>
        <v>46018</v>
      </c>
      <c r="G255" s="77">
        <f t="shared" si="31"/>
        <v>46006</v>
      </c>
      <c r="H255" s="77">
        <f t="shared" si="32"/>
        <v>46013</v>
      </c>
      <c r="I255" s="77"/>
      <c r="J255" s="78"/>
      <c r="K255" s="25"/>
      <c r="L255" s="25"/>
      <c r="M255" s="25"/>
      <c r="N255" s="25"/>
    </row>
    <row r="256" spans="1:14" x14ac:dyDescent="0.25">
      <c r="A256" s="77">
        <v>45998</v>
      </c>
      <c r="B256" s="25" t="s">
        <v>443</v>
      </c>
      <c r="C256" s="77">
        <f t="shared" si="27"/>
        <v>46021</v>
      </c>
      <c r="D256" s="77">
        <f t="shared" si="28"/>
        <v>46005</v>
      </c>
      <c r="E256" s="77">
        <f t="shared" si="29"/>
        <v>46012</v>
      </c>
      <c r="F256" s="77">
        <f t="shared" si="30"/>
        <v>46018</v>
      </c>
      <c r="G256" s="77">
        <f t="shared" si="31"/>
        <v>46006</v>
      </c>
      <c r="H256" s="77">
        <f t="shared" si="32"/>
        <v>46013</v>
      </c>
      <c r="I256" s="77"/>
      <c r="J256" s="78"/>
      <c r="K256" s="25"/>
      <c r="L256" s="25"/>
      <c r="M256" s="25"/>
      <c r="N256" s="25"/>
    </row>
    <row r="257" spans="1:14" x14ac:dyDescent="0.25">
      <c r="A257" s="77">
        <v>45998</v>
      </c>
      <c r="B257" s="25" t="s">
        <v>476</v>
      </c>
      <c r="C257" s="77">
        <f t="shared" si="27"/>
        <v>46021</v>
      </c>
      <c r="D257" s="77">
        <f t="shared" si="28"/>
        <v>46005</v>
      </c>
      <c r="E257" s="77">
        <f t="shared" si="29"/>
        <v>46012</v>
      </c>
      <c r="F257" s="77">
        <f t="shared" si="30"/>
        <v>46018</v>
      </c>
      <c r="G257" s="77">
        <f t="shared" si="31"/>
        <v>46006</v>
      </c>
      <c r="H257" s="77">
        <f t="shared" si="32"/>
        <v>46013</v>
      </c>
      <c r="I257" s="77"/>
      <c r="J257" s="78"/>
      <c r="K257" s="25"/>
      <c r="L257" s="25"/>
      <c r="M257" s="25"/>
      <c r="N257" s="25"/>
    </row>
    <row r="258" spans="1:14" x14ac:dyDescent="0.25">
      <c r="A258" s="77">
        <v>45998</v>
      </c>
      <c r="B258" s="25" t="s">
        <v>477</v>
      </c>
      <c r="C258" s="77">
        <f t="shared" si="27"/>
        <v>46021</v>
      </c>
      <c r="D258" s="77">
        <f t="shared" si="28"/>
        <v>46005</v>
      </c>
      <c r="E258" s="77">
        <f t="shared" si="29"/>
        <v>46012</v>
      </c>
      <c r="F258" s="77">
        <f t="shared" si="30"/>
        <v>46018</v>
      </c>
      <c r="G258" s="77">
        <f t="shared" si="31"/>
        <v>46006</v>
      </c>
      <c r="H258" s="77">
        <f t="shared" si="32"/>
        <v>46013</v>
      </c>
      <c r="I258" s="77"/>
      <c r="J258" s="78"/>
      <c r="K258" s="25"/>
      <c r="L258" s="25"/>
      <c r="M258" s="25"/>
      <c r="N258" s="25"/>
    </row>
    <row r="259" spans="1:14" x14ac:dyDescent="0.25">
      <c r="A259" s="77">
        <v>45998</v>
      </c>
      <c r="B259" s="25" t="s">
        <v>478</v>
      </c>
      <c r="C259" s="77">
        <f t="shared" ref="C259:C322" si="33">A259+23</f>
        <v>46021</v>
      </c>
      <c r="D259" s="77">
        <f t="shared" ref="D259:D322" si="34">A259+7</f>
        <v>46005</v>
      </c>
      <c r="E259" s="77">
        <f t="shared" ref="E259:E322" si="35">A259+14</f>
        <v>46012</v>
      </c>
      <c r="F259" s="77">
        <f t="shared" ref="F259:F322" si="36">A259+20</f>
        <v>46018</v>
      </c>
      <c r="G259" s="77">
        <f t="shared" ref="G259:G322" si="37">A259+8</f>
        <v>46006</v>
      </c>
      <c r="H259" s="77">
        <f t="shared" ref="H259:H322" si="38">A259+15</f>
        <v>46013</v>
      </c>
      <c r="I259" s="77"/>
      <c r="J259" s="78"/>
      <c r="K259" s="25"/>
      <c r="L259" s="25"/>
      <c r="M259" s="25"/>
      <c r="N259" s="25"/>
    </row>
    <row r="260" spans="1:14" x14ac:dyDescent="0.25">
      <c r="A260" s="77">
        <v>45998</v>
      </c>
      <c r="B260" s="25" t="s">
        <v>479</v>
      </c>
      <c r="C260" s="77">
        <f t="shared" si="33"/>
        <v>46021</v>
      </c>
      <c r="D260" s="77">
        <f t="shared" si="34"/>
        <v>46005</v>
      </c>
      <c r="E260" s="77">
        <f t="shared" si="35"/>
        <v>46012</v>
      </c>
      <c r="F260" s="77">
        <f t="shared" si="36"/>
        <v>46018</v>
      </c>
      <c r="G260" s="77">
        <f t="shared" si="37"/>
        <v>46006</v>
      </c>
      <c r="H260" s="77">
        <f t="shared" si="38"/>
        <v>46013</v>
      </c>
      <c r="I260" s="77"/>
      <c r="J260" s="78"/>
      <c r="K260" s="25"/>
      <c r="L260" s="25"/>
      <c r="M260" s="25"/>
      <c r="N260" s="25"/>
    </row>
    <row r="261" spans="1:14" x14ac:dyDescent="0.25">
      <c r="A261" s="77">
        <v>45998</v>
      </c>
      <c r="B261" s="25" t="s">
        <v>480</v>
      </c>
      <c r="C261" s="77">
        <f t="shared" si="33"/>
        <v>46021</v>
      </c>
      <c r="D261" s="77">
        <f t="shared" si="34"/>
        <v>46005</v>
      </c>
      <c r="E261" s="77">
        <f t="shared" si="35"/>
        <v>46012</v>
      </c>
      <c r="F261" s="77">
        <f t="shared" si="36"/>
        <v>46018</v>
      </c>
      <c r="G261" s="77">
        <f t="shared" si="37"/>
        <v>46006</v>
      </c>
      <c r="H261" s="77">
        <f t="shared" si="38"/>
        <v>46013</v>
      </c>
      <c r="I261" s="77"/>
      <c r="J261" s="78"/>
      <c r="K261" s="25"/>
      <c r="L261" s="25"/>
      <c r="M261" s="25"/>
      <c r="N261" s="25"/>
    </row>
    <row r="262" spans="1:14" x14ac:dyDescent="0.25">
      <c r="A262" s="77">
        <v>45998</v>
      </c>
      <c r="B262" s="25" t="s">
        <v>481</v>
      </c>
      <c r="C262" s="77">
        <f t="shared" si="33"/>
        <v>46021</v>
      </c>
      <c r="D262" s="77">
        <f t="shared" si="34"/>
        <v>46005</v>
      </c>
      <c r="E262" s="77">
        <f t="shared" si="35"/>
        <v>46012</v>
      </c>
      <c r="F262" s="77">
        <f t="shared" si="36"/>
        <v>46018</v>
      </c>
      <c r="G262" s="77">
        <f t="shared" si="37"/>
        <v>46006</v>
      </c>
      <c r="H262" s="77">
        <f t="shared" si="38"/>
        <v>46013</v>
      </c>
      <c r="I262" s="77"/>
      <c r="J262" s="78"/>
      <c r="K262" s="25"/>
      <c r="L262" s="25"/>
      <c r="M262" s="25"/>
      <c r="N262" s="25"/>
    </row>
    <row r="263" spans="1:14" x14ac:dyDescent="0.25">
      <c r="A263" s="77">
        <v>45998</v>
      </c>
      <c r="B263" s="25" t="s">
        <v>482</v>
      </c>
      <c r="C263" s="77">
        <f t="shared" si="33"/>
        <v>46021</v>
      </c>
      <c r="D263" s="77">
        <f t="shared" si="34"/>
        <v>46005</v>
      </c>
      <c r="E263" s="77">
        <f t="shared" si="35"/>
        <v>46012</v>
      </c>
      <c r="F263" s="77">
        <f t="shared" si="36"/>
        <v>46018</v>
      </c>
      <c r="G263" s="77">
        <f t="shared" si="37"/>
        <v>46006</v>
      </c>
      <c r="H263" s="77">
        <f t="shared" si="38"/>
        <v>46013</v>
      </c>
      <c r="I263" s="77"/>
      <c r="J263" s="78"/>
      <c r="K263" s="25"/>
      <c r="L263" s="25"/>
      <c r="M263" s="25"/>
      <c r="N263" s="25"/>
    </row>
    <row r="264" spans="1:14" x14ac:dyDescent="0.25">
      <c r="A264" s="77">
        <v>45999</v>
      </c>
      <c r="B264" s="25" t="s">
        <v>483</v>
      </c>
      <c r="C264" s="77">
        <f t="shared" si="33"/>
        <v>46022</v>
      </c>
      <c r="D264" s="77">
        <f t="shared" si="34"/>
        <v>46006</v>
      </c>
      <c r="E264" s="77">
        <f t="shared" si="35"/>
        <v>46013</v>
      </c>
      <c r="F264" s="77">
        <f t="shared" si="36"/>
        <v>46019</v>
      </c>
      <c r="G264" s="77">
        <f t="shared" si="37"/>
        <v>46007</v>
      </c>
      <c r="H264" s="77">
        <f t="shared" si="38"/>
        <v>46014</v>
      </c>
      <c r="I264" s="77"/>
      <c r="J264" s="78"/>
      <c r="K264" s="25"/>
      <c r="L264" s="25"/>
      <c r="M264" s="25"/>
      <c r="N264" s="25"/>
    </row>
    <row r="265" spans="1:14" x14ac:dyDescent="0.25">
      <c r="A265" s="77">
        <v>45999</v>
      </c>
      <c r="B265" s="25" t="s">
        <v>484</v>
      </c>
      <c r="C265" s="77">
        <f t="shared" si="33"/>
        <v>46022</v>
      </c>
      <c r="D265" s="77">
        <f t="shared" si="34"/>
        <v>46006</v>
      </c>
      <c r="E265" s="77">
        <f t="shared" si="35"/>
        <v>46013</v>
      </c>
      <c r="F265" s="77">
        <f t="shared" si="36"/>
        <v>46019</v>
      </c>
      <c r="G265" s="77">
        <f t="shared" si="37"/>
        <v>46007</v>
      </c>
      <c r="H265" s="77">
        <f t="shared" si="38"/>
        <v>46014</v>
      </c>
      <c r="I265" s="77"/>
      <c r="J265" s="78"/>
      <c r="K265" s="25"/>
      <c r="L265" s="25"/>
      <c r="M265" s="25"/>
      <c r="N265" s="25"/>
    </row>
    <row r="266" spans="1:14" x14ac:dyDescent="0.25">
      <c r="A266" s="77">
        <v>45999</v>
      </c>
      <c r="B266" s="25" t="s">
        <v>485</v>
      </c>
      <c r="C266" s="77">
        <f t="shared" si="33"/>
        <v>46022</v>
      </c>
      <c r="D266" s="77">
        <f t="shared" si="34"/>
        <v>46006</v>
      </c>
      <c r="E266" s="77">
        <f t="shared" si="35"/>
        <v>46013</v>
      </c>
      <c r="F266" s="77">
        <f t="shared" si="36"/>
        <v>46019</v>
      </c>
      <c r="G266" s="77">
        <f t="shared" si="37"/>
        <v>46007</v>
      </c>
      <c r="H266" s="77">
        <f t="shared" si="38"/>
        <v>46014</v>
      </c>
      <c r="I266" s="77"/>
      <c r="J266" s="78"/>
      <c r="K266" s="25"/>
      <c r="L266" s="25"/>
      <c r="M266" s="25"/>
      <c r="N266" s="25"/>
    </row>
    <row r="267" spans="1:14" x14ac:dyDescent="0.25">
      <c r="A267" s="77">
        <v>45999</v>
      </c>
      <c r="B267" s="25" t="s">
        <v>486</v>
      </c>
      <c r="C267" s="77">
        <f t="shared" si="33"/>
        <v>46022</v>
      </c>
      <c r="D267" s="77">
        <f t="shared" si="34"/>
        <v>46006</v>
      </c>
      <c r="E267" s="77">
        <f t="shared" si="35"/>
        <v>46013</v>
      </c>
      <c r="F267" s="77">
        <f t="shared" si="36"/>
        <v>46019</v>
      </c>
      <c r="G267" s="77">
        <f t="shared" si="37"/>
        <v>46007</v>
      </c>
      <c r="H267" s="77">
        <f t="shared" si="38"/>
        <v>46014</v>
      </c>
      <c r="I267" s="77"/>
      <c r="J267" s="78"/>
      <c r="K267" s="25"/>
      <c r="L267" s="25"/>
      <c r="M267" s="25"/>
      <c r="N267" s="25"/>
    </row>
    <row r="268" spans="1:14" x14ac:dyDescent="0.25">
      <c r="A268" s="77">
        <v>45999</v>
      </c>
      <c r="B268" s="25" t="s">
        <v>487</v>
      </c>
      <c r="C268" s="77">
        <f t="shared" si="33"/>
        <v>46022</v>
      </c>
      <c r="D268" s="77">
        <f t="shared" si="34"/>
        <v>46006</v>
      </c>
      <c r="E268" s="77">
        <f t="shared" si="35"/>
        <v>46013</v>
      </c>
      <c r="F268" s="77">
        <f t="shared" si="36"/>
        <v>46019</v>
      </c>
      <c r="G268" s="77">
        <f t="shared" si="37"/>
        <v>46007</v>
      </c>
      <c r="H268" s="77">
        <f t="shared" si="38"/>
        <v>46014</v>
      </c>
      <c r="I268" s="77"/>
      <c r="J268" s="78"/>
      <c r="K268" s="25"/>
      <c r="L268" s="25"/>
      <c r="M268" s="25"/>
      <c r="N268" s="25"/>
    </row>
    <row r="269" spans="1:14" x14ac:dyDescent="0.25">
      <c r="A269" s="77">
        <v>45999</v>
      </c>
      <c r="B269" s="25" t="s">
        <v>488</v>
      </c>
      <c r="C269" s="77">
        <f t="shared" si="33"/>
        <v>46022</v>
      </c>
      <c r="D269" s="77">
        <f t="shared" si="34"/>
        <v>46006</v>
      </c>
      <c r="E269" s="77">
        <f t="shared" si="35"/>
        <v>46013</v>
      </c>
      <c r="F269" s="77">
        <f t="shared" si="36"/>
        <v>46019</v>
      </c>
      <c r="G269" s="77">
        <f t="shared" si="37"/>
        <v>46007</v>
      </c>
      <c r="H269" s="77">
        <f t="shared" si="38"/>
        <v>46014</v>
      </c>
      <c r="I269" s="77"/>
      <c r="J269" s="78"/>
      <c r="K269" s="25"/>
      <c r="L269" s="25"/>
      <c r="M269" s="25"/>
      <c r="N269" s="25"/>
    </row>
    <row r="270" spans="1:14" x14ac:dyDescent="0.25">
      <c r="A270" s="77">
        <v>45999</v>
      </c>
      <c r="B270" s="25" t="s">
        <v>489</v>
      </c>
      <c r="C270" s="77">
        <f t="shared" si="33"/>
        <v>46022</v>
      </c>
      <c r="D270" s="77">
        <f t="shared" si="34"/>
        <v>46006</v>
      </c>
      <c r="E270" s="77">
        <f t="shared" si="35"/>
        <v>46013</v>
      </c>
      <c r="F270" s="77">
        <f t="shared" si="36"/>
        <v>46019</v>
      </c>
      <c r="G270" s="77">
        <f t="shared" si="37"/>
        <v>46007</v>
      </c>
      <c r="H270" s="77">
        <f t="shared" si="38"/>
        <v>46014</v>
      </c>
      <c r="I270" s="77"/>
      <c r="J270" s="78"/>
      <c r="K270" s="25"/>
      <c r="L270" s="25"/>
      <c r="M270" s="25"/>
      <c r="N270" s="25"/>
    </row>
    <row r="271" spans="1:14" x14ac:dyDescent="0.25">
      <c r="A271" s="77">
        <v>46000</v>
      </c>
      <c r="B271" s="25" t="s">
        <v>490</v>
      </c>
      <c r="C271" s="77">
        <f t="shared" si="33"/>
        <v>46023</v>
      </c>
      <c r="D271" s="77">
        <f t="shared" si="34"/>
        <v>46007</v>
      </c>
      <c r="E271" s="77">
        <f t="shared" si="35"/>
        <v>46014</v>
      </c>
      <c r="F271" s="77">
        <f t="shared" si="36"/>
        <v>46020</v>
      </c>
      <c r="G271" s="77">
        <f t="shared" si="37"/>
        <v>46008</v>
      </c>
      <c r="H271" s="77">
        <f t="shared" si="38"/>
        <v>46015</v>
      </c>
      <c r="I271" s="77"/>
      <c r="J271" s="78"/>
      <c r="K271" s="25"/>
      <c r="L271" s="25"/>
      <c r="M271" s="25"/>
      <c r="N271" s="25"/>
    </row>
    <row r="272" spans="1:14" x14ac:dyDescent="0.25">
      <c r="A272" s="77">
        <v>46000</v>
      </c>
      <c r="B272" s="25" t="s">
        <v>491</v>
      </c>
      <c r="C272" s="77">
        <f t="shared" si="33"/>
        <v>46023</v>
      </c>
      <c r="D272" s="77">
        <f t="shared" si="34"/>
        <v>46007</v>
      </c>
      <c r="E272" s="77">
        <f t="shared" si="35"/>
        <v>46014</v>
      </c>
      <c r="F272" s="77">
        <f t="shared" si="36"/>
        <v>46020</v>
      </c>
      <c r="G272" s="77">
        <f t="shared" si="37"/>
        <v>46008</v>
      </c>
      <c r="H272" s="77">
        <f t="shared" si="38"/>
        <v>46015</v>
      </c>
      <c r="I272" s="77"/>
      <c r="J272" s="78"/>
      <c r="K272" s="25"/>
      <c r="L272" s="25"/>
      <c r="M272" s="25"/>
      <c r="N272" s="25"/>
    </row>
    <row r="273" spans="1:14" x14ac:dyDescent="0.25">
      <c r="A273" s="77">
        <v>46000</v>
      </c>
      <c r="B273" s="25" t="s">
        <v>492</v>
      </c>
      <c r="C273" s="77">
        <f t="shared" si="33"/>
        <v>46023</v>
      </c>
      <c r="D273" s="77">
        <f t="shared" si="34"/>
        <v>46007</v>
      </c>
      <c r="E273" s="77">
        <f t="shared" si="35"/>
        <v>46014</v>
      </c>
      <c r="F273" s="77">
        <f t="shared" si="36"/>
        <v>46020</v>
      </c>
      <c r="G273" s="77">
        <f t="shared" si="37"/>
        <v>46008</v>
      </c>
      <c r="H273" s="77">
        <f t="shared" si="38"/>
        <v>46015</v>
      </c>
      <c r="I273" s="77"/>
      <c r="J273" s="78"/>
      <c r="K273" s="25"/>
      <c r="L273" s="25"/>
      <c r="M273" s="25"/>
      <c r="N273" s="25"/>
    </row>
    <row r="274" spans="1:14" x14ac:dyDescent="0.25">
      <c r="A274" s="77">
        <v>46000</v>
      </c>
      <c r="B274" s="25" t="s">
        <v>493</v>
      </c>
      <c r="C274" s="77">
        <f t="shared" si="33"/>
        <v>46023</v>
      </c>
      <c r="D274" s="77">
        <f t="shared" si="34"/>
        <v>46007</v>
      </c>
      <c r="E274" s="77">
        <f t="shared" si="35"/>
        <v>46014</v>
      </c>
      <c r="F274" s="77">
        <f t="shared" si="36"/>
        <v>46020</v>
      </c>
      <c r="G274" s="77">
        <f t="shared" si="37"/>
        <v>46008</v>
      </c>
      <c r="H274" s="77">
        <f t="shared" si="38"/>
        <v>46015</v>
      </c>
      <c r="I274" s="77"/>
      <c r="J274" s="78"/>
      <c r="K274" s="25"/>
      <c r="L274" s="25"/>
      <c r="M274" s="25"/>
      <c r="N274" s="25"/>
    </row>
    <row r="275" spans="1:14" x14ac:dyDescent="0.25">
      <c r="A275" s="77">
        <v>46000</v>
      </c>
      <c r="B275" s="25" t="s">
        <v>494</v>
      </c>
      <c r="C275" s="77">
        <f t="shared" si="33"/>
        <v>46023</v>
      </c>
      <c r="D275" s="77">
        <f t="shared" si="34"/>
        <v>46007</v>
      </c>
      <c r="E275" s="77">
        <f t="shared" si="35"/>
        <v>46014</v>
      </c>
      <c r="F275" s="77">
        <f t="shared" si="36"/>
        <v>46020</v>
      </c>
      <c r="G275" s="77">
        <f t="shared" si="37"/>
        <v>46008</v>
      </c>
      <c r="H275" s="77">
        <f t="shared" si="38"/>
        <v>46015</v>
      </c>
      <c r="I275" s="77"/>
      <c r="J275" s="78"/>
      <c r="K275" s="25"/>
      <c r="L275" s="25"/>
      <c r="M275" s="25"/>
      <c r="N275" s="25"/>
    </row>
    <row r="276" spans="1:14" x14ac:dyDescent="0.25">
      <c r="A276" s="77">
        <v>46000</v>
      </c>
      <c r="B276" s="25" t="s">
        <v>495</v>
      </c>
      <c r="C276" s="77">
        <f t="shared" si="33"/>
        <v>46023</v>
      </c>
      <c r="D276" s="77">
        <f t="shared" si="34"/>
        <v>46007</v>
      </c>
      <c r="E276" s="77">
        <f t="shared" si="35"/>
        <v>46014</v>
      </c>
      <c r="F276" s="77">
        <f t="shared" si="36"/>
        <v>46020</v>
      </c>
      <c r="G276" s="77">
        <f t="shared" si="37"/>
        <v>46008</v>
      </c>
      <c r="H276" s="77">
        <f t="shared" si="38"/>
        <v>46015</v>
      </c>
      <c r="I276" s="77"/>
      <c r="J276" s="78"/>
      <c r="K276" s="25"/>
      <c r="L276" s="25"/>
      <c r="M276" s="25"/>
      <c r="N276" s="25"/>
    </row>
    <row r="277" spans="1:14" x14ac:dyDescent="0.25">
      <c r="A277" s="77">
        <v>46000</v>
      </c>
      <c r="B277" s="25" t="s">
        <v>496</v>
      </c>
      <c r="C277" s="77">
        <f t="shared" si="33"/>
        <v>46023</v>
      </c>
      <c r="D277" s="77">
        <f t="shared" si="34"/>
        <v>46007</v>
      </c>
      <c r="E277" s="77">
        <f t="shared" si="35"/>
        <v>46014</v>
      </c>
      <c r="F277" s="77">
        <f t="shared" si="36"/>
        <v>46020</v>
      </c>
      <c r="G277" s="77">
        <f t="shared" si="37"/>
        <v>46008</v>
      </c>
      <c r="H277" s="77">
        <f t="shared" si="38"/>
        <v>46015</v>
      </c>
      <c r="I277" s="77"/>
      <c r="J277" s="78"/>
      <c r="K277" s="25"/>
      <c r="L277" s="25"/>
      <c r="M277" s="25"/>
      <c r="N277" s="25"/>
    </row>
    <row r="278" spans="1:14" x14ac:dyDescent="0.25">
      <c r="A278" s="77">
        <v>46001</v>
      </c>
      <c r="B278" s="25" t="s">
        <v>497</v>
      </c>
      <c r="C278" s="77">
        <f t="shared" si="33"/>
        <v>46024</v>
      </c>
      <c r="D278" s="77">
        <f t="shared" si="34"/>
        <v>46008</v>
      </c>
      <c r="E278" s="77">
        <f t="shared" si="35"/>
        <v>46015</v>
      </c>
      <c r="F278" s="77">
        <f t="shared" si="36"/>
        <v>46021</v>
      </c>
      <c r="G278" s="77">
        <f t="shared" si="37"/>
        <v>46009</v>
      </c>
      <c r="H278" s="77">
        <f t="shared" si="38"/>
        <v>46016</v>
      </c>
      <c r="I278" s="77"/>
      <c r="J278" s="78"/>
      <c r="K278" s="25"/>
      <c r="L278" s="25"/>
      <c r="M278" s="25"/>
      <c r="N278" s="25"/>
    </row>
    <row r="279" spans="1:14" x14ac:dyDescent="0.25">
      <c r="A279" s="77">
        <v>46001</v>
      </c>
      <c r="B279" s="25" t="s">
        <v>498</v>
      </c>
      <c r="C279" s="77">
        <f t="shared" si="33"/>
        <v>46024</v>
      </c>
      <c r="D279" s="77">
        <f t="shared" si="34"/>
        <v>46008</v>
      </c>
      <c r="E279" s="77">
        <f t="shared" si="35"/>
        <v>46015</v>
      </c>
      <c r="F279" s="77">
        <f t="shared" si="36"/>
        <v>46021</v>
      </c>
      <c r="G279" s="77">
        <f t="shared" si="37"/>
        <v>46009</v>
      </c>
      <c r="H279" s="77">
        <f t="shared" si="38"/>
        <v>46016</v>
      </c>
      <c r="I279" s="77"/>
      <c r="J279" s="78"/>
      <c r="K279" s="25"/>
      <c r="L279" s="25"/>
      <c r="M279" s="25"/>
      <c r="N279" s="25"/>
    </row>
    <row r="280" spans="1:14" x14ac:dyDescent="0.25">
      <c r="A280" s="77">
        <v>46001</v>
      </c>
      <c r="B280" s="25" t="s">
        <v>499</v>
      </c>
      <c r="C280" s="77">
        <f t="shared" si="33"/>
        <v>46024</v>
      </c>
      <c r="D280" s="77">
        <f t="shared" si="34"/>
        <v>46008</v>
      </c>
      <c r="E280" s="77">
        <f t="shared" si="35"/>
        <v>46015</v>
      </c>
      <c r="F280" s="77">
        <f t="shared" si="36"/>
        <v>46021</v>
      </c>
      <c r="G280" s="77">
        <f t="shared" si="37"/>
        <v>46009</v>
      </c>
      <c r="H280" s="77">
        <f t="shared" si="38"/>
        <v>46016</v>
      </c>
      <c r="I280" s="77"/>
      <c r="J280" s="78"/>
      <c r="K280" s="25"/>
      <c r="L280" s="25"/>
      <c r="M280" s="25"/>
      <c r="N280" s="25"/>
    </row>
    <row r="281" spans="1:14" x14ac:dyDescent="0.25">
      <c r="A281" s="77">
        <v>46001</v>
      </c>
      <c r="B281" s="25" t="s">
        <v>500</v>
      </c>
      <c r="C281" s="77">
        <f t="shared" si="33"/>
        <v>46024</v>
      </c>
      <c r="D281" s="77">
        <f t="shared" si="34"/>
        <v>46008</v>
      </c>
      <c r="E281" s="77">
        <f t="shared" si="35"/>
        <v>46015</v>
      </c>
      <c r="F281" s="77">
        <f t="shared" si="36"/>
        <v>46021</v>
      </c>
      <c r="G281" s="77">
        <f t="shared" si="37"/>
        <v>46009</v>
      </c>
      <c r="H281" s="77">
        <f t="shared" si="38"/>
        <v>46016</v>
      </c>
      <c r="I281" s="77"/>
      <c r="J281" s="78"/>
      <c r="K281" s="25"/>
      <c r="L281" s="25"/>
      <c r="M281" s="25"/>
      <c r="N281" s="25"/>
    </row>
    <row r="282" spans="1:14" x14ac:dyDescent="0.25">
      <c r="A282" s="77">
        <v>46001</v>
      </c>
      <c r="B282" s="25" t="s">
        <v>501</v>
      </c>
      <c r="C282" s="77">
        <f t="shared" si="33"/>
        <v>46024</v>
      </c>
      <c r="D282" s="77">
        <f t="shared" si="34"/>
        <v>46008</v>
      </c>
      <c r="E282" s="77">
        <f t="shared" si="35"/>
        <v>46015</v>
      </c>
      <c r="F282" s="77">
        <f t="shared" si="36"/>
        <v>46021</v>
      </c>
      <c r="G282" s="77">
        <f t="shared" si="37"/>
        <v>46009</v>
      </c>
      <c r="H282" s="77">
        <f t="shared" si="38"/>
        <v>46016</v>
      </c>
      <c r="I282" s="77"/>
      <c r="J282" s="78"/>
      <c r="K282" s="25"/>
      <c r="L282" s="25"/>
      <c r="M282" s="25"/>
      <c r="N282" s="25"/>
    </row>
    <row r="283" spans="1:14" x14ac:dyDescent="0.25">
      <c r="A283" s="77">
        <v>46001</v>
      </c>
      <c r="B283" s="25" t="s">
        <v>502</v>
      </c>
      <c r="C283" s="77">
        <f t="shared" si="33"/>
        <v>46024</v>
      </c>
      <c r="D283" s="77">
        <f t="shared" si="34"/>
        <v>46008</v>
      </c>
      <c r="E283" s="77">
        <f t="shared" si="35"/>
        <v>46015</v>
      </c>
      <c r="F283" s="77">
        <f t="shared" si="36"/>
        <v>46021</v>
      </c>
      <c r="G283" s="77">
        <f t="shared" si="37"/>
        <v>46009</v>
      </c>
      <c r="H283" s="77">
        <f t="shared" si="38"/>
        <v>46016</v>
      </c>
      <c r="I283" s="77"/>
      <c r="J283" s="78"/>
      <c r="K283" s="25"/>
      <c r="L283" s="25"/>
      <c r="M283" s="25"/>
      <c r="N283" s="25"/>
    </row>
    <row r="284" spans="1:14" x14ac:dyDescent="0.25">
      <c r="A284" s="77">
        <v>46001</v>
      </c>
      <c r="B284" s="25" t="s">
        <v>503</v>
      </c>
      <c r="C284" s="77">
        <f t="shared" si="33"/>
        <v>46024</v>
      </c>
      <c r="D284" s="77">
        <f t="shared" si="34"/>
        <v>46008</v>
      </c>
      <c r="E284" s="77">
        <f t="shared" si="35"/>
        <v>46015</v>
      </c>
      <c r="F284" s="77">
        <f t="shared" si="36"/>
        <v>46021</v>
      </c>
      <c r="G284" s="77">
        <f t="shared" si="37"/>
        <v>46009</v>
      </c>
      <c r="H284" s="77">
        <f t="shared" si="38"/>
        <v>46016</v>
      </c>
      <c r="I284" s="77"/>
      <c r="J284" s="78"/>
      <c r="K284" s="25"/>
      <c r="L284" s="25"/>
      <c r="M284" s="25"/>
      <c r="N284" s="25"/>
    </row>
    <row r="285" spans="1:14" x14ac:dyDescent="0.25">
      <c r="A285" s="77">
        <v>46002</v>
      </c>
      <c r="B285" s="25" t="s">
        <v>504</v>
      </c>
      <c r="C285" s="77">
        <f t="shared" si="33"/>
        <v>46025</v>
      </c>
      <c r="D285" s="77">
        <f t="shared" si="34"/>
        <v>46009</v>
      </c>
      <c r="E285" s="77">
        <f t="shared" si="35"/>
        <v>46016</v>
      </c>
      <c r="F285" s="77">
        <f t="shared" si="36"/>
        <v>46022</v>
      </c>
      <c r="G285" s="77">
        <f t="shared" si="37"/>
        <v>46010</v>
      </c>
      <c r="H285" s="77">
        <f t="shared" si="38"/>
        <v>46017</v>
      </c>
      <c r="I285" s="77"/>
      <c r="J285" s="78"/>
      <c r="K285" s="25"/>
      <c r="L285" s="25"/>
      <c r="M285" s="25"/>
      <c r="N285" s="25"/>
    </row>
    <row r="286" spans="1:14" x14ac:dyDescent="0.25">
      <c r="A286" s="77">
        <v>46002</v>
      </c>
      <c r="B286" s="25" t="s">
        <v>505</v>
      </c>
      <c r="C286" s="77">
        <f t="shared" si="33"/>
        <v>46025</v>
      </c>
      <c r="D286" s="77">
        <f t="shared" si="34"/>
        <v>46009</v>
      </c>
      <c r="E286" s="77">
        <f t="shared" si="35"/>
        <v>46016</v>
      </c>
      <c r="F286" s="77">
        <f t="shared" si="36"/>
        <v>46022</v>
      </c>
      <c r="G286" s="77">
        <f t="shared" si="37"/>
        <v>46010</v>
      </c>
      <c r="H286" s="77">
        <f t="shared" si="38"/>
        <v>46017</v>
      </c>
      <c r="I286" s="77"/>
      <c r="J286" s="78"/>
      <c r="K286" s="25"/>
      <c r="L286" s="25"/>
      <c r="M286" s="25"/>
      <c r="N286" s="25"/>
    </row>
    <row r="287" spans="1:14" x14ac:dyDescent="0.25">
      <c r="A287" s="77">
        <v>46002</v>
      </c>
      <c r="B287" s="25" t="s">
        <v>506</v>
      </c>
      <c r="C287" s="77">
        <f t="shared" si="33"/>
        <v>46025</v>
      </c>
      <c r="D287" s="77">
        <f t="shared" si="34"/>
        <v>46009</v>
      </c>
      <c r="E287" s="77">
        <f t="shared" si="35"/>
        <v>46016</v>
      </c>
      <c r="F287" s="77">
        <f t="shared" si="36"/>
        <v>46022</v>
      </c>
      <c r="G287" s="77">
        <f t="shared" si="37"/>
        <v>46010</v>
      </c>
      <c r="H287" s="77">
        <f t="shared" si="38"/>
        <v>46017</v>
      </c>
      <c r="I287" s="77"/>
      <c r="J287" s="78"/>
      <c r="K287" s="25"/>
      <c r="L287" s="25"/>
      <c r="M287" s="25"/>
      <c r="N287" s="25"/>
    </row>
    <row r="288" spans="1:14" x14ac:dyDescent="0.25">
      <c r="A288" s="77">
        <v>46002</v>
      </c>
      <c r="B288" s="25" t="s">
        <v>507</v>
      </c>
      <c r="C288" s="77">
        <f t="shared" si="33"/>
        <v>46025</v>
      </c>
      <c r="D288" s="77">
        <f t="shared" si="34"/>
        <v>46009</v>
      </c>
      <c r="E288" s="77">
        <f t="shared" si="35"/>
        <v>46016</v>
      </c>
      <c r="F288" s="77">
        <f t="shared" si="36"/>
        <v>46022</v>
      </c>
      <c r="G288" s="77">
        <f t="shared" si="37"/>
        <v>46010</v>
      </c>
      <c r="H288" s="77">
        <f t="shared" si="38"/>
        <v>46017</v>
      </c>
      <c r="I288" s="77"/>
      <c r="J288" s="78"/>
      <c r="K288" s="25"/>
      <c r="L288" s="25"/>
      <c r="M288" s="25"/>
      <c r="N288" s="25"/>
    </row>
    <row r="289" spans="1:14" x14ac:dyDescent="0.25">
      <c r="A289" s="77">
        <v>46002</v>
      </c>
      <c r="B289" s="25" t="s">
        <v>508</v>
      </c>
      <c r="C289" s="77">
        <f t="shared" si="33"/>
        <v>46025</v>
      </c>
      <c r="D289" s="77">
        <f t="shared" si="34"/>
        <v>46009</v>
      </c>
      <c r="E289" s="77">
        <f t="shared" si="35"/>
        <v>46016</v>
      </c>
      <c r="F289" s="77">
        <f t="shared" si="36"/>
        <v>46022</v>
      </c>
      <c r="G289" s="77">
        <f t="shared" si="37"/>
        <v>46010</v>
      </c>
      <c r="H289" s="77">
        <f t="shared" si="38"/>
        <v>46017</v>
      </c>
      <c r="I289" s="77"/>
      <c r="J289" s="78"/>
      <c r="K289" s="25"/>
      <c r="L289" s="25"/>
      <c r="M289" s="25"/>
      <c r="N289" s="25"/>
    </row>
    <row r="290" spans="1:14" x14ac:dyDescent="0.25">
      <c r="A290" s="77">
        <v>46002</v>
      </c>
      <c r="B290" s="25" t="s">
        <v>509</v>
      </c>
      <c r="C290" s="77">
        <f t="shared" si="33"/>
        <v>46025</v>
      </c>
      <c r="D290" s="77">
        <f t="shared" si="34"/>
        <v>46009</v>
      </c>
      <c r="E290" s="77">
        <f t="shared" si="35"/>
        <v>46016</v>
      </c>
      <c r="F290" s="77">
        <f t="shared" si="36"/>
        <v>46022</v>
      </c>
      <c r="G290" s="77">
        <f t="shared" si="37"/>
        <v>46010</v>
      </c>
      <c r="H290" s="77">
        <f t="shared" si="38"/>
        <v>46017</v>
      </c>
      <c r="I290" s="77"/>
      <c r="J290" s="78"/>
      <c r="K290" s="25"/>
      <c r="L290" s="25"/>
      <c r="M290" s="25"/>
      <c r="N290" s="25"/>
    </row>
    <row r="291" spans="1:14" x14ac:dyDescent="0.25">
      <c r="A291" s="77">
        <v>46002</v>
      </c>
      <c r="B291" s="25" t="s">
        <v>510</v>
      </c>
      <c r="C291" s="77">
        <f t="shared" si="33"/>
        <v>46025</v>
      </c>
      <c r="D291" s="77">
        <f t="shared" si="34"/>
        <v>46009</v>
      </c>
      <c r="E291" s="77">
        <f t="shared" si="35"/>
        <v>46016</v>
      </c>
      <c r="F291" s="77">
        <f t="shared" si="36"/>
        <v>46022</v>
      </c>
      <c r="G291" s="77">
        <f t="shared" si="37"/>
        <v>46010</v>
      </c>
      <c r="H291" s="77">
        <f t="shared" si="38"/>
        <v>46017</v>
      </c>
      <c r="I291" s="77"/>
      <c r="J291" s="78"/>
      <c r="K291" s="25"/>
      <c r="L291" s="25"/>
      <c r="M291" s="25"/>
      <c r="N291" s="25"/>
    </row>
    <row r="292" spans="1:14" x14ac:dyDescent="0.25">
      <c r="A292" s="77">
        <v>46003</v>
      </c>
      <c r="B292" s="25" t="s">
        <v>552</v>
      </c>
      <c r="C292" s="77">
        <f t="shared" si="33"/>
        <v>46026</v>
      </c>
      <c r="D292" s="77">
        <f t="shared" si="34"/>
        <v>46010</v>
      </c>
      <c r="E292" s="77">
        <f t="shared" si="35"/>
        <v>46017</v>
      </c>
      <c r="F292" s="77">
        <f t="shared" si="36"/>
        <v>46023</v>
      </c>
      <c r="G292" s="77">
        <f t="shared" si="37"/>
        <v>46011</v>
      </c>
      <c r="H292" s="77">
        <f t="shared" si="38"/>
        <v>46018</v>
      </c>
      <c r="I292" s="77"/>
      <c r="J292" s="78"/>
      <c r="K292" s="25"/>
      <c r="L292" s="25"/>
      <c r="M292" s="25"/>
      <c r="N292" s="25"/>
    </row>
    <row r="293" spans="1:14" x14ac:dyDescent="0.25">
      <c r="A293" s="77">
        <v>46003</v>
      </c>
      <c r="B293" s="25" t="s">
        <v>553</v>
      </c>
      <c r="C293" s="77">
        <f t="shared" si="33"/>
        <v>46026</v>
      </c>
      <c r="D293" s="77">
        <f t="shared" si="34"/>
        <v>46010</v>
      </c>
      <c r="E293" s="77">
        <f t="shared" si="35"/>
        <v>46017</v>
      </c>
      <c r="F293" s="77">
        <f t="shared" si="36"/>
        <v>46023</v>
      </c>
      <c r="G293" s="77">
        <f t="shared" si="37"/>
        <v>46011</v>
      </c>
      <c r="H293" s="77">
        <f t="shared" si="38"/>
        <v>46018</v>
      </c>
      <c r="I293" s="77"/>
      <c r="J293" s="78"/>
      <c r="K293" s="25"/>
      <c r="L293" s="25"/>
      <c r="M293" s="25"/>
      <c r="N293" s="25"/>
    </row>
    <row r="294" spans="1:14" x14ac:dyDescent="0.25">
      <c r="A294" s="77">
        <v>46003</v>
      </c>
      <c r="B294" s="25" t="s">
        <v>554</v>
      </c>
      <c r="C294" s="77">
        <f t="shared" si="33"/>
        <v>46026</v>
      </c>
      <c r="D294" s="77">
        <f t="shared" si="34"/>
        <v>46010</v>
      </c>
      <c r="E294" s="77">
        <f t="shared" si="35"/>
        <v>46017</v>
      </c>
      <c r="F294" s="77">
        <f t="shared" si="36"/>
        <v>46023</v>
      </c>
      <c r="G294" s="77">
        <f t="shared" si="37"/>
        <v>46011</v>
      </c>
      <c r="H294" s="77">
        <f t="shared" si="38"/>
        <v>46018</v>
      </c>
      <c r="I294" s="77"/>
      <c r="J294" s="78"/>
      <c r="K294" s="25"/>
      <c r="L294" s="25"/>
      <c r="M294" s="25"/>
      <c r="N294" s="25"/>
    </row>
    <row r="295" spans="1:14" x14ac:dyDescent="0.25">
      <c r="A295" s="77">
        <v>46003</v>
      </c>
      <c r="B295" s="25" t="s">
        <v>555</v>
      </c>
      <c r="C295" s="77">
        <f t="shared" si="33"/>
        <v>46026</v>
      </c>
      <c r="D295" s="77">
        <f t="shared" si="34"/>
        <v>46010</v>
      </c>
      <c r="E295" s="77">
        <f t="shared" si="35"/>
        <v>46017</v>
      </c>
      <c r="F295" s="77">
        <f t="shared" si="36"/>
        <v>46023</v>
      </c>
      <c r="G295" s="77">
        <f t="shared" si="37"/>
        <v>46011</v>
      </c>
      <c r="H295" s="77">
        <f t="shared" si="38"/>
        <v>46018</v>
      </c>
      <c r="I295" s="77"/>
      <c r="J295" s="78"/>
      <c r="K295" s="25"/>
      <c r="L295" s="25"/>
      <c r="M295" s="25"/>
      <c r="N295" s="25"/>
    </row>
    <row r="296" spans="1:14" x14ac:dyDescent="0.25">
      <c r="A296" s="77">
        <v>46003</v>
      </c>
      <c r="B296" s="25" t="s">
        <v>556</v>
      </c>
      <c r="C296" s="77">
        <f t="shared" si="33"/>
        <v>46026</v>
      </c>
      <c r="D296" s="77">
        <f t="shared" si="34"/>
        <v>46010</v>
      </c>
      <c r="E296" s="77">
        <f t="shared" si="35"/>
        <v>46017</v>
      </c>
      <c r="F296" s="77">
        <f t="shared" si="36"/>
        <v>46023</v>
      </c>
      <c r="G296" s="77">
        <f t="shared" si="37"/>
        <v>46011</v>
      </c>
      <c r="H296" s="77">
        <f t="shared" si="38"/>
        <v>46018</v>
      </c>
      <c r="I296" s="77"/>
      <c r="J296" s="78"/>
      <c r="K296" s="25"/>
      <c r="L296" s="25"/>
      <c r="M296" s="25"/>
      <c r="N296" s="25"/>
    </row>
    <row r="297" spans="1:14" x14ac:dyDescent="0.25">
      <c r="A297" s="77">
        <v>46003</v>
      </c>
      <c r="B297" s="25" t="s">
        <v>557</v>
      </c>
      <c r="C297" s="77">
        <f t="shared" si="33"/>
        <v>46026</v>
      </c>
      <c r="D297" s="77">
        <f t="shared" si="34"/>
        <v>46010</v>
      </c>
      <c r="E297" s="77">
        <f t="shared" si="35"/>
        <v>46017</v>
      </c>
      <c r="F297" s="77">
        <f t="shared" si="36"/>
        <v>46023</v>
      </c>
      <c r="G297" s="77">
        <f t="shared" si="37"/>
        <v>46011</v>
      </c>
      <c r="H297" s="77">
        <f t="shared" si="38"/>
        <v>46018</v>
      </c>
      <c r="I297" s="77"/>
      <c r="J297" s="78"/>
      <c r="K297" s="25"/>
      <c r="L297" s="25"/>
      <c r="M297" s="25"/>
      <c r="N297" s="25"/>
    </row>
    <row r="298" spans="1:14" x14ac:dyDescent="0.25">
      <c r="A298" s="77">
        <v>46003</v>
      </c>
      <c r="B298" s="25" t="s">
        <v>558</v>
      </c>
      <c r="C298" s="77">
        <f t="shared" si="33"/>
        <v>46026</v>
      </c>
      <c r="D298" s="77">
        <f t="shared" si="34"/>
        <v>46010</v>
      </c>
      <c r="E298" s="77">
        <f t="shared" si="35"/>
        <v>46017</v>
      </c>
      <c r="F298" s="77">
        <f t="shared" si="36"/>
        <v>46023</v>
      </c>
      <c r="G298" s="77">
        <f t="shared" si="37"/>
        <v>46011</v>
      </c>
      <c r="H298" s="77">
        <f t="shared" si="38"/>
        <v>46018</v>
      </c>
      <c r="I298" s="77"/>
      <c r="J298" s="78"/>
      <c r="K298" s="25"/>
      <c r="L298" s="25"/>
      <c r="M298" s="25"/>
      <c r="N298" s="25"/>
    </row>
    <row r="299" spans="1:14" x14ac:dyDescent="0.25">
      <c r="A299" s="77">
        <v>46004</v>
      </c>
      <c r="B299" s="25" t="s">
        <v>545</v>
      </c>
      <c r="C299" s="77">
        <f t="shared" si="33"/>
        <v>46027</v>
      </c>
      <c r="D299" s="77">
        <f t="shared" si="34"/>
        <v>46011</v>
      </c>
      <c r="E299" s="77">
        <f t="shared" si="35"/>
        <v>46018</v>
      </c>
      <c r="F299" s="77">
        <f t="shared" si="36"/>
        <v>46024</v>
      </c>
      <c r="G299" s="77">
        <f t="shared" si="37"/>
        <v>46012</v>
      </c>
      <c r="H299" s="77">
        <f t="shared" si="38"/>
        <v>46019</v>
      </c>
      <c r="I299" s="77"/>
      <c r="J299" s="78"/>
      <c r="K299" s="25"/>
      <c r="L299" s="25"/>
      <c r="M299" s="25"/>
      <c r="N299" s="25"/>
    </row>
    <row r="300" spans="1:14" x14ac:dyDescent="0.25">
      <c r="A300" s="77">
        <v>46004</v>
      </c>
      <c r="B300" s="25" t="s">
        <v>546</v>
      </c>
      <c r="C300" s="77">
        <f t="shared" si="33"/>
        <v>46027</v>
      </c>
      <c r="D300" s="77">
        <f t="shared" si="34"/>
        <v>46011</v>
      </c>
      <c r="E300" s="77">
        <f t="shared" si="35"/>
        <v>46018</v>
      </c>
      <c r="F300" s="77">
        <f t="shared" si="36"/>
        <v>46024</v>
      </c>
      <c r="G300" s="77">
        <f t="shared" si="37"/>
        <v>46012</v>
      </c>
      <c r="H300" s="77">
        <f t="shared" si="38"/>
        <v>46019</v>
      </c>
      <c r="I300" s="77"/>
      <c r="J300" s="78"/>
      <c r="K300" s="25"/>
      <c r="L300" s="25"/>
      <c r="M300" s="25"/>
      <c r="N300" s="25"/>
    </row>
    <row r="301" spans="1:14" x14ac:dyDescent="0.25">
      <c r="A301" s="77">
        <v>46004</v>
      </c>
      <c r="B301" s="25" t="s">
        <v>547</v>
      </c>
      <c r="C301" s="77">
        <f t="shared" si="33"/>
        <v>46027</v>
      </c>
      <c r="D301" s="77">
        <f t="shared" si="34"/>
        <v>46011</v>
      </c>
      <c r="E301" s="77">
        <f t="shared" si="35"/>
        <v>46018</v>
      </c>
      <c r="F301" s="77">
        <f t="shared" si="36"/>
        <v>46024</v>
      </c>
      <c r="G301" s="77">
        <f t="shared" si="37"/>
        <v>46012</v>
      </c>
      <c r="H301" s="77">
        <f t="shared" si="38"/>
        <v>46019</v>
      </c>
      <c r="I301" s="77"/>
      <c r="J301" s="78"/>
      <c r="K301" s="25"/>
      <c r="L301" s="25"/>
      <c r="M301" s="25"/>
      <c r="N301" s="25"/>
    </row>
    <row r="302" spans="1:14" x14ac:dyDescent="0.25">
      <c r="A302" s="77">
        <v>46004</v>
      </c>
      <c r="B302" s="25" t="s">
        <v>548</v>
      </c>
      <c r="C302" s="77">
        <f t="shared" si="33"/>
        <v>46027</v>
      </c>
      <c r="D302" s="77">
        <f t="shared" si="34"/>
        <v>46011</v>
      </c>
      <c r="E302" s="77">
        <f t="shared" si="35"/>
        <v>46018</v>
      </c>
      <c r="F302" s="77">
        <f t="shared" si="36"/>
        <v>46024</v>
      </c>
      <c r="G302" s="77">
        <f t="shared" si="37"/>
        <v>46012</v>
      </c>
      <c r="H302" s="77">
        <f t="shared" si="38"/>
        <v>46019</v>
      </c>
      <c r="I302" s="77"/>
      <c r="J302" s="78"/>
      <c r="K302" s="25"/>
      <c r="L302" s="25"/>
      <c r="M302" s="25"/>
      <c r="N302" s="25"/>
    </row>
    <row r="303" spans="1:14" x14ac:dyDescent="0.25">
      <c r="A303" s="77">
        <v>46004</v>
      </c>
      <c r="B303" s="25" t="s">
        <v>549</v>
      </c>
      <c r="C303" s="77">
        <f t="shared" si="33"/>
        <v>46027</v>
      </c>
      <c r="D303" s="77">
        <f t="shared" si="34"/>
        <v>46011</v>
      </c>
      <c r="E303" s="77">
        <f t="shared" si="35"/>
        <v>46018</v>
      </c>
      <c r="F303" s="77">
        <f t="shared" si="36"/>
        <v>46024</v>
      </c>
      <c r="G303" s="77">
        <f t="shared" si="37"/>
        <v>46012</v>
      </c>
      <c r="H303" s="77">
        <f t="shared" si="38"/>
        <v>46019</v>
      </c>
      <c r="I303" s="77"/>
      <c r="J303" s="78"/>
      <c r="K303" s="25"/>
      <c r="L303" s="25"/>
      <c r="M303" s="25"/>
      <c r="N303" s="25"/>
    </row>
    <row r="304" spans="1:14" x14ac:dyDescent="0.25">
      <c r="A304" s="77">
        <v>46004</v>
      </c>
      <c r="B304" s="25" t="s">
        <v>550</v>
      </c>
      <c r="C304" s="77">
        <f t="shared" si="33"/>
        <v>46027</v>
      </c>
      <c r="D304" s="77">
        <f t="shared" si="34"/>
        <v>46011</v>
      </c>
      <c r="E304" s="77">
        <f t="shared" si="35"/>
        <v>46018</v>
      </c>
      <c r="F304" s="77">
        <f t="shared" si="36"/>
        <v>46024</v>
      </c>
      <c r="G304" s="77">
        <f t="shared" si="37"/>
        <v>46012</v>
      </c>
      <c r="H304" s="77">
        <f t="shared" si="38"/>
        <v>46019</v>
      </c>
      <c r="I304" s="77"/>
      <c r="J304" s="78"/>
      <c r="K304" s="25"/>
      <c r="L304" s="25"/>
      <c r="M304" s="25"/>
      <c r="N304" s="25"/>
    </row>
    <row r="305" spans="1:14" x14ac:dyDescent="0.25">
      <c r="A305" s="77">
        <v>46004</v>
      </c>
      <c r="B305" s="25" t="s">
        <v>551</v>
      </c>
      <c r="C305" s="77">
        <f t="shared" si="33"/>
        <v>46027</v>
      </c>
      <c r="D305" s="77">
        <f t="shared" si="34"/>
        <v>46011</v>
      </c>
      <c r="E305" s="77">
        <f t="shared" si="35"/>
        <v>46018</v>
      </c>
      <c r="F305" s="77">
        <f t="shared" si="36"/>
        <v>46024</v>
      </c>
      <c r="G305" s="77">
        <f t="shared" si="37"/>
        <v>46012</v>
      </c>
      <c r="H305" s="77">
        <f t="shared" si="38"/>
        <v>46019</v>
      </c>
      <c r="I305" s="77"/>
      <c r="J305" s="78"/>
      <c r="K305" s="25"/>
      <c r="L305" s="25"/>
      <c r="M305" s="25"/>
      <c r="N305" s="25"/>
    </row>
    <row r="306" spans="1:14" x14ac:dyDescent="0.25">
      <c r="A306" s="77">
        <v>46005</v>
      </c>
      <c r="B306" s="25" t="s">
        <v>537</v>
      </c>
      <c r="C306" s="77">
        <f t="shared" si="33"/>
        <v>46028</v>
      </c>
      <c r="D306" s="77">
        <f t="shared" si="34"/>
        <v>46012</v>
      </c>
      <c r="E306" s="77">
        <f t="shared" si="35"/>
        <v>46019</v>
      </c>
      <c r="F306" s="77">
        <f t="shared" si="36"/>
        <v>46025</v>
      </c>
      <c r="G306" s="77">
        <f t="shared" si="37"/>
        <v>46013</v>
      </c>
      <c r="H306" s="77">
        <f t="shared" si="38"/>
        <v>46020</v>
      </c>
      <c r="I306" s="77"/>
      <c r="J306" s="78"/>
      <c r="K306" s="25"/>
      <c r="L306" s="25"/>
      <c r="M306" s="25"/>
      <c r="N306" s="25"/>
    </row>
    <row r="307" spans="1:14" x14ac:dyDescent="0.25">
      <c r="A307" s="77">
        <v>46005</v>
      </c>
      <c r="B307" s="25" t="s">
        <v>538</v>
      </c>
      <c r="C307" s="77">
        <f t="shared" si="33"/>
        <v>46028</v>
      </c>
      <c r="D307" s="77">
        <f t="shared" si="34"/>
        <v>46012</v>
      </c>
      <c r="E307" s="77">
        <f t="shared" si="35"/>
        <v>46019</v>
      </c>
      <c r="F307" s="77">
        <f t="shared" si="36"/>
        <v>46025</v>
      </c>
      <c r="G307" s="77">
        <f t="shared" si="37"/>
        <v>46013</v>
      </c>
      <c r="H307" s="77">
        <f t="shared" si="38"/>
        <v>46020</v>
      </c>
      <c r="I307" s="77"/>
      <c r="J307" s="78"/>
      <c r="K307" s="25"/>
      <c r="L307" s="25"/>
      <c r="M307" s="25"/>
      <c r="N307" s="25"/>
    </row>
    <row r="308" spans="1:14" x14ac:dyDescent="0.25">
      <c r="A308" s="77">
        <v>46005</v>
      </c>
      <c r="B308" s="25" t="s">
        <v>539</v>
      </c>
      <c r="C308" s="77">
        <f t="shared" si="33"/>
        <v>46028</v>
      </c>
      <c r="D308" s="77">
        <f t="shared" si="34"/>
        <v>46012</v>
      </c>
      <c r="E308" s="77">
        <f t="shared" si="35"/>
        <v>46019</v>
      </c>
      <c r="F308" s="77">
        <f t="shared" si="36"/>
        <v>46025</v>
      </c>
      <c r="G308" s="77">
        <f t="shared" si="37"/>
        <v>46013</v>
      </c>
      <c r="H308" s="77">
        <f t="shared" si="38"/>
        <v>46020</v>
      </c>
      <c r="I308" s="77"/>
      <c r="J308" s="78"/>
      <c r="K308" s="25"/>
      <c r="L308" s="25"/>
      <c r="M308" s="25"/>
      <c r="N308" s="25"/>
    </row>
    <row r="309" spans="1:14" x14ac:dyDescent="0.25">
      <c r="A309" s="77">
        <v>46005</v>
      </c>
      <c r="B309" s="25" t="s">
        <v>540</v>
      </c>
      <c r="C309" s="77">
        <f t="shared" si="33"/>
        <v>46028</v>
      </c>
      <c r="D309" s="77">
        <f t="shared" si="34"/>
        <v>46012</v>
      </c>
      <c r="E309" s="77">
        <f t="shared" si="35"/>
        <v>46019</v>
      </c>
      <c r="F309" s="77">
        <f t="shared" si="36"/>
        <v>46025</v>
      </c>
      <c r="G309" s="77">
        <f t="shared" si="37"/>
        <v>46013</v>
      </c>
      <c r="H309" s="77">
        <f t="shared" si="38"/>
        <v>46020</v>
      </c>
      <c r="I309" s="77"/>
      <c r="J309" s="78"/>
      <c r="K309" s="25"/>
      <c r="L309" s="25"/>
      <c r="M309" s="25"/>
      <c r="N309" s="25"/>
    </row>
    <row r="310" spans="1:14" x14ac:dyDescent="0.25">
      <c r="A310" s="77">
        <v>46005</v>
      </c>
      <c r="B310" s="25" t="s">
        <v>541</v>
      </c>
      <c r="C310" s="77">
        <f t="shared" si="33"/>
        <v>46028</v>
      </c>
      <c r="D310" s="77">
        <f t="shared" si="34"/>
        <v>46012</v>
      </c>
      <c r="E310" s="77">
        <f t="shared" si="35"/>
        <v>46019</v>
      </c>
      <c r="F310" s="77">
        <f t="shared" si="36"/>
        <v>46025</v>
      </c>
      <c r="G310" s="77">
        <f t="shared" si="37"/>
        <v>46013</v>
      </c>
      <c r="H310" s="77">
        <f t="shared" si="38"/>
        <v>46020</v>
      </c>
      <c r="I310" s="77"/>
      <c r="J310" s="78"/>
      <c r="K310" s="25"/>
      <c r="L310" s="25"/>
      <c r="M310" s="25"/>
      <c r="N310" s="25"/>
    </row>
    <row r="311" spans="1:14" x14ac:dyDescent="0.25">
      <c r="A311" s="77">
        <v>46005</v>
      </c>
      <c r="B311" s="25" t="s">
        <v>542</v>
      </c>
      <c r="C311" s="77">
        <f t="shared" si="33"/>
        <v>46028</v>
      </c>
      <c r="D311" s="77">
        <f t="shared" si="34"/>
        <v>46012</v>
      </c>
      <c r="E311" s="77">
        <f t="shared" si="35"/>
        <v>46019</v>
      </c>
      <c r="F311" s="77">
        <f t="shared" si="36"/>
        <v>46025</v>
      </c>
      <c r="G311" s="77">
        <f t="shared" si="37"/>
        <v>46013</v>
      </c>
      <c r="H311" s="77">
        <f t="shared" si="38"/>
        <v>46020</v>
      </c>
      <c r="I311" s="77"/>
      <c r="J311" s="78"/>
      <c r="K311" s="25"/>
      <c r="L311" s="25"/>
      <c r="M311" s="25"/>
      <c r="N311" s="25"/>
    </row>
    <row r="312" spans="1:14" x14ac:dyDescent="0.25">
      <c r="A312" s="77">
        <v>46005</v>
      </c>
      <c r="B312" s="25" t="s">
        <v>543</v>
      </c>
      <c r="C312" s="77">
        <f t="shared" si="33"/>
        <v>46028</v>
      </c>
      <c r="D312" s="77">
        <f t="shared" si="34"/>
        <v>46012</v>
      </c>
      <c r="E312" s="77">
        <f t="shared" si="35"/>
        <v>46019</v>
      </c>
      <c r="F312" s="77">
        <f t="shared" si="36"/>
        <v>46025</v>
      </c>
      <c r="G312" s="77">
        <f t="shared" si="37"/>
        <v>46013</v>
      </c>
      <c r="H312" s="77">
        <f t="shared" si="38"/>
        <v>46020</v>
      </c>
      <c r="I312" s="77"/>
      <c r="J312" s="78"/>
      <c r="K312" s="25"/>
      <c r="L312" s="25"/>
      <c r="M312" s="25"/>
      <c r="N312" s="25"/>
    </row>
    <row r="313" spans="1:14" x14ac:dyDescent="0.25">
      <c r="A313" s="77">
        <v>46005</v>
      </c>
      <c r="B313" s="25" t="s">
        <v>544</v>
      </c>
      <c r="C313" s="77">
        <f t="shared" si="33"/>
        <v>46028</v>
      </c>
      <c r="D313" s="77">
        <f t="shared" si="34"/>
        <v>46012</v>
      </c>
      <c r="E313" s="77">
        <f t="shared" si="35"/>
        <v>46019</v>
      </c>
      <c r="F313" s="77">
        <f t="shared" si="36"/>
        <v>46025</v>
      </c>
      <c r="G313" s="77">
        <f t="shared" si="37"/>
        <v>46013</v>
      </c>
      <c r="H313" s="77">
        <f t="shared" si="38"/>
        <v>46020</v>
      </c>
      <c r="I313" s="77"/>
      <c r="J313" s="78"/>
      <c r="K313" s="25"/>
      <c r="L313" s="25"/>
      <c r="M313" s="25"/>
      <c r="N313" s="25"/>
    </row>
    <row r="314" spans="1:14" x14ac:dyDescent="0.25">
      <c r="A314" s="77">
        <v>46006</v>
      </c>
      <c r="B314" s="25" t="s">
        <v>513</v>
      </c>
      <c r="C314" s="77">
        <f t="shared" si="33"/>
        <v>46029</v>
      </c>
      <c r="D314" s="77">
        <f t="shared" si="34"/>
        <v>46013</v>
      </c>
      <c r="E314" s="77">
        <f t="shared" si="35"/>
        <v>46020</v>
      </c>
      <c r="F314" s="77">
        <f t="shared" si="36"/>
        <v>46026</v>
      </c>
      <c r="G314" s="77">
        <f t="shared" si="37"/>
        <v>46014</v>
      </c>
      <c r="H314" s="77">
        <f t="shared" si="38"/>
        <v>46021</v>
      </c>
      <c r="I314" s="77"/>
      <c r="J314" s="78"/>
      <c r="K314" s="25"/>
      <c r="L314" s="25"/>
      <c r="M314" s="25"/>
      <c r="N314" s="25"/>
    </row>
    <row r="315" spans="1:14" x14ac:dyDescent="0.25">
      <c r="A315" s="77">
        <v>46006</v>
      </c>
      <c r="B315" s="25" t="s">
        <v>514</v>
      </c>
      <c r="C315" s="77">
        <f t="shared" si="33"/>
        <v>46029</v>
      </c>
      <c r="D315" s="77">
        <f t="shared" si="34"/>
        <v>46013</v>
      </c>
      <c r="E315" s="77">
        <f t="shared" si="35"/>
        <v>46020</v>
      </c>
      <c r="F315" s="77">
        <f t="shared" si="36"/>
        <v>46026</v>
      </c>
      <c r="G315" s="77">
        <f t="shared" si="37"/>
        <v>46014</v>
      </c>
      <c r="H315" s="77">
        <f t="shared" si="38"/>
        <v>46021</v>
      </c>
      <c r="I315" s="77"/>
      <c r="J315" s="78"/>
      <c r="K315" s="25"/>
      <c r="L315" s="25"/>
      <c r="M315" s="25"/>
      <c r="N315" s="25"/>
    </row>
    <row r="316" spans="1:14" x14ac:dyDescent="0.25">
      <c r="A316" s="77">
        <v>46006</v>
      </c>
      <c r="B316" s="25" t="s">
        <v>515</v>
      </c>
      <c r="C316" s="77">
        <f t="shared" si="33"/>
        <v>46029</v>
      </c>
      <c r="D316" s="77">
        <f t="shared" si="34"/>
        <v>46013</v>
      </c>
      <c r="E316" s="77">
        <f t="shared" si="35"/>
        <v>46020</v>
      </c>
      <c r="F316" s="77">
        <f t="shared" si="36"/>
        <v>46026</v>
      </c>
      <c r="G316" s="77">
        <f t="shared" si="37"/>
        <v>46014</v>
      </c>
      <c r="H316" s="77">
        <f t="shared" si="38"/>
        <v>46021</v>
      </c>
      <c r="I316" s="77"/>
      <c r="J316" s="78"/>
      <c r="K316" s="25"/>
      <c r="L316" s="25"/>
      <c r="M316" s="25"/>
      <c r="N316" s="25"/>
    </row>
    <row r="317" spans="1:14" x14ac:dyDescent="0.25">
      <c r="A317" s="77">
        <v>46006</v>
      </c>
      <c r="B317" s="25" t="s">
        <v>516</v>
      </c>
      <c r="C317" s="77">
        <f t="shared" si="33"/>
        <v>46029</v>
      </c>
      <c r="D317" s="77">
        <f t="shared" si="34"/>
        <v>46013</v>
      </c>
      <c r="E317" s="77">
        <f t="shared" si="35"/>
        <v>46020</v>
      </c>
      <c r="F317" s="77">
        <f t="shared" si="36"/>
        <v>46026</v>
      </c>
      <c r="G317" s="77">
        <f t="shared" si="37"/>
        <v>46014</v>
      </c>
      <c r="H317" s="77">
        <f t="shared" si="38"/>
        <v>46021</v>
      </c>
      <c r="I317" s="77"/>
      <c r="J317" s="78"/>
      <c r="K317" s="25"/>
      <c r="L317" s="25"/>
      <c r="M317" s="25"/>
      <c r="N317" s="25"/>
    </row>
    <row r="318" spans="1:14" x14ac:dyDescent="0.25">
      <c r="A318" s="77">
        <v>46006</v>
      </c>
      <c r="B318" s="25" t="s">
        <v>517</v>
      </c>
      <c r="C318" s="77">
        <f t="shared" si="33"/>
        <v>46029</v>
      </c>
      <c r="D318" s="77">
        <f t="shared" si="34"/>
        <v>46013</v>
      </c>
      <c r="E318" s="77">
        <f t="shared" si="35"/>
        <v>46020</v>
      </c>
      <c r="F318" s="77">
        <f t="shared" si="36"/>
        <v>46026</v>
      </c>
      <c r="G318" s="77">
        <f t="shared" si="37"/>
        <v>46014</v>
      </c>
      <c r="H318" s="77">
        <f t="shared" si="38"/>
        <v>46021</v>
      </c>
      <c r="I318" s="77"/>
      <c r="J318" s="78"/>
      <c r="K318" s="25"/>
      <c r="L318" s="25"/>
      <c r="M318" s="25"/>
      <c r="N318" s="25"/>
    </row>
    <row r="319" spans="1:14" x14ac:dyDescent="0.25">
      <c r="A319" s="77">
        <v>46006</v>
      </c>
      <c r="B319" s="25" t="s">
        <v>518</v>
      </c>
      <c r="C319" s="77">
        <f t="shared" si="33"/>
        <v>46029</v>
      </c>
      <c r="D319" s="77">
        <f t="shared" si="34"/>
        <v>46013</v>
      </c>
      <c r="E319" s="77">
        <f t="shared" si="35"/>
        <v>46020</v>
      </c>
      <c r="F319" s="77">
        <f t="shared" si="36"/>
        <v>46026</v>
      </c>
      <c r="G319" s="77">
        <f t="shared" si="37"/>
        <v>46014</v>
      </c>
      <c r="H319" s="77">
        <f t="shared" si="38"/>
        <v>46021</v>
      </c>
      <c r="I319" s="77"/>
      <c r="J319" s="78"/>
      <c r="K319" s="25"/>
      <c r="L319" s="25"/>
      <c r="M319" s="25"/>
      <c r="N319" s="25"/>
    </row>
    <row r="320" spans="1:14" x14ac:dyDescent="0.25">
      <c r="A320" s="77">
        <v>46006</v>
      </c>
      <c r="B320" s="25" t="s">
        <v>519</v>
      </c>
      <c r="C320" s="77">
        <f t="shared" si="33"/>
        <v>46029</v>
      </c>
      <c r="D320" s="77">
        <f t="shared" si="34"/>
        <v>46013</v>
      </c>
      <c r="E320" s="77">
        <f t="shared" si="35"/>
        <v>46020</v>
      </c>
      <c r="F320" s="77">
        <f t="shared" si="36"/>
        <v>46026</v>
      </c>
      <c r="G320" s="77">
        <f t="shared" si="37"/>
        <v>46014</v>
      </c>
      <c r="H320" s="77">
        <f t="shared" si="38"/>
        <v>46021</v>
      </c>
      <c r="I320" s="77"/>
      <c r="J320" s="78"/>
      <c r="K320" s="25"/>
      <c r="L320" s="25"/>
      <c r="M320" s="25"/>
      <c r="N320" s="25"/>
    </row>
    <row r="321" spans="1:14" x14ac:dyDescent="0.25">
      <c r="A321" s="77">
        <v>46007</v>
      </c>
      <c r="B321" s="25" t="s">
        <v>520</v>
      </c>
      <c r="C321" s="77">
        <f t="shared" si="33"/>
        <v>46030</v>
      </c>
      <c r="D321" s="77">
        <f t="shared" si="34"/>
        <v>46014</v>
      </c>
      <c r="E321" s="77">
        <f t="shared" si="35"/>
        <v>46021</v>
      </c>
      <c r="F321" s="77">
        <f t="shared" si="36"/>
        <v>46027</v>
      </c>
      <c r="G321" s="77">
        <f t="shared" si="37"/>
        <v>46015</v>
      </c>
      <c r="H321" s="77">
        <f t="shared" si="38"/>
        <v>46022</v>
      </c>
      <c r="I321" s="77"/>
      <c r="J321" s="78"/>
      <c r="K321" s="25"/>
      <c r="L321" s="25"/>
      <c r="M321" s="25"/>
      <c r="N321" s="25"/>
    </row>
    <row r="322" spans="1:14" x14ac:dyDescent="0.25">
      <c r="A322" s="77">
        <v>46007</v>
      </c>
      <c r="B322" s="25" t="s">
        <v>521</v>
      </c>
      <c r="C322" s="77">
        <f t="shared" si="33"/>
        <v>46030</v>
      </c>
      <c r="D322" s="77">
        <f t="shared" si="34"/>
        <v>46014</v>
      </c>
      <c r="E322" s="77">
        <f t="shared" si="35"/>
        <v>46021</v>
      </c>
      <c r="F322" s="77">
        <f t="shared" si="36"/>
        <v>46027</v>
      </c>
      <c r="G322" s="77">
        <f t="shared" si="37"/>
        <v>46015</v>
      </c>
      <c r="H322" s="77">
        <f t="shared" si="38"/>
        <v>46022</v>
      </c>
      <c r="I322" s="77"/>
      <c r="J322" s="78"/>
      <c r="K322" s="25"/>
      <c r="L322" s="25"/>
      <c r="M322" s="25"/>
      <c r="N322" s="25"/>
    </row>
    <row r="323" spans="1:14" x14ac:dyDescent="0.25">
      <c r="A323" s="77">
        <v>46007</v>
      </c>
      <c r="B323" s="25" t="s">
        <v>522</v>
      </c>
      <c r="C323" s="77">
        <f t="shared" ref="C323:C334" si="39">A323+23</f>
        <v>46030</v>
      </c>
      <c r="D323" s="77">
        <f t="shared" ref="D323:D334" si="40">A323+7</f>
        <v>46014</v>
      </c>
      <c r="E323" s="77">
        <f t="shared" ref="E323:E334" si="41">A323+14</f>
        <v>46021</v>
      </c>
      <c r="F323" s="77">
        <f t="shared" ref="F323:F334" si="42">A323+20</f>
        <v>46027</v>
      </c>
      <c r="G323" s="77">
        <f t="shared" ref="G323:G334" si="43">A323+8</f>
        <v>46015</v>
      </c>
      <c r="H323" s="77">
        <f t="shared" ref="H323:H334" si="44">A323+15</f>
        <v>46022</v>
      </c>
      <c r="I323" s="77"/>
      <c r="J323" s="78"/>
      <c r="K323" s="25"/>
      <c r="L323" s="25"/>
      <c r="M323" s="25"/>
      <c r="N323" s="25"/>
    </row>
    <row r="324" spans="1:14" x14ac:dyDescent="0.25">
      <c r="A324" s="77">
        <v>46007</v>
      </c>
      <c r="B324" s="25" t="s">
        <v>523</v>
      </c>
      <c r="C324" s="77">
        <f t="shared" si="39"/>
        <v>46030</v>
      </c>
      <c r="D324" s="77">
        <f t="shared" si="40"/>
        <v>46014</v>
      </c>
      <c r="E324" s="77">
        <f t="shared" si="41"/>
        <v>46021</v>
      </c>
      <c r="F324" s="77">
        <f t="shared" si="42"/>
        <v>46027</v>
      </c>
      <c r="G324" s="77">
        <f t="shared" si="43"/>
        <v>46015</v>
      </c>
      <c r="H324" s="77">
        <f t="shared" si="44"/>
        <v>46022</v>
      </c>
      <c r="I324" s="77"/>
      <c r="J324" s="78"/>
      <c r="K324" s="25"/>
      <c r="L324" s="25"/>
      <c r="M324" s="25"/>
      <c r="N324" s="25"/>
    </row>
    <row r="325" spans="1:14" x14ac:dyDescent="0.25">
      <c r="A325" s="77">
        <v>46007</v>
      </c>
      <c r="B325" s="25" t="s">
        <v>524</v>
      </c>
      <c r="C325" s="77">
        <f t="shared" si="39"/>
        <v>46030</v>
      </c>
      <c r="D325" s="77">
        <f t="shared" si="40"/>
        <v>46014</v>
      </c>
      <c r="E325" s="77">
        <f t="shared" si="41"/>
        <v>46021</v>
      </c>
      <c r="F325" s="77">
        <f t="shared" si="42"/>
        <v>46027</v>
      </c>
      <c r="G325" s="77">
        <f t="shared" si="43"/>
        <v>46015</v>
      </c>
      <c r="H325" s="77">
        <f t="shared" si="44"/>
        <v>46022</v>
      </c>
      <c r="I325" s="77"/>
      <c r="J325" s="78"/>
      <c r="K325" s="25"/>
      <c r="L325" s="25"/>
      <c r="M325" s="25"/>
      <c r="N325" s="25"/>
    </row>
    <row r="326" spans="1:14" x14ac:dyDescent="0.25">
      <c r="A326" s="77">
        <v>46007</v>
      </c>
      <c r="B326" s="25" t="s">
        <v>525</v>
      </c>
      <c r="C326" s="77">
        <f t="shared" si="39"/>
        <v>46030</v>
      </c>
      <c r="D326" s="77">
        <f t="shared" si="40"/>
        <v>46014</v>
      </c>
      <c r="E326" s="77">
        <f t="shared" si="41"/>
        <v>46021</v>
      </c>
      <c r="F326" s="77">
        <f t="shared" si="42"/>
        <v>46027</v>
      </c>
      <c r="G326" s="77">
        <f t="shared" si="43"/>
        <v>46015</v>
      </c>
      <c r="H326" s="77">
        <f t="shared" si="44"/>
        <v>46022</v>
      </c>
      <c r="I326" s="77"/>
      <c r="J326" s="78"/>
      <c r="K326" s="25"/>
      <c r="L326" s="25"/>
      <c r="M326" s="25"/>
      <c r="N326" s="25"/>
    </row>
    <row r="327" spans="1:14" x14ac:dyDescent="0.25">
      <c r="A327" s="77">
        <v>46007</v>
      </c>
      <c r="B327" s="25" t="s">
        <v>526</v>
      </c>
      <c r="C327" s="77">
        <f t="shared" si="39"/>
        <v>46030</v>
      </c>
      <c r="D327" s="77">
        <f t="shared" si="40"/>
        <v>46014</v>
      </c>
      <c r="E327" s="77">
        <f t="shared" si="41"/>
        <v>46021</v>
      </c>
      <c r="F327" s="77">
        <f t="shared" si="42"/>
        <v>46027</v>
      </c>
      <c r="G327" s="77">
        <f t="shared" si="43"/>
        <v>46015</v>
      </c>
      <c r="H327" s="77">
        <f t="shared" si="44"/>
        <v>46022</v>
      </c>
      <c r="I327" s="77"/>
      <c r="J327" s="78"/>
      <c r="K327" s="25"/>
      <c r="L327" s="25"/>
      <c r="M327" s="25"/>
      <c r="N327" s="25"/>
    </row>
    <row r="328" spans="1:14" x14ac:dyDescent="0.25">
      <c r="A328" s="77">
        <v>46008</v>
      </c>
      <c r="B328" s="25" t="s">
        <v>527</v>
      </c>
      <c r="C328" s="77">
        <f t="shared" si="39"/>
        <v>46031</v>
      </c>
      <c r="D328" s="77">
        <f t="shared" si="40"/>
        <v>46015</v>
      </c>
      <c r="E328" s="77">
        <f t="shared" si="41"/>
        <v>46022</v>
      </c>
      <c r="F328" s="77">
        <f t="shared" si="42"/>
        <v>46028</v>
      </c>
      <c r="G328" s="77">
        <f t="shared" si="43"/>
        <v>46016</v>
      </c>
      <c r="H328" s="77">
        <f t="shared" si="44"/>
        <v>46023</v>
      </c>
      <c r="I328" s="77"/>
      <c r="J328" s="78"/>
      <c r="K328" s="25"/>
      <c r="L328" s="25"/>
      <c r="M328" s="25"/>
      <c r="N328" s="25"/>
    </row>
    <row r="329" spans="1:14" x14ac:dyDescent="0.25">
      <c r="A329" s="77">
        <v>46008</v>
      </c>
      <c r="B329" s="25" t="s">
        <v>528</v>
      </c>
      <c r="C329" s="77">
        <f t="shared" si="39"/>
        <v>46031</v>
      </c>
      <c r="D329" s="77">
        <f t="shared" si="40"/>
        <v>46015</v>
      </c>
      <c r="E329" s="77">
        <f t="shared" si="41"/>
        <v>46022</v>
      </c>
      <c r="F329" s="77">
        <f t="shared" si="42"/>
        <v>46028</v>
      </c>
      <c r="G329" s="77">
        <f t="shared" si="43"/>
        <v>46016</v>
      </c>
      <c r="H329" s="77">
        <f t="shared" si="44"/>
        <v>46023</v>
      </c>
      <c r="I329" s="77"/>
      <c r="J329" s="78"/>
      <c r="K329" s="25"/>
      <c r="L329" s="25"/>
      <c r="M329" s="25"/>
      <c r="N329" s="25"/>
    </row>
    <row r="330" spans="1:14" x14ac:dyDescent="0.25">
      <c r="A330" s="77">
        <v>46008</v>
      </c>
      <c r="B330" s="25" t="s">
        <v>529</v>
      </c>
      <c r="C330" s="77">
        <f t="shared" si="39"/>
        <v>46031</v>
      </c>
      <c r="D330" s="77">
        <f t="shared" si="40"/>
        <v>46015</v>
      </c>
      <c r="E330" s="77">
        <f t="shared" si="41"/>
        <v>46022</v>
      </c>
      <c r="F330" s="77">
        <f t="shared" si="42"/>
        <v>46028</v>
      </c>
      <c r="G330" s="77">
        <f t="shared" si="43"/>
        <v>46016</v>
      </c>
      <c r="H330" s="77">
        <f t="shared" si="44"/>
        <v>46023</v>
      </c>
      <c r="I330" s="77"/>
      <c r="J330" s="78"/>
      <c r="K330" s="25"/>
      <c r="L330" s="25"/>
      <c r="M330" s="25"/>
      <c r="N330" s="25"/>
    </row>
    <row r="331" spans="1:14" x14ac:dyDescent="0.25">
      <c r="A331" s="77">
        <v>46008</v>
      </c>
      <c r="B331" s="25" t="s">
        <v>530</v>
      </c>
      <c r="C331" s="77">
        <f t="shared" si="39"/>
        <v>46031</v>
      </c>
      <c r="D331" s="77">
        <f t="shared" si="40"/>
        <v>46015</v>
      </c>
      <c r="E331" s="77">
        <f t="shared" si="41"/>
        <v>46022</v>
      </c>
      <c r="F331" s="77">
        <f t="shared" si="42"/>
        <v>46028</v>
      </c>
      <c r="G331" s="77">
        <f t="shared" si="43"/>
        <v>46016</v>
      </c>
      <c r="H331" s="77">
        <f t="shared" si="44"/>
        <v>46023</v>
      </c>
      <c r="I331" s="77"/>
      <c r="J331" s="78"/>
      <c r="K331" s="25"/>
      <c r="L331" s="25"/>
      <c r="M331" s="25"/>
      <c r="N331" s="25"/>
    </row>
    <row r="332" spans="1:14" x14ac:dyDescent="0.25">
      <c r="A332" s="77">
        <v>46008</v>
      </c>
      <c r="B332" s="25" t="s">
        <v>531</v>
      </c>
      <c r="C332" s="77">
        <f t="shared" si="39"/>
        <v>46031</v>
      </c>
      <c r="D332" s="77">
        <f t="shared" si="40"/>
        <v>46015</v>
      </c>
      <c r="E332" s="77">
        <f t="shared" si="41"/>
        <v>46022</v>
      </c>
      <c r="F332" s="77">
        <f t="shared" si="42"/>
        <v>46028</v>
      </c>
      <c r="G332" s="77">
        <f t="shared" si="43"/>
        <v>46016</v>
      </c>
      <c r="H332" s="77">
        <f t="shared" si="44"/>
        <v>46023</v>
      </c>
      <c r="I332" s="77"/>
      <c r="J332" s="78"/>
      <c r="K332" s="25"/>
      <c r="L332" s="25"/>
      <c r="M332" s="25"/>
      <c r="N332" s="25"/>
    </row>
    <row r="333" spans="1:14" x14ac:dyDescent="0.25">
      <c r="A333" s="77">
        <v>46008</v>
      </c>
      <c r="B333" s="25" t="s">
        <v>532</v>
      </c>
      <c r="C333" s="77">
        <f t="shared" si="39"/>
        <v>46031</v>
      </c>
      <c r="D333" s="77">
        <f t="shared" si="40"/>
        <v>46015</v>
      </c>
      <c r="E333" s="77">
        <f t="shared" si="41"/>
        <v>46022</v>
      </c>
      <c r="F333" s="77">
        <f t="shared" si="42"/>
        <v>46028</v>
      </c>
      <c r="G333" s="77">
        <f t="shared" si="43"/>
        <v>46016</v>
      </c>
      <c r="H333" s="77">
        <f t="shared" si="44"/>
        <v>46023</v>
      </c>
      <c r="I333" s="77"/>
      <c r="J333" s="78"/>
      <c r="K333" s="25"/>
      <c r="L333" s="25"/>
      <c r="M333" s="25"/>
      <c r="N333" s="25"/>
    </row>
    <row r="334" spans="1:14" x14ac:dyDescent="0.25">
      <c r="A334" s="77">
        <v>46008</v>
      </c>
      <c r="B334" s="25" t="s">
        <v>533</v>
      </c>
      <c r="C334" s="77">
        <f t="shared" si="39"/>
        <v>46031</v>
      </c>
      <c r="D334" s="77">
        <f t="shared" si="40"/>
        <v>46015</v>
      </c>
      <c r="E334" s="77">
        <f t="shared" si="41"/>
        <v>46022</v>
      </c>
      <c r="F334" s="77">
        <f t="shared" si="42"/>
        <v>46028</v>
      </c>
      <c r="G334" s="77">
        <f t="shared" si="43"/>
        <v>46016</v>
      </c>
      <c r="H334" s="77">
        <f t="shared" si="44"/>
        <v>46023</v>
      </c>
      <c r="I334" s="77"/>
      <c r="J334" s="78"/>
      <c r="K334" s="25"/>
      <c r="L334" s="25"/>
      <c r="M334" s="25"/>
      <c r="N334" s="25"/>
    </row>
    <row r="335" spans="1:14" x14ac:dyDescent="0.25">
      <c r="A335" s="77">
        <v>46009</v>
      </c>
      <c r="B335" s="25" t="s">
        <v>359</v>
      </c>
      <c r="C335" s="77">
        <f t="shared" ref="C335:C348" si="45">A335+23</f>
        <v>46032</v>
      </c>
      <c r="D335" s="77">
        <f t="shared" ref="D335:D348" si="46">A335+7</f>
        <v>46016</v>
      </c>
      <c r="E335" s="77">
        <f t="shared" ref="E335:E348" si="47">A335+14</f>
        <v>46023</v>
      </c>
      <c r="F335" s="77">
        <f t="shared" ref="F335:F348" si="48">A335+20</f>
        <v>46029</v>
      </c>
      <c r="G335" s="77">
        <f t="shared" ref="G335:G348" si="49">A335+8</f>
        <v>46017</v>
      </c>
      <c r="H335" s="77">
        <f t="shared" ref="H335:H348" si="50">A335+15</f>
        <v>46024</v>
      </c>
      <c r="I335" s="77"/>
      <c r="J335" s="78"/>
      <c r="K335" s="25"/>
      <c r="L335" s="25"/>
      <c r="M335" s="25"/>
      <c r="N335" s="25"/>
    </row>
    <row r="336" spans="1:14" x14ac:dyDescent="0.25">
      <c r="A336" s="77">
        <v>46009</v>
      </c>
      <c r="B336" s="25" t="s">
        <v>360</v>
      </c>
      <c r="C336" s="77">
        <f t="shared" si="45"/>
        <v>46032</v>
      </c>
      <c r="D336" s="77">
        <f t="shared" si="46"/>
        <v>46016</v>
      </c>
      <c r="E336" s="77">
        <f t="shared" si="47"/>
        <v>46023</v>
      </c>
      <c r="F336" s="77">
        <f t="shared" si="48"/>
        <v>46029</v>
      </c>
      <c r="G336" s="77">
        <f t="shared" si="49"/>
        <v>46017</v>
      </c>
      <c r="H336" s="77">
        <f t="shared" si="50"/>
        <v>46024</v>
      </c>
      <c r="I336" s="77"/>
      <c r="J336" s="78"/>
      <c r="K336" s="25"/>
      <c r="L336" s="25"/>
      <c r="M336" s="25"/>
      <c r="N336" s="25"/>
    </row>
    <row r="337" spans="1:14" x14ac:dyDescent="0.25">
      <c r="A337" s="77">
        <v>46009</v>
      </c>
      <c r="B337" s="25" t="s">
        <v>361</v>
      </c>
      <c r="C337" s="77">
        <f t="shared" si="45"/>
        <v>46032</v>
      </c>
      <c r="D337" s="77">
        <f t="shared" si="46"/>
        <v>46016</v>
      </c>
      <c r="E337" s="77">
        <f t="shared" si="47"/>
        <v>46023</v>
      </c>
      <c r="F337" s="77">
        <f t="shared" si="48"/>
        <v>46029</v>
      </c>
      <c r="G337" s="77">
        <f t="shared" si="49"/>
        <v>46017</v>
      </c>
      <c r="H337" s="77">
        <f t="shared" si="50"/>
        <v>46024</v>
      </c>
      <c r="I337" s="77"/>
      <c r="J337" s="78"/>
      <c r="K337" s="25"/>
      <c r="L337" s="25"/>
      <c r="M337" s="25"/>
      <c r="N337" s="25"/>
    </row>
    <row r="338" spans="1:14" x14ac:dyDescent="0.25">
      <c r="A338" s="77">
        <v>46009</v>
      </c>
      <c r="B338" s="25" t="s">
        <v>362</v>
      </c>
      <c r="C338" s="77">
        <f t="shared" si="45"/>
        <v>46032</v>
      </c>
      <c r="D338" s="77">
        <f t="shared" si="46"/>
        <v>46016</v>
      </c>
      <c r="E338" s="77">
        <f t="shared" si="47"/>
        <v>46023</v>
      </c>
      <c r="F338" s="77">
        <f t="shared" si="48"/>
        <v>46029</v>
      </c>
      <c r="G338" s="77">
        <f t="shared" si="49"/>
        <v>46017</v>
      </c>
      <c r="H338" s="77">
        <f t="shared" si="50"/>
        <v>46024</v>
      </c>
      <c r="I338" s="77"/>
      <c r="J338" s="78"/>
      <c r="K338" s="25"/>
      <c r="L338" s="25"/>
      <c r="M338" s="25"/>
      <c r="N338" s="25"/>
    </row>
    <row r="339" spans="1:14" x14ac:dyDescent="0.25">
      <c r="A339" s="77">
        <v>46009</v>
      </c>
      <c r="B339" s="25" t="s">
        <v>363</v>
      </c>
      <c r="C339" s="77">
        <f t="shared" si="45"/>
        <v>46032</v>
      </c>
      <c r="D339" s="77">
        <f t="shared" si="46"/>
        <v>46016</v>
      </c>
      <c r="E339" s="77">
        <f t="shared" si="47"/>
        <v>46023</v>
      </c>
      <c r="F339" s="77">
        <f t="shared" si="48"/>
        <v>46029</v>
      </c>
      <c r="G339" s="77">
        <f t="shared" si="49"/>
        <v>46017</v>
      </c>
      <c r="H339" s="77">
        <f t="shared" si="50"/>
        <v>46024</v>
      </c>
      <c r="I339" s="77"/>
      <c r="J339" s="78"/>
      <c r="K339" s="25"/>
      <c r="L339" s="25"/>
      <c r="M339" s="25"/>
      <c r="N339" s="25"/>
    </row>
    <row r="340" spans="1:14" x14ac:dyDescent="0.25">
      <c r="A340" s="77">
        <v>46009</v>
      </c>
      <c r="B340" s="25" t="s">
        <v>364</v>
      </c>
      <c r="C340" s="77">
        <f t="shared" si="45"/>
        <v>46032</v>
      </c>
      <c r="D340" s="77">
        <f t="shared" si="46"/>
        <v>46016</v>
      </c>
      <c r="E340" s="77">
        <f t="shared" si="47"/>
        <v>46023</v>
      </c>
      <c r="F340" s="77">
        <f t="shared" si="48"/>
        <v>46029</v>
      </c>
      <c r="G340" s="77">
        <f t="shared" si="49"/>
        <v>46017</v>
      </c>
      <c r="H340" s="77">
        <f t="shared" si="50"/>
        <v>46024</v>
      </c>
      <c r="I340" s="77"/>
      <c r="J340" s="78"/>
      <c r="K340" s="25"/>
      <c r="L340" s="25"/>
      <c r="M340" s="25"/>
      <c r="N340" s="25"/>
    </row>
    <row r="341" spans="1:14" x14ac:dyDescent="0.25">
      <c r="A341" s="77">
        <v>46009</v>
      </c>
      <c r="B341" s="25" t="s">
        <v>365</v>
      </c>
      <c r="C341" s="77">
        <f t="shared" si="45"/>
        <v>46032</v>
      </c>
      <c r="D341" s="77">
        <f t="shared" si="46"/>
        <v>46016</v>
      </c>
      <c r="E341" s="77">
        <f t="shared" si="47"/>
        <v>46023</v>
      </c>
      <c r="F341" s="77">
        <f t="shared" si="48"/>
        <v>46029</v>
      </c>
      <c r="G341" s="77">
        <f t="shared" si="49"/>
        <v>46017</v>
      </c>
      <c r="H341" s="77">
        <f t="shared" si="50"/>
        <v>46024</v>
      </c>
      <c r="I341" s="77"/>
      <c r="J341" s="78"/>
      <c r="K341" s="25"/>
      <c r="L341" s="25"/>
      <c r="M341" s="25"/>
      <c r="N341" s="25"/>
    </row>
    <row r="342" spans="1:14" x14ac:dyDescent="0.25">
      <c r="A342" s="77">
        <v>46010</v>
      </c>
      <c r="B342" s="25" t="s">
        <v>379</v>
      </c>
      <c r="C342" s="77">
        <f t="shared" si="45"/>
        <v>46033</v>
      </c>
      <c r="D342" s="77">
        <f t="shared" si="46"/>
        <v>46017</v>
      </c>
      <c r="E342" s="77">
        <f t="shared" si="47"/>
        <v>46024</v>
      </c>
      <c r="F342" s="77">
        <f t="shared" si="48"/>
        <v>46030</v>
      </c>
      <c r="G342" s="77">
        <f t="shared" si="49"/>
        <v>46018</v>
      </c>
      <c r="H342" s="77">
        <f t="shared" si="50"/>
        <v>46025</v>
      </c>
      <c r="I342" s="77"/>
      <c r="J342" s="78"/>
      <c r="K342" s="25"/>
      <c r="L342" s="25"/>
      <c r="M342" s="25"/>
      <c r="N342" s="25"/>
    </row>
    <row r="343" spans="1:14" x14ac:dyDescent="0.25">
      <c r="A343" s="77">
        <v>46010</v>
      </c>
      <c r="B343" s="25" t="s">
        <v>380</v>
      </c>
      <c r="C343" s="77">
        <f t="shared" si="45"/>
        <v>46033</v>
      </c>
      <c r="D343" s="77">
        <f t="shared" si="46"/>
        <v>46017</v>
      </c>
      <c r="E343" s="77">
        <f t="shared" si="47"/>
        <v>46024</v>
      </c>
      <c r="F343" s="77">
        <f t="shared" si="48"/>
        <v>46030</v>
      </c>
      <c r="G343" s="77">
        <f t="shared" si="49"/>
        <v>46018</v>
      </c>
      <c r="H343" s="77">
        <f t="shared" si="50"/>
        <v>46025</v>
      </c>
      <c r="I343" s="77"/>
      <c r="J343" s="78"/>
      <c r="K343" s="25"/>
      <c r="L343" s="25"/>
      <c r="M343" s="25"/>
      <c r="N343" s="25"/>
    </row>
    <row r="344" spans="1:14" x14ac:dyDescent="0.25">
      <c r="A344" s="77">
        <v>46010</v>
      </c>
      <c r="B344" s="25" t="s">
        <v>381</v>
      </c>
      <c r="C344" s="77">
        <f t="shared" si="45"/>
        <v>46033</v>
      </c>
      <c r="D344" s="77">
        <f t="shared" si="46"/>
        <v>46017</v>
      </c>
      <c r="E344" s="77">
        <f t="shared" si="47"/>
        <v>46024</v>
      </c>
      <c r="F344" s="77">
        <f t="shared" si="48"/>
        <v>46030</v>
      </c>
      <c r="G344" s="77">
        <f t="shared" si="49"/>
        <v>46018</v>
      </c>
      <c r="H344" s="77">
        <f t="shared" si="50"/>
        <v>46025</v>
      </c>
      <c r="I344" s="77"/>
      <c r="J344" s="78"/>
      <c r="K344" s="25"/>
      <c r="L344" s="25"/>
      <c r="M344" s="25"/>
      <c r="N344" s="25"/>
    </row>
    <row r="345" spans="1:14" x14ac:dyDescent="0.25">
      <c r="A345" s="77">
        <v>46010</v>
      </c>
      <c r="B345" s="25" t="s">
        <v>382</v>
      </c>
      <c r="C345" s="77">
        <f t="shared" si="45"/>
        <v>46033</v>
      </c>
      <c r="D345" s="77">
        <f t="shared" si="46"/>
        <v>46017</v>
      </c>
      <c r="E345" s="77">
        <f t="shared" si="47"/>
        <v>46024</v>
      </c>
      <c r="F345" s="77">
        <f t="shared" si="48"/>
        <v>46030</v>
      </c>
      <c r="G345" s="77">
        <f t="shared" si="49"/>
        <v>46018</v>
      </c>
      <c r="H345" s="77">
        <f t="shared" si="50"/>
        <v>46025</v>
      </c>
      <c r="I345" s="77"/>
      <c r="J345" s="78"/>
      <c r="K345" s="25"/>
      <c r="L345" s="25"/>
      <c r="M345" s="25"/>
      <c r="N345" s="25"/>
    </row>
    <row r="346" spans="1:14" x14ac:dyDescent="0.25">
      <c r="A346" s="77">
        <v>46010</v>
      </c>
      <c r="B346" s="25" t="s">
        <v>383</v>
      </c>
      <c r="C346" s="77">
        <f t="shared" si="45"/>
        <v>46033</v>
      </c>
      <c r="D346" s="77">
        <f t="shared" si="46"/>
        <v>46017</v>
      </c>
      <c r="E346" s="77">
        <f t="shared" si="47"/>
        <v>46024</v>
      </c>
      <c r="F346" s="77">
        <f t="shared" si="48"/>
        <v>46030</v>
      </c>
      <c r="G346" s="77">
        <f t="shared" si="49"/>
        <v>46018</v>
      </c>
      <c r="H346" s="77">
        <f t="shared" si="50"/>
        <v>46025</v>
      </c>
      <c r="I346" s="77"/>
      <c r="J346" s="78"/>
      <c r="K346" s="25"/>
      <c r="L346" s="25"/>
      <c r="M346" s="25"/>
      <c r="N346" s="25"/>
    </row>
    <row r="347" spans="1:14" x14ac:dyDescent="0.25">
      <c r="A347" s="77">
        <v>46010</v>
      </c>
      <c r="B347" s="25" t="s">
        <v>384</v>
      </c>
      <c r="C347" s="77">
        <f t="shared" si="45"/>
        <v>46033</v>
      </c>
      <c r="D347" s="77">
        <f t="shared" si="46"/>
        <v>46017</v>
      </c>
      <c r="E347" s="77">
        <f t="shared" si="47"/>
        <v>46024</v>
      </c>
      <c r="F347" s="77">
        <f t="shared" si="48"/>
        <v>46030</v>
      </c>
      <c r="G347" s="77">
        <f t="shared" si="49"/>
        <v>46018</v>
      </c>
      <c r="H347" s="77">
        <f t="shared" si="50"/>
        <v>46025</v>
      </c>
      <c r="I347" s="77"/>
      <c r="J347" s="78"/>
      <c r="K347" s="25"/>
      <c r="L347" s="25"/>
      <c r="M347" s="25"/>
      <c r="N347" s="25"/>
    </row>
    <row r="348" spans="1:14" x14ac:dyDescent="0.25">
      <c r="A348" s="77">
        <v>46010</v>
      </c>
      <c r="B348" s="25" t="s">
        <v>385</v>
      </c>
      <c r="C348" s="77">
        <f t="shared" si="45"/>
        <v>46033</v>
      </c>
      <c r="D348" s="77">
        <f t="shared" si="46"/>
        <v>46017</v>
      </c>
      <c r="E348" s="77">
        <f t="shared" si="47"/>
        <v>46024</v>
      </c>
      <c r="F348" s="77">
        <f t="shared" si="48"/>
        <v>46030</v>
      </c>
      <c r="G348" s="77">
        <f t="shared" si="49"/>
        <v>46018</v>
      </c>
      <c r="H348" s="77">
        <f t="shared" si="50"/>
        <v>46025</v>
      </c>
      <c r="I348" s="77"/>
      <c r="J348" s="78"/>
      <c r="K348" s="25"/>
      <c r="L348" s="25"/>
      <c r="M348" s="25"/>
      <c r="N348" s="25"/>
    </row>
    <row r="349" spans="1:14" x14ac:dyDescent="0.25">
      <c r="A349" s="77">
        <v>46011</v>
      </c>
      <c r="B349" s="25" t="s">
        <v>366</v>
      </c>
      <c r="C349" s="77">
        <f t="shared" ref="C349:C362" si="51">A349+23</f>
        <v>46034</v>
      </c>
      <c r="D349" s="77">
        <f t="shared" ref="D349:D362" si="52">A349+7</f>
        <v>46018</v>
      </c>
      <c r="E349" s="77">
        <f t="shared" ref="E349:E362" si="53">A349+14</f>
        <v>46025</v>
      </c>
      <c r="F349" s="77">
        <f t="shared" ref="F349:F362" si="54">A349+20</f>
        <v>46031</v>
      </c>
      <c r="G349" s="77">
        <f t="shared" ref="G349:G362" si="55">A349+8</f>
        <v>46019</v>
      </c>
      <c r="H349" s="77">
        <f t="shared" ref="H349:H362" si="56">A349+15</f>
        <v>46026</v>
      </c>
      <c r="I349" s="77"/>
      <c r="J349" s="78"/>
      <c r="K349" s="25"/>
      <c r="L349" s="25"/>
      <c r="M349" s="25"/>
      <c r="N349" s="25"/>
    </row>
    <row r="350" spans="1:14" x14ac:dyDescent="0.25">
      <c r="A350" s="77">
        <v>46011</v>
      </c>
      <c r="B350" s="25" t="s">
        <v>367</v>
      </c>
      <c r="C350" s="77">
        <f t="shared" si="51"/>
        <v>46034</v>
      </c>
      <c r="D350" s="77">
        <f t="shared" si="52"/>
        <v>46018</v>
      </c>
      <c r="E350" s="77">
        <f t="shared" si="53"/>
        <v>46025</v>
      </c>
      <c r="F350" s="77">
        <f t="shared" si="54"/>
        <v>46031</v>
      </c>
      <c r="G350" s="77">
        <f t="shared" si="55"/>
        <v>46019</v>
      </c>
      <c r="H350" s="77">
        <f t="shared" si="56"/>
        <v>46026</v>
      </c>
      <c r="I350" s="77"/>
      <c r="J350" s="78"/>
      <c r="K350" s="25"/>
      <c r="L350" s="25"/>
      <c r="M350" s="25"/>
      <c r="N350" s="25"/>
    </row>
    <row r="351" spans="1:14" x14ac:dyDescent="0.25">
      <c r="A351" s="77">
        <v>46011</v>
      </c>
      <c r="B351" s="25" t="s">
        <v>368</v>
      </c>
      <c r="C351" s="77">
        <f t="shared" si="51"/>
        <v>46034</v>
      </c>
      <c r="D351" s="77">
        <f t="shared" si="52"/>
        <v>46018</v>
      </c>
      <c r="E351" s="77">
        <f t="shared" si="53"/>
        <v>46025</v>
      </c>
      <c r="F351" s="77">
        <f t="shared" si="54"/>
        <v>46031</v>
      </c>
      <c r="G351" s="77">
        <f t="shared" si="55"/>
        <v>46019</v>
      </c>
      <c r="H351" s="77">
        <f t="shared" si="56"/>
        <v>46026</v>
      </c>
      <c r="I351" s="77"/>
      <c r="J351" s="78"/>
      <c r="K351" s="25"/>
      <c r="L351" s="25"/>
      <c r="M351" s="25"/>
      <c r="N351" s="25"/>
    </row>
    <row r="352" spans="1:14" x14ac:dyDescent="0.25">
      <c r="A352" s="77">
        <v>46011</v>
      </c>
      <c r="B352" s="25" t="s">
        <v>369</v>
      </c>
      <c r="C352" s="77">
        <f t="shared" si="51"/>
        <v>46034</v>
      </c>
      <c r="D352" s="77">
        <f t="shared" si="52"/>
        <v>46018</v>
      </c>
      <c r="E352" s="77">
        <f t="shared" si="53"/>
        <v>46025</v>
      </c>
      <c r="F352" s="77">
        <f t="shared" si="54"/>
        <v>46031</v>
      </c>
      <c r="G352" s="77">
        <f t="shared" si="55"/>
        <v>46019</v>
      </c>
      <c r="H352" s="77">
        <f t="shared" si="56"/>
        <v>46026</v>
      </c>
      <c r="I352" s="77"/>
      <c r="J352" s="78"/>
      <c r="K352" s="25"/>
      <c r="L352" s="25"/>
      <c r="M352" s="25"/>
      <c r="N352" s="25"/>
    </row>
    <row r="353" spans="1:14" x14ac:dyDescent="0.25">
      <c r="A353" s="77">
        <v>46011</v>
      </c>
      <c r="B353" s="25" t="s">
        <v>370</v>
      </c>
      <c r="C353" s="77">
        <f t="shared" si="51"/>
        <v>46034</v>
      </c>
      <c r="D353" s="77">
        <f t="shared" si="52"/>
        <v>46018</v>
      </c>
      <c r="E353" s="77">
        <f t="shared" si="53"/>
        <v>46025</v>
      </c>
      <c r="F353" s="77">
        <f t="shared" si="54"/>
        <v>46031</v>
      </c>
      <c r="G353" s="77">
        <f t="shared" si="55"/>
        <v>46019</v>
      </c>
      <c r="H353" s="77">
        <f t="shared" si="56"/>
        <v>46026</v>
      </c>
      <c r="I353" s="77"/>
      <c r="J353" s="78"/>
      <c r="K353" s="25"/>
      <c r="L353" s="25"/>
      <c r="M353" s="25"/>
      <c r="N353" s="25"/>
    </row>
    <row r="354" spans="1:14" x14ac:dyDescent="0.25">
      <c r="A354" s="77">
        <v>46011</v>
      </c>
      <c r="B354" s="25" t="s">
        <v>371</v>
      </c>
      <c r="C354" s="77">
        <f t="shared" si="51"/>
        <v>46034</v>
      </c>
      <c r="D354" s="77">
        <f t="shared" si="52"/>
        <v>46018</v>
      </c>
      <c r="E354" s="77">
        <f t="shared" si="53"/>
        <v>46025</v>
      </c>
      <c r="F354" s="77">
        <f t="shared" si="54"/>
        <v>46031</v>
      </c>
      <c r="G354" s="77">
        <f t="shared" si="55"/>
        <v>46019</v>
      </c>
      <c r="H354" s="77">
        <f t="shared" si="56"/>
        <v>46026</v>
      </c>
      <c r="I354" s="77"/>
      <c r="J354" s="78"/>
      <c r="K354" s="25"/>
      <c r="L354" s="25"/>
      <c r="M354" s="25"/>
      <c r="N354" s="25"/>
    </row>
    <row r="355" spans="1:14" x14ac:dyDescent="0.25">
      <c r="A355" s="77">
        <v>46011</v>
      </c>
      <c r="B355" s="25" t="s">
        <v>372</v>
      </c>
      <c r="C355" s="77">
        <f t="shared" si="51"/>
        <v>46034</v>
      </c>
      <c r="D355" s="77">
        <f t="shared" si="52"/>
        <v>46018</v>
      </c>
      <c r="E355" s="77">
        <f t="shared" si="53"/>
        <v>46025</v>
      </c>
      <c r="F355" s="77">
        <f t="shared" si="54"/>
        <v>46031</v>
      </c>
      <c r="G355" s="77">
        <f t="shared" si="55"/>
        <v>46019</v>
      </c>
      <c r="H355" s="77">
        <f t="shared" si="56"/>
        <v>46026</v>
      </c>
      <c r="I355" s="77"/>
      <c r="J355" s="78"/>
      <c r="K355" s="25"/>
      <c r="L355" s="25"/>
      <c r="M355" s="25"/>
      <c r="N355" s="25"/>
    </row>
    <row r="356" spans="1:14" x14ac:dyDescent="0.25">
      <c r="A356" s="77">
        <v>46012</v>
      </c>
      <c r="B356" s="25" t="s">
        <v>386</v>
      </c>
      <c r="C356" s="77">
        <f t="shared" si="51"/>
        <v>46035</v>
      </c>
      <c r="D356" s="77">
        <f t="shared" si="52"/>
        <v>46019</v>
      </c>
      <c r="E356" s="77">
        <f t="shared" si="53"/>
        <v>46026</v>
      </c>
      <c r="F356" s="77">
        <f t="shared" si="54"/>
        <v>46032</v>
      </c>
      <c r="G356" s="77">
        <f t="shared" si="55"/>
        <v>46020</v>
      </c>
      <c r="H356" s="77">
        <f t="shared" si="56"/>
        <v>46027</v>
      </c>
      <c r="I356" s="77"/>
      <c r="J356" s="78"/>
      <c r="K356" s="25"/>
      <c r="L356" s="25"/>
      <c r="M356" s="25"/>
      <c r="N356" s="25"/>
    </row>
    <row r="357" spans="1:14" x14ac:dyDescent="0.25">
      <c r="A357" s="77">
        <v>46012</v>
      </c>
      <c r="B357" s="25" t="s">
        <v>387</v>
      </c>
      <c r="C357" s="77">
        <f t="shared" si="51"/>
        <v>46035</v>
      </c>
      <c r="D357" s="77">
        <f t="shared" si="52"/>
        <v>46019</v>
      </c>
      <c r="E357" s="77">
        <f t="shared" si="53"/>
        <v>46026</v>
      </c>
      <c r="F357" s="77">
        <f t="shared" si="54"/>
        <v>46032</v>
      </c>
      <c r="G357" s="77">
        <f t="shared" si="55"/>
        <v>46020</v>
      </c>
      <c r="H357" s="77">
        <f t="shared" si="56"/>
        <v>46027</v>
      </c>
      <c r="I357" s="77"/>
      <c r="J357" s="78"/>
      <c r="K357" s="25"/>
      <c r="L357" s="25"/>
      <c r="M357" s="25"/>
      <c r="N357" s="25"/>
    </row>
    <row r="358" spans="1:14" x14ac:dyDescent="0.25">
      <c r="A358" s="77">
        <v>46012</v>
      </c>
      <c r="B358" s="25" t="s">
        <v>388</v>
      </c>
      <c r="C358" s="77">
        <f t="shared" si="51"/>
        <v>46035</v>
      </c>
      <c r="D358" s="77">
        <f t="shared" si="52"/>
        <v>46019</v>
      </c>
      <c r="E358" s="77">
        <f t="shared" si="53"/>
        <v>46026</v>
      </c>
      <c r="F358" s="77">
        <f t="shared" si="54"/>
        <v>46032</v>
      </c>
      <c r="G358" s="77">
        <f t="shared" si="55"/>
        <v>46020</v>
      </c>
      <c r="H358" s="77">
        <f t="shared" si="56"/>
        <v>46027</v>
      </c>
      <c r="I358" s="77"/>
      <c r="J358" s="78"/>
      <c r="K358" s="25"/>
      <c r="L358" s="25"/>
      <c r="M358" s="25"/>
      <c r="N358" s="25"/>
    </row>
    <row r="359" spans="1:14" x14ac:dyDescent="0.25">
      <c r="A359" s="77">
        <v>46012</v>
      </c>
      <c r="B359" s="25" t="s">
        <v>389</v>
      </c>
      <c r="C359" s="77">
        <f t="shared" si="51"/>
        <v>46035</v>
      </c>
      <c r="D359" s="77">
        <f t="shared" si="52"/>
        <v>46019</v>
      </c>
      <c r="E359" s="77">
        <f t="shared" si="53"/>
        <v>46026</v>
      </c>
      <c r="F359" s="77">
        <f t="shared" si="54"/>
        <v>46032</v>
      </c>
      <c r="G359" s="77">
        <f t="shared" si="55"/>
        <v>46020</v>
      </c>
      <c r="H359" s="77">
        <f t="shared" si="56"/>
        <v>46027</v>
      </c>
      <c r="I359" s="77"/>
      <c r="J359" s="78"/>
      <c r="K359" s="25"/>
      <c r="L359" s="25"/>
      <c r="M359" s="25"/>
      <c r="N359" s="25"/>
    </row>
    <row r="360" spans="1:14" x14ac:dyDescent="0.25">
      <c r="A360" s="77">
        <v>46012</v>
      </c>
      <c r="B360" s="25" t="s">
        <v>390</v>
      </c>
      <c r="C360" s="77">
        <f t="shared" si="51"/>
        <v>46035</v>
      </c>
      <c r="D360" s="77">
        <f t="shared" si="52"/>
        <v>46019</v>
      </c>
      <c r="E360" s="77">
        <f t="shared" si="53"/>
        <v>46026</v>
      </c>
      <c r="F360" s="77">
        <f t="shared" si="54"/>
        <v>46032</v>
      </c>
      <c r="G360" s="77">
        <f t="shared" si="55"/>
        <v>46020</v>
      </c>
      <c r="H360" s="77">
        <f t="shared" si="56"/>
        <v>46027</v>
      </c>
      <c r="I360" s="77"/>
      <c r="J360" s="78"/>
      <c r="K360" s="25"/>
      <c r="L360" s="25"/>
      <c r="M360" s="25"/>
      <c r="N360" s="25"/>
    </row>
    <row r="361" spans="1:14" x14ac:dyDescent="0.25">
      <c r="A361" s="77">
        <v>46012</v>
      </c>
      <c r="B361" s="25" t="s">
        <v>391</v>
      </c>
      <c r="C361" s="77">
        <f t="shared" si="51"/>
        <v>46035</v>
      </c>
      <c r="D361" s="77">
        <f t="shared" si="52"/>
        <v>46019</v>
      </c>
      <c r="E361" s="77">
        <f t="shared" si="53"/>
        <v>46026</v>
      </c>
      <c r="F361" s="77">
        <f t="shared" si="54"/>
        <v>46032</v>
      </c>
      <c r="G361" s="77">
        <f t="shared" si="55"/>
        <v>46020</v>
      </c>
      <c r="H361" s="77">
        <f t="shared" si="56"/>
        <v>46027</v>
      </c>
      <c r="I361" s="77"/>
      <c r="J361" s="78"/>
      <c r="K361" s="25"/>
      <c r="L361" s="25"/>
      <c r="M361" s="25"/>
      <c r="N361" s="25"/>
    </row>
    <row r="362" spans="1:14" x14ac:dyDescent="0.25">
      <c r="A362" s="77">
        <v>46012</v>
      </c>
      <c r="B362" s="25" t="s">
        <v>392</v>
      </c>
      <c r="C362" s="77">
        <f t="shared" si="51"/>
        <v>46035</v>
      </c>
      <c r="D362" s="77">
        <f t="shared" si="52"/>
        <v>46019</v>
      </c>
      <c r="E362" s="77">
        <f t="shared" si="53"/>
        <v>46026</v>
      </c>
      <c r="F362" s="77">
        <f t="shared" si="54"/>
        <v>46032</v>
      </c>
      <c r="G362" s="77">
        <f t="shared" si="55"/>
        <v>46020</v>
      </c>
      <c r="H362" s="77">
        <f t="shared" si="56"/>
        <v>46027</v>
      </c>
      <c r="I362" s="77"/>
      <c r="J362" s="78"/>
      <c r="K362" s="25"/>
      <c r="L362" s="25"/>
      <c r="M362" s="25"/>
      <c r="N362" s="25"/>
    </row>
    <row r="363" spans="1:14" x14ac:dyDescent="0.25">
      <c r="A363" s="77">
        <v>46013</v>
      </c>
      <c r="B363" s="25" t="s">
        <v>393</v>
      </c>
      <c r="C363" s="77">
        <f t="shared" ref="C363:C368" si="57">A363+23</f>
        <v>46036</v>
      </c>
      <c r="D363" s="77">
        <f t="shared" ref="D363:D368" si="58">A363+7</f>
        <v>46020</v>
      </c>
      <c r="E363" s="77">
        <f t="shared" ref="E363:E368" si="59">A363+14</f>
        <v>46027</v>
      </c>
      <c r="F363" s="77">
        <f t="shared" ref="F363:F368" si="60">A363+20</f>
        <v>46033</v>
      </c>
      <c r="G363" s="77">
        <f t="shared" ref="G363:G368" si="61">A363+8</f>
        <v>46021</v>
      </c>
      <c r="H363" s="77">
        <f t="shared" ref="H363:H368" si="62">A363+15</f>
        <v>46028</v>
      </c>
      <c r="I363" s="77"/>
      <c r="J363" s="78"/>
      <c r="K363" s="25"/>
      <c r="L363" s="25"/>
      <c r="M363" s="25"/>
      <c r="N363" s="25"/>
    </row>
    <row r="364" spans="1:14" x14ac:dyDescent="0.25">
      <c r="A364" s="77">
        <v>46013</v>
      </c>
      <c r="B364" s="25" t="s">
        <v>394</v>
      </c>
      <c r="C364" s="77">
        <f t="shared" si="57"/>
        <v>46036</v>
      </c>
      <c r="D364" s="77">
        <f t="shared" si="58"/>
        <v>46020</v>
      </c>
      <c r="E364" s="77">
        <f t="shared" si="59"/>
        <v>46027</v>
      </c>
      <c r="F364" s="77">
        <f t="shared" si="60"/>
        <v>46033</v>
      </c>
      <c r="G364" s="77">
        <f t="shared" si="61"/>
        <v>46021</v>
      </c>
      <c r="H364" s="77">
        <f t="shared" si="62"/>
        <v>46028</v>
      </c>
      <c r="I364" s="77"/>
      <c r="J364" s="78"/>
      <c r="K364" s="25"/>
      <c r="L364" s="25"/>
      <c r="M364" s="25"/>
      <c r="N364" s="25"/>
    </row>
    <row r="365" spans="1:14" x14ac:dyDescent="0.25">
      <c r="A365" s="77">
        <v>46013</v>
      </c>
      <c r="B365" s="25" t="s">
        <v>373</v>
      </c>
      <c r="C365" s="77">
        <f t="shared" si="57"/>
        <v>46036</v>
      </c>
      <c r="D365" s="77">
        <f t="shared" si="58"/>
        <v>46020</v>
      </c>
      <c r="E365" s="77">
        <f t="shared" si="59"/>
        <v>46027</v>
      </c>
      <c r="F365" s="77">
        <f t="shared" si="60"/>
        <v>46033</v>
      </c>
      <c r="G365" s="77">
        <f t="shared" si="61"/>
        <v>46021</v>
      </c>
      <c r="H365" s="77">
        <f t="shared" si="62"/>
        <v>46028</v>
      </c>
      <c r="I365" s="77"/>
      <c r="J365" s="78"/>
      <c r="K365" s="25"/>
      <c r="L365" s="25"/>
      <c r="M365" s="25"/>
      <c r="N365" s="25"/>
    </row>
    <row r="366" spans="1:14" x14ac:dyDescent="0.25">
      <c r="A366" s="77">
        <v>46013</v>
      </c>
      <c r="B366" s="25" t="s">
        <v>374</v>
      </c>
      <c r="C366" s="77">
        <f t="shared" si="57"/>
        <v>46036</v>
      </c>
      <c r="D366" s="77">
        <f t="shared" si="58"/>
        <v>46020</v>
      </c>
      <c r="E366" s="77">
        <f t="shared" si="59"/>
        <v>46027</v>
      </c>
      <c r="F366" s="77">
        <f t="shared" si="60"/>
        <v>46033</v>
      </c>
      <c r="G366" s="77">
        <f t="shared" si="61"/>
        <v>46021</v>
      </c>
      <c r="H366" s="77">
        <f t="shared" si="62"/>
        <v>46028</v>
      </c>
      <c r="I366" s="77"/>
      <c r="J366" s="78"/>
      <c r="K366" s="25"/>
      <c r="L366" s="25"/>
      <c r="M366" s="25"/>
      <c r="N366" s="25"/>
    </row>
    <row r="367" spans="1:14" x14ac:dyDescent="0.25">
      <c r="A367" s="77">
        <v>46013</v>
      </c>
      <c r="B367" s="25" t="s">
        <v>375</v>
      </c>
      <c r="C367" s="77">
        <f t="shared" si="57"/>
        <v>46036</v>
      </c>
      <c r="D367" s="77">
        <f t="shared" si="58"/>
        <v>46020</v>
      </c>
      <c r="E367" s="77">
        <f t="shared" si="59"/>
        <v>46027</v>
      </c>
      <c r="F367" s="77">
        <f t="shared" si="60"/>
        <v>46033</v>
      </c>
      <c r="G367" s="77">
        <f t="shared" si="61"/>
        <v>46021</v>
      </c>
      <c r="H367" s="77">
        <f t="shared" si="62"/>
        <v>46028</v>
      </c>
      <c r="I367" s="77"/>
      <c r="J367" s="78"/>
      <c r="K367" s="25"/>
      <c r="L367" s="25"/>
      <c r="M367" s="25"/>
      <c r="N367" s="25"/>
    </row>
    <row r="368" spans="1:14" x14ac:dyDescent="0.25">
      <c r="A368" s="77">
        <v>46013</v>
      </c>
      <c r="B368" s="25" t="s">
        <v>376</v>
      </c>
      <c r="C368" s="77">
        <f>A368+23</f>
        <v>46036</v>
      </c>
      <c r="D368" s="77">
        <f>A368+7</f>
        <v>46020</v>
      </c>
      <c r="E368" s="77">
        <f>A368+14</f>
        <v>46027</v>
      </c>
      <c r="F368" s="77">
        <f>A368+20</f>
        <v>46033</v>
      </c>
      <c r="G368" s="77">
        <f>A368+8</f>
        <v>46021</v>
      </c>
      <c r="H368" s="77">
        <f>A368+15</f>
        <v>46028</v>
      </c>
      <c r="I368" s="77"/>
      <c r="J368" s="78"/>
      <c r="K368" s="25"/>
      <c r="L368" s="25"/>
      <c r="M368" s="25"/>
      <c r="N368" s="25"/>
    </row>
    <row r="369" spans="1:14" x14ac:dyDescent="0.25">
      <c r="A369" s="77">
        <v>46014</v>
      </c>
      <c r="B369" s="25" t="s">
        <v>405</v>
      </c>
      <c r="C369" s="77">
        <f t="shared" ref="C369:C375" si="63">A369+23</f>
        <v>46037</v>
      </c>
      <c r="D369" s="77">
        <f t="shared" ref="D369:D375" si="64">A369+7</f>
        <v>46021</v>
      </c>
      <c r="E369" s="77">
        <f t="shared" ref="E369:E375" si="65">A369+14</f>
        <v>46028</v>
      </c>
      <c r="F369" s="77">
        <f t="shared" ref="F369:F375" si="66">A369+20</f>
        <v>46034</v>
      </c>
      <c r="G369" s="77">
        <f t="shared" ref="G369:G375" si="67">A369+8</f>
        <v>46022</v>
      </c>
      <c r="H369" s="77">
        <f t="shared" ref="H369:H375" si="68">A369+15</f>
        <v>46029</v>
      </c>
      <c r="I369" s="77"/>
      <c r="J369" s="78"/>
      <c r="K369" s="25"/>
      <c r="L369" s="25"/>
      <c r="M369" s="25"/>
      <c r="N369" s="25"/>
    </row>
    <row r="370" spans="1:14" x14ac:dyDescent="0.25">
      <c r="A370" s="77">
        <v>46014</v>
      </c>
      <c r="B370" s="25" t="s">
        <v>406</v>
      </c>
      <c r="C370" s="77">
        <f t="shared" si="63"/>
        <v>46037</v>
      </c>
      <c r="D370" s="77">
        <f t="shared" si="64"/>
        <v>46021</v>
      </c>
      <c r="E370" s="77">
        <f t="shared" si="65"/>
        <v>46028</v>
      </c>
      <c r="F370" s="77">
        <f t="shared" si="66"/>
        <v>46034</v>
      </c>
      <c r="G370" s="77">
        <f t="shared" si="67"/>
        <v>46022</v>
      </c>
      <c r="H370" s="77">
        <f t="shared" si="68"/>
        <v>46029</v>
      </c>
      <c r="I370" s="77"/>
      <c r="J370" s="78"/>
      <c r="K370" s="25"/>
      <c r="L370" s="25"/>
      <c r="M370" s="25"/>
      <c r="N370" s="25"/>
    </row>
    <row r="371" spans="1:14" x14ac:dyDescent="0.25">
      <c r="A371" s="77">
        <v>46014</v>
      </c>
      <c r="B371" s="25" t="s">
        <v>407</v>
      </c>
      <c r="C371" s="77">
        <f t="shared" si="63"/>
        <v>46037</v>
      </c>
      <c r="D371" s="77">
        <f t="shared" si="64"/>
        <v>46021</v>
      </c>
      <c r="E371" s="77">
        <f t="shared" si="65"/>
        <v>46028</v>
      </c>
      <c r="F371" s="77">
        <f t="shared" si="66"/>
        <v>46034</v>
      </c>
      <c r="G371" s="77">
        <f t="shared" si="67"/>
        <v>46022</v>
      </c>
      <c r="H371" s="77">
        <f t="shared" si="68"/>
        <v>46029</v>
      </c>
      <c r="I371" s="77"/>
      <c r="J371" s="78"/>
      <c r="K371" s="25"/>
      <c r="L371" s="25"/>
      <c r="M371" s="25"/>
      <c r="N371" s="25"/>
    </row>
    <row r="372" spans="1:14" x14ac:dyDescent="0.25">
      <c r="A372" s="77">
        <v>46014</v>
      </c>
      <c r="B372" s="25" t="s">
        <v>408</v>
      </c>
      <c r="C372" s="77">
        <f t="shared" si="63"/>
        <v>46037</v>
      </c>
      <c r="D372" s="77">
        <f t="shared" si="64"/>
        <v>46021</v>
      </c>
      <c r="E372" s="77">
        <f t="shared" si="65"/>
        <v>46028</v>
      </c>
      <c r="F372" s="77">
        <f t="shared" si="66"/>
        <v>46034</v>
      </c>
      <c r="G372" s="77">
        <f t="shared" si="67"/>
        <v>46022</v>
      </c>
      <c r="H372" s="77">
        <f t="shared" si="68"/>
        <v>46029</v>
      </c>
      <c r="I372" s="77"/>
      <c r="J372" s="78"/>
      <c r="K372" s="25"/>
      <c r="L372" s="25"/>
      <c r="M372" s="25"/>
      <c r="N372" s="25"/>
    </row>
    <row r="373" spans="1:14" x14ac:dyDescent="0.25">
      <c r="A373" s="77">
        <v>46014</v>
      </c>
      <c r="B373" s="25" t="s">
        <v>409</v>
      </c>
      <c r="C373" s="77">
        <f t="shared" si="63"/>
        <v>46037</v>
      </c>
      <c r="D373" s="77">
        <f t="shared" si="64"/>
        <v>46021</v>
      </c>
      <c r="E373" s="77">
        <f t="shared" si="65"/>
        <v>46028</v>
      </c>
      <c r="F373" s="77">
        <f t="shared" si="66"/>
        <v>46034</v>
      </c>
      <c r="G373" s="77">
        <f t="shared" si="67"/>
        <v>46022</v>
      </c>
      <c r="H373" s="77">
        <f t="shared" si="68"/>
        <v>46029</v>
      </c>
      <c r="I373" s="77"/>
      <c r="J373" s="78"/>
      <c r="K373" s="25"/>
      <c r="L373" s="25"/>
      <c r="M373" s="25"/>
      <c r="N373" s="25"/>
    </row>
    <row r="374" spans="1:14" x14ac:dyDescent="0.25">
      <c r="A374" s="77">
        <v>46014</v>
      </c>
      <c r="B374" s="25" t="s">
        <v>410</v>
      </c>
      <c r="C374" s="77">
        <f t="shared" si="63"/>
        <v>46037</v>
      </c>
      <c r="D374" s="77">
        <f t="shared" si="64"/>
        <v>46021</v>
      </c>
      <c r="E374" s="77">
        <f t="shared" si="65"/>
        <v>46028</v>
      </c>
      <c r="F374" s="77">
        <f t="shared" si="66"/>
        <v>46034</v>
      </c>
      <c r="G374" s="77">
        <f t="shared" si="67"/>
        <v>46022</v>
      </c>
      <c r="H374" s="77">
        <f t="shared" si="68"/>
        <v>46029</v>
      </c>
      <c r="I374" s="77"/>
      <c r="J374" s="78"/>
      <c r="K374" s="25"/>
      <c r="L374" s="25"/>
      <c r="M374" s="25"/>
      <c r="N374" s="25"/>
    </row>
    <row r="375" spans="1:14" x14ac:dyDescent="0.25">
      <c r="A375" s="77">
        <v>46014</v>
      </c>
      <c r="B375" s="25" t="s">
        <v>411</v>
      </c>
      <c r="C375" s="77">
        <f t="shared" si="63"/>
        <v>46037</v>
      </c>
      <c r="D375" s="77">
        <f t="shared" si="64"/>
        <v>46021</v>
      </c>
      <c r="E375" s="77">
        <f t="shared" si="65"/>
        <v>46028</v>
      </c>
      <c r="F375" s="77">
        <f t="shared" si="66"/>
        <v>46034</v>
      </c>
      <c r="G375" s="77">
        <f t="shared" si="67"/>
        <v>46022</v>
      </c>
      <c r="H375" s="77">
        <f t="shared" si="68"/>
        <v>46029</v>
      </c>
      <c r="I375" s="77"/>
      <c r="J375" s="78"/>
      <c r="K375" s="25"/>
      <c r="L375" s="25"/>
      <c r="M375" s="25"/>
      <c r="N375" s="25"/>
    </row>
  </sheetData>
  <autoFilter ref="A2:N334" xr:uid="{20199F35-F489-4132-BF95-FF556C1B36C1}">
    <sortState xmlns:xlrd2="http://schemas.microsoft.com/office/spreadsheetml/2017/richdata2" ref="A3:N334">
      <sortCondition ref="A2:A334"/>
    </sortState>
  </autoFilter>
  <conditionalFormatting sqref="A349:A362">
    <cfRule type="expression" dxfId="10" priority="5">
      <formula>$K349&gt;0</formula>
    </cfRule>
  </conditionalFormatting>
  <conditionalFormatting sqref="A1:B169 A222:A341 A342:B348 A376:B1048576 A189:B221 A370:A375 C349:H375 J349:J375">
    <cfRule type="expression" dxfId="9" priority="10">
      <formula>$K1&gt;0</formula>
    </cfRule>
  </conditionalFormatting>
  <conditionalFormatting sqref="B349:B355">
    <cfRule type="expression" dxfId="8" priority="4">
      <formula>$K349&gt;0</formula>
    </cfRule>
  </conditionalFormatting>
  <conditionalFormatting sqref="C1:H169 C189:H348 A170:I188 C363:H1048576">
    <cfRule type="expression" dxfId="7" priority="13">
      <formula>$J1&gt;0</formula>
    </cfRule>
  </conditionalFormatting>
  <conditionalFormatting sqref="I1:I169 I189:I1048576">
    <cfRule type="expression" dxfId="6" priority="8">
      <formula>$K1&gt;0</formula>
    </cfRule>
  </conditionalFormatting>
  <conditionalFormatting sqref="A363:A375">
    <cfRule type="expression" dxfId="5" priority="2">
      <formula>$K363&gt;0</formula>
    </cfRule>
  </conditionalFormatting>
  <conditionalFormatting sqref="B365:B368">
    <cfRule type="expression" dxfId="4" priority="1">
      <formula>$K365&gt;0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90" activePane="bottomRight" state="frozen"/>
      <selection pane="topRight" activeCell="D1" sqref="D1"/>
      <selection pane="bottomLeft" activeCell="A2" sqref="A2"/>
      <selection pane="bottomRight" activeCell="M110" sqref="M110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3" priority="10">
      <formula>$K2&gt;0</formula>
    </cfRule>
  </conditionalFormatting>
  <conditionalFormatting sqref="C2:C111">
    <cfRule type="expression" dxfId="2" priority="4">
      <formula>$K2&gt;0</formula>
    </cfRule>
  </conditionalFormatting>
  <conditionalFormatting sqref="C115:C119">
    <cfRule type="expression" dxfId="1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173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0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2025-12-23T04:00:22Z</dcterms:modified>
</cp:coreProperties>
</file>