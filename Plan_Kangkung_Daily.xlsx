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BC2DE62D-DE49-4FAF-A237-01C8C02CEF9D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bojongsari" sheetId="4" r:id="rId4"/>
    <sheet name="bojongsari_dt" sheetId="5" r:id="rId5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3" i="3" l="1"/>
  <c r="G333" i="3"/>
  <c r="F333" i="3"/>
  <c r="E333" i="3"/>
  <c r="D333" i="3"/>
  <c r="C333" i="3"/>
  <c r="H332" i="3"/>
  <c r="G332" i="3"/>
  <c r="F332" i="3"/>
  <c r="E332" i="3"/>
  <c r="D332" i="3"/>
  <c r="C332" i="3"/>
  <c r="H331" i="3"/>
  <c r="G331" i="3"/>
  <c r="F331" i="3"/>
  <c r="E331" i="3"/>
  <c r="D331" i="3"/>
  <c r="C331" i="3"/>
  <c r="H330" i="3"/>
  <c r="G330" i="3"/>
  <c r="F330" i="3"/>
  <c r="E330" i="3"/>
  <c r="D330" i="3"/>
  <c r="C330" i="3"/>
  <c r="H329" i="3"/>
  <c r="G329" i="3"/>
  <c r="F329" i="3"/>
  <c r="E329" i="3"/>
  <c r="D329" i="3"/>
  <c r="C329" i="3"/>
  <c r="H328" i="3"/>
  <c r="G328" i="3"/>
  <c r="F328" i="3"/>
  <c r="E328" i="3"/>
  <c r="D328" i="3"/>
  <c r="C328" i="3"/>
  <c r="H327" i="3"/>
  <c r="G327" i="3"/>
  <c r="F327" i="3"/>
  <c r="E327" i="3"/>
  <c r="D327" i="3"/>
  <c r="C327" i="3"/>
  <c r="H326" i="3"/>
  <c r="G326" i="3"/>
  <c r="F326" i="3"/>
  <c r="E326" i="3"/>
  <c r="D326" i="3"/>
  <c r="C326" i="3"/>
  <c r="H325" i="3"/>
  <c r="G325" i="3"/>
  <c r="F325" i="3"/>
  <c r="E325" i="3"/>
  <c r="D325" i="3"/>
  <c r="C325" i="3"/>
  <c r="H324" i="3"/>
  <c r="G324" i="3"/>
  <c r="F324" i="3"/>
  <c r="E324" i="3"/>
  <c r="D324" i="3"/>
  <c r="C324" i="3"/>
  <c r="H323" i="3"/>
  <c r="G323" i="3"/>
  <c r="F323" i="3"/>
  <c r="E323" i="3"/>
  <c r="D323" i="3"/>
  <c r="C323" i="3"/>
  <c r="H322" i="3"/>
  <c r="G322" i="3"/>
  <c r="F322" i="3"/>
  <c r="E322" i="3"/>
  <c r="D322" i="3"/>
  <c r="C322" i="3"/>
  <c r="H321" i="3"/>
  <c r="G321" i="3"/>
  <c r="F321" i="3"/>
  <c r="E321" i="3"/>
  <c r="D321" i="3"/>
  <c r="C321" i="3"/>
  <c r="H320" i="3"/>
  <c r="G320" i="3"/>
  <c r="F320" i="3"/>
  <c r="E320" i="3"/>
  <c r="D320" i="3"/>
  <c r="C320" i="3"/>
  <c r="H319" i="3"/>
  <c r="G319" i="3"/>
  <c r="F319" i="3"/>
  <c r="E319" i="3"/>
  <c r="D319" i="3"/>
  <c r="C319" i="3"/>
  <c r="H318" i="3"/>
  <c r="G318" i="3"/>
  <c r="F318" i="3"/>
  <c r="E318" i="3"/>
  <c r="D318" i="3"/>
  <c r="C318" i="3"/>
  <c r="H317" i="3"/>
  <c r="G317" i="3"/>
  <c r="F317" i="3"/>
  <c r="E317" i="3"/>
  <c r="D317" i="3"/>
  <c r="C317" i="3"/>
  <c r="H316" i="3"/>
  <c r="G316" i="3"/>
  <c r="F316" i="3"/>
  <c r="E316" i="3"/>
  <c r="D316" i="3"/>
  <c r="C316" i="3"/>
  <c r="H315" i="3"/>
  <c r="G315" i="3"/>
  <c r="F315" i="3"/>
  <c r="E315" i="3"/>
  <c r="D315" i="3"/>
  <c r="C315" i="3"/>
  <c r="H314" i="3"/>
  <c r="G314" i="3"/>
  <c r="F314" i="3"/>
  <c r="E314" i="3"/>
  <c r="D314" i="3"/>
  <c r="C314" i="3"/>
  <c r="H313" i="3"/>
  <c r="G313" i="3"/>
  <c r="F313" i="3"/>
  <c r="E313" i="3"/>
  <c r="D313" i="3"/>
  <c r="C313" i="3"/>
  <c r="H312" i="3"/>
  <c r="G312" i="3"/>
  <c r="F312" i="3"/>
  <c r="E312" i="3"/>
  <c r="D312" i="3"/>
  <c r="C312" i="3"/>
  <c r="H311" i="3"/>
  <c r="G311" i="3"/>
  <c r="F311" i="3"/>
  <c r="E311" i="3"/>
  <c r="D311" i="3"/>
  <c r="C311" i="3"/>
  <c r="H310" i="3"/>
  <c r="G310" i="3"/>
  <c r="F310" i="3"/>
  <c r="E310" i="3"/>
  <c r="D310" i="3"/>
  <c r="C310" i="3"/>
  <c r="H309" i="3"/>
  <c r="G309" i="3"/>
  <c r="F309" i="3"/>
  <c r="E309" i="3"/>
  <c r="D309" i="3"/>
  <c r="C309" i="3"/>
  <c r="H308" i="3"/>
  <c r="G308" i="3"/>
  <c r="F308" i="3"/>
  <c r="E308" i="3"/>
  <c r="D308" i="3"/>
  <c r="C308" i="3"/>
  <c r="H307" i="3"/>
  <c r="G307" i="3"/>
  <c r="F307" i="3"/>
  <c r="E307" i="3"/>
  <c r="D307" i="3"/>
  <c r="C307" i="3"/>
  <c r="H306" i="3"/>
  <c r="G306" i="3"/>
  <c r="F306" i="3"/>
  <c r="E306" i="3"/>
  <c r="D306" i="3"/>
  <c r="C306" i="3"/>
  <c r="H305" i="3"/>
  <c r="G305" i="3"/>
  <c r="F305" i="3"/>
  <c r="E305" i="3"/>
  <c r="D305" i="3"/>
  <c r="C305" i="3"/>
  <c r="H304" i="3"/>
  <c r="G304" i="3"/>
  <c r="F304" i="3"/>
  <c r="E304" i="3"/>
  <c r="D304" i="3"/>
  <c r="C304" i="3"/>
  <c r="H303" i="3"/>
  <c r="G303" i="3"/>
  <c r="F303" i="3"/>
  <c r="E303" i="3"/>
  <c r="D303" i="3"/>
  <c r="C303" i="3"/>
  <c r="H302" i="3"/>
  <c r="G302" i="3"/>
  <c r="F302" i="3"/>
  <c r="E302" i="3"/>
  <c r="D302" i="3"/>
  <c r="C302" i="3"/>
  <c r="H301" i="3"/>
  <c r="G301" i="3"/>
  <c r="F301" i="3"/>
  <c r="E301" i="3"/>
  <c r="D301" i="3"/>
  <c r="C301" i="3"/>
  <c r="H300" i="3"/>
  <c r="G300" i="3"/>
  <c r="F300" i="3"/>
  <c r="E300" i="3"/>
  <c r="D300" i="3"/>
  <c r="C300" i="3"/>
  <c r="H299" i="3"/>
  <c r="G299" i="3"/>
  <c r="F299" i="3"/>
  <c r="E299" i="3"/>
  <c r="D299" i="3"/>
  <c r="C299" i="3"/>
  <c r="H298" i="3"/>
  <c r="G298" i="3"/>
  <c r="F298" i="3"/>
  <c r="E298" i="3"/>
  <c r="D298" i="3"/>
  <c r="C298" i="3"/>
  <c r="M140" i="3"/>
  <c r="M139" i="3"/>
  <c r="M138" i="3"/>
  <c r="M137" i="3"/>
  <c r="M136" i="3"/>
  <c r="J140" i="3"/>
  <c r="J139" i="3"/>
  <c r="J138" i="3"/>
  <c r="J137" i="3"/>
  <c r="J136" i="3"/>
  <c r="M128" i="3"/>
  <c r="M127" i="3"/>
  <c r="M126" i="3"/>
  <c r="M125" i="3"/>
  <c r="J128" i="3"/>
  <c r="J127" i="3"/>
  <c r="J126" i="3"/>
  <c r="J125" i="3"/>
  <c r="M124" i="3"/>
  <c r="M123" i="3"/>
  <c r="M122" i="3"/>
  <c r="M121" i="3"/>
  <c r="M120" i="3"/>
  <c r="M119" i="3"/>
  <c r="M118" i="3"/>
  <c r="M117" i="3"/>
  <c r="M116" i="3"/>
  <c r="M115" i="3"/>
  <c r="J124" i="3"/>
  <c r="J123" i="3"/>
  <c r="J122" i="3"/>
  <c r="J121" i="3"/>
  <c r="J120" i="3"/>
  <c r="J119" i="3"/>
  <c r="J118" i="3"/>
  <c r="J117" i="3"/>
  <c r="J116" i="3"/>
  <c r="J115" i="3"/>
  <c r="M114" i="3"/>
  <c r="M113" i="3"/>
  <c r="M112" i="3"/>
  <c r="M111" i="3"/>
  <c r="M110" i="3"/>
  <c r="M109" i="3"/>
  <c r="M108" i="3"/>
  <c r="J114" i="3"/>
  <c r="J113" i="3"/>
  <c r="J112" i="3"/>
  <c r="J111" i="3"/>
  <c r="J110" i="3"/>
  <c r="J109" i="3"/>
  <c r="J108" i="3"/>
  <c r="M107" i="3"/>
  <c r="M106" i="3"/>
  <c r="M105" i="3"/>
  <c r="M104" i="3"/>
  <c r="J107" i="3"/>
  <c r="J106" i="3"/>
  <c r="J105" i="3"/>
  <c r="J104" i="3"/>
  <c r="M103" i="3"/>
  <c r="J103" i="3"/>
  <c r="M102" i="3"/>
  <c r="J102" i="3"/>
  <c r="M101" i="3"/>
  <c r="J101" i="3"/>
  <c r="M100" i="3"/>
  <c r="J100" i="3"/>
  <c r="M96" i="3"/>
  <c r="M95" i="3"/>
  <c r="M94" i="3"/>
  <c r="M93" i="3"/>
  <c r="J94" i="3"/>
  <c r="J95" i="3"/>
  <c r="J96" i="3"/>
  <c r="J93" i="3"/>
  <c r="M99" i="3"/>
  <c r="M98" i="3"/>
  <c r="M97" i="3"/>
  <c r="J98" i="3"/>
  <c r="J99" i="3"/>
  <c r="M90" i="3"/>
  <c r="M89" i="3"/>
  <c r="M88" i="3"/>
  <c r="M87" i="3"/>
  <c r="M86" i="3"/>
  <c r="J88" i="3"/>
  <c r="J87" i="3"/>
  <c r="J86" i="3"/>
  <c r="J90" i="3"/>
  <c r="J89" i="3"/>
  <c r="J97" i="3"/>
  <c r="J92" i="3"/>
  <c r="J91" i="3"/>
  <c r="J85" i="3"/>
  <c r="J84" i="3"/>
  <c r="J83" i="3"/>
  <c r="J82" i="3"/>
  <c r="J81" i="3"/>
  <c r="J80" i="3"/>
  <c r="M92" i="3"/>
  <c r="M91" i="3"/>
  <c r="M85" i="3"/>
  <c r="M84" i="3"/>
  <c r="M83" i="3"/>
  <c r="M82" i="3"/>
  <c r="M81" i="3"/>
  <c r="M80" i="3"/>
  <c r="M77" i="3"/>
  <c r="J77" i="3"/>
  <c r="J78" i="3"/>
  <c r="M78" i="3"/>
  <c r="J79" i="3"/>
  <c r="M79" i="3"/>
  <c r="M76" i="3"/>
  <c r="M75" i="3"/>
  <c r="M74" i="3"/>
  <c r="M73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M72" i="3"/>
  <c r="M71" i="3"/>
  <c r="M70" i="3"/>
  <c r="M69" i="3"/>
  <c r="M68" i="3"/>
  <c r="M67" i="3"/>
  <c r="M66" i="3"/>
  <c r="M65" i="3"/>
  <c r="M64" i="3"/>
  <c r="M63" i="3"/>
  <c r="H297" i="3"/>
  <c r="G297" i="3"/>
  <c r="F297" i="3"/>
  <c r="E297" i="3"/>
  <c r="D297" i="3"/>
  <c r="C297" i="3"/>
  <c r="H296" i="3"/>
  <c r="G296" i="3"/>
  <c r="F296" i="3"/>
  <c r="E296" i="3"/>
  <c r="D296" i="3"/>
  <c r="C296" i="3"/>
  <c r="H295" i="3"/>
  <c r="G295" i="3"/>
  <c r="F295" i="3"/>
  <c r="E295" i="3"/>
  <c r="D295" i="3"/>
  <c r="C295" i="3"/>
  <c r="H294" i="3"/>
  <c r="G294" i="3"/>
  <c r="F294" i="3"/>
  <c r="E294" i="3"/>
  <c r="D294" i="3"/>
  <c r="C294" i="3"/>
  <c r="H293" i="3"/>
  <c r="G293" i="3"/>
  <c r="F293" i="3"/>
  <c r="E293" i="3"/>
  <c r="D293" i="3"/>
  <c r="C293" i="3"/>
  <c r="H292" i="3"/>
  <c r="G292" i="3"/>
  <c r="F292" i="3"/>
  <c r="E292" i="3"/>
  <c r="D292" i="3"/>
  <c r="C292" i="3"/>
  <c r="H291" i="3"/>
  <c r="G291" i="3"/>
  <c r="F291" i="3"/>
  <c r="E291" i="3"/>
  <c r="D291" i="3"/>
  <c r="C291" i="3"/>
  <c r="H290" i="3"/>
  <c r="G290" i="3"/>
  <c r="F290" i="3"/>
  <c r="E290" i="3"/>
  <c r="D290" i="3"/>
  <c r="C290" i="3"/>
  <c r="H289" i="3"/>
  <c r="G289" i="3"/>
  <c r="F289" i="3"/>
  <c r="E289" i="3"/>
  <c r="D289" i="3"/>
  <c r="C289" i="3"/>
  <c r="H288" i="3"/>
  <c r="G288" i="3"/>
  <c r="F288" i="3"/>
  <c r="E288" i="3"/>
  <c r="D288" i="3"/>
  <c r="C288" i="3"/>
  <c r="H287" i="3"/>
  <c r="G287" i="3"/>
  <c r="F287" i="3"/>
  <c r="E287" i="3"/>
  <c r="D287" i="3"/>
  <c r="C287" i="3"/>
  <c r="H286" i="3"/>
  <c r="G286" i="3"/>
  <c r="F286" i="3"/>
  <c r="E286" i="3"/>
  <c r="D286" i="3"/>
  <c r="C286" i="3"/>
  <c r="H285" i="3"/>
  <c r="G285" i="3"/>
  <c r="F285" i="3"/>
  <c r="E285" i="3"/>
  <c r="D285" i="3"/>
  <c r="C285" i="3"/>
  <c r="H284" i="3"/>
  <c r="G284" i="3"/>
  <c r="F284" i="3"/>
  <c r="E284" i="3"/>
  <c r="D284" i="3"/>
  <c r="C284" i="3"/>
  <c r="H283" i="3"/>
  <c r="G283" i="3"/>
  <c r="F283" i="3"/>
  <c r="E283" i="3"/>
  <c r="D283" i="3"/>
  <c r="C283" i="3"/>
  <c r="H282" i="3"/>
  <c r="G282" i="3"/>
  <c r="F282" i="3"/>
  <c r="E282" i="3"/>
  <c r="D282" i="3"/>
  <c r="C282" i="3"/>
  <c r="H281" i="3"/>
  <c r="G281" i="3"/>
  <c r="F281" i="3"/>
  <c r="E281" i="3"/>
  <c r="D281" i="3"/>
  <c r="C281" i="3"/>
  <c r="H280" i="3"/>
  <c r="G280" i="3"/>
  <c r="F280" i="3"/>
  <c r="E280" i="3"/>
  <c r="D280" i="3"/>
  <c r="C280" i="3"/>
  <c r="H279" i="3"/>
  <c r="G279" i="3"/>
  <c r="F279" i="3"/>
  <c r="E279" i="3"/>
  <c r="D279" i="3"/>
  <c r="C279" i="3"/>
  <c r="H278" i="3"/>
  <c r="G278" i="3"/>
  <c r="F278" i="3"/>
  <c r="E278" i="3"/>
  <c r="D278" i="3"/>
  <c r="C278" i="3"/>
  <c r="H277" i="3"/>
  <c r="G277" i="3"/>
  <c r="F277" i="3"/>
  <c r="E277" i="3"/>
  <c r="D277" i="3"/>
  <c r="C277" i="3"/>
  <c r="H276" i="3"/>
  <c r="G276" i="3"/>
  <c r="F276" i="3"/>
  <c r="E276" i="3"/>
  <c r="D276" i="3"/>
  <c r="C276" i="3"/>
  <c r="H275" i="3"/>
  <c r="G275" i="3"/>
  <c r="F275" i="3"/>
  <c r="E275" i="3"/>
  <c r="D275" i="3"/>
  <c r="C275" i="3"/>
  <c r="H274" i="3"/>
  <c r="G274" i="3"/>
  <c r="F274" i="3"/>
  <c r="E274" i="3"/>
  <c r="D274" i="3"/>
  <c r="C274" i="3"/>
  <c r="H273" i="3"/>
  <c r="G273" i="3"/>
  <c r="F273" i="3"/>
  <c r="E273" i="3"/>
  <c r="D273" i="3"/>
  <c r="C273" i="3"/>
  <c r="H272" i="3"/>
  <c r="G272" i="3"/>
  <c r="F272" i="3"/>
  <c r="E272" i="3"/>
  <c r="D272" i="3"/>
  <c r="C272" i="3"/>
  <c r="H271" i="3"/>
  <c r="G271" i="3"/>
  <c r="F271" i="3"/>
  <c r="E271" i="3"/>
  <c r="D271" i="3"/>
  <c r="C271" i="3"/>
  <c r="H270" i="3"/>
  <c r="G270" i="3"/>
  <c r="F270" i="3"/>
  <c r="E270" i="3"/>
  <c r="D270" i="3"/>
  <c r="C270" i="3"/>
  <c r="H269" i="3"/>
  <c r="G269" i="3"/>
  <c r="F269" i="3"/>
  <c r="E269" i="3"/>
  <c r="D269" i="3"/>
  <c r="C269" i="3"/>
  <c r="H268" i="3"/>
  <c r="G268" i="3"/>
  <c r="F268" i="3"/>
  <c r="E268" i="3"/>
  <c r="D268" i="3"/>
  <c r="C268" i="3"/>
  <c r="H267" i="3"/>
  <c r="G267" i="3"/>
  <c r="F267" i="3"/>
  <c r="E267" i="3"/>
  <c r="D267" i="3"/>
  <c r="C267" i="3"/>
  <c r="H266" i="3"/>
  <c r="G266" i="3"/>
  <c r="F266" i="3"/>
  <c r="E266" i="3"/>
  <c r="D266" i="3"/>
  <c r="C266" i="3"/>
  <c r="H265" i="3"/>
  <c r="G265" i="3"/>
  <c r="F265" i="3"/>
  <c r="E265" i="3"/>
  <c r="D265" i="3"/>
  <c r="C265" i="3"/>
  <c r="H264" i="3"/>
  <c r="G264" i="3"/>
  <c r="F264" i="3"/>
  <c r="E264" i="3"/>
  <c r="D264" i="3"/>
  <c r="C264" i="3"/>
  <c r="H263" i="3"/>
  <c r="G263" i="3"/>
  <c r="F263" i="3"/>
  <c r="E263" i="3"/>
  <c r="D263" i="3"/>
  <c r="C263" i="3"/>
  <c r="J62" i="3" l="1"/>
  <c r="J61" i="3"/>
  <c r="J60" i="3"/>
  <c r="J59" i="3"/>
  <c r="J58" i="3"/>
  <c r="J57" i="3"/>
  <c r="J56" i="3"/>
  <c r="J55" i="3"/>
  <c r="J54" i="3"/>
  <c r="J53" i="3"/>
  <c r="J52" i="3"/>
  <c r="J51" i="3"/>
  <c r="M62" i="3"/>
  <c r="M61" i="3"/>
  <c r="M60" i="3"/>
  <c r="M59" i="3"/>
  <c r="M58" i="3"/>
  <c r="M57" i="3"/>
  <c r="M56" i="3"/>
  <c r="M55" i="3"/>
  <c r="M54" i="3"/>
  <c r="M53" i="3"/>
  <c r="M52" i="3"/>
  <c r="M51" i="3"/>
  <c r="H262" i="3"/>
  <c r="G262" i="3"/>
  <c r="F262" i="3"/>
  <c r="E262" i="3"/>
  <c r="D262" i="3"/>
  <c r="C262" i="3"/>
  <c r="H261" i="3"/>
  <c r="G261" i="3"/>
  <c r="F261" i="3"/>
  <c r="E261" i="3"/>
  <c r="D261" i="3"/>
  <c r="C261" i="3"/>
  <c r="H260" i="3"/>
  <c r="G260" i="3"/>
  <c r="F260" i="3"/>
  <c r="E260" i="3"/>
  <c r="D260" i="3"/>
  <c r="C260" i="3"/>
  <c r="H259" i="3"/>
  <c r="G259" i="3"/>
  <c r="F259" i="3"/>
  <c r="E259" i="3"/>
  <c r="D259" i="3"/>
  <c r="C259" i="3"/>
  <c r="H258" i="3"/>
  <c r="G258" i="3"/>
  <c r="F258" i="3"/>
  <c r="E258" i="3"/>
  <c r="D258" i="3"/>
  <c r="C258" i="3"/>
  <c r="H257" i="3"/>
  <c r="G257" i="3"/>
  <c r="F257" i="3"/>
  <c r="E257" i="3"/>
  <c r="D257" i="3"/>
  <c r="C257" i="3"/>
  <c r="H256" i="3"/>
  <c r="G256" i="3"/>
  <c r="F256" i="3"/>
  <c r="E256" i="3"/>
  <c r="D256" i="3"/>
  <c r="C256" i="3"/>
  <c r="H255" i="3"/>
  <c r="G255" i="3"/>
  <c r="F255" i="3"/>
  <c r="E255" i="3"/>
  <c r="D255" i="3"/>
  <c r="C255" i="3"/>
  <c r="H254" i="3"/>
  <c r="G254" i="3"/>
  <c r="F254" i="3"/>
  <c r="E254" i="3"/>
  <c r="D254" i="3"/>
  <c r="C25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J50" i="3" l="1"/>
  <c r="J49" i="3"/>
  <c r="J48" i="3"/>
  <c r="J47" i="3"/>
  <c r="J46" i="3"/>
  <c r="J45" i="3"/>
  <c r="J44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J43" i="3"/>
  <c r="J42" i="3"/>
  <c r="J41" i="3"/>
  <c r="J40" i="3"/>
  <c r="J39" i="3"/>
  <c r="J38" i="3"/>
  <c r="J37" i="3"/>
  <c r="M37" i="3"/>
  <c r="H253" i="3"/>
  <c r="G253" i="3"/>
  <c r="F253" i="3"/>
  <c r="E253" i="3"/>
  <c r="D253" i="3"/>
  <c r="C253" i="3"/>
  <c r="H252" i="3"/>
  <c r="G252" i="3"/>
  <c r="F252" i="3"/>
  <c r="E252" i="3"/>
  <c r="D252" i="3"/>
  <c r="C252" i="3"/>
  <c r="H251" i="3"/>
  <c r="G251" i="3"/>
  <c r="F251" i="3"/>
  <c r="E251" i="3"/>
  <c r="D251" i="3"/>
  <c r="C251" i="3"/>
  <c r="H250" i="3"/>
  <c r="G250" i="3"/>
  <c r="F250" i="3"/>
  <c r="E250" i="3"/>
  <c r="D250" i="3"/>
  <c r="C250" i="3"/>
  <c r="H249" i="3"/>
  <c r="G249" i="3"/>
  <c r="F249" i="3"/>
  <c r="E249" i="3"/>
  <c r="D249" i="3"/>
  <c r="C249" i="3"/>
  <c r="H248" i="3"/>
  <c r="G248" i="3"/>
  <c r="F248" i="3"/>
  <c r="E248" i="3"/>
  <c r="D248" i="3"/>
  <c r="C248" i="3"/>
  <c r="H247" i="3"/>
  <c r="G247" i="3"/>
  <c r="F247" i="3"/>
  <c r="E247" i="3"/>
  <c r="D247" i="3"/>
  <c r="C247" i="3"/>
  <c r="J32" i="3" l="1"/>
  <c r="J31" i="3"/>
  <c r="J30" i="3"/>
  <c r="M32" i="3"/>
  <c r="M31" i="3"/>
  <c r="M30" i="3"/>
  <c r="M26" i="3"/>
  <c r="J26" i="3"/>
  <c r="M24" i="3"/>
  <c r="J24" i="3"/>
  <c r="H246" i="3"/>
  <c r="G246" i="3"/>
  <c r="F246" i="3"/>
  <c r="E246" i="3"/>
  <c r="D246" i="3"/>
  <c r="C246" i="3"/>
  <c r="H245" i="3"/>
  <c r="G245" i="3"/>
  <c r="F245" i="3"/>
  <c r="E245" i="3"/>
  <c r="D245" i="3"/>
  <c r="C245" i="3"/>
  <c r="H244" i="3"/>
  <c r="G244" i="3"/>
  <c r="F244" i="3"/>
  <c r="E244" i="3"/>
  <c r="D244" i="3"/>
  <c r="C244" i="3"/>
  <c r="H243" i="3"/>
  <c r="G243" i="3"/>
  <c r="F243" i="3"/>
  <c r="E243" i="3"/>
  <c r="D243" i="3"/>
  <c r="C243" i="3"/>
  <c r="H242" i="3"/>
  <c r="G242" i="3"/>
  <c r="F242" i="3"/>
  <c r="E242" i="3"/>
  <c r="D242" i="3"/>
  <c r="C242" i="3"/>
  <c r="H241" i="3"/>
  <c r="G241" i="3"/>
  <c r="F241" i="3"/>
  <c r="E241" i="3"/>
  <c r="D241" i="3"/>
  <c r="C241" i="3"/>
  <c r="H240" i="3"/>
  <c r="G240" i="3"/>
  <c r="F240" i="3"/>
  <c r="E240" i="3"/>
  <c r="D240" i="3"/>
  <c r="C240" i="3"/>
  <c r="M29" i="3" l="1"/>
  <c r="J29" i="3"/>
  <c r="M28" i="3"/>
  <c r="J28" i="3"/>
  <c r="M27" i="3"/>
  <c r="J27" i="3"/>
  <c r="M25" i="3"/>
  <c r="J25" i="3"/>
  <c r="M23" i="3"/>
  <c r="J23" i="3"/>
  <c r="M33" i="3"/>
  <c r="J33" i="3"/>
  <c r="M34" i="3"/>
  <c r="J34" i="3"/>
  <c r="M35" i="3"/>
  <c r="J35" i="3"/>
  <c r="M36" i="3"/>
  <c r="J36" i="3"/>
  <c r="M16" i="3"/>
  <c r="J16" i="3"/>
  <c r="H239" i="3"/>
  <c r="G239" i="3"/>
  <c r="F239" i="3"/>
  <c r="E239" i="3"/>
  <c r="D239" i="3"/>
  <c r="C239" i="3"/>
  <c r="H238" i="3"/>
  <c r="G238" i="3"/>
  <c r="F238" i="3"/>
  <c r="E238" i="3"/>
  <c r="D238" i="3"/>
  <c r="C238" i="3"/>
  <c r="H237" i="3"/>
  <c r="G237" i="3"/>
  <c r="F237" i="3"/>
  <c r="E237" i="3"/>
  <c r="D237" i="3"/>
  <c r="C237" i="3"/>
  <c r="H236" i="3"/>
  <c r="G236" i="3"/>
  <c r="F236" i="3"/>
  <c r="E236" i="3"/>
  <c r="D236" i="3"/>
  <c r="C236" i="3"/>
  <c r="H235" i="3"/>
  <c r="G235" i="3"/>
  <c r="F235" i="3"/>
  <c r="E235" i="3"/>
  <c r="D235" i="3"/>
  <c r="C235" i="3"/>
  <c r="H234" i="3"/>
  <c r="G234" i="3"/>
  <c r="F234" i="3"/>
  <c r="E234" i="3"/>
  <c r="D234" i="3"/>
  <c r="C234" i="3"/>
  <c r="H233" i="3"/>
  <c r="G233" i="3"/>
  <c r="F233" i="3"/>
  <c r="E233" i="3"/>
  <c r="D233" i="3"/>
  <c r="C233" i="3"/>
  <c r="H232" i="3"/>
  <c r="G232" i="3"/>
  <c r="F232" i="3"/>
  <c r="E232" i="3"/>
  <c r="D232" i="3"/>
  <c r="C232" i="3"/>
  <c r="H231" i="3"/>
  <c r="G231" i="3"/>
  <c r="F231" i="3"/>
  <c r="E231" i="3"/>
  <c r="D231" i="3"/>
  <c r="C231" i="3"/>
  <c r="H230" i="3"/>
  <c r="G230" i="3"/>
  <c r="F230" i="3"/>
  <c r="E230" i="3"/>
  <c r="D230" i="3"/>
  <c r="C230" i="3"/>
  <c r="J22" i="3" l="1"/>
  <c r="J21" i="3"/>
  <c r="J20" i="3"/>
  <c r="J19" i="3"/>
  <c r="J18" i="3"/>
  <c r="J17" i="3"/>
  <c r="M22" i="3"/>
  <c r="M21" i="3"/>
  <c r="M20" i="3"/>
  <c r="M19" i="3"/>
  <c r="M18" i="3"/>
  <c r="M17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M8" i="3"/>
  <c r="M6" i="3"/>
  <c r="M5" i="3"/>
  <c r="M4" i="3"/>
  <c r="M3" i="3"/>
  <c r="M2" i="3"/>
  <c r="J8" i="3"/>
  <c r="J6" i="3"/>
  <c r="J5" i="3"/>
  <c r="J4" i="3"/>
  <c r="J3" i="3"/>
  <c r="J2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H211" i="3"/>
  <c r="G211" i="3"/>
  <c r="F211" i="3"/>
  <c r="E211" i="3"/>
  <c r="D211" i="3"/>
  <c r="C211" i="3"/>
  <c r="H210" i="3"/>
  <c r="G210" i="3"/>
  <c r="F210" i="3"/>
  <c r="E210" i="3"/>
  <c r="D210" i="3"/>
  <c r="C210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88" i="1" a="1"/>
  <c r="E18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199" i="1"/>
  <c r="E199" i="1" s="1" a="1"/>
  <c r="E199" i="1" s="1"/>
  <c r="F198" i="1"/>
  <c r="E198" i="1" s="1" a="1"/>
  <c r="E198" i="1" s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188" i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<sst xmlns="http://schemas.openxmlformats.org/spreadsheetml/2006/main" count="4027" uniqueCount="829">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</sst>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0" fillId="4" borderId="10" xfId="0" applyFill="1" applyBorder="1"/>
    <xf numFmtId="0" fontId="5" fillId="4" borderId="9" xfId="0" applyFont="1" applyFill="1" applyBorder="1"/>
    <xf numFmtId="0" fontId="5" fillId="8" borderId="9" xfId="0" applyFont="1" applyFill="1" applyBorder="1"/>
    <xf numFmtId="0" fontId="3" fillId="9" borderId="10" xfId="0" applyFont="1" applyFill="1" applyBorder="1"/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115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33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3">
        <f ca="1">TODAY()</f>
        <v>46007</v>
      </c>
      <c r="C1" s="83"/>
      <c r="D1" s="83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20</v>
      </c>
      <c r="R6" s="25">
        <f t="shared" ca="1" si="1"/>
        <v>20</v>
      </c>
      <c r="S6" s="25">
        <f t="shared" ca="1" si="1"/>
        <v>20</v>
      </c>
      <c r="T6" s="25">
        <f t="shared" ca="1" si="1"/>
        <v>20</v>
      </c>
      <c r="U6" s="25">
        <f t="shared" ca="1" si="1"/>
        <v>21</v>
      </c>
      <c r="V6" s="25">
        <f ca="1">IF(V7="","",$B$1-V7)</f>
        <v>21</v>
      </c>
      <c r="W6" s="25">
        <f ca="1">IF(W7="","",$B$1-W7)</f>
        <v>21</v>
      </c>
      <c r="X6" s="25">
        <f ca="1">IF(X7="","",$B$1-X7)</f>
        <v>21</v>
      </c>
      <c r="Y6" s="55"/>
    </row>
    <row r="7" spans="1:25" ht="38.25" customHeight="1" x14ac:dyDescent="0.25">
      <c r="B7" s="84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5"/>
      <c r="Y8" s="55"/>
    </row>
    <row r="9" spans="1:25" x14ac:dyDescent="0.25">
      <c r="B9" s="85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6"/>
      <c r="C10" s="31">
        <f t="shared" ref="C10:H10" ca="1" si="2">IF(C11="","",$B$1-C11)</f>
        <v>25</v>
      </c>
      <c r="D10" s="25">
        <f t="shared" ca="1" si="2"/>
        <v>25</v>
      </c>
      <c r="E10" s="25">
        <f t="shared" ca="1" si="2"/>
        <v>25</v>
      </c>
      <c r="F10" s="25">
        <f t="shared" ca="1" si="2"/>
        <v>25</v>
      </c>
      <c r="G10" s="25">
        <f t="shared" ca="1" si="2"/>
        <v>25</v>
      </c>
      <c r="H10" s="25">
        <f t="shared" ca="1" si="2"/>
        <v>25</v>
      </c>
      <c r="J10" s="25">
        <f t="shared" ref="J10:P10" ca="1" si="3">IF(J11="","",$B$1-J11)</f>
        <v>25</v>
      </c>
      <c r="K10" s="25">
        <f t="shared" ca="1" si="3"/>
        <v>23</v>
      </c>
      <c r="L10" s="25">
        <f t="shared" ca="1" si="3"/>
        <v>23</v>
      </c>
      <c r="M10" s="25">
        <f t="shared" ca="1" si="3"/>
        <v>23</v>
      </c>
      <c r="N10" s="25">
        <f t="shared" ca="1" si="3"/>
        <v>23</v>
      </c>
      <c r="O10" s="25">
        <f t="shared" ca="1" si="3"/>
        <v>23</v>
      </c>
      <c r="P10" s="25">
        <f t="shared" ca="1" si="3"/>
        <v>23</v>
      </c>
      <c r="R10" s="25">
        <f t="shared" ref="R10:W10" ca="1" si="4">IF(R11="","",$B$1-R11)</f>
        <v>23</v>
      </c>
      <c r="S10" s="25">
        <f t="shared" ca="1" si="4"/>
        <v>22</v>
      </c>
      <c r="T10" s="25">
        <f t="shared" ca="1" si="4"/>
        <v>22</v>
      </c>
      <c r="U10" s="25">
        <f t="shared" ca="1" si="4"/>
        <v>21</v>
      </c>
      <c r="V10" s="25">
        <f t="shared" ca="1" si="4"/>
        <v>21</v>
      </c>
      <c r="W10" s="25">
        <f t="shared" ca="1" si="4"/>
        <v>21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26</v>
      </c>
      <c r="D14" s="25">
        <f t="shared" ca="1" si="5"/>
        <v>26</v>
      </c>
      <c r="E14" s="25">
        <f t="shared" ca="1" si="5"/>
        <v>26</v>
      </c>
      <c r="F14" s="25">
        <f t="shared" ca="1" si="5"/>
        <v>26</v>
      </c>
      <c r="G14" s="25">
        <f t="shared" ca="1" si="5"/>
        <v>26</v>
      </c>
      <c r="H14" s="25">
        <f t="shared" ca="1" si="5"/>
        <v>26</v>
      </c>
      <c r="J14" s="25">
        <f t="shared" ref="J14:P14" ca="1" si="6">IF(J15="","",$B$1-J15)</f>
        <v>26</v>
      </c>
      <c r="K14" s="25">
        <f t="shared" ca="1" si="6"/>
        <v>24</v>
      </c>
      <c r="L14" s="25">
        <f t="shared" ca="1" si="6"/>
        <v>24</v>
      </c>
      <c r="M14" s="25">
        <f t="shared" ca="1" si="6"/>
        <v>24</v>
      </c>
      <c r="N14" s="25">
        <f t="shared" ca="1" si="6"/>
        <v>24</v>
      </c>
      <c r="O14" s="25">
        <f t="shared" ca="1" si="6"/>
        <v>24</v>
      </c>
      <c r="P14" s="25">
        <f t="shared" ca="1" si="6"/>
        <v>24</v>
      </c>
      <c r="R14" s="25">
        <f t="shared" ref="R14:W14" ca="1" si="7">IF(R15="","",$B$1-R15)</f>
        <v>24</v>
      </c>
      <c r="S14" s="25">
        <f t="shared" ca="1" si="7"/>
        <v>22</v>
      </c>
      <c r="T14" s="25">
        <f t="shared" ca="1" si="7"/>
        <v>22</v>
      </c>
      <c r="U14" s="25">
        <f t="shared" ca="1" si="7"/>
        <v>22</v>
      </c>
      <c r="V14" s="25">
        <f t="shared" ca="1" si="7"/>
        <v>22</v>
      </c>
      <c r="W14" s="25">
        <f t="shared" ca="1" si="7"/>
        <v>22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39</v>
      </c>
      <c r="K20" s="25">
        <f ca="1">IF(K21="","",$B$1-K21)</f>
        <v>39</v>
      </c>
      <c r="X20" s="25"/>
      <c r="AF20" s="25"/>
      <c r="AG20" s="25"/>
      <c r="AH20" s="25">
        <f ca="1">IF(AH21="","",$B$1-AH21)</f>
        <v>39</v>
      </c>
      <c r="AI20" s="25">
        <f ca="1">IF(AI21="","",$B$1-AI21)</f>
        <v>39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42</v>
      </c>
      <c r="G24" s="25">
        <f t="shared" ca="1" si="8"/>
        <v>42</v>
      </c>
      <c r="H24" s="25">
        <f t="shared" ca="1" si="8"/>
        <v>42</v>
      </c>
      <c r="J24" s="25">
        <f ca="1">IF(J25="","",$B$1-J25)</f>
        <v>42</v>
      </c>
      <c r="K24" s="25">
        <f t="shared" ref="K24:AI24" ca="1" si="9">IF(K25="","",$B$1-K25)</f>
        <v>15</v>
      </c>
      <c r="L24" s="25">
        <f t="shared" ca="1" si="9"/>
        <v>15</v>
      </c>
      <c r="M24" s="25">
        <f t="shared" ca="1" si="9"/>
        <v>15</v>
      </c>
      <c r="N24" s="25">
        <f t="shared" ca="1" si="9"/>
        <v>16</v>
      </c>
      <c r="O24" s="25">
        <f t="shared" ca="1" si="9"/>
        <v>16</v>
      </c>
      <c r="P24" s="25">
        <f t="shared" ca="1" si="9"/>
        <v>16</v>
      </c>
      <c r="R24" s="25">
        <f t="shared" ca="1" si="9"/>
        <v>16</v>
      </c>
      <c r="S24" s="25">
        <f t="shared" ca="1" si="9"/>
        <v>13</v>
      </c>
      <c r="T24" s="25">
        <f t="shared" ca="1" si="9"/>
        <v>13</v>
      </c>
      <c r="U24" s="25">
        <f t="shared" ca="1" si="9"/>
        <v>13</v>
      </c>
      <c r="V24" s="25">
        <f t="shared" ca="1" si="9"/>
        <v>13</v>
      </c>
      <c r="W24" s="25">
        <f t="shared" ca="1" si="9"/>
        <v>13</v>
      </c>
      <c r="X24" s="25">
        <f t="shared" ca="1" si="9"/>
        <v>13</v>
      </c>
      <c r="Z24" s="25">
        <f t="shared" ca="1" si="9"/>
        <v>43</v>
      </c>
      <c r="AA24" s="25">
        <f t="shared" ca="1" si="9"/>
        <v>40</v>
      </c>
      <c r="AB24" s="25">
        <f t="shared" ca="1" si="9"/>
        <v>40</v>
      </c>
      <c r="AC24" s="25">
        <f t="shared" ca="1" si="9"/>
        <v>40</v>
      </c>
      <c r="AD24" s="25">
        <f t="shared" ca="1" si="9"/>
        <v>40</v>
      </c>
      <c r="AE24" s="25">
        <f t="shared" ca="1" si="9"/>
        <v>40</v>
      </c>
      <c r="AF24" s="25">
        <f t="shared" ca="1" si="9"/>
        <v>40</v>
      </c>
      <c r="AG24" s="25">
        <f t="shared" ca="1" si="9"/>
        <v>40</v>
      </c>
      <c r="AH24" s="25">
        <f t="shared" ca="1" si="9"/>
        <v>39</v>
      </c>
      <c r="AI24" s="25">
        <f t="shared" ca="1" si="9"/>
        <v>39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27</v>
      </c>
      <c r="D28" s="25">
        <f t="shared" ca="1" si="10"/>
        <v>27</v>
      </c>
      <c r="E28" s="25">
        <f t="shared" ca="1" si="10"/>
        <v>27</v>
      </c>
      <c r="F28" s="25">
        <f t="shared" ca="1" si="10"/>
        <v>27</v>
      </c>
      <c r="G28" s="25">
        <f t="shared" ca="1" si="10"/>
        <v>27</v>
      </c>
      <c r="H28" s="25">
        <f t="shared" ca="1" si="10"/>
        <v>27</v>
      </c>
      <c r="J28" s="25">
        <f ca="1">IF(J29="","",$B$1-J29)</f>
        <v>27</v>
      </c>
      <c r="K28" s="25">
        <f t="shared" ref="K28:P28" ca="1" si="11">IF(K29="","",$B$1-K29)</f>
        <v>20</v>
      </c>
      <c r="L28" s="25">
        <f t="shared" ca="1" si="11"/>
        <v>20</v>
      </c>
      <c r="M28" s="25">
        <f t="shared" ca="1" si="11"/>
        <v>20</v>
      </c>
      <c r="N28" s="25">
        <f t="shared" ca="1" si="11"/>
        <v>20</v>
      </c>
      <c r="O28" s="25">
        <f t="shared" ca="1" si="11"/>
        <v>19</v>
      </c>
      <c r="P28" s="25">
        <f t="shared" ca="1" si="11"/>
        <v>19</v>
      </c>
      <c r="R28" s="25">
        <f t="shared" ref="R28:X28" ca="1" si="12">IF(R29="","",$B$1-R29)</f>
        <v>19</v>
      </c>
      <c r="S28" s="25">
        <f ca="1">IF(S29="","",$B$1-S29)</f>
        <v>15</v>
      </c>
      <c r="T28" s="25">
        <f ca="1">IF(T29="","",$B$1-T29)</f>
        <v>15</v>
      </c>
      <c r="U28" s="25">
        <f ca="1">IF(U29="","",$B$1-U29)</f>
        <v>15</v>
      </c>
      <c r="V28" s="25">
        <f ca="1">IF(V29="","",$B$1-V29)</f>
        <v>15</v>
      </c>
      <c r="W28" s="25">
        <f t="shared" ca="1" si="12"/>
        <v>13</v>
      </c>
      <c r="X28" s="25">
        <f t="shared" ca="1" si="12"/>
        <v>13</v>
      </c>
      <c r="Z28" s="25">
        <f t="shared" ref="Z28:AI28" ca="1" si="13">IF(Z29="","",$B$1-Z29)</f>
        <v>13</v>
      </c>
      <c r="AA28" s="25">
        <f t="shared" ca="1" si="13"/>
        <v>41</v>
      </c>
      <c r="AB28" s="25">
        <f t="shared" ca="1" si="13"/>
        <v>41</v>
      </c>
      <c r="AC28" s="25">
        <f t="shared" ca="1" si="13"/>
        <v>41</v>
      </c>
      <c r="AD28" s="25">
        <f t="shared" ca="1" si="13"/>
        <v>41</v>
      </c>
      <c r="AE28" s="25">
        <f t="shared" ca="1" si="13"/>
        <v>41</v>
      </c>
      <c r="AF28" s="25">
        <f t="shared" ca="1" si="13"/>
        <v>41</v>
      </c>
      <c r="AG28" s="25">
        <f t="shared" ca="1" si="13"/>
        <v>41</v>
      </c>
      <c r="AH28" s="25">
        <f t="shared" ca="1" si="13"/>
        <v>39</v>
      </c>
      <c r="AI28" s="25">
        <f t="shared" ca="1" si="13"/>
        <v>39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7" t="s">
        <v>184</v>
      </c>
      <c r="I30" s="88"/>
      <c r="J30" s="89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3">
        <v>45978</v>
      </c>
      <c r="C36" s="83"/>
      <c r="D36" s="83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35</v>
      </c>
      <c r="D41" s="25">
        <f t="shared" ca="1" si="14"/>
        <v>35</v>
      </c>
      <c r="E41" s="25">
        <f t="shared" ca="1" si="14"/>
        <v>35</v>
      </c>
      <c r="F41" s="25">
        <f t="shared" ca="1" si="14"/>
        <v>35</v>
      </c>
      <c r="G41" s="25">
        <f t="shared" ca="1" si="14"/>
        <v>34</v>
      </c>
      <c r="H41" s="25">
        <f t="shared" ca="1" si="14"/>
        <v>34</v>
      </c>
      <c r="J41" s="25">
        <f t="shared" ca="1" si="14"/>
        <v>34</v>
      </c>
      <c r="K41" s="25">
        <f t="shared" ca="1" si="14"/>
        <v>34</v>
      </c>
      <c r="L41" s="25">
        <f t="shared" ca="1" si="14"/>
        <v>34</v>
      </c>
      <c r="M41" s="25">
        <f t="shared" ca="1" si="14"/>
        <v>34</v>
      </c>
      <c r="N41" s="25">
        <f t="shared" ca="1" si="14"/>
        <v>34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37</v>
      </c>
      <c r="D45" s="25">
        <f ca="1">IF(D46="","",$B$1-D46)</f>
        <v>37</v>
      </c>
      <c r="E45" s="25">
        <f ca="1">IF(E46="","",$B$1-E46)</f>
        <v>36</v>
      </c>
      <c r="F45" s="25">
        <f ca="1">IF(F46="","",$B$1-F46)</f>
        <v>36</v>
      </c>
      <c r="H45" s="25">
        <f ca="1">IF(H46="","",$B$1-H46)</f>
        <v>36</v>
      </c>
      <c r="J45" s="25">
        <f t="shared" ref="J45:P45" ca="1" si="15">IF(J46="","",$B$1-J46)</f>
        <v>36</v>
      </c>
      <c r="K45" s="25">
        <f t="shared" ca="1" si="15"/>
        <v>36</v>
      </c>
      <c r="L45" s="25">
        <f t="shared" ca="1" si="15"/>
        <v>36</v>
      </c>
      <c r="M45" s="25">
        <f t="shared" ca="1" si="15"/>
        <v>36</v>
      </c>
      <c r="N45" s="25">
        <f t="shared" ca="1" si="15"/>
        <v>35</v>
      </c>
      <c r="O45" s="25">
        <f t="shared" ca="1" si="15"/>
        <v>35</v>
      </c>
      <c r="P45" s="25">
        <f t="shared" ca="1" si="15"/>
        <v>35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38</v>
      </c>
      <c r="D49" s="25">
        <f ca="1">IF(D50="","",$B$1-D50)</f>
        <v>38</v>
      </c>
      <c r="E49" s="25">
        <f ca="1">IF(E50="","",$B$1-E50)</f>
        <v>38</v>
      </c>
      <c r="F49" s="25">
        <f ca="1">IF(F50="","",$B$1-F50)</f>
        <v>38</v>
      </c>
      <c r="H49" s="25">
        <f ca="1">IF(H50="","",$B$1-H50)</f>
        <v>38</v>
      </c>
      <c r="J49" s="25">
        <f t="shared" ref="J49:P49" ca="1" si="16">IF(J50="","",$B$1-J50)</f>
        <v>38</v>
      </c>
      <c r="K49" s="25">
        <f t="shared" ca="1" si="16"/>
        <v>38</v>
      </c>
      <c r="L49" s="25">
        <f t="shared" ca="1" si="16"/>
        <v>37</v>
      </c>
      <c r="M49" s="25">
        <f t="shared" ca="1" si="16"/>
        <v>37</v>
      </c>
      <c r="N49" s="25">
        <f t="shared" ca="1" si="16"/>
        <v>37</v>
      </c>
      <c r="O49" s="25">
        <f t="shared" ca="1" si="16"/>
        <v>37</v>
      </c>
      <c r="P49" s="25">
        <f t="shared" ca="1" si="16"/>
        <v>37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7" t="s">
        <v>184</v>
      </c>
      <c r="G51" s="88"/>
      <c r="H51" s="89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30</v>
      </c>
      <c r="D58" s="25">
        <f t="shared" ca="1" si="17"/>
        <v>30</v>
      </c>
      <c r="E58" s="25">
        <f t="shared" ca="1" si="17"/>
        <v>30</v>
      </c>
      <c r="F58" s="25">
        <f t="shared" ca="1" si="17"/>
        <v>30</v>
      </c>
      <c r="G58" s="25">
        <f t="shared" ca="1" si="17"/>
        <v>30</v>
      </c>
      <c r="H58" s="25">
        <f t="shared" ca="1" si="17"/>
        <v>30</v>
      </c>
      <c r="J58" s="25">
        <f t="shared" ref="J58:P58" ca="1" si="18">IF(J59="","",$B$1-J59)</f>
        <v>30</v>
      </c>
      <c r="K58" s="25">
        <f t="shared" ca="1" si="18"/>
        <v>29</v>
      </c>
      <c r="L58" s="25">
        <f t="shared" ca="1" si="18"/>
        <v>29</v>
      </c>
      <c r="M58" s="25">
        <f t="shared" ca="1" si="18"/>
        <v>29</v>
      </c>
      <c r="N58" s="25">
        <f t="shared" ca="1" si="18"/>
        <v>29</v>
      </c>
      <c r="O58" s="25">
        <f t="shared" ca="1" si="18"/>
        <v>29</v>
      </c>
      <c r="P58" s="25">
        <f t="shared" ca="1" si="18"/>
        <v>29</v>
      </c>
      <c r="R58" s="25">
        <f t="shared" ref="R58:X58" ca="1" si="19">IF(R59="","",$B$1-R59)</f>
        <v>29</v>
      </c>
      <c r="S58" s="25">
        <f t="shared" ca="1" si="19"/>
        <v>28</v>
      </c>
      <c r="T58" s="25">
        <f t="shared" ca="1" si="19"/>
        <v>28</v>
      </c>
      <c r="U58" s="25">
        <f t="shared" ca="1" si="19"/>
        <v>28</v>
      </c>
      <c r="V58" s="25">
        <f t="shared" ca="1" si="19"/>
        <v>28</v>
      </c>
      <c r="W58" s="25">
        <f t="shared" ca="1" si="19"/>
        <v>28</v>
      </c>
      <c r="X58" s="25">
        <f t="shared" ca="1" si="19"/>
        <v>28</v>
      </c>
      <c r="Z58" s="25">
        <f ca="1">IF(Z59="","",$B$1-Z59)</f>
        <v>28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4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5"/>
      <c r="AC60" s="55"/>
    </row>
    <row r="61" spans="1:29" x14ac:dyDescent="0.25">
      <c r="B61" s="85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6"/>
      <c r="C62" s="25" t="str">
        <f t="shared" ref="C62:H62" si="20">IF(C63="","",$B$1-C63)</f>
        <v/>
      </c>
      <c r="D62" s="25">
        <f t="shared" ca="1" si="20"/>
        <v>31</v>
      </c>
      <c r="E62" s="25">
        <f t="shared" ca="1" si="20"/>
        <v>31</v>
      </c>
      <c r="F62" s="25">
        <f t="shared" ca="1" si="20"/>
        <v>31</v>
      </c>
      <c r="G62" s="25">
        <f t="shared" ca="1" si="20"/>
        <v>31</v>
      </c>
      <c r="H62" s="25">
        <f t="shared" ca="1" si="20"/>
        <v>31</v>
      </c>
      <c r="J62" s="25">
        <f t="shared" ref="J62:P62" ca="1" si="21">IF(J63="","",$B$1-J63)</f>
        <v>31</v>
      </c>
      <c r="K62" s="25">
        <f t="shared" ca="1" si="21"/>
        <v>31</v>
      </c>
      <c r="L62" s="25">
        <f t="shared" ca="1" si="21"/>
        <v>31</v>
      </c>
      <c r="M62" s="25">
        <f t="shared" ca="1" si="21"/>
        <v>32</v>
      </c>
      <c r="N62" s="25">
        <f t="shared" ca="1" si="21"/>
        <v>32</v>
      </c>
      <c r="O62" s="25">
        <f t="shared" ca="1" si="21"/>
        <v>32</v>
      </c>
      <c r="P62" s="25">
        <f t="shared" ca="1" si="21"/>
        <v>32</v>
      </c>
      <c r="R62" s="25">
        <f t="shared" ref="R62:X62" ca="1" si="22">IF(R63="","",$B$1-R63)</f>
        <v>32</v>
      </c>
      <c r="S62" s="25">
        <f t="shared" ca="1" si="22"/>
        <v>32</v>
      </c>
      <c r="T62" s="25">
        <f t="shared" ca="1" si="22"/>
        <v>32</v>
      </c>
      <c r="U62" s="25">
        <f t="shared" ca="1" si="22"/>
        <v>33</v>
      </c>
      <c r="V62" s="25">
        <f t="shared" ca="1" si="22"/>
        <v>33</v>
      </c>
      <c r="W62" s="25">
        <f t="shared" ca="1" si="22"/>
        <v>33</v>
      </c>
      <c r="X62" s="25">
        <f t="shared" ca="1" si="22"/>
        <v>33</v>
      </c>
      <c r="Z62" s="25">
        <f ca="1">IF(Z63="","",$B$1-Z63)</f>
        <v>33</v>
      </c>
      <c r="AA62" s="25">
        <f ca="1">IF(AA63="","",$B$1-AA63)</f>
        <v>33</v>
      </c>
      <c r="AB62" s="25">
        <f ca="1">IF(AB63="","",$B$1-AB63)</f>
        <v>33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16</v>
      </c>
      <c r="D71" s="25">
        <f t="shared" ca="1" si="23"/>
        <v>16</v>
      </c>
      <c r="E71" s="25">
        <f t="shared" ca="1" si="23"/>
        <v>16</v>
      </c>
      <c r="F71" s="25">
        <f t="shared" ca="1" si="23"/>
        <v>17</v>
      </c>
      <c r="G71" s="25">
        <f t="shared" ca="1" si="23"/>
        <v>17</v>
      </c>
      <c r="H71" s="25">
        <f t="shared" ca="1" si="23"/>
        <v>17</v>
      </c>
      <c r="J71" s="25">
        <f ca="1">IF(J72="","",$B$1-J72)</f>
        <v>17</v>
      </c>
      <c r="K71" s="25">
        <f t="shared" ref="K71:P71" ca="1" si="24">IF(K72="","",$B$1-K72)</f>
        <v>17</v>
      </c>
      <c r="L71" s="25">
        <f t="shared" ca="1" si="24"/>
        <v>17</v>
      </c>
      <c r="M71" s="25">
        <f t="shared" ca="1" si="24"/>
        <v>17</v>
      </c>
      <c r="N71" s="25">
        <f t="shared" ca="1" si="24"/>
        <v>18</v>
      </c>
      <c r="O71" s="25">
        <f t="shared" ca="1" si="24"/>
        <v>18</v>
      </c>
      <c r="P71" s="25">
        <f t="shared" ca="1" si="24"/>
        <v>18</v>
      </c>
      <c r="R71" s="25">
        <f t="shared" ref="R71:X71" ca="1" si="25">IF(R72="","",$B$1-R72)</f>
        <v>18</v>
      </c>
      <c r="S71" s="25">
        <f t="shared" ca="1" si="25"/>
        <v>18</v>
      </c>
      <c r="T71" s="25">
        <f t="shared" ca="1" si="25"/>
        <v>18</v>
      </c>
      <c r="U71" s="25">
        <f t="shared" ca="1" si="25"/>
        <v>18</v>
      </c>
      <c r="V71" s="25">
        <f t="shared" ca="1" si="25"/>
        <v>19</v>
      </c>
      <c r="W71" s="25">
        <f t="shared" ca="1" si="25"/>
        <v>19</v>
      </c>
      <c r="X71" s="25">
        <f t="shared" ca="1" si="25"/>
        <v>19</v>
      </c>
      <c r="Z71" s="25">
        <f ca="1">IF(Z72="","",$B$1-Z72)</f>
        <v>19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0" t="s">
        <v>196</v>
      </c>
    </row>
    <row r="73" spans="1:28" x14ac:dyDescent="0.25">
      <c r="B73" s="54"/>
      <c r="AB73" s="81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1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2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53" priority="123">
      <formula>LEN(TRIM(C72))=0</formula>
    </cfRule>
    <cfRule type="notContainsBlanks" dxfId="1152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51" priority="89">
      <formula>LEN(TRIM(C42))=0</formula>
    </cfRule>
    <cfRule type="notContainsBlanks" dxfId="1150" priority="90">
      <formula>LEN(TRIM(C42))&gt;0</formula>
    </cfRule>
    <cfRule type="containsBlanks" dxfId="1149" priority="91">
      <formula>LEN(TRIM(C42))=0</formula>
    </cfRule>
    <cfRule type="notContainsBlanks" dxfId="1148" priority="92">
      <formula>LEN(TRIM(C42))&gt;0</formula>
    </cfRule>
  </conditionalFormatting>
  <conditionalFormatting sqref="C46:F46">
    <cfRule type="containsBlanks" dxfId="1147" priority="103">
      <formula>LEN(TRIM(C46))=0</formula>
    </cfRule>
    <cfRule type="notContainsBlanks" dxfId="1146" priority="104">
      <formula>LEN(TRIM(C46))&gt;0</formula>
    </cfRule>
  </conditionalFormatting>
  <conditionalFormatting sqref="C50:F50">
    <cfRule type="containsBlanks" dxfId="1145" priority="243">
      <formula>LEN(TRIM(C50))=0</formula>
    </cfRule>
    <cfRule type="notContainsBlanks" dxfId="1144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43" priority="190">
      <formula>LEN(TRIM(C7))=0</formula>
    </cfRule>
    <cfRule type="notContainsBlanks" dxfId="1142" priority="191">
      <formula>LEN(TRIM(C7))&gt;0</formula>
    </cfRule>
  </conditionalFormatting>
  <conditionalFormatting sqref="C11:H11">
    <cfRule type="containsBlanks" dxfId="1141" priority="236">
      <formula>LEN(TRIM(C11))=0</formula>
    </cfRule>
    <cfRule type="notContainsBlanks" dxfId="1140" priority="237">
      <formula>LEN(TRIM(C11))&gt;0</formula>
    </cfRule>
  </conditionalFormatting>
  <conditionalFormatting sqref="C15:H15">
    <cfRule type="containsBlanks" dxfId="1139" priority="55">
      <formula>LEN(TRIM(C15))=0</formula>
    </cfRule>
    <cfRule type="notContainsBlanks" dxfId="1138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37" priority="151">
      <formula>LEN(TRIM(C25))=0</formula>
    </cfRule>
    <cfRule type="notContainsBlanks" dxfId="1136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35" priority="57">
      <formula>LEN(TRIM(C29))=0</formula>
    </cfRule>
    <cfRule type="notContainsBlanks" dxfId="1134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33" priority="93">
      <formula>LEN(TRIM(C42))=0</formula>
    </cfRule>
    <cfRule type="notContainsBlanks" dxfId="1132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31" priority="157">
      <formula>LEN(TRIM(C59))=0</formula>
    </cfRule>
    <cfRule type="notContainsBlanks" dxfId="1130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29" priority="73">
      <formula>LEN(TRIM(C63))=0</formula>
    </cfRule>
    <cfRule type="notContainsBlanks" dxfId="1128" priority="74">
      <formula>LEN(TRIM(C63))&gt;0</formula>
    </cfRule>
  </conditionalFormatting>
  <conditionalFormatting sqref="C72:H72">
    <cfRule type="containsBlanks" dxfId="1127" priority="9">
      <formula>LEN(TRIM(C72))=0</formula>
    </cfRule>
    <cfRule type="notContainsBlanks" dxfId="1126" priority="10">
      <formula>LEN(TRIM(C72))&gt;0</formula>
    </cfRule>
  </conditionalFormatting>
  <conditionalFormatting sqref="C76:H76">
    <cfRule type="containsBlanks" dxfId="1125" priority="188">
      <formula>LEN(TRIM(C76))=0</formula>
    </cfRule>
    <cfRule type="notContainsBlanks" dxfId="1124" priority="189">
      <formula>LEN(TRIM(C76))&gt;0</formula>
    </cfRule>
  </conditionalFormatting>
  <conditionalFormatting sqref="D63:H63">
    <cfRule type="containsBlanks" dxfId="1123" priority="71">
      <formula>LEN(TRIM(D63))=0</formula>
    </cfRule>
    <cfRule type="notContainsBlanks" dxfId="1122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21" priority="222">
      <formula>LEN(TRIM(E46))=0</formula>
    </cfRule>
    <cfRule type="notContainsBlanks" dxfId="1120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19" priority="7">
      <formula>LEN(TRIM(F72))=0</formula>
    </cfRule>
    <cfRule type="notContainsBlanks" dxfId="1118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17" priority="176">
      <formula>LEN(TRIM(G42))=0</formula>
    </cfRule>
    <cfRule type="notContainsBlanks" dxfId="1116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15" priority="99">
      <formula>LEN(TRIM(H46))=0</formula>
    </cfRule>
    <cfRule type="notContainsBlanks" dxfId="1114" priority="100">
      <formula>LEN(TRIM(H46))&gt;0</formula>
    </cfRule>
    <cfRule type="containsBlanks" dxfId="1113" priority="101">
      <formula>LEN(TRIM(H46))=0</formula>
    </cfRule>
    <cfRule type="notContainsBlanks" dxfId="1112" priority="102">
      <formula>LEN(TRIM(H46))&gt;0</formula>
    </cfRule>
  </conditionalFormatting>
  <conditionalFormatting sqref="H50">
    <cfRule type="containsBlanks" dxfId="1111" priority="107">
      <formula>LEN(TRIM(H50))=0</formula>
    </cfRule>
    <cfRule type="notContainsBlanks" dxfId="1110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09" priority="214">
      <formula>LEN(TRIM(J72))=0</formula>
    </cfRule>
    <cfRule type="notContainsBlanks" dxfId="1108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07" priority="109">
      <formula>LEN(TRIM(J21))=0</formula>
    </cfRule>
    <cfRule type="notContainsBlanks" dxfId="1106" priority="110">
      <formula>LEN(TRIM(J21))&gt;0</formula>
    </cfRule>
  </conditionalFormatting>
  <conditionalFormatting sqref="J63:L63">
    <cfRule type="containsBlanks" dxfId="1105" priority="155">
      <formula>LEN(TRIM(J63))=0</formula>
    </cfRule>
    <cfRule type="notContainsBlanks" dxfId="1104" priority="156">
      <formula>LEN(TRIM(J63))&gt;0</formula>
    </cfRule>
  </conditionalFormatting>
  <conditionalFormatting sqref="J46:M46">
    <cfRule type="containsBlanks" dxfId="1103" priority="95">
      <formula>LEN(TRIM(J46))=0</formula>
    </cfRule>
    <cfRule type="notContainsBlanks" dxfId="1102" priority="96">
      <formula>LEN(TRIM(J46))&gt;0</formula>
    </cfRule>
  </conditionalFormatting>
  <conditionalFormatting sqref="J72:M72">
    <cfRule type="containsBlanks" dxfId="1101" priority="127">
      <formula>LEN(TRIM(J72))=0</formula>
    </cfRule>
    <cfRule type="notContainsBlanks" dxfId="1100" priority="128">
      <formula>LEN(TRIM(J72))&gt;0</formula>
    </cfRule>
  </conditionalFormatting>
  <conditionalFormatting sqref="J42:N42">
    <cfRule type="containsBlanks" dxfId="1099" priority="85">
      <formula>LEN(TRIM(J42))=0</formula>
    </cfRule>
    <cfRule type="notContainsBlanks" dxfId="1098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097" priority="149">
      <formula>LEN(TRIM(J7))=0</formula>
    </cfRule>
    <cfRule type="notContainsBlanks" dxfId="1096" priority="150">
      <formula>LEN(TRIM(J7))&gt;0</formula>
    </cfRule>
  </conditionalFormatting>
  <conditionalFormatting sqref="J11:P11">
    <cfRule type="containsBlanks" dxfId="1095" priority="51">
      <formula>LEN(TRIM(J11))=0</formula>
    </cfRule>
    <cfRule type="notContainsBlanks" dxfId="1094" priority="52">
      <formula>LEN(TRIM(J11))&gt;0</formula>
    </cfRule>
  </conditionalFormatting>
  <conditionalFormatting sqref="J15:P15">
    <cfRule type="containsBlanks" dxfId="1093" priority="53">
      <formula>LEN(TRIM(J15))=0</formula>
    </cfRule>
    <cfRule type="notContainsBlanks" dxfId="1092" priority="54">
      <formula>LEN(TRIM(J15))&gt;0</formula>
    </cfRule>
  </conditionalFormatting>
  <conditionalFormatting sqref="J25:P25">
    <cfRule type="containsBlanks" dxfId="1091" priority="5">
      <formula>LEN(TRIM(J25))=0</formula>
    </cfRule>
    <cfRule type="notContainsBlanks" dxfId="1090" priority="6">
      <formula>LEN(TRIM(J25))&gt;0</formula>
    </cfRule>
  </conditionalFormatting>
  <conditionalFormatting sqref="J29:P29">
    <cfRule type="containsBlanks" dxfId="1089" priority="15">
      <formula>LEN(TRIM(J29))=0</formula>
    </cfRule>
    <cfRule type="notContainsBlanks" dxfId="1088" priority="16">
      <formula>LEN(TRIM(J29))&gt;0</formula>
    </cfRule>
  </conditionalFormatting>
  <conditionalFormatting sqref="J42:P42">
    <cfRule type="containsBlanks" dxfId="1087" priority="87">
      <formula>LEN(TRIM(J42))=0</formula>
    </cfRule>
    <cfRule type="notContainsBlanks" dxfId="1086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085" priority="97">
      <formula>LEN(TRIM(J46))=0</formula>
    </cfRule>
    <cfRule type="notContainsBlanks" dxfId="1084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083" priority="105">
      <formula>LEN(TRIM(J50))=0</formula>
    </cfRule>
    <cfRule type="notContainsBlanks" dxfId="1082" priority="106">
      <formula>LEN(TRIM(J50))&gt;0</formula>
    </cfRule>
  </conditionalFormatting>
  <conditionalFormatting sqref="J59:P59">
    <cfRule type="containsBlanks" dxfId="1081" priority="69">
      <formula>LEN(TRIM(J59))=0</formula>
    </cfRule>
    <cfRule type="notContainsBlanks" dxfId="1080" priority="70">
      <formula>LEN(TRIM(J59))&gt;0</formula>
    </cfRule>
  </conditionalFormatting>
  <conditionalFormatting sqref="J63:P63">
    <cfRule type="containsBlanks" dxfId="1079" priority="77">
      <formula>LEN(TRIM(J63))=0</formula>
    </cfRule>
    <cfRule type="notContainsBlanks" dxfId="1078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077" priority="11">
      <formula>LEN(TRIM(J72))=0</formula>
    </cfRule>
    <cfRule type="notContainsBlanks" dxfId="1076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075" priority="186">
      <formula>LEN(TRIM(J76))=0</formula>
    </cfRule>
    <cfRule type="notContainsBlanks" dxfId="1074" priority="187">
      <formula>LEN(TRIM(J76))&gt;0</formula>
    </cfRule>
  </conditionalFormatting>
  <conditionalFormatting sqref="K11:P11">
    <cfRule type="containsBlanks" dxfId="1073" priority="153">
      <formula>LEN(TRIM(K11))=0</formula>
    </cfRule>
    <cfRule type="notContainsBlanks" dxfId="1072" priority="154">
      <formula>LEN(TRIM(K11))&gt;0</formula>
    </cfRule>
  </conditionalFormatting>
  <conditionalFormatting sqref="K59:P59">
    <cfRule type="containsBlanks" dxfId="1071" priority="159">
      <formula>LEN(TRIM(K59))=0</formula>
    </cfRule>
    <cfRule type="notContainsBlanks" dxfId="1070" priority="160">
      <formula>LEN(TRIM(K59))&gt;0</formula>
    </cfRule>
    <cfRule type="containsBlanks" dxfId="1069" priority="161">
      <formula>LEN(TRIM(K59))=0</formula>
    </cfRule>
    <cfRule type="notContainsBlanks" dxfId="1068" priority="162">
      <formula>LEN(TRIM(K59))&gt;0</formula>
    </cfRule>
  </conditionalFormatting>
  <conditionalFormatting sqref="L76:P76">
    <cfRule type="containsBlanks" dxfId="1067" priority="199">
      <formula>LEN(TRIM(L76))=0</formula>
    </cfRule>
    <cfRule type="notContainsBlanks" dxfId="1066" priority="200">
      <formula>LEN(TRIM(L76))&gt;0</formula>
    </cfRule>
  </conditionalFormatting>
  <conditionalFormatting sqref="M50:P50">
    <cfRule type="containsBlanks" dxfId="1065" priority="226">
      <formula>LEN(TRIM(M50))=0</formula>
    </cfRule>
    <cfRule type="notContainsBlanks" dxfId="1064" priority="227">
      <formula>LEN(TRIM(M50))&gt;0</formula>
    </cfRule>
  </conditionalFormatting>
  <conditionalFormatting sqref="M63:P63">
    <cfRule type="containsBlanks" dxfId="1063" priority="75">
      <formula>LEN(TRIM(M63))=0</formula>
    </cfRule>
    <cfRule type="notContainsBlanks" dxfId="1062" priority="76">
      <formula>LEN(TRIM(M63))&gt;0</formula>
    </cfRule>
  </conditionalFormatting>
  <conditionalFormatting sqref="N46:P46">
    <cfRule type="containsBlanks" dxfId="1061" priority="178">
      <formula>LEN(TRIM(N46))=0</formula>
    </cfRule>
    <cfRule type="notContainsBlanks" dxfId="1060" priority="179">
      <formula>LEN(TRIM(N46))&gt;0</formula>
    </cfRule>
    <cfRule type="containsBlanks" dxfId="1059" priority="220">
      <formula>LEN(TRIM(N46))=0</formula>
    </cfRule>
    <cfRule type="notContainsBlanks" dxfId="1058" priority="221">
      <formula>LEN(TRIM(N46))&gt;0</formula>
    </cfRule>
  </conditionalFormatting>
  <conditionalFormatting sqref="O46:P46">
    <cfRule type="containsBlanks" dxfId="1057" priority="224">
      <formula>LEN(TRIM(O46))=0</formula>
    </cfRule>
    <cfRule type="notContainsBlanks" dxfId="1056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55" priority="145">
      <formula>LEN(TRIM(P7))=0</formula>
    </cfRule>
    <cfRule type="notContainsBlanks" dxfId="1054" priority="146">
      <formula>LEN(TRIM(P7))&gt;0</formula>
    </cfRule>
    <cfRule type="containsBlanks" dxfId="1053" priority="147">
      <formula>LEN(TRIM(P7))=0</formula>
    </cfRule>
    <cfRule type="notContainsBlanks" dxfId="1052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51" priority="48">
      <formula>LEN(TRIM(R11))&gt;0</formula>
    </cfRule>
  </conditionalFormatting>
  <conditionalFormatting sqref="R15">
    <cfRule type="containsBlanks" dxfId="1050" priority="49">
      <formula>LEN(TRIM(R15))=0</formula>
    </cfRule>
    <cfRule type="notContainsBlanks" dxfId="1049" priority="50">
      <formula>LEN(TRIM(R15))&gt;0</formula>
    </cfRule>
  </conditionalFormatting>
  <conditionalFormatting sqref="R59">
    <cfRule type="containsBlanks" dxfId="1048" priority="63">
      <formula>LEN(TRIM(R59))=0</formula>
    </cfRule>
    <cfRule type="notContainsBlanks" dxfId="1047" priority="64">
      <formula>LEN(TRIM(R59))&gt;0</formula>
    </cfRule>
    <cfRule type="containsBlanks" dxfId="1046" priority="65">
      <formula>LEN(TRIM(R59))=0</formula>
    </cfRule>
    <cfRule type="notContainsBlanks" dxfId="1045" priority="66">
      <formula>LEN(TRIM(R59))&gt;0</formula>
    </cfRule>
  </conditionalFormatting>
  <conditionalFormatting sqref="R72">
    <cfRule type="containsBlanks" dxfId="1044" priority="212">
      <formula>LEN(TRIM(R72))=0</formula>
    </cfRule>
    <cfRule type="notContainsBlanks" dxfId="1043" priority="213">
      <formula>LEN(TRIM(R72))&gt;0</formula>
    </cfRule>
  </conditionalFormatting>
  <conditionalFormatting sqref="R63:S63">
    <cfRule type="containsBlanks" dxfId="1042" priority="166">
      <formula>LEN(TRIM(R63))=0</formula>
    </cfRule>
    <cfRule type="notContainsBlanks" dxfId="1041" priority="167">
      <formula>LEN(TRIM(R63))&gt;0</formula>
    </cfRule>
  </conditionalFormatting>
  <conditionalFormatting sqref="R76:S76">
    <cfRule type="containsBlanks" dxfId="1040" priority="182">
      <formula>LEN(TRIM(R76))=0</formula>
    </cfRule>
    <cfRule type="notContainsBlanks" dxfId="1039" priority="183">
      <formula>LEN(TRIM(R76))&gt;0</formula>
    </cfRule>
  </conditionalFormatting>
  <conditionalFormatting sqref="R7:T7">
    <cfRule type="containsBlanks" dxfId="1038" priority="17">
      <formula>LEN(TRIM(R7))=0</formula>
    </cfRule>
    <cfRule type="notContainsBlanks" dxfId="1037" priority="18">
      <formula>LEN(TRIM(R7))&gt;0</formula>
    </cfRule>
    <cfRule type="containsBlanks" dxfId="1036" priority="19">
      <formula>LEN(TRIM(R7))=0</formula>
    </cfRule>
    <cfRule type="notContainsBlanks" dxfId="1035" priority="20">
      <formula>LEN(TRIM(R7))&gt;0</formula>
    </cfRule>
  </conditionalFormatting>
  <conditionalFormatting sqref="R11:T11">
    <cfRule type="containsBlanks" dxfId="1034" priority="41">
      <formula>LEN(TRIM(R11))=0</formula>
    </cfRule>
    <cfRule type="notContainsBlanks" dxfId="1033" priority="42">
      <formula>LEN(TRIM(R11))&gt;0</formula>
    </cfRule>
  </conditionalFormatting>
  <conditionalFormatting sqref="R63:T63">
    <cfRule type="containsBlanks" dxfId="1032" priority="168">
      <formula>LEN(TRIM(R63))=0</formula>
    </cfRule>
    <cfRule type="notContainsBlanks" dxfId="1031" priority="169">
      <formula>LEN(TRIM(R63))&gt;0</formula>
    </cfRule>
    <cfRule type="containsBlanks" dxfId="1030" priority="174">
      <formula>LEN(TRIM(R63))=0</formula>
    </cfRule>
    <cfRule type="notContainsBlanks" dxfId="1029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28" priority="21">
      <formula>LEN(TRIM(R7))=0</formula>
    </cfRule>
    <cfRule type="notContainsBlanks" dxfId="1027" priority="22">
      <formula>LEN(TRIM(R7))&gt;0</formula>
    </cfRule>
  </conditionalFormatting>
  <conditionalFormatting sqref="R25:X25">
    <cfRule type="containsBlanks" dxfId="1026" priority="33">
      <formula>LEN(TRIM(R25))=0</formula>
    </cfRule>
    <cfRule type="notContainsBlanks" dxfId="1025" priority="34">
      <formula>LEN(TRIM(R25))&gt;0</formula>
    </cfRule>
  </conditionalFormatting>
  <conditionalFormatting sqref="R29:X29">
    <cfRule type="containsBlanks" dxfId="1024" priority="3">
      <formula>LEN(TRIM(R29))=0</formula>
    </cfRule>
    <cfRule type="notContainsBlanks" dxfId="1023" priority="4">
      <formula>LEN(TRIM(R29))&gt;0</formula>
    </cfRule>
  </conditionalFormatting>
  <conditionalFormatting sqref="R59:X59">
    <cfRule type="containsBlanks" dxfId="1022" priority="67">
      <formula>LEN(TRIM(R59))=0</formula>
    </cfRule>
    <cfRule type="notContainsBlanks" dxfId="1021" priority="68">
      <formula>LEN(TRIM(R59))&gt;0</formula>
    </cfRule>
  </conditionalFormatting>
  <conditionalFormatting sqref="R72:X72">
    <cfRule type="containsBlanks" dxfId="1020" priority="13">
      <formula>LEN(TRIM(R72))=0</formula>
    </cfRule>
    <cfRule type="notContainsBlanks" dxfId="1019" priority="14">
      <formula>LEN(TRIM(R72))&gt;0</formula>
    </cfRule>
  </conditionalFormatting>
  <conditionalFormatting sqref="R76:X76">
    <cfRule type="containsBlanks" dxfId="1018" priority="184">
      <formula>LEN(TRIM(R76))=0</formula>
    </cfRule>
    <cfRule type="notContainsBlanks" dxfId="1017" priority="185">
      <formula>LEN(TRIM(R76))&gt;0</formula>
    </cfRule>
  </conditionalFormatting>
  <conditionalFormatting sqref="S15:W15">
    <cfRule type="containsBlanks" dxfId="1016" priority="205">
      <formula>LEN(TRIM(S15))=0</formula>
    </cfRule>
    <cfRule type="notContainsBlanks" dxfId="1015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14" priority="164">
      <formula>LEN(TRIM(S59))=0</formula>
    </cfRule>
    <cfRule type="notContainsBlanks" dxfId="1013" priority="165">
      <formula>LEN(TRIM(S59))&gt;0</formula>
    </cfRule>
  </conditionalFormatting>
  <conditionalFormatting sqref="U11:X11 R11">
    <cfRule type="containsBlanks" dxfId="1012" priority="47">
      <formula>LEN(TRIM(R11))=0</formula>
    </cfRule>
  </conditionalFormatting>
  <conditionalFormatting sqref="U63:X63">
    <cfRule type="containsBlanks" dxfId="1011" priority="79">
      <formula>LEN(TRIM(U63))=0</formula>
    </cfRule>
    <cfRule type="notContainsBlanks" dxfId="1010" priority="80">
      <formula>LEN(TRIM(U63))&gt;0</formula>
    </cfRule>
    <cfRule type="containsBlanks" dxfId="1009" priority="81">
      <formula>LEN(TRIM(U63))=0</formula>
    </cfRule>
    <cfRule type="notContainsBlanks" dxfId="1008" priority="82">
      <formula>LEN(TRIM(U63))&gt;0</formula>
    </cfRule>
    <cfRule type="containsBlanks" dxfId="1007" priority="83">
      <formula>LEN(TRIM(U63))=0</formula>
    </cfRule>
    <cfRule type="notContainsBlanks" dxfId="1006" priority="84">
      <formula>LEN(TRIM(U63))&gt;0</formula>
    </cfRule>
  </conditionalFormatting>
  <conditionalFormatting sqref="V11:W11">
    <cfRule type="containsBlanks" dxfId="1005" priority="43">
      <formula>LEN(TRIM(V11))=0</formula>
    </cfRule>
    <cfRule type="notContainsBlanks" dxfId="1004" priority="44">
      <formula>LEN(TRIM(V11))&gt;0</formula>
    </cfRule>
  </conditionalFormatting>
  <conditionalFormatting sqref="W15:X15">
    <cfRule type="containsBlanks" dxfId="1003" priority="195">
      <formula>LEN(TRIM(W15))=0</formula>
    </cfRule>
    <cfRule type="notContainsBlanks" dxfId="1002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01" priority="207">
      <formula>LEN(TRIM(W33))=0</formula>
    </cfRule>
    <cfRule type="notContainsBlanks" dxfId="1000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999" priority="276">
      <formula>LEN(TRIM(X21))=0</formula>
    </cfRule>
    <cfRule type="notContainsBlanks" dxfId="998" priority="277">
      <formula>LEN(TRIM(X21))&gt;0</formula>
    </cfRule>
    <cfRule type="containsBlanks" dxfId="997" priority="278">
      <formula>LEN(TRIM(X21))=0</formula>
    </cfRule>
    <cfRule type="notContainsBlanks" dxfId="996" priority="279">
      <formula>LEN(TRIM(X21))&gt;0</formula>
    </cfRule>
    <cfRule type="containsBlanks" dxfId="995" priority="280">
      <formula>LEN(TRIM(X21))=0</formula>
    </cfRule>
    <cfRule type="notContainsBlanks" dxfId="994" priority="281">
      <formula>LEN(TRIM(X21))&gt;0</formula>
    </cfRule>
    <cfRule type="containsBlanks" dxfId="993" priority="282">
      <formula>LEN(TRIM(X21))=0</formula>
    </cfRule>
    <cfRule type="notContainsBlanks" dxfId="992" priority="283">
      <formula>LEN(TRIM(X21))&gt;0</formula>
    </cfRule>
    <cfRule type="containsBlanks" dxfId="991" priority="284">
      <formula>LEN(TRIM(X21))=0</formula>
    </cfRule>
    <cfRule type="notContainsBlanks" dxfId="990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989" priority="59">
      <formula>LEN(TRIM(Z59))=0</formula>
    </cfRule>
    <cfRule type="notContainsBlanks" dxfId="988" priority="60">
      <formula>LEN(TRIM(Z59))&gt;0</formula>
    </cfRule>
  </conditionalFormatting>
  <conditionalFormatting sqref="Z72">
    <cfRule type="containsBlanks" dxfId="987" priority="129">
      <formula>LEN(TRIM(Z72))=0</formula>
    </cfRule>
    <cfRule type="notContainsBlanks" dxfId="986" priority="130">
      <formula>LEN(TRIM(Z72))&gt;0</formula>
    </cfRule>
  </conditionalFormatting>
  <conditionalFormatting sqref="Z76">
    <cfRule type="containsBlanks" dxfId="985" priority="210">
      <formula>LEN(TRIM(Z76))=0</formula>
    </cfRule>
    <cfRule type="notContainsBlanks" dxfId="984" priority="211">
      <formula>LEN(TRIM(Z76))&gt;0</formula>
    </cfRule>
  </conditionalFormatting>
  <conditionalFormatting sqref="Z63:AA63">
    <cfRule type="containsBlanks" dxfId="983" priority="170">
      <formula>LEN(TRIM(Z63))=0</formula>
    </cfRule>
    <cfRule type="notContainsBlanks" dxfId="982" priority="171">
      <formula>LEN(TRIM(Z63))&gt;0</formula>
    </cfRule>
  </conditionalFormatting>
  <conditionalFormatting sqref="Z59:AB59">
    <cfRule type="containsBlanks" dxfId="981" priority="61">
      <formula>LEN(TRIM(Z59))=0</formula>
    </cfRule>
    <cfRule type="notContainsBlanks" dxfId="980" priority="62">
      <formula>LEN(TRIM(Z59))&gt;0</formula>
    </cfRule>
  </conditionalFormatting>
  <conditionalFormatting sqref="Z63:AB63">
    <cfRule type="containsBlanks" dxfId="979" priority="172">
      <formula>LEN(TRIM(Z63))=0</formula>
    </cfRule>
    <cfRule type="notContainsBlanks" dxfId="978" priority="173">
      <formula>LEN(TRIM(Z63))&gt;0</formula>
    </cfRule>
    <cfRule type="containsBlanks" dxfId="977" priority="180">
      <formula>LEN(TRIM(Z63))=0</formula>
    </cfRule>
    <cfRule type="notContainsBlanks" dxfId="976" priority="181">
      <formula>LEN(TRIM(Z63))&gt;0</formula>
    </cfRule>
  </conditionalFormatting>
  <conditionalFormatting sqref="Z25:AI25">
    <cfRule type="containsBlanks" dxfId="975" priority="115">
      <formula>LEN(TRIM(Z25))=0</formula>
    </cfRule>
    <cfRule type="notContainsBlanks" dxfId="974" priority="116">
      <formula>LEN(TRIM(Z25))&gt;0</formula>
    </cfRule>
  </conditionalFormatting>
  <conditionalFormatting sqref="Z29:AI29">
    <cfRule type="containsBlanks" dxfId="973" priority="1">
      <formula>LEN(TRIM(Z29))=0</formula>
    </cfRule>
    <cfRule type="notContainsBlanks" dxfId="972" priority="2">
      <formula>LEN(TRIM(Z29))&gt;0</formula>
    </cfRule>
  </conditionalFormatting>
  <conditionalFormatting sqref="AA59:AB59">
    <cfRule type="containsBlanks" dxfId="971" priority="141">
      <formula>LEN(TRIM(AA59))=0</formula>
    </cfRule>
    <cfRule type="notContainsBlanks" dxfId="970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969" priority="268">
      <formula>LEN(TRIM(AF21))=0</formula>
    </cfRule>
    <cfRule type="notContainsBlanks" dxfId="968" priority="269">
      <formula>LEN(TRIM(AF21))&gt;0</formula>
    </cfRule>
    <cfRule type="containsBlanks" dxfId="967" priority="270">
      <formula>LEN(TRIM(AF21))=0</formula>
    </cfRule>
    <cfRule type="notContainsBlanks" dxfId="966" priority="271">
      <formula>LEN(TRIM(AF21))&gt;0</formula>
    </cfRule>
    <cfRule type="containsBlanks" dxfId="965" priority="272">
      <formula>LEN(TRIM(AF21))=0</formula>
    </cfRule>
    <cfRule type="notContainsBlanks" dxfId="964" priority="273">
      <formula>LEN(TRIM(AF21))&gt;0</formula>
    </cfRule>
    <cfRule type="containsBlanks" dxfId="963" priority="274">
      <formula>LEN(TRIM(AF21))=0</formula>
    </cfRule>
    <cfRule type="notContainsBlanks" dxfId="962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61" priority="111">
      <formula>LEN(TRIM(AF21))=0</formula>
    </cfRule>
    <cfRule type="notContainsBlanks" dxfId="960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59" priority="286">
      <formula>LEN(TRIM(AG33))=0</formula>
    </cfRule>
    <cfRule type="notContainsBlanks" dxfId="958" priority="287">
      <formula>LEN(TRIM(AG33))&gt;0</formula>
    </cfRule>
    <cfRule type="containsBlanks" dxfId="957" priority="288">
      <formula>LEN(TRIM(AG33))=0</formula>
    </cfRule>
    <cfRule type="notContainsBlanks" dxfId="956" priority="289">
      <formula>LEN(TRIM(AG33))&gt;0</formula>
    </cfRule>
    <cfRule type="containsBlanks" dxfId="955" priority="290">
      <formula>LEN(TRIM(AG33))=0</formula>
    </cfRule>
    <cfRule type="notContainsBlanks" dxfId="954" priority="291">
      <formula>LEN(TRIM(AG33))&gt;0</formula>
    </cfRule>
    <cfRule type="containsBlanks" dxfId="953" priority="292">
      <formula>LEN(TRIM(AG33))=0</formula>
    </cfRule>
    <cfRule type="notContainsBlanks" dxfId="952" priority="293">
      <formula>LEN(TRIM(AG33))&gt;0</formula>
    </cfRule>
    <cfRule type="containsBlanks" dxfId="951" priority="294">
      <formula>LEN(TRIM(AG33))=0</formula>
    </cfRule>
    <cfRule type="notContainsBlanks" dxfId="950" priority="295">
      <formula>LEN(TRIM(AG33))&gt;0</formula>
    </cfRule>
    <cfRule type="containsBlanks" dxfId="949" priority="296">
      <formula>LEN(TRIM(AG33))=0</formula>
    </cfRule>
    <cfRule type="notContainsBlanks" dxfId="948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sheetPr filterMode="1"/>
  <dimension ref="A1:CY234"/>
  <sheetViews>
    <sheetView zoomScale="75" zoomScaleNormal="92" workbookViewId="0">
      <pane xSplit="2" ySplit="13" topLeftCell="C181" activePane="bottomRight" state="frozen"/>
      <selection pane="topRight" activeCell="C1" sqref="C1"/>
      <selection pane="bottomLeft" activeCell="A14" sqref="A14"/>
      <selection pane="bottomRight" activeCell="C168" sqref="C168:C213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2">
        <v>45695</v>
      </c>
      <c r="B1" s="92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B3" s="4"/>
      <c r="BC3" s="4"/>
      <c r="BD3" s="4"/>
      <c r="BE3" s="4"/>
      <c r="BF3" s="4"/>
      <c r="BG3" s="4"/>
      <c r="BH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3" t="s">
        <v>3</v>
      </c>
      <c r="C8" s="94"/>
      <c r="D8" s="94"/>
      <c r="E8" s="94"/>
      <c r="F8" s="94"/>
      <c r="G8" s="94"/>
      <c r="H8" s="94"/>
      <c r="I8" s="94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5" t="s">
        <v>4</v>
      </c>
      <c r="C9" s="96"/>
      <c r="D9" s="96"/>
      <c r="E9" s="96"/>
      <c r="F9" s="96"/>
      <c r="G9" s="96"/>
      <c r="H9" s="96"/>
      <c r="I9" s="96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0</v>
      </c>
      <c r="BF9" s="17">
        <f t="shared" si="8"/>
        <v>0</v>
      </c>
      <c r="BG9" s="17">
        <f t="shared" si="8"/>
        <v>0</v>
      </c>
      <c r="BH9" s="17">
        <f t="shared" si="8"/>
        <v>0</v>
      </c>
      <c r="BI9" s="17">
        <f t="shared" si="8"/>
        <v>0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97" t="s">
        <v>5</v>
      </c>
      <c r="C10" s="98"/>
      <c r="D10" s="98"/>
      <c r="E10" s="98"/>
      <c r="F10" s="98"/>
      <c r="G10" s="98"/>
      <c r="H10" s="98"/>
      <c r="I10" s="98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14</v>
      </c>
      <c r="BM10" s="19">
        <f t="shared" si="10"/>
        <v>14</v>
      </c>
      <c r="BN10" s="19">
        <f t="shared" si="10"/>
        <v>16</v>
      </c>
      <c r="BO10" s="19">
        <f t="shared" si="10"/>
        <v>15</v>
      </c>
      <c r="BP10" s="19">
        <f t="shared" si="10"/>
        <v>14</v>
      </c>
      <c r="BQ10" s="19">
        <f t="shared" si="10"/>
        <v>14</v>
      </c>
      <c r="BR10" s="19">
        <f t="shared" si="10"/>
        <v>14</v>
      </c>
      <c r="BS10" s="19">
        <f t="shared" si="10"/>
        <v>7</v>
      </c>
    </row>
    <row r="11" spans="1:103" s="22" customFormat="1" ht="16.5" customHeight="1" x14ac:dyDescent="0.25">
      <c r="A11" s="12"/>
      <c r="B11" s="99" t="s">
        <v>6</v>
      </c>
      <c r="C11" s="100"/>
      <c r="D11" s="100"/>
      <c r="E11" s="100"/>
      <c r="F11" s="100"/>
      <c r="G11" s="100"/>
      <c r="H11" s="100"/>
      <c r="I11" s="100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7</v>
      </c>
      <c r="BN11" s="21">
        <f t="shared" si="12"/>
        <v>7</v>
      </c>
      <c r="BO11" s="21">
        <f t="shared" si="12"/>
        <v>7</v>
      </c>
      <c r="BP11" s="21">
        <f t="shared" si="12"/>
        <v>8</v>
      </c>
      <c r="BQ11" s="21">
        <f t="shared" si="12"/>
        <v>7</v>
      </c>
      <c r="BR11" s="21">
        <f t="shared" si="12"/>
        <v>7</v>
      </c>
      <c r="BS11" s="21">
        <f t="shared" si="12"/>
        <v>7</v>
      </c>
    </row>
    <row r="12" spans="1:103" s="24" customFormat="1" ht="16.5" hidden="1" customHeight="1" x14ac:dyDescent="0.25">
      <c r="A12" s="12"/>
      <c r="B12" s="90" t="s">
        <v>7</v>
      </c>
      <c r="C12" s="91"/>
      <c r="D12" s="91"/>
      <c r="E12" s="91"/>
      <c r="F12" s="91"/>
      <c r="G12" s="91"/>
      <c r="H12" s="91"/>
      <c r="I12" s="91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1911</v>
      </c>
      <c r="BF12" s="23">
        <f t="shared" si="14"/>
        <v>1912</v>
      </c>
      <c r="BG12" s="23">
        <f t="shared" si="14"/>
        <v>1916</v>
      </c>
      <c r="BH12" s="23">
        <f t="shared" si="14"/>
        <v>1913</v>
      </c>
      <c r="BI12" s="23">
        <f t="shared" si="14"/>
        <v>1920</v>
      </c>
      <c r="BJ12" s="23">
        <f t="shared" si="14"/>
        <v>1914</v>
      </c>
      <c r="BK12" s="23">
        <f t="shared" si="14"/>
        <v>1913</v>
      </c>
      <c r="BL12" s="23">
        <f t="shared" si="14"/>
        <v>1930</v>
      </c>
      <c r="BM12" s="23">
        <f t="shared" si="14"/>
        <v>1928</v>
      </c>
      <c r="BN12" s="23">
        <f t="shared" si="14"/>
        <v>1925</v>
      </c>
      <c r="BO12" s="23">
        <f t="shared" si="14"/>
        <v>1929</v>
      </c>
      <c r="BP12" s="23">
        <f t="shared" si="14"/>
        <v>1929</v>
      </c>
      <c r="BQ12" s="23">
        <f t="shared" si="14"/>
        <v>1928</v>
      </c>
      <c r="BR12" s="23">
        <f>COUNTIF(BR33:BR1972,"")</f>
        <v>1912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hidden="1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45981</v>
      </c>
      <c r="H14" s="79">
        <f t="shared" ref="H14:H77" si="16"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hidden="1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45981</v>
      </c>
      <c r="H15" s="79">
        <f t="shared" si="16"/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hidden="1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45981</v>
      </c>
      <c r="H16" s="79">
        <f t="shared" si="16"/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hidden="1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45981</v>
      </c>
      <c r="H17" s="79">
        <f t="shared" si="16"/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hidden="1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45981</v>
      </c>
      <c r="H18" s="79">
        <f t="shared" si="16"/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hidden="1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45981</v>
      </c>
      <c r="H19" s="79">
        <f t="shared" si="16"/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hidden="1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45981</v>
      </c>
      <c r="H20" s="79">
        <f t="shared" si="16"/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hidden="1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45983</v>
      </c>
      <c r="H21" s="79">
        <f t="shared" si="16"/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hidden="1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45983</v>
      </c>
      <c r="H22" s="79">
        <f t="shared" si="16"/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hidden="1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45983</v>
      </c>
      <c r="H23" s="79">
        <f t="shared" si="16"/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hidden="1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45983</v>
      </c>
      <c r="H24" s="79">
        <f t="shared" si="16"/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hidden="1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45983</v>
      </c>
      <c r="H25" s="79">
        <f t="shared" si="16"/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hidden="1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45983</v>
      </c>
      <c r="H26" s="79">
        <f t="shared" si="16"/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hidden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45983</v>
      </c>
      <c r="H27" s="79">
        <f t="shared" si="16"/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hidden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45985</v>
      </c>
      <c r="H28" s="79">
        <f t="shared" si="16"/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hidden="1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45985</v>
      </c>
      <c r="H29" s="79">
        <f t="shared" si="16"/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hidden="1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45985</v>
      </c>
      <c r="H30" s="79">
        <f t="shared" si="16"/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hidden="1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45985</v>
      </c>
      <c r="H31" s="79">
        <f t="shared" si="16"/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hidden="1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45985</v>
      </c>
      <c r="H32" s="79">
        <f t="shared" si="16"/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hidden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hidden="1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45982</v>
      </c>
      <c r="H34" s="79">
        <f t="shared" si="16"/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hidden="1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45982</v>
      </c>
      <c r="H35" s="79">
        <f t="shared" si="16"/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hidden="1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45982</v>
      </c>
      <c r="H36" s="79">
        <f t="shared" si="16"/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hidden="1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45982</v>
      </c>
      <c r="H37" s="79">
        <f t="shared" si="16"/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hidden="1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45982</v>
      </c>
      <c r="H38" s="79">
        <f t="shared" si="16"/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hidden="1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45982</v>
      </c>
      <c r="H39" s="79">
        <f t="shared" si="16"/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hidden="1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45982</v>
      </c>
      <c r="H40" s="79">
        <f t="shared" si="16"/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hidden="1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45984</v>
      </c>
      <c r="H41" s="79">
        <f t="shared" si="16"/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hidden="1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45984</v>
      </c>
      <c r="H42" s="79">
        <f t="shared" si="16"/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hidden="1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45984</v>
      </c>
      <c r="H43" s="79">
        <f t="shared" si="16"/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hidden="1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45984</v>
      </c>
      <c r="H44" s="79">
        <f t="shared" si="16"/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hidden="1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45984</v>
      </c>
      <c r="H45" s="79">
        <f t="shared" si="16"/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hidden="1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45984</v>
      </c>
      <c r="H46" s="79">
        <f t="shared" si="16"/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hidden="1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45984</v>
      </c>
      <c r="H47" s="79">
        <f t="shared" si="16"/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hidden="1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45985</v>
      </c>
      <c r="H48" s="79">
        <f t="shared" si="16"/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hidden="1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45985</v>
      </c>
      <c r="H49" s="79">
        <f t="shared" si="16"/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hidden="1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hidden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hidden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hidden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hidden="1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hidden="1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hidden="1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hidden="1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hidden="1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hidden="1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hidden="1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45987</v>
      </c>
      <c r="H60" s="79">
        <f t="shared" si="16"/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hidden="1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45987</v>
      </c>
      <c r="H61" s="79">
        <f t="shared" si="16"/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hidden="1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45987</v>
      </c>
      <c r="H62" s="79">
        <f t="shared" si="16"/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hidden="1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45986</v>
      </c>
      <c r="H63" s="79">
        <f t="shared" si="16"/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hidden="1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45986</v>
      </c>
      <c r="H64" s="79">
        <f t="shared" si="16"/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hidden="1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45986</v>
      </c>
      <c r="H65" s="79">
        <f t="shared" si="16"/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hidden="1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45986</v>
      </c>
      <c r="H66" s="79">
        <f t="shared" si="16"/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hidden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6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hidden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6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hidden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hidden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hidden="1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hidden="1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hidden="1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hidden="1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hidden="1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hidden="1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hidden="1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hidden="1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hidden="1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hidden="1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hidden="1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hidden="1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hidden="1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hidden="1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hidden="1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hidden="1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hidden="1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hidden="1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hidden="1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hidden="1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hidden="1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hidden="1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hidden="1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hidden="1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hidden="1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hidden="1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hidden="1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18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hidden="1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18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hidden="1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18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hidden="1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18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hidden="1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18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hidden="1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18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hidden="1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hidden="1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hidden="1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18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hidden="1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hidden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hidden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hidden="1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hidden="1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hidden="1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hidden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hidden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hidden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hidden="1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hidden="1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hidden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hidden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hidden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hidden="1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hidden="1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hidden="1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hidden="1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hidden="1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hidden="1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hidden="1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hidden="1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hidden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hidden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hidden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hidden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18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hidden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18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hidden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18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hidden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18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hidden="1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18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hidden="1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18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hidden="1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18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hidden="1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18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hidden="1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18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hidden="1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18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hidden="1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18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hidden="1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0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hidden="1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0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hidden="1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0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hidden="1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0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hidden="1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0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hidden="1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0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hidden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0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hidden="1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0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hidden="1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0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hidden="1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0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hidden="1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0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hidden="1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0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hidden="1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0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hidden="1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0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hidden="1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0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hidden="1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0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hidden="1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0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hidden="1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0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hidden="1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0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hidden="1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0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hidden="1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0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hidden="1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0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hidden="1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0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hidden="1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0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hidden="1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hidden="1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313</v>
      </c>
      <c r="C168" s="25" t="s">
        <v>552</v>
      </c>
      <c r="D168" s="25">
        <v>194</v>
      </c>
      <c r="E168" s="35" cm="1">
        <f t="array" ref="E168">IFERROR(INDEX($J$5:$AVX$5, _xlfn.AGGREGATE(15,6, COLUMN(J168:AVX168)-COLUMN(J168)+1 / (J168:AVX168="T"), F168)), "")</f>
        <v>46003</v>
      </c>
      <c r="F168" s="76">
        <f>$A$2</f>
        <v>2</v>
      </c>
      <c r="G168" s="35" cm="1">
        <f t="array" ref="G168">IFERROR(INDEX($J$5:$AVW$5,_xlfn.AGGREGATE(14,6,(COLUMN($J168:$AVW168)-COLUMN($J168)+1)/($J168:$AVW168="T"),1)),"")</f>
        <v>46003</v>
      </c>
      <c r="H168" s="79">
        <f>COUNTIF($J168:$AVV168,"T")</f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 t="s">
        <v>12</v>
      </c>
      <c r="W168" s="101"/>
      <c r="X168" s="101"/>
      <c r="Y168" s="27"/>
      <c r="Z168" s="28"/>
      <c r="AA168" s="27"/>
      <c r="AB168" s="27"/>
      <c r="AC168" s="29" t="s">
        <v>16</v>
      </c>
      <c r="AD168" s="30" t="s">
        <v>13</v>
      </c>
      <c r="AE168" s="27"/>
      <c r="AF168" s="27"/>
      <c r="AG168" s="28"/>
      <c r="AH168" s="27"/>
      <c r="AI168" s="27"/>
      <c r="AJ168" s="29" t="s">
        <v>14</v>
      </c>
      <c r="AK168" s="30" t="s">
        <v>11</v>
      </c>
      <c r="AL168" s="27"/>
      <c r="AM168" s="37"/>
      <c r="AN168" s="28"/>
      <c r="AO168" s="27"/>
      <c r="AP168" s="29" t="s">
        <v>15</v>
      </c>
      <c r="AQ168" s="27"/>
      <c r="AR168" s="27"/>
      <c r="AS168" s="25">
        <v>17</v>
      </c>
      <c r="AT168" s="25"/>
      <c r="AU168" s="25"/>
      <c r="AV168" s="25"/>
      <c r="AW168" s="33"/>
      <c r="AX168" s="33"/>
      <c r="AY168" s="33" t="s">
        <v>12</v>
      </c>
      <c r="AZ168" s="101"/>
      <c r="BA168" s="101"/>
      <c r="BB168" s="27"/>
      <c r="BC168" s="28"/>
      <c r="BD168" s="27"/>
      <c r="BE168" s="27"/>
      <c r="BF168" s="29" t="s">
        <v>16</v>
      </c>
      <c r="BG168" s="30" t="s">
        <v>13</v>
      </c>
      <c r="BH168" s="27"/>
      <c r="BI168" s="27"/>
      <c r="BJ168" s="28"/>
      <c r="BK168" s="27"/>
      <c r="BL168" s="27"/>
      <c r="BM168" s="29" t="s">
        <v>14</v>
      </c>
      <c r="BN168" s="30" t="s">
        <v>11</v>
      </c>
      <c r="BO168" s="27"/>
      <c r="BP168" s="37"/>
      <c r="BQ168" s="28"/>
      <c r="BR168" s="27"/>
      <c r="BS168" s="29" t="s">
        <v>15</v>
      </c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314</v>
      </c>
      <c r="C169" s="25" t="s">
        <v>553</v>
      </c>
      <c r="D169" s="25">
        <v>195</v>
      </c>
      <c r="E169" s="35" cm="1">
        <f t="array" ref="E169">IFERROR(INDEX($J$5:$AVX$5, _xlfn.AGGREGATE(15,6, COLUMN(J169:AVX169)-COLUMN(J169)+1 / (J169:AVX169="T"), F169)), "")</f>
        <v>46003</v>
      </c>
      <c r="F169" s="76">
        <f>$A$2</f>
        <v>2</v>
      </c>
      <c r="G169" s="35" cm="1">
        <f t="array" ref="G169">IFERROR(INDEX($J$5:$AVW$5,_xlfn.AGGREGATE(14,6,(COLUMN($J169:$AVW169)-COLUMN($J169)+1)/($J169:$AVW169="T"),1)),"")</f>
        <v>46003</v>
      </c>
      <c r="H169" s="79">
        <f>COUNTIF($J169:$AVV169,"T")</f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 t="s">
        <v>12</v>
      </c>
      <c r="W169" s="101"/>
      <c r="X169" s="101"/>
      <c r="Y169" s="27"/>
      <c r="Z169" s="28"/>
      <c r="AA169" s="27"/>
      <c r="AB169" s="27"/>
      <c r="AC169" s="29" t="s">
        <v>16</v>
      </c>
      <c r="AD169" s="30" t="s">
        <v>13</v>
      </c>
      <c r="AE169" s="27"/>
      <c r="AF169" s="27"/>
      <c r="AG169" s="28"/>
      <c r="AH169" s="27"/>
      <c r="AI169" s="27"/>
      <c r="AJ169" s="29" t="s">
        <v>14</v>
      </c>
      <c r="AK169" s="30" t="s">
        <v>11</v>
      </c>
      <c r="AL169" s="27"/>
      <c r="AM169" s="27"/>
      <c r="AN169" s="28"/>
      <c r="AO169" s="37"/>
      <c r="AP169" s="29" t="s">
        <v>15</v>
      </c>
      <c r="AQ169" s="27"/>
      <c r="AR169" s="27"/>
      <c r="AS169" s="25">
        <v>17</v>
      </c>
      <c r="AT169" s="25"/>
      <c r="AU169" s="25"/>
      <c r="AV169" s="25"/>
      <c r="AW169" s="33"/>
      <c r="AX169" s="33"/>
      <c r="AY169" s="33" t="s">
        <v>12</v>
      </c>
      <c r="AZ169" s="101"/>
      <c r="BA169" s="101"/>
      <c r="BB169" s="27"/>
      <c r="BC169" s="28"/>
      <c r="BD169" s="27"/>
      <c r="BE169" s="27"/>
      <c r="BF169" s="29" t="s">
        <v>16</v>
      </c>
      <c r="BG169" s="30" t="s">
        <v>13</v>
      </c>
      <c r="BH169" s="27"/>
      <c r="BI169" s="27"/>
      <c r="BJ169" s="28"/>
      <c r="BK169" s="27"/>
      <c r="BL169" s="27"/>
      <c r="BM169" s="29" t="s">
        <v>14</v>
      </c>
      <c r="BN169" s="30" t="s">
        <v>11</v>
      </c>
      <c r="BO169" s="27"/>
      <c r="BP169" s="37"/>
      <c r="BQ169" s="28"/>
      <c r="BR169" s="27"/>
      <c r="BS169" s="29" t="s">
        <v>15</v>
      </c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315</v>
      </c>
      <c r="C170" s="25" t="s">
        <v>554</v>
      </c>
      <c r="D170" s="25">
        <v>196</v>
      </c>
      <c r="E170" s="35" cm="1">
        <f t="array" ref="E170">IFERROR(INDEX($J$5:$AVX$5, _xlfn.AGGREGATE(15,6, COLUMN(J170:AVX170)-COLUMN(J170)+1 / (J170:AVX170="T"), F170)), "")</f>
        <v>46003</v>
      </c>
      <c r="F170" s="76">
        <f>$A$2</f>
        <v>2</v>
      </c>
      <c r="G170" s="35" cm="1">
        <f t="array" ref="G170">IFERROR(INDEX($J$5:$AVW$5,_xlfn.AGGREGATE(14,6,(COLUMN($J170:$AVW170)-COLUMN($J170)+1)/($J170:$AVW170="T"),1)),"")</f>
        <v>46003</v>
      </c>
      <c r="H170" s="79">
        <f>COUNTIF($J170:$AVV170,"T")</f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 t="s">
        <v>12</v>
      </c>
      <c r="W170" s="101"/>
      <c r="X170" s="101"/>
      <c r="Y170" s="27"/>
      <c r="Z170" s="28"/>
      <c r="AA170" s="27"/>
      <c r="AB170" s="27"/>
      <c r="AC170" s="29" t="s">
        <v>16</v>
      </c>
      <c r="AD170" s="30" t="s">
        <v>13</v>
      </c>
      <c r="AE170" s="27"/>
      <c r="AF170" s="27"/>
      <c r="AG170" s="28"/>
      <c r="AH170" s="27"/>
      <c r="AI170" s="27"/>
      <c r="AJ170" s="29" t="s">
        <v>14</v>
      </c>
      <c r="AK170" s="30" t="s">
        <v>11</v>
      </c>
      <c r="AL170" s="27"/>
      <c r="AM170" s="27"/>
      <c r="AN170" s="28"/>
      <c r="AO170" s="37"/>
      <c r="AP170" s="29" t="s">
        <v>15</v>
      </c>
      <c r="AQ170" s="27"/>
      <c r="AR170" s="27"/>
      <c r="AS170" s="25">
        <v>17</v>
      </c>
      <c r="AT170" s="25"/>
      <c r="AU170" s="25"/>
      <c r="AV170" s="25"/>
      <c r="AW170" s="33"/>
      <c r="AX170" s="33"/>
      <c r="AY170" s="33" t="s">
        <v>12</v>
      </c>
      <c r="AZ170" s="101"/>
      <c r="BA170" s="101"/>
      <c r="BB170" s="27"/>
      <c r="BC170" s="28"/>
      <c r="BD170" s="27"/>
      <c r="BE170" s="27"/>
      <c r="BF170" s="29" t="s">
        <v>16</v>
      </c>
      <c r="BG170" s="30" t="s">
        <v>13</v>
      </c>
      <c r="BH170" s="27"/>
      <c r="BI170" s="27"/>
      <c r="BJ170" s="28"/>
      <c r="BK170" s="27"/>
      <c r="BL170" s="27"/>
      <c r="BM170" s="29" t="s">
        <v>14</v>
      </c>
      <c r="BN170" s="30" t="s">
        <v>11</v>
      </c>
      <c r="BO170" s="27"/>
      <c r="BP170" s="37"/>
      <c r="BQ170" s="28"/>
      <c r="BR170" s="27"/>
      <c r="BS170" s="29" t="s">
        <v>15</v>
      </c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316</v>
      </c>
      <c r="C171" s="25" t="s">
        <v>555</v>
      </c>
      <c r="D171" s="25">
        <v>197</v>
      </c>
      <c r="E171" s="35" cm="1">
        <f t="array" ref="E171">IFERROR(INDEX($J$5:$AVX$5, _xlfn.AGGREGATE(15,6, COLUMN(J171:AVX171)-COLUMN(J171)+1 / (J171:AVX171="T"), F171)), "")</f>
        <v>46003</v>
      </c>
      <c r="F171" s="76">
        <f>$A$2</f>
        <v>2</v>
      </c>
      <c r="G171" s="35" cm="1">
        <f t="array" ref="G171">IFERROR(INDEX($J$5:$AVW$5,_xlfn.AGGREGATE(14,6,(COLUMN($J171:$AVW171)-COLUMN($J171)+1)/($J171:$AVW171="T"),1)),"")</f>
        <v>46003</v>
      </c>
      <c r="H171" s="79">
        <f>COUNTIF($J171:$AVV171,"T")</f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 t="s">
        <v>12</v>
      </c>
      <c r="W171" s="101"/>
      <c r="X171" s="101"/>
      <c r="Y171" s="27"/>
      <c r="Z171" s="28"/>
      <c r="AA171" s="27"/>
      <c r="AB171" s="27"/>
      <c r="AC171" s="29" t="s">
        <v>16</v>
      </c>
      <c r="AD171" s="30" t="s">
        <v>13</v>
      </c>
      <c r="AE171" s="27"/>
      <c r="AF171" s="27"/>
      <c r="AG171" s="28"/>
      <c r="AH171" s="27"/>
      <c r="AI171" s="27"/>
      <c r="AJ171" s="29" t="s">
        <v>14</v>
      </c>
      <c r="AK171" s="30" t="s">
        <v>11</v>
      </c>
      <c r="AL171" s="27"/>
      <c r="AM171" s="27"/>
      <c r="AN171" s="28"/>
      <c r="AO171" s="37"/>
      <c r="AP171" s="29" t="s">
        <v>15</v>
      </c>
      <c r="AQ171" s="27"/>
      <c r="AR171" s="27"/>
      <c r="AS171" s="25">
        <v>17</v>
      </c>
      <c r="AT171" s="25"/>
      <c r="AU171" s="25"/>
      <c r="AV171" s="25"/>
      <c r="AW171" s="33"/>
      <c r="AX171" s="33"/>
      <c r="AY171" s="33" t="s">
        <v>12</v>
      </c>
      <c r="AZ171" s="101"/>
      <c r="BA171" s="101"/>
      <c r="BB171" s="27"/>
      <c r="BC171" s="28"/>
      <c r="BD171" s="27"/>
      <c r="BE171" s="27"/>
      <c r="BF171" s="29" t="s">
        <v>16</v>
      </c>
      <c r="BG171" s="30" t="s">
        <v>13</v>
      </c>
      <c r="BH171" s="27"/>
      <c r="BI171" s="27"/>
      <c r="BJ171" s="28"/>
      <c r="BK171" s="27"/>
      <c r="BL171" s="27"/>
      <c r="BM171" s="29" t="s">
        <v>14</v>
      </c>
      <c r="BN171" s="30" t="s">
        <v>11</v>
      </c>
      <c r="BO171" s="27"/>
      <c r="BP171" s="37"/>
      <c r="BQ171" s="28"/>
      <c r="BR171" s="27"/>
      <c r="BS171" s="29" t="s">
        <v>15</v>
      </c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317</v>
      </c>
      <c r="C172" s="25" t="s">
        <v>556</v>
      </c>
      <c r="D172" s="25">
        <v>198</v>
      </c>
      <c r="E172" s="35" cm="1">
        <f t="array" ref="E172">IFERROR(INDEX($J$5:$AVX$5, _xlfn.AGGREGATE(15,6, COLUMN(J172:AVX172)-COLUMN(J172)+1 / (J172:AVX172="T"), F172)), "")</f>
        <v>46003</v>
      </c>
      <c r="F172" s="76">
        <f>$A$2</f>
        <v>2</v>
      </c>
      <c r="G172" s="35" cm="1">
        <f t="array" ref="G172">IFERROR(INDEX($J$5:$AVW$5,_xlfn.AGGREGATE(14,6,(COLUMN($J172:$AVW172)-COLUMN($J172)+1)/($J172:$AVW172="T"),1)),"")</f>
        <v>46003</v>
      </c>
      <c r="H172" s="79">
        <f>COUNTIF($J172:$AVV172,"T")</f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 t="s">
        <v>12</v>
      </c>
      <c r="W172" s="101"/>
      <c r="X172" s="101"/>
      <c r="Y172" s="27"/>
      <c r="Z172" s="28"/>
      <c r="AA172" s="27"/>
      <c r="AB172" s="27"/>
      <c r="AC172" s="29" t="s">
        <v>16</v>
      </c>
      <c r="AD172" s="30" t="s">
        <v>13</v>
      </c>
      <c r="AE172" s="27"/>
      <c r="AF172" s="27"/>
      <c r="AG172" s="28"/>
      <c r="AH172" s="27"/>
      <c r="AI172" s="27"/>
      <c r="AJ172" s="29" t="s">
        <v>14</v>
      </c>
      <c r="AK172" s="30" t="s">
        <v>11</v>
      </c>
      <c r="AL172" s="27"/>
      <c r="AM172" s="27"/>
      <c r="AN172" s="28"/>
      <c r="AO172" s="37"/>
      <c r="AP172" s="29" t="s">
        <v>15</v>
      </c>
      <c r="AQ172" s="27"/>
      <c r="AR172" s="27"/>
      <c r="AS172" s="25">
        <v>17</v>
      </c>
      <c r="AT172" s="25"/>
      <c r="AU172" s="25"/>
      <c r="AV172" s="25"/>
      <c r="AW172" s="33"/>
      <c r="AX172" s="33"/>
      <c r="AY172" s="33" t="s">
        <v>12</v>
      </c>
      <c r="AZ172" s="101"/>
      <c r="BA172" s="101"/>
      <c r="BB172" s="27"/>
      <c r="BC172" s="28"/>
      <c r="BD172" s="27"/>
      <c r="BE172" s="27"/>
      <c r="BF172" s="29" t="s">
        <v>16</v>
      </c>
      <c r="BG172" s="30" t="s">
        <v>13</v>
      </c>
      <c r="BH172" s="27"/>
      <c r="BI172" s="27"/>
      <c r="BJ172" s="28"/>
      <c r="BK172" s="27"/>
      <c r="BL172" s="27"/>
      <c r="BM172" s="29" t="s">
        <v>14</v>
      </c>
      <c r="BN172" s="30" t="s">
        <v>11</v>
      </c>
      <c r="BO172" s="27"/>
      <c r="BP172" s="37"/>
      <c r="BQ172" s="28"/>
      <c r="BR172" s="27"/>
      <c r="BS172" s="29" t="s">
        <v>15</v>
      </c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318</v>
      </c>
      <c r="C173" s="25" t="s">
        <v>557</v>
      </c>
      <c r="D173" s="25">
        <v>199</v>
      </c>
      <c r="E173" s="35" cm="1">
        <f t="array" ref="E173">IFERROR(INDEX($J$5:$AVX$5, _xlfn.AGGREGATE(15,6, COLUMN(J173:AVX173)-COLUMN(J173)+1 / (J173:AVX173="T"), F173)), "")</f>
        <v>46003</v>
      </c>
      <c r="F173" s="76">
        <f>$A$2</f>
        <v>2</v>
      </c>
      <c r="G173" s="35" cm="1">
        <f t="array" ref="G173">IFERROR(INDEX($J$5:$AVW$5,_xlfn.AGGREGATE(14,6,(COLUMN($J173:$AVW173)-COLUMN($J173)+1)/($J173:$AVW173="T"),1)),"")</f>
        <v>46003</v>
      </c>
      <c r="H173" s="79">
        <f>COUNTIF($J173:$AVV173,"T")</f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 t="s">
        <v>12</v>
      </c>
      <c r="W173" s="101"/>
      <c r="X173" s="101"/>
      <c r="Y173" s="27"/>
      <c r="Z173" s="28"/>
      <c r="AA173" s="27"/>
      <c r="AB173" s="27"/>
      <c r="AC173" s="29" t="s">
        <v>16</v>
      </c>
      <c r="AD173" s="30" t="s">
        <v>13</v>
      </c>
      <c r="AE173" s="27"/>
      <c r="AF173" s="27"/>
      <c r="AG173" s="28"/>
      <c r="AH173" s="27"/>
      <c r="AI173" s="27"/>
      <c r="AJ173" s="29" t="s">
        <v>14</v>
      </c>
      <c r="AK173" s="30" t="s">
        <v>11</v>
      </c>
      <c r="AL173" s="27"/>
      <c r="AM173" s="27"/>
      <c r="AN173" s="28"/>
      <c r="AO173" s="37"/>
      <c r="AP173" s="29" t="s">
        <v>15</v>
      </c>
      <c r="AQ173" s="27"/>
      <c r="AR173" s="27"/>
      <c r="AS173" s="25">
        <v>17</v>
      </c>
      <c r="AT173" s="25"/>
      <c r="AU173" s="25"/>
      <c r="AV173" s="25"/>
      <c r="AW173" s="33"/>
      <c r="AX173" s="33"/>
      <c r="AY173" s="33" t="s">
        <v>12</v>
      </c>
      <c r="AZ173" s="101"/>
      <c r="BA173" s="101"/>
      <c r="BB173" s="27"/>
      <c r="BC173" s="28"/>
      <c r="BD173" s="27"/>
      <c r="BE173" s="27"/>
      <c r="BF173" s="29" t="s">
        <v>16</v>
      </c>
      <c r="BG173" s="30" t="s">
        <v>13</v>
      </c>
      <c r="BH173" s="27"/>
      <c r="BI173" s="27"/>
      <c r="BJ173" s="28"/>
      <c r="BK173" s="27"/>
      <c r="BL173" s="27"/>
      <c r="BM173" s="29" t="s">
        <v>14</v>
      </c>
      <c r="BN173" s="30" t="s">
        <v>11</v>
      </c>
      <c r="BO173" s="27"/>
      <c r="BP173" s="37"/>
      <c r="BQ173" s="28"/>
      <c r="BR173" s="27"/>
      <c r="BS173" s="29" t="s">
        <v>15</v>
      </c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319</v>
      </c>
      <c r="C174" s="25" t="s">
        <v>558</v>
      </c>
      <c r="D174" s="25">
        <v>200</v>
      </c>
      <c r="E174" s="35" cm="1">
        <f t="array" ref="E174">IFERROR(INDEX($J$5:$AVX$5, _xlfn.AGGREGATE(15,6, COLUMN(J174:AVX174)-COLUMN(J174)+1 / (J174:AVX174="T"), F174)), "")</f>
        <v>46003</v>
      </c>
      <c r="F174" s="76">
        <f>$A$2</f>
        <v>2</v>
      </c>
      <c r="G174" s="35" cm="1">
        <f t="array" ref="G174">IFERROR(INDEX($J$5:$AVW$5,_xlfn.AGGREGATE(14,6,(COLUMN($J174:$AVW174)-COLUMN($J174)+1)/($J174:$AVW174="T"),1)),"")</f>
        <v>46003</v>
      </c>
      <c r="H174" s="79">
        <f>COUNTIF($J174:$AVV174,"T")</f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 t="s">
        <v>12</v>
      </c>
      <c r="W174" s="101"/>
      <c r="X174" s="101"/>
      <c r="Y174" s="27"/>
      <c r="Z174" s="28"/>
      <c r="AA174" s="27"/>
      <c r="AB174" s="27"/>
      <c r="AC174" s="29" t="s">
        <v>16</v>
      </c>
      <c r="AD174" s="30" t="s">
        <v>13</v>
      </c>
      <c r="AE174" s="27"/>
      <c r="AF174" s="27"/>
      <c r="AG174" s="28"/>
      <c r="AH174" s="27"/>
      <c r="AI174" s="27"/>
      <c r="AJ174" s="29" t="s">
        <v>14</v>
      </c>
      <c r="AK174" s="30" t="s">
        <v>11</v>
      </c>
      <c r="AL174" s="27"/>
      <c r="AM174" s="27"/>
      <c r="AN174" s="28"/>
      <c r="AO174" s="37"/>
      <c r="AP174" s="29" t="s">
        <v>15</v>
      </c>
      <c r="AQ174" s="27"/>
      <c r="AR174" s="27"/>
      <c r="AS174" s="25">
        <v>17</v>
      </c>
      <c r="AT174" s="25"/>
      <c r="AU174" s="25"/>
      <c r="AV174" s="25"/>
      <c r="AW174" s="33"/>
      <c r="AX174" s="33"/>
      <c r="AY174" s="33" t="s">
        <v>12</v>
      </c>
      <c r="AZ174" s="101"/>
      <c r="BA174" s="101"/>
      <c r="BB174" s="27"/>
      <c r="BC174" s="28"/>
      <c r="BD174" s="27"/>
      <c r="BE174" s="27"/>
      <c r="BF174" s="29" t="s">
        <v>16</v>
      </c>
      <c r="BG174" s="30" t="s">
        <v>13</v>
      </c>
      <c r="BH174" s="27"/>
      <c r="BI174" s="27"/>
      <c r="BJ174" s="28"/>
      <c r="BK174" s="27"/>
      <c r="BL174" s="27"/>
      <c r="BM174" s="29" t="s">
        <v>14</v>
      </c>
      <c r="BN174" s="30" t="s">
        <v>11</v>
      </c>
      <c r="BO174" s="27"/>
      <c r="BP174" s="37"/>
      <c r="BQ174" s="28"/>
      <c r="BR174" s="27"/>
      <c r="BS174" s="29" t="s">
        <v>15</v>
      </c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306</v>
      </c>
      <c r="C175" s="25" t="s">
        <v>545</v>
      </c>
      <c r="D175" s="25">
        <v>187</v>
      </c>
      <c r="E175" s="35" cm="1">
        <f t="array" ref="E175">IFERROR(INDEX($J$5:$AVX$5, _xlfn.AGGREGATE(15,6, COLUMN(J175:AVX175)-COLUMN(J175)+1 / (J175:AVX175="T"), F175)), "")</f>
        <v>46004</v>
      </c>
      <c r="F175" s="76">
        <f>$A$2</f>
        <v>2</v>
      </c>
      <c r="G175" s="35" cm="1">
        <f t="array" ref="G175">IFERROR(INDEX($J$5:$AVW$5,_xlfn.AGGREGATE(14,6,(COLUMN($J175:$AVW175)-COLUMN($J175)+1)/($J175:$AVW175="T"),1)),"")</f>
        <v>46004</v>
      </c>
      <c r="H175" s="79">
        <f>COUNTIF($J175:$AVV175,"T")</f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 t="s">
        <v>12</v>
      </c>
      <c r="X175" s="101"/>
      <c r="Y175" s="101"/>
      <c r="Z175" s="27"/>
      <c r="AA175" s="28"/>
      <c r="AB175" s="27"/>
      <c r="AC175" s="27"/>
      <c r="AD175" s="29" t="s">
        <v>16</v>
      </c>
      <c r="AE175" s="30" t="s">
        <v>13</v>
      </c>
      <c r="AF175" s="27"/>
      <c r="AG175" s="27"/>
      <c r="AH175" s="28"/>
      <c r="AI175" s="27"/>
      <c r="AJ175" s="27"/>
      <c r="AK175" s="29" t="s">
        <v>14</v>
      </c>
      <c r="AL175" s="30" t="s">
        <v>11</v>
      </c>
      <c r="AM175" s="27"/>
      <c r="AN175" s="37"/>
      <c r="AO175" s="28"/>
      <c r="AP175" s="27"/>
      <c r="AQ175" s="29" t="s">
        <v>15</v>
      </c>
      <c r="AR175" s="27"/>
      <c r="AS175" s="27"/>
      <c r="AT175" s="25">
        <v>17</v>
      </c>
      <c r="AU175" s="25"/>
      <c r="AV175" s="25"/>
      <c r="AW175" s="25"/>
      <c r="AX175" s="33"/>
      <c r="AY175" s="33"/>
      <c r="AZ175" s="33" t="s">
        <v>12</v>
      </c>
      <c r="BA175" s="101"/>
      <c r="BB175" s="101"/>
      <c r="BC175" s="27"/>
      <c r="BD175" s="28"/>
      <c r="BE175" s="27"/>
      <c r="BF175" s="27"/>
      <c r="BG175" s="29" t="s">
        <v>16</v>
      </c>
      <c r="BH175" s="30" t="s">
        <v>13</v>
      </c>
      <c r="BI175" s="27"/>
      <c r="BJ175" s="27"/>
      <c r="BK175" s="28"/>
      <c r="BL175" s="27"/>
      <c r="BM175" s="27"/>
      <c r="BN175" s="29" t="s">
        <v>14</v>
      </c>
      <c r="BO175" s="30" t="s">
        <v>11</v>
      </c>
      <c r="BP175" s="27"/>
      <c r="BQ175" s="37"/>
      <c r="BR175" s="28"/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307</v>
      </c>
      <c r="C176" s="25" t="s">
        <v>546</v>
      </c>
      <c r="D176" s="25">
        <v>188</v>
      </c>
      <c r="E176" s="35" cm="1">
        <f t="array" ref="E176">IFERROR(INDEX($J$5:$AVX$5, _xlfn.AGGREGATE(15,6, COLUMN(J176:AVX176)-COLUMN(J176)+1 / (J176:AVX176="T"), F176)), "")</f>
        <v>46004</v>
      </c>
      <c r="F176" s="76">
        <f>$A$2</f>
        <v>2</v>
      </c>
      <c r="G176" s="35" cm="1">
        <f t="array" ref="G176">IFERROR(INDEX($J$5:$AVW$5,_xlfn.AGGREGATE(14,6,(COLUMN($J176:$AVW176)-COLUMN($J176)+1)/($J176:$AVW176="T"),1)),"")</f>
        <v>46004</v>
      </c>
      <c r="H176" s="79">
        <f>COUNTIF($J176:$AVV176,"T")</f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 t="s">
        <v>12</v>
      </c>
      <c r="X176" s="101"/>
      <c r="Y176" s="101"/>
      <c r="Z176" s="27"/>
      <c r="AA176" s="28"/>
      <c r="AB176" s="27"/>
      <c r="AC176" s="27"/>
      <c r="AD176" s="29" t="s">
        <v>16</v>
      </c>
      <c r="AE176" s="30" t="s">
        <v>13</v>
      </c>
      <c r="AF176" s="27"/>
      <c r="AG176" s="27"/>
      <c r="AH176" s="28"/>
      <c r="AI176" s="27"/>
      <c r="AJ176" s="27"/>
      <c r="AK176" s="29" t="s">
        <v>14</v>
      </c>
      <c r="AL176" s="30" t="s">
        <v>11</v>
      </c>
      <c r="AM176" s="27"/>
      <c r="AN176" s="27"/>
      <c r="AO176" s="28"/>
      <c r="AP176" s="37"/>
      <c r="AQ176" s="29" t="s">
        <v>15</v>
      </c>
      <c r="AR176" s="27"/>
      <c r="AS176" s="27"/>
      <c r="AT176" s="25">
        <v>17</v>
      </c>
      <c r="AU176" s="25"/>
      <c r="AV176" s="25"/>
      <c r="AW176" s="25"/>
      <c r="AX176" s="33"/>
      <c r="AY176" s="33"/>
      <c r="AZ176" s="33" t="s">
        <v>12</v>
      </c>
      <c r="BA176" s="101"/>
      <c r="BB176" s="101"/>
      <c r="BC176" s="27"/>
      <c r="BD176" s="28"/>
      <c r="BE176" s="27"/>
      <c r="BF176" s="27"/>
      <c r="BG176" s="29" t="s">
        <v>16</v>
      </c>
      <c r="BH176" s="30" t="s">
        <v>13</v>
      </c>
      <c r="BI176" s="27"/>
      <c r="BJ176" s="27"/>
      <c r="BK176" s="28"/>
      <c r="BL176" s="27"/>
      <c r="BM176" s="27"/>
      <c r="BN176" s="29" t="s">
        <v>14</v>
      </c>
      <c r="BO176" s="30" t="s">
        <v>11</v>
      </c>
      <c r="BP176" s="27"/>
      <c r="BQ176" s="37"/>
      <c r="BR176" s="28"/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308</v>
      </c>
      <c r="C177" s="25" t="s">
        <v>547</v>
      </c>
      <c r="D177" s="25">
        <v>189</v>
      </c>
      <c r="E177" s="35" cm="1">
        <f t="array" ref="E177">IFERROR(INDEX($J$5:$AVX$5, _xlfn.AGGREGATE(15,6, COLUMN(J177:AVX177)-COLUMN(J177)+1 / (J177:AVX177="T"), F177)), "")</f>
        <v>46004</v>
      </c>
      <c r="F177" s="76">
        <f>$A$2</f>
        <v>2</v>
      </c>
      <c r="G177" s="35" cm="1">
        <f t="array" ref="G177">IFERROR(INDEX($J$5:$AVW$5,_xlfn.AGGREGATE(14,6,(COLUMN($J177:$AVW177)-COLUMN($J177)+1)/($J177:$AVW177="T"),1)),"")</f>
        <v>46004</v>
      </c>
      <c r="H177" s="79">
        <f>COUNTIF($J177:$AVV177,"T")</f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 t="s">
        <v>12</v>
      </c>
      <c r="X177" s="101"/>
      <c r="Y177" s="101"/>
      <c r="Z177" s="27"/>
      <c r="AA177" s="28"/>
      <c r="AB177" s="27"/>
      <c r="AC177" s="27"/>
      <c r="AD177" s="29" t="s">
        <v>16</v>
      </c>
      <c r="AE177" s="30" t="s">
        <v>13</v>
      </c>
      <c r="AF177" s="27"/>
      <c r="AG177" s="27"/>
      <c r="AH177" s="28"/>
      <c r="AI177" s="27"/>
      <c r="AJ177" s="27"/>
      <c r="AK177" s="29" t="s">
        <v>14</v>
      </c>
      <c r="AL177" s="30" t="s">
        <v>11</v>
      </c>
      <c r="AM177" s="27"/>
      <c r="AN177" s="27"/>
      <c r="AO177" s="28"/>
      <c r="AP177" s="37"/>
      <c r="AQ177" s="29" t="s">
        <v>15</v>
      </c>
      <c r="AR177" s="27"/>
      <c r="AS177" s="27"/>
      <c r="AT177" s="25">
        <v>17</v>
      </c>
      <c r="AU177" s="25"/>
      <c r="AV177" s="25"/>
      <c r="AW177" s="25"/>
      <c r="AX177" s="33"/>
      <c r="AY177" s="33"/>
      <c r="AZ177" s="33" t="s">
        <v>12</v>
      </c>
      <c r="BA177" s="101"/>
      <c r="BB177" s="101"/>
      <c r="BC177" s="27"/>
      <c r="BD177" s="28"/>
      <c r="BE177" s="27"/>
      <c r="BF177" s="27"/>
      <c r="BG177" s="29" t="s">
        <v>16</v>
      </c>
      <c r="BH177" s="30" t="s">
        <v>13</v>
      </c>
      <c r="BI177" s="27"/>
      <c r="BJ177" s="27"/>
      <c r="BK177" s="28"/>
      <c r="BL177" s="27"/>
      <c r="BM177" s="27"/>
      <c r="BN177" s="29" t="s">
        <v>14</v>
      </c>
      <c r="BO177" s="30" t="s">
        <v>11</v>
      </c>
      <c r="BP177" s="27"/>
      <c r="BQ177" s="37"/>
      <c r="BR177" s="28"/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309</v>
      </c>
      <c r="C178" s="25" t="s">
        <v>548</v>
      </c>
      <c r="D178" s="25">
        <v>190</v>
      </c>
      <c r="E178" s="35" cm="1">
        <f t="array" ref="E178">IFERROR(INDEX($J$5:$AVX$5, _xlfn.AGGREGATE(15,6, COLUMN(J178:AVX178)-COLUMN(J178)+1 / (J178:AVX178="T"), F178)), "")</f>
        <v>46004</v>
      </c>
      <c r="F178" s="76">
        <f>$A$2</f>
        <v>2</v>
      </c>
      <c r="G178" s="35" cm="1">
        <f t="array" ref="G178">IFERROR(INDEX($J$5:$AVW$5,_xlfn.AGGREGATE(14,6,(COLUMN($J178:$AVW178)-COLUMN($J178)+1)/($J178:$AVW178="T"),1)),"")</f>
        <v>46004</v>
      </c>
      <c r="H178" s="79">
        <f>COUNTIF($J178:$AVV178,"T")</f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 t="s">
        <v>12</v>
      </c>
      <c r="X178" s="101"/>
      <c r="Y178" s="101"/>
      <c r="Z178" s="27"/>
      <c r="AA178" s="28"/>
      <c r="AB178" s="27"/>
      <c r="AC178" s="27"/>
      <c r="AD178" s="29" t="s">
        <v>16</v>
      </c>
      <c r="AE178" s="30" t="s">
        <v>13</v>
      </c>
      <c r="AF178" s="27"/>
      <c r="AG178" s="27"/>
      <c r="AH178" s="28"/>
      <c r="AI178" s="27"/>
      <c r="AJ178" s="27"/>
      <c r="AK178" s="29" t="s">
        <v>14</v>
      </c>
      <c r="AL178" s="30" t="s">
        <v>11</v>
      </c>
      <c r="AM178" s="27"/>
      <c r="AN178" s="27"/>
      <c r="AO178" s="28"/>
      <c r="AP178" s="37"/>
      <c r="AQ178" s="29" t="s">
        <v>15</v>
      </c>
      <c r="AR178" s="27"/>
      <c r="AS178" s="27"/>
      <c r="AT178" s="25">
        <v>17</v>
      </c>
      <c r="AU178" s="25"/>
      <c r="AV178" s="25"/>
      <c r="AW178" s="25"/>
      <c r="AX178" s="33"/>
      <c r="AY178" s="33"/>
      <c r="AZ178" s="33" t="s">
        <v>12</v>
      </c>
      <c r="BA178" s="101"/>
      <c r="BB178" s="101"/>
      <c r="BC178" s="27"/>
      <c r="BD178" s="28"/>
      <c r="BE178" s="27"/>
      <c r="BF178" s="27"/>
      <c r="BG178" s="29" t="s">
        <v>16</v>
      </c>
      <c r="BH178" s="30" t="s">
        <v>13</v>
      </c>
      <c r="BI178" s="27"/>
      <c r="BJ178" s="27"/>
      <c r="BK178" s="28"/>
      <c r="BL178" s="27"/>
      <c r="BM178" s="27"/>
      <c r="BN178" s="29" t="s">
        <v>14</v>
      </c>
      <c r="BO178" s="30" t="s">
        <v>11</v>
      </c>
      <c r="BP178" s="27"/>
      <c r="BQ178" s="37"/>
      <c r="BR178" s="28"/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310</v>
      </c>
      <c r="C179" s="25" t="s">
        <v>549</v>
      </c>
      <c r="D179" s="25">
        <v>191</v>
      </c>
      <c r="E179" s="35" cm="1">
        <f t="array" ref="E179">IFERROR(INDEX($J$5:$AVX$5, _xlfn.AGGREGATE(15,6, COLUMN(J179:AVX179)-COLUMN(J179)+1 / (J179:AVX179="T"), F179)), "")</f>
        <v>46004</v>
      </c>
      <c r="F179" s="76">
        <f>$A$2</f>
        <v>2</v>
      </c>
      <c r="G179" s="35" cm="1">
        <f t="array" ref="G179">IFERROR(INDEX($J$5:$AVW$5,_xlfn.AGGREGATE(14,6,(COLUMN($J179:$AVW179)-COLUMN($J179)+1)/($J179:$AVW179="T"),1)),"")</f>
        <v>46004</v>
      </c>
      <c r="H179" s="79">
        <f>COUNTIF($J179:$AVV179,"T")</f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 t="s">
        <v>12</v>
      </c>
      <c r="X179" s="101"/>
      <c r="Y179" s="101"/>
      <c r="Z179" s="27"/>
      <c r="AA179" s="28"/>
      <c r="AB179" s="27"/>
      <c r="AC179" s="27"/>
      <c r="AD179" s="29" t="s">
        <v>16</v>
      </c>
      <c r="AE179" s="30" t="s">
        <v>13</v>
      </c>
      <c r="AF179" s="27"/>
      <c r="AG179" s="27"/>
      <c r="AH179" s="28"/>
      <c r="AI179" s="27"/>
      <c r="AJ179" s="27"/>
      <c r="AK179" s="29" t="s">
        <v>14</v>
      </c>
      <c r="AL179" s="30" t="s">
        <v>11</v>
      </c>
      <c r="AM179" s="27"/>
      <c r="AN179" s="27"/>
      <c r="AO179" s="28"/>
      <c r="AP179" s="37"/>
      <c r="AQ179" s="29" t="s">
        <v>15</v>
      </c>
      <c r="AR179" s="27"/>
      <c r="AS179" s="27"/>
      <c r="AT179" s="25">
        <v>17</v>
      </c>
      <c r="AU179" s="25"/>
      <c r="AV179" s="25"/>
      <c r="AW179" s="25"/>
      <c r="AX179" s="33"/>
      <c r="AY179" s="33"/>
      <c r="AZ179" s="33" t="s">
        <v>12</v>
      </c>
      <c r="BA179" s="101"/>
      <c r="BB179" s="101"/>
      <c r="BC179" s="27"/>
      <c r="BD179" s="28"/>
      <c r="BE179" s="27"/>
      <c r="BF179" s="27"/>
      <c r="BG179" s="29" t="s">
        <v>16</v>
      </c>
      <c r="BH179" s="30" t="s">
        <v>13</v>
      </c>
      <c r="BI179" s="27"/>
      <c r="BJ179" s="27"/>
      <c r="BK179" s="28"/>
      <c r="BL179" s="27"/>
      <c r="BM179" s="27"/>
      <c r="BN179" s="29" t="s">
        <v>14</v>
      </c>
      <c r="BO179" s="30" t="s">
        <v>11</v>
      </c>
      <c r="BP179" s="27"/>
      <c r="BQ179" s="37"/>
      <c r="BR179" s="28"/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311</v>
      </c>
      <c r="C180" s="25" t="s">
        <v>550</v>
      </c>
      <c r="D180" s="25">
        <v>192</v>
      </c>
      <c r="E180" s="35" cm="1">
        <f t="array" ref="E180">IFERROR(INDEX($J$5:$AVX$5, _xlfn.AGGREGATE(15,6, COLUMN(J180:AVX180)-COLUMN(J180)+1 / (J180:AVX180="T"), F180)), "")</f>
        <v>46004</v>
      </c>
      <c r="F180" s="76">
        <f>$A$2</f>
        <v>2</v>
      </c>
      <c r="G180" s="35" cm="1">
        <f t="array" ref="G180">IFERROR(INDEX($J$5:$AVW$5,_xlfn.AGGREGATE(14,6,(COLUMN($J180:$AVW180)-COLUMN($J180)+1)/($J180:$AVW180="T"),1)),"")</f>
        <v>46004</v>
      </c>
      <c r="H180" s="79">
        <f>COUNTIF($J180:$AVV180,"T")</f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 t="s">
        <v>12</v>
      </c>
      <c r="X180" s="101"/>
      <c r="Y180" s="101"/>
      <c r="Z180" s="27"/>
      <c r="AA180" s="28"/>
      <c r="AB180" s="27"/>
      <c r="AC180" s="27"/>
      <c r="AD180" s="29" t="s">
        <v>16</v>
      </c>
      <c r="AE180" s="30" t="s">
        <v>13</v>
      </c>
      <c r="AF180" s="27"/>
      <c r="AG180" s="27"/>
      <c r="AH180" s="28"/>
      <c r="AI180" s="27"/>
      <c r="AJ180" s="27"/>
      <c r="AK180" s="29" t="s">
        <v>14</v>
      </c>
      <c r="AL180" s="30" t="s">
        <v>11</v>
      </c>
      <c r="AM180" s="27"/>
      <c r="AN180" s="27"/>
      <c r="AO180" s="28"/>
      <c r="AP180" s="37"/>
      <c r="AQ180" s="29" t="s">
        <v>15</v>
      </c>
      <c r="AR180" s="27"/>
      <c r="AS180" s="27"/>
      <c r="AT180" s="25">
        <v>17</v>
      </c>
      <c r="AU180" s="25"/>
      <c r="AV180" s="25"/>
      <c r="AW180" s="25"/>
      <c r="AX180" s="33"/>
      <c r="AY180" s="33"/>
      <c r="AZ180" s="33" t="s">
        <v>12</v>
      </c>
      <c r="BA180" s="101"/>
      <c r="BB180" s="101"/>
      <c r="BC180" s="27"/>
      <c r="BD180" s="28"/>
      <c r="BE180" s="27"/>
      <c r="BF180" s="27"/>
      <c r="BG180" s="29" t="s">
        <v>16</v>
      </c>
      <c r="BH180" s="30" t="s">
        <v>13</v>
      </c>
      <c r="BI180" s="27"/>
      <c r="BJ180" s="27"/>
      <c r="BK180" s="28"/>
      <c r="BL180" s="27"/>
      <c r="BM180" s="27"/>
      <c r="BN180" s="29" t="s">
        <v>14</v>
      </c>
      <c r="BO180" s="30" t="s">
        <v>11</v>
      </c>
      <c r="BP180" s="27"/>
      <c r="BQ180" s="37"/>
      <c r="BR180" s="28"/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312</v>
      </c>
      <c r="C181" s="25" t="s">
        <v>551</v>
      </c>
      <c r="D181" s="25">
        <v>193</v>
      </c>
      <c r="E181" s="35" cm="1">
        <f t="array" ref="E181">IFERROR(INDEX($J$5:$AVX$5, _xlfn.AGGREGATE(15,6, COLUMN(J181:AVX181)-COLUMN(J181)+1 / (J181:AVX181="T"), F181)), "")</f>
        <v>46004</v>
      </c>
      <c r="F181" s="76">
        <f>$A$2</f>
        <v>2</v>
      </c>
      <c r="G181" s="35" cm="1">
        <f t="array" ref="G181">IFERROR(INDEX($J$5:$AVW$5,_xlfn.AGGREGATE(14,6,(COLUMN($J181:$AVW181)-COLUMN($J181)+1)/($J181:$AVW181="T"),1)),"")</f>
        <v>46004</v>
      </c>
      <c r="H181" s="79">
        <f>COUNTIF($J181:$AVV181,"T")</f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 t="s">
        <v>12</v>
      </c>
      <c r="X181" s="101"/>
      <c r="Y181" s="101"/>
      <c r="Z181" s="27"/>
      <c r="AA181" s="28"/>
      <c r="AB181" s="27"/>
      <c r="AC181" s="27"/>
      <c r="AD181" s="29" t="s">
        <v>16</v>
      </c>
      <c r="AE181" s="30" t="s">
        <v>13</v>
      </c>
      <c r="AF181" s="27"/>
      <c r="AG181" s="27"/>
      <c r="AH181" s="28"/>
      <c r="AI181" s="27"/>
      <c r="AJ181" s="27"/>
      <c r="AK181" s="29" t="s">
        <v>14</v>
      </c>
      <c r="AL181" s="30" t="s">
        <v>11</v>
      </c>
      <c r="AM181" s="27"/>
      <c r="AN181" s="27"/>
      <c r="AO181" s="28"/>
      <c r="AP181" s="37"/>
      <c r="AQ181" s="29" t="s">
        <v>15</v>
      </c>
      <c r="AR181" s="27"/>
      <c r="AS181" s="27"/>
      <c r="AT181" s="25">
        <v>17</v>
      </c>
      <c r="AU181" s="25"/>
      <c r="AV181" s="25"/>
      <c r="AW181" s="25"/>
      <c r="AX181" s="33"/>
      <c r="AY181" s="33"/>
      <c r="AZ181" s="33" t="s">
        <v>12</v>
      </c>
      <c r="BA181" s="101"/>
      <c r="BB181" s="101"/>
      <c r="BC181" s="27"/>
      <c r="BD181" s="28"/>
      <c r="BE181" s="27"/>
      <c r="BF181" s="27"/>
      <c r="BG181" s="29" t="s">
        <v>16</v>
      </c>
      <c r="BH181" s="30" t="s">
        <v>13</v>
      </c>
      <c r="BI181" s="27"/>
      <c r="BJ181" s="27"/>
      <c r="BK181" s="28"/>
      <c r="BL181" s="27"/>
      <c r="BM181" s="27"/>
      <c r="BN181" s="29" t="s">
        <v>14</v>
      </c>
      <c r="BO181" s="30" t="s">
        <v>11</v>
      </c>
      <c r="BP181" s="27"/>
      <c r="BQ181" s="37"/>
      <c r="BR181" s="28"/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298</v>
      </c>
      <c r="C182" s="25" t="s">
        <v>537</v>
      </c>
      <c r="D182" s="25">
        <v>179</v>
      </c>
      <c r="E182" s="35" cm="1">
        <f t="array" ref="E182">IFERROR(INDEX($J$5:$AVX$5, _xlfn.AGGREGATE(15,6, COLUMN(J182:AVX182)-COLUMN(J182)+1 / (J182:AVX182="T"), F182)), "")</f>
        <v>46005</v>
      </c>
      <c r="F182" s="76">
        <f>$A$2</f>
        <v>2</v>
      </c>
      <c r="G182" s="35" cm="1">
        <f t="array" ref="G182">IFERROR(INDEX($J$5:$AVW$5,_xlfn.AGGREGATE(14,6,(COLUMN($J182:$AVW182)-COLUMN($J182)+1)/($J182:$AVW182="T"),1)),"")</f>
        <v>46005</v>
      </c>
      <c r="H182" s="79">
        <f>COUNTIF($J182:$AVV182,"T")</f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 t="s">
        <v>12</v>
      </c>
      <c r="Y182" s="101"/>
      <c r="Z182" s="101"/>
      <c r="AA182" s="27"/>
      <c r="AB182" s="28"/>
      <c r="AC182" s="27"/>
      <c r="AD182" s="27"/>
      <c r="AE182" s="29" t="s">
        <v>16</v>
      </c>
      <c r="AF182" s="30" t="s">
        <v>13</v>
      </c>
      <c r="AG182" s="27"/>
      <c r="AH182" s="27"/>
      <c r="AI182" s="28"/>
      <c r="AJ182" s="27"/>
      <c r="AK182" s="27"/>
      <c r="AL182" s="29" t="s">
        <v>14</v>
      </c>
      <c r="AM182" s="30" t="s">
        <v>11</v>
      </c>
      <c r="AN182" s="27"/>
      <c r="AO182" s="37"/>
      <c r="AP182" s="28"/>
      <c r="AQ182" s="27"/>
      <c r="AR182" s="29" t="s">
        <v>15</v>
      </c>
      <c r="AS182" s="27"/>
      <c r="AT182" s="27"/>
      <c r="AU182" s="25">
        <v>17</v>
      </c>
      <c r="AV182" s="25"/>
      <c r="AW182" s="25"/>
      <c r="AX182" s="25"/>
      <c r="AY182" s="33"/>
      <c r="AZ182" s="33"/>
      <c r="BA182" s="33" t="s">
        <v>12</v>
      </c>
      <c r="BB182" s="101"/>
      <c r="BC182" s="101"/>
      <c r="BD182" s="27"/>
      <c r="BE182" s="28"/>
      <c r="BF182" s="27"/>
      <c r="BG182" s="27"/>
      <c r="BH182" s="29" t="s">
        <v>16</v>
      </c>
      <c r="BI182" s="30" t="s">
        <v>13</v>
      </c>
      <c r="BJ182" s="27"/>
      <c r="BK182" s="27"/>
      <c r="BL182" s="28"/>
      <c r="BM182" s="27"/>
      <c r="BN182" s="27"/>
      <c r="BO182" s="29" t="s">
        <v>14</v>
      </c>
      <c r="BP182" s="30" t="s">
        <v>11</v>
      </c>
      <c r="BQ182" s="27"/>
      <c r="BR182" s="37"/>
      <c r="BS182" s="28"/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299</v>
      </c>
      <c r="C183" s="25" t="s">
        <v>538</v>
      </c>
      <c r="D183" s="25">
        <v>180</v>
      </c>
      <c r="E183" s="35" cm="1">
        <f t="array" ref="E183">IFERROR(INDEX($J$5:$AVX$5, _xlfn.AGGREGATE(15,6, COLUMN(J183:AVX183)-COLUMN(J183)+1 / (J183:AVX183="T"), F183)), "")</f>
        <v>46005</v>
      </c>
      <c r="F183" s="76">
        <f>$A$2</f>
        <v>2</v>
      </c>
      <c r="G183" s="35" cm="1">
        <f t="array" ref="G183">IFERROR(INDEX($J$5:$AVW$5,_xlfn.AGGREGATE(14,6,(COLUMN($J183:$AVW183)-COLUMN($J183)+1)/($J183:$AVW183="T"),1)),"")</f>
        <v>46005</v>
      </c>
      <c r="H183" s="79">
        <f>COUNTIF($J183:$AVV183,"T")</f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 t="s">
        <v>12</v>
      </c>
      <c r="Y183" s="101"/>
      <c r="Z183" s="101"/>
      <c r="AA183" s="27"/>
      <c r="AB183" s="28"/>
      <c r="AC183" s="27"/>
      <c r="AD183" s="27"/>
      <c r="AE183" s="29" t="s">
        <v>16</v>
      </c>
      <c r="AF183" s="30" t="s">
        <v>13</v>
      </c>
      <c r="AG183" s="27"/>
      <c r="AH183" s="27"/>
      <c r="AI183" s="28"/>
      <c r="AJ183" s="27"/>
      <c r="AK183" s="27"/>
      <c r="AL183" s="29" t="s">
        <v>14</v>
      </c>
      <c r="AM183" s="30" t="s">
        <v>11</v>
      </c>
      <c r="AN183" s="27"/>
      <c r="AO183" s="27"/>
      <c r="AP183" s="28"/>
      <c r="AQ183" s="37"/>
      <c r="AR183" s="29" t="s">
        <v>15</v>
      </c>
      <c r="AS183" s="27"/>
      <c r="AT183" s="27"/>
      <c r="AU183" s="25">
        <v>17</v>
      </c>
      <c r="AV183" s="25"/>
      <c r="AW183" s="25"/>
      <c r="AX183" s="25"/>
      <c r="AY183" s="33"/>
      <c r="AZ183" s="33"/>
      <c r="BA183" s="33" t="s">
        <v>12</v>
      </c>
      <c r="BB183" s="101"/>
      <c r="BC183" s="101"/>
      <c r="BD183" s="27"/>
      <c r="BE183" s="28"/>
      <c r="BF183" s="27"/>
      <c r="BG183" s="27"/>
      <c r="BH183" s="29" t="s">
        <v>16</v>
      </c>
      <c r="BI183" s="30" t="s">
        <v>13</v>
      </c>
      <c r="BJ183" s="27"/>
      <c r="BK183" s="27"/>
      <c r="BL183" s="28"/>
      <c r="BM183" s="27"/>
      <c r="BN183" s="27"/>
      <c r="BO183" s="29" t="s">
        <v>14</v>
      </c>
      <c r="BP183" s="30" t="s">
        <v>11</v>
      </c>
      <c r="BQ183" s="27"/>
      <c r="BR183" s="37"/>
      <c r="BS183" s="28"/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300</v>
      </c>
      <c r="C184" s="25" t="s">
        <v>539</v>
      </c>
      <c r="D184" s="25">
        <v>181</v>
      </c>
      <c r="E184" s="35" cm="1">
        <f t="array" ref="E184">IFERROR(INDEX($J$5:$AVX$5, _xlfn.AGGREGATE(15,6, COLUMN(J184:AVX184)-COLUMN(J184)+1 / (J184:AVX184="T"), F184)), "")</f>
        <v>46005</v>
      </c>
      <c r="F184" s="76">
        <f>$A$2</f>
        <v>2</v>
      </c>
      <c r="G184" s="35" cm="1">
        <f t="array" ref="G184">IFERROR(INDEX($J$5:$AVW$5,_xlfn.AGGREGATE(14,6,(COLUMN($J184:$AVW184)-COLUMN($J184)+1)/($J184:$AVW184="T"),1)),"")</f>
        <v>46005</v>
      </c>
      <c r="H184" s="79">
        <f>COUNTIF($J184:$AVV184,"T")</f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 t="s">
        <v>12</v>
      </c>
      <c r="Y184" s="101"/>
      <c r="Z184" s="101"/>
      <c r="AA184" s="27"/>
      <c r="AB184" s="28"/>
      <c r="AC184" s="27"/>
      <c r="AD184" s="27"/>
      <c r="AE184" s="29" t="s">
        <v>16</v>
      </c>
      <c r="AF184" s="30" t="s">
        <v>13</v>
      </c>
      <c r="AG184" s="27"/>
      <c r="AH184" s="27"/>
      <c r="AI184" s="28"/>
      <c r="AJ184" s="27"/>
      <c r="AK184" s="27"/>
      <c r="AL184" s="29" t="s">
        <v>14</v>
      </c>
      <c r="AM184" s="30" t="s">
        <v>11</v>
      </c>
      <c r="AN184" s="27"/>
      <c r="AO184" s="27"/>
      <c r="AP184" s="28"/>
      <c r="AQ184" s="37"/>
      <c r="AR184" s="29" t="s">
        <v>15</v>
      </c>
      <c r="AS184" s="27"/>
      <c r="AT184" s="27"/>
      <c r="AU184" s="25">
        <v>17</v>
      </c>
      <c r="AV184" s="25"/>
      <c r="AW184" s="25"/>
      <c r="AX184" s="25"/>
      <c r="AY184" s="33"/>
      <c r="AZ184" s="33"/>
      <c r="BA184" s="33" t="s">
        <v>12</v>
      </c>
      <c r="BB184" s="101"/>
      <c r="BC184" s="101"/>
      <c r="BD184" s="27"/>
      <c r="BE184" s="28"/>
      <c r="BF184" s="27"/>
      <c r="BG184" s="27"/>
      <c r="BH184" s="29" t="s">
        <v>16</v>
      </c>
      <c r="BI184" s="30" t="s">
        <v>13</v>
      </c>
      <c r="BJ184" s="27"/>
      <c r="BK184" s="27"/>
      <c r="BL184" s="28"/>
      <c r="BM184" s="27"/>
      <c r="BN184" s="27"/>
      <c r="BO184" s="29" t="s">
        <v>14</v>
      </c>
      <c r="BP184" s="30" t="s">
        <v>11</v>
      </c>
      <c r="BQ184" s="27"/>
      <c r="BR184" s="37"/>
      <c r="BS184" s="28"/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301</v>
      </c>
      <c r="C185" s="25" t="s">
        <v>540</v>
      </c>
      <c r="D185" s="25">
        <v>182</v>
      </c>
      <c r="E185" s="35" cm="1">
        <f t="array" ref="E185">IFERROR(INDEX($J$5:$AVX$5, _xlfn.AGGREGATE(15,6, COLUMN(J185:AVX185)-COLUMN(J185)+1 / (J185:AVX185="T"), F185)), "")</f>
        <v>46005</v>
      </c>
      <c r="F185" s="76">
        <f>$A$2</f>
        <v>2</v>
      </c>
      <c r="G185" s="35" cm="1">
        <f t="array" ref="G185">IFERROR(INDEX($J$5:$AVW$5,_xlfn.AGGREGATE(14,6,(COLUMN($J185:$AVW185)-COLUMN($J185)+1)/($J185:$AVW185="T"),1)),"")</f>
        <v>46005</v>
      </c>
      <c r="H185" s="79">
        <f>COUNTIF($J185:$AVV185,"T")</f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 t="s">
        <v>12</v>
      </c>
      <c r="Y185" s="101"/>
      <c r="Z185" s="101"/>
      <c r="AA185" s="27"/>
      <c r="AB185" s="28"/>
      <c r="AC185" s="27"/>
      <c r="AD185" s="27"/>
      <c r="AE185" s="29" t="s">
        <v>16</v>
      </c>
      <c r="AF185" s="30" t="s">
        <v>13</v>
      </c>
      <c r="AG185" s="27"/>
      <c r="AH185" s="27"/>
      <c r="AI185" s="28"/>
      <c r="AJ185" s="27"/>
      <c r="AK185" s="27"/>
      <c r="AL185" s="29" t="s">
        <v>14</v>
      </c>
      <c r="AM185" s="30" t="s">
        <v>11</v>
      </c>
      <c r="AN185" s="27"/>
      <c r="AO185" s="27"/>
      <c r="AP185" s="28"/>
      <c r="AQ185" s="37"/>
      <c r="AR185" s="29" t="s">
        <v>15</v>
      </c>
      <c r="AS185" s="27"/>
      <c r="AT185" s="27"/>
      <c r="AU185" s="25">
        <v>17</v>
      </c>
      <c r="AV185" s="25"/>
      <c r="AW185" s="25"/>
      <c r="AX185" s="25"/>
      <c r="AY185" s="33"/>
      <c r="AZ185" s="33"/>
      <c r="BA185" s="33" t="s">
        <v>12</v>
      </c>
      <c r="BB185" s="101"/>
      <c r="BC185" s="101"/>
      <c r="BD185" s="27"/>
      <c r="BE185" s="28"/>
      <c r="BF185" s="27"/>
      <c r="BG185" s="27"/>
      <c r="BH185" s="29" t="s">
        <v>16</v>
      </c>
      <c r="BI185" s="30" t="s">
        <v>13</v>
      </c>
      <c r="BJ185" s="27"/>
      <c r="BK185" s="27"/>
      <c r="BL185" s="28"/>
      <c r="BM185" s="27"/>
      <c r="BN185" s="27"/>
      <c r="BO185" s="29" t="s">
        <v>14</v>
      </c>
      <c r="BP185" s="30" t="s">
        <v>11</v>
      </c>
      <c r="BQ185" s="27"/>
      <c r="BR185" s="37"/>
      <c r="BS185" s="28"/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302</v>
      </c>
      <c r="C186" s="25" t="s">
        <v>541</v>
      </c>
      <c r="D186" s="25">
        <v>183</v>
      </c>
      <c r="E186" s="35" cm="1">
        <f t="array" ref="E186">IFERROR(INDEX($J$5:$AVX$5, _xlfn.AGGREGATE(15,6, COLUMN(J186:AVX186)-COLUMN(J186)+1 / (J186:AVX186="T"), F186)), "")</f>
        <v>46005</v>
      </c>
      <c r="F186" s="76">
        <f>$A$2</f>
        <v>2</v>
      </c>
      <c r="G186" s="35" cm="1">
        <f t="array" ref="G186">IFERROR(INDEX($J$5:$AVW$5,_xlfn.AGGREGATE(14,6,(COLUMN($J186:$AVW186)-COLUMN($J186)+1)/($J186:$AVW186="T"),1)),"")</f>
        <v>46005</v>
      </c>
      <c r="H186" s="79">
        <f>COUNTIF($J186:$AVV186,"T")</f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 t="s">
        <v>12</v>
      </c>
      <c r="Y186" s="101"/>
      <c r="Z186" s="101"/>
      <c r="AA186" s="27"/>
      <c r="AB186" s="28"/>
      <c r="AC186" s="27"/>
      <c r="AD186" s="27"/>
      <c r="AE186" s="29" t="s">
        <v>16</v>
      </c>
      <c r="AF186" s="30" t="s">
        <v>13</v>
      </c>
      <c r="AG186" s="27"/>
      <c r="AH186" s="27"/>
      <c r="AI186" s="28"/>
      <c r="AJ186" s="27"/>
      <c r="AK186" s="27"/>
      <c r="AL186" s="29" t="s">
        <v>14</v>
      </c>
      <c r="AM186" s="30" t="s">
        <v>11</v>
      </c>
      <c r="AN186" s="27"/>
      <c r="AO186" s="27"/>
      <c r="AP186" s="28"/>
      <c r="AQ186" s="37"/>
      <c r="AR186" s="29" t="s">
        <v>15</v>
      </c>
      <c r="AS186" s="27"/>
      <c r="AT186" s="27"/>
      <c r="AU186" s="25">
        <v>17</v>
      </c>
      <c r="AV186" s="25"/>
      <c r="AW186" s="25"/>
      <c r="AX186" s="25"/>
      <c r="AY186" s="33"/>
      <c r="AZ186" s="33"/>
      <c r="BA186" s="33" t="s">
        <v>12</v>
      </c>
      <c r="BB186" s="101"/>
      <c r="BC186" s="101"/>
      <c r="BD186" s="27"/>
      <c r="BE186" s="28"/>
      <c r="BF186" s="27"/>
      <c r="BG186" s="27"/>
      <c r="BH186" s="29" t="s">
        <v>16</v>
      </c>
      <c r="BI186" s="30" t="s">
        <v>13</v>
      </c>
      <c r="BJ186" s="27"/>
      <c r="BK186" s="27"/>
      <c r="BL186" s="28"/>
      <c r="BM186" s="27"/>
      <c r="BN186" s="27"/>
      <c r="BO186" s="29" t="s">
        <v>14</v>
      </c>
      <c r="BP186" s="30" t="s">
        <v>11</v>
      </c>
      <c r="BQ186" s="27"/>
      <c r="BR186" s="37"/>
      <c r="BS186" s="28"/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303</v>
      </c>
      <c r="C187" s="25" t="s">
        <v>542</v>
      </c>
      <c r="D187" s="25">
        <v>184</v>
      </c>
      <c r="E187" s="35" cm="1">
        <f t="array" ref="E187">IFERROR(INDEX($J$5:$AVX$5, _xlfn.AGGREGATE(15,6, COLUMN(J187:AVX187)-COLUMN(J187)+1 / (J187:AVX187="T"), F187)), "")</f>
        <v>46005</v>
      </c>
      <c r="F187" s="76">
        <f>$A$2</f>
        <v>2</v>
      </c>
      <c r="G187" s="35" cm="1">
        <f t="array" ref="G187">IFERROR(INDEX($J$5:$AVW$5,_xlfn.AGGREGATE(14,6,(COLUMN($J187:$AVW187)-COLUMN($J187)+1)/($J187:$AVW187="T"),1)),"")</f>
        <v>46005</v>
      </c>
      <c r="H187" s="79">
        <f>COUNTIF($J187:$AVV187,"T")</f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 t="s">
        <v>12</v>
      </c>
      <c r="Y187" s="101"/>
      <c r="Z187" s="101"/>
      <c r="AA187" s="27"/>
      <c r="AB187" s="28"/>
      <c r="AC187" s="27"/>
      <c r="AD187" s="27"/>
      <c r="AE187" s="29" t="s">
        <v>16</v>
      </c>
      <c r="AF187" s="30" t="s">
        <v>13</v>
      </c>
      <c r="AG187" s="27"/>
      <c r="AH187" s="27"/>
      <c r="AI187" s="28"/>
      <c r="AJ187" s="27"/>
      <c r="AK187" s="27"/>
      <c r="AL187" s="29" t="s">
        <v>14</v>
      </c>
      <c r="AM187" s="30" t="s">
        <v>11</v>
      </c>
      <c r="AN187" s="27"/>
      <c r="AO187" s="27"/>
      <c r="AP187" s="28"/>
      <c r="AQ187" s="37"/>
      <c r="AR187" s="29" t="s">
        <v>15</v>
      </c>
      <c r="AS187" s="27"/>
      <c r="AT187" s="27"/>
      <c r="AU187" s="25">
        <v>17</v>
      </c>
      <c r="AV187" s="25"/>
      <c r="AW187" s="25"/>
      <c r="AX187" s="25"/>
      <c r="AY187" s="33"/>
      <c r="AZ187" s="33"/>
      <c r="BA187" s="33" t="s">
        <v>12</v>
      </c>
      <c r="BB187" s="101"/>
      <c r="BC187" s="101"/>
      <c r="BD187" s="27"/>
      <c r="BE187" s="28"/>
      <c r="BF187" s="27"/>
      <c r="BG187" s="27"/>
      <c r="BH187" s="29" t="s">
        <v>16</v>
      </c>
      <c r="BI187" s="30" t="s">
        <v>13</v>
      </c>
      <c r="BJ187" s="27"/>
      <c r="BK187" s="27"/>
      <c r="BL187" s="28"/>
      <c r="BM187" s="27"/>
      <c r="BN187" s="27"/>
      <c r="BO187" s="29" t="s">
        <v>14</v>
      </c>
      <c r="BP187" s="30" t="s">
        <v>11</v>
      </c>
      <c r="BQ187" s="27"/>
      <c r="BR187" s="37"/>
      <c r="BS187" s="28"/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304</v>
      </c>
      <c r="C188" s="25" t="s">
        <v>543</v>
      </c>
      <c r="D188" s="25">
        <v>185</v>
      </c>
      <c r="E188" s="35" cm="1">
        <f t="array" ref="E188">IFERROR(INDEX($J$5:$AVX$5, _xlfn.AGGREGATE(15,6, COLUMN(J188:AVX188)-COLUMN(J188)+1 / (J188:AVX188="T"), F188)), "")</f>
        <v>46005</v>
      </c>
      <c r="F188" s="76">
        <f>$A$2</f>
        <v>2</v>
      </c>
      <c r="G188" s="35" cm="1">
        <f t="array" ref="G188">IFERROR(INDEX($J$5:$AVW$5,_xlfn.AGGREGATE(14,6,(COLUMN($J188:$AVW188)-COLUMN($J188)+1)/($J188:$AVW188="T"),1)),"")</f>
        <v>46005</v>
      </c>
      <c r="H188" s="79">
        <f>COUNTIF($J188:$AVV188,"T")</f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 t="s">
        <v>12</v>
      </c>
      <c r="Y188" s="101"/>
      <c r="Z188" s="101"/>
      <c r="AA188" s="27"/>
      <c r="AB188" s="28"/>
      <c r="AC188" s="27"/>
      <c r="AD188" s="27"/>
      <c r="AE188" s="29" t="s">
        <v>16</v>
      </c>
      <c r="AF188" s="30" t="s">
        <v>13</v>
      </c>
      <c r="AG188" s="27"/>
      <c r="AH188" s="27"/>
      <c r="AI188" s="28"/>
      <c r="AJ188" s="27"/>
      <c r="AK188" s="27"/>
      <c r="AL188" s="29" t="s">
        <v>14</v>
      </c>
      <c r="AM188" s="30" t="s">
        <v>11</v>
      </c>
      <c r="AN188" s="27"/>
      <c r="AO188" s="27"/>
      <c r="AP188" s="28"/>
      <c r="AQ188" s="37"/>
      <c r="AR188" s="29" t="s">
        <v>15</v>
      </c>
      <c r="AS188" s="27"/>
      <c r="AT188" s="27"/>
      <c r="AU188" s="25">
        <v>17</v>
      </c>
      <c r="AV188" s="25"/>
      <c r="AW188" s="25"/>
      <c r="AX188" s="25"/>
      <c r="AY188" s="33"/>
      <c r="AZ188" s="33"/>
      <c r="BA188" s="33" t="s">
        <v>12</v>
      </c>
      <c r="BB188" s="101"/>
      <c r="BC188" s="101"/>
      <c r="BD188" s="27"/>
      <c r="BE188" s="28"/>
      <c r="BF188" s="27"/>
      <c r="BG188" s="27"/>
      <c r="BH188" s="29" t="s">
        <v>16</v>
      </c>
      <c r="BI188" s="30" t="s">
        <v>13</v>
      </c>
      <c r="BJ188" s="27"/>
      <c r="BK188" s="27"/>
      <c r="BL188" s="28"/>
      <c r="BM188" s="27"/>
      <c r="BN188" s="27"/>
      <c r="BO188" s="29" t="s">
        <v>14</v>
      </c>
      <c r="BP188" s="30" t="s">
        <v>11</v>
      </c>
      <c r="BQ188" s="27"/>
      <c r="BR188" s="37"/>
      <c r="BS188" s="28"/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hidden="1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>$A$2</f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>COUNTIF($J189:$AVV189,"T")</f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hidden="1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>$A$2</f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>COUNTIF($J190:$AVV190,"T")</f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hidden="1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>$A$2</f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>COUNTIF($J191:$AVV191,"T")</f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305</v>
      </c>
      <c r="C192" s="25" t="s">
        <v>544</v>
      </c>
      <c r="D192" s="25">
        <v>186</v>
      </c>
      <c r="E192" s="35" cm="1">
        <f t="array" ref="E192">IFERROR(INDEX($J$5:$AVX$5, _xlfn.AGGREGATE(15,6, COLUMN(J192:AVX192)-COLUMN(J192)+1 / (J192:AVX192="T"), F192)), "")</f>
        <v>46005</v>
      </c>
      <c r="F192" s="76">
        <f>$A$2</f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>COUNTIF($J192:$AVV192,"T")</f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267</v>
      </c>
      <c r="C193" s="25" t="s">
        <v>513</v>
      </c>
      <c r="D193" s="25">
        <v>155</v>
      </c>
      <c r="E193" s="35" cm="1">
        <f t="array" ref="E193">IFERROR(INDEX($J$5:$AVX$5, _xlfn.AGGREGATE(15,6, COLUMN(J193:AVX193)-COLUMN(J193)+1 / (J193:AVX193="T"), F193)), "")</f>
        <v>46006</v>
      </c>
      <c r="F193" s="76">
        <f>$A$2</f>
        <v>2</v>
      </c>
      <c r="G193" s="35" cm="1">
        <f t="array" ref="G193">IFERROR(INDEX($J$5:$AVW$5,_xlfn.AGGREGATE(14,6,(COLUMN($J193:$AVW193)-COLUMN($J193)+1)/($J193:$AVW193="T"),1)),"")</f>
        <v>46006</v>
      </c>
      <c r="H193" s="79">
        <f>COUNTIF($J193:$AVV193,"T")</f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/>
      <c r="Y193" s="25" t="s">
        <v>12</v>
      </c>
      <c r="Z193" s="27"/>
      <c r="AA193" s="27"/>
      <c r="AB193" s="27"/>
      <c r="AC193" s="28"/>
      <c r="AD193" s="27"/>
      <c r="AE193" s="27"/>
      <c r="AF193" s="29" t="s">
        <v>16</v>
      </c>
      <c r="AG193" s="30" t="s">
        <v>13</v>
      </c>
      <c r="AH193" s="27"/>
      <c r="AI193" s="27"/>
      <c r="AJ193" s="28"/>
      <c r="AK193" s="27"/>
      <c r="AL193" s="37"/>
      <c r="AM193" s="29" t="s">
        <v>14</v>
      </c>
      <c r="AN193" s="30" t="s">
        <v>11</v>
      </c>
      <c r="AO193" s="27"/>
      <c r="AP193" s="27"/>
      <c r="AQ193" s="28"/>
      <c r="AR193" s="27"/>
      <c r="AS193" s="29" t="s">
        <v>15</v>
      </c>
      <c r="AT193" s="27"/>
      <c r="AU193" s="27"/>
      <c r="AV193" s="33">
        <v>17</v>
      </c>
      <c r="AW193" s="33"/>
      <c r="AX193" s="33"/>
      <c r="AY193" s="33"/>
      <c r="AZ193" s="33"/>
      <c r="BA193" s="25"/>
      <c r="BB193" s="25" t="s">
        <v>12</v>
      </c>
      <c r="BC193" s="27"/>
      <c r="BD193" s="27"/>
      <c r="BE193" s="27"/>
      <c r="BF193" s="28"/>
      <c r="BG193" s="27"/>
      <c r="BH193" s="27"/>
      <c r="BI193" s="29" t="s">
        <v>16</v>
      </c>
      <c r="BJ193" s="30" t="s">
        <v>13</v>
      </c>
      <c r="BK193" s="27"/>
      <c r="BL193" s="27"/>
      <c r="BM193" s="28"/>
      <c r="BN193" s="27"/>
      <c r="BO193" s="37"/>
      <c r="BP193" s="29" t="s">
        <v>14</v>
      </c>
      <c r="BQ193" s="30" t="s">
        <v>11</v>
      </c>
      <c r="BR193" s="27"/>
      <c r="BS193" s="27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268</v>
      </c>
      <c r="C194" s="25" t="s">
        <v>514</v>
      </c>
      <c r="D194" s="25">
        <v>156</v>
      </c>
      <c r="E194" s="35" cm="1">
        <f t="array" ref="E194">IFERROR(INDEX($J$5:$AVX$5, _xlfn.AGGREGATE(15,6, COLUMN(J194:AVX194)-COLUMN(J194)+1 / (J194:AVX194="T"), F194)), "")</f>
        <v>46006</v>
      </c>
      <c r="F194" s="76">
        <f>$A$2</f>
        <v>2</v>
      </c>
      <c r="G194" s="35" cm="1">
        <f t="array" ref="G194">IFERROR(INDEX($J$5:$AVW$5,_xlfn.AGGREGATE(14,6,(COLUMN($J194:$AVW194)-COLUMN($J194)+1)/($J194:$AVW194="T"),1)),"")</f>
        <v>46006</v>
      </c>
      <c r="H194" s="79">
        <f>COUNTIF($J194:$AVV194,"T")</f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/>
      <c r="Y194" s="25" t="s">
        <v>12</v>
      </c>
      <c r="Z194" s="27"/>
      <c r="AA194" s="27"/>
      <c r="AB194" s="27"/>
      <c r="AC194" s="28"/>
      <c r="AD194" s="27"/>
      <c r="AE194" s="27"/>
      <c r="AF194" s="29" t="s">
        <v>16</v>
      </c>
      <c r="AG194" s="30" t="s">
        <v>13</v>
      </c>
      <c r="AH194" s="27"/>
      <c r="AI194" s="27"/>
      <c r="AJ194" s="28"/>
      <c r="AK194" s="27"/>
      <c r="AL194" s="27"/>
      <c r="AM194" s="29" t="s">
        <v>14</v>
      </c>
      <c r="AN194" s="103" t="s">
        <v>11</v>
      </c>
      <c r="AO194" s="27"/>
      <c r="AP194" s="27"/>
      <c r="AQ194" s="28"/>
      <c r="AR194" s="27"/>
      <c r="AS194" s="29" t="s">
        <v>15</v>
      </c>
      <c r="AT194" s="27"/>
      <c r="AU194" s="27"/>
      <c r="AV194" s="33">
        <v>17</v>
      </c>
      <c r="AW194" s="33"/>
      <c r="AX194" s="33"/>
      <c r="AY194" s="33"/>
      <c r="AZ194" s="33"/>
      <c r="BA194" s="25"/>
      <c r="BB194" s="25" t="s">
        <v>12</v>
      </c>
      <c r="BC194" s="27"/>
      <c r="BD194" s="27"/>
      <c r="BE194" s="27"/>
      <c r="BF194" s="28"/>
      <c r="BG194" s="27"/>
      <c r="BH194" s="27"/>
      <c r="BI194" s="29" t="s">
        <v>16</v>
      </c>
      <c r="BJ194" s="30" t="s">
        <v>13</v>
      </c>
      <c r="BK194" s="27"/>
      <c r="BL194" s="27"/>
      <c r="BM194" s="28"/>
      <c r="BN194" s="27"/>
      <c r="BO194" s="37"/>
      <c r="BP194" s="29" t="s">
        <v>14</v>
      </c>
      <c r="BQ194" s="30" t="s">
        <v>11</v>
      </c>
      <c r="BR194" s="27"/>
      <c r="BS194" s="27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269</v>
      </c>
      <c r="C195" s="25" t="s">
        <v>515</v>
      </c>
      <c r="D195" s="25">
        <v>157</v>
      </c>
      <c r="E195" s="35" cm="1">
        <f t="array" ref="E195">IFERROR(INDEX($J$5:$AVX$5, _xlfn.AGGREGATE(15,6, COLUMN(J195:AVX195)-COLUMN(J195)+1 / (J195:AVX195="T"), F195)), "")</f>
        <v>46006</v>
      </c>
      <c r="F195" s="76">
        <f>$A$2</f>
        <v>2</v>
      </c>
      <c r="G195" s="35" cm="1">
        <f t="array" ref="G195">IFERROR(INDEX($J$5:$AVW$5,_xlfn.AGGREGATE(14,6,(COLUMN($J195:$AVW195)-COLUMN($J195)+1)/($J195:$AVW195="T"),1)),"")</f>
        <v>46006</v>
      </c>
      <c r="H195" s="79">
        <f>COUNTIF($J195:$AVV195,"T")</f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/>
      <c r="Y195" s="25" t="s">
        <v>12</v>
      </c>
      <c r="Z195" s="27"/>
      <c r="AA195" s="27"/>
      <c r="AB195" s="27"/>
      <c r="AC195" s="28"/>
      <c r="AD195" s="27"/>
      <c r="AE195" s="27"/>
      <c r="AF195" s="29" t="s">
        <v>16</v>
      </c>
      <c r="AG195" s="30" t="s">
        <v>13</v>
      </c>
      <c r="AH195" s="27"/>
      <c r="AI195" s="27"/>
      <c r="AJ195" s="28"/>
      <c r="AK195" s="27"/>
      <c r="AL195" s="27"/>
      <c r="AM195" s="29" t="s">
        <v>14</v>
      </c>
      <c r="AN195" s="103" t="s">
        <v>11</v>
      </c>
      <c r="AO195" s="27"/>
      <c r="AP195" s="27"/>
      <c r="AQ195" s="28"/>
      <c r="AR195" s="27"/>
      <c r="AS195" s="29" t="s">
        <v>15</v>
      </c>
      <c r="AT195" s="27"/>
      <c r="AU195" s="27"/>
      <c r="AV195" s="33">
        <v>17</v>
      </c>
      <c r="AW195" s="33"/>
      <c r="AX195" s="33"/>
      <c r="AY195" s="33"/>
      <c r="AZ195" s="33"/>
      <c r="BA195" s="25"/>
      <c r="BB195" s="25" t="s">
        <v>12</v>
      </c>
      <c r="BC195" s="27"/>
      <c r="BD195" s="27"/>
      <c r="BE195" s="27"/>
      <c r="BF195" s="28"/>
      <c r="BG195" s="27"/>
      <c r="BH195" s="27"/>
      <c r="BI195" s="29" t="s">
        <v>16</v>
      </c>
      <c r="BJ195" s="30" t="s">
        <v>13</v>
      </c>
      <c r="BK195" s="27"/>
      <c r="BL195" s="27"/>
      <c r="BM195" s="28"/>
      <c r="BN195" s="27"/>
      <c r="BO195" s="37"/>
      <c r="BP195" s="29" t="s">
        <v>14</v>
      </c>
      <c r="BQ195" s="30" t="s">
        <v>11</v>
      </c>
      <c r="BR195" s="27"/>
      <c r="BS195" s="27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270</v>
      </c>
      <c r="C196" s="25" t="s">
        <v>516</v>
      </c>
      <c r="D196" s="25">
        <v>158</v>
      </c>
      <c r="E196" s="35" cm="1">
        <f t="array" ref="E196">IFERROR(INDEX($J$5:$AVX$5, _xlfn.AGGREGATE(15,6, COLUMN(J196:AVX196)-COLUMN(J196)+1 / (J196:AVX196="T"), F196)), "")</f>
        <v>46006</v>
      </c>
      <c r="F196" s="76">
        <f>$A$2</f>
        <v>2</v>
      </c>
      <c r="G196" s="35" cm="1">
        <f t="array" ref="G196">IFERROR(INDEX($J$5:$AVW$5,_xlfn.AGGREGATE(14,6,(COLUMN($J196:$AVW196)-COLUMN($J196)+1)/($J196:$AVW196="T"),1)),"")</f>
        <v>46006</v>
      </c>
      <c r="H196" s="79">
        <f>COUNTIF($J196:$AVV196,"T")</f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/>
      <c r="Y196" s="25" t="s">
        <v>12</v>
      </c>
      <c r="Z196" s="27"/>
      <c r="AA196" s="27"/>
      <c r="AB196" s="27"/>
      <c r="AC196" s="28"/>
      <c r="AD196" s="27"/>
      <c r="AE196" s="27"/>
      <c r="AF196" s="29" t="s">
        <v>16</v>
      </c>
      <c r="AG196" s="30" t="s">
        <v>13</v>
      </c>
      <c r="AH196" s="27"/>
      <c r="AI196" s="27"/>
      <c r="AJ196" s="28"/>
      <c r="AK196" s="27"/>
      <c r="AL196" s="27"/>
      <c r="AM196" s="29" t="s">
        <v>14</v>
      </c>
      <c r="AN196" s="103" t="s">
        <v>11</v>
      </c>
      <c r="AO196" s="27"/>
      <c r="AP196" s="27"/>
      <c r="AQ196" s="28"/>
      <c r="AR196" s="27"/>
      <c r="AS196" s="29" t="s">
        <v>15</v>
      </c>
      <c r="AT196" s="27"/>
      <c r="AU196" s="27"/>
      <c r="AV196" s="33">
        <v>17</v>
      </c>
      <c r="AW196" s="33"/>
      <c r="AX196" s="33"/>
      <c r="AY196" s="33"/>
      <c r="AZ196" s="33"/>
      <c r="BA196" s="25"/>
      <c r="BB196" s="25" t="s">
        <v>12</v>
      </c>
      <c r="BC196" s="27"/>
      <c r="BD196" s="27"/>
      <c r="BE196" s="27"/>
      <c r="BF196" s="28"/>
      <c r="BG196" s="27"/>
      <c r="BH196" s="27"/>
      <c r="BI196" s="29" t="s">
        <v>16</v>
      </c>
      <c r="BJ196" s="30" t="s">
        <v>13</v>
      </c>
      <c r="BK196" s="27"/>
      <c r="BL196" s="27"/>
      <c r="BM196" s="28"/>
      <c r="BN196" s="27"/>
      <c r="BO196" s="37"/>
      <c r="BP196" s="29" t="s">
        <v>14</v>
      </c>
      <c r="BQ196" s="30" t="s">
        <v>11</v>
      </c>
      <c r="BR196" s="27"/>
      <c r="BS196" s="27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271</v>
      </c>
      <c r="C197" s="25" t="s">
        <v>517</v>
      </c>
      <c r="D197" s="25">
        <v>159</v>
      </c>
      <c r="E197" s="35" cm="1">
        <f t="array" ref="E197">IFERROR(INDEX($J$5:$AVX$5, _xlfn.AGGREGATE(15,6, COLUMN(J197:AVX197)-COLUMN(J197)+1 / (J197:AVX197="T"), F197)), "")</f>
        <v>46006</v>
      </c>
      <c r="F197" s="76">
        <f>$A$2</f>
        <v>2</v>
      </c>
      <c r="G197" s="35" cm="1">
        <f t="array" ref="G197">IFERROR(INDEX($J$5:$AVW$5,_xlfn.AGGREGATE(14,6,(COLUMN($J197:$AVW197)-COLUMN($J197)+1)/($J197:$AVW197="T"),1)),"")</f>
        <v>46006</v>
      </c>
      <c r="H197" s="79">
        <f>COUNTIF($J197:$AVV197,"T")</f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/>
      <c r="Y197" s="25" t="s">
        <v>12</v>
      </c>
      <c r="Z197" s="27"/>
      <c r="AA197" s="27"/>
      <c r="AB197" s="27"/>
      <c r="AC197" s="28"/>
      <c r="AD197" s="27"/>
      <c r="AE197" s="27"/>
      <c r="AF197" s="29" t="s">
        <v>16</v>
      </c>
      <c r="AG197" s="30" t="s">
        <v>13</v>
      </c>
      <c r="AH197" s="27"/>
      <c r="AI197" s="27"/>
      <c r="AJ197" s="28"/>
      <c r="AK197" s="27"/>
      <c r="AL197" s="27"/>
      <c r="AM197" s="29" t="s">
        <v>14</v>
      </c>
      <c r="AN197" s="103" t="s">
        <v>11</v>
      </c>
      <c r="AO197" s="27"/>
      <c r="AP197" s="27"/>
      <c r="AQ197" s="28"/>
      <c r="AR197" s="27"/>
      <c r="AS197" s="29" t="s">
        <v>15</v>
      </c>
      <c r="AT197" s="27"/>
      <c r="AU197" s="27"/>
      <c r="AV197" s="33">
        <v>17</v>
      </c>
      <c r="AW197" s="33"/>
      <c r="AX197" s="33"/>
      <c r="AY197" s="33"/>
      <c r="AZ197" s="33"/>
      <c r="BA197" s="25"/>
      <c r="BB197" s="25" t="s">
        <v>12</v>
      </c>
      <c r="BC197" s="27"/>
      <c r="BD197" s="27"/>
      <c r="BE197" s="27"/>
      <c r="BF197" s="28"/>
      <c r="BG197" s="27"/>
      <c r="BH197" s="27"/>
      <c r="BI197" s="29" t="s">
        <v>16</v>
      </c>
      <c r="BJ197" s="30" t="s">
        <v>13</v>
      </c>
      <c r="BK197" s="27"/>
      <c r="BL197" s="27"/>
      <c r="BM197" s="28"/>
      <c r="BN197" s="27"/>
      <c r="BO197" s="37"/>
      <c r="BP197" s="29" t="s">
        <v>14</v>
      </c>
      <c r="BQ197" s="30" t="s">
        <v>11</v>
      </c>
      <c r="BR197" s="27"/>
      <c r="BS197" s="27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272</v>
      </c>
      <c r="C198" s="25" t="s">
        <v>518</v>
      </c>
      <c r="D198" s="25">
        <v>160</v>
      </c>
      <c r="E198" s="35" cm="1">
        <f t="array" ref="E198">IFERROR(INDEX($J$5:$AVX$5, _xlfn.AGGREGATE(15,6, COLUMN(J198:AVX198)-COLUMN(J198)+1 / (J198:AVX198="T"), F198)), "")</f>
        <v>46006</v>
      </c>
      <c r="F198" s="76">
        <f>$A$2</f>
        <v>2</v>
      </c>
      <c r="G198" s="35" cm="1">
        <f t="array" ref="G198">IFERROR(INDEX($J$5:$AVW$5,_xlfn.AGGREGATE(14,6,(COLUMN($J198:$AVW198)-COLUMN($J198)+1)/($J198:$AVW198="T"),1)),"")</f>
        <v>46006</v>
      </c>
      <c r="H198" s="79">
        <f>COUNTIF($J198:$AVV198,"T")</f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/>
      <c r="Y198" s="25" t="s">
        <v>12</v>
      </c>
      <c r="Z198" s="27"/>
      <c r="AA198" s="27"/>
      <c r="AB198" s="27"/>
      <c r="AC198" s="28"/>
      <c r="AD198" s="27"/>
      <c r="AE198" s="27"/>
      <c r="AF198" s="29" t="s">
        <v>16</v>
      </c>
      <c r="AG198" s="30" t="s">
        <v>13</v>
      </c>
      <c r="AH198" s="27"/>
      <c r="AI198" s="27"/>
      <c r="AJ198" s="28"/>
      <c r="AK198" s="27"/>
      <c r="AL198" s="27"/>
      <c r="AM198" s="29" t="s">
        <v>14</v>
      </c>
      <c r="AN198" s="103" t="s">
        <v>11</v>
      </c>
      <c r="AO198" s="27"/>
      <c r="AP198" s="27"/>
      <c r="AQ198" s="28"/>
      <c r="AR198" s="27"/>
      <c r="AS198" s="29" t="s">
        <v>15</v>
      </c>
      <c r="AT198" s="27"/>
      <c r="AU198" s="27"/>
      <c r="AV198" s="33">
        <v>17</v>
      </c>
      <c r="AW198" s="33"/>
      <c r="AX198" s="33"/>
      <c r="AY198" s="33"/>
      <c r="AZ198" s="33"/>
      <c r="BA198" s="25"/>
      <c r="BB198" s="25" t="s">
        <v>12</v>
      </c>
      <c r="BC198" s="27"/>
      <c r="BD198" s="27"/>
      <c r="BE198" s="27"/>
      <c r="BF198" s="28"/>
      <c r="BG198" s="27"/>
      <c r="BH198" s="27"/>
      <c r="BI198" s="29" t="s">
        <v>16</v>
      </c>
      <c r="BJ198" s="30" t="s">
        <v>13</v>
      </c>
      <c r="BK198" s="27"/>
      <c r="BL198" s="27"/>
      <c r="BM198" s="28"/>
      <c r="BN198" s="27"/>
      <c r="BO198" s="37"/>
      <c r="BP198" s="29" t="s">
        <v>14</v>
      </c>
      <c r="BQ198" s="30" t="s">
        <v>11</v>
      </c>
      <c r="BR198" s="27"/>
      <c r="BS198" s="27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273</v>
      </c>
      <c r="C199" s="25" t="s">
        <v>519</v>
      </c>
      <c r="D199" s="25">
        <v>161</v>
      </c>
      <c r="E199" s="35" cm="1">
        <f t="array" ref="E199">IFERROR(INDEX($J$5:$AVX$5, _xlfn.AGGREGATE(15,6, COLUMN(J199:AVX199)-COLUMN(J199)+1 / (J199:AVX199="T"), F199)), "")</f>
        <v>46006</v>
      </c>
      <c r="F199" s="76">
        <f>$A$2</f>
        <v>2</v>
      </c>
      <c r="G199" s="35" cm="1">
        <f t="array" ref="G199">IFERROR(INDEX($J$5:$AVW$5,_xlfn.AGGREGATE(14,6,(COLUMN($J199:$AVW199)-COLUMN($J199)+1)/($J199:$AVW199="T"),1)),"")</f>
        <v>46006</v>
      </c>
      <c r="H199" s="79">
        <f>COUNTIF($J199:$AVV199,"T")</f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/>
      <c r="Y199" s="25" t="s">
        <v>12</v>
      </c>
      <c r="Z199" s="27"/>
      <c r="AA199" s="27"/>
      <c r="AB199" s="27"/>
      <c r="AC199" s="28"/>
      <c r="AD199" s="27"/>
      <c r="AE199" s="27"/>
      <c r="AF199" s="29" t="s">
        <v>16</v>
      </c>
      <c r="AG199" s="30" t="s">
        <v>13</v>
      </c>
      <c r="AH199" s="27"/>
      <c r="AI199" s="27"/>
      <c r="AJ199" s="28"/>
      <c r="AK199" s="27"/>
      <c r="AL199" s="27"/>
      <c r="AM199" s="29" t="s">
        <v>14</v>
      </c>
      <c r="AN199" s="103" t="s">
        <v>11</v>
      </c>
      <c r="AO199" s="27"/>
      <c r="AP199" s="27"/>
      <c r="AQ199" s="28"/>
      <c r="AR199" s="27"/>
      <c r="AS199" s="29" t="s">
        <v>15</v>
      </c>
      <c r="AT199" s="27"/>
      <c r="AU199" s="27"/>
      <c r="AV199" s="33">
        <v>17</v>
      </c>
      <c r="AW199" s="33"/>
      <c r="AX199" s="33"/>
      <c r="AY199" s="33"/>
      <c r="AZ199" s="33"/>
      <c r="BA199" s="25"/>
      <c r="BB199" s="25" t="s">
        <v>12</v>
      </c>
      <c r="BC199" s="27"/>
      <c r="BD199" s="27"/>
      <c r="BE199" s="27"/>
      <c r="BF199" s="28"/>
      <c r="BG199" s="27"/>
      <c r="BH199" s="27"/>
      <c r="BI199" s="29" t="s">
        <v>16</v>
      </c>
      <c r="BJ199" s="30" t="s">
        <v>13</v>
      </c>
      <c r="BK199" s="27"/>
      <c r="BL199" s="27"/>
      <c r="BM199" s="28"/>
      <c r="BN199" s="27"/>
      <c r="BO199" s="37"/>
      <c r="BP199" s="29" t="s">
        <v>14</v>
      </c>
      <c r="BQ199" s="30" t="s">
        <v>11</v>
      </c>
      <c r="BR199" s="27"/>
      <c r="BS199" s="27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274</v>
      </c>
      <c r="C200" s="25" t="s">
        <v>520</v>
      </c>
      <c r="D200" s="25">
        <v>162</v>
      </c>
      <c r="E200" s="35" cm="1">
        <f t="array" ref="E200">IFERROR(INDEX($J$5:$AVX$5, _xlfn.AGGREGATE(15,6, COLUMN(J200:AVX200)-COLUMN(J200)+1 / (J200:AVX200="T"), F200)), "")</f>
        <v>46007</v>
      </c>
      <c r="F200" s="76">
        <f>$A$2</f>
        <v>2</v>
      </c>
      <c r="G200" s="35" cm="1">
        <f t="array" ref="G200">IFERROR(INDEX($J$5:$AVW$5,_xlfn.AGGREGATE(14,6,(COLUMN($J200:$AVW200)-COLUMN($J200)+1)/($J200:$AVW200="T"),1)),"")</f>
        <v>46007</v>
      </c>
      <c r="H200" s="79">
        <f>COUNTIF($J200:$AVV200,"T")</f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/>
      <c r="X200" s="25"/>
      <c r="Y200" s="25"/>
      <c r="Z200" s="25" t="s">
        <v>12</v>
      </c>
      <c r="AA200" s="27"/>
      <c r="AB200" s="27"/>
      <c r="AC200" s="27"/>
      <c r="AD200" s="28"/>
      <c r="AE200" s="27"/>
      <c r="AF200" s="27"/>
      <c r="AG200" s="29" t="s">
        <v>16</v>
      </c>
      <c r="AH200" s="30" t="s">
        <v>13</v>
      </c>
      <c r="AI200" s="27"/>
      <c r="AJ200" s="27"/>
      <c r="AK200" s="102"/>
      <c r="AL200" s="27"/>
      <c r="AM200" s="27"/>
      <c r="AN200" s="29" t="s">
        <v>14</v>
      </c>
      <c r="AO200" s="30" t="s">
        <v>11</v>
      </c>
      <c r="AP200" s="27"/>
      <c r="AQ200" s="27"/>
      <c r="AR200" s="28"/>
      <c r="AS200" s="27"/>
      <c r="AT200" s="29" t="s">
        <v>15</v>
      </c>
      <c r="AU200" s="101"/>
      <c r="AV200" s="101"/>
      <c r="AW200" s="33">
        <v>17</v>
      </c>
      <c r="AX200" s="33"/>
      <c r="AY200" s="33"/>
      <c r="AZ200" s="25"/>
      <c r="BA200" s="25"/>
      <c r="BB200" s="25"/>
      <c r="BC200" s="25" t="s">
        <v>12</v>
      </c>
      <c r="BD200" s="27"/>
      <c r="BE200" s="27"/>
      <c r="BF200" s="27"/>
      <c r="BG200" s="28"/>
      <c r="BH200" s="27"/>
      <c r="BI200" s="27"/>
      <c r="BJ200" s="29" t="s">
        <v>16</v>
      </c>
      <c r="BK200" s="30" t="s">
        <v>13</v>
      </c>
      <c r="BL200" s="27"/>
      <c r="BM200" s="27"/>
      <c r="BN200" s="102"/>
      <c r="BO200" s="27"/>
      <c r="BP200" s="27"/>
      <c r="BQ200" s="29" t="s">
        <v>14</v>
      </c>
      <c r="BR200" s="30" t="s">
        <v>11</v>
      </c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275</v>
      </c>
      <c r="C201" s="25" t="s">
        <v>521</v>
      </c>
      <c r="D201" s="25">
        <v>163</v>
      </c>
      <c r="E201" s="35" cm="1">
        <f t="array" ref="E201">IFERROR(INDEX($J$5:$AVX$5, _xlfn.AGGREGATE(15,6, COLUMN(J201:AVX201)-COLUMN(J201)+1 / (J201:AVX201="T"), F201)), "")</f>
        <v>46007</v>
      </c>
      <c r="F201" s="76">
        <f>$A$2</f>
        <v>2</v>
      </c>
      <c r="G201" s="35" cm="1">
        <f t="array" ref="G201">IFERROR(INDEX($J$5:$AVW$5,_xlfn.AGGREGATE(14,6,(COLUMN($J201:$AVW201)-COLUMN($J201)+1)/($J201:$AVW201="T"),1)),"")</f>
        <v>46007</v>
      </c>
      <c r="H201" s="79">
        <f>COUNTIF($J201:$AVV201,"T")</f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/>
      <c r="X201" s="25"/>
      <c r="Y201" s="25"/>
      <c r="Z201" s="25" t="s">
        <v>12</v>
      </c>
      <c r="AA201" s="27"/>
      <c r="AB201" s="27"/>
      <c r="AC201" s="27"/>
      <c r="AD201" s="28"/>
      <c r="AE201" s="27"/>
      <c r="AF201" s="27"/>
      <c r="AG201" s="29" t="s">
        <v>16</v>
      </c>
      <c r="AH201" s="30" t="s">
        <v>13</v>
      </c>
      <c r="AI201" s="27"/>
      <c r="AJ201" s="27"/>
      <c r="AK201" s="28"/>
      <c r="AL201" s="27"/>
      <c r="AM201" s="37"/>
      <c r="AN201" s="29" t="s">
        <v>14</v>
      </c>
      <c r="AO201" s="30" t="s">
        <v>11</v>
      </c>
      <c r="AP201" s="27"/>
      <c r="AQ201" s="27"/>
      <c r="AR201" s="28"/>
      <c r="AS201" s="27"/>
      <c r="AT201" s="29" t="s">
        <v>15</v>
      </c>
      <c r="AU201" s="101"/>
      <c r="AV201" s="101"/>
      <c r="AW201" s="33">
        <v>17</v>
      </c>
      <c r="AX201" s="33"/>
      <c r="AY201" s="33"/>
      <c r="AZ201" s="25"/>
      <c r="BA201" s="25"/>
      <c r="BB201" s="25"/>
      <c r="BC201" s="25" t="s">
        <v>12</v>
      </c>
      <c r="BD201" s="27"/>
      <c r="BE201" s="27"/>
      <c r="BF201" s="27"/>
      <c r="BG201" s="28"/>
      <c r="BH201" s="27"/>
      <c r="BI201" s="27"/>
      <c r="BJ201" s="29" t="s">
        <v>16</v>
      </c>
      <c r="BK201" s="30" t="s">
        <v>13</v>
      </c>
      <c r="BL201" s="27"/>
      <c r="BM201" s="27"/>
      <c r="BN201" s="102"/>
      <c r="BO201" s="27"/>
      <c r="BP201" s="27"/>
      <c r="BQ201" s="29" t="s">
        <v>14</v>
      </c>
      <c r="BR201" s="30" t="s">
        <v>11</v>
      </c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276</v>
      </c>
      <c r="C202" s="25" t="s">
        <v>522</v>
      </c>
      <c r="D202" s="25">
        <v>164</v>
      </c>
      <c r="E202" s="35" cm="1">
        <f t="array" ref="E202">IFERROR(INDEX($J$5:$AVX$5, _xlfn.AGGREGATE(15,6, COLUMN(J202:AVX202)-COLUMN(J202)+1 / (J202:AVX202="T"), F202)), "")</f>
        <v>46007</v>
      </c>
      <c r="F202" s="76">
        <f>$A$2</f>
        <v>2</v>
      </c>
      <c r="G202" s="35" cm="1">
        <f t="array" ref="G202">IFERROR(INDEX($J$5:$AVW$5,_xlfn.AGGREGATE(14,6,(COLUMN($J202:$AVW202)-COLUMN($J202)+1)/($J202:$AVW202="T"),1)),"")</f>
        <v>46007</v>
      </c>
      <c r="H202" s="79">
        <f>COUNTIF($J202:$AVV202,"T")</f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/>
      <c r="X202" s="25"/>
      <c r="Y202" s="25"/>
      <c r="Z202" s="25" t="s">
        <v>12</v>
      </c>
      <c r="AA202" s="27"/>
      <c r="AB202" s="27"/>
      <c r="AC202" s="27"/>
      <c r="AD202" s="28"/>
      <c r="AE202" s="27"/>
      <c r="AF202" s="27"/>
      <c r="AG202" s="29" t="s">
        <v>16</v>
      </c>
      <c r="AH202" s="30" t="s">
        <v>13</v>
      </c>
      <c r="AI202" s="27"/>
      <c r="AJ202" s="27"/>
      <c r="AK202" s="28"/>
      <c r="AL202" s="27"/>
      <c r="AM202" s="37"/>
      <c r="AN202" s="29" t="s">
        <v>14</v>
      </c>
      <c r="AO202" s="30" t="s">
        <v>11</v>
      </c>
      <c r="AP202" s="27"/>
      <c r="AQ202" s="27"/>
      <c r="AR202" s="28"/>
      <c r="AS202" s="27"/>
      <c r="AT202" s="29" t="s">
        <v>15</v>
      </c>
      <c r="AU202" s="101"/>
      <c r="AV202" s="101"/>
      <c r="AW202" s="33">
        <v>17</v>
      </c>
      <c r="AX202" s="33"/>
      <c r="AY202" s="33"/>
      <c r="AZ202" s="25"/>
      <c r="BA202" s="25"/>
      <c r="BB202" s="25"/>
      <c r="BC202" s="25" t="s">
        <v>12</v>
      </c>
      <c r="BD202" s="27"/>
      <c r="BE202" s="27"/>
      <c r="BF202" s="27"/>
      <c r="BG202" s="28"/>
      <c r="BH202" s="27"/>
      <c r="BI202" s="27"/>
      <c r="BJ202" s="29" t="s">
        <v>16</v>
      </c>
      <c r="BK202" s="30" t="s">
        <v>13</v>
      </c>
      <c r="BL202" s="27"/>
      <c r="BM202" s="27"/>
      <c r="BN202" s="102"/>
      <c r="BO202" s="27"/>
      <c r="BP202" s="27"/>
      <c r="BQ202" s="29" t="s">
        <v>14</v>
      </c>
      <c r="BR202" s="30" t="s">
        <v>11</v>
      </c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277</v>
      </c>
      <c r="C203" s="25" t="s">
        <v>523</v>
      </c>
      <c r="D203" s="25">
        <v>165</v>
      </c>
      <c r="E203" s="35" cm="1">
        <f t="array" ref="E203">IFERROR(INDEX($J$5:$AVX$5, _xlfn.AGGREGATE(15,6, COLUMN(J203:AVX203)-COLUMN(J203)+1 / (J203:AVX203="T"), F203)), "")</f>
        <v>46007</v>
      </c>
      <c r="F203" s="76">
        <f>$A$2</f>
        <v>2</v>
      </c>
      <c r="G203" s="35" cm="1">
        <f t="array" ref="G203">IFERROR(INDEX($J$5:$AVW$5,_xlfn.AGGREGATE(14,6,(COLUMN($J203:$AVW203)-COLUMN($J203)+1)/($J203:$AVW203="T"),1)),"")</f>
        <v>46007</v>
      </c>
      <c r="H203" s="79">
        <f>COUNTIF($J203:$AVV203,"T")</f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/>
      <c r="X203" s="25"/>
      <c r="Y203" s="25"/>
      <c r="Z203" s="25" t="s">
        <v>12</v>
      </c>
      <c r="AA203" s="27"/>
      <c r="AB203" s="27"/>
      <c r="AC203" s="27"/>
      <c r="AD203" s="28"/>
      <c r="AE203" s="27"/>
      <c r="AF203" s="27"/>
      <c r="AG203" s="29" t="s">
        <v>16</v>
      </c>
      <c r="AH203" s="30" t="s">
        <v>13</v>
      </c>
      <c r="AI203" s="27"/>
      <c r="AJ203" s="27"/>
      <c r="AK203" s="28"/>
      <c r="AL203" s="27"/>
      <c r="AM203" s="37"/>
      <c r="AN203" s="29" t="s">
        <v>14</v>
      </c>
      <c r="AO203" s="30" t="s">
        <v>11</v>
      </c>
      <c r="AP203" s="27"/>
      <c r="AQ203" s="27"/>
      <c r="AR203" s="28"/>
      <c r="AS203" s="27"/>
      <c r="AT203" s="29" t="s">
        <v>15</v>
      </c>
      <c r="AU203" s="101"/>
      <c r="AV203" s="101"/>
      <c r="AW203" s="33">
        <v>17</v>
      </c>
      <c r="AX203" s="33"/>
      <c r="AY203" s="33"/>
      <c r="AZ203" s="25"/>
      <c r="BA203" s="25"/>
      <c r="BB203" s="25"/>
      <c r="BC203" s="25" t="s">
        <v>12</v>
      </c>
      <c r="BD203" s="27"/>
      <c r="BE203" s="27"/>
      <c r="BF203" s="27"/>
      <c r="BG203" s="28"/>
      <c r="BH203" s="27"/>
      <c r="BI203" s="27"/>
      <c r="BJ203" s="29" t="s">
        <v>16</v>
      </c>
      <c r="BK203" s="30" t="s">
        <v>13</v>
      </c>
      <c r="BL203" s="27"/>
      <c r="BM203" s="27"/>
      <c r="BN203" s="102"/>
      <c r="BO203" s="27"/>
      <c r="BP203" s="27"/>
      <c r="BQ203" s="29" t="s">
        <v>14</v>
      </c>
      <c r="BR203" s="30" t="s">
        <v>11</v>
      </c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278</v>
      </c>
      <c r="C204" s="25" t="s">
        <v>524</v>
      </c>
      <c r="D204" s="25">
        <v>166</v>
      </c>
      <c r="E204" s="35" cm="1">
        <f t="array" ref="E204">IFERROR(INDEX($J$5:$AVX$5, _xlfn.AGGREGATE(15,6, COLUMN(J204:AVX204)-COLUMN(J204)+1 / (J204:AVX204="T"), F204)), "")</f>
        <v>46007</v>
      </c>
      <c r="F204" s="76">
        <f>$A$2</f>
        <v>2</v>
      </c>
      <c r="G204" s="35" cm="1">
        <f t="array" ref="G204">IFERROR(INDEX($J$5:$AVW$5,_xlfn.AGGREGATE(14,6,(COLUMN($J204:$AVW204)-COLUMN($J204)+1)/($J204:$AVW204="T"),1)),"")</f>
        <v>46007</v>
      </c>
      <c r="H204" s="79">
        <f>COUNTIF($J204:$AVV204,"T")</f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/>
      <c r="X204" s="25"/>
      <c r="Y204" s="25"/>
      <c r="Z204" s="25" t="s">
        <v>12</v>
      </c>
      <c r="AA204" s="27"/>
      <c r="AB204" s="27"/>
      <c r="AC204" s="27"/>
      <c r="AD204" s="28"/>
      <c r="AE204" s="27"/>
      <c r="AF204" s="27"/>
      <c r="AG204" s="29" t="s">
        <v>16</v>
      </c>
      <c r="AH204" s="30" t="s">
        <v>13</v>
      </c>
      <c r="AI204" s="27"/>
      <c r="AJ204" s="27"/>
      <c r="AK204" s="28"/>
      <c r="AL204" s="27"/>
      <c r="AM204" s="37"/>
      <c r="AN204" s="29" t="s">
        <v>14</v>
      </c>
      <c r="AO204" s="30" t="s">
        <v>11</v>
      </c>
      <c r="AP204" s="27"/>
      <c r="AQ204" s="27"/>
      <c r="AR204" s="28"/>
      <c r="AS204" s="27"/>
      <c r="AT204" s="29" t="s">
        <v>15</v>
      </c>
      <c r="AU204" s="101"/>
      <c r="AV204" s="101"/>
      <c r="AW204" s="33">
        <v>17</v>
      </c>
      <c r="AX204" s="33"/>
      <c r="AY204" s="33"/>
      <c r="AZ204" s="25"/>
      <c r="BA204" s="25"/>
      <c r="BB204" s="25"/>
      <c r="BC204" s="25" t="s">
        <v>12</v>
      </c>
      <c r="BD204" s="27"/>
      <c r="BE204" s="27"/>
      <c r="BF204" s="27"/>
      <c r="BG204" s="28"/>
      <c r="BH204" s="27"/>
      <c r="BI204" s="27"/>
      <c r="BJ204" s="29" t="s">
        <v>16</v>
      </c>
      <c r="BK204" s="30" t="s">
        <v>13</v>
      </c>
      <c r="BL204" s="27"/>
      <c r="BM204" s="27"/>
      <c r="BN204" s="102"/>
      <c r="BO204" s="27"/>
      <c r="BP204" s="27"/>
      <c r="BQ204" s="29" t="s">
        <v>14</v>
      </c>
      <c r="BR204" s="30" t="s">
        <v>11</v>
      </c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279</v>
      </c>
      <c r="C205" s="25" t="s">
        <v>525</v>
      </c>
      <c r="D205" s="25">
        <v>167</v>
      </c>
      <c r="E205" s="35" cm="1">
        <f t="array" ref="E205">IFERROR(INDEX($J$5:$AVX$5, _xlfn.AGGREGATE(15,6, COLUMN(J205:AVX205)-COLUMN(J205)+1 / (J205:AVX205="T"), F205)), "")</f>
        <v>46007</v>
      </c>
      <c r="F205" s="76">
        <f>$A$2</f>
        <v>2</v>
      </c>
      <c r="G205" s="35" cm="1">
        <f t="array" ref="G205">IFERROR(INDEX($J$5:$AVW$5,_xlfn.AGGREGATE(14,6,(COLUMN($J205:$AVW205)-COLUMN($J205)+1)/($J205:$AVW205="T"),1)),"")</f>
        <v>46007</v>
      </c>
      <c r="H205" s="79">
        <f>COUNTIF($J205:$AVV205,"T")</f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/>
      <c r="X205" s="25"/>
      <c r="Y205" s="25"/>
      <c r="Z205" s="25" t="s">
        <v>12</v>
      </c>
      <c r="AA205" s="27"/>
      <c r="AB205" s="27"/>
      <c r="AC205" s="27"/>
      <c r="AD205" s="28"/>
      <c r="AE205" s="27"/>
      <c r="AF205" s="27"/>
      <c r="AG205" s="29" t="s">
        <v>16</v>
      </c>
      <c r="AH205" s="30" t="s">
        <v>13</v>
      </c>
      <c r="AI205" s="27"/>
      <c r="AJ205" s="27"/>
      <c r="AK205" s="28"/>
      <c r="AL205" s="27"/>
      <c r="AM205" s="37"/>
      <c r="AN205" s="29" t="s">
        <v>14</v>
      </c>
      <c r="AO205" s="30" t="s">
        <v>11</v>
      </c>
      <c r="AP205" s="27"/>
      <c r="AQ205" s="27"/>
      <c r="AR205" s="28"/>
      <c r="AS205" s="27"/>
      <c r="AT205" s="29" t="s">
        <v>15</v>
      </c>
      <c r="AU205" s="101"/>
      <c r="AV205" s="101"/>
      <c r="AW205" s="33">
        <v>17</v>
      </c>
      <c r="AX205" s="33"/>
      <c r="AY205" s="33"/>
      <c r="AZ205" s="25"/>
      <c r="BA205" s="25"/>
      <c r="BB205" s="25"/>
      <c r="BC205" s="25" t="s">
        <v>12</v>
      </c>
      <c r="BD205" s="27"/>
      <c r="BE205" s="27"/>
      <c r="BF205" s="27"/>
      <c r="BG205" s="28"/>
      <c r="BH205" s="27"/>
      <c r="BI205" s="27"/>
      <c r="BJ205" s="29" t="s">
        <v>16</v>
      </c>
      <c r="BK205" s="30" t="s">
        <v>13</v>
      </c>
      <c r="BL205" s="27"/>
      <c r="BM205" s="27"/>
      <c r="BN205" s="102"/>
      <c r="BO205" s="27"/>
      <c r="BP205" s="27"/>
      <c r="BQ205" s="29" t="s">
        <v>14</v>
      </c>
      <c r="BR205" s="30" t="s">
        <v>11</v>
      </c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280</v>
      </c>
      <c r="C206" s="25" t="s">
        <v>526</v>
      </c>
      <c r="D206" s="25">
        <v>168</v>
      </c>
      <c r="E206" s="35" cm="1">
        <f t="array" ref="E206">IFERROR(INDEX($J$5:$AVX$5, _xlfn.AGGREGATE(15,6, COLUMN(J206:AVX206)-COLUMN(J206)+1 / (J206:AVX206="T"), F206)), "")</f>
        <v>46007</v>
      </c>
      <c r="F206" s="76">
        <f>$A$2</f>
        <v>2</v>
      </c>
      <c r="G206" s="35" cm="1">
        <f t="array" ref="G206">IFERROR(INDEX($J$5:$AVW$5,_xlfn.AGGREGATE(14,6,(COLUMN($J206:$AVW206)-COLUMN($J206)+1)/($J206:$AVW206="T"),1)),"")</f>
        <v>46007</v>
      </c>
      <c r="H206" s="79">
        <f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/>
      <c r="X206" s="25"/>
      <c r="Y206" s="25"/>
      <c r="Z206" s="25" t="s">
        <v>12</v>
      </c>
      <c r="AA206" s="27"/>
      <c r="AB206" s="27"/>
      <c r="AC206" s="27"/>
      <c r="AD206" s="28"/>
      <c r="AE206" s="27"/>
      <c r="AF206" s="27"/>
      <c r="AG206" s="29" t="s">
        <v>16</v>
      </c>
      <c r="AH206" s="30" t="s">
        <v>13</v>
      </c>
      <c r="AI206" s="27"/>
      <c r="AJ206" s="27"/>
      <c r="AK206" s="28"/>
      <c r="AL206" s="27"/>
      <c r="AM206" s="37"/>
      <c r="AN206" s="29" t="s">
        <v>14</v>
      </c>
      <c r="AO206" s="30" t="s">
        <v>11</v>
      </c>
      <c r="AP206" s="27"/>
      <c r="AQ206" s="27"/>
      <c r="AR206" s="28"/>
      <c r="AS206" s="27"/>
      <c r="AT206" s="29" t="s">
        <v>15</v>
      </c>
      <c r="AU206" s="101"/>
      <c r="AV206" s="101"/>
      <c r="AW206" s="33">
        <v>17</v>
      </c>
      <c r="AX206" s="33"/>
      <c r="AY206" s="33"/>
      <c r="AZ206" s="25"/>
      <c r="BA206" s="25"/>
      <c r="BB206" s="25"/>
      <c r="BC206" s="25" t="s">
        <v>12</v>
      </c>
      <c r="BD206" s="27"/>
      <c r="BE206" s="27"/>
      <c r="BF206" s="27"/>
      <c r="BG206" s="28"/>
      <c r="BH206" s="27"/>
      <c r="BI206" s="27"/>
      <c r="BJ206" s="29" t="s">
        <v>16</v>
      </c>
      <c r="BK206" s="30" t="s">
        <v>13</v>
      </c>
      <c r="BL206" s="27"/>
      <c r="BM206" s="27"/>
      <c r="BN206" s="102"/>
      <c r="BO206" s="27"/>
      <c r="BP206" s="27"/>
      <c r="BQ206" s="29" t="s">
        <v>14</v>
      </c>
      <c r="BR206" s="30" t="s">
        <v>11</v>
      </c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281</v>
      </c>
      <c r="C207" s="25" t="s">
        <v>527</v>
      </c>
      <c r="D207" s="25">
        <v>169</v>
      </c>
      <c r="E207" s="35" cm="1">
        <f t="array" ref="E207">IFERROR(INDEX($J$5:$AVX$5, _xlfn.AGGREGATE(15,6, COLUMN(J207:AVX207)-COLUMN(J207)+1 / (J207:AVX207="T"), F207)), "")</f>
        <v>46008</v>
      </c>
      <c r="F207" s="76">
        <f>$A$2</f>
        <v>2</v>
      </c>
      <c r="G207" s="35" cm="1">
        <f t="array" ref="G207">IFERROR(INDEX($J$5:$AVW$5,_xlfn.AGGREGATE(14,6,(COLUMN($J207:$AVW207)-COLUMN($J207)+1)/($J207:$AVW207="T"),1)),"")</f>
        <v>46008</v>
      </c>
      <c r="H207" s="79">
        <f>COUNTIF($J207:$AVV207,"T")</f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/>
      <c r="W207" s="25"/>
      <c r="X207" s="25"/>
      <c r="Y207" s="25"/>
      <c r="Z207" s="25"/>
      <c r="AA207" s="25" t="s">
        <v>12</v>
      </c>
      <c r="AB207" s="27"/>
      <c r="AC207" s="27"/>
      <c r="AD207" s="27"/>
      <c r="AE207" s="28"/>
      <c r="AF207" s="27"/>
      <c r="AG207" s="27"/>
      <c r="AH207" s="29" t="s">
        <v>16</v>
      </c>
      <c r="AI207" s="30" t="s">
        <v>13</v>
      </c>
      <c r="AJ207" s="37"/>
      <c r="AK207" s="27"/>
      <c r="AL207" s="28"/>
      <c r="AM207" s="27"/>
      <c r="AN207" s="27"/>
      <c r="AO207" s="29" t="s">
        <v>14</v>
      </c>
      <c r="AP207" s="30" t="s">
        <v>11</v>
      </c>
      <c r="AQ207" s="27"/>
      <c r="AR207" s="27"/>
      <c r="AS207" s="28"/>
      <c r="AT207" s="101"/>
      <c r="AU207" s="104" t="s">
        <v>15</v>
      </c>
      <c r="AV207" s="101"/>
      <c r="AW207" s="101"/>
      <c r="AX207" s="33">
        <v>17</v>
      </c>
      <c r="AY207" s="25"/>
      <c r="AZ207" s="25"/>
      <c r="BA207" s="25"/>
      <c r="BB207" s="25"/>
      <c r="BC207" s="25"/>
      <c r="BD207" s="25" t="s">
        <v>12</v>
      </c>
      <c r="BE207" s="27"/>
      <c r="BF207" s="27"/>
      <c r="BG207" s="27"/>
      <c r="BH207" s="28"/>
      <c r="BI207" s="27"/>
      <c r="BJ207" s="27"/>
      <c r="BK207" s="29" t="s">
        <v>16</v>
      </c>
      <c r="BL207" s="30" t="s">
        <v>13</v>
      </c>
      <c r="BM207" s="37"/>
      <c r="BN207" s="27"/>
      <c r="BO207" s="28"/>
      <c r="BP207" s="27"/>
      <c r="BQ207" s="27"/>
      <c r="BR207" s="29" t="s">
        <v>14</v>
      </c>
      <c r="BS207" s="30" t="s">
        <v>11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282</v>
      </c>
      <c r="C208" s="25" t="s">
        <v>528</v>
      </c>
      <c r="D208" s="25">
        <v>170</v>
      </c>
      <c r="E208" s="35" cm="1">
        <f t="array" ref="E208">IFERROR(INDEX($J$5:$AVX$5, _xlfn.AGGREGATE(15,6, COLUMN(J208:AVX208)-COLUMN(J208)+1 / (J208:AVX208="T"), F208)), "")</f>
        <v>46008</v>
      </c>
      <c r="F208" s="76">
        <f>$A$2</f>
        <v>2</v>
      </c>
      <c r="G208" s="35" cm="1">
        <f t="array" ref="G208">IFERROR(INDEX($J$5:$AVW$5,_xlfn.AGGREGATE(14,6,(COLUMN($J208:$AVW208)-COLUMN($J208)+1)/($J208:$AVW208="T"),1)),"")</f>
        <v>46008</v>
      </c>
      <c r="H208" s="79">
        <f>COUNTIF($J208:$AVV208,"T")</f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/>
      <c r="W208" s="25"/>
      <c r="X208" s="25"/>
      <c r="Y208" s="25"/>
      <c r="Z208" s="25"/>
      <c r="AA208" s="25" t="s">
        <v>12</v>
      </c>
      <c r="AB208" s="27"/>
      <c r="AC208" s="27"/>
      <c r="AD208" s="27"/>
      <c r="AE208" s="28"/>
      <c r="AF208" s="27"/>
      <c r="AG208" s="27"/>
      <c r="AH208" s="29" t="s">
        <v>16</v>
      </c>
      <c r="AI208" s="30" t="s">
        <v>13</v>
      </c>
      <c r="AJ208" s="27"/>
      <c r="AK208" s="27"/>
      <c r="AL208" s="102"/>
      <c r="AM208" s="27"/>
      <c r="AN208" s="27"/>
      <c r="AO208" s="29" t="s">
        <v>14</v>
      </c>
      <c r="AP208" s="30" t="s">
        <v>11</v>
      </c>
      <c r="AQ208" s="27"/>
      <c r="AR208" s="27"/>
      <c r="AS208" s="28"/>
      <c r="AT208" s="101"/>
      <c r="AU208" s="104" t="s">
        <v>15</v>
      </c>
      <c r="AV208" s="101"/>
      <c r="AW208" s="101"/>
      <c r="AX208" s="33">
        <v>17</v>
      </c>
      <c r="AY208" s="25"/>
      <c r="AZ208" s="25"/>
      <c r="BA208" s="25"/>
      <c r="BB208" s="25"/>
      <c r="BC208" s="25"/>
      <c r="BD208" s="25" t="s">
        <v>12</v>
      </c>
      <c r="BE208" s="27"/>
      <c r="BF208" s="27"/>
      <c r="BG208" s="27"/>
      <c r="BH208" s="28"/>
      <c r="BI208" s="27"/>
      <c r="BJ208" s="27"/>
      <c r="BK208" s="29" t="s">
        <v>16</v>
      </c>
      <c r="BL208" s="30" t="s">
        <v>13</v>
      </c>
      <c r="BM208" s="37"/>
      <c r="BN208" s="27"/>
      <c r="BO208" s="28"/>
      <c r="BP208" s="27"/>
      <c r="BQ208" s="27"/>
      <c r="BR208" s="29" t="s">
        <v>14</v>
      </c>
      <c r="BS208" s="30" t="s">
        <v>11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283</v>
      </c>
      <c r="C209" s="25" t="s">
        <v>529</v>
      </c>
      <c r="D209" s="25">
        <v>171</v>
      </c>
      <c r="E209" s="35" cm="1">
        <f t="array" ref="E209">IFERROR(INDEX($J$5:$AVX$5, _xlfn.AGGREGATE(15,6, COLUMN(J209:AVX209)-COLUMN(J209)+1 / (J209:AVX209="T"), F209)), "")</f>
        <v>46008</v>
      </c>
      <c r="F209" s="76">
        <f>$A$2</f>
        <v>2</v>
      </c>
      <c r="G209" s="35" cm="1">
        <f t="array" ref="G209">IFERROR(INDEX($J$5:$AVW$5,_xlfn.AGGREGATE(14,6,(COLUMN($J209:$AVW209)-COLUMN($J209)+1)/($J209:$AVW209="T"),1)),"")</f>
        <v>46008</v>
      </c>
      <c r="H209" s="79">
        <f>COUNTIF($J209:$AVV209,"T")</f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/>
      <c r="W209" s="25"/>
      <c r="X209" s="25"/>
      <c r="Y209" s="25"/>
      <c r="Z209" s="25"/>
      <c r="AA209" s="25" t="s">
        <v>12</v>
      </c>
      <c r="AB209" s="27"/>
      <c r="AC209" s="27"/>
      <c r="AD209" s="27"/>
      <c r="AE209" s="28"/>
      <c r="AF209" s="27"/>
      <c r="AG209" s="27"/>
      <c r="AH209" s="29" t="s">
        <v>16</v>
      </c>
      <c r="AI209" s="30" t="s">
        <v>13</v>
      </c>
      <c r="AJ209" s="27"/>
      <c r="AK209" s="27"/>
      <c r="AL209" s="102"/>
      <c r="AM209" s="27"/>
      <c r="AN209" s="27"/>
      <c r="AO209" s="29" t="s">
        <v>14</v>
      </c>
      <c r="AP209" s="30" t="s">
        <v>11</v>
      </c>
      <c r="AQ209" s="27"/>
      <c r="AR209" s="27"/>
      <c r="AS209" s="28"/>
      <c r="AT209" s="101"/>
      <c r="AU209" s="104" t="s">
        <v>15</v>
      </c>
      <c r="AV209" s="101"/>
      <c r="AW209" s="101"/>
      <c r="AX209" s="33">
        <v>17</v>
      </c>
      <c r="AY209" s="25"/>
      <c r="AZ209" s="25"/>
      <c r="BA209" s="25"/>
      <c r="BB209" s="25"/>
      <c r="BC209" s="25"/>
      <c r="BD209" s="25" t="s">
        <v>12</v>
      </c>
      <c r="BE209" s="27"/>
      <c r="BF209" s="27"/>
      <c r="BG209" s="27"/>
      <c r="BH209" s="28"/>
      <c r="BI209" s="27"/>
      <c r="BJ209" s="27"/>
      <c r="BK209" s="29" t="s">
        <v>16</v>
      </c>
      <c r="BL209" s="30" t="s">
        <v>13</v>
      </c>
      <c r="BM209" s="37"/>
      <c r="BN209" s="27"/>
      <c r="BO209" s="28"/>
      <c r="BP209" s="27"/>
      <c r="BQ209" s="27"/>
      <c r="BR209" s="29" t="s">
        <v>14</v>
      </c>
      <c r="BS209" s="30" t="s">
        <v>11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284</v>
      </c>
      <c r="C210" s="25" t="s">
        <v>530</v>
      </c>
      <c r="D210" s="25">
        <v>172</v>
      </c>
      <c r="E210" s="35" cm="1">
        <f t="array" ref="E210">IFERROR(INDEX($J$5:$AVX$5, _xlfn.AGGREGATE(15,6, COLUMN(J210:AVX210)-COLUMN(J210)+1 / (J210:AVX210="T"), F210)), "")</f>
        <v>46008</v>
      </c>
      <c r="F210" s="76">
        <f>$A$2</f>
        <v>2</v>
      </c>
      <c r="G210" s="35" cm="1">
        <f t="array" ref="G210">IFERROR(INDEX($J$5:$AVW$5,_xlfn.AGGREGATE(14,6,(COLUMN($J210:$AVW210)-COLUMN($J210)+1)/($J210:$AVW210="T"),1)),"")</f>
        <v>46008</v>
      </c>
      <c r="H210" s="79">
        <f>COUNTIF($J210:$AVV210,"T")</f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/>
      <c r="W210" s="25"/>
      <c r="X210" s="25"/>
      <c r="Y210" s="25"/>
      <c r="Z210" s="25"/>
      <c r="AA210" s="25" t="s">
        <v>12</v>
      </c>
      <c r="AB210" s="27"/>
      <c r="AC210" s="27"/>
      <c r="AD210" s="27"/>
      <c r="AE210" s="28"/>
      <c r="AF210" s="27"/>
      <c r="AG210" s="27"/>
      <c r="AH210" s="29" t="s">
        <v>16</v>
      </c>
      <c r="AI210" s="30" t="s">
        <v>13</v>
      </c>
      <c r="AJ210" s="27"/>
      <c r="AK210" s="27"/>
      <c r="AL210" s="102"/>
      <c r="AM210" s="27"/>
      <c r="AN210" s="27"/>
      <c r="AO210" s="29" t="s">
        <v>14</v>
      </c>
      <c r="AP210" s="30" t="s">
        <v>11</v>
      </c>
      <c r="AQ210" s="27"/>
      <c r="AR210" s="27"/>
      <c r="AS210" s="28"/>
      <c r="AT210" s="101"/>
      <c r="AU210" s="104" t="s">
        <v>15</v>
      </c>
      <c r="AV210" s="101"/>
      <c r="AW210" s="101"/>
      <c r="AX210" s="33">
        <v>17</v>
      </c>
      <c r="AY210" s="25"/>
      <c r="AZ210" s="25"/>
      <c r="BA210" s="25"/>
      <c r="BB210" s="25"/>
      <c r="BC210" s="25"/>
      <c r="BD210" s="25" t="s">
        <v>12</v>
      </c>
      <c r="BE210" s="27"/>
      <c r="BF210" s="27"/>
      <c r="BG210" s="27"/>
      <c r="BH210" s="28"/>
      <c r="BI210" s="27"/>
      <c r="BJ210" s="27"/>
      <c r="BK210" s="29" t="s">
        <v>16</v>
      </c>
      <c r="BL210" s="30" t="s">
        <v>13</v>
      </c>
      <c r="BM210" s="37"/>
      <c r="BN210" s="27"/>
      <c r="BO210" s="28"/>
      <c r="BP210" s="27"/>
      <c r="BQ210" s="27"/>
      <c r="BR210" s="29" t="s">
        <v>14</v>
      </c>
      <c r="BS210" s="30" t="s">
        <v>11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285</v>
      </c>
      <c r="C211" s="25" t="s">
        <v>531</v>
      </c>
      <c r="D211" s="25">
        <v>173</v>
      </c>
      <c r="E211" s="35" cm="1">
        <f t="array" ref="E211">IFERROR(INDEX($J$5:$AVX$5, _xlfn.AGGREGATE(15,6, COLUMN(J211:AVX211)-COLUMN(J211)+1 / (J211:AVX211="T"), F211)), "")</f>
        <v>46008</v>
      </c>
      <c r="F211" s="76">
        <f>$A$2</f>
        <v>2</v>
      </c>
      <c r="G211" s="35" cm="1">
        <f t="array" ref="G211">IFERROR(INDEX($J$5:$AVW$5,_xlfn.AGGREGATE(14,6,(COLUMN($J211:$AVW211)-COLUMN($J211)+1)/($J211:$AVW211="T"),1)),"")</f>
        <v>46008</v>
      </c>
      <c r="H211" s="79">
        <f>COUNTIF($J211:$AVV211,"T")</f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/>
      <c r="W211" s="25"/>
      <c r="X211" s="25"/>
      <c r="Y211" s="25"/>
      <c r="Z211" s="25"/>
      <c r="AA211" s="25" t="s">
        <v>12</v>
      </c>
      <c r="AB211" s="27"/>
      <c r="AC211" s="27"/>
      <c r="AD211" s="27"/>
      <c r="AE211" s="28"/>
      <c r="AF211" s="27"/>
      <c r="AG211" s="27"/>
      <c r="AH211" s="29" t="s">
        <v>16</v>
      </c>
      <c r="AI211" s="30" t="s">
        <v>13</v>
      </c>
      <c r="AJ211" s="27"/>
      <c r="AK211" s="27"/>
      <c r="AL211" s="102"/>
      <c r="AM211" s="27"/>
      <c r="AN211" s="27"/>
      <c r="AO211" s="29" t="s">
        <v>14</v>
      </c>
      <c r="AP211" s="30" t="s">
        <v>11</v>
      </c>
      <c r="AQ211" s="27"/>
      <c r="AR211" s="27"/>
      <c r="AS211" s="28"/>
      <c r="AT211" s="101"/>
      <c r="AU211" s="104" t="s">
        <v>15</v>
      </c>
      <c r="AV211" s="101"/>
      <c r="AW211" s="101"/>
      <c r="AX211" s="33">
        <v>17</v>
      </c>
      <c r="AY211" s="25"/>
      <c r="AZ211" s="25"/>
      <c r="BA211" s="25"/>
      <c r="BB211" s="25"/>
      <c r="BC211" s="25"/>
      <c r="BD211" s="25" t="s">
        <v>12</v>
      </c>
      <c r="BE211" s="27"/>
      <c r="BF211" s="27"/>
      <c r="BG211" s="27"/>
      <c r="BH211" s="28"/>
      <c r="BI211" s="27"/>
      <c r="BJ211" s="27"/>
      <c r="BK211" s="29" t="s">
        <v>16</v>
      </c>
      <c r="BL211" s="30" t="s">
        <v>13</v>
      </c>
      <c r="BM211" s="37"/>
      <c r="BN211" s="27"/>
      <c r="BO211" s="28"/>
      <c r="BP211" s="27"/>
      <c r="BQ211" s="27"/>
      <c r="BR211" s="29" t="s">
        <v>14</v>
      </c>
      <c r="BS211" s="30" t="s">
        <v>11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286</v>
      </c>
      <c r="C212" s="25" t="s">
        <v>532</v>
      </c>
      <c r="D212" s="25">
        <v>174</v>
      </c>
      <c r="E212" s="35" cm="1">
        <f t="array" ref="E212">IFERROR(INDEX($J$5:$AVX$5, _xlfn.AGGREGATE(15,6, COLUMN(J212:AVX212)-COLUMN(J212)+1 / (J212:AVX212="T"), F212)), "")</f>
        <v>46008</v>
      </c>
      <c r="F212" s="76">
        <f>$A$2</f>
        <v>2</v>
      </c>
      <c r="G212" s="35" cm="1">
        <f t="array" ref="G212">IFERROR(INDEX($J$5:$AVW$5,_xlfn.AGGREGATE(14,6,(COLUMN($J212:$AVW212)-COLUMN($J212)+1)/($J212:$AVW212="T"),1)),"")</f>
        <v>46008</v>
      </c>
      <c r="H212" s="79">
        <f>COUNTIF($J212:$AVV212,"T")</f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/>
      <c r="W212" s="25"/>
      <c r="X212" s="25"/>
      <c r="Y212" s="25"/>
      <c r="Z212" s="25"/>
      <c r="AA212" s="25" t="s">
        <v>12</v>
      </c>
      <c r="AB212" s="27"/>
      <c r="AC212" s="27"/>
      <c r="AD212" s="27"/>
      <c r="AE212" s="28"/>
      <c r="AF212" s="27"/>
      <c r="AG212" s="27"/>
      <c r="AH212" s="29" t="s">
        <v>16</v>
      </c>
      <c r="AI212" s="30" t="s">
        <v>13</v>
      </c>
      <c r="AJ212" s="27"/>
      <c r="AK212" s="27"/>
      <c r="AL212" s="102"/>
      <c r="AM212" s="27"/>
      <c r="AN212" s="27"/>
      <c r="AO212" s="29" t="s">
        <v>14</v>
      </c>
      <c r="AP212" s="30" t="s">
        <v>11</v>
      </c>
      <c r="AQ212" s="27"/>
      <c r="AR212" s="27"/>
      <c r="AS212" s="28"/>
      <c r="AT212" s="101"/>
      <c r="AU212" s="104" t="s">
        <v>15</v>
      </c>
      <c r="AV212" s="101"/>
      <c r="AW212" s="101"/>
      <c r="AX212" s="33">
        <v>17</v>
      </c>
      <c r="AY212" s="25"/>
      <c r="AZ212" s="25"/>
      <c r="BA212" s="25"/>
      <c r="BB212" s="25"/>
      <c r="BC212" s="25"/>
      <c r="BD212" s="25" t="s">
        <v>12</v>
      </c>
      <c r="BE212" s="27"/>
      <c r="BF212" s="27"/>
      <c r="BG212" s="27"/>
      <c r="BH212" s="28"/>
      <c r="BI212" s="27"/>
      <c r="BJ212" s="27"/>
      <c r="BK212" s="29" t="s">
        <v>16</v>
      </c>
      <c r="BL212" s="30" t="s">
        <v>13</v>
      </c>
      <c r="BM212" s="37"/>
      <c r="BN212" s="27"/>
      <c r="BO212" s="28"/>
      <c r="BP212" s="27"/>
      <c r="BQ212" s="27"/>
      <c r="BR212" s="29" t="s">
        <v>14</v>
      </c>
      <c r="BS212" s="30" t="s">
        <v>11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287</v>
      </c>
      <c r="C213" s="25" t="s">
        <v>533</v>
      </c>
      <c r="D213" s="25">
        <v>175</v>
      </c>
      <c r="E213" s="35" cm="1">
        <f t="array" ref="E213">IFERROR(INDEX($J$5:$AVX$5, _xlfn.AGGREGATE(15,6, COLUMN(J213:AVX213)-COLUMN(J213)+1 / (J213:AVX213="T"), F213)), "")</f>
        <v>46008</v>
      </c>
      <c r="F213" s="76">
        <f>$A$2</f>
        <v>2</v>
      </c>
      <c r="G213" s="35" cm="1">
        <f t="array" ref="G213">IFERROR(INDEX($J$5:$AVW$5,_xlfn.AGGREGATE(14,6,(COLUMN($J213:$AVW213)-COLUMN($J213)+1)/($J213:$AVW213="T"),1)),"")</f>
        <v>46008</v>
      </c>
      <c r="H213" s="79">
        <f>COUNTIF($J213:$AVV213,"T")</f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/>
      <c r="W213" s="25"/>
      <c r="X213" s="25"/>
      <c r="Y213" s="25"/>
      <c r="Z213" s="25"/>
      <c r="AA213" s="25" t="s">
        <v>12</v>
      </c>
      <c r="AB213" s="27"/>
      <c r="AC213" s="27"/>
      <c r="AD213" s="27"/>
      <c r="AE213" s="28"/>
      <c r="AF213" s="27"/>
      <c r="AG213" s="27"/>
      <c r="AH213" s="29" t="s">
        <v>16</v>
      </c>
      <c r="AI213" s="30" t="s">
        <v>13</v>
      </c>
      <c r="AJ213" s="27"/>
      <c r="AK213" s="27"/>
      <c r="AL213" s="102"/>
      <c r="AM213" s="27"/>
      <c r="AN213" s="27"/>
      <c r="AO213" s="29" t="s">
        <v>14</v>
      </c>
      <c r="AP213" s="30" t="s">
        <v>11</v>
      </c>
      <c r="AQ213" s="27"/>
      <c r="AR213" s="27"/>
      <c r="AS213" s="28"/>
      <c r="AT213" s="101"/>
      <c r="AU213" s="104" t="s">
        <v>15</v>
      </c>
      <c r="AV213" s="101"/>
      <c r="AW213" s="101"/>
      <c r="AX213" s="33">
        <v>17</v>
      </c>
      <c r="AY213" s="25"/>
      <c r="AZ213" s="25"/>
      <c r="BA213" s="25"/>
      <c r="BB213" s="25"/>
      <c r="BC213" s="25"/>
      <c r="BD213" s="25" t="s">
        <v>12</v>
      </c>
      <c r="BE213" s="27"/>
      <c r="BF213" s="27"/>
      <c r="BG213" s="27"/>
      <c r="BH213" s="28"/>
      <c r="BI213" s="27"/>
      <c r="BJ213" s="27"/>
      <c r="BK213" s="29" t="s">
        <v>16</v>
      </c>
      <c r="BL213" s="30" t="s">
        <v>13</v>
      </c>
      <c r="BM213" s="37"/>
      <c r="BN213" s="27"/>
      <c r="BO213" s="28"/>
      <c r="BP213" s="27"/>
      <c r="BQ213" s="27"/>
      <c r="BR213" s="29" t="s">
        <v>14</v>
      </c>
      <c r="BS213" s="30" t="s">
        <v>11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hidden="1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ref="F206:F234" si="21">$A$2</f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ref="H206:H234" si="22">COUNTIF($J214:$AVV214,"T")</f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hidden="1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hidden="1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hidden="1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hidden="1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hidden="1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hidden="1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hidden="1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hidden="1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hidden="1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hidden="1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hidden="1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hidden="1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hidden="1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hidden="1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hidden="1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hidden="1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hidden="1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hidden="1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hidden="1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hidden="1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filterColumn colId="6">
      <filters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</filters>
    </filterColumn>
    <sortState xmlns:xlrd2="http://schemas.microsoft.com/office/spreadsheetml/2017/richdata2" ref="A168:BS213">
      <sortCondition ref="G13:G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47" priority="778">
      <formula>LEN(TRIM(E14))=0</formula>
    </cfRule>
  </conditionalFormatting>
  <conditionalFormatting sqref="J114:J119 AY207:BI213 BZ168:CP174 BT207:BV213 AW168:BA174">
    <cfRule type="containsText" dxfId="946" priority="773" operator="containsText" text="T">
      <formula>NOT(ISERROR(SEARCH("T",J114)))</formula>
    </cfRule>
  </conditionalFormatting>
  <conditionalFormatting sqref="J120:M126">
    <cfRule type="containsText" dxfId="945" priority="314" operator="containsText" text="T">
      <formula>NOT(ISERROR(SEARCH("T",J120)))</formula>
    </cfRule>
  </conditionalFormatting>
  <conditionalFormatting sqref="J113:T113">
    <cfRule type="containsText" dxfId="944" priority="765" operator="containsText" text="17">
      <formula>NOT(ISERROR(SEARCH("17",J113)))</formula>
    </cfRule>
    <cfRule type="containsText" dxfId="943" priority="766" operator="containsText" text="T">
      <formula>NOT(ISERROR(SEARCH("T",J113)))</formula>
    </cfRule>
  </conditionalFormatting>
  <conditionalFormatting sqref="J67:X68 AY207:BG213 BZ168:CP174 BT207:BV213 AW168:BA174">
    <cfRule type="containsText" dxfId="942" priority="710" operator="containsText" text="17">
      <formula>NOT(ISERROR(SEARCH("17",J67)))</formula>
    </cfRule>
  </conditionalFormatting>
  <conditionalFormatting sqref="J97:X98">
    <cfRule type="containsText" dxfId="941" priority="700" operator="containsText" text="17">
      <formula>NOT(ISERROR(SEARCH("17",J97)))</formula>
    </cfRule>
  </conditionalFormatting>
  <conditionalFormatting sqref="J67:Z68">
    <cfRule type="containsText" dxfId="940" priority="704" operator="containsText" text="T">
      <formula>NOT(ISERROR(SEARCH("T",J67)))</formula>
    </cfRule>
  </conditionalFormatting>
  <conditionalFormatting sqref="J97:Z98">
    <cfRule type="containsText" dxfId="939" priority="694" operator="containsText" text="T">
      <formula>NOT(ISERROR(SEARCH("T",J97)))</formula>
    </cfRule>
  </conditionalFormatting>
  <conditionalFormatting sqref="J127:Z130">
    <cfRule type="containsText" dxfId="938" priority="674" operator="containsText" text="T">
      <formula>NOT(ISERROR(SEARCH("T",J127)))</formula>
    </cfRule>
  </conditionalFormatting>
  <conditionalFormatting sqref="J114:AD119 J113:R113">
    <cfRule type="containsText" dxfId="937" priority="772" operator="containsText" text="17">
      <formula>NOT(ISERROR(SEARCH("17",J113)))</formula>
    </cfRule>
  </conditionalFormatting>
  <conditionalFormatting sqref="J48:AO49">
    <cfRule type="containsText" dxfId="936" priority="447" operator="containsText" text="17">
      <formula>NOT(ISERROR(SEARCH("17",J48)))</formula>
    </cfRule>
  </conditionalFormatting>
  <conditionalFormatting sqref="J63:AP66">
    <cfRule type="containsText" dxfId="935" priority="427" operator="containsText" text="17">
      <formula>NOT(ISERROR(SEARCH("17",J63)))</formula>
    </cfRule>
  </conditionalFormatting>
  <conditionalFormatting sqref="J48:AQ49">
    <cfRule type="containsText" dxfId="934" priority="441" operator="containsText" text="T">
      <formula>NOT(ISERROR(SEARCH("T",J48)))</formula>
    </cfRule>
  </conditionalFormatting>
  <conditionalFormatting sqref="J59:AQ62">
    <cfRule type="containsText" dxfId="933" priority="413" operator="containsText" text="17">
      <formula>NOT(ISERROR(SEARCH("17",J59)))</formula>
    </cfRule>
  </conditionalFormatting>
  <conditionalFormatting sqref="J86:AQ89">
    <cfRule type="containsText" dxfId="932" priority="403" operator="containsText" text="17">
      <formula>NOT(ISERROR(SEARCH("17",J86)))</formula>
    </cfRule>
  </conditionalFormatting>
  <conditionalFormatting sqref="J50:AR53">
    <cfRule type="containsText" dxfId="931" priority="431" operator="containsText" text="T">
      <formula>NOT(ISERROR(SEARCH("T",J50)))</formula>
    </cfRule>
  </conditionalFormatting>
  <conditionalFormatting sqref="J63:AR66">
    <cfRule type="containsText" dxfId="930" priority="421" operator="containsText" text="T">
      <formula>NOT(ISERROR(SEARCH("T",J63)))</formula>
    </cfRule>
  </conditionalFormatting>
  <conditionalFormatting sqref="J83:AR85">
    <cfRule type="containsText" dxfId="929" priority="393" operator="containsText" text="17">
      <formula>NOT(ISERROR(SEARCH("17",J83)))</formula>
    </cfRule>
  </conditionalFormatting>
  <conditionalFormatting sqref="J214:AR217">
    <cfRule type="containsText" dxfId="928" priority="383" operator="containsText" text="17">
      <formula>NOT(ISERROR(SEARCH("17",J214)))</formula>
    </cfRule>
  </conditionalFormatting>
  <conditionalFormatting sqref="J59:AS62">
    <cfRule type="containsText" dxfId="927" priority="407" operator="containsText" text="T">
      <formula>NOT(ISERROR(SEARCH("T",J59)))</formula>
    </cfRule>
  </conditionalFormatting>
  <conditionalFormatting sqref="J86:AS89">
    <cfRule type="containsText" dxfId="926" priority="397" operator="containsText" text="T">
      <formula>NOT(ISERROR(SEARCH("T",J86)))</formula>
    </cfRule>
  </conditionalFormatting>
  <conditionalFormatting sqref="J218:AS224">
    <cfRule type="containsText" dxfId="925" priority="373" operator="containsText" text="17">
      <formula>NOT(ISERROR(SEARCH("17",J218)))</formula>
    </cfRule>
  </conditionalFormatting>
  <conditionalFormatting sqref="J83:AT85">
    <cfRule type="containsText" dxfId="924" priority="387" operator="containsText" text="T">
      <formula>NOT(ISERROR(SEARCH("T",J83)))</formula>
    </cfRule>
  </conditionalFormatting>
  <conditionalFormatting sqref="J214:AT217">
    <cfRule type="containsText" dxfId="923" priority="377" operator="containsText" text="T">
      <formula>NOT(ISERROR(SEARCH("T",J214)))</formula>
    </cfRule>
  </conditionalFormatting>
  <conditionalFormatting sqref="J225:AT231">
    <cfRule type="containsText" dxfId="922" priority="363" operator="containsText" text="17">
      <formula>NOT(ISERROR(SEARCH("17",J225)))</formula>
    </cfRule>
  </conditionalFormatting>
  <conditionalFormatting sqref="J218:AU224">
    <cfRule type="containsText" dxfId="921" priority="367" operator="containsText" text="T">
      <formula>NOT(ISERROR(SEARCH("T",J218)))</formula>
    </cfRule>
  </conditionalFormatting>
  <conditionalFormatting sqref="J232:AU234">
    <cfRule type="containsText" dxfId="920" priority="353" operator="containsText" text="17">
      <formula>NOT(ISERROR(SEARCH("17",J232)))</formula>
    </cfRule>
  </conditionalFormatting>
  <conditionalFormatting sqref="J225:AV231">
    <cfRule type="containsText" dxfId="919" priority="357" operator="containsText" text="T">
      <formula>NOT(ISERROR(SEARCH("T",J225)))</formula>
    </cfRule>
  </conditionalFormatting>
  <conditionalFormatting sqref="J232:AW234">
    <cfRule type="containsText" dxfId="918" priority="347" operator="containsText" text="T">
      <formula>NOT(ISERROR(SEARCH("T",J232)))</formula>
    </cfRule>
  </conditionalFormatting>
  <conditionalFormatting sqref="K77:K82">
    <cfRule type="containsText" dxfId="917" priority="760" operator="containsText" text="T">
      <formula>NOT(ISERROR(SEARCH("T",K77)))</formula>
    </cfRule>
  </conditionalFormatting>
  <conditionalFormatting sqref="K76:U76">
    <cfRule type="containsText" dxfId="916" priority="752" operator="containsText" text="17">
      <formula>NOT(ISERROR(SEARCH("17",K76)))</formula>
    </cfRule>
    <cfRule type="containsText" dxfId="915" priority="753" operator="containsText" text="T">
      <formula>NOT(ISERROR(SEARCH("T",K76)))</formula>
    </cfRule>
  </conditionalFormatting>
  <conditionalFormatting sqref="K77:AE82 K76:S76">
    <cfRule type="containsText" dxfId="914" priority="759" operator="containsText" text="17">
      <formula>NOT(ISERROR(SEARCH("17",K76)))</formula>
    </cfRule>
  </conditionalFormatting>
  <conditionalFormatting sqref="L107:L112">
    <cfRule type="containsText" dxfId="913" priority="747" operator="containsText" text="T">
      <formula>NOT(ISERROR(SEARCH("T",L107)))</formula>
    </cfRule>
  </conditionalFormatting>
  <conditionalFormatting sqref="L106:V106">
    <cfRule type="containsText" dxfId="912" priority="739" operator="containsText" text="17">
      <formula>NOT(ISERROR(SEARCH("17",L106)))</formula>
    </cfRule>
    <cfRule type="containsText" dxfId="911" priority="740" operator="containsText" text="T">
      <formula>NOT(ISERROR(SEARCH("T",L106)))</formula>
    </cfRule>
  </conditionalFormatting>
  <conditionalFormatting sqref="L107:AF112 L106:T106">
    <cfRule type="containsText" dxfId="910" priority="746" operator="containsText" text="17">
      <formula>NOT(ISERROR(SEARCH("17",L106)))</formula>
    </cfRule>
  </conditionalFormatting>
  <conditionalFormatting sqref="M120:AG126 AJ120:AJ126">
    <cfRule type="containsText" dxfId="909" priority="311" operator="containsText" text="T">
      <formula>NOT(ISERROR(SEARCH("T",M120)))</formula>
    </cfRule>
  </conditionalFormatting>
  <conditionalFormatting sqref="M120:AG126">
    <cfRule type="containsText" dxfId="908" priority="313" operator="containsText" text="17">
      <formula>NOT(ISERROR(SEARCH("17",M120)))</formula>
    </cfRule>
  </conditionalFormatting>
  <conditionalFormatting sqref="N70:N75">
    <cfRule type="containsText" dxfId="907" priority="734" operator="containsText" text="T">
      <formula>NOT(ISERROR(SEARCH("T",N70)))</formula>
    </cfRule>
  </conditionalFormatting>
  <conditionalFormatting sqref="N69:X69">
    <cfRule type="containsText" dxfId="906" priority="726" operator="containsText" text="17">
      <formula>NOT(ISERROR(SEARCH("17",N69)))</formula>
    </cfRule>
    <cfRule type="containsText" dxfId="905" priority="727" operator="containsText" text="T">
      <formula>NOT(ISERROR(SEARCH("T",N69)))</formula>
    </cfRule>
  </conditionalFormatting>
  <conditionalFormatting sqref="N70:AH75 N69:V69">
    <cfRule type="containsText" dxfId="904" priority="733" operator="containsText" text="17">
      <formula>NOT(ISERROR(SEARCH("17",N69)))</formula>
    </cfRule>
  </conditionalFormatting>
  <conditionalFormatting sqref="O100:O105">
    <cfRule type="containsText" dxfId="903" priority="721" operator="containsText" text="T">
      <formula>NOT(ISERROR(SEARCH("T",O100)))</formula>
    </cfRule>
  </conditionalFormatting>
  <conditionalFormatting sqref="O99:Y99">
    <cfRule type="containsText" dxfId="902" priority="713" operator="containsText" text="17">
      <formula>NOT(ISERROR(SEARCH("17",O99)))</formula>
    </cfRule>
    <cfRule type="containsText" dxfId="901" priority="714" operator="containsText" text="T">
      <formula>NOT(ISERROR(SEARCH("T",O99)))</formula>
    </cfRule>
  </conditionalFormatting>
  <conditionalFormatting sqref="O100:AI105 O99:W99">
    <cfRule type="containsText" dxfId="900" priority="720" operator="containsText" text="17">
      <formula>NOT(ISERROR(SEARCH("17",O99)))</formula>
    </cfRule>
  </conditionalFormatting>
  <conditionalFormatting sqref="P67:Z68">
    <cfRule type="containsText" dxfId="899" priority="703" operator="containsText" text="17">
      <formula>NOT(ISERROR(SEARCH("17",P67)))</formula>
    </cfRule>
  </conditionalFormatting>
  <conditionalFormatting sqref="P97:Z98">
    <cfRule type="containsText" dxfId="898" priority="693" operator="containsText" text="17">
      <formula>NOT(ISERROR(SEARCH("17",P97)))</formula>
    </cfRule>
  </conditionalFormatting>
  <conditionalFormatting sqref="P127:Z130">
    <cfRule type="containsText" dxfId="897" priority="673" operator="containsText" text="17">
      <formula>NOT(ISERROR(SEARCH("17",P127)))</formula>
    </cfRule>
  </conditionalFormatting>
  <conditionalFormatting sqref="Q132:Q137">
    <cfRule type="containsText" dxfId="896" priority="668" operator="containsText" text="T">
      <formula>NOT(ISERROR(SEARCH("T",Q132)))</formula>
    </cfRule>
  </conditionalFormatting>
  <conditionalFormatting sqref="Q131:AA131">
    <cfRule type="containsText" dxfId="895" priority="660" operator="containsText" text="17">
      <formula>NOT(ISERROR(SEARCH("17",Q131)))</formula>
    </cfRule>
    <cfRule type="containsText" dxfId="894" priority="661" operator="containsText" text="T">
      <formula>NOT(ISERROR(SEARCH("T",Q131)))</formula>
    </cfRule>
  </conditionalFormatting>
  <conditionalFormatting sqref="Q132:AK137 Q131:Y131">
    <cfRule type="containsText" dxfId="893" priority="667" operator="containsText" text="17">
      <formula>NOT(ISERROR(SEARCH("17",Q131)))</formula>
    </cfRule>
  </conditionalFormatting>
  <conditionalFormatting sqref="R139:R144">
    <cfRule type="containsText" dxfId="892" priority="655" operator="containsText" text="T">
      <formula>NOT(ISERROR(SEARCH("T",R139)))</formula>
    </cfRule>
  </conditionalFormatting>
  <conditionalFormatting sqref="R138:AB138">
    <cfRule type="containsText" dxfId="891" priority="647" operator="containsText" text="17">
      <formula>NOT(ISERROR(SEARCH("17",R138)))</formula>
    </cfRule>
    <cfRule type="containsText" dxfId="890" priority="648" operator="containsText" text="T">
      <formula>NOT(ISERROR(SEARCH("T",R138)))</formula>
    </cfRule>
  </conditionalFormatting>
  <conditionalFormatting sqref="R139:AL144 R138:Z138">
    <cfRule type="containsText" dxfId="889" priority="654" operator="containsText" text="17">
      <formula>NOT(ISERROR(SEARCH("17",R138)))</formula>
    </cfRule>
  </conditionalFormatting>
  <conditionalFormatting sqref="S146:S151">
    <cfRule type="containsText" dxfId="888" priority="642" operator="containsText" text="T">
      <formula>NOT(ISERROR(SEARCH("T",S146)))</formula>
    </cfRule>
  </conditionalFormatting>
  <conditionalFormatting sqref="S145:AC145">
    <cfRule type="containsText" dxfId="887" priority="634" operator="containsText" text="17">
      <formula>NOT(ISERROR(SEARCH("17",S145)))</formula>
    </cfRule>
    <cfRule type="containsText" dxfId="886" priority="635" operator="containsText" text="T">
      <formula>NOT(ISERROR(SEARCH("T",S145)))</formula>
    </cfRule>
  </conditionalFormatting>
  <conditionalFormatting sqref="S146:AM151 S145:AA145">
    <cfRule type="containsText" dxfId="885" priority="641" operator="containsText" text="17">
      <formula>NOT(ISERROR(SEARCH("17",S145)))</formula>
    </cfRule>
  </conditionalFormatting>
  <conditionalFormatting sqref="T153:T158">
    <cfRule type="containsText" dxfId="884" priority="629" operator="containsText" text="T">
      <formula>NOT(ISERROR(SEARCH("T",T153)))</formula>
    </cfRule>
  </conditionalFormatting>
  <conditionalFormatting sqref="T152:AD152">
    <cfRule type="containsText" dxfId="883" priority="621" operator="containsText" text="17">
      <formula>NOT(ISERROR(SEARCH("17",T152)))</formula>
    </cfRule>
    <cfRule type="containsText" dxfId="882" priority="622" operator="containsText" text="T">
      <formula>NOT(ISERROR(SEARCH("T",T152)))</formula>
    </cfRule>
  </conditionalFormatting>
  <conditionalFormatting sqref="T153:AN158 T152:AB152">
    <cfRule type="containsText" dxfId="881" priority="628" operator="containsText" text="17">
      <formula>NOT(ISERROR(SEARCH("17",T152)))</formula>
    </cfRule>
  </conditionalFormatting>
  <conditionalFormatting sqref="U160:U165">
    <cfRule type="containsText" dxfId="880" priority="616" operator="containsText" text="T">
      <formula>NOT(ISERROR(SEARCH("T",U160)))</formula>
    </cfRule>
  </conditionalFormatting>
  <conditionalFormatting sqref="U113:AA113">
    <cfRule type="containsText" dxfId="879" priority="774" operator="containsText" text="17">
      <formula>NOT(ISERROR(SEARCH("17",U113)))</formula>
    </cfRule>
    <cfRule type="containsText" dxfId="878" priority="775" operator="containsText" text="T">
      <formula>NOT(ISERROR(SEARCH("T",U113)))</formula>
    </cfRule>
  </conditionalFormatting>
  <conditionalFormatting sqref="U159:AE159">
    <cfRule type="containsText" dxfId="877" priority="608" operator="containsText" text="17">
      <formula>NOT(ISERROR(SEARCH("17",U159)))</formula>
    </cfRule>
    <cfRule type="containsText" dxfId="876" priority="609" operator="containsText" text="T">
      <formula>NOT(ISERROR(SEARCH("T",U159)))</formula>
    </cfRule>
  </conditionalFormatting>
  <conditionalFormatting sqref="U160:AO165 U159:AC159">
    <cfRule type="containsText" dxfId="875" priority="615" operator="containsText" text="17">
      <formula>NOT(ISERROR(SEARCH("17",U159)))</formula>
    </cfRule>
  </conditionalFormatting>
  <conditionalFormatting sqref="V113">
    <cfRule type="containsText" dxfId="874" priority="770" operator="containsText" text="17">
      <formula>NOT(ISERROR(SEARCH("17",V113)))</formula>
    </cfRule>
    <cfRule type="containsText" dxfId="873" priority="771" operator="containsText" text="T">
      <formula>NOT(ISERROR(SEARCH("T",V113)))</formula>
    </cfRule>
  </conditionalFormatting>
  <conditionalFormatting sqref="V208:V213">
    <cfRule type="containsText" dxfId="872" priority="603" operator="containsText" text="T">
      <formula>NOT(ISERROR(SEARCH("T",V208)))</formula>
    </cfRule>
  </conditionalFormatting>
  <conditionalFormatting sqref="V76:AB76">
    <cfRule type="containsText" dxfId="871" priority="761" operator="containsText" text="17">
      <formula>NOT(ISERROR(SEARCH("17",V76)))</formula>
    </cfRule>
    <cfRule type="containsText" dxfId="870" priority="762" operator="containsText" text="T">
      <formula>NOT(ISERROR(SEARCH("T",V76)))</formula>
    </cfRule>
  </conditionalFormatting>
  <conditionalFormatting sqref="V207:AF207">
    <cfRule type="containsText" dxfId="869" priority="595" operator="containsText" text="17">
      <formula>NOT(ISERROR(SEARCH("17",V207)))</formula>
    </cfRule>
    <cfRule type="containsText" dxfId="868" priority="596" operator="containsText" text="T">
      <formula>NOT(ISERROR(SEARCH("T",V207)))</formula>
    </cfRule>
  </conditionalFormatting>
  <conditionalFormatting sqref="V208:AP213 V207:AD207">
    <cfRule type="containsText" dxfId="867" priority="602" operator="containsText" text="17">
      <formula>NOT(ISERROR(SEARCH("17",V207)))</formula>
    </cfRule>
  </conditionalFormatting>
  <conditionalFormatting sqref="W76">
    <cfRule type="containsText" dxfId="866" priority="757" operator="containsText" text="17">
      <formula>NOT(ISERROR(SEARCH("17",W76)))</formula>
    </cfRule>
    <cfRule type="containsText" dxfId="865" priority="758" operator="containsText" text="T">
      <formula>NOT(ISERROR(SEARCH("T",W76)))</formula>
    </cfRule>
  </conditionalFormatting>
  <conditionalFormatting sqref="W201:W206">
    <cfRule type="containsText" dxfId="864" priority="590" operator="containsText" text="T">
      <formula>NOT(ISERROR(SEARCH("T",W201)))</formula>
    </cfRule>
  </conditionalFormatting>
  <conditionalFormatting sqref="W106:AC106">
    <cfRule type="containsText" dxfId="863" priority="748" operator="containsText" text="17">
      <formula>NOT(ISERROR(SEARCH("17",W106)))</formula>
    </cfRule>
    <cfRule type="containsText" dxfId="862" priority="749" operator="containsText" text="T">
      <formula>NOT(ISERROR(SEARCH("T",W106)))</formula>
    </cfRule>
  </conditionalFormatting>
  <conditionalFormatting sqref="W200:AG200">
    <cfRule type="containsText" dxfId="861" priority="582" operator="containsText" text="17">
      <formula>NOT(ISERROR(SEARCH("17",W200)))</formula>
    </cfRule>
    <cfRule type="containsText" dxfId="860" priority="583" operator="containsText" text="T">
      <formula>NOT(ISERROR(SEARCH("T",W200)))</formula>
    </cfRule>
  </conditionalFormatting>
  <conditionalFormatting sqref="W201:AQ206 W200:AE200">
    <cfRule type="containsText" dxfId="859" priority="589" operator="containsText" text="17">
      <formula>NOT(ISERROR(SEARCH("17",W200)))</formula>
    </cfRule>
  </conditionalFormatting>
  <conditionalFormatting sqref="X106">
    <cfRule type="containsText" dxfId="858" priority="744" operator="containsText" text="17">
      <formula>NOT(ISERROR(SEARCH("17",X106)))</formula>
    </cfRule>
    <cfRule type="containsText" dxfId="857" priority="745" operator="containsText" text="T">
      <formula>NOT(ISERROR(SEARCH("T",X106)))</formula>
    </cfRule>
  </conditionalFormatting>
  <conditionalFormatting sqref="X194:X199">
    <cfRule type="containsText" dxfId="856" priority="577" operator="containsText" text="T">
      <formula>NOT(ISERROR(SEARCH("T",X194)))</formula>
    </cfRule>
  </conditionalFormatting>
  <conditionalFormatting sqref="X192:AH193">
    <cfRule type="containsText" dxfId="855" priority="564" operator="containsText" text="17">
      <formula>NOT(ISERROR(SEARCH("17",X192)))</formula>
    </cfRule>
    <cfRule type="containsText" dxfId="854" priority="565" operator="containsText" text="T">
      <formula>NOT(ISERROR(SEARCH("T",X192)))</formula>
    </cfRule>
  </conditionalFormatting>
  <conditionalFormatting sqref="Y169:Y174">
    <cfRule type="containsText" dxfId="853" priority="559" operator="containsText" text="T">
      <formula>NOT(ISERROR(SEARCH("T",Y169)))</formula>
    </cfRule>
  </conditionalFormatting>
  <conditionalFormatting sqref="Y69:AE69">
    <cfRule type="containsText" dxfId="852" priority="735" operator="containsText" text="17">
      <formula>NOT(ISERROR(SEARCH("17",Y69)))</formula>
    </cfRule>
    <cfRule type="containsText" dxfId="851" priority="736" operator="containsText" text="T">
      <formula>NOT(ISERROR(SEARCH("T",Y69)))</formula>
    </cfRule>
  </conditionalFormatting>
  <conditionalFormatting sqref="Y168:AI168">
    <cfRule type="containsText" dxfId="850" priority="551" operator="containsText" text="17">
      <formula>NOT(ISERROR(SEARCH("17",Y168)))</formula>
    </cfRule>
    <cfRule type="containsText" dxfId="849" priority="552" operator="containsText" text="T">
      <formula>NOT(ISERROR(SEARCH("T",Y168)))</formula>
    </cfRule>
  </conditionalFormatting>
  <conditionalFormatting sqref="Y169:AS174 Y168:AG168">
    <cfRule type="containsText" dxfId="848" priority="558" operator="containsText" text="17">
      <formula>NOT(ISERROR(SEARCH("17",Y168)))</formula>
    </cfRule>
  </conditionalFormatting>
  <conditionalFormatting sqref="Z69">
    <cfRule type="containsText" dxfId="847" priority="731" operator="containsText" text="17">
      <formula>NOT(ISERROR(SEARCH("17",Z69)))</formula>
    </cfRule>
    <cfRule type="containsText" dxfId="846" priority="732" operator="containsText" text="T">
      <formula>NOT(ISERROR(SEARCH("T",Z69)))</formula>
    </cfRule>
  </conditionalFormatting>
  <conditionalFormatting sqref="Z176:Z181">
    <cfRule type="containsText" dxfId="845" priority="546" operator="containsText" text="T">
      <formula>NOT(ISERROR(SEARCH("T",Z176)))</formula>
    </cfRule>
  </conditionalFormatting>
  <conditionalFormatting sqref="Z99:AF99">
    <cfRule type="containsText" dxfId="844" priority="722" operator="containsText" text="17">
      <formula>NOT(ISERROR(SEARCH("17",Z99)))</formula>
    </cfRule>
    <cfRule type="containsText" dxfId="843" priority="723" operator="containsText" text="T">
      <formula>NOT(ISERROR(SEARCH("T",Z99)))</formula>
    </cfRule>
  </conditionalFormatting>
  <conditionalFormatting sqref="Z175:AJ175">
    <cfRule type="containsText" dxfId="842" priority="538" operator="containsText" text="17">
      <formula>NOT(ISERROR(SEARCH("17",Z175)))</formula>
    </cfRule>
    <cfRule type="containsText" dxfId="841" priority="539" operator="containsText" text="T">
      <formula>NOT(ISERROR(SEARCH("T",Z175)))</formula>
    </cfRule>
  </conditionalFormatting>
  <conditionalFormatting sqref="Z176:AT181 Z175:AH175">
    <cfRule type="containsText" dxfId="840" priority="545" operator="containsText" text="17">
      <formula>NOT(ISERROR(SEARCH("17",Z175)))</formula>
    </cfRule>
  </conditionalFormatting>
  <conditionalFormatting sqref="AA99">
    <cfRule type="containsText" dxfId="839" priority="718" operator="containsText" text="17">
      <formula>NOT(ISERROR(SEARCH("17",AA99)))</formula>
    </cfRule>
    <cfRule type="containsText" dxfId="838" priority="719" operator="containsText" text="T">
      <formula>NOT(ISERROR(SEARCH("T",AA99)))</formula>
    </cfRule>
  </conditionalFormatting>
  <conditionalFormatting sqref="AA113 AE113:AG113 J114:AD119 AG114:AG119">
    <cfRule type="containsText" dxfId="837" priority="767" operator="containsText" text="T">
      <formula>NOT(ISERROR(SEARCH("T",J113)))</formula>
    </cfRule>
  </conditionalFormatting>
  <conditionalFormatting sqref="AA183:AA190">
    <cfRule type="containsText" dxfId="836" priority="533" operator="containsText" text="T">
      <formula>NOT(ISERROR(SEARCH("T",AA183)))</formula>
    </cfRule>
  </conditionalFormatting>
  <conditionalFormatting sqref="AA113:AB113 AE113:AG113 AG114:AG119">
    <cfRule type="containsText" dxfId="835" priority="768" operator="containsText" text="17">
      <formula>NOT(ISERROR(SEARCH("17",AA113)))</formula>
    </cfRule>
  </conditionalFormatting>
  <conditionalFormatting sqref="AA67:AG68">
    <cfRule type="containsText" dxfId="834" priority="711" operator="containsText" text="17">
      <formula>NOT(ISERROR(SEARCH("17",AA67)))</formula>
    </cfRule>
    <cfRule type="containsText" dxfId="833" priority="712" operator="containsText" text="T">
      <formula>NOT(ISERROR(SEARCH("T",AA67)))</formula>
    </cfRule>
  </conditionalFormatting>
  <conditionalFormatting sqref="AA97:AG98">
    <cfRule type="containsText" dxfId="832" priority="701" operator="containsText" text="17">
      <formula>NOT(ISERROR(SEARCH("17",AA97)))</formula>
    </cfRule>
    <cfRule type="containsText" dxfId="831" priority="702" operator="containsText" text="T">
      <formula>NOT(ISERROR(SEARCH("T",AA97)))</formula>
    </cfRule>
  </conditionalFormatting>
  <conditionalFormatting sqref="AA127:AG130">
    <cfRule type="containsText" dxfId="830" priority="681" operator="containsText" text="17">
      <formula>NOT(ISERROR(SEARCH("17",AA127)))</formula>
    </cfRule>
    <cfRule type="containsText" dxfId="829" priority="682" operator="containsText" text="T">
      <formula>NOT(ISERROR(SEARCH("T",AA127)))</formula>
    </cfRule>
  </conditionalFormatting>
  <conditionalFormatting sqref="AA182:AK182">
    <cfRule type="containsText" dxfId="828" priority="525" operator="containsText" text="17">
      <formula>NOT(ISERROR(SEARCH("17",AA182)))</formula>
    </cfRule>
    <cfRule type="containsText" dxfId="827" priority="526" operator="containsText" text="T">
      <formula>NOT(ISERROR(SEARCH("T",AA182)))</formula>
    </cfRule>
  </conditionalFormatting>
  <conditionalFormatting sqref="AA183:AU190 AA182:AI182">
    <cfRule type="containsText" dxfId="826" priority="532" operator="containsText" text="17">
      <formula>NOT(ISERROR(SEARCH("17",AA182)))</formula>
    </cfRule>
  </conditionalFormatting>
  <conditionalFormatting sqref="AB67:AB68">
    <cfRule type="containsText" dxfId="825" priority="708" operator="containsText" text="17">
      <formula>NOT(ISERROR(SEARCH("17",AB67)))</formula>
    </cfRule>
    <cfRule type="containsText" dxfId="824" priority="709" operator="containsText" text="T">
      <formula>NOT(ISERROR(SEARCH("T",AB67)))</formula>
    </cfRule>
  </conditionalFormatting>
  <conditionalFormatting sqref="AB76 AF76:AH76 K77:AE82 AH77:AH82">
    <cfRule type="containsText" dxfId="823" priority="754" operator="containsText" text="T">
      <formula>NOT(ISERROR(SEARCH("T",K76)))</formula>
    </cfRule>
  </conditionalFormatting>
  <conditionalFormatting sqref="AB91:AB96">
    <cfRule type="containsText" dxfId="822" priority="520" operator="containsText" text="T">
      <formula>NOT(ISERROR(SEARCH("T",AB91)))</formula>
    </cfRule>
  </conditionalFormatting>
  <conditionalFormatting sqref="AB97:AB98">
    <cfRule type="containsText" dxfId="821" priority="698" operator="containsText" text="17">
      <formula>NOT(ISERROR(SEARCH("17",AB97)))</formula>
    </cfRule>
    <cfRule type="containsText" dxfId="820" priority="699" operator="containsText" text="T">
      <formula>NOT(ISERROR(SEARCH("T",AB97)))</formula>
    </cfRule>
  </conditionalFormatting>
  <conditionalFormatting sqref="AB113">
    <cfRule type="containsText" dxfId="819" priority="769" operator="containsText" text="T">
      <formula>NOT(ISERROR(SEARCH("T",AB113)))</formula>
    </cfRule>
  </conditionalFormatting>
  <conditionalFormatting sqref="AB127:AB130">
    <cfRule type="containsText" dxfId="818" priority="678" operator="containsText" text="17">
      <formula>NOT(ISERROR(SEARCH("17",AB127)))</formula>
    </cfRule>
    <cfRule type="containsText" dxfId="817" priority="679" operator="containsText" text="T">
      <formula>NOT(ISERROR(SEARCH("T",AB127)))</formula>
    </cfRule>
  </conditionalFormatting>
  <conditionalFormatting sqref="AB76:AC76 AF76:AH76 AH77:AH82">
    <cfRule type="containsText" dxfId="816" priority="755" operator="containsText" text="17">
      <formula>NOT(ISERROR(SEARCH("17",AB76)))</formula>
    </cfRule>
  </conditionalFormatting>
  <conditionalFormatting sqref="AB131:AH131">
    <cfRule type="containsText" dxfId="815" priority="669" operator="containsText" text="17">
      <formula>NOT(ISERROR(SEARCH("17",AB131)))</formula>
    </cfRule>
    <cfRule type="containsText" dxfId="814" priority="670" operator="containsText" text="T">
      <formula>NOT(ISERROR(SEARCH("T",AB131)))</formula>
    </cfRule>
  </conditionalFormatting>
  <conditionalFormatting sqref="AB90:AL90">
    <cfRule type="containsText" dxfId="813" priority="512" operator="containsText" text="17">
      <formula>NOT(ISERROR(SEARCH("17",AB90)))</formula>
    </cfRule>
    <cfRule type="containsText" dxfId="812" priority="513" operator="containsText" text="T">
      <formula>NOT(ISERROR(SEARCH("T",AB90)))</formula>
    </cfRule>
  </conditionalFormatting>
  <conditionalFormatting sqref="AB91:AV96 AB90:AJ90">
    <cfRule type="containsText" dxfId="811" priority="519" operator="containsText" text="17">
      <formula>NOT(ISERROR(SEARCH("17",AB90)))</formula>
    </cfRule>
  </conditionalFormatting>
  <conditionalFormatting sqref="AC15:AC20">
    <cfRule type="containsText" dxfId="810" priority="507" operator="containsText" text="T">
      <formula>NOT(ISERROR(SEARCH("T",AC15)))</formula>
    </cfRule>
  </conditionalFormatting>
  <conditionalFormatting sqref="AC76">
    <cfRule type="containsText" dxfId="809" priority="756" operator="containsText" text="T">
      <formula>NOT(ISERROR(SEARCH("T",AC76)))</formula>
    </cfRule>
  </conditionalFormatting>
  <conditionalFormatting sqref="AC106 L107:AF112 AI107:AI112">
    <cfRule type="containsText" dxfId="808" priority="741" operator="containsText" text="T">
      <formula>NOT(ISERROR(SEARCH("T",L106)))</formula>
    </cfRule>
  </conditionalFormatting>
  <conditionalFormatting sqref="AC131">
    <cfRule type="containsText" dxfId="807" priority="665" operator="containsText" text="17">
      <formula>NOT(ISERROR(SEARCH("17",AC131)))</formula>
    </cfRule>
    <cfRule type="containsText" dxfId="806" priority="666" operator="containsText" text="T">
      <formula>NOT(ISERROR(SEARCH("T",AC131)))</formula>
    </cfRule>
  </conditionalFormatting>
  <conditionalFormatting sqref="AC106:AD106 AI107:AI112">
    <cfRule type="containsText" dxfId="805" priority="742" operator="containsText" text="17">
      <formula>NOT(ISERROR(SEARCH("17",AC106)))</formula>
    </cfRule>
  </conditionalFormatting>
  <conditionalFormatting sqref="AC138:AI138">
    <cfRule type="containsText" dxfId="804" priority="656" operator="containsText" text="17">
      <formula>NOT(ISERROR(SEARCH("17",AC138)))</formula>
    </cfRule>
    <cfRule type="containsText" dxfId="803" priority="657" operator="containsText" text="T">
      <formula>NOT(ISERROR(SEARCH("T",AC138)))</formula>
    </cfRule>
  </conditionalFormatting>
  <conditionalFormatting sqref="AC14:AM14">
    <cfRule type="containsText" dxfId="802" priority="499" operator="containsText" text="17">
      <formula>NOT(ISERROR(SEARCH("17",AC14)))</formula>
    </cfRule>
    <cfRule type="containsText" dxfId="801" priority="500" operator="containsText" text="T">
      <formula>NOT(ISERROR(SEARCH("T",AC14)))</formula>
    </cfRule>
  </conditionalFormatting>
  <conditionalFormatting sqref="AC15:AW20 AC14:AK14">
    <cfRule type="containsText" dxfId="800" priority="506" operator="containsText" text="17">
      <formula>NOT(ISERROR(SEARCH("17",AC14)))</formula>
    </cfRule>
  </conditionalFormatting>
  <conditionalFormatting sqref="AD35:AD40">
    <cfRule type="containsText" dxfId="799" priority="494" operator="containsText" text="T">
      <formula>NOT(ISERROR(SEARCH("T",AD35)))</formula>
    </cfRule>
  </conditionalFormatting>
  <conditionalFormatting sqref="AD106">
    <cfRule type="containsText" dxfId="798" priority="743" operator="containsText" text="T">
      <formula>NOT(ISERROR(SEARCH("T",AD106)))</formula>
    </cfRule>
  </conditionalFormatting>
  <conditionalFormatting sqref="AD138">
    <cfRule type="containsText" dxfId="797" priority="652" operator="containsText" text="17">
      <formula>NOT(ISERROR(SEARCH("17",AD138)))</formula>
    </cfRule>
    <cfRule type="containsText" dxfId="796" priority="653" operator="containsText" text="T">
      <formula>NOT(ISERROR(SEARCH("T",AD138)))</formula>
    </cfRule>
  </conditionalFormatting>
  <conditionalFormatting sqref="AD145:AJ145">
    <cfRule type="containsText" dxfId="795" priority="643" operator="containsText" text="17">
      <formula>NOT(ISERROR(SEARCH("17",AD145)))</formula>
    </cfRule>
    <cfRule type="containsText" dxfId="794" priority="644" operator="containsText" text="T">
      <formula>NOT(ISERROR(SEARCH("T",AD145)))</formula>
    </cfRule>
  </conditionalFormatting>
  <conditionalFormatting sqref="AD34:AN34">
    <cfRule type="containsText" dxfId="793" priority="486" operator="containsText" text="17">
      <formula>NOT(ISERROR(SEARCH("17",AD34)))</formula>
    </cfRule>
    <cfRule type="containsText" dxfId="792" priority="487" operator="containsText" text="T">
      <formula>NOT(ISERROR(SEARCH("T",AD34)))</formula>
    </cfRule>
  </conditionalFormatting>
  <conditionalFormatting sqref="AD35:AX40 AD34:AL34">
    <cfRule type="containsText" dxfId="791" priority="493" operator="containsText" text="17">
      <formula>NOT(ISERROR(SEARCH("17",AD34)))</formula>
    </cfRule>
  </conditionalFormatting>
  <conditionalFormatting sqref="AE22:AE27">
    <cfRule type="containsText" dxfId="790" priority="481" operator="containsText" text="T">
      <formula>NOT(ISERROR(SEARCH("T",AE22)))</formula>
    </cfRule>
  </conditionalFormatting>
  <conditionalFormatting sqref="AE69 AI69:AK69 N70:AH75 AK70:AK75">
    <cfRule type="containsText" dxfId="789" priority="728" operator="containsText" text="T">
      <formula>NOT(ISERROR(SEARCH("T",N69)))</formula>
    </cfRule>
  </conditionalFormatting>
  <conditionalFormatting sqref="AE145">
    <cfRule type="containsText" dxfId="788" priority="639" operator="containsText" text="17">
      <formula>NOT(ISERROR(SEARCH("17",AE145)))</formula>
    </cfRule>
    <cfRule type="containsText" dxfId="787" priority="640" operator="containsText" text="T">
      <formula>NOT(ISERROR(SEARCH("T",AE145)))</formula>
    </cfRule>
  </conditionalFormatting>
  <conditionalFormatting sqref="AE69:AF69 AI69:AK69 AK70:AK75">
    <cfRule type="containsText" dxfId="786" priority="729" operator="containsText" text="17">
      <formula>NOT(ISERROR(SEARCH("17",AE69)))</formula>
    </cfRule>
  </conditionalFormatting>
  <conditionalFormatting sqref="AE152:AK152">
    <cfRule type="containsText" dxfId="785" priority="630" operator="containsText" text="17">
      <formula>NOT(ISERROR(SEARCH("17",AE152)))</formula>
    </cfRule>
    <cfRule type="containsText" dxfId="784" priority="631" operator="containsText" text="T">
      <formula>NOT(ISERROR(SEARCH("T",AE152)))</formula>
    </cfRule>
  </conditionalFormatting>
  <conditionalFormatting sqref="AE21:AO21">
    <cfRule type="containsText" dxfId="783" priority="473" operator="containsText" text="17">
      <formula>NOT(ISERROR(SEARCH("17",AE21)))</formula>
    </cfRule>
    <cfRule type="containsText" dxfId="782" priority="474" operator="containsText" text="T">
      <formula>NOT(ISERROR(SEARCH("T",AE21)))</formula>
    </cfRule>
  </conditionalFormatting>
  <conditionalFormatting sqref="AE22:AY27 AE21:AM21">
    <cfRule type="containsText" dxfId="781" priority="480" operator="containsText" text="17">
      <formula>NOT(ISERROR(SEARCH("17",AE21)))</formula>
    </cfRule>
  </conditionalFormatting>
  <conditionalFormatting sqref="AF42:AF47">
    <cfRule type="containsText" dxfId="780" priority="468" operator="containsText" text="T">
      <formula>NOT(ISERROR(SEARCH("T",AF42)))</formula>
    </cfRule>
  </conditionalFormatting>
  <conditionalFormatting sqref="AF69">
    <cfRule type="containsText" dxfId="779" priority="730" operator="containsText" text="T">
      <formula>NOT(ISERROR(SEARCH("T",AF69)))</formula>
    </cfRule>
  </conditionalFormatting>
  <conditionalFormatting sqref="AF99 AJ99:AL99 O100:AI105 AL100:AL105">
    <cfRule type="containsText" dxfId="778" priority="715" operator="containsText" text="T">
      <formula>NOT(ISERROR(SEARCH("T",O99)))</formula>
    </cfRule>
  </conditionalFormatting>
  <conditionalFormatting sqref="AF152">
    <cfRule type="containsText" dxfId="777" priority="626" operator="containsText" text="17">
      <formula>NOT(ISERROR(SEARCH("17",AF152)))</formula>
    </cfRule>
    <cfRule type="containsText" dxfId="776" priority="627" operator="containsText" text="T">
      <formula>NOT(ISERROR(SEARCH("T",AF152)))</formula>
    </cfRule>
  </conditionalFormatting>
  <conditionalFormatting sqref="AF99:AG99 AJ99:AL99 AL100:AL105">
    <cfRule type="containsText" dxfId="775" priority="716" operator="containsText" text="17">
      <formula>NOT(ISERROR(SEARCH("17",AF99)))</formula>
    </cfRule>
  </conditionalFormatting>
  <conditionalFormatting sqref="AF159:AL159">
    <cfRule type="containsText" dxfId="774" priority="617" operator="containsText" text="17">
      <formula>NOT(ISERROR(SEARCH("17",AF159)))</formula>
    </cfRule>
    <cfRule type="containsText" dxfId="773" priority="618" operator="containsText" text="T">
      <formula>NOT(ISERROR(SEARCH("T",AF159)))</formula>
    </cfRule>
  </conditionalFormatting>
  <conditionalFormatting sqref="AF41:AP41">
    <cfRule type="containsText" dxfId="772" priority="460" operator="containsText" text="17">
      <formula>NOT(ISERROR(SEARCH("17",AF41)))</formula>
    </cfRule>
    <cfRule type="containsText" dxfId="771" priority="461" operator="containsText" text="T">
      <formula>NOT(ISERROR(SEARCH("T",AF41)))</formula>
    </cfRule>
  </conditionalFormatting>
  <conditionalFormatting sqref="AF42:AZ47 AF41:AN41">
    <cfRule type="containsText" dxfId="770" priority="467" operator="containsText" text="17">
      <formula>NOT(ISERROR(SEARCH("17",AF41)))</formula>
    </cfRule>
  </conditionalFormatting>
  <conditionalFormatting sqref="AG67:AG68">
    <cfRule type="containsText" dxfId="769" priority="705" operator="containsText" text="T">
      <formula>NOT(ISERROR(SEARCH("T",AG67)))</formula>
    </cfRule>
  </conditionalFormatting>
  <conditionalFormatting sqref="AG97:AG98">
    <cfRule type="containsText" dxfId="768" priority="695" operator="containsText" text="T">
      <formula>NOT(ISERROR(SEARCH("T",AG97)))</formula>
    </cfRule>
  </conditionalFormatting>
  <conditionalFormatting sqref="AG99">
    <cfRule type="containsText" dxfId="767" priority="717" operator="containsText" text="T">
      <formula>NOT(ISERROR(SEARCH("T",AG99)))</formula>
    </cfRule>
  </conditionalFormatting>
  <conditionalFormatting sqref="AG114:AG119">
    <cfRule type="containsText" dxfId="766" priority="777" operator="containsText" text="T">
      <formula>NOT(ISERROR(SEARCH("T",AG114)))</formula>
    </cfRule>
  </conditionalFormatting>
  <conditionalFormatting sqref="AG127:AG130 AK127:AM130">
    <cfRule type="containsText" dxfId="765" priority="675" operator="containsText" text="T">
      <formula>NOT(ISERROR(SEARCH("T",AG127)))</formula>
    </cfRule>
  </conditionalFormatting>
  <conditionalFormatting sqref="AG159">
    <cfRule type="containsText" dxfId="764" priority="613" operator="containsText" text="17">
      <formula>NOT(ISERROR(SEARCH("17",AG159)))</formula>
    </cfRule>
    <cfRule type="containsText" dxfId="763" priority="614" operator="containsText" text="T">
      <formula>NOT(ISERROR(SEARCH("T",AG159)))</formula>
    </cfRule>
  </conditionalFormatting>
  <conditionalFormatting sqref="AG67:AH68">
    <cfRule type="containsText" dxfId="762" priority="706" operator="containsText" text="17">
      <formula>NOT(ISERROR(SEARCH("17",AG67)))</formula>
    </cfRule>
  </conditionalFormatting>
  <conditionalFormatting sqref="AG97:AH98">
    <cfRule type="containsText" dxfId="761" priority="696" operator="containsText" text="17">
      <formula>NOT(ISERROR(SEARCH("17",AG97)))</formula>
    </cfRule>
  </conditionalFormatting>
  <conditionalFormatting sqref="AG127:AH130 AK127:AM130">
    <cfRule type="containsText" dxfId="760" priority="676" operator="containsText" text="17">
      <formula>NOT(ISERROR(SEARCH("17",AG127)))</formula>
    </cfRule>
  </conditionalFormatting>
  <conditionalFormatting sqref="AG207:AM207">
    <cfRule type="containsText" dxfId="759" priority="604" operator="containsText" text="17">
      <formula>NOT(ISERROR(SEARCH("17",AG207)))</formula>
    </cfRule>
    <cfRule type="containsText" dxfId="758" priority="605" operator="containsText" text="T">
      <formula>NOT(ISERROR(SEARCH("T",AG207)))</formula>
    </cfRule>
  </conditionalFormatting>
  <conditionalFormatting sqref="AG28:AO32">
    <cfRule type="containsText" dxfId="757" priority="457" operator="containsText" text="17">
      <formula>NOT(ISERROR(SEARCH("17",AG28)))</formula>
    </cfRule>
  </conditionalFormatting>
  <conditionalFormatting sqref="AG28:AQ32">
    <cfRule type="containsText" dxfId="756" priority="450" operator="containsText" text="17">
      <formula>NOT(ISERROR(SEARCH("17",AG28)))</formula>
    </cfRule>
    <cfRule type="containsText" dxfId="755" priority="451" operator="containsText" text="T">
      <formula>NOT(ISERROR(SEARCH("T",AG28)))</formula>
    </cfRule>
  </conditionalFormatting>
  <conditionalFormatting sqref="AG48:AQ49">
    <cfRule type="containsText" dxfId="754" priority="440" operator="containsText" text="17">
      <formula>NOT(ISERROR(SEARCH("17",AG48)))</formula>
    </cfRule>
  </conditionalFormatting>
  <conditionalFormatting sqref="AG106:AY106">
    <cfRule type="containsText" dxfId="753" priority="278" operator="containsText" text="17">
      <formula>NOT(ISERROR(SEARCH("17",AG106)))</formula>
    </cfRule>
  </conditionalFormatting>
  <conditionalFormatting sqref="AG106:BA106">
    <cfRule type="containsText" dxfId="752" priority="272" operator="containsText" text="T">
      <formula>NOT(ISERROR(SEARCH("T",AG106)))</formula>
    </cfRule>
  </conditionalFormatting>
  <conditionalFormatting sqref="AH67:AH68">
    <cfRule type="containsText" dxfId="751" priority="707" operator="containsText" text="T">
      <formula>NOT(ISERROR(SEARCH("T",AH67)))</formula>
    </cfRule>
  </conditionalFormatting>
  <conditionalFormatting sqref="AH77:AH82">
    <cfRule type="containsText" dxfId="750" priority="764" operator="containsText" text="T">
      <formula>NOT(ISERROR(SEARCH("T",AH77)))</formula>
    </cfRule>
  </conditionalFormatting>
  <conditionalFormatting sqref="AH97:AH98">
    <cfRule type="containsText" dxfId="749" priority="697" operator="containsText" text="T">
      <formula>NOT(ISERROR(SEARCH("T",AH97)))</formula>
    </cfRule>
  </conditionalFormatting>
  <conditionalFormatting sqref="AH127:AH130">
    <cfRule type="containsText" dxfId="748" priority="677" operator="containsText" text="T">
      <formula>NOT(ISERROR(SEARCH("T",AH127)))</formula>
    </cfRule>
  </conditionalFormatting>
  <conditionalFormatting sqref="AH131 AL131:AN131 Q132:AK137 AN132:AN137">
    <cfRule type="containsText" dxfId="747" priority="662" operator="containsText" text="T">
      <formula>NOT(ISERROR(SEARCH("T",Q131)))</formula>
    </cfRule>
  </conditionalFormatting>
  <conditionalFormatting sqref="AH207">
    <cfRule type="containsText" dxfId="746" priority="600" operator="containsText" text="17">
      <formula>NOT(ISERROR(SEARCH("17",AH207)))</formula>
    </cfRule>
    <cfRule type="containsText" dxfId="745" priority="601" operator="containsText" text="T">
      <formula>NOT(ISERROR(SEARCH("T",AH207)))</formula>
    </cfRule>
  </conditionalFormatting>
  <conditionalFormatting sqref="AH131:AI131 AL131:AN131 AN132:AN137">
    <cfRule type="containsText" dxfId="744" priority="663" operator="containsText" text="17">
      <formula>NOT(ISERROR(SEARCH("17",AH131)))</formula>
    </cfRule>
  </conditionalFormatting>
  <conditionalFormatting sqref="AH200:AN200">
    <cfRule type="containsText" dxfId="743" priority="591" operator="containsText" text="17">
      <formula>NOT(ISERROR(SEARCH("17",AH200)))</formula>
    </cfRule>
    <cfRule type="containsText" dxfId="742" priority="592" operator="containsText" text="T">
      <formula>NOT(ISERROR(SEARCH("T",AH200)))</formula>
    </cfRule>
  </conditionalFormatting>
  <conditionalFormatting sqref="AH50:AP53">
    <cfRule type="containsText" dxfId="741" priority="437" operator="containsText" text="17">
      <formula>NOT(ISERROR(SEARCH("17",AH50)))</formula>
    </cfRule>
  </conditionalFormatting>
  <conditionalFormatting sqref="AH50:AR53">
    <cfRule type="containsText" dxfId="740" priority="430" operator="containsText" text="17">
      <formula>NOT(ISERROR(SEARCH("17",AH50)))</formula>
    </cfRule>
  </conditionalFormatting>
  <conditionalFormatting sqref="AH63:AR66">
    <cfRule type="containsText" dxfId="739" priority="420" operator="containsText" text="17">
      <formula>NOT(ISERROR(SEARCH("17",AH63)))</formula>
    </cfRule>
  </conditionalFormatting>
  <conditionalFormatting sqref="AH113:AU116">
    <cfRule type="containsText" dxfId="738" priority="343" operator="containsText" text="17">
      <formula>NOT(ISERROR(SEARCH("17",AH113)))</formula>
    </cfRule>
  </conditionalFormatting>
  <conditionalFormatting sqref="AH117:AV119">
    <cfRule type="containsText" dxfId="737" priority="333" operator="containsText" text="17">
      <formula>NOT(ISERROR(SEARCH("17",AH117)))</formula>
    </cfRule>
  </conditionalFormatting>
  <conditionalFormatting sqref="AH113:AW116">
    <cfRule type="containsText" dxfId="736" priority="337" operator="containsText" text="T">
      <formula>NOT(ISERROR(SEARCH("T",AH113)))</formula>
    </cfRule>
  </conditionalFormatting>
  <conditionalFormatting sqref="AH117:AX119">
    <cfRule type="containsText" dxfId="735" priority="327" operator="containsText" text="T">
      <formula>NOT(ISERROR(SEARCH("T",AH117)))</formula>
    </cfRule>
  </conditionalFormatting>
  <conditionalFormatting sqref="AI131">
    <cfRule type="containsText" dxfId="734" priority="664" operator="containsText" text="T">
      <formula>NOT(ISERROR(SEARCH("T",AI131)))</formula>
    </cfRule>
  </conditionalFormatting>
  <conditionalFormatting sqref="AI138 AM138:AO138 R139:AL144 AO139:AO144">
    <cfRule type="containsText" dxfId="733" priority="649" operator="containsText" text="T">
      <formula>NOT(ISERROR(SEARCH("T",R138)))</formula>
    </cfRule>
  </conditionalFormatting>
  <conditionalFormatting sqref="AI200">
    <cfRule type="containsText" dxfId="732" priority="587" operator="containsText" text="17">
      <formula>NOT(ISERROR(SEARCH("17",AI200)))</formula>
    </cfRule>
    <cfRule type="containsText" dxfId="731" priority="588" operator="containsText" text="T">
      <formula>NOT(ISERROR(SEARCH("T",AI200)))</formula>
    </cfRule>
  </conditionalFormatting>
  <conditionalFormatting sqref="AI138:AJ138 AM138:AO138 AO139:AO144">
    <cfRule type="containsText" dxfId="730" priority="650" operator="containsText" text="17">
      <formula>NOT(ISERROR(SEARCH("17",AI138)))</formula>
    </cfRule>
  </conditionalFormatting>
  <conditionalFormatting sqref="AI107:AO112">
    <cfRule type="containsText" dxfId="729" priority="751" operator="containsText" text="T">
      <formula>NOT(ISERROR(SEARCH("T",AI107)))</formula>
    </cfRule>
  </conditionalFormatting>
  <conditionalFormatting sqref="AI192:AO192">
    <cfRule type="containsText" dxfId="728" priority="568" operator="containsText" text="T">
      <formula>NOT(ISERROR(SEARCH("T",AI192)))</formula>
    </cfRule>
  </conditionalFormatting>
  <conditionalFormatting sqref="AI193:AO193">
    <cfRule type="containsText" dxfId="727" priority="578" operator="containsText" text="17">
      <formula>NOT(ISERROR(SEARCH("17",AI193)))</formula>
    </cfRule>
    <cfRule type="containsText" dxfId="726" priority="579" operator="containsText" text="T">
      <formula>NOT(ISERROR(SEARCH("T",AI193)))</formula>
    </cfRule>
  </conditionalFormatting>
  <conditionalFormatting sqref="AI192:AP192 AS192:AU192">
    <cfRule type="containsText" dxfId="725" priority="566" operator="containsText" text="17">
      <formula>NOT(ISERROR(SEARCH("17",AI192)))</formula>
    </cfRule>
  </conditionalFormatting>
  <conditionalFormatting sqref="AI59:AS62">
    <cfRule type="containsText" dxfId="724" priority="406" operator="containsText" text="17">
      <formula>NOT(ISERROR(SEARCH("17",AI59)))</formula>
    </cfRule>
  </conditionalFormatting>
  <conditionalFormatting sqref="AI86:AS89">
    <cfRule type="containsText" dxfId="723" priority="396" operator="containsText" text="17">
      <formula>NOT(ISERROR(SEARCH("17",AI86)))</formula>
    </cfRule>
  </conditionalFormatting>
  <conditionalFormatting sqref="AI79:AV82">
    <cfRule type="containsText" dxfId="722" priority="323" operator="containsText" text="17">
      <formula>NOT(ISERROR(SEARCH("17",AI79)))</formula>
    </cfRule>
  </conditionalFormatting>
  <conditionalFormatting sqref="AI76:AX78">
    <cfRule type="containsText" dxfId="721" priority="298" operator="containsText" text="17">
      <formula>NOT(ISERROR(SEARCH("17",AI76)))</formula>
    </cfRule>
  </conditionalFormatting>
  <conditionalFormatting sqref="AI79:AX82">
    <cfRule type="containsText" dxfId="720" priority="317" operator="containsText" text="T">
      <formula>NOT(ISERROR(SEARCH("T",AI79)))</formula>
    </cfRule>
  </conditionalFormatting>
  <conditionalFormatting sqref="AI76:AZ78">
    <cfRule type="containsText" dxfId="719" priority="292" operator="containsText" text="T">
      <formula>NOT(ISERROR(SEARCH("T",AI76)))</formula>
    </cfRule>
  </conditionalFormatting>
  <conditionalFormatting sqref="AJ120:AJ126">
    <cfRule type="containsText" dxfId="718" priority="312" operator="containsText" text="17">
      <formula>NOT(ISERROR(SEARCH("17",AJ120)))</formula>
    </cfRule>
    <cfRule type="containsText" dxfId="717" priority="315" operator="containsText" text="T">
      <formula>NOT(ISERROR(SEARCH("T",AJ120)))</formula>
    </cfRule>
  </conditionalFormatting>
  <conditionalFormatting sqref="AJ138">
    <cfRule type="containsText" dxfId="716" priority="651" operator="containsText" text="T">
      <formula>NOT(ISERROR(SEARCH("T",AJ138)))</formula>
    </cfRule>
  </conditionalFormatting>
  <conditionalFormatting sqref="AJ145 AN145:AP145 S146:AM151 AP146:AP151">
    <cfRule type="containsText" dxfId="715" priority="636" operator="containsText" text="T">
      <formula>NOT(ISERROR(SEARCH("T",S145)))</formula>
    </cfRule>
  </conditionalFormatting>
  <conditionalFormatting sqref="AJ192:AJ193">
    <cfRule type="containsText" dxfId="714" priority="574" operator="containsText" text="17">
      <formula>NOT(ISERROR(SEARCH("17",AJ192)))</formula>
    </cfRule>
    <cfRule type="containsText" dxfId="713" priority="575" operator="containsText" text="T">
      <formula>NOT(ISERROR(SEARCH("T",AJ192)))</formula>
    </cfRule>
  </conditionalFormatting>
  <conditionalFormatting sqref="AJ145:AK145 AN145:AP145 AP146:AP151">
    <cfRule type="containsText" dxfId="712" priority="637" operator="containsText" text="17">
      <formula>NOT(ISERROR(SEARCH("17",AJ145)))</formula>
    </cfRule>
  </conditionalFormatting>
  <conditionalFormatting sqref="AJ168:AP168">
    <cfRule type="containsText" dxfId="711" priority="560" operator="containsText" text="17">
      <formula>NOT(ISERROR(SEARCH("17",AJ168)))</formula>
    </cfRule>
    <cfRule type="containsText" dxfId="710" priority="561" operator="containsText" text="T">
      <formula>NOT(ISERROR(SEARCH("T",AJ168)))</formula>
    </cfRule>
  </conditionalFormatting>
  <conditionalFormatting sqref="AJ83:AT85">
    <cfRule type="containsText" dxfId="709" priority="386" operator="containsText" text="17">
      <formula>NOT(ISERROR(SEARCH("17",AJ83)))</formula>
    </cfRule>
  </conditionalFormatting>
  <conditionalFormatting sqref="AJ214:AT217">
    <cfRule type="containsText" dxfId="708" priority="376" operator="containsText" text="17">
      <formula>NOT(ISERROR(SEARCH("17",AJ214)))</formula>
    </cfRule>
  </conditionalFormatting>
  <conditionalFormatting sqref="AK70:AK75">
    <cfRule type="containsText" dxfId="707" priority="738" operator="containsText" text="T">
      <formula>NOT(ISERROR(SEARCH("T",AK70)))</formula>
    </cfRule>
  </conditionalFormatting>
  <conditionalFormatting sqref="AK129:AK130 P127:X130">
    <cfRule type="containsText" dxfId="706" priority="680" operator="containsText" text="17">
      <formula>NOT(ISERROR(SEARCH("17",P127)))</formula>
    </cfRule>
  </conditionalFormatting>
  <conditionalFormatting sqref="AK145">
    <cfRule type="containsText" dxfId="705" priority="638" operator="containsText" text="T">
      <formula>NOT(ISERROR(SEARCH("T",AK145)))</formula>
    </cfRule>
  </conditionalFormatting>
  <conditionalFormatting sqref="AK152 AO152:AQ152 T153:AN158 AQ153:AQ158">
    <cfRule type="containsText" dxfId="704" priority="623" operator="containsText" text="T">
      <formula>NOT(ISERROR(SEARCH("T",T152)))</formula>
    </cfRule>
  </conditionalFormatting>
  <conditionalFormatting sqref="AK168">
    <cfRule type="containsText" dxfId="703" priority="556" operator="containsText" text="17">
      <formula>NOT(ISERROR(SEARCH("17",AK168)))</formula>
    </cfRule>
    <cfRule type="containsText" dxfId="702" priority="557" operator="containsText" text="T">
      <formula>NOT(ISERROR(SEARCH("T",AK168)))</formula>
    </cfRule>
  </conditionalFormatting>
  <conditionalFormatting sqref="AK152:AL152 AO152:AQ152 AQ153:AQ158">
    <cfRule type="containsText" dxfId="701" priority="624" operator="containsText" text="17">
      <formula>NOT(ISERROR(SEARCH("17",AK152)))</formula>
    </cfRule>
  </conditionalFormatting>
  <conditionalFormatting sqref="AK175:AQ175">
    <cfRule type="containsText" dxfId="700" priority="547" operator="containsText" text="17">
      <formula>NOT(ISERROR(SEARCH("17",AK175)))</formula>
    </cfRule>
    <cfRule type="containsText" dxfId="699" priority="548" operator="containsText" text="T">
      <formula>NOT(ISERROR(SEARCH("T",AK175)))</formula>
    </cfRule>
  </conditionalFormatting>
  <conditionalFormatting sqref="AK218:AU224">
    <cfRule type="containsText" dxfId="698" priority="366" operator="containsText" text="17">
      <formula>NOT(ISERROR(SEARCH("17",AK218)))</formula>
    </cfRule>
  </conditionalFormatting>
  <conditionalFormatting sqref="AK120:AY120">
    <cfRule type="containsText" dxfId="697" priority="258" operator="containsText" text="17">
      <formula>NOT(ISERROR(SEARCH("17",AK120)))</formula>
    </cfRule>
  </conditionalFormatting>
  <conditionalFormatting sqref="AK122:AY122">
    <cfRule type="containsText" dxfId="696" priority="248" operator="containsText" text="17">
      <formula>NOT(ISERROR(SEARCH("17",AK122)))</formula>
    </cfRule>
  </conditionalFormatting>
  <conditionalFormatting sqref="AK124:AY126">
    <cfRule type="containsText" dxfId="695" priority="268" operator="containsText" text="17">
      <formula>NOT(ISERROR(SEARCH("17",AK124)))</formula>
    </cfRule>
  </conditionalFormatting>
  <conditionalFormatting sqref="AK121:AZ121">
    <cfRule type="containsText" dxfId="694" priority="228" operator="containsText" text="17">
      <formula>NOT(ISERROR(SEARCH("17",AK121)))</formula>
    </cfRule>
  </conditionalFormatting>
  <conditionalFormatting sqref="AK123:AZ123">
    <cfRule type="containsText" dxfId="693" priority="218" operator="containsText" text="17">
      <formula>NOT(ISERROR(SEARCH("17",AK123)))</formula>
    </cfRule>
  </conditionalFormatting>
  <conditionalFormatting sqref="AK67:BA68">
    <cfRule type="containsText" dxfId="692" priority="178" operator="containsText" text="17">
      <formula>NOT(ISERROR(SEARCH("17",AK67)))</formula>
    </cfRule>
  </conditionalFormatting>
  <conditionalFormatting sqref="AK120:BA120">
    <cfRule type="containsText" dxfId="691" priority="252" operator="containsText" text="T">
      <formula>NOT(ISERROR(SEARCH("T",AK120)))</formula>
    </cfRule>
  </conditionalFormatting>
  <conditionalFormatting sqref="AK122:BA122">
    <cfRule type="containsText" dxfId="690" priority="242" operator="containsText" text="T">
      <formula>NOT(ISERROR(SEARCH("T",AK122)))</formula>
    </cfRule>
  </conditionalFormatting>
  <conditionalFormatting sqref="AK124:BA126">
    <cfRule type="containsText" dxfId="689" priority="262" operator="containsText" text="T">
      <formula>NOT(ISERROR(SEARCH("T",AK124)))</formula>
    </cfRule>
  </conditionalFormatting>
  <conditionalFormatting sqref="AK97:BB98">
    <cfRule type="containsText" dxfId="688" priority="168" operator="containsText" text="17">
      <formula>NOT(ISERROR(SEARCH("17",AK97)))</formula>
    </cfRule>
  </conditionalFormatting>
  <conditionalFormatting sqref="AK121:BB121">
    <cfRule type="containsText" dxfId="687" priority="222" operator="containsText" text="T">
      <formula>NOT(ISERROR(SEARCH("T",AK121)))</formula>
    </cfRule>
  </conditionalFormatting>
  <conditionalFormatting sqref="AK123:BB123">
    <cfRule type="containsText" dxfId="686" priority="212" operator="containsText" text="T">
      <formula>NOT(ISERROR(SEARCH("T",AK123)))</formula>
    </cfRule>
  </conditionalFormatting>
  <conditionalFormatting sqref="AK67:BC68">
    <cfRule type="containsText" dxfId="685" priority="172" operator="containsText" text="T">
      <formula>NOT(ISERROR(SEARCH("T",AK67)))</formula>
    </cfRule>
  </conditionalFormatting>
  <conditionalFormatting sqref="AK97:BD98">
    <cfRule type="containsText" dxfId="684" priority="162" operator="containsText" text="T">
      <formula>NOT(ISERROR(SEARCH("T",AK97)))</formula>
    </cfRule>
  </conditionalFormatting>
  <conditionalFormatting sqref="AL100:AL105">
    <cfRule type="containsText" dxfId="683" priority="725" operator="containsText" text="T">
      <formula>NOT(ISERROR(SEARCH("T",AL100)))</formula>
    </cfRule>
  </conditionalFormatting>
  <conditionalFormatting sqref="AL152">
    <cfRule type="containsText" dxfId="682" priority="625" operator="containsText" text="T">
      <formula>NOT(ISERROR(SEARCH("T",AL152)))</formula>
    </cfRule>
  </conditionalFormatting>
  <conditionalFormatting sqref="AL159 AP159:AR159 U160:AO165 AR160:AR165">
    <cfRule type="containsText" dxfId="681" priority="610" operator="containsText" text="T">
      <formula>NOT(ISERROR(SEARCH("T",U159)))</formula>
    </cfRule>
  </conditionalFormatting>
  <conditionalFormatting sqref="AL175">
    <cfRule type="containsText" dxfId="680" priority="543" operator="containsText" text="17">
      <formula>NOT(ISERROR(SEARCH("17",AL175)))</formula>
    </cfRule>
    <cfRule type="containsText" dxfId="679" priority="544" operator="containsText" text="T">
      <formula>NOT(ISERROR(SEARCH("T",AL175)))</formula>
    </cfRule>
  </conditionalFormatting>
  <conditionalFormatting sqref="AL159:AM159 AP159:AR159 AR160:AR165">
    <cfRule type="containsText" dxfId="678" priority="611" operator="containsText" text="17">
      <formula>NOT(ISERROR(SEARCH("17",AL159)))</formula>
    </cfRule>
  </conditionalFormatting>
  <conditionalFormatting sqref="AL182:AR182">
    <cfRule type="containsText" dxfId="677" priority="534" operator="containsText" text="17">
      <formula>NOT(ISERROR(SEARCH("17",AL182)))</formula>
    </cfRule>
    <cfRule type="containsText" dxfId="676" priority="535" operator="containsText" text="T">
      <formula>NOT(ISERROR(SEARCH("T",AL182)))</formula>
    </cfRule>
  </conditionalFormatting>
  <conditionalFormatting sqref="AL225:AV231">
    <cfRule type="containsText" dxfId="675" priority="356" operator="containsText" text="17">
      <formula>NOT(ISERROR(SEARCH("17",AL225)))</formula>
    </cfRule>
  </conditionalFormatting>
  <conditionalFormatting sqref="AL72:AY75">
    <cfRule type="containsText" dxfId="674" priority="288" operator="containsText" text="17">
      <formula>NOT(ISERROR(SEARCH("17",AL72)))</formula>
    </cfRule>
  </conditionalFormatting>
  <conditionalFormatting sqref="AL69:AZ71">
    <cfRule type="containsText" dxfId="673" priority="208" operator="containsText" text="17">
      <formula>NOT(ISERROR(SEARCH("17",AL69)))</formula>
    </cfRule>
  </conditionalFormatting>
  <conditionalFormatting sqref="AL72:BA75">
    <cfRule type="containsText" dxfId="672" priority="282" operator="containsText" text="T">
      <formula>NOT(ISERROR(SEARCH("T",AL72)))</formula>
    </cfRule>
  </conditionalFormatting>
  <conditionalFormatting sqref="AL69:BB71">
    <cfRule type="containsText" dxfId="671" priority="202" operator="containsText" text="T">
      <formula>NOT(ISERROR(SEARCH("T",AL69)))</formula>
    </cfRule>
  </conditionalFormatting>
  <conditionalFormatting sqref="AM159">
    <cfRule type="containsText" dxfId="670" priority="612" operator="containsText" text="T">
      <formula>NOT(ISERROR(SEARCH("T",AM159)))</formula>
    </cfRule>
  </conditionalFormatting>
  <conditionalFormatting sqref="AM182">
    <cfRule type="containsText" dxfId="669" priority="530" operator="containsText" text="17">
      <formula>NOT(ISERROR(SEARCH("17",AM182)))</formula>
    </cfRule>
    <cfRule type="containsText" dxfId="668" priority="531" operator="containsText" text="T">
      <formula>NOT(ISERROR(SEARCH("T",AM182)))</formula>
    </cfRule>
  </conditionalFormatting>
  <conditionalFormatting sqref="AM207 AQ207:AS207 V208:AP213 AS208:AS213">
    <cfRule type="containsText" dxfId="667" priority="597" operator="containsText" text="T">
      <formula>NOT(ISERROR(SEARCH("T",V207)))</formula>
    </cfRule>
  </conditionalFormatting>
  <conditionalFormatting sqref="AM207:AN207 AQ207:AS207 AS208:AS213">
    <cfRule type="containsText" dxfId="666" priority="598" operator="containsText" text="17">
      <formula>NOT(ISERROR(SEARCH("17",AM207)))</formula>
    </cfRule>
  </conditionalFormatting>
  <conditionalFormatting sqref="AM90:AS90">
    <cfRule type="containsText" dxfId="665" priority="521" operator="containsText" text="17">
      <formula>NOT(ISERROR(SEARCH("17",AM90)))</formula>
    </cfRule>
    <cfRule type="containsText" dxfId="664" priority="522" operator="containsText" text="T">
      <formula>NOT(ISERROR(SEARCH("T",AM90)))</formula>
    </cfRule>
  </conditionalFormatting>
  <conditionalFormatting sqref="AM113:AW116">
    <cfRule type="containsText" dxfId="663" priority="336" operator="containsText" text="17">
      <formula>NOT(ISERROR(SEARCH("17",AM113)))</formula>
    </cfRule>
  </conditionalFormatting>
  <conditionalFormatting sqref="AM232:AW234">
    <cfRule type="containsText" dxfId="662" priority="346" operator="containsText" text="17">
      <formula>NOT(ISERROR(SEARCH("17",AM232)))</formula>
    </cfRule>
  </conditionalFormatting>
  <conditionalFormatting sqref="AM103:AZ104">
    <cfRule type="containsText" dxfId="661" priority="238" operator="containsText" text="17">
      <formula>NOT(ISERROR(SEARCH("17",AM103)))</formula>
    </cfRule>
  </conditionalFormatting>
  <conditionalFormatting sqref="AM99:BA102">
    <cfRule type="containsText" dxfId="660" priority="198" operator="containsText" text="17">
      <formula>NOT(ISERROR(SEARCH("17",AM99)))</formula>
    </cfRule>
  </conditionalFormatting>
  <conditionalFormatting sqref="AM105:BA105">
    <cfRule type="containsText" dxfId="659" priority="188" operator="containsText" text="17">
      <formula>NOT(ISERROR(SEARCH("17",AM105)))</formula>
    </cfRule>
  </conditionalFormatting>
  <conditionalFormatting sqref="AM103:BB104">
    <cfRule type="containsText" dxfId="658" priority="232" operator="containsText" text="T">
      <formula>NOT(ISERROR(SEARCH("T",AM103)))</formula>
    </cfRule>
  </conditionalFormatting>
  <conditionalFormatting sqref="AM99:BC102">
    <cfRule type="containsText" dxfId="657" priority="192" operator="containsText" text="T">
      <formula>NOT(ISERROR(SEARCH("T",AM99)))</formula>
    </cfRule>
  </conditionalFormatting>
  <conditionalFormatting sqref="AM105:BC105">
    <cfRule type="containsText" dxfId="656" priority="182" operator="containsText" text="T">
      <formula>NOT(ISERROR(SEARCH("T",AM105)))</formula>
    </cfRule>
  </conditionalFormatting>
  <conditionalFormatting sqref="AN90">
    <cfRule type="containsText" dxfId="655" priority="517" operator="containsText" text="17">
      <formula>NOT(ISERROR(SEARCH("17",AN90)))</formula>
    </cfRule>
    <cfRule type="containsText" dxfId="654" priority="518" operator="containsText" text="T">
      <formula>NOT(ISERROR(SEARCH("T",AN90)))</formula>
    </cfRule>
  </conditionalFormatting>
  <conditionalFormatting sqref="AN132:AN137">
    <cfRule type="containsText" dxfId="653" priority="672" operator="containsText" text="T">
      <formula>NOT(ISERROR(SEARCH("T",AN132)))</formula>
    </cfRule>
  </conditionalFormatting>
  <conditionalFormatting sqref="AN200 AR200:AT200 W201:AQ206 AT201:AT206">
    <cfRule type="containsText" dxfId="652" priority="584" operator="containsText" text="T">
      <formula>NOT(ISERROR(SEARCH("T",W200)))</formula>
    </cfRule>
  </conditionalFormatting>
  <conditionalFormatting sqref="AN207">
    <cfRule type="containsText" dxfId="651" priority="599" operator="containsText" text="T">
      <formula>NOT(ISERROR(SEARCH("T",AN207)))</formula>
    </cfRule>
  </conditionalFormatting>
  <conditionalFormatting sqref="AN200:AO200 AR200:AT200 AT201:AT206">
    <cfRule type="containsText" dxfId="650" priority="585" operator="containsText" text="17">
      <formula>NOT(ISERROR(SEARCH("17",AN200)))</formula>
    </cfRule>
  </conditionalFormatting>
  <conditionalFormatting sqref="AN14:AT14">
    <cfRule type="containsText" dxfId="649" priority="508" operator="containsText" text="17">
      <formula>NOT(ISERROR(SEARCH("17",AN14)))</formula>
    </cfRule>
    <cfRule type="containsText" dxfId="648" priority="509" operator="containsText" text="T">
      <formula>NOT(ISERROR(SEARCH("T",AN14)))</formula>
    </cfRule>
  </conditionalFormatting>
  <conditionalFormatting sqref="AN79:AX82">
    <cfRule type="containsText" dxfId="647" priority="316" operator="containsText" text="17">
      <formula>NOT(ISERROR(SEARCH("17",AN79)))</formula>
    </cfRule>
  </conditionalFormatting>
  <conditionalFormatting sqref="AN117:AX119">
    <cfRule type="containsText" dxfId="646" priority="326" operator="containsText" text="17">
      <formula>NOT(ISERROR(SEARCH("17",AN117)))</formula>
    </cfRule>
  </conditionalFormatting>
  <conditionalFormatting sqref="AO14">
    <cfRule type="containsText" dxfId="645" priority="504" operator="containsText" text="17">
      <formula>NOT(ISERROR(SEARCH("17",AO14)))</formula>
    </cfRule>
    <cfRule type="containsText" dxfId="644" priority="505" operator="containsText" text="T">
      <formula>NOT(ISERROR(SEARCH("T",AO14)))</formula>
    </cfRule>
  </conditionalFormatting>
  <conditionalFormatting sqref="AO139:AO144">
    <cfRule type="containsText" dxfId="643" priority="659" operator="containsText" text="T">
      <formula>NOT(ISERROR(SEARCH("T",AO139)))</formula>
    </cfRule>
  </conditionalFormatting>
  <conditionalFormatting sqref="AO192:AO193 AS192:AU193 X194:AR199 AU194:AU199">
    <cfRule type="containsText" dxfId="642" priority="571" operator="containsText" text="T">
      <formula>NOT(ISERROR(SEARCH("T",X192)))</formula>
    </cfRule>
  </conditionalFormatting>
  <conditionalFormatting sqref="AO200">
    <cfRule type="containsText" dxfId="641" priority="586" operator="containsText" text="T">
      <formula>NOT(ISERROR(SEARCH("T",AO200)))</formula>
    </cfRule>
  </conditionalFormatting>
  <conditionalFormatting sqref="AO193:AP193 AS193:AU193 AU194:AU199">
    <cfRule type="containsText" dxfId="640" priority="572" operator="containsText" text="17">
      <formula>NOT(ISERROR(SEARCH("17",AO193)))</formula>
    </cfRule>
  </conditionalFormatting>
  <conditionalFormatting sqref="AO34:AU34">
    <cfRule type="containsText" dxfId="639" priority="495" operator="containsText" text="17">
      <formula>NOT(ISERROR(SEARCH("17",AO34)))</formula>
    </cfRule>
    <cfRule type="containsText" dxfId="638" priority="496" operator="containsText" text="T">
      <formula>NOT(ISERROR(SEARCH("T",AO34)))</formula>
    </cfRule>
  </conditionalFormatting>
  <conditionalFormatting sqref="AO131:BB137">
    <cfRule type="containsText" dxfId="637" priority="158" operator="containsText" text="17">
      <formula>NOT(ISERROR(SEARCH("17",AO131)))</formula>
    </cfRule>
  </conditionalFormatting>
  <conditionalFormatting sqref="AO131:BD137">
    <cfRule type="containsText" dxfId="636" priority="152" operator="containsText" text="T">
      <formula>NOT(ISERROR(SEARCH("T",AO131)))</formula>
    </cfRule>
  </conditionalFormatting>
  <conditionalFormatting sqref="AP34">
    <cfRule type="containsText" dxfId="635" priority="491" operator="containsText" text="17">
      <formula>NOT(ISERROR(SEARCH("17",AP34)))</formula>
    </cfRule>
    <cfRule type="containsText" dxfId="634" priority="492" operator="containsText" text="T">
      <formula>NOT(ISERROR(SEARCH("T",AP34)))</formula>
    </cfRule>
  </conditionalFormatting>
  <conditionalFormatting sqref="AP146:AP151">
    <cfRule type="containsText" dxfId="633" priority="646" operator="containsText" text="T">
      <formula>NOT(ISERROR(SEARCH("T",AP146)))</formula>
    </cfRule>
  </conditionalFormatting>
  <conditionalFormatting sqref="AP168 AT168:AV168 Y169:AS174 AV169:AV174">
    <cfRule type="containsText" dxfId="632" priority="553" operator="containsText" text="T">
      <formula>NOT(ISERROR(SEARCH("T",Y168)))</formula>
    </cfRule>
  </conditionalFormatting>
  <conditionalFormatting sqref="AP192:AP193">
    <cfRule type="containsText" dxfId="631" priority="573" operator="containsText" text="T">
      <formula>NOT(ISERROR(SEARCH("T",AP192)))</formula>
    </cfRule>
  </conditionalFormatting>
  <conditionalFormatting sqref="AP168:AQ168 AT168:AV168 AV169:AV174">
    <cfRule type="containsText" dxfId="630" priority="554" operator="containsText" text="17">
      <formula>NOT(ISERROR(SEARCH("17",AP168)))</formula>
    </cfRule>
  </conditionalFormatting>
  <conditionalFormatting sqref="AP21:AV21">
    <cfRule type="containsText" dxfId="629" priority="482" operator="containsText" text="17">
      <formula>NOT(ISERROR(SEARCH("17",AP21)))</formula>
    </cfRule>
    <cfRule type="containsText" dxfId="628" priority="483" operator="containsText" text="T">
      <formula>NOT(ISERROR(SEARCH("T",AP21)))</formula>
    </cfRule>
  </conditionalFormatting>
  <conditionalFormatting sqref="AP107:AX112">
    <cfRule type="containsText" dxfId="627" priority="308" operator="containsText" text="17">
      <formula>NOT(ISERROR(SEARCH("17",AP107)))</formula>
    </cfRule>
  </conditionalFormatting>
  <conditionalFormatting sqref="AP76:AZ78">
    <cfRule type="containsText" dxfId="626" priority="291" operator="containsText" text="17">
      <formula>NOT(ISERROR(SEARCH("17",AP76)))</formula>
    </cfRule>
  </conditionalFormatting>
  <conditionalFormatting sqref="AP107:AZ112">
    <cfRule type="containsText" dxfId="625" priority="301" operator="containsText" text="17">
      <formula>NOT(ISERROR(SEARCH("17",AP107)))</formula>
    </cfRule>
    <cfRule type="containsText" dxfId="624" priority="302" operator="containsText" text="T">
      <formula>NOT(ISERROR(SEARCH("T",AP107)))</formula>
    </cfRule>
  </conditionalFormatting>
  <conditionalFormatting sqref="AP138:BC144">
    <cfRule type="containsText" dxfId="623" priority="148" operator="containsText" text="17">
      <formula>NOT(ISERROR(SEARCH("17",AP138)))</formula>
    </cfRule>
  </conditionalFormatting>
  <conditionalFormatting sqref="AP138:BE144">
    <cfRule type="containsText" dxfId="622" priority="142" operator="containsText" text="T">
      <formula>NOT(ISERROR(SEARCH("T",AP138)))</formula>
    </cfRule>
  </conditionalFormatting>
  <conditionalFormatting sqref="AQ21">
    <cfRule type="containsText" dxfId="621" priority="478" operator="containsText" text="17">
      <formula>NOT(ISERROR(SEARCH("17",AQ21)))</formula>
    </cfRule>
    <cfRule type="containsText" dxfId="620" priority="479" operator="containsText" text="T">
      <formula>NOT(ISERROR(SEARCH("T",AQ21)))</formula>
    </cfRule>
  </conditionalFormatting>
  <conditionalFormatting sqref="AQ153:AQ158">
    <cfRule type="containsText" dxfId="619" priority="633" operator="containsText" text="T">
      <formula>NOT(ISERROR(SEARCH("T",AQ153)))</formula>
    </cfRule>
  </conditionalFormatting>
  <conditionalFormatting sqref="AQ168">
    <cfRule type="containsText" dxfId="618" priority="555" operator="containsText" text="T">
      <formula>NOT(ISERROR(SEARCH("T",AQ168)))</formula>
    </cfRule>
  </conditionalFormatting>
  <conditionalFormatting sqref="AQ175 AU175:AW175 Z176:AT181 AW176:AW181">
    <cfRule type="containsText" dxfId="617" priority="540" operator="containsText" text="T">
      <formula>NOT(ISERROR(SEARCH("T",Z175)))</formula>
    </cfRule>
  </conditionalFormatting>
  <conditionalFormatting sqref="AQ175:AR175 AU175:AW175 AW176:AW181">
    <cfRule type="containsText" dxfId="616" priority="541" operator="containsText" text="17">
      <formula>NOT(ISERROR(SEARCH("17",AQ175)))</formula>
    </cfRule>
  </conditionalFormatting>
  <conditionalFormatting sqref="AQ41:AW41">
    <cfRule type="containsText" dxfId="615" priority="469" operator="containsText" text="17">
      <formula>NOT(ISERROR(SEARCH("17",AQ41)))</formula>
    </cfRule>
    <cfRule type="containsText" dxfId="614" priority="470" operator="containsText" text="T">
      <formula>NOT(ISERROR(SEARCH("T",AQ41)))</formula>
    </cfRule>
  </conditionalFormatting>
  <conditionalFormatting sqref="AQ72:BA75">
    <cfRule type="containsText" dxfId="613" priority="281" operator="containsText" text="17">
      <formula>NOT(ISERROR(SEARCH("17",AQ72)))</formula>
    </cfRule>
  </conditionalFormatting>
  <conditionalFormatting sqref="AQ106:BA106">
    <cfRule type="containsText" dxfId="612" priority="271" operator="containsText" text="17">
      <formula>NOT(ISERROR(SEARCH("17",AQ106)))</formula>
    </cfRule>
  </conditionalFormatting>
  <conditionalFormatting sqref="AQ120:BA120">
    <cfRule type="containsText" dxfId="611" priority="251" operator="containsText" text="17">
      <formula>NOT(ISERROR(SEARCH("17",AQ120)))</formula>
    </cfRule>
  </conditionalFormatting>
  <conditionalFormatting sqref="AQ122:BA122">
    <cfRule type="containsText" dxfId="610" priority="241" operator="containsText" text="17">
      <formula>NOT(ISERROR(SEARCH("17",AQ122)))</formula>
    </cfRule>
  </conditionalFormatting>
  <conditionalFormatting sqref="AQ124:BA126">
    <cfRule type="containsText" dxfId="609" priority="261" operator="containsText" text="17">
      <formula>NOT(ISERROR(SEARCH("17",AQ124)))</formula>
    </cfRule>
  </conditionalFormatting>
  <conditionalFormatting sqref="AQ145:BD151">
    <cfRule type="containsText" dxfId="608" priority="138" operator="containsText" text="17">
      <formula>NOT(ISERROR(SEARCH("17",AQ145)))</formula>
    </cfRule>
  </conditionalFormatting>
  <conditionalFormatting sqref="AQ145:BF151">
    <cfRule type="containsText" dxfId="607" priority="132" operator="containsText" text="T">
      <formula>NOT(ISERROR(SEARCH("T",AQ145)))</formula>
    </cfRule>
  </conditionalFormatting>
  <conditionalFormatting sqref="AR41">
    <cfRule type="containsText" dxfId="606" priority="465" operator="containsText" text="17">
      <formula>NOT(ISERROR(SEARCH("17",AR41)))</formula>
    </cfRule>
    <cfRule type="containsText" dxfId="605" priority="466" operator="containsText" text="T">
      <formula>NOT(ISERROR(SEARCH("T",AR41)))</formula>
    </cfRule>
  </conditionalFormatting>
  <conditionalFormatting sqref="AR160:AR165">
    <cfRule type="containsText" dxfId="604" priority="620" operator="containsText" text="T">
      <formula>NOT(ISERROR(SEARCH("T",AR160)))</formula>
    </cfRule>
  </conditionalFormatting>
  <conditionalFormatting sqref="AR175">
    <cfRule type="containsText" dxfId="603" priority="542" operator="containsText" text="T">
      <formula>NOT(ISERROR(SEARCH("T",AR175)))</formula>
    </cfRule>
  </conditionalFormatting>
  <conditionalFormatting sqref="AR182 AV182:AX182 AA183:AU190 AX183:AX190">
    <cfRule type="containsText" dxfId="602" priority="527" operator="containsText" text="T">
      <formula>NOT(ISERROR(SEARCH("T",AA182)))</formula>
    </cfRule>
  </conditionalFormatting>
  <conditionalFormatting sqref="AR182:AS182 AV182:AX182 AX183:AX190">
    <cfRule type="containsText" dxfId="601" priority="528" operator="containsText" text="17">
      <formula>NOT(ISERROR(SEARCH("17",AR182)))</formula>
    </cfRule>
  </conditionalFormatting>
  <conditionalFormatting sqref="AR28:AX32">
    <cfRule type="containsText" dxfId="600" priority="458" operator="containsText" text="17">
      <formula>NOT(ISERROR(SEARCH("17",AR28)))</formula>
    </cfRule>
    <cfRule type="containsText" dxfId="599" priority="459" operator="containsText" text="T">
      <formula>NOT(ISERROR(SEARCH("T",AR28)))</formula>
    </cfRule>
  </conditionalFormatting>
  <conditionalFormatting sqref="AR48:AX49">
    <cfRule type="containsText" dxfId="598" priority="448" operator="containsText" text="17">
      <formula>NOT(ISERROR(SEARCH("17",AR48)))</formula>
    </cfRule>
    <cfRule type="containsText" dxfId="597" priority="449" operator="containsText" text="T">
      <formula>NOT(ISERROR(SEARCH("T",AR48)))</formula>
    </cfRule>
  </conditionalFormatting>
  <conditionalFormatting sqref="AR69:BB71">
    <cfRule type="containsText" dxfId="596" priority="201" operator="containsText" text="17">
      <formula>NOT(ISERROR(SEARCH("17",AR69)))</formula>
    </cfRule>
  </conditionalFormatting>
  <conditionalFormatting sqref="AR103:BB104">
    <cfRule type="containsText" dxfId="595" priority="231" operator="containsText" text="17">
      <formula>NOT(ISERROR(SEARCH("17",AR103)))</formula>
    </cfRule>
  </conditionalFormatting>
  <conditionalFormatting sqref="AR121:BB121">
    <cfRule type="containsText" dxfId="594" priority="221" operator="containsText" text="17">
      <formula>NOT(ISERROR(SEARCH("17",AR121)))</formula>
    </cfRule>
  </conditionalFormatting>
  <conditionalFormatting sqref="AR123:BB123">
    <cfRule type="containsText" dxfId="593" priority="211" operator="containsText" text="17">
      <formula>NOT(ISERROR(SEARCH("17",AR123)))</formula>
    </cfRule>
  </conditionalFormatting>
  <conditionalFormatting sqref="AR152:BE158">
    <cfRule type="containsText" dxfId="592" priority="128" operator="containsText" text="17">
      <formula>NOT(ISERROR(SEARCH("17",AR152)))</formula>
    </cfRule>
  </conditionalFormatting>
  <conditionalFormatting sqref="AR152:BG158">
    <cfRule type="containsText" dxfId="591" priority="122" operator="containsText" text="T">
      <formula>NOT(ISERROR(SEARCH("T",AR152)))</formula>
    </cfRule>
  </conditionalFormatting>
  <conditionalFormatting sqref="AS28:AS32">
    <cfRule type="containsText" dxfId="590" priority="455" operator="containsText" text="17">
      <formula>NOT(ISERROR(SEARCH("17",AS28)))</formula>
    </cfRule>
    <cfRule type="containsText" dxfId="589" priority="456" operator="containsText" text="T">
      <formula>NOT(ISERROR(SEARCH("T",AS28)))</formula>
    </cfRule>
  </conditionalFormatting>
  <conditionalFormatting sqref="AS48:AS49">
    <cfRule type="containsText" dxfId="588" priority="445" operator="containsText" text="17">
      <formula>NOT(ISERROR(SEARCH("17",AS48)))</formula>
    </cfRule>
    <cfRule type="containsText" dxfId="587" priority="446" operator="containsText" text="T">
      <formula>NOT(ISERROR(SEARCH("T",AS48)))</formula>
    </cfRule>
  </conditionalFormatting>
  <conditionalFormatting sqref="AS90 AW90:AY90 AB91:AV96 AY91:AY96">
    <cfRule type="containsText" dxfId="586" priority="514" operator="containsText" text="T">
      <formula>NOT(ISERROR(SEARCH("T",AB90)))</formula>
    </cfRule>
  </conditionalFormatting>
  <conditionalFormatting sqref="AS182">
    <cfRule type="containsText" dxfId="585" priority="529" operator="containsText" text="T">
      <formula>NOT(ISERROR(SEARCH("T",AS182)))</formula>
    </cfRule>
  </conditionalFormatting>
  <conditionalFormatting sqref="AS192:AS193 X194:AR199 X192:AF193">
    <cfRule type="containsText" dxfId="584" priority="576" operator="containsText" text="17">
      <formula>NOT(ISERROR(SEARCH("17",X192)))</formula>
    </cfRule>
  </conditionalFormatting>
  <conditionalFormatting sqref="AS208:AS213">
    <cfRule type="containsText" dxfId="583" priority="607" operator="containsText" text="T">
      <formula>NOT(ISERROR(SEARCH("T",AS208)))</formula>
    </cfRule>
  </conditionalFormatting>
  <conditionalFormatting sqref="AS90:AT90 AW90:AY90 AY91:AY96">
    <cfRule type="containsText" dxfId="582" priority="515" operator="containsText" text="17">
      <formula>NOT(ISERROR(SEARCH("17",AS90)))</formula>
    </cfRule>
  </conditionalFormatting>
  <conditionalFormatting sqref="AS50:AY53">
    <cfRule type="containsText" dxfId="581" priority="438" operator="containsText" text="17">
      <formula>NOT(ISERROR(SEARCH("17",AS50)))</formula>
    </cfRule>
    <cfRule type="containsText" dxfId="580" priority="439" operator="containsText" text="T">
      <formula>NOT(ISERROR(SEARCH("T",AS50)))</formula>
    </cfRule>
  </conditionalFormatting>
  <conditionalFormatting sqref="AS63:AY66">
    <cfRule type="containsText" dxfId="579" priority="428" operator="containsText" text="17">
      <formula>NOT(ISERROR(SEARCH("17",AS63)))</formula>
    </cfRule>
    <cfRule type="containsText" dxfId="578" priority="429" operator="containsText" text="T">
      <formula>NOT(ISERROR(SEARCH("T",AS63)))</formula>
    </cfRule>
  </conditionalFormatting>
  <conditionalFormatting sqref="AS67:BC68">
    <cfRule type="containsText" dxfId="577" priority="171" operator="containsText" text="17">
      <formula>NOT(ISERROR(SEARCH("17",AS67)))</formula>
    </cfRule>
  </conditionalFormatting>
  <conditionalFormatting sqref="AS99:BC102">
    <cfRule type="containsText" dxfId="576" priority="191" operator="containsText" text="17">
      <formula>NOT(ISERROR(SEARCH("17",AS99)))</formula>
    </cfRule>
  </conditionalFormatting>
  <conditionalFormatting sqref="AS105:BC105">
    <cfRule type="containsText" dxfId="575" priority="181" operator="containsText" text="17">
      <formula>NOT(ISERROR(SEARCH("17",AS105)))</formula>
    </cfRule>
  </conditionalFormatting>
  <conditionalFormatting sqref="AS159:BF165">
    <cfRule type="containsText" dxfId="574" priority="118" operator="containsText" text="17">
      <formula>NOT(ISERROR(SEARCH("17",AS159)))</formula>
    </cfRule>
  </conditionalFormatting>
  <conditionalFormatting sqref="AS159:BH165">
    <cfRule type="containsText" dxfId="573" priority="112" operator="containsText" text="T">
      <formula>NOT(ISERROR(SEARCH("T",AS159)))</formula>
    </cfRule>
  </conditionalFormatting>
  <conditionalFormatting sqref="AT14 AX14:AZ14 AC15:AW20 AZ15:AZ20">
    <cfRule type="containsText" dxfId="572" priority="501" operator="containsText" text="T">
      <formula>NOT(ISERROR(SEARCH("T",AC14)))</formula>
    </cfRule>
  </conditionalFormatting>
  <conditionalFormatting sqref="AT50:AT53">
    <cfRule type="containsText" dxfId="571" priority="435" operator="containsText" text="17">
      <formula>NOT(ISERROR(SEARCH("17",AT50)))</formula>
    </cfRule>
    <cfRule type="containsText" dxfId="570" priority="436" operator="containsText" text="T">
      <formula>NOT(ISERROR(SEARCH("T",AT50)))</formula>
    </cfRule>
  </conditionalFormatting>
  <conditionalFormatting sqref="AT63:AT66">
    <cfRule type="containsText" dxfId="569" priority="425" operator="containsText" text="17">
      <formula>NOT(ISERROR(SEARCH("17",AT63)))</formula>
    </cfRule>
    <cfRule type="containsText" dxfId="568" priority="426" operator="containsText" text="T">
      <formula>NOT(ISERROR(SEARCH("T",AT63)))</formula>
    </cfRule>
  </conditionalFormatting>
  <conditionalFormatting sqref="AT90">
    <cfRule type="containsText" dxfId="567" priority="516" operator="containsText" text="T">
      <formula>NOT(ISERROR(SEARCH("T",AT90)))</formula>
    </cfRule>
  </conditionalFormatting>
  <conditionalFormatting sqref="AT201:AT206">
    <cfRule type="containsText" dxfId="566" priority="594" operator="containsText" text="T">
      <formula>NOT(ISERROR(SEARCH("T",AT201)))</formula>
    </cfRule>
  </conditionalFormatting>
  <conditionalFormatting sqref="AT14:AU14 AX14:AZ14 AZ15:AZ20">
    <cfRule type="containsText" dxfId="565" priority="502" operator="containsText" text="17">
      <formula>NOT(ISERROR(SEARCH("17",AT14)))</formula>
    </cfRule>
  </conditionalFormatting>
  <conditionalFormatting sqref="AT59:AZ62">
    <cfRule type="containsText" dxfId="564" priority="414" operator="containsText" text="17">
      <formula>NOT(ISERROR(SEARCH("17",AT59)))</formula>
    </cfRule>
    <cfRule type="containsText" dxfId="563" priority="415" operator="containsText" text="T">
      <formula>NOT(ISERROR(SEARCH("T",AT59)))</formula>
    </cfRule>
  </conditionalFormatting>
  <conditionalFormatting sqref="AT86:AZ89">
    <cfRule type="containsText" dxfId="562" priority="404" operator="containsText" text="17">
      <formula>NOT(ISERROR(SEARCH("17",AT86)))</formula>
    </cfRule>
    <cfRule type="containsText" dxfId="561" priority="405" operator="containsText" text="T">
      <formula>NOT(ISERROR(SEARCH("T",AT86)))</formula>
    </cfRule>
  </conditionalFormatting>
  <conditionalFormatting sqref="AT97:BD98">
    <cfRule type="containsText" dxfId="560" priority="161" operator="containsText" text="17">
      <formula>NOT(ISERROR(SEARCH("17",AT97)))</formula>
    </cfRule>
  </conditionalFormatting>
  <conditionalFormatting sqref="AT131:BD137">
    <cfRule type="containsText" dxfId="559" priority="151" operator="containsText" text="17">
      <formula>NOT(ISERROR(SEARCH("17",AT131)))</formula>
    </cfRule>
  </conditionalFormatting>
  <conditionalFormatting sqref="AU14">
    <cfRule type="containsText" dxfId="558" priority="503" operator="containsText" text="T">
      <formula>NOT(ISERROR(SEARCH("T",AU14)))</formula>
    </cfRule>
  </conditionalFormatting>
  <conditionalFormatting sqref="AU34 AY34:BA34 AD35:AX40 BA35:BA40">
    <cfRule type="containsText" dxfId="557" priority="488" operator="containsText" text="T">
      <formula>NOT(ISERROR(SEARCH("T",AD34)))</formula>
    </cfRule>
  </conditionalFormatting>
  <conditionalFormatting sqref="AU59:AU62">
    <cfRule type="containsText" dxfId="556" priority="411" operator="containsText" text="17">
      <formula>NOT(ISERROR(SEARCH("17",AU59)))</formula>
    </cfRule>
    <cfRule type="containsText" dxfId="555" priority="412" operator="containsText" text="T">
      <formula>NOT(ISERROR(SEARCH("T",AU59)))</formula>
    </cfRule>
  </conditionalFormatting>
  <conditionalFormatting sqref="AU86:AU89">
    <cfRule type="containsText" dxfId="554" priority="401" operator="containsText" text="17">
      <formula>NOT(ISERROR(SEARCH("17",AU86)))</formula>
    </cfRule>
    <cfRule type="containsText" dxfId="553" priority="402" operator="containsText" text="T">
      <formula>NOT(ISERROR(SEARCH("T",AU86)))</formula>
    </cfRule>
  </conditionalFormatting>
  <conditionalFormatting sqref="AU194:AU199">
    <cfRule type="containsText" dxfId="552" priority="581" operator="containsText" text="T">
      <formula>NOT(ISERROR(SEARCH("T",AU194)))</formula>
    </cfRule>
  </conditionalFormatting>
  <conditionalFormatting sqref="AU34:AV34 AY34:BA34 BA35:BA40">
    <cfRule type="containsText" dxfId="551" priority="489" operator="containsText" text="17">
      <formula>NOT(ISERROR(SEARCH("17",AU34)))</formula>
    </cfRule>
  </conditionalFormatting>
  <conditionalFormatting sqref="AU83:BA85">
    <cfRule type="containsText" dxfId="550" priority="394" operator="containsText" text="17">
      <formula>NOT(ISERROR(SEARCH("17",AU83)))</formula>
    </cfRule>
    <cfRule type="containsText" dxfId="549" priority="395" operator="containsText" text="T">
      <formula>NOT(ISERROR(SEARCH("T",AU83)))</formula>
    </cfRule>
  </conditionalFormatting>
  <conditionalFormatting sqref="AU214:BA217">
    <cfRule type="containsText" dxfId="548" priority="384" operator="containsText" text="17">
      <formula>NOT(ISERROR(SEARCH("17",AU214)))</formula>
    </cfRule>
    <cfRule type="containsText" dxfId="547" priority="385" operator="containsText" text="T">
      <formula>NOT(ISERROR(SEARCH("T",AU214)))</formula>
    </cfRule>
  </conditionalFormatting>
  <conditionalFormatting sqref="AU138:BE144">
    <cfRule type="containsText" dxfId="546" priority="141" operator="containsText" text="17">
      <formula>NOT(ISERROR(SEARCH("17",AU138)))</formula>
    </cfRule>
  </conditionalFormatting>
  <conditionalFormatting sqref="AT207:CP213 AY189:CP190 J191:CP191 BA14:CP20 J33:CP33 BB34:CP40 AX175:BB181 J14:AB20 J21:AD27 BC21:CP27 J28:AE32 BE28:CP32 AE28:AF33 J34:AC40 J41:AE47 BD41:CP47 BE48:CP49 J50:AG53 BF50:CP53 AG53:BG53 J54:CP58 BG59:CP62 BF63:CP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J200:V206 J207:U213 BH214:XFD217 BI218:XFD220 BI218:CP224 BJ225:CP231 BK232:CP234 BQ105:CP105 AJ107:AO112 J120:L126 AU200:CP206 AV192:CP199 CA175:CP181 AY182:BC188 CB182:CP188">
    <cfRule type="containsText" dxfId="545" priority="8400" operator="containsText" text="17">
      <formula>NOT(ISERROR(SEARCH("17",J14)))</formula>
    </cfRule>
  </conditionalFormatting>
  <conditionalFormatting sqref="AV21 AZ21:BB21 AE22:AY27">
    <cfRule type="containsText" dxfId="544" priority="475" operator="containsText" text="T">
      <formula>NOT(ISERROR(SEARCH("T",AE21)))</formula>
    </cfRule>
  </conditionalFormatting>
  <conditionalFormatting sqref="AV34">
    <cfRule type="containsText" dxfId="543" priority="490" operator="containsText" text="T">
      <formula>NOT(ISERROR(SEARCH("T",AV34)))</formula>
    </cfRule>
  </conditionalFormatting>
  <conditionalFormatting sqref="AV83:AV85">
    <cfRule type="containsText" dxfId="542" priority="391" operator="containsText" text="17">
      <formula>NOT(ISERROR(SEARCH("17",AV83)))</formula>
    </cfRule>
    <cfRule type="containsText" dxfId="541" priority="392" operator="containsText" text="T">
      <formula>NOT(ISERROR(SEARCH("T",AV83)))</formula>
    </cfRule>
  </conditionalFormatting>
  <conditionalFormatting sqref="AV169:AV174">
    <cfRule type="containsText" dxfId="540" priority="563" operator="containsText" text="T">
      <formula>NOT(ISERROR(SEARCH("T",AV169)))</formula>
    </cfRule>
  </conditionalFormatting>
  <conditionalFormatting sqref="AV214:AV217">
    <cfRule type="containsText" dxfId="539" priority="381" operator="containsText" text="17">
      <formula>NOT(ISERROR(SEARCH("17",AV214)))</formula>
    </cfRule>
    <cfRule type="containsText" dxfId="538" priority="382" operator="containsText" text="T">
      <formula>NOT(ISERROR(SEARCH("T",AV214)))</formula>
    </cfRule>
  </conditionalFormatting>
  <conditionalFormatting sqref="AV21:AW21 AZ21:BB21 BB22:BY27">
    <cfRule type="containsText" dxfId="537" priority="476" operator="containsText" text="17">
      <formula>NOT(ISERROR(SEARCH("17",AV21)))</formula>
    </cfRule>
  </conditionalFormatting>
  <conditionalFormatting sqref="AV218:BB224">
    <cfRule type="containsText" dxfId="536" priority="374" operator="containsText" text="17">
      <formula>NOT(ISERROR(SEARCH("17",AV218)))</formula>
    </cfRule>
    <cfRule type="containsText" dxfId="535" priority="375" operator="containsText" text="T">
      <formula>NOT(ISERROR(SEARCH("T",AV218)))</formula>
    </cfRule>
  </conditionalFormatting>
  <conditionalFormatting sqref="AV145:BF151">
    <cfRule type="containsText" dxfId="534" priority="131" operator="containsText" text="17">
      <formula>NOT(ISERROR(SEARCH("17",AV145)))</formula>
    </cfRule>
  </conditionalFormatting>
  <conditionalFormatting sqref="BH214:XFD217 BJ225:CP231 BI218:XFD220 BI218:CP224 AT207:CP213 AN127:CP130 AY189:CP190 BG86:CP89 AZ90:CP96 BL79:CP82 BT145:CP151 BC21:CP27 BE28:CP32 J33:CP33 BB34:CP40 BD41:CP47 BE48:CP49 BF50:CP53 AG53:BG53 J54:CP58 BG59:CP62 BF63:CP66 BQ67:CP68 BP69:CP71 BO72:CP75 BN76:CP78 BH83:CP85 BQ99:CP102 BP103:CP104 BO106:CP106 BN107:CP112 BK113:CP116 BL117:CP119 BO120:CP120 BP121:CP121 BO122:CP122 BP123:CP123 BO124:CP126 BR131:CP137 BS138:CP144 BU152:CP158 BV159:CP165 AX175:BB181 O130:AO130 J14:AB20 BA14:CP20 J21:AD27 J28:AE32 AE28:AF33 J34:AC40 J41:AE47 J69:M75 J76:J82 J90:AA96 J99:N105 J106:K112 J131:P137 J138:Q144 J145:R151 J152:S158 J159:T165 J166:CP167 J168:X174 J175:Y181 J182:Z190 J191:CP191 J192:W199 J200:V206 J207:U213 AU200:CP206 AV192:CP199 CA175:CP181 AY182:BC188 CB182:CP188">
    <cfRule type="containsText" dxfId="533" priority="7170" operator="containsText" text="T">
      <formula>NOT(ISERROR(SEARCH("T",J14)))</formula>
    </cfRule>
  </conditionalFormatting>
  <conditionalFormatting sqref="AW21">
    <cfRule type="containsText" dxfId="532" priority="477" operator="containsText" text="T">
      <formula>NOT(ISERROR(SEARCH("T",AW21)))</formula>
    </cfRule>
  </conditionalFormatting>
  <conditionalFormatting sqref="AW41 BA41:BC41 AF42:AZ47 BC42:BC47">
    <cfRule type="containsText" dxfId="531" priority="462" operator="containsText" text="T">
      <formula>NOT(ISERROR(SEARCH("T",AF41)))</formula>
    </cfRule>
  </conditionalFormatting>
  <conditionalFormatting sqref="AW176:AW181">
    <cfRule type="containsText" dxfId="530" priority="550" operator="containsText" text="T">
      <formula>NOT(ISERROR(SEARCH("T",AW176)))</formula>
    </cfRule>
  </conditionalFormatting>
  <conditionalFormatting sqref="AW218:AW224">
    <cfRule type="containsText" dxfId="529" priority="371" operator="containsText" text="17">
      <formula>NOT(ISERROR(SEARCH("17",AW218)))</formula>
    </cfRule>
    <cfRule type="containsText" dxfId="528" priority="372" operator="containsText" text="T">
      <formula>NOT(ISERROR(SEARCH("T",AW218)))</formula>
    </cfRule>
  </conditionalFormatting>
  <conditionalFormatting sqref="AW41:AX41 BA41:BC41 BC42:BC47">
    <cfRule type="containsText" dxfId="527" priority="463" operator="containsText" text="17">
      <formula>NOT(ISERROR(SEARCH("17",AW41)))</formula>
    </cfRule>
  </conditionalFormatting>
  <conditionalFormatting sqref="AW225:BC231">
    <cfRule type="containsText" dxfId="526" priority="364" operator="containsText" text="17">
      <formula>NOT(ISERROR(SEARCH("17",AW225)))</formula>
    </cfRule>
    <cfRule type="containsText" dxfId="525" priority="365" operator="containsText" text="T">
      <formula>NOT(ISERROR(SEARCH("T",AW225)))</formula>
    </cfRule>
  </conditionalFormatting>
  <conditionalFormatting sqref="AW152:BG158">
    <cfRule type="containsText" dxfId="524" priority="121" operator="containsText" text="17">
      <formula>NOT(ISERROR(SEARCH("17",AW152)))</formula>
    </cfRule>
  </conditionalFormatting>
  <conditionalFormatting sqref="AX28:AX32 BB28:BD32">
    <cfRule type="containsText" dxfId="523" priority="452" operator="containsText" text="T">
      <formula>NOT(ISERROR(SEARCH("T",AX28)))</formula>
    </cfRule>
  </conditionalFormatting>
  <conditionalFormatting sqref="AX41">
    <cfRule type="containsText" dxfId="522" priority="464" operator="containsText" text="T">
      <formula>NOT(ISERROR(SEARCH("T",AX41)))</formula>
    </cfRule>
  </conditionalFormatting>
  <conditionalFormatting sqref="AX48:AX49 BB48:BD49">
    <cfRule type="containsText" dxfId="521" priority="442" operator="containsText" text="T">
      <formula>NOT(ISERROR(SEARCH("T",AX48)))</formula>
    </cfRule>
  </conditionalFormatting>
  <conditionalFormatting sqref="AX170:BA170">
    <cfRule type="containsText" dxfId="520" priority="8595" operator="containsText" text="17">
      <formula>NOT(ISERROR(SEARCH("17",AX170)))</formula>
    </cfRule>
    <cfRule type="containsText" dxfId="519" priority="8596" operator="containsText" text="T">
      <formula>NOT(ISERROR(SEARCH("T",AX170)))</formula>
    </cfRule>
  </conditionalFormatting>
  <conditionalFormatting sqref="AX180:AX181 AY182:AY185 BM191 BU200:BU202 BV203:BV205">
    <cfRule type="containsText" dxfId="518" priority="7185" operator="containsText" text="17">
      <formula>NOT(ISERROR(SEARCH("17",AX180)))</formula>
    </cfRule>
    <cfRule type="containsText" dxfId="517" priority="7186" operator="containsText" text="T">
      <formula>NOT(ISERROR(SEARCH("T",AX180)))</formula>
    </cfRule>
    <cfRule type="containsText" dxfId="516" priority="7187" operator="containsText" text="17">
      <formula>NOT(ISERROR(SEARCH("17",AX180)))</formula>
    </cfRule>
    <cfRule type="containsText" dxfId="515" priority="7188" operator="containsText" text="T">
      <formula>NOT(ISERROR(SEARCH("T",AX180)))</formula>
    </cfRule>
  </conditionalFormatting>
  <conditionalFormatting sqref="AX183:AX190">
    <cfRule type="containsText" dxfId="514" priority="537" operator="containsText" text="T">
      <formula>NOT(ISERROR(SEARCH("T",AX183)))</formula>
    </cfRule>
  </conditionalFormatting>
  <conditionalFormatting sqref="AX192">
    <cfRule type="containsText" dxfId="513" priority="2236" operator="containsText" text="17">
      <formula>NOT(ISERROR(SEARCH("17",AX192)))</formula>
    </cfRule>
    <cfRule type="containsText" dxfId="512" priority="2237" operator="containsText" text="T">
      <formula>NOT(ISERROR(SEARCH("T",AX192)))</formula>
    </cfRule>
    <cfRule type="containsText" dxfId="511" priority="6133" operator="containsText" text="17">
      <formula>NOT(ISERROR(SEARCH("17",AX192)))</formula>
    </cfRule>
    <cfRule type="containsText" dxfId="510" priority="6134" operator="containsText" text="T">
      <formula>NOT(ISERROR(SEARCH("T",AX192)))</formula>
    </cfRule>
  </conditionalFormatting>
  <conditionalFormatting sqref="AX196:AX198">
    <cfRule type="containsText" dxfId="509" priority="7161" operator="containsText" text="17">
      <formula>NOT(ISERROR(SEARCH("17",AX196)))</formula>
    </cfRule>
    <cfRule type="containsText" dxfId="508" priority="7162" operator="containsText" text="T">
      <formula>NOT(ISERROR(SEARCH("T",AX196)))</formula>
    </cfRule>
  </conditionalFormatting>
  <conditionalFormatting sqref="AX225:AX231">
    <cfRule type="containsText" dxfId="507" priority="361" operator="containsText" text="17">
      <formula>NOT(ISERROR(SEARCH("17",AX225)))</formula>
    </cfRule>
    <cfRule type="containsText" dxfId="506" priority="362" operator="containsText" text="T">
      <formula>NOT(ISERROR(SEARCH("T",AX225)))</formula>
    </cfRule>
  </conditionalFormatting>
  <conditionalFormatting sqref="AX28:AY32 BB28:BD32">
    <cfRule type="containsText" dxfId="505" priority="453" operator="containsText" text="17">
      <formula>NOT(ISERROR(SEARCH("17",AX28)))</formula>
    </cfRule>
  </conditionalFormatting>
  <conditionalFormatting sqref="AX48:AY49 BB48:BD49">
    <cfRule type="containsText" dxfId="504" priority="443" operator="containsText" text="17">
      <formula>NOT(ISERROR(SEARCH("17",AX48)))</formula>
    </cfRule>
  </conditionalFormatting>
  <conditionalFormatting sqref="AX199:BB199 AX206:BA206 AX213 BP199:BR199 BO206:BQ206 BT199 BS206 BV199 BU206">
    <cfRule type="containsText" dxfId="503" priority="4927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02" priority="4928" operator="containsText" text="T">
      <formula>NOT(ISERROR(SEARCH("T",AX199)))</formula>
    </cfRule>
  </conditionalFormatting>
  <conditionalFormatting sqref="AX33:BC33">
    <cfRule type="containsText" dxfId="501" priority="8699" operator="containsText" text="T">
      <formula>NOT(ISERROR(SEARCH("T",AX33)))</formula>
    </cfRule>
  </conditionalFormatting>
  <conditionalFormatting sqref="AX113:BD116">
    <cfRule type="containsText" dxfId="500" priority="344" operator="containsText" text="17">
      <formula>NOT(ISERROR(SEARCH("17",AX113)))</formula>
    </cfRule>
    <cfRule type="containsText" dxfId="499" priority="345" operator="containsText" text="T">
      <formula>NOT(ISERROR(SEARCH("T",AX113)))</formula>
    </cfRule>
  </conditionalFormatting>
  <conditionalFormatting sqref="AX232:BD234">
    <cfRule type="containsText" dxfId="498" priority="354" operator="containsText" text="17">
      <formula>NOT(ISERROR(SEARCH("17",AX232)))</formula>
    </cfRule>
    <cfRule type="containsText" dxfId="497" priority="355" operator="containsText" text="T">
      <formula>NOT(ISERROR(SEARCH("T",AX232)))</formula>
    </cfRule>
  </conditionalFormatting>
  <conditionalFormatting sqref="AX199:BE199 AX206:BD206 AX213">
    <cfRule type="containsText" dxfId="496" priority="4935" operator="containsText" text="17">
      <formula>NOT(ISERROR(SEARCH("17",AX199)))</formula>
    </cfRule>
    <cfRule type="containsText" dxfId="495" priority="4936" operator="containsText" text="T">
      <formula>NOT(ISERROR(SEARCH("T",AX199)))</formula>
    </cfRule>
  </conditionalFormatting>
  <conditionalFormatting sqref="AX159:BH165">
    <cfRule type="containsText" dxfId="494" priority="111" operator="containsText" text="17">
      <formula>NOT(ISERROR(SEARCH("17",AX159)))</formula>
    </cfRule>
  </conditionalFormatting>
  <conditionalFormatting sqref="AY28:AY32">
    <cfRule type="containsText" dxfId="493" priority="454" operator="containsText" text="T">
      <formula>NOT(ISERROR(SEARCH("T",AY28)))</formula>
    </cfRule>
  </conditionalFormatting>
  <conditionalFormatting sqref="AY33">
    <cfRule type="containsText" dxfId="492" priority="8073" operator="containsText" text="17">
      <formula>NOT(ISERROR(SEARCH("17",AY33)))</formula>
    </cfRule>
    <cfRule type="containsText" dxfId="491" priority="8074" operator="containsText" text="T">
      <formula>NOT(ISERROR(SEARCH("T",AY33)))</formula>
    </cfRule>
  </conditionalFormatting>
  <conditionalFormatting sqref="AY48:AY49">
    <cfRule type="containsText" dxfId="490" priority="444" operator="containsText" text="T">
      <formula>NOT(ISERROR(SEARCH("T",AY48)))</formula>
    </cfRule>
  </conditionalFormatting>
  <conditionalFormatting sqref="AY50:AY53 BC50:BE53">
    <cfRule type="containsText" dxfId="489" priority="432" operator="containsText" text="T">
      <formula>NOT(ISERROR(SEARCH("T",AY50)))</formula>
    </cfRule>
  </conditionalFormatting>
  <conditionalFormatting sqref="AY63:AY66 BC63:BN66">
    <cfRule type="containsText" dxfId="488" priority="422" operator="containsText" text="T">
      <formula>NOT(ISERROR(SEARCH("T",AY63)))</formula>
    </cfRule>
  </conditionalFormatting>
  <conditionalFormatting sqref="AY91:AY96">
    <cfRule type="containsText" dxfId="487" priority="524" operator="containsText" text="T">
      <formula>NOT(ISERROR(SEARCH("T",AY91)))</formula>
    </cfRule>
  </conditionalFormatting>
  <conditionalFormatting sqref="AY113:AY116">
    <cfRule type="containsText" dxfId="486" priority="341" operator="containsText" text="17">
      <formula>NOT(ISERROR(SEARCH("17",AY113)))</formula>
    </cfRule>
    <cfRule type="containsText" dxfId="485" priority="342" operator="containsText" text="T">
      <formula>NOT(ISERROR(SEARCH("T",AY113)))</formula>
    </cfRule>
  </conditionalFormatting>
  <conditionalFormatting sqref="AY189">
    <cfRule type="containsText" dxfId="484" priority="4759" operator="containsText" text="17">
      <formula>NOT(ISERROR(SEARCH("17",AY189)))</formula>
    </cfRule>
    <cfRule type="containsText" dxfId="483" priority="4760" operator="containsText" text="T">
      <formula>NOT(ISERROR(SEARCH("T",AY189)))</formula>
    </cfRule>
    <cfRule type="containsText" dxfId="482" priority="4777" operator="containsText" text="17">
      <formula>NOT(ISERROR(SEARCH("17",AY189)))</formula>
    </cfRule>
    <cfRule type="containsText" dxfId="481" priority="4778" operator="containsText" text="T">
      <formula>NOT(ISERROR(SEARCH("T",AY189)))</formula>
    </cfRule>
  </conditionalFormatting>
  <conditionalFormatting sqref="AY190 AX191:BH191 BK191 BO191:BS191">
    <cfRule type="containsText" dxfId="480" priority="8381" operator="containsText" text="T">
      <formula>NOT(ISERROR(SEARCH("T",AX190)))</formula>
    </cfRule>
  </conditionalFormatting>
  <conditionalFormatting sqref="AY199 AX206">
    <cfRule type="containsText" dxfId="479" priority="2010" operator="containsText" text="17">
      <formula>NOT(ISERROR(SEARCH("17",AX199)))</formula>
    </cfRule>
    <cfRule type="containsText" dxfId="478" priority="2011" operator="containsText" text="T">
      <formula>NOT(ISERROR(SEARCH("T",AX199)))</formula>
    </cfRule>
  </conditionalFormatting>
  <conditionalFormatting sqref="AY232:AY234">
    <cfRule type="containsText" dxfId="477" priority="351" operator="containsText" text="17">
      <formula>NOT(ISERROR(SEARCH("17",AY232)))</formula>
    </cfRule>
    <cfRule type="containsText" dxfId="476" priority="352" operator="containsText" text="T">
      <formula>NOT(ISERROR(SEARCH("T",AY232)))</formula>
    </cfRule>
  </conditionalFormatting>
  <conditionalFormatting sqref="AY50:AZ53 BC50:BE53">
    <cfRule type="containsText" dxfId="475" priority="433" operator="containsText" text="17">
      <formula>NOT(ISERROR(SEARCH("17",AY50)))</formula>
    </cfRule>
  </conditionalFormatting>
  <conditionalFormatting sqref="AY63:AZ66 BC63:BE66">
    <cfRule type="containsText" dxfId="474" priority="423" operator="containsText" text="17">
      <formula>NOT(ISERROR(SEARCH("17",AY63)))</formula>
    </cfRule>
  </conditionalFormatting>
  <conditionalFormatting sqref="AY79:BE82">
    <cfRule type="containsText" dxfId="473" priority="324" operator="containsText" text="17">
      <formula>NOT(ISERROR(SEARCH("17",AY79)))</formula>
    </cfRule>
    <cfRule type="containsText" dxfId="472" priority="325" operator="containsText" text="T">
      <formula>NOT(ISERROR(SEARCH("T",AY79)))</formula>
    </cfRule>
  </conditionalFormatting>
  <conditionalFormatting sqref="AY117:BE119">
    <cfRule type="containsText" dxfId="471" priority="334" operator="containsText" text="17">
      <formula>NOT(ISERROR(SEARCH("17",AY117)))</formula>
    </cfRule>
    <cfRule type="containsText" dxfId="470" priority="335" operator="containsText" text="T">
      <formula>NOT(ISERROR(SEARCH("T",AY117)))</formula>
    </cfRule>
  </conditionalFormatting>
  <conditionalFormatting sqref="AY207:BI213">
    <cfRule type="containsText" dxfId="469" priority="101" operator="containsText" text="17">
      <formula>NOT(ISERROR(SEARCH("17",AY207)))</formula>
    </cfRule>
  </conditionalFormatting>
  <conditionalFormatting sqref="AY193:BV213 AX195:BV195 BH214:BV215 AZ200:BW206 BA192:BX199">
    <cfRule type="containsText" dxfId="468" priority="781" operator="containsText" text="T">
      <formula>NOT(ISERROR(SEARCH("T",AX192)))</formula>
    </cfRule>
    <cfRule type="containsText" dxfId="467" priority="782" operator="containsText" text="17">
      <formula>NOT(ISERROR(SEARCH("17",AX192)))</formula>
    </cfRule>
  </conditionalFormatting>
  <conditionalFormatting sqref="AZ15:AZ20">
    <cfRule type="containsText" dxfId="466" priority="511" operator="containsText" text="T">
      <formula>NOT(ISERROR(SEARCH("T",AZ15)))</formula>
    </cfRule>
  </conditionalFormatting>
  <conditionalFormatting sqref="AZ50:AZ53">
    <cfRule type="containsText" dxfId="465" priority="434" operator="containsText" text="T">
      <formula>NOT(ISERROR(SEARCH("T",AZ50)))</formula>
    </cfRule>
  </conditionalFormatting>
  <conditionalFormatting sqref="AZ63:AZ66">
    <cfRule type="containsText" dxfId="464" priority="424" operator="containsText" text="T">
      <formula>NOT(ISERROR(SEARCH("T",AZ63)))</formula>
    </cfRule>
  </conditionalFormatting>
  <conditionalFormatting sqref="AZ79:AZ82">
    <cfRule type="containsText" dxfId="463" priority="321" operator="containsText" text="17">
      <formula>NOT(ISERROR(SEARCH("17",AZ79)))</formula>
    </cfRule>
    <cfRule type="containsText" dxfId="462" priority="322" operator="containsText" text="T">
      <formula>NOT(ISERROR(SEARCH("T",AZ79)))</formula>
    </cfRule>
  </conditionalFormatting>
  <conditionalFormatting sqref="AZ86:AZ89 BD86:BF89">
    <cfRule type="containsText" dxfId="461" priority="398" operator="containsText" text="T">
      <formula>NOT(ISERROR(SEARCH("T",AZ86)))</formula>
    </cfRule>
  </conditionalFormatting>
  <conditionalFormatting sqref="AZ117:AZ119">
    <cfRule type="containsText" dxfId="460" priority="331" operator="containsText" text="17">
      <formula>NOT(ISERROR(SEARCH("17",AZ117)))</formula>
    </cfRule>
    <cfRule type="containsText" dxfId="459" priority="332" operator="containsText" text="T">
      <formula>NOT(ISERROR(SEARCH("T",AZ117)))</formula>
    </cfRule>
  </conditionalFormatting>
  <conditionalFormatting sqref="AZ59:BA62 BD59:BF62">
    <cfRule type="containsText" dxfId="458" priority="409" operator="containsText" text="17">
      <formula>NOT(ISERROR(SEARCH("17",AZ59)))</formula>
    </cfRule>
  </conditionalFormatting>
  <conditionalFormatting sqref="AZ86:BA89 BD86:BF89">
    <cfRule type="containsText" dxfId="457" priority="399" operator="containsText" text="17">
      <formula>NOT(ISERROR(SEARCH("17",AZ86)))</formula>
    </cfRule>
  </conditionalFormatting>
  <conditionalFormatting sqref="AZ93:BB93">
    <cfRule type="containsText" dxfId="456" priority="3923" operator="containsText" text="17">
      <formula>NOT(ISERROR(SEARCH("17",AZ93)))</formula>
    </cfRule>
    <cfRule type="containsText" dxfId="455" priority="3924" operator="containsText" text="T">
      <formula>NOT(ISERROR(SEARCH("T",AZ93)))</formula>
    </cfRule>
  </conditionalFormatting>
  <conditionalFormatting sqref="AZ175:BB178">
    <cfRule type="containsText" dxfId="454" priority="800" operator="containsText" text="T">
      <formula>NOT(ISERROR(SEARCH("T",AZ175)))</formula>
    </cfRule>
  </conditionalFormatting>
  <conditionalFormatting sqref="AZ182:BC183 AZ180:BB181">
    <cfRule type="containsText" dxfId="453" priority="794" operator="containsText" text="T">
      <formula>NOT(ISERROR(SEARCH("T",AZ180)))</formula>
    </cfRule>
  </conditionalFormatting>
  <conditionalFormatting sqref="AZ189:BW190 AZ185:BC188">
    <cfRule type="containsText" dxfId="452" priority="788" operator="containsText" text="T">
      <formula>NOT(ISERROR(SEARCH("T",AZ185)))</formula>
    </cfRule>
  </conditionalFormatting>
  <conditionalFormatting sqref="BA22:BA27">
    <cfRule type="containsText" dxfId="451" priority="416" operator="containsText" text="T">
      <formula>NOT(ISERROR(SEARCH("T",BA22)))</formula>
    </cfRule>
    <cfRule type="containsText" dxfId="450" priority="417" operator="containsText" text="17">
      <formula>NOT(ISERROR(SEARCH("17",BA22)))</formula>
    </cfRule>
  </conditionalFormatting>
  <conditionalFormatting sqref="BA35:BA40">
    <cfRule type="containsText" dxfId="449" priority="498" operator="containsText" text="T">
      <formula>NOT(ISERROR(SEARCH("T",BA35)))</formula>
    </cfRule>
  </conditionalFormatting>
  <conditionalFormatting sqref="BA59:BA62">
    <cfRule type="containsText" dxfId="448" priority="410" operator="containsText" text="T">
      <formula>NOT(ISERROR(SEARCH("T",BA59)))</formula>
    </cfRule>
  </conditionalFormatting>
  <conditionalFormatting sqref="BA83:BA85 BE83:BG85">
    <cfRule type="containsText" dxfId="447" priority="388" operator="containsText" text="T">
      <formula>NOT(ISERROR(SEARCH("T",BA83)))</formula>
    </cfRule>
  </conditionalFormatting>
  <conditionalFormatting sqref="BA86:BA89">
    <cfRule type="containsText" dxfId="446" priority="400" operator="containsText" text="T">
      <formula>NOT(ISERROR(SEARCH("T",BA86)))</formula>
    </cfRule>
  </conditionalFormatting>
  <conditionalFormatting sqref="BA199 AZ206">
    <cfRule type="containsText" dxfId="445" priority="4923" operator="containsText" text="17">
      <formula>NOT(ISERROR(SEARCH("17",AZ199)))</formula>
    </cfRule>
    <cfRule type="containsText" dxfId="444" priority="4924" operator="containsText" text="T">
      <formula>NOT(ISERROR(SEARCH("T",AZ199)))</formula>
    </cfRule>
  </conditionalFormatting>
  <conditionalFormatting sqref="BA214:BA217 BE214:BG217">
    <cfRule type="containsText" dxfId="443" priority="378" operator="containsText" text="T">
      <formula>NOT(ISERROR(SEARCH("T",BA214)))</formula>
    </cfRule>
  </conditionalFormatting>
  <conditionalFormatting sqref="BA22:BB27">
    <cfRule type="containsText" dxfId="442" priority="419" operator="containsText" text="T">
      <formula>NOT(ISERROR(SEARCH("T",BA22)))</formula>
    </cfRule>
  </conditionalFormatting>
  <conditionalFormatting sqref="BA83:BB85 BE83:BG85">
    <cfRule type="containsText" dxfId="441" priority="389" operator="containsText" text="17">
      <formula>NOT(ISERROR(SEARCH("17",BA83)))</formula>
    </cfRule>
  </conditionalFormatting>
  <conditionalFormatting sqref="BA214:BB217 BE214:BG217">
    <cfRule type="containsText" dxfId="440" priority="379" operator="containsText" text="17">
      <formula>NOT(ISERROR(SEARCH("17",BA214)))</formula>
    </cfRule>
  </conditionalFormatting>
  <conditionalFormatting sqref="BA76:BG78">
    <cfRule type="containsText" dxfId="439" priority="299" operator="containsText" text="17">
      <formula>NOT(ISERROR(SEARCH("17",BA76)))</formula>
    </cfRule>
    <cfRule type="containsText" dxfId="438" priority="300" operator="containsText" text="T">
      <formula>NOT(ISERROR(SEARCH("T",BA76)))</formula>
    </cfRule>
  </conditionalFormatting>
  <conditionalFormatting sqref="BA107:BG112">
    <cfRule type="containsText" dxfId="437" priority="309" operator="containsText" text="17">
      <formula>NOT(ISERROR(SEARCH("17",BA107)))</formula>
    </cfRule>
    <cfRule type="containsText" dxfId="436" priority="310" operator="containsText" text="T">
      <formula>NOT(ISERROR(SEARCH("T",BA107)))</formula>
    </cfRule>
  </conditionalFormatting>
  <conditionalFormatting sqref="BB22:BB27">
    <cfRule type="containsText" dxfId="435" priority="485" operator="containsText" text="T">
      <formula>NOT(ISERROR(SEARCH("T",BB22)))</formula>
    </cfRule>
  </conditionalFormatting>
  <conditionalFormatting sqref="BB76:BB78">
    <cfRule type="containsText" dxfId="434" priority="296" operator="containsText" text="17">
      <formula>NOT(ISERROR(SEARCH("17",BB76)))</formula>
    </cfRule>
    <cfRule type="containsText" dxfId="433" priority="297" operator="containsText" text="T">
      <formula>NOT(ISERROR(SEARCH("T",BB76)))</formula>
    </cfRule>
  </conditionalFormatting>
  <conditionalFormatting sqref="BB83:BB85">
    <cfRule type="containsText" dxfId="432" priority="390" operator="containsText" text="T">
      <formula>NOT(ISERROR(SEARCH("T",BB83)))</formula>
    </cfRule>
  </conditionalFormatting>
  <conditionalFormatting sqref="BB107:BB112">
    <cfRule type="containsText" dxfId="431" priority="306" operator="containsText" text="17">
      <formula>NOT(ISERROR(SEARCH("17",BB107)))</formula>
    </cfRule>
    <cfRule type="containsText" dxfId="430" priority="307" operator="containsText" text="T">
      <formula>NOT(ISERROR(SEARCH("T",BB107)))</formula>
    </cfRule>
  </conditionalFormatting>
  <conditionalFormatting sqref="BB199 BD199:BI199 BA206 BC206:BH206">
    <cfRule type="containsText" dxfId="429" priority="4937" operator="containsText" text="17">
      <formula>NOT(ISERROR(SEARCH("17",BA199)))</formula>
    </cfRule>
    <cfRule type="containsText" dxfId="428" priority="4938" operator="containsText" text="T">
      <formula>NOT(ISERROR(SEARCH("T",BA199)))</formula>
    </cfRule>
  </conditionalFormatting>
  <conditionalFormatting sqref="BB214:BB217">
    <cfRule type="containsText" dxfId="427" priority="380" operator="containsText" text="T">
      <formula>NOT(ISERROR(SEARCH("T",BB214)))</formula>
    </cfRule>
  </conditionalFormatting>
  <conditionalFormatting sqref="BB218:BB224 BF218:BH224">
    <cfRule type="containsText" dxfId="426" priority="368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25" priority="8413" operator="containsText" text="T">
      <formula>NOT(ISERROR(SEARCH("T",AX35)))</formula>
    </cfRule>
  </conditionalFormatting>
  <conditionalFormatting sqref="BB218:BC224 BF218:BH224">
    <cfRule type="containsText" dxfId="424" priority="369" operator="containsText" text="17">
      <formula>NOT(ISERROR(SEARCH("17",BB218)))</formula>
    </cfRule>
  </conditionalFormatting>
  <conditionalFormatting sqref="BB72:BH75">
    <cfRule type="containsText" dxfId="423" priority="289" operator="containsText" text="17">
      <formula>NOT(ISERROR(SEARCH("17",BB72)))</formula>
    </cfRule>
    <cfRule type="containsText" dxfId="422" priority="290" operator="containsText" text="T">
      <formula>NOT(ISERROR(SEARCH("T",BB72)))</formula>
    </cfRule>
  </conditionalFormatting>
  <conditionalFormatting sqref="BB106:BH106">
    <cfRule type="containsText" dxfId="421" priority="279" operator="containsText" text="17">
      <formula>NOT(ISERROR(SEARCH("17",BB106)))</formula>
    </cfRule>
    <cfRule type="containsText" dxfId="420" priority="280" operator="containsText" text="T">
      <formula>NOT(ISERROR(SEARCH("T",BB106)))</formula>
    </cfRule>
  </conditionalFormatting>
  <conditionalFormatting sqref="BB120:BH120">
    <cfRule type="containsText" dxfId="419" priority="259" operator="containsText" text="17">
      <formula>NOT(ISERROR(SEARCH("17",BB120)))</formula>
    </cfRule>
    <cfRule type="containsText" dxfId="418" priority="260" operator="containsText" text="T">
      <formula>NOT(ISERROR(SEARCH("T",BB120)))</formula>
    </cfRule>
  </conditionalFormatting>
  <conditionalFormatting sqref="BB122:BH122">
    <cfRule type="containsText" dxfId="417" priority="249" operator="containsText" text="17">
      <formula>NOT(ISERROR(SEARCH("17",BB122)))</formula>
    </cfRule>
    <cfRule type="containsText" dxfId="416" priority="250" operator="containsText" text="T">
      <formula>NOT(ISERROR(SEARCH("T",BB122)))</formula>
    </cfRule>
  </conditionalFormatting>
  <conditionalFormatting sqref="BB124:BH126">
    <cfRule type="containsText" dxfId="415" priority="269" operator="containsText" text="17">
      <formula>NOT(ISERROR(SEARCH("17",BB124)))</formula>
    </cfRule>
    <cfRule type="containsText" dxfId="414" priority="270" operator="containsText" text="T">
      <formula>NOT(ISERROR(SEARCH("T",BB124)))</formula>
    </cfRule>
  </conditionalFormatting>
  <conditionalFormatting sqref="BB194:BN194 BB196:BN198">
    <cfRule type="containsText" dxfId="413" priority="783" operator="containsText" text="17">
      <formula>NOT(ISERROR(SEARCH("17",BB194)))</formula>
    </cfRule>
  </conditionalFormatting>
  <conditionalFormatting sqref="BC34">
    <cfRule type="containsText" dxfId="412" priority="7927" operator="containsText" text="17">
      <formula>NOT(ISERROR(SEARCH("17",BC34)))</formula>
    </cfRule>
    <cfRule type="containsText" dxfId="411" priority="7928" operator="containsText" text="T">
      <formula>NOT(ISERROR(SEARCH("T",BC34)))</formula>
    </cfRule>
    <cfRule type="containsText" dxfId="410" priority="7929" operator="containsText" text="17">
      <formula>NOT(ISERROR(SEARCH("17",BC34)))</formula>
    </cfRule>
    <cfRule type="containsText" dxfId="409" priority="7930" operator="containsText" text="T">
      <formula>NOT(ISERROR(SEARCH("T",BC34)))</formula>
    </cfRule>
  </conditionalFormatting>
  <conditionalFormatting sqref="BC42:BC47">
    <cfRule type="containsText" dxfId="408" priority="472" operator="containsText" text="T">
      <formula>NOT(ISERROR(SEARCH("T",BC42)))</formula>
    </cfRule>
  </conditionalFormatting>
  <conditionalFormatting sqref="BC72:BC75">
    <cfRule type="containsText" dxfId="407" priority="286" operator="containsText" text="17">
      <formula>NOT(ISERROR(SEARCH("17",BC72)))</formula>
    </cfRule>
    <cfRule type="containsText" dxfId="406" priority="287" operator="containsText" text="T">
      <formula>NOT(ISERROR(SEARCH("T",BC72)))</formula>
    </cfRule>
  </conditionalFormatting>
  <conditionalFormatting sqref="BC106">
    <cfRule type="containsText" dxfId="405" priority="276" operator="containsText" text="17">
      <formula>NOT(ISERROR(SEARCH("17",BC106)))</formula>
    </cfRule>
    <cfRule type="containsText" dxfId="404" priority="277" operator="containsText" text="T">
      <formula>NOT(ISERROR(SEARCH("T",BC106)))</formula>
    </cfRule>
  </conditionalFormatting>
  <conditionalFormatting sqref="BC120">
    <cfRule type="containsText" dxfId="403" priority="256" operator="containsText" text="17">
      <formula>NOT(ISERROR(SEARCH("17",BC120)))</formula>
    </cfRule>
    <cfRule type="containsText" dxfId="402" priority="257" operator="containsText" text="T">
      <formula>NOT(ISERROR(SEARCH("T",BC120)))</formula>
    </cfRule>
  </conditionalFormatting>
  <conditionalFormatting sqref="BC122">
    <cfRule type="containsText" dxfId="401" priority="246" operator="containsText" text="17">
      <formula>NOT(ISERROR(SEARCH("17",BC122)))</formula>
    </cfRule>
    <cfRule type="containsText" dxfId="400" priority="247" operator="containsText" text="T">
      <formula>NOT(ISERROR(SEARCH("T",BC122)))</formula>
    </cfRule>
  </conditionalFormatting>
  <conditionalFormatting sqref="BC124:BC126">
    <cfRule type="containsText" dxfId="399" priority="266" operator="containsText" text="17">
      <formula>NOT(ISERROR(SEARCH("17",BC124)))</formula>
    </cfRule>
    <cfRule type="containsText" dxfId="398" priority="267" operator="containsText" text="T">
      <formula>NOT(ISERROR(SEARCH("T",BC124)))</formula>
    </cfRule>
  </conditionalFormatting>
  <conditionalFormatting sqref="BC199 BB206 BS127">
    <cfRule type="containsText" dxfId="397" priority="2012" operator="containsText" text="17">
      <formula>NOT(ISERROR(SEARCH("17",BB127)))</formula>
    </cfRule>
  </conditionalFormatting>
  <conditionalFormatting sqref="BC218:BC224">
    <cfRule type="containsText" dxfId="396" priority="370" operator="containsText" text="T">
      <formula>NOT(ISERROR(SEARCH("T",BC218)))</formula>
    </cfRule>
  </conditionalFormatting>
  <conditionalFormatting sqref="BC225:BC231 BG225:BI231">
    <cfRule type="containsText" dxfId="395" priority="358" operator="containsText" text="T">
      <formula>NOT(ISERROR(SEARCH("T",BC225)))</formula>
    </cfRule>
  </conditionalFormatting>
  <conditionalFormatting sqref="BC225:BD231 BG225:BI231">
    <cfRule type="containsText" dxfId="394" priority="359" operator="containsText" text="17">
      <formula>NOT(ISERROR(SEARCH("17",BC225)))</formula>
    </cfRule>
  </conditionalFormatting>
  <conditionalFormatting sqref="BC69:BI71">
    <cfRule type="containsText" dxfId="393" priority="209" operator="containsText" text="17">
      <formula>NOT(ISERROR(SEARCH("17",BC69)))</formula>
    </cfRule>
    <cfRule type="containsText" dxfId="392" priority="210" operator="containsText" text="T">
      <formula>NOT(ISERROR(SEARCH("T",BC69)))</formula>
    </cfRule>
  </conditionalFormatting>
  <conditionalFormatting sqref="BC103:BI104">
    <cfRule type="containsText" dxfId="391" priority="239" operator="containsText" text="17">
      <formula>NOT(ISERROR(SEARCH("17",BC103)))</formula>
    </cfRule>
    <cfRule type="containsText" dxfId="390" priority="240" operator="containsText" text="T">
      <formula>NOT(ISERROR(SEARCH("T",BC103)))</formula>
    </cfRule>
  </conditionalFormatting>
  <conditionalFormatting sqref="BC121:BI121">
    <cfRule type="containsText" dxfId="389" priority="229" operator="containsText" text="17">
      <formula>NOT(ISERROR(SEARCH("17",BC121)))</formula>
    </cfRule>
    <cfRule type="containsText" dxfId="388" priority="230" operator="containsText" text="T">
      <formula>NOT(ISERROR(SEARCH("T",BC121)))</formula>
    </cfRule>
  </conditionalFormatting>
  <conditionalFormatting sqref="BC123:BI123">
    <cfRule type="containsText" dxfId="387" priority="219" operator="containsText" text="17">
      <formula>NOT(ISERROR(SEARCH("17",BC123)))</formula>
    </cfRule>
    <cfRule type="containsText" dxfId="386" priority="220" operator="containsText" text="T">
      <formula>NOT(ISERROR(SEARCH("T",BC123)))</formula>
    </cfRule>
  </conditionalFormatting>
  <conditionalFormatting sqref="BC16:BO20">
    <cfRule type="containsText" dxfId="385" priority="8246" operator="containsText" text="17">
      <formula>NOT(ISERROR(SEARCH("17",BC16)))</formula>
    </cfRule>
  </conditionalFormatting>
  <conditionalFormatting sqref="BC182:BC183">
    <cfRule type="containsText" dxfId="384" priority="795" operator="containsText" text="17">
      <formula>NOT(ISERROR(SEARCH("17",BC182)))</formula>
    </cfRule>
  </conditionalFormatting>
  <conditionalFormatting sqref="BC189:BO190 BC186:BC188">
    <cfRule type="containsText" dxfId="383" priority="789" operator="containsText" text="17">
      <formula>NOT(ISERROR(SEARCH("17",BC186)))</formula>
    </cfRule>
  </conditionalFormatting>
  <conditionalFormatting sqref="BC199:BR199 BB206:BQ206 BS127">
    <cfRule type="containsText" dxfId="382" priority="4917" operator="containsText" text="17">
      <formula>NOT(ISERROR(SEARCH("17",BB127)))</formula>
    </cfRule>
  </conditionalFormatting>
  <conditionalFormatting sqref="BD69:BD71">
    <cfRule type="containsText" dxfId="381" priority="206" operator="containsText" text="17">
      <formula>NOT(ISERROR(SEARCH("17",BD69)))</formula>
    </cfRule>
    <cfRule type="containsText" dxfId="380" priority="207" operator="containsText" text="T">
      <formula>NOT(ISERROR(SEARCH("T",BD69)))</formula>
    </cfRule>
  </conditionalFormatting>
  <conditionalFormatting sqref="BD103:BD104">
    <cfRule type="containsText" dxfId="379" priority="236" operator="containsText" text="17">
      <formula>NOT(ISERROR(SEARCH("17",BD103)))</formula>
    </cfRule>
    <cfRule type="containsText" dxfId="378" priority="237" operator="containsText" text="T">
      <formula>NOT(ISERROR(SEARCH("T",BD103)))</formula>
    </cfRule>
  </conditionalFormatting>
  <conditionalFormatting sqref="BD113:BD116 BH113:BJ116">
    <cfRule type="containsText" dxfId="377" priority="338" operator="containsText" text="T">
      <formula>NOT(ISERROR(SEARCH("T",BD113)))</formula>
    </cfRule>
  </conditionalFormatting>
  <conditionalFormatting sqref="BD121">
    <cfRule type="containsText" dxfId="376" priority="226" operator="containsText" text="17">
      <formula>NOT(ISERROR(SEARCH("17",BD121)))</formula>
    </cfRule>
    <cfRule type="containsText" dxfId="375" priority="227" operator="containsText" text="T">
      <formula>NOT(ISERROR(SEARCH("T",BD121)))</formula>
    </cfRule>
  </conditionalFormatting>
  <conditionalFormatting sqref="BD123">
    <cfRule type="containsText" dxfId="374" priority="216" operator="containsText" text="17">
      <formula>NOT(ISERROR(SEARCH("17",BD123)))</formula>
    </cfRule>
    <cfRule type="containsText" dxfId="373" priority="217" operator="containsText" text="T">
      <formula>NOT(ISERROR(SEARCH("T",BD123)))</formula>
    </cfRule>
  </conditionalFormatting>
  <conditionalFormatting sqref="BD225:BD231">
    <cfRule type="containsText" dxfId="372" priority="360" operator="containsText" text="T">
      <formula>NOT(ISERROR(SEARCH("T",BD225)))</formula>
    </cfRule>
  </conditionalFormatting>
  <conditionalFormatting sqref="BD232:BD234 BH232:BJ234">
    <cfRule type="containsText" dxfId="371" priority="348" operator="containsText" text="T">
      <formula>NOT(ISERROR(SEARCH("T",BD232)))</formula>
    </cfRule>
  </conditionalFormatting>
  <conditionalFormatting sqref="BD113:BE116 BH113:BJ116">
    <cfRule type="containsText" dxfId="370" priority="339" operator="containsText" text="17">
      <formula>NOT(ISERROR(SEARCH("17",BD113)))</formula>
    </cfRule>
  </conditionalFormatting>
  <conditionalFormatting sqref="BD232:BE234 BH232:BV234">
    <cfRule type="containsText" dxfId="369" priority="349" operator="containsText" text="17">
      <formula>NOT(ISERROR(SEARCH("17",BD232)))</formula>
    </cfRule>
  </conditionalFormatting>
  <conditionalFormatting sqref="BD67:BJ68">
    <cfRule type="containsText" dxfId="368" priority="179" operator="containsText" text="17">
      <formula>NOT(ISERROR(SEARCH("17",BD67)))</formula>
    </cfRule>
    <cfRule type="containsText" dxfId="367" priority="180" operator="containsText" text="T">
      <formula>NOT(ISERROR(SEARCH("T",BD67)))</formula>
    </cfRule>
  </conditionalFormatting>
  <conditionalFormatting sqref="BD99:BJ102">
    <cfRule type="containsText" dxfId="366" priority="199" operator="containsText" text="17">
      <formula>NOT(ISERROR(SEARCH("17",BD99)))</formula>
    </cfRule>
    <cfRule type="containsText" dxfId="365" priority="200" operator="containsText" text="T">
      <formula>NOT(ISERROR(SEARCH("T",BD99)))</formula>
    </cfRule>
  </conditionalFormatting>
  <conditionalFormatting sqref="BD105:BJ105">
    <cfRule type="containsText" dxfId="364" priority="189" operator="containsText" text="17">
      <formula>NOT(ISERROR(SEARCH("17",BD105)))</formula>
    </cfRule>
    <cfRule type="containsText" dxfId="363" priority="190" operator="containsText" text="T">
      <formula>NOT(ISERROR(SEARCH("T",BD105)))</formula>
    </cfRule>
  </conditionalFormatting>
  <conditionalFormatting sqref="BD54:BN62 AZ59:AZ62">
    <cfRule type="containsText" dxfId="362" priority="408" operator="containsText" text="T">
      <formula>NOT(ISERROR(SEARCH("T",AZ54)))</formula>
    </cfRule>
  </conditionalFormatting>
  <conditionalFormatting sqref="BD35:CA39">
    <cfRule type="containsText" dxfId="361" priority="916" operator="containsText" text="T">
      <formula>NOT(ISERROR(SEARCH("T",BD35)))</formula>
    </cfRule>
  </conditionalFormatting>
  <conditionalFormatting sqref="BD41:CA45">
    <cfRule type="containsText" dxfId="360" priority="909" operator="containsText" text="T">
      <formula>NOT(ISERROR(SEARCH("T",BD41)))</formula>
    </cfRule>
  </conditionalFormatting>
  <conditionalFormatting sqref="BD47:CA47 BE48:CA48">
    <cfRule type="containsText" dxfId="359" priority="904" operator="containsText" text="T">
      <formula>NOT(ISERROR(SEARCH("T",BD47)))</formula>
    </cfRule>
  </conditionalFormatting>
  <conditionalFormatting sqref="BE67:BE68">
    <cfRule type="containsText" dxfId="358" priority="176" operator="containsText" text="17">
      <formula>NOT(ISERROR(SEARCH("17",BE67)))</formula>
    </cfRule>
    <cfRule type="containsText" dxfId="357" priority="177" operator="containsText" text="T">
      <formula>NOT(ISERROR(SEARCH("T",BE67)))</formula>
    </cfRule>
  </conditionalFormatting>
  <conditionalFormatting sqref="BE79:BE82 BI79:BK82">
    <cfRule type="containsText" dxfId="356" priority="318" operator="containsText" text="T">
      <formula>NOT(ISERROR(SEARCH("T",BE79)))</formula>
    </cfRule>
  </conditionalFormatting>
  <conditionalFormatting sqref="BE99:BE102">
    <cfRule type="containsText" dxfId="355" priority="196" operator="containsText" text="17">
      <formula>NOT(ISERROR(SEARCH("17",BE99)))</formula>
    </cfRule>
    <cfRule type="containsText" dxfId="354" priority="197" operator="containsText" text="T">
      <formula>NOT(ISERROR(SEARCH("T",BE99)))</formula>
    </cfRule>
  </conditionalFormatting>
  <conditionalFormatting sqref="BE105">
    <cfRule type="containsText" dxfId="353" priority="186" operator="containsText" text="17">
      <formula>NOT(ISERROR(SEARCH("17",BE105)))</formula>
    </cfRule>
    <cfRule type="containsText" dxfId="352" priority="187" operator="containsText" text="T">
      <formula>NOT(ISERROR(SEARCH("T",BE105)))</formula>
    </cfRule>
  </conditionalFormatting>
  <conditionalFormatting sqref="BE113:BE116">
    <cfRule type="containsText" dxfId="351" priority="340" operator="containsText" text="T">
      <formula>NOT(ISERROR(SEARCH("T",BE113)))</formula>
    </cfRule>
  </conditionalFormatting>
  <conditionalFormatting sqref="BE117:BE119 BI117:BK119">
    <cfRule type="containsText" dxfId="350" priority="328" operator="containsText" text="T">
      <formula>NOT(ISERROR(SEARCH("T",BE117)))</formula>
    </cfRule>
  </conditionalFormatting>
  <conditionalFormatting sqref="BE232:BE234">
    <cfRule type="containsText" dxfId="349" priority="350" operator="containsText" text="T">
      <formula>NOT(ISERROR(SEARCH("T",BE232)))</formula>
    </cfRule>
  </conditionalFormatting>
  <conditionalFormatting sqref="BE79:BF82 BI79:BK82">
    <cfRule type="containsText" dxfId="348" priority="319" operator="containsText" text="17">
      <formula>NOT(ISERROR(SEARCH("17",BE79)))</formula>
    </cfRule>
  </conditionalFormatting>
  <conditionalFormatting sqref="BE117:BF119 BI117:CI119">
    <cfRule type="containsText" dxfId="347" priority="329" operator="containsText" text="17">
      <formula>NOT(ISERROR(SEARCH("17",BE117)))</formula>
    </cfRule>
  </conditionalFormatting>
  <conditionalFormatting sqref="BE199:BF199 BD206:BE206">
    <cfRule type="containsText" dxfId="346" priority="2008" operator="containsText" text="17">
      <formula>NOT(ISERROR(SEARCH("17",BD199)))</formula>
    </cfRule>
    <cfRule type="containsText" dxfId="345" priority="2009" operator="containsText" text="T">
      <formula>NOT(ISERROR(SEARCH("T",BD199)))</formula>
    </cfRule>
  </conditionalFormatting>
  <conditionalFormatting sqref="BE97:BK98">
    <cfRule type="containsText" dxfId="344" priority="169" operator="containsText" text="17">
      <formula>NOT(ISERROR(SEARCH("17",BE97)))</formula>
    </cfRule>
    <cfRule type="containsText" dxfId="343" priority="170" operator="containsText" text="T">
      <formula>NOT(ISERROR(SEARCH("T",BE97)))</formula>
    </cfRule>
  </conditionalFormatting>
  <conditionalFormatting sqref="BE131:BK137">
    <cfRule type="containsText" dxfId="342" priority="159" operator="containsText" text="17">
      <formula>NOT(ISERROR(SEARCH("17",BE131)))</formula>
    </cfRule>
    <cfRule type="containsText" dxfId="341" priority="160" operator="containsText" text="T">
      <formula>NOT(ISERROR(SEARCH("T",BE131)))</formula>
    </cfRule>
  </conditionalFormatting>
  <conditionalFormatting sqref="BE23:BQ27">
    <cfRule type="containsText" dxfId="340" priority="929" operator="containsText" text="17">
      <formula>NOT(ISERROR(SEARCH("17",BE23)))</formula>
    </cfRule>
  </conditionalFormatting>
  <conditionalFormatting sqref="BF79:BF82">
    <cfRule type="containsText" dxfId="339" priority="320" operator="containsText" text="T">
      <formula>NOT(ISERROR(SEARCH("T",BF79)))</formula>
    </cfRule>
  </conditionalFormatting>
  <conditionalFormatting sqref="BF93:BF96 AZ94:BB96 BG94:BI96 BS97 BM231:BV234">
    <cfRule type="containsText" dxfId="338" priority="8443" operator="containsText" text="T">
      <formula>NOT(ISERROR(SEARCH("T",AZ93)))</formula>
    </cfRule>
  </conditionalFormatting>
  <conditionalFormatting sqref="BF93:BF96 AZ94:BB96 BS97 BG94:BI96 BM231:BV234">
    <cfRule type="containsText" dxfId="337" priority="8442" operator="containsText" text="17">
      <formula>NOT(ISERROR(SEARCH("17",AZ93)))</formula>
    </cfRule>
  </conditionalFormatting>
  <conditionalFormatting sqref="BF97:BF98">
    <cfRule type="containsText" dxfId="336" priority="166" operator="containsText" text="17">
      <formula>NOT(ISERROR(SEARCH("17",BF97)))</formula>
    </cfRule>
    <cfRule type="containsText" dxfId="335" priority="167" operator="containsText" text="T">
      <formula>NOT(ISERROR(SEARCH("T",BF97)))</formula>
    </cfRule>
  </conditionalFormatting>
  <conditionalFormatting sqref="BF117:BF119">
    <cfRule type="containsText" dxfId="334" priority="330" operator="containsText" text="T">
      <formula>NOT(ISERROR(SEARCH("T",BF117)))</formula>
    </cfRule>
  </conditionalFormatting>
  <conditionalFormatting sqref="BF131:BF137">
    <cfRule type="containsText" dxfId="333" priority="156" operator="containsText" text="17">
      <formula>NOT(ISERROR(SEARCH("17",BF131)))</formula>
    </cfRule>
    <cfRule type="containsText" dxfId="332" priority="157" operator="containsText" text="T">
      <formula>NOT(ISERROR(SEARCH("T",BF131)))</formula>
    </cfRule>
  </conditionalFormatting>
  <conditionalFormatting sqref="BF138:BL144">
    <cfRule type="containsText" dxfId="331" priority="149" operator="containsText" text="17">
      <formula>NOT(ISERROR(SEARCH("17",BF138)))</formula>
    </cfRule>
    <cfRule type="containsText" dxfId="330" priority="150" operator="containsText" text="T">
      <formula>NOT(ISERROR(SEARCH("T",BF138)))</formula>
    </cfRule>
  </conditionalFormatting>
  <conditionalFormatting sqref="BF50:CA52 BF53:BN53">
    <cfRule type="containsText" dxfId="329" priority="899" operator="containsText" text="T">
      <formula>NOT(ISERROR(SEARCH("T",BF50)))</formula>
    </cfRule>
  </conditionalFormatting>
  <conditionalFormatting sqref="BG76:BG78 BK76:BM78">
    <cfRule type="containsText" dxfId="328" priority="293" operator="containsText" text="T">
      <formula>NOT(ISERROR(SEARCH("T",BG76)))</formula>
    </cfRule>
  </conditionalFormatting>
  <conditionalFormatting sqref="BG86 BG93:BI93">
    <cfRule type="containsText" dxfId="327" priority="3967" operator="containsText" text="17">
      <formula>NOT(ISERROR(SEARCH("17",BG86)))</formula>
    </cfRule>
    <cfRule type="containsText" dxfId="326" priority="3968" operator="containsText" text="T">
      <formula>NOT(ISERROR(SEARCH("T",BG86)))</formula>
    </cfRule>
  </conditionalFormatting>
  <conditionalFormatting sqref="BG107:BG112 BK107:BM112">
    <cfRule type="containsText" dxfId="325" priority="303" operator="containsText" text="T">
      <formula>NOT(ISERROR(SEARCH("T",BG107)))</formula>
    </cfRule>
  </conditionalFormatting>
  <conditionalFormatting sqref="BG138:BG144">
    <cfRule type="containsText" dxfId="324" priority="146" operator="containsText" text="17">
      <formula>NOT(ISERROR(SEARCH("17",BG138)))</formula>
    </cfRule>
    <cfRule type="containsText" dxfId="323" priority="147" operator="containsText" text="T">
      <formula>NOT(ISERROR(SEARCH("T",BG138)))</formula>
    </cfRule>
  </conditionalFormatting>
  <conditionalFormatting sqref="BG76:BH78 BK76:BM78">
    <cfRule type="containsText" dxfId="322" priority="294" operator="containsText" text="17">
      <formula>NOT(ISERROR(SEARCH("17",BG76)))</formula>
    </cfRule>
  </conditionalFormatting>
  <conditionalFormatting sqref="BG107:BH112 BK107:BM112">
    <cfRule type="containsText" dxfId="321" priority="304" operator="containsText" text="17">
      <formula>NOT(ISERROR(SEARCH("17",BG107)))</formula>
    </cfRule>
  </conditionalFormatting>
  <conditionalFormatting sqref="BG145:BM151">
    <cfRule type="containsText" dxfId="320" priority="139" operator="containsText" text="17">
      <formula>NOT(ISERROR(SEARCH("17",BG145)))</formula>
    </cfRule>
    <cfRule type="containsText" dxfId="319" priority="140" operator="containsText" text="T">
      <formula>NOT(ISERROR(SEARCH("T",BG145)))</formula>
    </cfRule>
  </conditionalFormatting>
  <conditionalFormatting sqref="BG35:BQ39">
    <cfRule type="containsText" dxfId="318" priority="920" operator="containsText" text="17">
      <formula>NOT(ISERROR(SEARCH("17",BG35)))</formula>
    </cfRule>
  </conditionalFormatting>
  <conditionalFormatting sqref="BG41:BQ45">
    <cfRule type="containsText" dxfId="317" priority="913" operator="containsText" text="17">
      <formula>NOT(ISERROR(SEARCH("17",BG41)))</formula>
    </cfRule>
  </conditionalFormatting>
  <conditionalFormatting sqref="BG47:BQ48">
    <cfRule type="containsText" dxfId="316" priority="908" operator="containsText" text="17">
      <formula>NOT(ISERROR(SEARCH("17",BG47)))</formula>
    </cfRule>
  </conditionalFormatting>
  <conditionalFormatting sqref="BG50:BQ52">
    <cfRule type="containsText" dxfId="315" priority="903" operator="containsText" text="17">
      <formula>NOT(ISERROR(SEARCH("17",BG50)))</formula>
    </cfRule>
  </conditionalFormatting>
  <conditionalFormatting sqref="BG30:BS33">
    <cfRule type="containsText" dxfId="314" priority="923" operator="containsText" text="17">
      <formula>NOT(ISERROR(SEARCH("17",BG30)))</formula>
    </cfRule>
  </conditionalFormatting>
  <conditionalFormatting sqref="BG36:BS39">
    <cfRule type="containsText" dxfId="313" priority="917" operator="containsText" text="17">
      <formula>NOT(ISERROR(SEARCH("17",BG36)))</formula>
    </cfRule>
  </conditionalFormatting>
  <conditionalFormatting sqref="BG42:BS45">
    <cfRule type="containsText" dxfId="312" priority="910" operator="containsText" text="17">
      <formula>NOT(ISERROR(SEARCH("17",BG42)))</formula>
    </cfRule>
  </conditionalFormatting>
  <conditionalFormatting sqref="BG48:BS48">
    <cfRule type="containsText" dxfId="311" priority="905" operator="containsText" text="17">
      <formula>NOT(ISERROR(SEARCH("17",BG48)))</formula>
    </cfRule>
  </conditionalFormatting>
  <conditionalFormatting sqref="BG51:BS52 BG53:BN66">
    <cfRule type="containsText" dxfId="310" priority="900" operator="containsText" text="17">
      <formula>NOT(ISERROR(SEARCH("17",BG51)))</formula>
    </cfRule>
  </conditionalFormatting>
  <conditionalFormatting sqref="BH72:BH75 BL72:BN75">
    <cfRule type="containsText" dxfId="309" priority="283" operator="containsText" text="T">
      <formula>NOT(ISERROR(SEARCH("T",BH72)))</formula>
    </cfRule>
  </conditionalFormatting>
  <conditionalFormatting sqref="BH76:BH78">
    <cfRule type="containsText" dxfId="308" priority="295" operator="containsText" text="T">
      <formula>NOT(ISERROR(SEARCH("T",BH76)))</formula>
    </cfRule>
  </conditionalFormatting>
  <conditionalFormatting sqref="BH106 BL106:BN106">
    <cfRule type="containsText" dxfId="307" priority="273" operator="containsText" text="T">
      <formula>NOT(ISERROR(SEARCH("T",BH106)))</formula>
    </cfRule>
  </conditionalFormatting>
  <conditionalFormatting sqref="BH107:BH112">
    <cfRule type="containsText" dxfId="306" priority="305" operator="containsText" text="T">
      <formula>NOT(ISERROR(SEARCH("T",BH107)))</formula>
    </cfRule>
  </conditionalFormatting>
  <conditionalFormatting sqref="BH120 BL120:BN120">
    <cfRule type="containsText" dxfId="305" priority="253" operator="containsText" text="T">
      <formula>NOT(ISERROR(SEARCH("T",BH120)))</formula>
    </cfRule>
  </conditionalFormatting>
  <conditionalFormatting sqref="BH122 BL122:BN122">
    <cfRule type="containsText" dxfId="304" priority="243" operator="containsText" text="T">
      <formula>NOT(ISERROR(SEARCH("T",BH122)))</formula>
    </cfRule>
  </conditionalFormatting>
  <conditionalFormatting sqref="BH124:BH126 BL124:BN126">
    <cfRule type="containsText" dxfId="303" priority="263" operator="containsText" text="T">
      <formula>NOT(ISERROR(SEARCH("T",BH124)))</formula>
    </cfRule>
  </conditionalFormatting>
  <conditionalFormatting sqref="BH145:BH151">
    <cfRule type="containsText" dxfId="302" priority="136" operator="containsText" text="17">
      <formula>NOT(ISERROR(SEARCH("17",BH145)))</formula>
    </cfRule>
    <cfRule type="containsText" dxfId="301" priority="137" operator="containsText" text="T">
      <formula>NOT(ISERROR(SEARCH("T",BH145)))</formula>
    </cfRule>
  </conditionalFormatting>
  <conditionalFormatting sqref="BH72:BI75 BL72:BN75">
    <cfRule type="containsText" dxfId="300" priority="284" operator="containsText" text="17">
      <formula>NOT(ISERROR(SEARCH("17",BH72)))</formula>
    </cfRule>
  </conditionalFormatting>
  <conditionalFormatting sqref="BH106:BI106 BL106:CJ106">
    <cfRule type="containsText" dxfId="299" priority="274" operator="containsText" text="17">
      <formula>NOT(ISERROR(SEARCH("17",BH106)))</formula>
    </cfRule>
  </conditionalFormatting>
  <conditionalFormatting sqref="BH120:BI120 BL120:CI120">
    <cfRule type="containsText" dxfId="298" priority="254" operator="containsText" text="17">
      <formula>NOT(ISERROR(SEARCH("17",BH120)))</formula>
    </cfRule>
  </conditionalFormatting>
  <conditionalFormatting sqref="BH122:BI122 BL122:BN122">
    <cfRule type="containsText" dxfId="297" priority="244" operator="containsText" text="17">
      <formula>NOT(ISERROR(SEARCH("17",BH122)))</formula>
    </cfRule>
  </conditionalFormatting>
  <conditionalFormatting sqref="BH124:BI126 BL124:BZ126">
    <cfRule type="containsText" dxfId="296" priority="264" operator="containsText" text="17">
      <formula>NOT(ISERROR(SEARCH("17",BH124)))</formula>
    </cfRule>
  </conditionalFormatting>
  <conditionalFormatting sqref="BH214:BI216">
    <cfRule type="containsText" dxfId="295" priority="5723" operator="containsText" text="17">
      <formula>NOT(ISERROR(SEARCH("17",BH214)))</formula>
    </cfRule>
    <cfRule type="containsText" dxfId="294" priority="5724" operator="containsText" text="T">
      <formula>NOT(ISERROR(SEARCH("T",BH214)))</formula>
    </cfRule>
  </conditionalFormatting>
  <conditionalFormatting sqref="BH152:BN158">
    <cfRule type="containsText" dxfId="293" priority="129" operator="containsText" text="17">
      <formula>NOT(ISERROR(SEARCH("17",BH152)))</formula>
    </cfRule>
    <cfRule type="containsText" dxfId="292" priority="130" operator="containsText" text="T">
      <formula>NOT(ISERROR(SEARCH("T",BH152)))</formula>
    </cfRule>
  </conditionalFormatting>
  <conditionalFormatting sqref="BH84:CE89">
    <cfRule type="containsText" dxfId="291" priority="876" operator="containsText" text="17">
      <formula>NOT(ISERROR(SEARCH("17",BH84)))</formula>
    </cfRule>
  </conditionalFormatting>
  <conditionalFormatting sqref="BI69:BI71 BM69:BO71">
    <cfRule type="containsText" dxfId="290" priority="203" operator="containsText" text="T">
      <formula>NOT(ISERROR(SEARCH("T",BI69)))</formula>
    </cfRule>
  </conditionalFormatting>
  <conditionalFormatting sqref="BI72:BI75">
    <cfRule type="containsText" dxfId="289" priority="285" operator="containsText" text="T">
      <formula>NOT(ISERROR(SEARCH("T",BI72)))</formula>
    </cfRule>
  </conditionalFormatting>
  <conditionalFormatting sqref="BI103:BI104 BM103:BO104">
    <cfRule type="containsText" dxfId="288" priority="233" operator="containsText" text="T">
      <formula>NOT(ISERROR(SEARCH("T",BI103)))</formula>
    </cfRule>
  </conditionalFormatting>
  <conditionalFormatting sqref="BI106">
    <cfRule type="containsText" dxfId="287" priority="275" operator="containsText" text="T">
      <formula>NOT(ISERROR(SEARCH("T",BI106)))</formula>
    </cfRule>
  </conditionalFormatting>
  <conditionalFormatting sqref="BI120">
    <cfRule type="containsText" dxfId="286" priority="255" operator="containsText" text="T">
      <formula>NOT(ISERROR(SEARCH("T",BI120)))</formula>
    </cfRule>
  </conditionalFormatting>
  <conditionalFormatting sqref="BI121 BM121:BO121">
    <cfRule type="containsText" dxfId="285" priority="223" operator="containsText" text="T">
      <formula>NOT(ISERROR(SEARCH("T",BI121)))</formula>
    </cfRule>
  </conditionalFormatting>
  <conditionalFormatting sqref="BI122">
    <cfRule type="containsText" dxfId="284" priority="245" operator="containsText" text="T">
      <formula>NOT(ISERROR(SEARCH("T",BI122)))</formula>
    </cfRule>
  </conditionalFormatting>
  <conditionalFormatting sqref="BI123 BM123:BO123">
    <cfRule type="containsText" dxfId="283" priority="213" operator="containsText" text="T">
      <formula>NOT(ISERROR(SEARCH("T",BI123)))</formula>
    </cfRule>
  </conditionalFormatting>
  <conditionalFormatting sqref="BI124:BI126">
    <cfRule type="containsText" dxfId="282" priority="265" operator="containsText" text="T">
      <formula>NOT(ISERROR(SEARCH("T",BI124)))</formula>
    </cfRule>
  </conditionalFormatting>
  <conditionalFormatting sqref="BI152:BI158">
    <cfRule type="containsText" dxfId="281" priority="126" operator="containsText" text="17">
      <formula>NOT(ISERROR(SEARCH("17",BI152)))</formula>
    </cfRule>
    <cfRule type="containsText" dxfId="280" priority="127" operator="containsText" text="T">
      <formula>NOT(ISERROR(SEARCH("T",BI152)))</formula>
    </cfRule>
  </conditionalFormatting>
  <conditionalFormatting sqref="BI69:BJ71 BM69:BO71">
    <cfRule type="containsText" dxfId="279" priority="204" operator="containsText" text="17">
      <formula>NOT(ISERROR(SEARCH("17",BI69)))</formula>
    </cfRule>
  </conditionalFormatting>
  <conditionalFormatting sqref="BI103:BJ104 BM103:BO104">
    <cfRule type="containsText" dxfId="278" priority="234" operator="containsText" text="17">
      <formula>NOT(ISERROR(SEARCH("17",BI103)))</formula>
    </cfRule>
  </conditionalFormatting>
  <conditionalFormatting sqref="BI121:BJ121 BM121:BO121">
    <cfRule type="containsText" dxfId="277" priority="224" operator="containsText" text="17">
      <formula>NOT(ISERROR(SEARCH("17",BI121)))</formula>
    </cfRule>
  </conditionalFormatting>
  <conditionalFormatting sqref="BI123:BJ123 BM123:BZ123">
    <cfRule type="containsText" dxfId="276" priority="214" operator="containsText" text="17">
      <formula>NOT(ISERROR(SEARCH("17",BI123)))</formula>
    </cfRule>
  </conditionalFormatting>
  <conditionalFormatting sqref="BI214:BJ216 BM214:BM216">
    <cfRule type="containsText" dxfId="275" priority="5730" operator="containsText" text="T">
      <formula>NOT(ISERROR(SEARCH("T",BI214)))</formula>
    </cfRule>
  </conditionalFormatting>
  <conditionalFormatting sqref="BI159:BO165">
    <cfRule type="containsText" dxfId="274" priority="119" operator="containsText" text="17">
      <formula>NOT(ISERROR(SEARCH("17",BI159)))</formula>
    </cfRule>
    <cfRule type="containsText" dxfId="273" priority="120" operator="containsText" text="T">
      <formula>NOT(ISERROR(SEARCH("T",BI159)))</formula>
    </cfRule>
  </conditionalFormatting>
  <conditionalFormatting sqref="BJ67:BJ68 BN67:BP68">
    <cfRule type="containsText" dxfId="272" priority="173" operator="containsText" text="T">
      <formula>NOT(ISERROR(SEARCH("T",BJ67)))</formula>
    </cfRule>
  </conditionalFormatting>
  <conditionalFormatting sqref="BJ69:BJ71">
    <cfRule type="containsText" dxfId="271" priority="205" operator="containsText" text="T">
      <formula>NOT(ISERROR(SEARCH("T",BJ69)))</formula>
    </cfRule>
  </conditionalFormatting>
  <conditionalFormatting sqref="BJ99:BJ102 BN99:BP102">
    <cfRule type="containsText" dxfId="270" priority="193" operator="containsText" text="T">
      <formula>NOT(ISERROR(SEARCH("T",BJ99)))</formula>
    </cfRule>
  </conditionalFormatting>
  <conditionalFormatting sqref="BJ103:BJ104">
    <cfRule type="containsText" dxfId="269" priority="235" operator="containsText" text="T">
      <formula>NOT(ISERROR(SEARCH("T",BJ103)))</formula>
    </cfRule>
  </conditionalFormatting>
  <conditionalFormatting sqref="BJ105 BN105:BP105">
    <cfRule type="containsText" dxfId="268" priority="183" operator="containsText" text="T">
      <formula>NOT(ISERROR(SEARCH("T",BJ105)))</formula>
    </cfRule>
  </conditionalFormatting>
  <conditionalFormatting sqref="BJ121">
    <cfRule type="containsText" dxfId="267" priority="225" operator="containsText" text="T">
      <formula>NOT(ISERROR(SEARCH("T",BJ121)))</formula>
    </cfRule>
  </conditionalFormatting>
  <conditionalFormatting sqref="BJ123">
    <cfRule type="containsText" dxfId="266" priority="215" operator="containsText" text="T">
      <formula>NOT(ISERROR(SEARCH("T",BJ123)))</formula>
    </cfRule>
  </conditionalFormatting>
  <conditionalFormatting sqref="BJ159:BJ165">
    <cfRule type="containsText" dxfId="265" priority="116" operator="containsText" text="17">
      <formula>NOT(ISERROR(SEARCH("17",BJ159)))</formula>
    </cfRule>
    <cfRule type="containsText" dxfId="264" priority="117" operator="containsText" text="T">
      <formula>NOT(ISERROR(SEARCH("T",BJ159)))</formula>
    </cfRule>
  </conditionalFormatting>
  <conditionalFormatting sqref="BJ199 BI206">
    <cfRule type="containsText" dxfId="263" priority="4915" operator="containsText" text="17">
      <formula>NOT(ISERROR(SEARCH("17",BI199)))</formula>
    </cfRule>
    <cfRule type="containsText" dxfId="262" priority="4916" operator="containsText" text="T">
      <formula>NOT(ISERROR(SEARCH("T",BI199)))</formula>
    </cfRule>
  </conditionalFormatting>
  <conditionalFormatting sqref="BJ67:BK68 BN67:BP68">
    <cfRule type="containsText" dxfId="261" priority="174" operator="containsText" text="17">
      <formula>NOT(ISERROR(SEARCH("17",BJ67)))</formula>
    </cfRule>
  </conditionalFormatting>
  <conditionalFormatting sqref="BJ99:BK102 BN99:BP102">
    <cfRule type="containsText" dxfId="260" priority="194" operator="containsText" text="17">
      <formula>NOT(ISERROR(SEARCH("17",BJ99)))</formula>
    </cfRule>
  </conditionalFormatting>
  <conditionalFormatting sqref="BJ105:BK105 BN105:CJ105">
    <cfRule type="containsText" dxfId="259" priority="184" operator="containsText" text="17">
      <formula>NOT(ISERROR(SEARCH("17",BJ105)))</formula>
    </cfRule>
  </conditionalFormatting>
  <conditionalFormatting sqref="BJ207:BP213">
    <cfRule type="containsText" dxfId="258" priority="109" operator="containsText" text="17">
      <formula>NOT(ISERROR(SEARCH("17",BJ207)))</formula>
    </cfRule>
    <cfRule type="containsText" dxfId="257" priority="110" operator="containsText" text="T">
      <formula>NOT(ISERROR(SEARCH("T",BJ207)))</formula>
    </cfRule>
  </conditionalFormatting>
  <conditionalFormatting sqref="BJ228:BV231 BK232:BV234">
    <cfRule type="containsText" dxfId="256" priority="5554" operator="containsText" text="T">
      <formula>NOT(ISERROR(SEARCH("T",BJ228)))</formula>
    </cfRule>
    <cfRule type="containsText" dxfId="255" priority="5557" operator="containsText" text="17">
      <formula>NOT(ISERROR(SEARCH("17",BJ228)))</formula>
    </cfRule>
  </conditionalFormatting>
  <conditionalFormatting sqref="BJ228:BV231 BK232:CP234">
    <cfRule type="containsText" dxfId="254" priority="5558" operator="containsText" text="T">
      <formula>NOT(ISERROR(SEARCH("T",BJ228)))</formula>
    </cfRule>
  </conditionalFormatting>
  <conditionalFormatting sqref="BJ228:BV231">
    <cfRule type="containsText" dxfId="253" priority="5553" operator="containsText" text="17">
      <formula>NOT(ISERROR(SEARCH("17",BJ228)))</formula>
    </cfRule>
  </conditionalFormatting>
  <conditionalFormatting sqref="BK67:BK68">
    <cfRule type="containsText" dxfId="252" priority="175" operator="containsText" text="T">
      <formula>NOT(ISERROR(SEARCH("T",BK67)))</formula>
    </cfRule>
  </conditionalFormatting>
  <conditionalFormatting sqref="BK97:BK98 BO97:CP98">
    <cfRule type="containsText" dxfId="251" priority="163" operator="containsText" text="T">
      <formula>NOT(ISERROR(SEARCH("T",BK97)))</formula>
    </cfRule>
  </conditionalFormatting>
  <conditionalFormatting sqref="BK99:BK102">
    <cfRule type="containsText" dxfId="250" priority="195" operator="containsText" text="T">
      <formula>NOT(ISERROR(SEARCH("T",BK99)))</formula>
    </cfRule>
  </conditionalFormatting>
  <conditionalFormatting sqref="BK105">
    <cfRule type="containsText" dxfId="249" priority="185" operator="containsText" text="T">
      <formula>NOT(ISERROR(SEARCH("T",BK105)))</formula>
    </cfRule>
  </conditionalFormatting>
  <conditionalFormatting sqref="BK131:BK137 BO131:BQ137">
    <cfRule type="containsText" dxfId="248" priority="153" operator="containsText" text="T">
      <formula>NOT(ISERROR(SEARCH("T",BK131)))</formula>
    </cfRule>
  </conditionalFormatting>
  <conditionalFormatting sqref="BK207:BK213">
    <cfRule type="containsText" dxfId="247" priority="106" operator="containsText" text="17">
      <formula>NOT(ISERROR(SEARCH("17",BK207)))</formula>
    </cfRule>
    <cfRule type="containsText" dxfId="246" priority="107" operator="containsText" text="T">
      <formula>NOT(ISERROR(SEARCH("T",BK207)))</formula>
    </cfRule>
  </conditionalFormatting>
  <conditionalFormatting sqref="BK199 BJ206">
    <cfRule type="containsText" dxfId="245" priority="4931" operator="containsText" text="17">
      <formula>NOT(ISERROR(SEARCH("17",BJ199)))</formula>
    </cfRule>
    <cfRule type="containsText" dxfId="244" priority="4932" operator="containsText" text="T">
      <formula>NOT(ISERROR(SEARCH("T",BJ199)))</formula>
    </cfRule>
  </conditionalFormatting>
  <conditionalFormatting sqref="BK217:BK223 BL224:BL230">
    <cfRule type="containsText" dxfId="243" priority="5481" operator="containsText" text="17">
      <formula>NOT(ISERROR(SEARCH("17",BK217)))</formula>
    </cfRule>
    <cfRule type="containsText" dxfId="242" priority="5482" operator="containsText" text="T">
      <formula>NOT(ISERROR(SEARCH("T",BK217)))</formula>
    </cfRule>
  </conditionalFormatting>
  <conditionalFormatting sqref="BK97:BL98 BO97:CP98">
    <cfRule type="containsText" dxfId="241" priority="164" operator="containsText" text="17">
      <formula>NOT(ISERROR(SEARCH("17",BK97)))</formula>
    </cfRule>
  </conditionalFormatting>
  <conditionalFormatting sqref="BK131:BL137 BO131:BQ137">
    <cfRule type="containsText" dxfId="240" priority="154" operator="containsText" text="17">
      <formula>NOT(ISERROR(SEARCH("17",BK131)))</formula>
    </cfRule>
  </conditionalFormatting>
  <conditionalFormatting sqref="BK217:BN217">
    <cfRule type="containsText" dxfId="239" priority="5179" operator="containsText" text="17">
      <formula>NOT(ISERROR(SEARCH("17",BK217)))</formula>
    </cfRule>
    <cfRule type="containsText" dxfId="238" priority="5180" operator="containsText" text="T">
      <formula>NOT(ISERROR(SEARCH("T",BK217)))</formula>
    </cfRule>
  </conditionalFormatting>
  <conditionalFormatting sqref="BK218:BN223">
    <cfRule type="containsText" dxfId="237" priority="5487" operator="containsText" text="17">
      <formula>NOT(ISERROR(SEARCH("17",BK218)))</formula>
    </cfRule>
    <cfRule type="containsText" dxfId="236" priority="5488" operator="containsText" text="T">
      <formula>NOT(ISERROR(SEARCH("T",BK218)))</formula>
    </cfRule>
  </conditionalFormatting>
  <conditionalFormatting sqref="BK85:BW89">
    <cfRule type="containsText" dxfId="235" priority="877" operator="containsText" text="17">
      <formula>NOT(ISERROR(SEARCH("17",BK85)))</formula>
    </cfRule>
  </conditionalFormatting>
  <conditionalFormatting sqref="BL79">
    <cfRule type="containsText" dxfId="234" priority="3735" operator="containsText" text="17">
      <formula>NOT(ISERROR(SEARCH("17",BL79)))</formula>
    </cfRule>
    <cfRule type="containsText" dxfId="233" priority="3736" operator="containsText" text="T">
      <formula>NOT(ISERROR(SEARCH("T",BL79)))</formula>
    </cfRule>
  </conditionalFormatting>
  <conditionalFormatting sqref="BL97:BL98">
    <cfRule type="containsText" dxfId="232" priority="165" operator="containsText" text="T">
      <formula>NOT(ISERROR(SEARCH("T",BL97)))</formula>
    </cfRule>
  </conditionalFormatting>
  <conditionalFormatting sqref="BL131:BL137">
    <cfRule type="containsText" dxfId="231" priority="155" operator="containsText" text="T">
      <formula>NOT(ISERROR(SEARCH("T",BL131)))</formula>
    </cfRule>
  </conditionalFormatting>
  <conditionalFormatting sqref="BL138:BL144 BP138:BR144">
    <cfRule type="containsText" dxfId="230" priority="143" operator="containsText" text="T">
      <formula>NOT(ISERROR(SEARCH("T",BL138)))</formula>
    </cfRule>
  </conditionalFormatting>
  <conditionalFormatting sqref="BL138:BM144 BP138:BR144">
    <cfRule type="containsText" dxfId="229" priority="144" operator="containsText" text="17">
      <formula>NOT(ISERROR(SEARCH("17",BL138)))</formula>
    </cfRule>
  </conditionalFormatting>
  <conditionalFormatting sqref="BL199:BM199 BK206:BL206">
    <cfRule type="containsText" dxfId="228" priority="2006" operator="containsText" text="17">
      <formula>NOT(ISERROR(SEARCH("17",BK199)))</formula>
    </cfRule>
    <cfRule type="containsText" dxfId="227" priority="2007" operator="containsText" text="T">
      <formula>NOT(ISERROR(SEARCH("T",BK199)))</formula>
    </cfRule>
  </conditionalFormatting>
  <conditionalFormatting sqref="BL224:BP230 BO214:BO223">
    <cfRule type="containsText" dxfId="226" priority="5485" operator="containsText" text="17">
      <formula>NOT(ISERROR(SEARCH("17",BL214)))</formula>
    </cfRule>
  </conditionalFormatting>
  <conditionalFormatting sqref="BL217:BQ217">
    <cfRule type="containsText" dxfId="225" priority="5181" operator="containsText" text="17">
      <formula>NOT(ISERROR(SEARCH("17",BL217)))</formula>
    </cfRule>
    <cfRule type="containsText" dxfId="224" priority="5182" operator="containsText" text="T">
      <formula>NOT(ISERROR(SEARCH("T",BL217)))</formula>
    </cfRule>
  </conditionalFormatting>
  <conditionalFormatting sqref="BL218:BQ223 BM224:BV230">
    <cfRule type="containsText" dxfId="223" priority="5493" operator="containsText" text="17">
      <formula>NOT(ISERROR(SEARCH("17",BL218)))</formula>
    </cfRule>
    <cfRule type="containsText" dxfId="222" priority="5494" operator="containsText" text="T">
      <formula>NOT(ISERROR(SEARCH("T",BL218)))</formula>
    </cfRule>
  </conditionalFormatting>
  <conditionalFormatting sqref="BM138:BM144">
    <cfRule type="containsText" dxfId="221" priority="145" operator="containsText" text="T">
      <formula>NOT(ISERROR(SEARCH("T",BM138)))</formula>
    </cfRule>
  </conditionalFormatting>
  <conditionalFormatting sqref="BM145:BM151 BQ145:BS151">
    <cfRule type="containsText" dxfId="220" priority="133" operator="containsText" text="T">
      <formula>NOT(ISERROR(SEARCH("T",BM145)))</formula>
    </cfRule>
  </conditionalFormatting>
  <conditionalFormatting sqref="BM214:BM216 BI214:BJ216">
    <cfRule type="containsText" dxfId="219" priority="5729" operator="containsText" text="17">
      <formula>NOT(ISERROR(SEARCH("17",BI214)))</formula>
    </cfRule>
  </conditionalFormatting>
  <conditionalFormatting sqref="BM214:BM216">
    <cfRule type="containsText" dxfId="218" priority="5727" operator="containsText" text="17">
      <formula>NOT(ISERROR(SEARCH("17",BM214)))</formula>
    </cfRule>
    <cfRule type="containsText" dxfId="217" priority="5728" operator="containsText" text="T">
      <formula>NOT(ISERROR(SEARCH("T",BM214)))</formula>
    </cfRule>
  </conditionalFormatting>
  <conditionalFormatting sqref="BM145:BN151 BQ145:BS151">
    <cfRule type="containsText" dxfId="216" priority="134" operator="containsText" text="17">
      <formula>NOT(ISERROR(SEARCH("17",BM145)))</formula>
    </cfRule>
  </conditionalFormatting>
  <conditionalFormatting sqref="BM193:BN215 BP193:BU215 BN200:BO206 BQ200:BV206 BN192:BW199">
    <cfRule type="containsText" dxfId="215" priority="785" operator="containsText" text="T">
      <formula>NOT(ISERROR(SEARCH("T",BM192)))</formula>
    </cfRule>
  </conditionalFormatting>
  <conditionalFormatting sqref="BM193:BU215 BN200:BV206 BN192:BW199">
    <cfRule type="containsText" dxfId="214" priority="784" operator="containsText" text="17">
      <formula>NOT(ISERROR(SEARCH("17",BM192)))</formula>
    </cfRule>
  </conditionalFormatting>
  <conditionalFormatting sqref="BM92:BY96">
    <cfRule type="containsText" dxfId="213" priority="871" operator="containsText" text="17">
      <formula>NOT(ISERROR(SEARCH("17",BM92)))</formula>
    </cfRule>
  </conditionalFormatting>
  <conditionalFormatting sqref="BM79:CJ82 CF83:CJ84">
    <cfRule type="containsText" dxfId="212" priority="882" operator="containsText" text="17">
      <formula>NOT(ISERROR(SEARCH("17",BM79)))</formula>
    </cfRule>
  </conditionalFormatting>
  <conditionalFormatting sqref="BN145:BN151">
    <cfRule type="containsText" dxfId="211" priority="135" operator="containsText" text="T">
      <formula>NOT(ISERROR(SEARCH("T",BN145)))</formula>
    </cfRule>
  </conditionalFormatting>
  <conditionalFormatting sqref="BN152:BN158 BR152:BT158">
    <cfRule type="containsText" dxfId="210" priority="123" operator="containsText" text="T">
      <formula>NOT(ISERROR(SEARCH("T",BN152)))</formula>
    </cfRule>
  </conditionalFormatting>
  <conditionalFormatting sqref="BN15:BO15 BP15:BV20">
    <cfRule type="containsText" dxfId="209" priority="8247" operator="containsText" text="17">
      <formula>NOT(ISERROR(SEARCH("17",BN15)))</formula>
    </cfRule>
  </conditionalFormatting>
  <conditionalFormatting sqref="BN15:BO15 BQ15:BU15">
    <cfRule type="containsText" dxfId="208" priority="8248" operator="containsText" text="T">
      <formula>NOT(ISERROR(SEARCH("T",BN15)))</formula>
    </cfRule>
  </conditionalFormatting>
  <conditionalFormatting sqref="BN152:BO158 BR152:BT158">
    <cfRule type="containsText" dxfId="207" priority="124" operator="containsText" text="17">
      <formula>NOT(ISERROR(SEARCH("17",BN152)))</formula>
    </cfRule>
  </conditionalFormatting>
  <conditionalFormatting sqref="BP189:BV190">
    <cfRule type="containsText" dxfId="206" priority="790" operator="containsText" text="17">
      <formula>NOT(ISERROR(SEARCH("17",BP189)))</formula>
    </cfRule>
    <cfRule type="containsText" dxfId="205" priority="791" operator="containsText" text="T">
      <formula>NOT(ISERROR(SEARCH("T",BP189)))</formula>
    </cfRule>
  </conditionalFormatting>
  <conditionalFormatting sqref="BN107:CJ109">
    <cfRule type="containsText" dxfId="204" priority="860" operator="containsText" text="17">
      <formula>NOT(ISERROR(SEARCH("17",BN107)))</formula>
    </cfRule>
  </conditionalFormatting>
  <conditionalFormatting sqref="BN111:CJ112 BM113:CJ115 CJ116">
    <cfRule type="containsText" dxfId="203" priority="854" operator="containsText" text="17">
      <formula>NOT(ISERROR(SEARCH("17",BM111)))</formula>
    </cfRule>
  </conditionalFormatting>
  <conditionalFormatting sqref="BO152:BO158">
    <cfRule type="containsText" dxfId="202" priority="125" operator="containsText" text="T">
      <formula>NOT(ISERROR(SEARCH("T",BO152)))</formula>
    </cfRule>
  </conditionalFormatting>
  <conditionalFormatting sqref="BO159:BO165 BS159:BU165">
    <cfRule type="containsText" dxfId="201" priority="113" operator="containsText" text="T">
      <formula>NOT(ISERROR(SEARCH("T",BO159)))</formula>
    </cfRule>
  </conditionalFormatting>
  <conditionalFormatting sqref="BO193:BO215 BP194:BT194 BM195:BS195 BO196:BT198 BP192:BP199">
    <cfRule type="containsText" dxfId="200" priority="787" operator="containsText" text="T">
      <formula>NOT(ISERROR(SEARCH("T",BM192)))</formula>
    </cfRule>
  </conditionalFormatting>
  <conditionalFormatting sqref="BO214:BO216">
    <cfRule type="containsText" dxfId="199" priority="5751" operator="containsText" text="17">
      <formula>NOT(ISERROR(SEARCH("17",BO214)))</formula>
    </cfRule>
    <cfRule type="containsText" dxfId="198" priority="5752" operator="containsText" text="T">
      <formula>NOT(ISERROR(SEARCH("T",BO214)))</formula>
    </cfRule>
  </conditionalFormatting>
  <conditionalFormatting sqref="BO214:BO223 BL224:BP230">
    <cfRule type="containsText" dxfId="197" priority="5486" operator="containsText" text="T">
      <formula>NOT(ISERROR(SEARCH("T",BL214)))</formula>
    </cfRule>
  </conditionalFormatting>
  <conditionalFormatting sqref="BO159:BP165 BS159:BU165">
    <cfRule type="containsText" dxfId="196" priority="114" operator="containsText" text="17">
      <formula>NOT(ISERROR(SEARCH("17",BO159)))</formula>
    </cfRule>
  </conditionalFormatting>
  <conditionalFormatting sqref="BO118:CA120">
    <cfRule type="containsText" dxfId="195" priority="849" operator="containsText" text="17">
      <formula>NOT(ISERROR(SEARCH("17",BO118)))</formula>
    </cfRule>
  </conditionalFormatting>
  <conditionalFormatting sqref="BO73:CK75 BN76:CK77 CK78">
    <cfRule type="containsText" dxfId="194" priority="888" operator="containsText" text="17">
      <formula>NOT(ISERROR(SEARCH("17",BN73)))</formula>
    </cfRule>
  </conditionalFormatting>
  <conditionalFormatting sqref="BP159:BP165">
    <cfRule type="containsText" dxfId="193" priority="115" operator="containsText" text="T">
      <formula>NOT(ISERROR(SEARCH("T",BP159)))</formula>
    </cfRule>
  </conditionalFormatting>
  <conditionalFormatting sqref="BP207:BP213">
    <cfRule type="containsText" dxfId="192" priority="103" operator="containsText" text="T">
      <formula>NOT(ISERROR(SEARCH("T",BP207)))</formula>
    </cfRule>
  </conditionalFormatting>
  <conditionalFormatting sqref="BP217:BP223 BQ224:BQ230 BR217:BU223">
    <cfRule type="containsText" dxfId="191" priority="5495" operator="containsText" text="17">
      <formula>NOT(ISERROR(SEARCH("17",BP217)))</formula>
    </cfRule>
  </conditionalFormatting>
  <conditionalFormatting sqref="BP217:BP223 BR217:BU223 BQ224:BQ230">
    <cfRule type="containsText" dxfId="190" priority="5496" operator="containsText" text="T">
      <formula>NOT(ISERROR(SEARCH("T",BP217)))</formula>
    </cfRule>
  </conditionalFormatting>
  <conditionalFormatting sqref="BP22:BQ22 BR22:BX27">
    <cfRule type="containsText" dxfId="189" priority="931" operator="containsText" text="T">
      <formula>NOT(ISERROR(SEARCH("T",BP22)))</formula>
    </cfRule>
  </conditionalFormatting>
  <conditionalFormatting sqref="BP22:BQ22">
    <cfRule type="containsText" dxfId="188" priority="930" operator="containsText" text="17">
      <formula>NOT(ISERROR(SEARCH("17",BP22)))</formula>
    </cfRule>
  </conditionalFormatting>
  <conditionalFormatting sqref="BP207:BQ213">
    <cfRule type="containsText" dxfId="187" priority="104" operator="containsText" text="17">
      <formula>NOT(ISERROR(SEARCH("17",BP207)))</formula>
    </cfRule>
  </conditionalFormatting>
  <conditionalFormatting sqref="BP194:BT194 BM195:BS195 BO196:BT198">
    <cfRule type="containsText" dxfId="186" priority="786" operator="containsText" text="17">
      <formula>NOT(ISERROR(SEARCH("17",BM194)))</formula>
    </cfRule>
  </conditionalFormatting>
  <conditionalFormatting sqref="BP80:CB82">
    <cfRule type="containsText" dxfId="185" priority="883" operator="containsText" text="17">
      <formula>NOT(ISERROR(SEARCH("17",BP80)))</formula>
    </cfRule>
  </conditionalFormatting>
  <conditionalFormatting sqref="BP106:CB109">
    <cfRule type="containsText" dxfId="184" priority="861" operator="containsText" text="17">
      <formula>NOT(ISERROR(SEARCH("17",BP106)))</formula>
    </cfRule>
  </conditionalFormatting>
  <conditionalFormatting sqref="BP112:CB115">
    <cfRule type="containsText" dxfId="183" priority="855" operator="containsText" text="17">
      <formula>NOT(ISERROR(SEARCH("17",BP112)))</formula>
    </cfRule>
  </conditionalFormatting>
  <conditionalFormatting sqref="BQ207:BQ213">
    <cfRule type="containsText" dxfId="182" priority="105" operator="containsText" text="T">
      <formula>NOT(ISERROR(SEARCH("T",BQ207)))</formula>
    </cfRule>
  </conditionalFormatting>
  <conditionalFormatting sqref="BQ214:BQ223">
    <cfRule type="containsText" dxfId="181" priority="5479" operator="containsText" text="17">
      <formula>NOT(ISERROR(SEARCH("17",BQ214)))</formula>
    </cfRule>
    <cfRule type="containsText" dxfId="180" priority="5480" operator="containsText" text="T">
      <formula>NOT(ISERROR(SEARCH("T",BQ214)))</formula>
    </cfRule>
  </conditionalFormatting>
  <conditionalFormatting sqref="BQ214:BU216">
    <cfRule type="containsText" dxfId="179" priority="5707" operator="containsText" text="17">
      <formula>NOT(ISERROR(SEARCH("17",BQ214)))</formula>
    </cfRule>
    <cfRule type="containsText" dxfId="178" priority="5708" operator="containsText" text="T">
      <formula>NOT(ISERROR(SEARCH("T",BQ214)))</formula>
    </cfRule>
  </conditionalFormatting>
  <conditionalFormatting sqref="BQ100:CB102 BP103:CB103">
    <cfRule type="containsText" dxfId="177" priority="866" operator="containsText" text="17">
      <formula>NOT(ISERROR(SEARCH("17",BP100)))</formula>
    </cfRule>
  </conditionalFormatting>
  <conditionalFormatting sqref="BR29:BS29 BT29:BZ33">
    <cfRule type="containsText" dxfId="176" priority="924" operator="containsText" text="17">
      <formula>NOT(ISERROR(SEARCH("17",BR29)))</formula>
    </cfRule>
    <cfRule type="containsText" dxfId="175" priority="925" operator="containsText" text="T">
      <formula>NOT(ISERROR(SEARCH("T",BR29)))</formula>
    </cfRule>
  </conditionalFormatting>
  <conditionalFormatting sqref="BR35:BS35 BT35:BZ39">
    <cfRule type="containsText" dxfId="174" priority="918" operator="containsText" text="17">
      <formula>NOT(ISERROR(SEARCH("17",BR35)))</formula>
    </cfRule>
    <cfRule type="containsText" dxfId="173" priority="919" operator="containsText" text="T">
      <formula>NOT(ISERROR(SEARCH("T",BR35)))</formula>
    </cfRule>
  </conditionalFormatting>
  <conditionalFormatting sqref="BR41:BS41 BT41:BZ45">
    <cfRule type="containsText" dxfId="172" priority="911" operator="containsText" text="17">
      <formula>NOT(ISERROR(SEARCH("17",BR41)))</formula>
    </cfRule>
    <cfRule type="containsText" dxfId="171" priority="912" operator="containsText" text="T">
      <formula>NOT(ISERROR(SEARCH("T",BR41)))</formula>
    </cfRule>
  </conditionalFormatting>
  <conditionalFormatting sqref="BR47:BS47 BU47:BY47">
    <cfRule type="containsText" dxfId="170" priority="906" operator="containsText" text="17">
      <formula>NOT(ISERROR(SEARCH("17",BR47)))</formula>
    </cfRule>
    <cfRule type="containsText" dxfId="169" priority="907" operator="containsText" text="T">
      <formula>NOT(ISERROR(SEARCH("T",BR47)))</formula>
    </cfRule>
  </conditionalFormatting>
  <conditionalFormatting sqref="BR50:BS50 BU50:BY50">
    <cfRule type="containsText" dxfId="168" priority="901" operator="containsText" text="17">
      <formula>NOT(ISERROR(SEARCH("17",BR50)))</formula>
    </cfRule>
    <cfRule type="containsText" dxfId="167" priority="902" operator="containsText" text="T">
      <formula>NOT(ISERROR(SEARCH("T",BR50)))</formula>
    </cfRule>
  </conditionalFormatting>
  <conditionalFormatting sqref="BR214:BV216">
    <cfRule type="containsText" dxfId="166" priority="5713" operator="containsText" text="17">
      <formula>NOT(ISERROR(SEARCH("17",BR214)))</formula>
    </cfRule>
    <cfRule type="containsText" dxfId="165" priority="5714" operator="containsText" text="T">
      <formula>NOT(ISERROR(SEARCH("T",BR214)))</formula>
    </cfRule>
  </conditionalFormatting>
  <conditionalFormatting sqref="BR217:BV230">
    <cfRule type="containsText" dxfId="164" priority="5177" operator="containsText" text="17">
      <formula>NOT(ISERROR(SEARCH("17",BR217)))</formula>
    </cfRule>
    <cfRule type="containsText" dxfId="163" priority="5178" operator="containsText" text="T">
      <formula>NOT(ISERROR(SEARCH("T",BR217)))</formula>
    </cfRule>
  </conditionalFormatting>
  <conditionalFormatting sqref="BR68:CD71 BQ74:CC77">
    <cfRule type="containsText" dxfId="162" priority="889" operator="containsText" text="17">
      <formula>NOT(ISERROR(SEARCH("17",BQ68)))</formula>
    </cfRule>
  </conditionalFormatting>
  <conditionalFormatting sqref="BS127 BC199 BB206">
    <cfRule type="containsText" dxfId="161" priority="2013" operator="containsText" text="T">
      <formula>NOT(ISERROR(SEARCH("T",BB127)))</formula>
    </cfRule>
  </conditionalFormatting>
  <conditionalFormatting sqref="BS127 BC199:BR199 BB206:BQ206">
    <cfRule type="containsText" dxfId="160" priority="4918" operator="containsText" text="T">
      <formula>NOT(ISERROR(SEARCH("T",BB127)))</formula>
    </cfRule>
  </conditionalFormatting>
  <conditionalFormatting sqref="BS199:BT199 BR206:BS206">
    <cfRule type="containsText" dxfId="159" priority="2016" operator="containsText" text="17">
      <formula>NOT(ISERROR(SEARCH("17",BR199)))</formula>
    </cfRule>
    <cfRule type="containsText" dxfId="158" priority="2017" operator="containsText" text="T">
      <formula>NOT(ISERROR(SEARCH("T",BR199)))</formula>
    </cfRule>
  </conditionalFormatting>
  <conditionalFormatting sqref="BT47:BT48 BZ47:BZ48 BU48:BY48 BT50:BT52 BZ50:BZ52 BU51:BY52 BP15:BP20 BV15:BV20 BQ16:BU20">
    <cfRule type="containsText" dxfId="157" priority="8427" operator="containsText" text="T">
      <formula>NOT(ISERROR(SEARCH("T",BP15)))</formula>
    </cfRule>
  </conditionalFormatting>
  <conditionalFormatting sqref="BT47:BT48 BZ47:BZ48 BU48:BY48 BT50:BT52 BZ50:BZ52 BU51:BY52">
    <cfRule type="containsText" dxfId="156" priority="8426" operator="containsText" text="17">
      <formula>NOT(ISERROR(SEARCH("17",BT47)))</formula>
    </cfRule>
  </conditionalFormatting>
  <conditionalFormatting sqref="BT145:BT148">
    <cfRule type="containsText" dxfId="155" priority="1456" operator="containsText" text="17">
      <formula>NOT(ISERROR(SEARCH("17",BT145)))</formula>
    </cfRule>
    <cfRule type="containsText" dxfId="154" priority="1457" operator="containsText" text="T">
      <formula>NOT(ISERROR(SEARCH("T",BT145)))</formula>
    </cfRule>
    <cfRule type="containsText" dxfId="153" priority="8401" operator="containsText" text="T">
      <formula>NOT(ISERROR(SEARCH("T",BT145)))</formula>
    </cfRule>
  </conditionalFormatting>
  <conditionalFormatting sqref="BT139:CQ144">
    <cfRule type="containsText" dxfId="152" priority="832" operator="containsText" text="17">
      <formula>NOT(ISERROR(SEARCH("17",BT139)))</formula>
    </cfRule>
    <cfRule type="containsText" dxfId="151" priority="835" operator="containsText" text="T">
      <formula>NOT(ISERROR(SEARCH("T",BT139)))</formula>
    </cfRule>
  </conditionalFormatting>
  <conditionalFormatting sqref="BU200:BU202 AX210:AX211">
    <cfRule type="containsText" dxfId="150" priority="8387" operator="containsText" text="T">
      <formula>NOT(ISERROR(SEARCH("T",AX200)))</formula>
    </cfRule>
  </conditionalFormatting>
  <conditionalFormatting sqref="BU200:BU202 AY190 AX191:BH191 BK191 BO191:BS191">
    <cfRule type="containsText" dxfId="149" priority="8380" operator="containsText" text="17">
      <formula>NOT(ISERROR(SEARCH("17",AX190)))</formula>
    </cfRule>
  </conditionalFormatting>
  <conditionalFormatting sqref="BU206 BV199">
    <cfRule type="containsText" dxfId="148" priority="2014" operator="containsText" text="17">
      <formula>NOT(ISERROR(SEARCH("17",BU199)))</formula>
    </cfRule>
  </conditionalFormatting>
  <conditionalFormatting sqref="BU153:CQ158">
    <cfRule type="containsText" dxfId="147" priority="819" operator="containsText" text="17">
      <formula>NOT(ISERROR(SEARCH("17",BU153)))</formula>
    </cfRule>
    <cfRule type="containsText" dxfId="146" priority="822" operator="containsText" text="T">
      <formula>NOT(ISERROR(SEARCH("T",BU153)))</formula>
    </cfRule>
  </conditionalFormatting>
  <conditionalFormatting sqref="BU146:CR151 BV160:CQ165">
    <cfRule type="containsText" dxfId="145" priority="8234" operator="containsText" text="17">
      <formula>NOT(ISERROR(SEARCH("17",BU146)))</formula>
    </cfRule>
  </conditionalFormatting>
  <conditionalFormatting sqref="BU146:CR151">
    <cfRule type="containsText" dxfId="144" priority="831" operator="containsText" text="T">
      <formula>NOT(ISERROR(SEARCH("T",BU146)))</formula>
    </cfRule>
  </conditionalFormatting>
  <conditionalFormatting sqref="BV199 BU206">
    <cfRule type="containsText" dxfId="143" priority="2015" operator="containsText" text="T">
      <formula>NOT(ISERROR(SEARCH("T",BU199)))</formula>
    </cfRule>
  </conditionalFormatting>
  <conditionalFormatting sqref="BV214:BV216">
    <cfRule type="containsText" dxfId="142" priority="5715" operator="containsText" text="17">
      <formula>NOT(ISERROR(SEARCH("17",BV214)))</formula>
    </cfRule>
    <cfRule type="containsText" dxfId="141" priority="5716" operator="containsText" text="T">
      <formula>NOT(ISERROR(SEARCH("T",BV214)))</formula>
    </cfRule>
  </conditionalFormatting>
  <conditionalFormatting sqref="BV84:BW84 BX84:CD89">
    <cfRule type="containsText" dxfId="140" priority="879" operator="containsText" text="T">
      <formula>NOT(ISERROR(SEARCH("T",BV84)))</formula>
    </cfRule>
  </conditionalFormatting>
  <conditionalFormatting sqref="BV84:BW84">
    <cfRule type="containsText" dxfId="139" priority="878" operator="containsText" text="17">
      <formula>NOT(ISERROR(SEARCH("17",BV84)))</formula>
    </cfRule>
  </conditionalFormatting>
  <conditionalFormatting sqref="BV133:CH137">
    <cfRule type="containsText" dxfId="138" priority="838" operator="containsText" text="17">
      <formula>NOT(ISERROR(SEARCH("17",BV133)))</formula>
    </cfRule>
  </conditionalFormatting>
  <conditionalFormatting sqref="BV160:CQ165">
    <cfRule type="containsText" dxfId="137" priority="818" operator="containsText" text="T">
      <formula>NOT(ISERROR(SEARCH("T",BV160)))</formula>
    </cfRule>
  </conditionalFormatting>
  <conditionalFormatting sqref="BW160:CG165">
    <cfRule type="containsText" dxfId="136" priority="816" operator="containsText" text="17">
      <formula>NOT(ISERROR(SEARCH("17",BW160)))</formula>
    </cfRule>
  </conditionalFormatting>
  <conditionalFormatting sqref="BW140:CI144">
    <cfRule type="containsText" dxfId="135" priority="833" operator="containsText" text="17">
      <formula>NOT(ISERROR(SEARCH("17",BW140)))</formula>
    </cfRule>
  </conditionalFormatting>
  <conditionalFormatting sqref="BW154:CI158">
    <cfRule type="containsText" dxfId="134" priority="820" operator="containsText" text="17">
      <formula>NOT(ISERROR(SEARCH("17",BW154)))</formula>
    </cfRule>
  </conditionalFormatting>
  <conditionalFormatting sqref="BW161:CI165">
    <cfRule type="containsText" dxfId="133" priority="813" operator="containsText" text="17">
      <formula>NOT(ISERROR(SEARCH("17",BW161)))</formula>
    </cfRule>
  </conditionalFormatting>
  <conditionalFormatting sqref="BX91:BY91 BZ91:CF96">
    <cfRule type="containsText" dxfId="132" priority="872" operator="containsText" text="17">
      <formula>NOT(ISERROR(SEARCH("17",BX91)))</formula>
    </cfRule>
    <cfRule type="containsText" dxfId="131" priority="873" operator="containsText" text="T">
      <formula>NOT(ISERROR(SEARCH("T",BX91)))</formula>
    </cfRule>
  </conditionalFormatting>
  <conditionalFormatting sqref="BX146:CH151">
    <cfRule type="containsText" dxfId="130" priority="829" operator="containsText" text="17">
      <formula>NOT(ISERROR(SEARCH("17",BX146)))</formula>
    </cfRule>
  </conditionalFormatting>
  <conditionalFormatting sqref="BX147:CJ151">
    <cfRule type="containsText" dxfId="129" priority="826" operator="containsText" text="17">
      <formula>NOT(ISERROR(SEARCH("17",BX147)))</formula>
    </cfRule>
  </conditionalFormatting>
  <conditionalFormatting sqref="BY122:BZ122 CA122:CG126">
    <cfRule type="containsText" dxfId="128" priority="844" operator="containsText" text="17">
      <formula>NOT(ISERROR(SEARCH("17",BY122)))</formula>
    </cfRule>
    <cfRule type="containsText" dxfId="127" priority="845" operator="containsText" text="T">
      <formula>NOT(ISERROR(SEARCH("T",BY122)))</formula>
    </cfRule>
  </conditionalFormatting>
  <conditionalFormatting sqref="BZ117:CA117 CB117:CH120">
    <cfRule type="containsText" dxfId="126" priority="851" operator="containsText" text="T">
      <formula>NOT(ISERROR(SEARCH("T",BZ117)))</formula>
    </cfRule>
  </conditionalFormatting>
  <conditionalFormatting sqref="BZ117:CA117">
    <cfRule type="containsText" dxfId="125" priority="850" operator="containsText" text="17">
      <formula>NOT(ISERROR(SEARCH("17",BZ117)))</formula>
    </cfRule>
  </conditionalFormatting>
  <conditionalFormatting sqref="CA79:CB79 CC79:CH82">
    <cfRule type="containsText" dxfId="124" priority="885" operator="containsText" text="T">
      <formula>NOT(ISERROR(SEARCH("T",CA79)))</formula>
    </cfRule>
  </conditionalFormatting>
  <conditionalFormatting sqref="CA79:CB79">
    <cfRule type="containsText" dxfId="123" priority="884" operator="containsText" text="17">
      <formula>NOT(ISERROR(SEARCH("17",CA79)))</formula>
    </cfRule>
  </conditionalFormatting>
  <conditionalFormatting sqref="CA99:CB99 CC99:CI103">
    <cfRule type="containsText" dxfId="122" priority="867" operator="containsText" text="17">
      <formula>NOT(ISERROR(SEARCH("17",CA99)))</formula>
    </cfRule>
    <cfRule type="containsText" dxfId="121" priority="868" operator="containsText" text="T">
      <formula>NOT(ISERROR(SEARCH("T",CA99)))</formula>
    </cfRule>
  </conditionalFormatting>
  <conditionalFormatting sqref="CA111:CB111 CC111:CI115">
    <cfRule type="containsText" dxfId="120" priority="857" operator="containsText" text="T">
      <formula>NOT(ISERROR(SEARCH("T",CA111)))</formula>
    </cfRule>
  </conditionalFormatting>
  <conditionalFormatting sqref="CA111:CB111">
    <cfRule type="containsText" dxfId="119" priority="856" operator="containsText" text="17">
      <formula>NOT(ISERROR(SEARCH("17",CA111)))</formula>
    </cfRule>
  </conditionalFormatting>
  <conditionalFormatting sqref="CC67:CD67 CE67:CK71 CB73:CC73 CD73:CJ77">
    <cfRule type="containsText" dxfId="118" priority="891" operator="containsText" text="T">
      <formula>NOT(ISERROR(SEARCH("T",CB67)))</formula>
    </cfRule>
  </conditionalFormatting>
  <conditionalFormatting sqref="CC67:CD67 CE67:CK71 CB73:CC73">
    <cfRule type="containsText" dxfId="117" priority="890" operator="containsText" text="17">
      <formula>NOT(ISERROR(SEARCH("17",CB67)))</formula>
    </cfRule>
  </conditionalFormatting>
  <conditionalFormatting sqref="CC105:CI109 BQ105:CP105">
    <cfRule type="containsText" dxfId="116" priority="863" operator="containsText" text="T">
      <formula>NOT(ISERROR(SEARCH("T",BQ105)))</formula>
    </cfRule>
  </conditionalFormatting>
  <conditionalFormatting sqref="CG132:CH132 CI132:CO137">
    <cfRule type="containsText" dxfId="115" priority="839" operator="containsText" text="17">
      <formula>NOT(ISERROR(SEARCH("17",CG132)))</formula>
    </cfRule>
    <cfRule type="containsText" dxfId="114" priority="840" operator="containsText" text="T">
      <formula>NOT(ISERROR(SEARCH("T",CG132)))</formula>
    </cfRule>
  </conditionalFormatting>
  <conditionalFormatting sqref="CH139:CI139">
    <cfRule type="containsText" dxfId="113" priority="834" operator="containsText" text="17">
      <formula>NOT(ISERROR(SEARCH("17",CH139)))</formula>
    </cfRule>
  </conditionalFormatting>
  <conditionalFormatting sqref="CH153:CI153">
    <cfRule type="containsText" dxfId="112" priority="821" operator="containsText" text="17">
      <formula>NOT(ISERROR(SEARCH("17",CH153)))</formula>
    </cfRule>
  </conditionalFormatting>
  <conditionalFormatting sqref="CH160:CI160 CJ160:CP165">
    <cfRule type="containsText" dxfId="111" priority="814" operator="containsText" text="17">
      <formula>NOT(ISERROR(SEARCH("17",CH160)))</formula>
    </cfRule>
  </conditionalFormatting>
  <conditionalFormatting sqref="CH160:CI160 CK160:CO165">
    <cfRule type="containsText" dxfId="110" priority="815" operator="containsText" text="T">
      <formula>NOT(ISERROR(SEARCH("T",CH160)))</formula>
    </cfRule>
  </conditionalFormatting>
  <conditionalFormatting sqref="CI79:CI84 CF83:CH84">
    <cfRule type="containsText" dxfId="109" priority="887" operator="containsText" text="T">
      <formula>NOT(ISERROR(SEARCH("T",CF79)))</formula>
    </cfRule>
  </conditionalFormatting>
  <conditionalFormatting sqref="CI79:CI84">
    <cfRule type="containsText" dxfId="108" priority="886" operator="containsText" text="17">
      <formula>NOT(ISERROR(SEARCH("17",CI79)))</formula>
    </cfRule>
  </conditionalFormatting>
  <conditionalFormatting sqref="CI121:CI122">
    <cfRule type="containsText" dxfId="107" priority="848" operator="containsText" text="17">
      <formula>NOT(ISERROR(SEARCH("17",CI121)))</formula>
    </cfRule>
  </conditionalFormatting>
  <conditionalFormatting sqref="CI146:CJ146 CK146:CQ151">
    <cfRule type="containsText" dxfId="106" priority="827" operator="containsText" text="17">
      <formula>NOT(ISERROR(SEARCH("17",CI146)))</formula>
    </cfRule>
  </conditionalFormatting>
  <conditionalFormatting sqref="CI146:CJ146 CL146:CP151">
    <cfRule type="containsText" dxfId="105" priority="828" operator="containsText" text="T">
      <formula>NOT(ISERROR(SEARCH("T",CI146)))</formula>
    </cfRule>
  </conditionalFormatting>
  <conditionalFormatting sqref="AZ200:BJ206 BU200:BW206">
    <cfRule type="containsText" dxfId="104" priority="99" operator="containsText" text="T">
      <formula>NOT(ISERROR(SEARCH("T",AZ200)))</formula>
    </cfRule>
  </conditionalFormatting>
  <conditionalFormatting sqref="AZ200:BH206 BU200:BW206">
    <cfRule type="containsText" dxfId="103" priority="98" operator="containsText" text="17">
      <formula>NOT(ISERROR(SEARCH("17",AZ200)))</formula>
    </cfRule>
  </conditionalFormatting>
  <conditionalFormatting sqref="AZ200:BJ206">
    <cfRule type="containsText" dxfId="102" priority="90" operator="containsText" text="17">
      <formula>NOT(ISERROR(SEARCH("17",AZ200)))</formula>
    </cfRule>
  </conditionalFormatting>
  <conditionalFormatting sqref="BK200:BQ206">
    <cfRule type="containsText" dxfId="101" priority="96" operator="containsText" text="17">
      <formula>NOT(ISERROR(SEARCH("17",BK200)))</formula>
    </cfRule>
    <cfRule type="containsText" dxfId="100" priority="97" operator="containsText" text="T">
      <formula>NOT(ISERROR(SEARCH("T",BK200)))</formula>
    </cfRule>
  </conditionalFormatting>
  <conditionalFormatting sqref="BL200:BL206">
    <cfRule type="containsText" dxfId="99" priority="94" operator="containsText" text="17">
      <formula>NOT(ISERROR(SEARCH("17",BL200)))</formula>
    </cfRule>
    <cfRule type="containsText" dxfId="98" priority="95" operator="containsText" text="T">
      <formula>NOT(ISERROR(SEARCH("T",BL200)))</formula>
    </cfRule>
  </conditionalFormatting>
  <conditionalFormatting sqref="BP200:BP206">
    <cfRule type="containsText" dxfId="97" priority="100" operator="containsText" text="T">
      <formula>NOT(ISERROR(SEARCH("T",BP200)))</formula>
    </cfRule>
  </conditionalFormatting>
  <conditionalFormatting sqref="BQ200:BQ206">
    <cfRule type="containsText" dxfId="96" priority="91" operator="containsText" text="T">
      <formula>NOT(ISERROR(SEARCH("T",BQ200)))</formula>
    </cfRule>
  </conditionalFormatting>
  <conditionalFormatting sqref="BQ200:BR206">
    <cfRule type="containsText" dxfId="95" priority="92" operator="containsText" text="17">
      <formula>NOT(ISERROR(SEARCH("17",BQ200)))</formula>
    </cfRule>
  </conditionalFormatting>
  <conditionalFormatting sqref="BR200:BR206">
    <cfRule type="containsText" dxfId="94" priority="93" operator="containsText" text="T">
      <formula>NOT(ISERROR(SEARCH("T",BR200)))</formula>
    </cfRule>
  </conditionalFormatting>
  <conditionalFormatting sqref="BV192:BV199">
    <cfRule type="containsText" dxfId="93" priority="84" operator="containsText" text="17">
      <formula>NOT(ISERROR(SEARCH("17",BV192)))</formula>
    </cfRule>
    <cfRule type="containsText" dxfId="92" priority="85" operator="containsText" text="T">
      <formula>NOT(ISERROR(SEARCH("T",BV192)))</formula>
    </cfRule>
    <cfRule type="containsText" dxfId="91" priority="86" operator="containsText" text="17">
      <formula>NOT(ISERROR(SEARCH("17",BV192)))</formula>
    </cfRule>
    <cfRule type="containsText" dxfId="90" priority="87" operator="containsText" text="T">
      <formula>NOT(ISERROR(SEARCH("T",BV192)))</formula>
    </cfRule>
  </conditionalFormatting>
  <conditionalFormatting sqref="BV192:BV199">
    <cfRule type="containsText" dxfId="89" priority="89" operator="containsText" text="T">
      <formula>NOT(ISERROR(SEARCH("T",BV192)))</formula>
    </cfRule>
  </conditionalFormatting>
  <conditionalFormatting sqref="BV192:BV199">
    <cfRule type="containsText" dxfId="88" priority="88" operator="containsText" text="17">
      <formula>NOT(ISERROR(SEARCH("17",BV192)))</formula>
    </cfRule>
  </conditionalFormatting>
  <conditionalFormatting sqref="BA192:BK199 BV192:BX199">
    <cfRule type="containsText" dxfId="87" priority="82" operator="containsText" text="T">
      <formula>NOT(ISERROR(SEARCH("T",BA192)))</formula>
    </cfRule>
  </conditionalFormatting>
  <conditionalFormatting sqref="BA192:BI199 BV192:BX199">
    <cfRule type="containsText" dxfId="86" priority="81" operator="containsText" text="17">
      <formula>NOT(ISERROR(SEARCH("17",BA192)))</formula>
    </cfRule>
  </conditionalFormatting>
  <conditionalFormatting sqref="BA192:BK199">
    <cfRule type="containsText" dxfId="85" priority="73" operator="containsText" text="17">
      <formula>NOT(ISERROR(SEARCH("17",BA192)))</formula>
    </cfRule>
  </conditionalFormatting>
  <conditionalFormatting sqref="BL192:BR199">
    <cfRule type="containsText" dxfId="84" priority="79" operator="containsText" text="17">
      <formula>NOT(ISERROR(SEARCH("17",BL192)))</formula>
    </cfRule>
    <cfRule type="containsText" dxfId="83" priority="80" operator="containsText" text="T">
      <formula>NOT(ISERROR(SEARCH("T",BL192)))</formula>
    </cfRule>
  </conditionalFormatting>
  <conditionalFormatting sqref="BM192:BM199">
    <cfRule type="containsText" dxfId="82" priority="77" operator="containsText" text="17">
      <formula>NOT(ISERROR(SEARCH("17",BM192)))</formula>
    </cfRule>
    <cfRule type="containsText" dxfId="81" priority="78" operator="containsText" text="T">
      <formula>NOT(ISERROR(SEARCH("T",BM192)))</formula>
    </cfRule>
  </conditionalFormatting>
  <conditionalFormatting sqref="BQ192:BQ199">
    <cfRule type="containsText" dxfId="80" priority="83" operator="containsText" text="T">
      <formula>NOT(ISERROR(SEARCH("T",BQ192)))</formula>
    </cfRule>
  </conditionalFormatting>
  <conditionalFormatting sqref="BR192:BR199">
    <cfRule type="containsText" dxfId="79" priority="74" operator="containsText" text="T">
      <formula>NOT(ISERROR(SEARCH("T",BR192)))</formula>
    </cfRule>
  </conditionalFormatting>
  <conditionalFormatting sqref="BR192:BS199">
    <cfRule type="containsText" dxfId="78" priority="75" operator="containsText" text="17">
      <formula>NOT(ISERROR(SEARCH("17",BR192)))</formula>
    </cfRule>
  </conditionalFormatting>
  <conditionalFormatting sqref="BS192:BS199">
    <cfRule type="containsText" dxfId="77" priority="76" operator="containsText" text="T">
      <formula>NOT(ISERROR(SEARCH("T",BS192)))</formula>
    </cfRule>
  </conditionalFormatting>
  <conditionalFormatting sqref="BB168:BY174">
    <cfRule type="containsText" dxfId="76" priority="72" operator="containsText" text="17">
      <formula>NOT(ISERROR(SEARCH("17",BB168)))</formula>
    </cfRule>
  </conditionalFormatting>
  <conditionalFormatting sqref="BB168:BY174">
    <cfRule type="containsText" dxfId="75" priority="65" operator="containsText" text="T">
      <formula>NOT(ISERROR(SEARCH("T",BB168)))</formula>
    </cfRule>
  </conditionalFormatting>
  <conditionalFormatting sqref="BW168:BW174">
    <cfRule type="containsText" dxfId="74" priority="66" operator="containsText" text="17">
      <formula>NOT(ISERROR(SEARCH("17",BW168)))</formula>
    </cfRule>
    <cfRule type="containsText" dxfId="73" priority="67" operator="containsText" text="T">
      <formula>NOT(ISERROR(SEARCH("T",BW168)))</formula>
    </cfRule>
    <cfRule type="containsText" dxfId="72" priority="68" operator="containsText" text="17">
      <formula>NOT(ISERROR(SEARCH("17",BW168)))</formula>
    </cfRule>
    <cfRule type="containsText" dxfId="71" priority="69" operator="containsText" text="T">
      <formula>NOT(ISERROR(SEARCH("T",BW168)))</formula>
    </cfRule>
  </conditionalFormatting>
  <conditionalFormatting sqref="BB168:BY174">
    <cfRule type="containsText" dxfId="70" priority="60" operator="containsText" text="T">
      <formula>NOT(ISERROR(SEARCH("T",BB168)))</formula>
    </cfRule>
    <cfRule type="containsText" dxfId="69" priority="61" operator="containsText" text="17">
      <formula>NOT(ISERROR(SEARCH("17",BB168)))</formula>
    </cfRule>
  </conditionalFormatting>
  <conditionalFormatting sqref="BO168:BX174">
    <cfRule type="containsText" dxfId="68" priority="63" operator="containsText" text="T">
      <formula>NOT(ISERROR(SEARCH("T",BO168)))</formula>
    </cfRule>
  </conditionalFormatting>
  <conditionalFormatting sqref="BO168:BX174">
    <cfRule type="containsText" dxfId="67" priority="62" operator="containsText" text="17">
      <formula>NOT(ISERROR(SEARCH("17",BO168)))</formula>
    </cfRule>
  </conditionalFormatting>
  <conditionalFormatting sqref="BQ168:BQ174">
    <cfRule type="containsText" dxfId="66" priority="64" operator="containsText" text="T">
      <formula>NOT(ISERROR(SEARCH("T",BQ168)))</formula>
    </cfRule>
  </conditionalFormatting>
  <conditionalFormatting sqref="BW168:BW174">
    <cfRule type="containsText" dxfId="65" priority="71" operator="containsText" text="T">
      <formula>NOT(ISERROR(SEARCH("T",BW168)))</formula>
    </cfRule>
  </conditionalFormatting>
  <conditionalFormatting sqref="BW168:BW174">
    <cfRule type="containsText" dxfId="64" priority="70" operator="containsText" text="17">
      <formula>NOT(ISERROR(SEARCH("17",BW168)))</formula>
    </cfRule>
  </conditionalFormatting>
  <conditionalFormatting sqref="BB168:BL174 BW168:BY174">
    <cfRule type="containsText" dxfId="63" priority="58" operator="containsText" text="T">
      <formula>NOT(ISERROR(SEARCH("T",BB168)))</formula>
    </cfRule>
  </conditionalFormatting>
  <conditionalFormatting sqref="BB168:BJ174 BW168:BY174">
    <cfRule type="containsText" dxfId="62" priority="57" operator="containsText" text="17">
      <formula>NOT(ISERROR(SEARCH("17",BB168)))</formula>
    </cfRule>
  </conditionalFormatting>
  <conditionalFormatting sqref="BB168:BL174">
    <cfRule type="containsText" dxfId="61" priority="49" operator="containsText" text="17">
      <formula>NOT(ISERROR(SEARCH("17",BB168)))</formula>
    </cfRule>
  </conditionalFormatting>
  <conditionalFormatting sqref="BM168:BS174">
    <cfRule type="containsText" dxfId="60" priority="55" operator="containsText" text="17">
      <formula>NOT(ISERROR(SEARCH("17",BM168)))</formula>
    </cfRule>
    <cfRule type="containsText" dxfId="59" priority="56" operator="containsText" text="T">
      <formula>NOT(ISERROR(SEARCH("T",BM168)))</formula>
    </cfRule>
  </conditionalFormatting>
  <conditionalFormatting sqref="BN168:BN174">
    <cfRule type="containsText" dxfId="58" priority="53" operator="containsText" text="17">
      <formula>NOT(ISERROR(SEARCH("17",BN168)))</formula>
    </cfRule>
    <cfRule type="containsText" dxfId="57" priority="54" operator="containsText" text="T">
      <formula>NOT(ISERROR(SEARCH("T",BN168)))</formula>
    </cfRule>
  </conditionalFormatting>
  <conditionalFormatting sqref="BR168:BR174">
    <cfRule type="containsText" dxfId="56" priority="59" operator="containsText" text="T">
      <formula>NOT(ISERROR(SEARCH("T",BR168)))</formula>
    </cfRule>
  </conditionalFormatting>
  <conditionalFormatting sqref="BS168:BS174">
    <cfRule type="containsText" dxfId="55" priority="50" operator="containsText" text="T">
      <formula>NOT(ISERROR(SEARCH("T",BS168)))</formula>
    </cfRule>
  </conditionalFormatting>
  <conditionalFormatting sqref="BS168:BT174">
    <cfRule type="containsText" dxfId="54" priority="51" operator="containsText" text="17">
      <formula>NOT(ISERROR(SEARCH("17",BS168)))</formula>
    </cfRule>
  </conditionalFormatting>
  <conditionalFormatting sqref="BT168:BT174">
    <cfRule type="containsText" dxfId="53" priority="52" operator="containsText" text="T">
      <formula>NOT(ISERROR(SEARCH("T",BT168)))</formula>
    </cfRule>
  </conditionalFormatting>
  <conditionalFormatting sqref="BC175:BZ181">
    <cfRule type="containsText" dxfId="52" priority="48" operator="containsText" text="17">
      <formula>NOT(ISERROR(SEARCH("17",BC175)))</formula>
    </cfRule>
  </conditionalFormatting>
  <conditionalFormatting sqref="BC175:BZ181">
    <cfRule type="containsText" dxfId="51" priority="41" operator="containsText" text="T">
      <formula>NOT(ISERROR(SEARCH("T",BC175)))</formula>
    </cfRule>
  </conditionalFormatting>
  <conditionalFormatting sqref="BX175:BX181">
    <cfRule type="containsText" dxfId="50" priority="42" operator="containsText" text="17">
      <formula>NOT(ISERROR(SEARCH("17",BX175)))</formula>
    </cfRule>
    <cfRule type="containsText" dxfId="49" priority="43" operator="containsText" text="T">
      <formula>NOT(ISERROR(SEARCH("T",BX175)))</formula>
    </cfRule>
    <cfRule type="containsText" dxfId="48" priority="44" operator="containsText" text="17">
      <formula>NOT(ISERROR(SEARCH("17",BX175)))</formula>
    </cfRule>
    <cfRule type="containsText" dxfId="47" priority="45" operator="containsText" text="T">
      <formula>NOT(ISERROR(SEARCH("T",BX175)))</formula>
    </cfRule>
  </conditionalFormatting>
  <conditionalFormatting sqref="BC175:BZ181">
    <cfRule type="containsText" dxfId="46" priority="36" operator="containsText" text="T">
      <formula>NOT(ISERROR(SEARCH("T",BC175)))</formula>
    </cfRule>
    <cfRule type="containsText" dxfId="45" priority="37" operator="containsText" text="17">
      <formula>NOT(ISERROR(SEARCH("17",BC175)))</formula>
    </cfRule>
  </conditionalFormatting>
  <conditionalFormatting sqref="BP175:BY181">
    <cfRule type="containsText" dxfId="44" priority="39" operator="containsText" text="T">
      <formula>NOT(ISERROR(SEARCH("T",BP175)))</formula>
    </cfRule>
  </conditionalFormatting>
  <conditionalFormatting sqref="BP175:BY181">
    <cfRule type="containsText" dxfId="43" priority="38" operator="containsText" text="17">
      <formula>NOT(ISERROR(SEARCH("17",BP175)))</formula>
    </cfRule>
  </conditionalFormatting>
  <conditionalFormatting sqref="BR175:BR181">
    <cfRule type="containsText" dxfId="42" priority="40" operator="containsText" text="T">
      <formula>NOT(ISERROR(SEARCH("T",BR175)))</formula>
    </cfRule>
  </conditionalFormatting>
  <conditionalFormatting sqref="BX175:BX181">
    <cfRule type="containsText" dxfId="41" priority="47" operator="containsText" text="T">
      <formula>NOT(ISERROR(SEARCH("T",BX175)))</formula>
    </cfRule>
  </conditionalFormatting>
  <conditionalFormatting sqref="BX175:BX181">
    <cfRule type="containsText" dxfId="40" priority="46" operator="containsText" text="17">
      <formula>NOT(ISERROR(SEARCH("17",BX175)))</formula>
    </cfRule>
  </conditionalFormatting>
  <conditionalFormatting sqref="BC175:BM181 BX175:BZ181">
    <cfRule type="containsText" dxfId="39" priority="34" operator="containsText" text="T">
      <formula>NOT(ISERROR(SEARCH("T",BC175)))</formula>
    </cfRule>
  </conditionalFormatting>
  <conditionalFormatting sqref="BC175:BK181 BX175:BZ181">
    <cfRule type="containsText" dxfId="38" priority="33" operator="containsText" text="17">
      <formula>NOT(ISERROR(SEARCH("17",BC175)))</formula>
    </cfRule>
  </conditionalFormatting>
  <conditionalFormatting sqref="BC175:BM181">
    <cfRule type="containsText" dxfId="37" priority="25" operator="containsText" text="17">
      <formula>NOT(ISERROR(SEARCH("17",BC175)))</formula>
    </cfRule>
  </conditionalFormatting>
  <conditionalFormatting sqref="BN175:BT181">
    <cfRule type="containsText" dxfId="36" priority="31" operator="containsText" text="17">
      <formula>NOT(ISERROR(SEARCH("17",BN175)))</formula>
    </cfRule>
    <cfRule type="containsText" dxfId="35" priority="32" operator="containsText" text="T">
      <formula>NOT(ISERROR(SEARCH("T",BN175)))</formula>
    </cfRule>
  </conditionalFormatting>
  <conditionalFormatting sqref="BO175:BO181">
    <cfRule type="containsText" dxfId="34" priority="29" operator="containsText" text="17">
      <formula>NOT(ISERROR(SEARCH("17",BO175)))</formula>
    </cfRule>
    <cfRule type="containsText" dxfId="33" priority="30" operator="containsText" text="T">
      <formula>NOT(ISERROR(SEARCH("T",BO175)))</formula>
    </cfRule>
  </conditionalFormatting>
  <conditionalFormatting sqref="BS175:BS181">
    <cfRule type="containsText" dxfId="32" priority="35" operator="containsText" text="T">
      <formula>NOT(ISERROR(SEARCH("T",BS175)))</formula>
    </cfRule>
  </conditionalFormatting>
  <conditionalFormatting sqref="BT175:BT181">
    <cfRule type="containsText" dxfId="31" priority="26" operator="containsText" text="T">
      <formula>NOT(ISERROR(SEARCH("T",BT175)))</formula>
    </cfRule>
  </conditionalFormatting>
  <conditionalFormatting sqref="BT175:BU181">
    <cfRule type="containsText" dxfId="30" priority="27" operator="containsText" text="17">
      <formula>NOT(ISERROR(SEARCH("17",BT175)))</formula>
    </cfRule>
  </conditionalFormatting>
  <conditionalFormatting sqref="BU175:BU181">
    <cfRule type="containsText" dxfId="29" priority="28" operator="containsText" text="T">
      <formula>NOT(ISERROR(SEARCH("T",BU175)))</formula>
    </cfRule>
  </conditionalFormatting>
  <conditionalFormatting sqref="BD182:CA188">
    <cfRule type="containsText" dxfId="28" priority="24" operator="containsText" text="17">
      <formula>NOT(ISERROR(SEARCH("17",BD182)))</formula>
    </cfRule>
  </conditionalFormatting>
  <conditionalFormatting sqref="BD182:CA188">
    <cfRule type="containsText" dxfId="27" priority="17" operator="containsText" text="T">
      <formula>NOT(ISERROR(SEARCH("T",BD182)))</formula>
    </cfRule>
  </conditionalFormatting>
  <conditionalFormatting sqref="BY182:BY188">
    <cfRule type="containsText" dxfId="26" priority="18" operator="containsText" text="17">
      <formula>NOT(ISERROR(SEARCH("17",BY182)))</formula>
    </cfRule>
    <cfRule type="containsText" dxfId="25" priority="19" operator="containsText" text="T">
      <formula>NOT(ISERROR(SEARCH("T",BY182)))</formula>
    </cfRule>
    <cfRule type="containsText" dxfId="24" priority="20" operator="containsText" text="17">
      <formula>NOT(ISERROR(SEARCH("17",BY182)))</formula>
    </cfRule>
    <cfRule type="containsText" dxfId="23" priority="21" operator="containsText" text="T">
      <formula>NOT(ISERROR(SEARCH("T",BY182)))</formula>
    </cfRule>
  </conditionalFormatting>
  <conditionalFormatting sqref="BD182:CA188">
    <cfRule type="containsText" dxfId="22" priority="12" operator="containsText" text="T">
      <formula>NOT(ISERROR(SEARCH("T",BD182)))</formula>
    </cfRule>
    <cfRule type="containsText" dxfId="21" priority="13" operator="containsText" text="17">
      <formula>NOT(ISERROR(SEARCH("17",BD182)))</formula>
    </cfRule>
  </conditionalFormatting>
  <conditionalFormatting sqref="BQ182:BZ188">
    <cfRule type="containsText" dxfId="20" priority="15" operator="containsText" text="T">
      <formula>NOT(ISERROR(SEARCH("T",BQ182)))</formula>
    </cfRule>
  </conditionalFormatting>
  <conditionalFormatting sqref="BQ182:BZ188">
    <cfRule type="containsText" dxfId="19" priority="14" operator="containsText" text="17">
      <formula>NOT(ISERROR(SEARCH("17",BQ182)))</formula>
    </cfRule>
  </conditionalFormatting>
  <conditionalFormatting sqref="BS182:BS188">
    <cfRule type="containsText" dxfId="18" priority="16" operator="containsText" text="T">
      <formula>NOT(ISERROR(SEARCH("T",BS182)))</formula>
    </cfRule>
  </conditionalFormatting>
  <conditionalFormatting sqref="BY182:BY188">
    <cfRule type="containsText" dxfId="17" priority="23" operator="containsText" text="T">
      <formula>NOT(ISERROR(SEARCH("T",BY182)))</formula>
    </cfRule>
  </conditionalFormatting>
  <conditionalFormatting sqref="BY182:BY188">
    <cfRule type="containsText" dxfId="16" priority="22" operator="containsText" text="17">
      <formula>NOT(ISERROR(SEARCH("17",BY182)))</formula>
    </cfRule>
  </conditionalFormatting>
  <conditionalFormatting sqref="BD182:BN188 BY182:CA188">
    <cfRule type="containsText" dxfId="15" priority="10" operator="containsText" text="T">
      <formula>NOT(ISERROR(SEARCH("T",BD182)))</formula>
    </cfRule>
  </conditionalFormatting>
  <conditionalFormatting sqref="BD182:BL188 BY182:CA188">
    <cfRule type="containsText" dxfId="14" priority="9" operator="containsText" text="17">
      <formula>NOT(ISERROR(SEARCH("17",BD182)))</formula>
    </cfRule>
  </conditionalFormatting>
  <conditionalFormatting sqref="BD182:BN188">
    <cfRule type="containsText" dxfId="13" priority="1" operator="containsText" text="17">
      <formula>NOT(ISERROR(SEARCH("17",BD182)))</formula>
    </cfRule>
  </conditionalFormatting>
  <conditionalFormatting sqref="BO182:BU188">
    <cfRule type="containsText" dxfId="12" priority="7" operator="containsText" text="17">
      <formula>NOT(ISERROR(SEARCH("17",BO182)))</formula>
    </cfRule>
    <cfRule type="containsText" dxfId="11" priority="8" operator="containsText" text="T">
      <formula>NOT(ISERROR(SEARCH("T",BO182)))</formula>
    </cfRule>
  </conditionalFormatting>
  <conditionalFormatting sqref="BP182:BP188">
    <cfRule type="containsText" dxfId="10" priority="5" operator="containsText" text="17">
      <formula>NOT(ISERROR(SEARCH("17",BP182)))</formula>
    </cfRule>
    <cfRule type="containsText" dxfId="9" priority="6" operator="containsText" text="T">
      <formula>NOT(ISERROR(SEARCH("T",BP182)))</formula>
    </cfRule>
  </conditionalFormatting>
  <conditionalFormatting sqref="BT182:BT188">
    <cfRule type="containsText" dxfId="8" priority="11" operator="containsText" text="T">
      <formula>NOT(ISERROR(SEARCH("T",BT182)))</formula>
    </cfRule>
  </conditionalFormatting>
  <conditionalFormatting sqref="BU182:BU188">
    <cfRule type="containsText" dxfId="7" priority="2" operator="containsText" text="T">
      <formula>NOT(ISERROR(SEARCH("T",BU182)))</formula>
    </cfRule>
  </conditionalFormatting>
  <conditionalFormatting sqref="BU182:BV188">
    <cfRule type="containsText" dxfId="6" priority="3" operator="containsText" text="17">
      <formula>NOT(ISERROR(SEARCH("17",BU182)))</formula>
    </cfRule>
  </conditionalFormatting>
  <conditionalFormatting sqref="BV182:BV188">
    <cfRule type="containsText" dxfId="5" priority="4" operator="containsText" text="T">
      <formula>NOT(ISERROR(SEARCH("T",BV182)))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333"/>
  <sheetViews>
    <sheetView tabSelected="1" workbookViewId="0">
      <pane xSplit="2" ySplit="1" topLeftCell="C303" activePane="bottomRight" state="frozen"/>
      <selection pane="topRight" activeCell="C1" sqref="C1"/>
      <selection pane="bottomLeft" activeCell="A2" sqref="A2"/>
      <selection pane="bottomRight" activeCell="I323" sqref="I323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77">
        <v>45962</v>
      </c>
      <c r="B2" s="25" t="s">
        <v>458</v>
      </c>
      <c r="C2" s="77">
        <f>A2+23</f>
        <v>45985</v>
      </c>
      <c r="D2" s="77">
        <f>A2+7</f>
        <v>45969</v>
      </c>
      <c r="E2" s="77">
        <f>A2+14</f>
        <v>45976</v>
      </c>
      <c r="F2" s="77">
        <f>A2+20</f>
        <v>45982</v>
      </c>
      <c r="G2" s="77">
        <f>A2+8</f>
        <v>45970</v>
      </c>
      <c r="H2" s="77">
        <f>A2+15</f>
        <v>45977</v>
      </c>
      <c r="I2" s="77">
        <v>45991</v>
      </c>
      <c r="J2" s="78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77">
        <v>45962</v>
      </c>
      <c r="B3" s="25" t="s">
        <v>459</v>
      </c>
      <c r="C3" s="77">
        <f t="shared" ref="C3:C9" si="2">A3+23</f>
        <v>45985</v>
      </c>
      <c r="D3" s="77">
        <f t="shared" ref="D3:D9" si="3">A3+7</f>
        <v>45969</v>
      </c>
      <c r="E3" s="77">
        <f t="shared" ref="E3:E9" si="4">A3+14</f>
        <v>45976</v>
      </c>
      <c r="F3" s="77">
        <f t="shared" ref="F3:F9" si="5">A3+20</f>
        <v>45982</v>
      </c>
      <c r="G3" s="77">
        <f t="shared" ref="G3:G9" si="6">A3+8</f>
        <v>45970</v>
      </c>
      <c r="H3" s="77">
        <f t="shared" ref="H3:H9" si="7">A3+15</f>
        <v>45977</v>
      </c>
      <c r="I3" s="77">
        <v>45991</v>
      </c>
      <c r="J3" s="78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77">
        <v>45962</v>
      </c>
      <c r="B4" s="25" t="s">
        <v>460</v>
      </c>
      <c r="C4" s="77">
        <f t="shared" si="2"/>
        <v>45985</v>
      </c>
      <c r="D4" s="77">
        <f t="shared" si="3"/>
        <v>45969</v>
      </c>
      <c r="E4" s="77">
        <f t="shared" si="4"/>
        <v>45976</v>
      </c>
      <c r="F4" s="77">
        <f t="shared" si="5"/>
        <v>45982</v>
      </c>
      <c r="G4" s="77">
        <f t="shared" si="6"/>
        <v>45970</v>
      </c>
      <c r="H4" s="77">
        <f t="shared" si="7"/>
        <v>45977</v>
      </c>
      <c r="I4" s="77">
        <v>45991</v>
      </c>
      <c r="J4" s="78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77">
        <v>45962</v>
      </c>
      <c r="B5" s="25" t="s">
        <v>461</v>
      </c>
      <c r="C5" s="77">
        <f t="shared" si="2"/>
        <v>45985</v>
      </c>
      <c r="D5" s="77">
        <f t="shared" si="3"/>
        <v>45969</v>
      </c>
      <c r="E5" s="77">
        <f t="shared" si="4"/>
        <v>45976</v>
      </c>
      <c r="F5" s="77">
        <f t="shared" si="5"/>
        <v>45982</v>
      </c>
      <c r="G5" s="77">
        <f t="shared" si="6"/>
        <v>45970</v>
      </c>
      <c r="H5" s="77">
        <f t="shared" si="7"/>
        <v>45977</v>
      </c>
      <c r="I5" s="77">
        <v>45991</v>
      </c>
      <c r="J5" s="78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77">
        <v>45962</v>
      </c>
      <c r="B6" s="25" t="s">
        <v>462</v>
      </c>
      <c r="C6" s="77">
        <f t="shared" si="2"/>
        <v>45985</v>
      </c>
      <c r="D6" s="77">
        <f t="shared" si="3"/>
        <v>45969</v>
      </c>
      <c r="E6" s="77">
        <f t="shared" si="4"/>
        <v>45976</v>
      </c>
      <c r="F6" s="77">
        <f t="shared" si="5"/>
        <v>45982</v>
      </c>
      <c r="G6" s="77">
        <f t="shared" si="6"/>
        <v>45970</v>
      </c>
      <c r="H6" s="77">
        <f t="shared" si="7"/>
        <v>45977</v>
      </c>
      <c r="I6" s="77">
        <v>45991</v>
      </c>
      <c r="J6" s="78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77">
        <v>45962</v>
      </c>
      <c r="B7" s="25" t="s">
        <v>463</v>
      </c>
      <c r="C7" s="77">
        <f t="shared" si="2"/>
        <v>45985</v>
      </c>
      <c r="D7" s="77">
        <f t="shared" si="3"/>
        <v>45969</v>
      </c>
      <c r="E7" s="77">
        <f t="shared" si="4"/>
        <v>45976</v>
      </c>
      <c r="F7" s="77">
        <f t="shared" si="5"/>
        <v>45982</v>
      </c>
      <c r="G7" s="77">
        <f t="shared" si="6"/>
        <v>45970</v>
      </c>
      <c r="H7" s="77">
        <f t="shared" si="7"/>
        <v>45977</v>
      </c>
      <c r="I7" s="77">
        <v>45992</v>
      </c>
      <c r="J7" s="78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77">
        <v>45962</v>
      </c>
      <c r="B8" s="25" t="s">
        <v>464</v>
      </c>
      <c r="C8" s="77">
        <f t="shared" si="2"/>
        <v>45985</v>
      </c>
      <c r="D8" s="77">
        <f t="shared" si="3"/>
        <v>45969</v>
      </c>
      <c r="E8" s="77">
        <f t="shared" si="4"/>
        <v>45976</v>
      </c>
      <c r="F8" s="77">
        <f t="shared" si="5"/>
        <v>45982</v>
      </c>
      <c r="G8" s="77">
        <f t="shared" si="6"/>
        <v>45970</v>
      </c>
      <c r="H8" s="77">
        <f t="shared" si="7"/>
        <v>45977</v>
      </c>
      <c r="I8" s="77">
        <v>45991</v>
      </c>
      <c r="J8" s="78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77">
        <v>45963</v>
      </c>
      <c r="B9" s="25" t="s">
        <v>421</v>
      </c>
      <c r="C9" s="77">
        <f t="shared" si="2"/>
        <v>45986</v>
      </c>
      <c r="D9" s="77">
        <f t="shared" si="3"/>
        <v>45970</v>
      </c>
      <c r="E9" s="77">
        <f t="shared" si="4"/>
        <v>45977</v>
      </c>
      <c r="F9" s="77">
        <f t="shared" si="5"/>
        <v>45983</v>
      </c>
      <c r="G9" s="77">
        <f t="shared" si="6"/>
        <v>45971</v>
      </c>
      <c r="H9" s="77">
        <f t="shared" si="7"/>
        <v>45978</v>
      </c>
      <c r="I9" s="77">
        <v>45993</v>
      </c>
      <c r="J9" s="78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77">
        <v>45963</v>
      </c>
      <c r="B10" s="25" t="s">
        <v>422</v>
      </c>
      <c r="C10" s="77">
        <f t="shared" ref="C10:C15" si="10">A10+23</f>
        <v>45986</v>
      </c>
      <c r="D10" s="77">
        <f t="shared" ref="D10:D15" si="11">A10+7</f>
        <v>45970</v>
      </c>
      <c r="E10" s="77">
        <f t="shared" ref="E10:E15" si="12">A10+14</f>
        <v>45977</v>
      </c>
      <c r="F10" s="77">
        <f t="shared" ref="F10:F15" si="13">A10+20</f>
        <v>45983</v>
      </c>
      <c r="G10" s="77">
        <f t="shared" ref="G10:G15" si="14">A10+8</f>
        <v>45971</v>
      </c>
      <c r="H10" s="77">
        <f t="shared" ref="H10:H15" si="15">A10+15</f>
        <v>45978</v>
      </c>
      <c r="I10" s="77">
        <v>45993</v>
      </c>
      <c r="J10" s="78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77">
        <v>45963</v>
      </c>
      <c r="B11" s="25" t="s">
        <v>423</v>
      </c>
      <c r="C11" s="77">
        <f t="shared" si="10"/>
        <v>45986</v>
      </c>
      <c r="D11" s="77">
        <f t="shared" si="11"/>
        <v>45970</v>
      </c>
      <c r="E11" s="77">
        <f t="shared" si="12"/>
        <v>45977</v>
      </c>
      <c r="F11" s="77">
        <f t="shared" si="13"/>
        <v>45983</v>
      </c>
      <c r="G11" s="77">
        <f t="shared" si="14"/>
        <v>45971</v>
      </c>
      <c r="H11" s="77">
        <f t="shared" si="15"/>
        <v>45978</v>
      </c>
      <c r="I11" s="77">
        <v>45993</v>
      </c>
      <c r="J11" s="78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77">
        <v>45963</v>
      </c>
      <c r="B12" s="25" t="s">
        <v>424</v>
      </c>
      <c r="C12" s="77">
        <f t="shared" si="10"/>
        <v>45986</v>
      </c>
      <c r="D12" s="77">
        <f t="shared" si="11"/>
        <v>45970</v>
      </c>
      <c r="E12" s="77">
        <f t="shared" si="12"/>
        <v>45977</v>
      </c>
      <c r="F12" s="77">
        <f t="shared" si="13"/>
        <v>45983</v>
      </c>
      <c r="G12" s="77">
        <f t="shared" si="14"/>
        <v>45971</v>
      </c>
      <c r="H12" s="77">
        <f t="shared" si="15"/>
        <v>45978</v>
      </c>
      <c r="I12" s="77">
        <v>45992</v>
      </c>
      <c r="J12" s="78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77">
        <v>45963</v>
      </c>
      <c r="B13" s="25" t="s">
        <v>425</v>
      </c>
      <c r="C13" s="77">
        <f t="shared" si="10"/>
        <v>45986</v>
      </c>
      <c r="D13" s="77">
        <f t="shared" si="11"/>
        <v>45970</v>
      </c>
      <c r="E13" s="77">
        <f t="shared" si="12"/>
        <v>45977</v>
      </c>
      <c r="F13" s="77">
        <f t="shared" si="13"/>
        <v>45983</v>
      </c>
      <c r="G13" s="77">
        <f t="shared" si="14"/>
        <v>45971</v>
      </c>
      <c r="H13" s="77">
        <f t="shared" si="15"/>
        <v>45978</v>
      </c>
      <c r="I13" s="77">
        <v>45992</v>
      </c>
      <c r="J13" s="78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77">
        <v>45963</v>
      </c>
      <c r="B14" s="25" t="s">
        <v>426</v>
      </c>
      <c r="C14" s="77">
        <f t="shared" si="10"/>
        <v>45986</v>
      </c>
      <c r="D14" s="77">
        <f t="shared" si="11"/>
        <v>45970</v>
      </c>
      <c r="E14" s="77">
        <f t="shared" si="12"/>
        <v>45977</v>
      </c>
      <c r="F14" s="77">
        <f t="shared" si="13"/>
        <v>45983</v>
      </c>
      <c r="G14" s="77">
        <f t="shared" si="14"/>
        <v>45971</v>
      </c>
      <c r="H14" s="77">
        <f t="shared" si="15"/>
        <v>45978</v>
      </c>
      <c r="I14" s="77">
        <v>45992</v>
      </c>
      <c r="J14" s="78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77">
        <v>45963</v>
      </c>
      <c r="B15" s="25" t="s">
        <v>427</v>
      </c>
      <c r="C15" s="77">
        <f t="shared" si="10"/>
        <v>45986</v>
      </c>
      <c r="D15" s="77">
        <f t="shared" si="11"/>
        <v>45970</v>
      </c>
      <c r="E15" s="77">
        <f t="shared" si="12"/>
        <v>45977</v>
      </c>
      <c r="F15" s="77">
        <f t="shared" si="13"/>
        <v>45983</v>
      </c>
      <c r="G15" s="77">
        <f t="shared" si="14"/>
        <v>45971</v>
      </c>
      <c r="H15" s="77">
        <f t="shared" si="15"/>
        <v>45978</v>
      </c>
      <c r="I15" s="77">
        <v>45992</v>
      </c>
      <c r="J15" s="78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77">
        <v>45964</v>
      </c>
      <c r="B16" s="25" t="s">
        <v>451</v>
      </c>
      <c r="C16" s="77">
        <f t="shared" ref="C16:C79" si="17">A16+23</f>
        <v>45987</v>
      </c>
      <c r="D16" s="77">
        <f t="shared" ref="D16:D79" si="18">A16+7</f>
        <v>45971</v>
      </c>
      <c r="E16" s="77">
        <f t="shared" ref="E16:E79" si="19">A16+14</f>
        <v>45978</v>
      </c>
      <c r="F16" s="77">
        <f t="shared" ref="F16:F79" si="20">A16+20</f>
        <v>45984</v>
      </c>
      <c r="G16" s="77">
        <f t="shared" ref="G16:G79" si="21">A16+8</f>
        <v>45972</v>
      </c>
      <c r="H16" s="77">
        <f t="shared" ref="H16:H79" si="22">A16+15</f>
        <v>45979</v>
      </c>
      <c r="I16" s="77">
        <v>45995</v>
      </c>
      <c r="J16" s="78">
        <f t="shared" ref="J16" si="23">I16-A16</f>
        <v>31</v>
      </c>
      <c r="K16" s="25">
        <v>16.28</v>
      </c>
      <c r="L16" s="25">
        <v>7.08</v>
      </c>
      <c r="M16" s="25">
        <f t="shared" ref="M16" si="24">K16-L16</f>
        <v>9.2000000000000011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17"/>
        <v>45987</v>
      </c>
      <c r="D17" s="77">
        <f t="shared" si="18"/>
        <v>45971</v>
      </c>
      <c r="E17" s="77">
        <f t="shared" si="19"/>
        <v>45978</v>
      </c>
      <c r="F17" s="77">
        <f t="shared" si="20"/>
        <v>45984</v>
      </c>
      <c r="G17" s="77">
        <f t="shared" si="21"/>
        <v>45972</v>
      </c>
      <c r="H17" s="77">
        <f t="shared" si="22"/>
        <v>45979</v>
      </c>
      <c r="I17" s="77">
        <v>45994</v>
      </c>
      <c r="J17" s="78">
        <f>I17-A17</f>
        <v>30</v>
      </c>
      <c r="K17" s="25">
        <v>18.21</v>
      </c>
      <c r="L17" s="25">
        <v>17.809999999999999</v>
      </c>
      <c r="M17" s="25">
        <f t="shared" ref="M17:M24" si="25">K17-L17</f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17"/>
        <v>45987</v>
      </c>
      <c r="D18" s="77">
        <f t="shared" si="18"/>
        <v>45971</v>
      </c>
      <c r="E18" s="77">
        <f t="shared" si="19"/>
        <v>45978</v>
      </c>
      <c r="F18" s="77">
        <f t="shared" si="20"/>
        <v>45984</v>
      </c>
      <c r="G18" s="77">
        <f t="shared" si="21"/>
        <v>45972</v>
      </c>
      <c r="H18" s="77">
        <f t="shared" si="22"/>
        <v>45979</v>
      </c>
      <c r="I18" s="77">
        <v>45994</v>
      </c>
      <c r="J18" s="78">
        <f t="shared" ref="J18:J24" si="26">I18-A18</f>
        <v>30</v>
      </c>
      <c r="K18" s="25">
        <v>17.93</v>
      </c>
      <c r="L18" s="25">
        <v>16.579999999999998</v>
      </c>
      <c r="M18" s="25">
        <f t="shared" si="25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17"/>
        <v>45987</v>
      </c>
      <c r="D19" s="77">
        <f t="shared" si="18"/>
        <v>45971</v>
      </c>
      <c r="E19" s="77">
        <f t="shared" si="19"/>
        <v>45978</v>
      </c>
      <c r="F19" s="77">
        <f t="shared" si="20"/>
        <v>45984</v>
      </c>
      <c r="G19" s="77">
        <f t="shared" si="21"/>
        <v>45972</v>
      </c>
      <c r="H19" s="77">
        <f t="shared" si="22"/>
        <v>45979</v>
      </c>
      <c r="I19" s="77">
        <v>45994</v>
      </c>
      <c r="J19" s="78">
        <f t="shared" si="26"/>
        <v>30</v>
      </c>
      <c r="K19" s="25">
        <v>18.559999999999999</v>
      </c>
      <c r="L19" s="25">
        <v>17.21</v>
      </c>
      <c r="M19" s="25">
        <f t="shared" si="25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17"/>
        <v>45987</v>
      </c>
      <c r="D20" s="77">
        <f t="shared" si="18"/>
        <v>45971</v>
      </c>
      <c r="E20" s="77">
        <f t="shared" si="19"/>
        <v>45978</v>
      </c>
      <c r="F20" s="77">
        <f t="shared" si="20"/>
        <v>45984</v>
      </c>
      <c r="G20" s="77">
        <f t="shared" si="21"/>
        <v>45972</v>
      </c>
      <c r="H20" s="77">
        <f t="shared" si="22"/>
        <v>45979</v>
      </c>
      <c r="I20" s="77">
        <v>45994</v>
      </c>
      <c r="J20" s="78">
        <f t="shared" si="26"/>
        <v>30</v>
      </c>
      <c r="K20" s="25">
        <v>18.11</v>
      </c>
      <c r="L20" s="25">
        <v>8.76</v>
      </c>
      <c r="M20" s="25">
        <f t="shared" si="25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17"/>
        <v>45987</v>
      </c>
      <c r="D21" s="77">
        <f t="shared" si="18"/>
        <v>45971</v>
      </c>
      <c r="E21" s="77">
        <f t="shared" si="19"/>
        <v>45978</v>
      </c>
      <c r="F21" s="77">
        <f t="shared" si="20"/>
        <v>45984</v>
      </c>
      <c r="G21" s="77">
        <f t="shared" si="21"/>
        <v>45972</v>
      </c>
      <c r="H21" s="77">
        <f t="shared" si="22"/>
        <v>45979</v>
      </c>
      <c r="I21" s="77">
        <v>45994</v>
      </c>
      <c r="J21" s="78">
        <f t="shared" si="26"/>
        <v>30</v>
      </c>
      <c r="K21" s="25">
        <v>17.510000000000002</v>
      </c>
      <c r="L21" s="25">
        <v>7.91</v>
      </c>
      <c r="M21" s="25">
        <f t="shared" si="25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17"/>
        <v>45987</v>
      </c>
      <c r="D22" s="77">
        <f t="shared" si="18"/>
        <v>45971</v>
      </c>
      <c r="E22" s="77">
        <f t="shared" si="19"/>
        <v>45978</v>
      </c>
      <c r="F22" s="77">
        <f t="shared" si="20"/>
        <v>45984</v>
      </c>
      <c r="G22" s="77">
        <f t="shared" si="21"/>
        <v>45972</v>
      </c>
      <c r="H22" s="77">
        <f t="shared" si="22"/>
        <v>45979</v>
      </c>
      <c r="I22" s="77">
        <v>45994</v>
      </c>
      <c r="J22" s="78">
        <f t="shared" si="26"/>
        <v>30</v>
      </c>
      <c r="K22" s="25">
        <v>16.59</v>
      </c>
      <c r="L22" s="25">
        <v>7.14</v>
      </c>
      <c r="M22" s="25">
        <f t="shared" si="25"/>
        <v>9.4499999999999993</v>
      </c>
      <c r="N22" s="25" t="s">
        <v>592</v>
      </c>
    </row>
    <row r="23" spans="1:14" x14ac:dyDescent="0.25">
      <c r="A23" s="77">
        <v>45965</v>
      </c>
      <c r="B23" s="25" t="s">
        <v>465</v>
      </c>
      <c r="C23" s="77">
        <f t="shared" si="17"/>
        <v>45988</v>
      </c>
      <c r="D23" s="77">
        <f t="shared" si="18"/>
        <v>45972</v>
      </c>
      <c r="E23" s="77">
        <f t="shared" si="19"/>
        <v>45979</v>
      </c>
      <c r="F23" s="77">
        <f t="shared" si="20"/>
        <v>45985</v>
      </c>
      <c r="G23" s="77">
        <f t="shared" si="21"/>
        <v>45973</v>
      </c>
      <c r="H23" s="77">
        <f t="shared" si="22"/>
        <v>45980</v>
      </c>
      <c r="I23" s="77">
        <v>45995</v>
      </c>
      <c r="J23" s="78">
        <f t="shared" si="26"/>
        <v>30</v>
      </c>
      <c r="K23" s="25">
        <v>16.21</v>
      </c>
      <c r="L23" s="25">
        <v>15.12</v>
      </c>
      <c r="M23" s="25">
        <f t="shared" si="25"/>
        <v>1.0900000000000016</v>
      </c>
      <c r="N23" s="25" t="s">
        <v>593</v>
      </c>
    </row>
    <row r="24" spans="1:14" x14ac:dyDescent="0.25">
      <c r="A24" s="77">
        <v>45965</v>
      </c>
      <c r="B24" s="25" t="s">
        <v>466</v>
      </c>
      <c r="C24" s="77">
        <f t="shared" si="17"/>
        <v>45988</v>
      </c>
      <c r="D24" s="77">
        <f t="shared" si="18"/>
        <v>45972</v>
      </c>
      <c r="E24" s="77">
        <f t="shared" si="19"/>
        <v>45979</v>
      </c>
      <c r="F24" s="77">
        <f t="shared" si="20"/>
        <v>45985</v>
      </c>
      <c r="G24" s="77">
        <f t="shared" si="21"/>
        <v>45973</v>
      </c>
      <c r="H24" s="77">
        <f t="shared" si="22"/>
        <v>45980</v>
      </c>
      <c r="I24" s="77">
        <v>45996</v>
      </c>
      <c r="J24" s="78">
        <f t="shared" si="26"/>
        <v>31</v>
      </c>
      <c r="K24" s="25">
        <v>12.51</v>
      </c>
      <c r="L24" s="25">
        <v>5.12</v>
      </c>
      <c r="M24" s="25">
        <f t="shared" si="25"/>
        <v>7.39</v>
      </c>
      <c r="N24" s="25" t="s">
        <v>592</v>
      </c>
    </row>
    <row r="25" spans="1:14" x14ac:dyDescent="0.25">
      <c r="A25" s="77">
        <v>45965</v>
      </c>
      <c r="B25" s="25" t="s">
        <v>467</v>
      </c>
      <c r="C25" s="77">
        <f t="shared" si="17"/>
        <v>45988</v>
      </c>
      <c r="D25" s="77">
        <f t="shared" si="18"/>
        <v>45972</v>
      </c>
      <c r="E25" s="77">
        <f t="shared" si="19"/>
        <v>45979</v>
      </c>
      <c r="F25" s="77">
        <f t="shared" si="20"/>
        <v>45985</v>
      </c>
      <c r="G25" s="77">
        <f t="shared" si="21"/>
        <v>45973</v>
      </c>
      <c r="H25" s="77">
        <f t="shared" si="22"/>
        <v>45980</v>
      </c>
      <c r="I25" s="77">
        <v>45995</v>
      </c>
      <c r="J25" s="78">
        <f t="shared" ref="J25:J26" si="27">I25-A25</f>
        <v>30</v>
      </c>
      <c r="K25" s="25">
        <v>14.28</v>
      </c>
      <c r="L25" s="25">
        <v>13.1</v>
      </c>
      <c r="M25" s="25">
        <f t="shared" ref="M25:M26" si="28">K25-L25</f>
        <v>1.1799999999999997</v>
      </c>
      <c r="N25" s="25" t="s">
        <v>593</v>
      </c>
    </row>
    <row r="26" spans="1:14" x14ac:dyDescent="0.25">
      <c r="A26" s="77">
        <v>45965</v>
      </c>
      <c r="B26" s="25" t="s">
        <v>468</v>
      </c>
      <c r="C26" s="77">
        <f t="shared" si="17"/>
        <v>45988</v>
      </c>
      <c r="D26" s="77">
        <f t="shared" si="18"/>
        <v>45972</v>
      </c>
      <c r="E26" s="77">
        <f t="shared" si="19"/>
        <v>45979</v>
      </c>
      <c r="F26" s="77">
        <f t="shared" si="20"/>
        <v>45985</v>
      </c>
      <c r="G26" s="77">
        <f t="shared" si="21"/>
        <v>45973</v>
      </c>
      <c r="H26" s="77">
        <f t="shared" si="22"/>
        <v>45980</v>
      </c>
      <c r="I26" s="77">
        <v>45996</v>
      </c>
      <c r="J26" s="78">
        <f t="shared" si="27"/>
        <v>31</v>
      </c>
      <c r="K26" s="25">
        <v>11.27</v>
      </c>
      <c r="L26" s="25">
        <v>4.8</v>
      </c>
      <c r="M26" s="25">
        <f t="shared" si="28"/>
        <v>6.47</v>
      </c>
      <c r="N26" s="25" t="s">
        <v>592</v>
      </c>
    </row>
    <row r="27" spans="1:14" x14ac:dyDescent="0.25">
      <c r="A27" s="77">
        <v>45965</v>
      </c>
      <c r="B27" s="25" t="s">
        <v>469</v>
      </c>
      <c r="C27" s="77">
        <f t="shared" si="17"/>
        <v>45988</v>
      </c>
      <c r="D27" s="77">
        <f t="shared" si="18"/>
        <v>45972</v>
      </c>
      <c r="E27" s="77">
        <f t="shared" si="19"/>
        <v>45979</v>
      </c>
      <c r="F27" s="77">
        <f t="shared" si="20"/>
        <v>45985</v>
      </c>
      <c r="G27" s="77">
        <f t="shared" si="21"/>
        <v>45973</v>
      </c>
      <c r="H27" s="77">
        <f t="shared" si="22"/>
        <v>45980</v>
      </c>
      <c r="I27" s="77">
        <v>45995</v>
      </c>
      <c r="J27" s="78">
        <f t="shared" ref="J27" si="29">I27-A27</f>
        <v>30</v>
      </c>
      <c r="K27" s="25">
        <v>15.74</v>
      </c>
      <c r="L27" s="25">
        <v>14.21</v>
      </c>
      <c r="M27" s="25">
        <f t="shared" ref="M27" si="30">K27-L27</f>
        <v>1.5299999999999994</v>
      </c>
      <c r="N27" s="25" t="s">
        <v>593</v>
      </c>
    </row>
    <row r="28" spans="1:14" x14ac:dyDescent="0.25">
      <c r="A28" s="77">
        <v>45965</v>
      </c>
      <c r="B28" s="25" t="s">
        <v>470</v>
      </c>
      <c r="C28" s="77">
        <f t="shared" si="17"/>
        <v>45988</v>
      </c>
      <c r="D28" s="77">
        <f t="shared" si="18"/>
        <v>45972</v>
      </c>
      <c r="E28" s="77">
        <f t="shared" si="19"/>
        <v>45979</v>
      </c>
      <c r="F28" s="77">
        <f t="shared" si="20"/>
        <v>45985</v>
      </c>
      <c r="G28" s="77">
        <f t="shared" si="21"/>
        <v>45973</v>
      </c>
      <c r="H28" s="77">
        <f t="shared" si="22"/>
        <v>45980</v>
      </c>
      <c r="I28" s="77">
        <v>45995</v>
      </c>
      <c r="J28" s="78">
        <f t="shared" ref="J28:J32" si="31">I28-A28</f>
        <v>30</v>
      </c>
      <c r="K28" s="25">
        <v>15.02</v>
      </c>
      <c r="L28" s="25">
        <v>13.98</v>
      </c>
      <c r="M28" s="25">
        <f t="shared" ref="M28:M29" si="32">K28-L28</f>
        <v>1.0399999999999991</v>
      </c>
      <c r="N28" s="25" t="s">
        <v>593</v>
      </c>
    </row>
    <row r="29" spans="1:14" x14ac:dyDescent="0.25">
      <c r="A29" s="77">
        <v>45965</v>
      </c>
      <c r="B29" s="25" t="s">
        <v>471</v>
      </c>
      <c r="C29" s="77">
        <f t="shared" si="17"/>
        <v>45988</v>
      </c>
      <c r="D29" s="77">
        <f t="shared" si="18"/>
        <v>45972</v>
      </c>
      <c r="E29" s="77">
        <f t="shared" si="19"/>
        <v>45979</v>
      </c>
      <c r="F29" s="77">
        <f t="shared" si="20"/>
        <v>45985</v>
      </c>
      <c r="G29" s="77">
        <f t="shared" si="21"/>
        <v>45973</v>
      </c>
      <c r="H29" s="77">
        <f t="shared" si="22"/>
        <v>45980</v>
      </c>
      <c r="I29" s="77">
        <v>45995</v>
      </c>
      <c r="J29" s="78">
        <f t="shared" si="31"/>
        <v>30</v>
      </c>
      <c r="K29" s="25">
        <v>17.21</v>
      </c>
      <c r="L29" s="25">
        <v>16.12</v>
      </c>
      <c r="M29" s="25">
        <f t="shared" si="32"/>
        <v>1.0899999999999999</v>
      </c>
      <c r="N29" s="25" t="s">
        <v>593</v>
      </c>
    </row>
    <row r="30" spans="1:14" x14ac:dyDescent="0.25">
      <c r="A30" s="77">
        <v>45966</v>
      </c>
      <c r="B30" s="25" t="s">
        <v>414</v>
      </c>
      <c r="C30" s="77">
        <f t="shared" si="17"/>
        <v>45989</v>
      </c>
      <c r="D30" s="77">
        <f t="shared" si="18"/>
        <v>45973</v>
      </c>
      <c r="E30" s="77">
        <f t="shared" si="19"/>
        <v>45980</v>
      </c>
      <c r="F30" s="77">
        <f t="shared" si="20"/>
        <v>45986</v>
      </c>
      <c r="G30" s="77">
        <f t="shared" si="21"/>
        <v>45974</v>
      </c>
      <c r="H30" s="77">
        <f t="shared" si="22"/>
        <v>45981</v>
      </c>
      <c r="I30" s="77">
        <v>45996</v>
      </c>
      <c r="J30" s="78">
        <f t="shared" si="31"/>
        <v>30</v>
      </c>
      <c r="K30" s="25">
        <v>15.19</v>
      </c>
      <c r="L30" s="25">
        <v>14.76</v>
      </c>
      <c r="M30" s="25">
        <f t="shared" ref="M30:M32" si="33">K30-L30</f>
        <v>0.42999999999999972</v>
      </c>
      <c r="N30" s="25" t="s">
        <v>593</v>
      </c>
    </row>
    <row r="31" spans="1:14" x14ac:dyDescent="0.25">
      <c r="A31" s="77">
        <v>45966</v>
      </c>
      <c r="B31" s="25" t="s">
        <v>415</v>
      </c>
      <c r="C31" s="77">
        <f t="shared" si="17"/>
        <v>45989</v>
      </c>
      <c r="D31" s="77">
        <f t="shared" si="18"/>
        <v>45973</v>
      </c>
      <c r="E31" s="77">
        <f t="shared" si="19"/>
        <v>45980</v>
      </c>
      <c r="F31" s="77">
        <f t="shared" si="20"/>
        <v>45986</v>
      </c>
      <c r="G31" s="77">
        <f t="shared" si="21"/>
        <v>45974</v>
      </c>
      <c r="H31" s="77">
        <f t="shared" si="22"/>
        <v>45981</v>
      </c>
      <c r="I31" s="77">
        <v>45996</v>
      </c>
      <c r="J31" s="78">
        <f t="shared" si="31"/>
        <v>30</v>
      </c>
      <c r="K31" s="25">
        <v>15.07</v>
      </c>
      <c r="L31" s="25">
        <v>13.91</v>
      </c>
      <c r="M31" s="25">
        <f t="shared" si="33"/>
        <v>1.1600000000000001</v>
      </c>
      <c r="N31" s="25" t="s">
        <v>593</v>
      </c>
    </row>
    <row r="32" spans="1:14" x14ac:dyDescent="0.25">
      <c r="A32" s="77">
        <v>45966</v>
      </c>
      <c r="B32" s="25" t="s">
        <v>416</v>
      </c>
      <c r="C32" s="77">
        <f t="shared" si="17"/>
        <v>45989</v>
      </c>
      <c r="D32" s="77">
        <f t="shared" si="18"/>
        <v>45973</v>
      </c>
      <c r="E32" s="77">
        <f t="shared" si="19"/>
        <v>45980</v>
      </c>
      <c r="F32" s="77">
        <f t="shared" si="20"/>
        <v>45986</v>
      </c>
      <c r="G32" s="77">
        <f t="shared" si="21"/>
        <v>45974</v>
      </c>
      <c r="H32" s="77">
        <f t="shared" si="22"/>
        <v>45981</v>
      </c>
      <c r="I32" s="77">
        <v>45996</v>
      </c>
      <c r="J32" s="78">
        <f t="shared" si="31"/>
        <v>30</v>
      </c>
      <c r="K32" s="25">
        <v>14.33</v>
      </c>
      <c r="L32" s="25">
        <v>13.12</v>
      </c>
      <c r="M32" s="25">
        <f t="shared" si="33"/>
        <v>1.2100000000000009</v>
      </c>
      <c r="N32" s="25" t="s">
        <v>593</v>
      </c>
    </row>
    <row r="33" spans="1:14" x14ac:dyDescent="0.25">
      <c r="A33" s="77">
        <v>45966</v>
      </c>
      <c r="B33" s="25" t="s">
        <v>417</v>
      </c>
      <c r="C33" s="77">
        <f t="shared" si="17"/>
        <v>45989</v>
      </c>
      <c r="D33" s="77">
        <f t="shared" si="18"/>
        <v>45973</v>
      </c>
      <c r="E33" s="77">
        <f t="shared" si="19"/>
        <v>45980</v>
      </c>
      <c r="F33" s="77">
        <f t="shared" si="20"/>
        <v>45986</v>
      </c>
      <c r="G33" s="77">
        <f t="shared" si="21"/>
        <v>45974</v>
      </c>
      <c r="H33" s="77">
        <f t="shared" si="22"/>
        <v>45981</v>
      </c>
      <c r="I33" s="77">
        <v>45995</v>
      </c>
      <c r="J33" s="78">
        <f t="shared" ref="J33" si="34">I33-A33</f>
        <v>29</v>
      </c>
      <c r="K33" s="25">
        <v>17.510000000000002</v>
      </c>
      <c r="L33" s="25">
        <v>16.059999999999999</v>
      </c>
      <c r="M33" s="25">
        <f t="shared" ref="M33" si="35">K33-L33</f>
        <v>1.4500000000000028</v>
      </c>
      <c r="N33" s="25" t="s">
        <v>593</v>
      </c>
    </row>
    <row r="34" spans="1:14" x14ac:dyDescent="0.25">
      <c r="A34" s="77">
        <v>45966</v>
      </c>
      <c r="B34" s="25" t="s">
        <v>418</v>
      </c>
      <c r="C34" s="77">
        <f t="shared" si="17"/>
        <v>45989</v>
      </c>
      <c r="D34" s="77">
        <f t="shared" si="18"/>
        <v>45973</v>
      </c>
      <c r="E34" s="77">
        <f t="shared" si="19"/>
        <v>45980</v>
      </c>
      <c r="F34" s="77">
        <f t="shared" si="20"/>
        <v>45986</v>
      </c>
      <c r="G34" s="77">
        <f t="shared" si="21"/>
        <v>45974</v>
      </c>
      <c r="H34" s="77">
        <f t="shared" si="22"/>
        <v>45981</v>
      </c>
      <c r="I34" s="77">
        <v>45995</v>
      </c>
      <c r="J34" s="78">
        <f t="shared" ref="J34" si="36">I34-A34</f>
        <v>29</v>
      </c>
      <c r="K34" s="25">
        <v>15.24</v>
      </c>
      <c r="L34" s="25">
        <v>14.81</v>
      </c>
      <c r="M34" s="25">
        <f t="shared" ref="M34" si="37">K34-L34</f>
        <v>0.42999999999999972</v>
      </c>
      <c r="N34" s="25" t="s">
        <v>593</v>
      </c>
    </row>
    <row r="35" spans="1:14" x14ac:dyDescent="0.25">
      <c r="A35" s="77">
        <v>45966</v>
      </c>
      <c r="B35" s="25" t="s">
        <v>419</v>
      </c>
      <c r="C35" s="77">
        <f t="shared" si="17"/>
        <v>45989</v>
      </c>
      <c r="D35" s="77">
        <f t="shared" si="18"/>
        <v>45973</v>
      </c>
      <c r="E35" s="77">
        <f t="shared" si="19"/>
        <v>45980</v>
      </c>
      <c r="F35" s="77">
        <f t="shared" si="20"/>
        <v>45986</v>
      </c>
      <c r="G35" s="77">
        <f t="shared" si="21"/>
        <v>45974</v>
      </c>
      <c r="H35" s="77">
        <f t="shared" si="22"/>
        <v>45981</v>
      </c>
      <c r="I35" s="77">
        <v>45995</v>
      </c>
      <c r="J35" s="78">
        <f t="shared" ref="J35" si="38">I35-A35</f>
        <v>29</v>
      </c>
      <c r="K35" s="25">
        <v>16.91</v>
      </c>
      <c r="L35" s="25">
        <v>7.68</v>
      </c>
      <c r="M35" s="25">
        <f t="shared" ref="M35" si="39">K35-L35</f>
        <v>9.23</v>
      </c>
      <c r="N35" s="25" t="s">
        <v>592</v>
      </c>
    </row>
    <row r="36" spans="1:14" x14ac:dyDescent="0.25">
      <c r="A36" s="77">
        <v>45966</v>
      </c>
      <c r="B36" s="25" t="s">
        <v>420</v>
      </c>
      <c r="C36" s="77">
        <f t="shared" si="17"/>
        <v>45989</v>
      </c>
      <c r="D36" s="77">
        <f t="shared" si="18"/>
        <v>45973</v>
      </c>
      <c r="E36" s="77">
        <f t="shared" si="19"/>
        <v>45980</v>
      </c>
      <c r="F36" s="77">
        <f t="shared" si="20"/>
        <v>45986</v>
      </c>
      <c r="G36" s="77">
        <f t="shared" si="21"/>
        <v>45974</v>
      </c>
      <c r="H36" s="77">
        <f t="shared" si="22"/>
        <v>45981</v>
      </c>
      <c r="I36" s="77">
        <v>45995</v>
      </c>
      <c r="J36" s="78">
        <f t="shared" ref="J36:J76" si="40">I36-A36</f>
        <v>29</v>
      </c>
      <c r="K36" s="25">
        <v>18.510000000000002</v>
      </c>
      <c r="L36" s="25">
        <v>8.51</v>
      </c>
      <c r="M36" s="25">
        <f t="shared" ref="M36:M76" si="41">K36-L36</f>
        <v>10.000000000000002</v>
      </c>
      <c r="N36" s="25" t="s">
        <v>592</v>
      </c>
    </row>
    <row r="37" spans="1:14" x14ac:dyDescent="0.25">
      <c r="A37" s="77">
        <v>45967</v>
      </c>
      <c r="B37" s="25" t="s">
        <v>444</v>
      </c>
      <c r="C37" s="77">
        <f t="shared" si="17"/>
        <v>45990</v>
      </c>
      <c r="D37" s="77">
        <f t="shared" si="18"/>
        <v>45974</v>
      </c>
      <c r="E37" s="77">
        <f t="shared" si="19"/>
        <v>45981</v>
      </c>
      <c r="F37" s="77">
        <f t="shared" si="20"/>
        <v>45987</v>
      </c>
      <c r="G37" s="77">
        <f t="shared" si="21"/>
        <v>45975</v>
      </c>
      <c r="H37" s="77">
        <f t="shared" si="22"/>
        <v>45982</v>
      </c>
      <c r="I37" s="77">
        <v>45997</v>
      </c>
      <c r="J37" s="78">
        <f t="shared" si="40"/>
        <v>30</v>
      </c>
      <c r="K37" s="25">
        <v>15.21</v>
      </c>
      <c r="L37" s="25">
        <v>6.98</v>
      </c>
      <c r="M37" s="25">
        <f t="shared" si="41"/>
        <v>8.23</v>
      </c>
      <c r="N37" s="25" t="s">
        <v>592</v>
      </c>
    </row>
    <row r="38" spans="1:14" x14ac:dyDescent="0.25">
      <c r="A38" s="77">
        <v>45967</v>
      </c>
      <c r="B38" s="25" t="s">
        <v>445</v>
      </c>
      <c r="C38" s="77">
        <f t="shared" si="17"/>
        <v>45990</v>
      </c>
      <c r="D38" s="77">
        <f t="shared" si="18"/>
        <v>45974</v>
      </c>
      <c r="E38" s="77">
        <f t="shared" si="19"/>
        <v>45981</v>
      </c>
      <c r="F38" s="77">
        <f t="shared" si="20"/>
        <v>45987</v>
      </c>
      <c r="G38" s="77">
        <f t="shared" si="21"/>
        <v>45975</v>
      </c>
      <c r="H38" s="77">
        <f t="shared" si="22"/>
        <v>45982</v>
      </c>
      <c r="I38" s="77">
        <v>45997</v>
      </c>
      <c r="J38" s="78">
        <f t="shared" si="40"/>
        <v>30</v>
      </c>
      <c r="K38" s="25">
        <v>13.98</v>
      </c>
      <c r="L38" s="25">
        <v>5.71</v>
      </c>
      <c r="M38" s="25">
        <f t="shared" si="41"/>
        <v>8.27</v>
      </c>
      <c r="N38" s="25" t="s">
        <v>592</v>
      </c>
    </row>
    <row r="39" spans="1:14" x14ac:dyDescent="0.25">
      <c r="A39" s="77">
        <v>45967</v>
      </c>
      <c r="B39" s="25" t="s">
        <v>446</v>
      </c>
      <c r="C39" s="77">
        <f t="shared" si="17"/>
        <v>45990</v>
      </c>
      <c r="D39" s="77">
        <f t="shared" si="18"/>
        <v>45974</v>
      </c>
      <c r="E39" s="77">
        <f t="shared" si="19"/>
        <v>45981</v>
      </c>
      <c r="F39" s="77">
        <f t="shared" si="20"/>
        <v>45987</v>
      </c>
      <c r="G39" s="77">
        <f t="shared" si="21"/>
        <v>45975</v>
      </c>
      <c r="H39" s="77">
        <f t="shared" si="22"/>
        <v>45982</v>
      </c>
      <c r="I39" s="77">
        <v>45997</v>
      </c>
      <c r="J39" s="78">
        <f t="shared" si="40"/>
        <v>30</v>
      </c>
      <c r="K39" s="25">
        <v>16.2</v>
      </c>
      <c r="L39" s="25">
        <v>8.1199999999999992</v>
      </c>
      <c r="M39" s="25">
        <f t="shared" si="41"/>
        <v>8.08</v>
      </c>
      <c r="N39" s="25" t="s">
        <v>592</v>
      </c>
    </row>
    <row r="40" spans="1:14" x14ac:dyDescent="0.25">
      <c r="A40" s="77">
        <v>45967</v>
      </c>
      <c r="B40" s="25" t="s">
        <v>447</v>
      </c>
      <c r="C40" s="77">
        <f t="shared" si="17"/>
        <v>45990</v>
      </c>
      <c r="D40" s="77">
        <f t="shared" si="18"/>
        <v>45974</v>
      </c>
      <c r="E40" s="77">
        <f t="shared" si="19"/>
        <v>45981</v>
      </c>
      <c r="F40" s="77">
        <f t="shared" si="20"/>
        <v>45987</v>
      </c>
      <c r="G40" s="77">
        <f t="shared" si="21"/>
        <v>45975</v>
      </c>
      <c r="H40" s="77">
        <f t="shared" si="22"/>
        <v>45982</v>
      </c>
      <c r="I40" s="77">
        <v>45997</v>
      </c>
      <c r="J40" s="78">
        <f t="shared" si="40"/>
        <v>30</v>
      </c>
      <c r="K40" s="25">
        <v>14.91</v>
      </c>
      <c r="L40" s="25">
        <v>7.08</v>
      </c>
      <c r="M40" s="25">
        <f t="shared" si="41"/>
        <v>7.83</v>
      </c>
      <c r="N40" s="25" t="s">
        <v>592</v>
      </c>
    </row>
    <row r="41" spans="1:14" x14ac:dyDescent="0.25">
      <c r="A41" s="77">
        <v>45967</v>
      </c>
      <c r="B41" s="25" t="s">
        <v>448</v>
      </c>
      <c r="C41" s="77">
        <f t="shared" si="17"/>
        <v>45990</v>
      </c>
      <c r="D41" s="77">
        <f t="shared" si="18"/>
        <v>45974</v>
      </c>
      <c r="E41" s="77">
        <f t="shared" si="19"/>
        <v>45981</v>
      </c>
      <c r="F41" s="77">
        <f t="shared" si="20"/>
        <v>45987</v>
      </c>
      <c r="G41" s="77">
        <f t="shared" si="21"/>
        <v>45975</v>
      </c>
      <c r="H41" s="77">
        <f t="shared" si="22"/>
        <v>45982</v>
      </c>
      <c r="I41" s="77">
        <v>45996</v>
      </c>
      <c r="J41" s="78">
        <f t="shared" si="40"/>
        <v>29</v>
      </c>
      <c r="K41" s="25">
        <v>16.11</v>
      </c>
      <c r="L41" s="25">
        <v>14.97</v>
      </c>
      <c r="M41" s="25">
        <f t="shared" si="41"/>
        <v>1.1399999999999988</v>
      </c>
      <c r="N41" s="25" t="s">
        <v>593</v>
      </c>
    </row>
    <row r="42" spans="1:14" x14ac:dyDescent="0.25">
      <c r="A42" s="77">
        <v>45967</v>
      </c>
      <c r="B42" s="25" t="s">
        <v>449</v>
      </c>
      <c r="C42" s="77">
        <f t="shared" si="17"/>
        <v>45990</v>
      </c>
      <c r="D42" s="77">
        <f t="shared" si="18"/>
        <v>45974</v>
      </c>
      <c r="E42" s="77">
        <f t="shared" si="19"/>
        <v>45981</v>
      </c>
      <c r="F42" s="77">
        <f t="shared" si="20"/>
        <v>45987</v>
      </c>
      <c r="G42" s="77">
        <f t="shared" si="21"/>
        <v>45975</v>
      </c>
      <c r="H42" s="77">
        <f t="shared" si="22"/>
        <v>45982</v>
      </c>
      <c r="I42" s="77">
        <v>45996</v>
      </c>
      <c r="J42" s="78">
        <f t="shared" si="40"/>
        <v>29</v>
      </c>
      <c r="K42" s="25">
        <v>14.56</v>
      </c>
      <c r="L42" s="25">
        <v>13.82</v>
      </c>
      <c r="M42" s="25">
        <f t="shared" si="41"/>
        <v>0.74000000000000021</v>
      </c>
      <c r="N42" s="25" t="s">
        <v>593</v>
      </c>
    </row>
    <row r="43" spans="1:14" x14ac:dyDescent="0.25">
      <c r="A43" s="77">
        <v>45967</v>
      </c>
      <c r="B43" s="25" t="s">
        <v>450</v>
      </c>
      <c r="C43" s="77">
        <f t="shared" si="17"/>
        <v>45990</v>
      </c>
      <c r="D43" s="77">
        <f t="shared" si="18"/>
        <v>45974</v>
      </c>
      <c r="E43" s="77">
        <f t="shared" si="19"/>
        <v>45981</v>
      </c>
      <c r="F43" s="77">
        <f t="shared" si="20"/>
        <v>45987</v>
      </c>
      <c r="G43" s="77">
        <f t="shared" si="21"/>
        <v>45975</v>
      </c>
      <c r="H43" s="77">
        <f t="shared" si="22"/>
        <v>45982</v>
      </c>
      <c r="I43" s="77">
        <v>45997</v>
      </c>
      <c r="J43" s="78">
        <f t="shared" si="40"/>
        <v>30</v>
      </c>
      <c r="K43" s="25">
        <v>15.24</v>
      </c>
      <c r="L43" s="25">
        <v>7.62</v>
      </c>
      <c r="M43" s="25">
        <f t="shared" si="41"/>
        <v>7.62</v>
      </c>
      <c r="N43" s="25" t="s">
        <v>592</v>
      </c>
    </row>
    <row r="44" spans="1:14" x14ac:dyDescent="0.25">
      <c r="A44" s="77">
        <v>45968</v>
      </c>
      <c r="B44" s="25" t="s">
        <v>412</v>
      </c>
      <c r="C44" s="77">
        <f t="shared" si="17"/>
        <v>45991</v>
      </c>
      <c r="D44" s="77">
        <f t="shared" si="18"/>
        <v>45975</v>
      </c>
      <c r="E44" s="77">
        <f t="shared" si="19"/>
        <v>45982</v>
      </c>
      <c r="F44" s="77">
        <f t="shared" si="20"/>
        <v>45988</v>
      </c>
      <c r="G44" s="77">
        <f t="shared" si="21"/>
        <v>45976</v>
      </c>
      <c r="H44" s="77">
        <f t="shared" si="22"/>
        <v>45983</v>
      </c>
      <c r="I44" s="77">
        <v>45997</v>
      </c>
      <c r="J44" s="78">
        <f t="shared" si="40"/>
        <v>29</v>
      </c>
      <c r="K44" s="25">
        <v>14.56</v>
      </c>
      <c r="L44" s="25">
        <v>7.03</v>
      </c>
      <c r="M44" s="25">
        <f t="shared" si="41"/>
        <v>7.53</v>
      </c>
      <c r="N44" s="25" t="s">
        <v>593</v>
      </c>
    </row>
    <row r="45" spans="1:14" x14ac:dyDescent="0.25">
      <c r="A45" s="77">
        <v>45968</v>
      </c>
      <c r="B45" s="25" t="s">
        <v>413</v>
      </c>
      <c r="C45" s="77">
        <f t="shared" si="17"/>
        <v>45991</v>
      </c>
      <c r="D45" s="77">
        <f t="shared" si="18"/>
        <v>45975</v>
      </c>
      <c r="E45" s="77">
        <f t="shared" si="19"/>
        <v>45982</v>
      </c>
      <c r="F45" s="77">
        <f t="shared" si="20"/>
        <v>45988</v>
      </c>
      <c r="G45" s="77">
        <f t="shared" si="21"/>
        <v>45976</v>
      </c>
      <c r="H45" s="77">
        <f t="shared" si="22"/>
        <v>45983</v>
      </c>
      <c r="I45" s="77">
        <v>45997</v>
      </c>
      <c r="J45" s="78">
        <f t="shared" si="40"/>
        <v>29</v>
      </c>
      <c r="K45" s="25">
        <v>15.27</v>
      </c>
      <c r="L45" s="25">
        <v>14.31</v>
      </c>
      <c r="M45" s="25">
        <f t="shared" si="41"/>
        <v>0.95999999999999908</v>
      </c>
      <c r="N45" s="25" t="s">
        <v>593</v>
      </c>
    </row>
    <row r="46" spans="1:14" x14ac:dyDescent="0.25">
      <c r="A46" s="77">
        <v>45968</v>
      </c>
      <c r="B46" s="25" t="s">
        <v>442</v>
      </c>
      <c r="C46" s="77">
        <f t="shared" si="17"/>
        <v>45991</v>
      </c>
      <c r="D46" s="77">
        <f t="shared" si="18"/>
        <v>45975</v>
      </c>
      <c r="E46" s="77">
        <f t="shared" si="19"/>
        <v>45982</v>
      </c>
      <c r="F46" s="77">
        <f t="shared" si="20"/>
        <v>45988</v>
      </c>
      <c r="G46" s="77">
        <f t="shared" si="21"/>
        <v>45976</v>
      </c>
      <c r="H46" s="77">
        <f t="shared" si="22"/>
        <v>45983</v>
      </c>
      <c r="I46" s="77">
        <v>45997</v>
      </c>
      <c r="J46" s="78">
        <f t="shared" si="40"/>
        <v>29</v>
      </c>
      <c r="K46" s="25">
        <v>14.32</v>
      </c>
      <c r="L46" s="25">
        <v>13.59</v>
      </c>
      <c r="M46" s="25">
        <f t="shared" si="41"/>
        <v>0.73000000000000043</v>
      </c>
      <c r="N46" s="25" t="s">
        <v>593</v>
      </c>
    </row>
    <row r="47" spans="1:14" x14ac:dyDescent="0.25">
      <c r="A47" s="77">
        <v>45968</v>
      </c>
      <c r="B47" s="25" t="s">
        <v>443</v>
      </c>
      <c r="C47" s="77">
        <f t="shared" si="17"/>
        <v>45991</v>
      </c>
      <c r="D47" s="77">
        <f t="shared" si="18"/>
        <v>45975</v>
      </c>
      <c r="E47" s="77">
        <f t="shared" si="19"/>
        <v>45982</v>
      </c>
      <c r="F47" s="77">
        <f t="shared" si="20"/>
        <v>45988</v>
      </c>
      <c r="G47" s="77">
        <f t="shared" si="21"/>
        <v>45976</v>
      </c>
      <c r="H47" s="77">
        <f t="shared" si="22"/>
        <v>45983</v>
      </c>
      <c r="I47" s="77">
        <v>45997</v>
      </c>
      <c r="J47" s="78">
        <f t="shared" si="40"/>
        <v>29</v>
      </c>
      <c r="K47" s="25">
        <v>15.29</v>
      </c>
      <c r="L47" s="25">
        <v>14.62</v>
      </c>
      <c r="M47" s="25">
        <f t="shared" si="41"/>
        <v>0.66999999999999993</v>
      </c>
      <c r="N47" s="25" t="s">
        <v>593</v>
      </c>
    </row>
    <row r="48" spans="1:14" x14ac:dyDescent="0.25">
      <c r="A48" s="77">
        <v>45968</v>
      </c>
      <c r="B48" s="25" t="s">
        <v>472</v>
      </c>
      <c r="C48" s="77">
        <f t="shared" si="17"/>
        <v>45991</v>
      </c>
      <c r="D48" s="77">
        <f t="shared" si="18"/>
        <v>45975</v>
      </c>
      <c r="E48" s="77">
        <f t="shared" si="19"/>
        <v>45982</v>
      </c>
      <c r="F48" s="77">
        <f t="shared" si="20"/>
        <v>45988</v>
      </c>
      <c r="G48" s="77">
        <f t="shared" si="21"/>
        <v>45976</v>
      </c>
      <c r="H48" s="77">
        <f t="shared" si="22"/>
        <v>45983</v>
      </c>
      <c r="I48" s="77">
        <v>45997</v>
      </c>
      <c r="J48" s="78">
        <f t="shared" si="40"/>
        <v>29</v>
      </c>
      <c r="K48" s="25">
        <v>11.74</v>
      </c>
      <c r="L48" s="25">
        <v>10.28</v>
      </c>
      <c r="M48" s="25">
        <f t="shared" si="41"/>
        <v>1.4600000000000009</v>
      </c>
      <c r="N48" s="25" t="s">
        <v>593</v>
      </c>
    </row>
    <row r="49" spans="1:14" x14ac:dyDescent="0.25">
      <c r="A49" s="77">
        <v>45968</v>
      </c>
      <c r="B49" s="25" t="s">
        <v>473</v>
      </c>
      <c r="C49" s="77">
        <f t="shared" si="17"/>
        <v>45991</v>
      </c>
      <c r="D49" s="77">
        <f t="shared" si="18"/>
        <v>45975</v>
      </c>
      <c r="E49" s="77">
        <f t="shared" si="19"/>
        <v>45982</v>
      </c>
      <c r="F49" s="77">
        <f t="shared" si="20"/>
        <v>45988</v>
      </c>
      <c r="G49" s="77">
        <f t="shared" si="21"/>
        <v>45976</v>
      </c>
      <c r="H49" s="77">
        <f t="shared" si="22"/>
        <v>45983</v>
      </c>
      <c r="I49" s="77">
        <v>45997</v>
      </c>
      <c r="J49" s="78">
        <f t="shared" si="40"/>
        <v>29</v>
      </c>
      <c r="K49" s="25">
        <v>11.28</v>
      </c>
      <c r="L49" s="25">
        <v>10.14</v>
      </c>
      <c r="M49" s="25">
        <f t="shared" si="41"/>
        <v>1.1399999999999988</v>
      </c>
      <c r="N49" s="25" t="s">
        <v>593</v>
      </c>
    </row>
    <row r="50" spans="1:14" x14ac:dyDescent="0.25">
      <c r="A50" s="77">
        <v>45968</v>
      </c>
      <c r="B50" s="25" t="s">
        <v>474</v>
      </c>
      <c r="C50" s="77">
        <f t="shared" si="17"/>
        <v>45991</v>
      </c>
      <c r="D50" s="77">
        <f t="shared" si="18"/>
        <v>45975</v>
      </c>
      <c r="E50" s="77">
        <f t="shared" si="19"/>
        <v>45982</v>
      </c>
      <c r="F50" s="77">
        <f t="shared" si="20"/>
        <v>45988</v>
      </c>
      <c r="G50" s="77">
        <f t="shared" si="21"/>
        <v>45976</v>
      </c>
      <c r="H50" s="77">
        <f t="shared" si="22"/>
        <v>45983</v>
      </c>
      <c r="I50" s="77">
        <v>45997</v>
      </c>
      <c r="J50" s="78">
        <f t="shared" si="40"/>
        <v>29</v>
      </c>
      <c r="K50" s="25">
        <v>8.2100000000000009</v>
      </c>
      <c r="L50" s="25">
        <v>7.05</v>
      </c>
      <c r="M50" s="25">
        <f t="shared" si="41"/>
        <v>1.160000000000001</v>
      </c>
      <c r="N50" s="25" t="s">
        <v>593</v>
      </c>
    </row>
    <row r="51" spans="1:14" x14ac:dyDescent="0.25">
      <c r="A51" s="77">
        <v>45969</v>
      </c>
      <c r="B51" s="25" t="s">
        <v>476</v>
      </c>
      <c r="C51" s="77">
        <f t="shared" si="17"/>
        <v>45992</v>
      </c>
      <c r="D51" s="77">
        <f t="shared" si="18"/>
        <v>45976</v>
      </c>
      <c r="E51" s="77">
        <f t="shared" si="19"/>
        <v>45983</v>
      </c>
      <c r="F51" s="77">
        <f t="shared" si="20"/>
        <v>45989</v>
      </c>
      <c r="G51" s="77">
        <f t="shared" si="21"/>
        <v>45977</v>
      </c>
      <c r="H51" s="77">
        <f t="shared" si="22"/>
        <v>45984</v>
      </c>
      <c r="I51" s="77">
        <v>45998</v>
      </c>
      <c r="J51" s="78">
        <f t="shared" si="40"/>
        <v>29</v>
      </c>
      <c r="K51" s="25">
        <v>14.21</v>
      </c>
      <c r="L51" s="25">
        <v>7.71</v>
      </c>
      <c r="M51" s="25">
        <f t="shared" si="41"/>
        <v>6.5000000000000009</v>
      </c>
      <c r="N51" s="25" t="s">
        <v>592</v>
      </c>
    </row>
    <row r="52" spans="1:14" x14ac:dyDescent="0.25">
      <c r="A52" s="77">
        <v>45969</v>
      </c>
      <c r="B52" s="25" t="s">
        <v>477</v>
      </c>
      <c r="C52" s="77">
        <f t="shared" si="17"/>
        <v>45992</v>
      </c>
      <c r="D52" s="77">
        <f t="shared" si="18"/>
        <v>45976</v>
      </c>
      <c r="E52" s="77">
        <f t="shared" si="19"/>
        <v>45983</v>
      </c>
      <c r="F52" s="77">
        <f t="shared" si="20"/>
        <v>45989</v>
      </c>
      <c r="G52" s="77">
        <f t="shared" si="21"/>
        <v>45977</v>
      </c>
      <c r="H52" s="77">
        <f t="shared" si="22"/>
        <v>45984</v>
      </c>
      <c r="I52" s="77">
        <v>45998</v>
      </c>
      <c r="J52" s="78">
        <f t="shared" si="40"/>
        <v>29</v>
      </c>
      <c r="K52" s="25">
        <v>13.68</v>
      </c>
      <c r="L52" s="25">
        <v>6.22</v>
      </c>
      <c r="M52" s="25">
        <f t="shared" si="41"/>
        <v>7.46</v>
      </c>
      <c r="N52" s="25" t="s">
        <v>592</v>
      </c>
    </row>
    <row r="53" spans="1:14" x14ac:dyDescent="0.25">
      <c r="A53" s="77">
        <v>45969</v>
      </c>
      <c r="B53" s="25" t="s">
        <v>478</v>
      </c>
      <c r="C53" s="77">
        <f t="shared" si="17"/>
        <v>45992</v>
      </c>
      <c r="D53" s="77">
        <f t="shared" si="18"/>
        <v>45976</v>
      </c>
      <c r="E53" s="77">
        <f t="shared" si="19"/>
        <v>45983</v>
      </c>
      <c r="F53" s="77">
        <f t="shared" si="20"/>
        <v>45989</v>
      </c>
      <c r="G53" s="77">
        <f t="shared" si="21"/>
        <v>45977</v>
      </c>
      <c r="H53" s="77">
        <f t="shared" si="22"/>
        <v>45984</v>
      </c>
      <c r="I53" s="77">
        <v>45998</v>
      </c>
      <c r="J53" s="78">
        <f t="shared" si="40"/>
        <v>29</v>
      </c>
      <c r="K53" s="25">
        <v>15.29</v>
      </c>
      <c r="L53" s="25">
        <v>8.69</v>
      </c>
      <c r="M53" s="25">
        <f t="shared" si="41"/>
        <v>6.6</v>
      </c>
      <c r="N53" s="25" t="s">
        <v>592</v>
      </c>
    </row>
    <row r="54" spans="1:14" x14ac:dyDescent="0.25">
      <c r="A54" s="77">
        <v>45969</v>
      </c>
      <c r="B54" s="25" t="s">
        <v>479</v>
      </c>
      <c r="C54" s="77">
        <f t="shared" si="17"/>
        <v>45992</v>
      </c>
      <c r="D54" s="77">
        <f t="shared" si="18"/>
        <v>45976</v>
      </c>
      <c r="E54" s="77">
        <f t="shared" si="19"/>
        <v>45983</v>
      </c>
      <c r="F54" s="77">
        <f t="shared" si="20"/>
        <v>45989</v>
      </c>
      <c r="G54" s="77">
        <f t="shared" si="21"/>
        <v>45977</v>
      </c>
      <c r="H54" s="77">
        <f t="shared" si="22"/>
        <v>45984</v>
      </c>
      <c r="I54" s="77">
        <v>45998</v>
      </c>
      <c r="J54" s="78">
        <f t="shared" si="40"/>
        <v>29</v>
      </c>
      <c r="K54" s="25">
        <v>11.52</v>
      </c>
      <c r="L54" s="25">
        <v>10.77</v>
      </c>
      <c r="M54" s="25">
        <f t="shared" si="41"/>
        <v>0.75</v>
      </c>
      <c r="N54" s="25" t="s">
        <v>593</v>
      </c>
    </row>
    <row r="55" spans="1:14" x14ac:dyDescent="0.25">
      <c r="A55" s="77">
        <v>45969</v>
      </c>
      <c r="B55" s="25" t="s">
        <v>480</v>
      </c>
      <c r="C55" s="77">
        <f t="shared" si="17"/>
        <v>45992</v>
      </c>
      <c r="D55" s="77">
        <f t="shared" si="18"/>
        <v>45976</v>
      </c>
      <c r="E55" s="77">
        <f t="shared" si="19"/>
        <v>45983</v>
      </c>
      <c r="F55" s="77">
        <f t="shared" si="20"/>
        <v>45989</v>
      </c>
      <c r="G55" s="77">
        <f t="shared" si="21"/>
        <v>45977</v>
      </c>
      <c r="H55" s="77">
        <f t="shared" si="22"/>
        <v>45984</v>
      </c>
      <c r="I55" s="77">
        <v>45998</v>
      </c>
      <c r="J55" s="78">
        <f t="shared" si="40"/>
        <v>29</v>
      </c>
      <c r="K55" s="25">
        <v>13.4</v>
      </c>
      <c r="L55" s="25">
        <v>12.19</v>
      </c>
      <c r="M55" s="25">
        <f t="shared" si="41"/>
        <v>1.2100000000000009</v>
      </c>
      <c r="N55" s="25" t="s">
        <v>593</v>
      </c>
    </row>
    <row r="56" spans="1:14" x14ac:dyDescent="0.25">
      <c r="A56" s="77">
        <v>45969</v>
      </c>
      <c r="B56" s="25" t="s">
        <v>481</v>
      </c>
      <c r="C56" s="77">
        <f t="shared" si="17"/>
        <v>45992</v>
      </c>
      <c r="D56" s="77">
        <f t="shared" si="18"/>
        <v>45976</v>
      </c>
      <c r="E56" s="77">
        <f t="shared" si="19"/>
        <v>45983</v>
      </c>
      <c r="F56" s="77">
        <f t="shared" si="20"/>
        <v>45989</v>
      </c>
      <c r="G56" s="77">
        <f t="shared" si="21"/>
        <v>45977</v>
      </c>
      <c r="H56" s="77">
        <f t="shared" si="22"/>
        <v>45984</v>
      </c>
      <c r="I56" s="77">
        <v>45998</v>
      </c>
      <c r="J56" s="78">
        <f t="shared" si="40"/>
        <v>29</v>
      </c>
      <c r="K56" s="25">
        <v>11.58</v>
      </c>
      <c r="L56" s="25">
        <v>10.71</v>
      </c>
      <c r="M56" s="25">
        <f t="shared" si="41"/>
        <v>0.86999999999999922</v>
      </c>
      <c r="N56" s="25" t="s">
        <v>593</v>
      </c>
    </row>
    <row r="57" spans="1:14" x14ac:dyDescent="0.25">
      <c r="A57" s="77">
        <v>45969</v>
      </c>
      <c r="B57" s="25" t="s">
        <v>482</v>
      </c>
      <c r="C57" s="77">
        <f t="shared" si="17"/>
        <v>45992</v>
      </c>
      <c r="D57" s="77">
        <f t="shared" si="18"/>
        <v>45976</v>
      </c>
      <c r="E57" s="77">
        <f t="shared" si="19"/>
        <v>45983</v>
      </c>
      <c r="F57" s="77">
        <f t="shared" si="20"/>
        <v>45989</v>
      </c>
      <c r="G57" s="77">
        <f t="shared" si="21"/>
        <v>45977</v>
      </c>
      <c r="H57" s="77">
        <f t="shared" si="22"/>
        <v>45984</v>
      </c>
      <c r="I57" s="77">
        <v>45998</v>
      </c>
      <c r="J57" s="78">
        <f t="shared" si="40"/>
        <v>29</v>
      </c>
      <c r="K57" s="25">
        <v>12.17</v>
      </c>
      <c r="L57" s="25">
        <v>11.59</v>
      </c>
      <c r="M57" s="25">
        <f t="shared" si="41"/>
        <v>0.58000000000000007</v>
      </c>
      <c r="N57" s="25" t="s">
        <v>593</v>
      </c>
    </row>
    <row r="58" spans="1:14" x14ac:dyDescent="0.25">
      <c r="A58" s="77">
        <v>45970</v>
      </c>
      <c r="B58" s="25" t="s">
        <v>483</v>
      </c>
      <c r="C58" s="77">
        <f t="shared" si="17"/>
        <v>45993</v>
      </c>
      <c r="D58" s="77">
        <f t="shared" si="18"/>
        <v>45977</v>
      </c>
      <c r="E58" s="77">
        <f t="shared" si="19"/>
        <v>45984</v>
      </c>
      <c r="F58" s="77">
        <f t="shared" si="20"/>
        <v>45990</v>
      </c>
      <c r="G58" s="77">
        <f t="shared" si="21"/>
        <v>45978</v>
      </c>
      <c r="H58" s="77">
        <f t="shared" si="22"/>
        <v>45985</v>
      </c>
      <c r="I58" s="77">
        <v>45998</v>
      </c>
      <c r="J58" s="78">
        <f t="shared" si="40"/>
        <v>28</v>
      </c>
      <c r="K58" s="25">
        <v>11.98</v>
      </c>
      <c r="L58" s="25">
        <v>10.01</v>
      </c>
      <c r="M58" s="25">
        <f t="shared" si="41"/>
        <v>1.9700000000000006</v>
      </c>
      <c r="N58" s="25" t="s">
        <v>593</v>
      </c>
    </row>
    <row r="59" spans="1:14" x14ac:dyDescent="0.25">
      <c r="A59" s="77">
        <v>45970</v>
      </c>
      <c r="B59" s="25" t="s">
        <v>484</v>
      </c>
      <c r="C59" s="77">
        <f t="shared" si="17"/>
        <v>45993</v>
      </c>
      <c r="D59" s="77">
        <f t="shared" si="18"/>
        <v>45977</v>
      </c>
      <c r="E59" s="77">
        <f t="shared" si="19"/>
        <v>45984</v>
      </c>
      <c r="F59" s="77">
        <f t="shared" si="20"/>
        <v>45990</v>
      </c>
      <c r="G59" s="77">
        <f t="shared" si="21"/>
        <v>45978</v>
      </c>
      <c r="H59" s="77">
        <f t="shared" si="22"/>
        <v>45985</v>
      </c>
      <c r="I59" s="77">
        <v>45998</v>
      </c>
      <c r="J59" s="78">
        <f t="shared" si="40"/>
        <v>28</v>
      </c>
      <c r="K59" s="25">
        <v>10.71</v>
      </c>
      <c r="L59" s="25">
        <v>9.84</v>
      </c>
      <c r="M59" s="25">
        <f t="shared" si="41"/>
        <v>0.87000000000000099</v>
      </c>
      <c r="N59" s="25" t="s">
        <v>593</v>
      </c>
    </row>
    <row r="60" spans="1:14" x14ac:dyDescent="0.25">
      <c r="A60" s="77">
        <v>45970</v>
      </c>
      <c r="B60" s="25" t="s">
        <v>485</v>
      </c>
      <c r="C60" s="77">
        <f t="shared" si="17"/>
        <v>45993</v>
      </c>
      <c r="D60" s="77">
        <f t="shared" si="18"/>
        <v>45977</v>
      </c>
      <c r="E60" s="77">
        <f t="shared" si="19"/>
        <v>45984</v>
      </c>
      <c r="F60" s="77">
        <f t="shared" si="20"/>
        <v>45990</v>
      </c>
      <c r="G60" s="77">
        <f t="shared" si="21"/>
        <v>45978</v>
      </c>
      <c r="H60" s="77">
        <f t="shared" si="22"/>
        <v>45985</v>
      </c>
      <c r="I60" s="77">
        <v>45998</v>
      </c>
      <c r="J60" s="78">
        <f t="shared" si="40"/>
        <v>28</v>
      </c>
      <c r="K60" s="25">
        <v>7.55</v>
      </c>
      <c r="L60" s="25">
        <v>6.64</v>
      </c>
      <c r="M60" s="25">
        <f t="shared" si="41"/>
        <v>0.91000000000000014</v>
      </c>
      <c r="N60" s="25" t="s">
        <v>593</v>
      </c>
    </row>
    <row r="61" spans="1:14" x14ac:dyDescent="0.25">
      <c r="A61" s="77">
        <v>45970</v>
      </c>
      <c r="B61" s="25" t="s">
        <v>486</v>
      </c>
      <c r="C61" s="77">
        <f t="shared" si="17"/>
        <v>45993</v>
      </c>
      <c r="D61" s="77">
        <f t="shared" si="18"/>
        <v>45977</v>
      </c>
      <c r="E61" s="77">
        <f t="shared" si="19"/>
        <v>45984</v>
      </c>
      <c r="F61" s="77">
        <f t="shared" si="20"/>
        <v>45990</v>
      </c>
      <c r="G61" s="77">
        <f t="shared" si="21"/>
        <v>45978</v>
      </c>
      <c r="H61" s="77">
        <f t="shared" si="22"/>
        <v>45985</v>
      </c>
      <c r="I61" s="77">
        <v>45998</v>
      </c>
      <c r="J61" s="78">
        <f t="shared" si="40"/>
        <v>28</v>
      </c>
      <c r="K61" s="25">
        <v>7.41</v>
      </c>
      <c r="L61" s="25">
        <v>6.28</v>
      </c>
      <c r="M61" s="25">
        <f t="shared" si="41"/>
        <v>1.1299999999999999</v>
      </c>
      <c r="N61" s="25" t="s">
        <v>593</v>
      </c>
    </row>
    <row r="62" spans="1:14" x14ac:dyDescent="0.25">
      <c r="A62" s="77">
        <v>45970</v>
      </c>
      <c r="B62" s="25" t="s">
        <v>487</v>
      </c>
      <c r="C62" s="77">
        <f t="shared" si="17"/>
        <v>45993</v>
      </c>
      <c r="D62" s="77">
        <f t="shared" si="18"/>
        <v>45977</v>
      </c>
      <c r="E62" s="77">
        <f t="shared" si="19"/>
        <v>45984</v>
      </c>
      <c r="F62" s="77">
        <f t="shared" si="20"/>
        <v>45990</v>
      </c>
      <c r="G62" s="77">
        <f t="shared" si="21"/>
        <v>45978</v>
      </c>
      <c r="H62" s="77">
        <f t="shared" si="22"/>
        <v>45985</v>
      </c>
      <c r="I62" s="77">
        <v>45998</v>
      </c>
      <c r="J62" s="78">
        <f t="shared" si="40"/>
        <v>28</v>
      </c>
      <c r="K62" s="25">
        <v>6.36</v>
      </c>
      <c r="L62" s="25">
        <v>5.71</v>
      </c>
      <c r="M62" s="25">
        <f t="shared" si="41"/>
        <v>0.65000000000000036</v>
      </c>
      <c r="N62" s="25" t="s">
        <v>593</v>
      </c>
    </row>
    <row r="63" spans="1:14" x14ac:dyDescent="0.25">
      <c r="A63" s="77">
        <v>45970</v>
      </c>
      <c r="B63" s="25" t="s">
        <v>488</v>
      </c>
      <c r="C63" s="77">
        <f t="shared" si="17"/>
        <v>45993</v>
      </c>
      <c r="D63" s="77">
        <f t="shared" si="18"/>
        <v>45977</v>
      </c>
      <c r="E63" s="77">
        <f t="shared" si="19"/>
        <v>45984</v>
      </c>
      <c r="F63" s="77">
        <f t="shared" si="20"/>
        <v>45990</v>
      </c>
      <c r="G63" s="77">
        <f t="shared" si="21"/>
        <v>45978</v>
      </c>
      <c r="H63" s="77">
        <f t="shared" si="22"/>
        <v>45985</v>
      </c>
      <c r="I63" s="77">
        <v>45999</v>
      </c>
      <c r="J63" s="78">
        <f t="shared" si="40"/>
        <v>29</v>
      </c>
      <c r="K63" s="25">
        <v>7.21</v>
      </c>
      <c r="L63" s="25">
        <v>3.42</v>
      </c>
      <c r="M63" s="25">
        <f t="shared" si="41"/>
        <v>3.79</v>
      </c>
      <c r="N63" s="25" t="s">
        <v>592</v>
      </c>
    </row>
    <row r="64" spans="1:14" x14ac:dyDescent="0.25">
      <c r="A64" s="77">
        <v>45970</v>
      </c>
      <c r="B64" s="25" t="s">
        <v>489</v>
      </c>
      <c r="C64" s="77">
        <f t="shared" si="17"/>
        <v>45993</v>
      </c>
      <c r="D64" s="77">
        <f t="shared" si="18"/>
        <v>45977</v>
      </c>
      <c r="E64" s="77">
        <f t="shared" si="19"/>
        <v>45984</v>
      </c>
      <c r="F64" s="77">
        <f t="shared" si="20"/>
        <v>45990</v>
      </c>
      <c r="G64" s="77">
        <f t="shared" si="21"/>
        <v>45978</v>
      </c>
      <c r="H64" s="77">
        <f t="shared" si="22"/>
        <v>45985</v>
      </c>
      <c r="I64" s="77">
        <v>45999</v>
      </c>
      <c r="J64" s="78">
        <f t="shared" si="40"/>
        <v>29</v>
      </c>
      <c r="K64" s="25">
        <v>6.13</v>
      </c>
      <c r="L64" s="25">
        <v>3.28</v>
      </c>
      <c r="M64" s="25">
        <f t="shared" si="41"/>
        <v>2.85</v>
      </c>
      <c r="N64" s="25" t="s">
        <v>592</v>
      </c>
    </row>
    <row r="65" spans="1:14" x14ac:dyDescent="0.25">
      <c r="A65" s="77">
        <v>45971</v>
      </c>
      <c r="B65" s="25" t="s">
        <v>490</v>
      </c>
      <c r="C65" s="77">
        <f t="shared" si="17"/>
        <v>45994</v>
      </c>
      <c r="D65" s="77">
        <f t="shared" si="18"/>
        <v>45978</v>
      </c>
      <c r="E65" s="77">
        <f t="shared" si="19"/>
        <v>45985</v>
      </c>
      <c r="F65" s="77">
        <f t="shared" si="20"/>
        <v>45991</v>
      </c>
      <c r="G65" s="77">
        <f t="shared" si="21"/>
        <v>45979</v>
      </c>
      <c r="H65" s="77">
        <f t="shared" si="22"/>
        <v>45986</v>
      </c>
      <c r="I65" s="77">
        <v>45999</v>
      </c>
      <c r="J65" s="78">
        <f t="shared" si="40"/>
        <v>28</v>
      </c>
      <c r="K65" s="25">
        <v>13.21</v>
      </c>
      <c r="L65" s="25">
        <v>6.51</v>
      </c>
      <c r="M65" s="25">
        <f t="shared" si="41"/>
        <v>6.7000000000000011</v>
      </c>
      <c r="N65" s="25" t="s">
        <v>592</v>
      </c>
    </row>
    <row r="66" spans="1:14" x14ac:dyDescent="0.25">
      <c r="A66" s="77">
        <v>45971</v>
      </c>
      <c r="B66" s="25" t="s">
        <v>491</v>
      </c>
      <c r="C66" s="77">
        <f t="shared" si="17"/>
        <v>45994</v>
      </c>
      <c r="D66" s="77">
        <f t="shared" si="18"/>
        <v>45978</v>
      </c>
      <c r="E66" s="77">
        <f t="shared" si="19"/>
        <v>45985</v>
      </c>
      <c r="F66" s="77">
        <f t="shared" si="20"/>
        <v>45991</v>
      </c>
      <c r="G66" s="77">
        <f t="shared" si="21"/>
        <v>45979</v>
      </c>
      <c r="H66" s="77">
        <f t="shared" si="22"/>
        <v>45986</v>
      </c>
      <c r="I66" s="77">
        <v>45999</v>
      </c>
      <c r="J66" s="78">
        <f t="shared" si="40"/>
        <v>28</v>
      </c>
      <c r="K66" s="25">
        <v>14.17</v>
      </c>
      <c r="L66" s="25">
        <v>8.17</v>
      </c>
      <c r="M66" s="25">
        <f t="shared" si="41"/>
        <v>6</v>
      </c>
      <c r="N66" s="25" t="s">
        <v>592</v>
      </c>
    </row>
    <row r="67" spans="1:14" x14ac:dyDescent="0.25">
      <c r="A67" s="77">
        <v>45971</v>
      </c>
      <c r="B67" s="25" t="s">
        <v>492</v>
      </c>
      <c r="C67" s="77">
        <f t="shared" si="17"/>
        <v>45994</v>
      </c>
      <c r="D67" s="77">
        <f t="shared" si="18"/>
        <v>45978</v>
      </c>
      <c r="E67" s="77">
        <f t="shared" si="19"/>
        <v>45985</v>
      </c>
      <c r="F67" s="77">
        <f t="shared" si="20"/>
        <v>45991</v>
      </c>
      <c r="G67" s="77">
        <f t="shared" si="21"/>
        <v>45979</v>
      </c>
      <c r="H67" s="77">
        <f t="shared" si="22"/>
        <v>45986</v>
      </c>
      <c r="I67" s="77">
        <v>45999</v>
      </c>
      <c r="J67" s="78">
        <f t="shared" si="40"/>
        <v>28</v>
      </c>
      <c r="K67" s="25">
        <v>14.36</v>
      </c>
      <c r="L67" s="25">
        <v>8.24</v>
      </c>
      <c r="M67" s="25">
        <f t="shared" si="41"/>
        <v>6.1199999999999992</v>
      </c>
      <c r="N67" s="25" t="s">
        <v>592</v>
      </c>
    </row>
    <row r="68" spans="1:14" x14ac:dyDescent="0.25">
      <c r="A68" s="77">
        <v>45971</v>
      </c>
      <c r="B68" s="25" t="s">
        <v>493</v>
      </c>
      <c r="C68" s="77">
        <f t="shared" si="17"/>
        <v>45994</v>
      </c>
      <c r="D68" s="77">
        <f t="shared" si="18"/>
        <v>45978</v>
      </c>
      <c r="E68" s="77">
        <f t="shared" si="19"/>
        <v>45985</v>
      </c>
      <c r="F68" s="77">
        <f t="shared" si="20"/>
        <v>45991</v>
      </c>
      <c r="G68" s="77">
        <f t="shared" si="21"/>
        <v>45979</v>
      </c>
      <c r="H68" s="77">
        <f t="shared" si="22"/>
        <v>45986</v>
      </c>
      <c r="I68" s="77">
        <v>45999</v>
      </c>
      <c r="J68" s="78">
        <f t="shared" si="40"/>
        <v>28</v>
      </c>
      <c r="K68" s="25">
        <v>12.71</v>
      </c>
      <c r="L68" s="25">
        <v>11.28</v>
      </c>
      <c r="M68" s="25">
        <f t="shared" si="41"/>
        <v>1.4300000000000015</v>
      </c>
      <c r="N68" s="25" t="s">
        <v>593</v>
      </c>
    </row>
    <row r="69" spans="1:14" x14ac:dyDescent="0.25">
      <c r="A69" s="77">
        <v>45971</v>
      </c>
      <c r="B69" s="25" t="s">
        <v>494</v>
      </c>
      <c r="C69" s="77">
        <f t="shared" si="17"/>
        <v>45994</v>
      </c>
      <c r="D69" s="77">
        <f t="shared" si="18"/>
        <v>45978</v>
      </c>
      <c r="E69" s="77">
        <f t="shared" si="19"/>
        <v>45985</v>
      </c>
      <c r="F69" s="77">
        <f t="shared" si="20"/>
        <v>45991</v>
      </c>
      <c r="G69" s="77">
        <f t="shared" si="21"/>
        <v>45979</v>
      </c>
      <c r="H69" s="77">
        <f t="shared" si="22"/>
        <v>45986</v>
      </c>
      <c r="I69" s="77">
        <v>45999</v>
      </c>
      <c r="J69" s="78">
        <f t="shared" si="40"/>
        <v>28</v>
      </c>
      <c r="K69" s="25">
        <v>13.9</v>
      </c>
      <c r="L69" s="25">
        <v>12.01</v>
      </c>
      <c r="M69" s="25">
        <f t="shared" si="41"/>
        <v>1.8900000000000006</v>
      </c>
      <c r="N69" s="25" t="s">
        <v>593</v>
      </c>
    </row>
    <row r="70" spans="1:14" x14ac:dyDescent="0.25">
      <c r="A70" s="77">
        <v>45971</v>
      </c>
      <c r="B70" s="25" t="s">
        <v>495</v>
      </c>
      <c r="C70" s="77">
        <f t="shared" si="17"/>
        <v>45994</v>
      </c>
      <c r="D70" s="77">
        <f t="shared" si="18"/>
        <v>45978</v>
      </c>
      <c r="E70" s="77">
        <f t="shared" si="19"/>
        <v>45985</v>
      </c>
      <c r="F70" s="77">
        <f t="shared" si="20"/>
        <v>45991</v>
      </c>
      <c r="G70" s="77">
        <f t="shared" si="21"/>
        <v>45979</v>
      </c>
      <c r="H70" s="77">
        <f t="shared" si="22"/>
        <v>45986</v>
      </c>
      <c r="I70" s="77">
        <v>45999</v>
      </c>
      <c r="J70" s="78">
        <f t="shared" si="40"/>
        <v>28</v>
      </c>
      <c r="K70" s="25">
        <v>10.77</v>
      </c>
      <c r="L70" s="25">
        <v>9.06</v>
      </c>
      <c r="M70" s="25">
        <f t="shared" si="41"/>
        <v>1.7099999999999991</v>
      </c>
      <c r="N70" s="25" t="s">
        <v>593</v>
      </c>
    </row>
    <row r="71" spans="1:14" x14ac:dyDescent="0.25">
      <c r="A71" s="77">
        <v>45971</v>
      </c>
      <c r="B71" s="25" t="s">
        <v>496</v>
      </c>
      <c r="C71" s="77">
        <f t="shared" si="17"/>
        <v>45994</v>
      </c>
      <c r="D71" s="77">
        <f t="shared" si="18"/>
        <v>45978</v>
      </c>
      <c r="E71" s="77">
        <f t="shared" si="19"/>
        <v>45985</v>
      </c>
      <c r="F71" s="77">
        <f t="shared" si="20"/>
        <v>45991</v>
      </c>
      <c r="G71" s="77">
        <f t="shared" si="21"/>
        <v>45979</v>
      </c>
      <c r="H71" s="77">
        <f t="shared" si="22"/>
        <v>45986</v>
      </c>
      <c r="I71" s="77">
        <v>45999</v>
      </c>
      <c r="J71" s="78">
        <f t="shared" si="40"/>
        <v>28</v>
      </c>
      <c r="K71" s="25">
        <v>11.28</v>
      </c>
      <c r="L71" s="25">
        <v>10.51</v>
      </c>
      <c r="M71" s="25">
        <f t="shared" si="41"/>
        <v>0.76999999999999957</v>
      </c>
      <c r="N71" s="25" t="s">
        <v>593</v>
      </c>
    </row>
    <row r="72" spans="1:14" x14ac:dyDescent="0.25">
      <c r="A72" s="77">
        <v>45972</v>
      </c>
      <c r="B72" s="25" t="s">
        <v>497</v>
      </c>
      <c r="C72" s="77">
        <f t="shared" si="17"/>
        <v>45995</v>
      </c>
      <c r="D72" s="77">
        <f t="shared" si="18"/>
        <v>45979</v>
      </c>
      <c r="E72" s="77">
        <f t="shared" si="19"/>
        <v>45986</v>
      </c>
      <c r="F72" s="77">
        <f t="shared" si="20"/>
        <v>45992</v>
      </c>
      <c r="G72" s="77">
        <f t="shared" si="21"/>
        <v>45980</v>
      </c>
      <c r="H72" s="77">
        <f t="shared" si="22"/>
        <v>45987</v>
      </c>
      <c r="I72" s="77">
        <v>45999</v>
      </c>
      <c r="J72" s="78">
        <f t="shared" si="40"/>
        <v>27</v>
      </c>
      <c r="K72" s="25">
        <v>9.64</v>
      </c>
      <c r="L72" s="25">
        <v>8.1199999999999992</v>
      </c>
      <c r="M72" s="25">
        <f t="shared" si="41"/>
        <v>1.5200000000000014</v>
      </c>
      <c r="N72" s="25" t="s">
        <v>593</v>
      </c>
    </row>
    <row r="73" spans="1:14" x14ac:dyDescent="0.25">
      <c r="A73" s="77">
        <v>45972</v>
      </c>
      <c r="B73" s="25" t="s">
        <v>498</v>
      </c>
      <c r="C73" s="77">
        <f t="shared" si="17"/>
        <v>45995</v>
      </c>
      <c r="D73" s="77">
        <f t="shared" si="18"/>
        <v>45979</v>
      </c>
      <c r="E73" s="77">
        <f t="shared" si="19"/>
        <v>45986</v>
      </c>
      <c r="F73" s="77">
        <f t="shared" si="20"/>
        <v>45992</v>
      </c>
      <c r="G73" s="77">
        <f t="shared" si="21"/>
        <v>45980</v>
      </c>
      <c r="H73" s="77">
        <f t="shared" si="22"/>
        <v>45987</v>
      </c>
      <c r="I73" s="77">
        <v>46000</v>
      </c>
      <c r="J73" s="78">
        <f t="shared" si="40"/>
        <v>28</v>
      </c>
      <c r="K73" s="25">
        <v>12.72</v>
      </c>
      <c r="L73" s="25">
        <v>6.36</v>
      </c>
      <c r="M73" s="25">
        <f t="shared" si="41"/>
        <v>6.36</v>
      </c>
      <c r="N73" s="25" t="s">
        <v>592</v>
      </c>
    </row>
    <row r="74" spans="1:14" x14ac:dyDescent="0.25">
      <c r="A74" s="77">
        <v>45972</v>
      </c>
      <c r="B74" s="25" t="s">
        <v>499</v>
      </c>
      <c r="C74" s="77">
        <f t="shared" si="17"/>
        <v>45995</v>
      </c>
      <c r="D74" s="77">
        <f t="shared" si="18"/>
        <v>45979</v>
      </c>
      <c r="E74" s="77">
        <f t="shared" si="19"/>
        <v>45986</v>
      </c>
      <c r="F74" s="77">
        <f t="shared" si="20"/>
        <v>45992</v>
      </c>
      <c r="G74" s="77">
        <f t="shared" si="21"/>
        <v>45980</v>
      </c>
      <c r="H74" s="77">
        <f t="shared" si="22"/>
        <v>45987</v>
      </c>
      <c r="I74" s="77">
        <v>46000</v>
      </c>
      <c r="J74" s="78">
        <f t="shared" si="40"/>
        <v>28</v>
      </c>
      <c r="K74" s="25">
        <v>8.32</v>
      </c>
      <c r="L74" s="25">
        <v>4.1900000000000004</v>
      </c>
      <c r="M74" s="25">
        <f t="shared" si="41"/>
        <v>4.13</v>
      </c>
      <c r="N74" s="25" t="s">
        <v>592</v>
      </c>
    </row>
    <row r="75" spans="1:14" x14ac:dyDescent="0.25">
      <c r="A75" s="77">
        <v>45972</v>
      </c>
      <c r="B75" s="25" t="s">
        <v>500</v>
      </c>
      <c r="C75" s="77">
        <f t="shared" si="17"/>
        <v>45995</v>
      </c>
      <c r="D75" s="77">
        <f t="shared" si="18"/>
        <v>45979</v>
      </c>
      <c r="E75" s="77">
        <f t="shared" si="19"/>
        <v>45986</v>
      </c>
      <c r="F75" s="77">
        <f t="shared" si="20"/>
        <v>45992</v>
      </c>
      <c r="G75" s="77">
        <f t="shared" si="21"/>
        <v>45980</v>
      </c>
      <c r="H75" s="77">
        <f t="shared" si="22"/>
        <v>45987</v>
      </c>
      <c r="I75" s="77">
        <v>46000</v>
      </c>
      <c r="J75" s="78">
        <f t="shared" si="40"/>
        <v>28</v>
      </c>
      <c r="K75" s="25">
        <v>11.98</v>
      </c>
      <c r="L75" s="25">
        <v>7.94</v>
      </c>
      <c r="M75" s="25">
        <f t="shared" si="41"/>
        <v>4.04</v>
      </c>
      <c r="N75" s="25" t="s">
        <v>592</v>
      </c>
    </row>
    <row r="76" spans="1:14" x14ac:dyDescent="0.25">
      <c r="A76" s="77">
        <v>45972</v>
      </c>
      <c r="B76" s="25" t="s">
        <v>501</v>
      </c>
      <c r="C76" s="77">
        <f t="shared" si="17"/>
        <v>45995</v>
      </c>
      <c r="D76" s="77">
        <f t="shared" si="18"/>
        <v>45979</v>
      </c>
      <c r="E76" s="77">
        <f t="shared" si="19"/>
        <v>45986</v>
      </c>
      <c r="F76" s="77">
        <f t="shared" si="20"/>
        <v>45992</v>
      </c>
      <c r="G76" s="77">
        <f t="shared" si="21"/>
        <v>45980</v>
      </c>
      <c r="H76" s="77">
        <f t="shared" si="22"/>
        <v>45987</v>
      </c>
      <c r="I76" s="77">
        <v>46000</v>
      </c>
      <c r="J76" s="78">
        <f t="shared" si="40"/>
        <v>28</v>
      </c>
      <c r="K76" s="25">
        <v>9.1199999999999992</v>
      </c>
      <c r="L76" s="25">
        <v>6.7</v>
      </c>
      <c r="M76" s="25">
        <f t="shared" si="41"/>
        <v>2.419999999999999</v>
      </c>
      <c r="N76" s="25" t="s">
        <v>593</v>
      </c>
    </row>
    <row r="77" spans="1:14" x14ac:dyDescent="0.25">
      <c r="A77" s="77">
        <v>45972</v>
      </c>
      <c r="B77" s="25" t="s">
        <v>502</v>
      </c>
      <c r="C77" s="77">
        <f t="shared" si="17"/>
        <v>45995</v>
      </c>
      <c r="D77" s="77">
        <f t="shared" si="18"/>
        <v>45979</v>
      </c>
      <c r="E77" s="77">
        <f t="shared" si="19"/>
        <v>45986</v>
      </c>
      <c r="F77" s="77">
        <f t="shared" si="20"/>
        <v>45992</v>
      </c>
      <c r="G77" s="77">
        <f t="shared" si="21"/>
        <v>45980</v>
      </c>
      <c r="H77" s="77">
        <f t="shared" si="22"/>
        <v>45987</v>
      </c>
      <c r="I77" s="77">
        <v>46000</v>
      </c>
      <c r="J77" s="78">
        <f t="shared" ref="J77" si="42">I77-A77</f>
        <v>28</v>
      </c>
      <c r="K77" s="25">
        <v>5.32</v>
      </c>
      <c r="L77" s="25">
        <v>4.12</v>
      </c>
      <c r="M77" s="25">
        <f t="shared" ref="M77" si="43">K77-L77</f>
        <v>1.2000000000000002</v>
      </c>
      <c r="N77" s="25" t="s">
        <v>593</v>
      </c>
    </row>
    <row r="78" spans="1:14" x14ac:dyDescent="0.25">
      <c r="A78" s="77">
        <v>45972</v>
      </c>
      <c r="B78" s="25" t="s">
        <v>503</v>
      </c>
      <c r="C78" s="77">
        <f t="shared" si="17"/>
        <v>45995</v>
      </c>
      <c r="D78" s="77">
        <f t="shared" si="18"/>
        <v>45979</v>
      </c>
      <c r="E78" s="77">
        <f t="shared" si="19"/>
        <v>45986</v>
      </c>
      <c r="F78" s="77">
        <f t="shared" si="20"/>
        <v>45992</v>
      </c>
      <c r="G78" s="77">
        <f t="shared" si="21"/>
        <v>45980</v>
      </c>
      <c r="H78" s="77">
        <f t="shared" si="22"/>
        <v>45987</v>
      </c>
      <c r="I78" s="77">
        <v>46000</v>
      </c>
      <c r="J78" s="78">
        <f t="shared" ref="J78:J94" si="44">I78-A78</f>
        <v>28</v>
      </c>
      <c r="K78" s="25">
        <v>8.58</v>
      </c>
      <c r="L78" s="25">
        <v>6.29</v>
      </c>
      <c r="M78" s="25">
        <f t="shared" ref="M78:M90" si="45">K78-L78</f>
        <v>2.29</v>
      </c>
      <c r="N78" s="25" t="s">
        <v>593</v>
      </c>
    </row>
    <row r="79" spans="1:14" x14ac:dyDescent="0.25">
      <c r="A79" s="77">
        <v>45973</v>
      </c>
      <c r="B79" s="25" t="s">
        <v>504</v>
      </c>
      <c r="C79" s="77">
        <f t="shared" si="17"/>
        <v>45996</v>
      </c>
      <c r="D79" s="77">
        <f t="shared" si="18"/>
        <v>45980</v>
      </c>
      <c r="E79" s="77">
        <f t="shared" si="19"/>
        <v>45987</v>
      </c>
      <c r="F79" s="77">
        <f t="shared" si="20"/>
        <v>45993</v>
      </c>
      <c r="G79" s="77">
        <f t="shared" si="21"/>
        <v>45981</v>
      </c>
      <c r="H79" s="77">
        <f t="shared" si="22"/>
        <v>45988</v>
      </c>
      <c r="I79" s="77">
        <v>46000</v>
      </c>
      <c r="J79" s="78">
        <f t="shared" si="44"/>
        <v>27</v>
      </c>
      <c r="K79" s="25">
        <v>9.23</v>
      </c>
      <c r="L79" s="25">
        <v>5.23</v>
      </c>
      <c r="M79" s="25">
        <f t="shared" si="45"/>
        <v>4</v>
      </c>
      <c r="N79" s="25" t="s">
        <v>593</v>
      </c>
    </row>
    <row r="80" spans="1:14" x14ac:dyDescent="0.25">
      <c r="A80" s="77">
        <v>45973</v>
      </c>
      <c r="B80" s="25" t="s">
        <v>505</v>
      </c>
      <c r="C80" s="77">
        <f t="shared" ref="C80:C141" si="46">A80+23</f>
        <v>45996</v>
      </c>
      <c r="D80" s="77">
        <f t="shared" ref="D80:D141" si="47">A80+7</f>
        <v>45980</v>
      </c>
      <c r="E80" s="77">
        <f t="shared" ref="E80:E141" si="48">A80+14</f>
        <v>45987</v>
      </c>
      <c r="F80" s="77">
        <f t="shared" ref="F80:F141" si="49">A80+20</f>
        <v>45993</v>
      </c>
      <c r="G80" s="77">
        <f t="shared" ref="G80:G141" si="50">A80+8</f>
        <v>45981</v>
      </c>
      <c r="H80" s="77">
        <f t="shared" ref="H80:H141" si="51">A80+15</f>
        <v>45988</v>
      </c>
      <c r="I80" s="77">
        <v>46001</v>
      </c>
      <c r="J80" s="78">
        <f t="shared" si="44"/>
        <v>28</v>
      </c>
      <c r="K80" s="25">
        <v>12.21</v>
      </c>
      <c r="L80" s="25">
        <v>6.01</v>
      </c>
      <c r="M80" s="25">
        <f t="shared" si="45"/>
        <v>6.2000000000000011</v>
      </c>
      <c r="N80" s="25" t="s">
        <v>592</v>
      </c>
    </row>
    <row r="81" spans="1:14" x14ac:dyDescent="0.25">
      <c r="A81" s="77">
        <v>45973</v>
      </c>
      <c r="B81" s="25" t="s">
        <v>506</v>
      </c>
      <c r="C81" s="77">
        <f t="shared" si="46"/>
        <v>45996</v>
      </c>
      <c r="D81" s="77">
        <f t="shared" si="47"/>
        <v>45980</v>
      </c>
      <c r="E81" s="77">
        <f t="shared" si="48"/>
        <v>45987</v>
      </c>
      <c r="F81" s="77">
        <f t="shared" si="49"/>
        <v>45993</v>
      </c>
      <c r="G81" s="77">
        <f t="shared" si="50"/>
        <v>45981</v>
      </c>
      <c r="H81" s="77">
        <f t="shared" si="51"/>
        <v>45988</v>
      </c>
      <c r="I81" s="77">
        <v>46001</v>
      </c>
      <c r="J81" s="78">
        <f t="shared" si="44"/>
        <v>28</v>
      </c>
      <c r="K81" s="25">
        <v>12.57</v>
      </c>
      <c r="L81" s="25">
        <v>6.24</v>
      </c>
      <c r="M81" s="25">
        <f t="shared" si="45"/>
        <v>6.33</v>
      </c>
      <c r="N81" s="25" t="s">
        <v>592</v>
      </c>
    </row>
    <row r="82" spans="1:14" x14ac:dyDescent="0.25">
      <c r="A82" s="77">
        <v>45973</v>
      </c>
      <c r="B82" s="25" t="s">
        <v>507</v>
      </c>
      <c r="C82" s="77">
        <f t="shared" si="46"/>
        <v>45996</v>
      </c>
      <c r="D82" s="77">
        <f t="shared" si="47"/>
        <v>45980</v>
      </c>
      <c r="E82" s="77">
        <f t="shared" si="48"/>
        <v>45987</v>
      </c>
      <c r="F82" s="77">
        <f t="shared" si="49"/>
        <v>45993</v>
      </c>
      <c r="G82" s="77">
        <f t="shared" si="50"/>
        <v>45981</v>
      </c>
      <c r="H82" s="77">
        <f t="shared" si="51"/>
        <v>45988</v>
      </c>
      <c r="I82" s="77">
        <v>46001</v>
      </c>
      <c r="J82" s="78">
        <f t="shared" si="44"/>
        <v>28</v>
      </c>
      <c r="K82" s="25">
        <v>11.12</v>
      </c>
      <c r="L82" s="25">
        <v>5.17</v>
      </c>
      <c r="M82" s="25">
        <f t="shared" si="45"/>
        <v>5.9499999999999993</v>
      </c>
      <c r="N82" s="25" t="s">
        <v>592</v>
      </c>
    </row>
    <row r="83" spans="1:14" x14ac:dyDescent="0.25">
      <c r="A83" s="77">
        <v>45973</v>
      </c>
      <c r="B83" s="25" t="s">
        <v>508</v>
      </c>
      <c r="C83" s="77">
        <f t="shared" si="46"/>
        <v>45996</v>
      </c>
      <c r="D83" s="77">
        <f t="shared" si="47"/>
        <v>45980</v>
      </c>
      <c r="E83" s="77">
        <f t="shared" si="48"/>
        <v>45987</v>
      </c>
      <c r="F83" s="77">
        <f t="shared" si="49"/>
        <v>45993</v>
      </c>
      <c r="G83" s="77">
        <f t="shared" si="50"/>
        <v>45981</v>
      </c>
      <c r="H83" s="77">
        <f t="shared" si="51"/>
        <v>45988</v>
      </c>
      <c r="I83" s="77">
        <v>46001</v>
      </c>
      <c r="J83" s="78">
        <f t="shared" si="44"/>
        <v>28</v>
      </c>
      <c r="K83" s="25">
        <v>11.63</v>
      </c>
      <c r="L83" s="25">
        <v>10.210000000000001</v>
      </c>
      <c r="M83" s="25">
        <f t="shared" si="45"/>
        <v>1.42</v>
      </c>
      <c r="N83" s="25" t="s">
        <v>593</v>
      </c>
    </row>
    <row r="84" spans="1:14" x14ac:dyDescent="0.25">
      <c r="A84" s="77">
        <v>45973</v>
      </c>
      <c r="B84" s="25" t="s">
        <v>509</v>
      </c>
      <c r="C84" s="77">
        <f t="shared" si="46"/>
        <v>45996</v>
      </c>
      <c r="D84" s="77">
        <f t="shared" si="47"/>
        <v>45980</v>
      </c>
      <c r="E84" s="77">
        <f t="shared" si="48"/>
        <v>45987</v>
      </c>
      <c r="F84" s="77">
        <f t="shared" si="49"/>
        <v>45993</v>
      </c>
      <c r="G84" s="77">
        <f t="shared" si="50"/>
        <v>45981</v>
      </c>
      <c r="H84" s="77">
        <f t="shared" si="51"/>
        <v>45988</v>
      </c>
      <c r="I84" s="77">
        <v>46001</v>
      </c>
      <c r="J84" s="78">
        <f t="shared" si="44"/>
        <v>28</v>
      </c>
      <c r="K84" s="25">
        <v>10.71</v>
      </c>
      <c r="L84" s="25">
        <v>9.89</v>
      </c>
      <c r="M84" s="25">
        <f t="shared" si="45"/>
        <v>0.82000000000000028</v>
      </c>
      <c r="N84" s="25" t="s">
        <v>593</v>
      </c>
    </row>
    <row r="85" spans="1:14" x14ac:dyDescent="0.25">
      <c r="A85" s="77">
        <v>45973</v>
      </c>
      <c r="B85" s="25" t="s">
        <v>510</v>
      </c>
      <c r="C85" s="77">
        <f t="shared" si="46"/>
        <v>45996</v>
      </c>
      <c r="D85" s="77">
        <f t="shared" si="47"/>
        <v>45980</v>
      </c>
      <c r="E85" s="77">
        <f t="shared" si="48"/>
        <v>45987</v>
      </c>
      <c r="F85" s="77">
        <f t="shared" si="49"/>
        <v>45993</v>
      </c>
      <c r="G85" s="77">
        <f t="shared" si="50"/>
        <v>45981</v>
      </c>
      <c r="H85" s="77">
        <f t="shared" si="51"/>
        <v>45988</v>
      </c>
      <c r="I85" s="77">
        <v>46001</v>
      </c>
      <c r="J85" s="78">
        <f t="shared" si="44"/>
        <v>28</v>
      </c>
      <c r="K85" s="25">
        <v>10.66</v>
      </c>
      <c r="L85" s="25">
        <v>9.27</v>
      </c>
      <c r="M85" s="25">
        <f t="shared" si="45"/>
        <v>1.3900000000000006</v>
      </c>
      <c r="N85" s="25" t="s">
        <v>593</v>
      </c>
    </row>
    <row r="86" spans="1:14" x14ac:dyDescent="0.25">
      <c r="A86" s="77">
        <v>45974</v>
      </c>
      <c r="B86" s="25" t="s">
        <v>552</v>
      </c>
      <c r="C86" s="77">
        <f t="shared" si="46"/>
        <v>45997</v>
      </c>
      <c r="D86" s="77">
        <f t="shared" si="47"/>
        <v>45981</v>
      </c>
      <c r="E86" s="77">
        <f t="shared" si="48"/>
        <v>45988</v>
      </c>
      <c r="F86" s="77">
        <f t="shared" si="49"/>
        <v>45994</v>
      </c>
      <c r="G86" s="77">
        <f t="shared" si="50"/>
        <v>45982</v>
      </c>
      <c r="H86" s="77">
        <f t="shared" si="51"/>
        <v>45989</v>
      </c>
      <c r="I86" s="77">
        <v>46002</v>
      </c>
      <c r="J86" s="78">
        <f t="shared" ref="J86:J88" si="52">I86-A86</f>
        <v>28</v>
      </c>
      <c r="K86" s="25">
        <v>13.73</v>
      </c>
      <c r="L86" s="25">
        <v>12.51</v>
      </c>
      <c r="M86" s="25">
        <f t="shared" si="45"/>
        <v>1.2200000000000006</v>
      </c>
      <c r="N86" s="25" t="s">
        <v>593</v>
      </c>
    </row>
    <row r="87" spans="1:14" x14ac:dyDescent="0.25">
      <c r="A87" s="77">
        <v>45974</v>
      </c>
      <c r="B87" s="25" t="s">
        <v>553</v>
      </c>
      <c r="C87" s="77">
        <f t="shared" si="46"/>
        <v>45997</v>
      </c>
      <c r="D87" s="77">
        <f t="shared" si="47"/>
        <v>45981</v>
      </c>
      <c r="E87" s="77">
        <f t="shared" si="48"/>
        <v>45988</v>
      </c>
      <c r="F87" s="77">
        <f t="shared" si="49"/>
        <v>45994</v>
      </c>
      <c r="G87" s="77">
        <f t="shared" si="50"/>
        <v>45982</v>
      </c>
      <c r="H87" s="77">
        <f t="shared" si="51"/>
        <v>45989</v>
      </c>
      <c r="I87" s="77">
        <v>46002</v>
      </c>
      <c r="J87" s="78">
        <f t="shared" si="52"/>
        <v>28</v>
      </c>
      <c r="K87" s="25">
        <v>14.51</v>
      </c>
      <c r="L87" s="25">
        <v>7.39</v>
      </c>
      <c r="M87" s="25">
        <f t="shared" si="45"/>
        <v>7.12</v>
      </c>
      <c r="N87" s="25" t="s">
        <v>592</v>
      </c>
    </row>
    <row r="88" spans="1:14" x14ac:dyDescent="0.25">
      <c r="A88" s="77">
        <v>45974</v>
      </c>
      <c r="B88" s="25" t="s">
        <v>554</v>
      </c>
      <c r="C88" s="77">
        <f t="shared" si="46"/>
        <v>45997</v>
      </c>
      <c r="D88" s="77">
        <f t="shared" si="47"/>
        <v>45981</v>
      </c>
      <c r="E88" s="77">
        <f t="shared" si="48"/>
        <v>45988</v>
      </c>
      <c r="F88" s="77">
        <f t="shared" si="49"/>
        <v>45994</v>
      </c>
      <c r="G88" s="77">
        <f t="shared" si="50"/>
        <v>45982</v>
      </c>
      <c r="H88" s="77">
        <f t="shared" si="51"/>
        <v>45989</v>
      </c>
      <c r="I88" s="77">
        <v>46002</v>
      </c>
      <c r="J88" s="78">
        <f t="shared" si="52"/>
        <v>28</v>
      </c>
      <c r="K88" s="25">
        <v>14.39</v>
      </c>
      <c r="L88" s="25">
        <v>7.21</v>
      </c>
      <c r="M88" s="25">
        <f t="shared" si="45"/>
        <v>7.1800000000000006</v>
      </c>
      <c r="N88" s="25" t="s">
        <v>592</v>
      </c>
    </row>
    <row r="89" spans="1:14" x14ac:dyDescent="0.25">
      <c r="A89" s="77">
        <v>45974</v>
      </c>
      <c r="B89" s="25" t="s">
        <v>555</v>
      </c>
      <c r="C89" s="77">
        <f t="shared" si="46"/>
        <v>45997</v>
      </c>
      <c r="D89" s="77">
        <f t="shared" si="47"/>
        <v>45981</v>
      </c>
      <c r="E89" s="77">
        <f t="shared" si="48"/>
        <v>45988</v>
      </c>
      <c r="F89" s="77">
        <f t="shared" si="49"/>
        <v>45994</v>
      </c>
      <c r="G89" s="77">
        <f t="shared" si="50"/>
        <v>45982</v>
      </c>
      <c r="H89" s="77">
        <f t="shared" si="51"/>
        <v>45989</v>
      </c>
      <c r="I89" s="77">
        <v>46002</v>
      </c>
      <c r="J89" s="78">
        <f t="shared" si="44"/>
        <v>28</v>
      </c>
      <c r="K89" s="25">
        <v>11.19</v>
      </c>
      <c r="L89" s="25">
        <v>5.15</v>
      </c>
      <c r="M89" s="25">
        <f t="shared" si="45"/>
        <v>6.0399999999999991</v>
      </c>
      <c r="N89" s="25" t="s">
        <v>592</v>
      </c>
    </row>
    <row r="90" spans="1:14" x14ac:dyDescent="0.25">
      <c r="A90" s="77">
        <v>45974</v>
      </c>
      <c r="B90" s="25" t="s">
        <v>556</v>
      </c>
      <c r="C90" s="77">
        <f t="shared" si="46"/>
        <v>45997</v>
      </c>
      <c r="D90" s="77">
        <f t="shared" si="47"/>
        <v>45981</v>
      </c>
      <c r="E90" s="77">
        <f t="shared" si="48"/>
        <v>45988</v>
      </c>
      <c r="F90" s="77">
        <f t="shared" si="49"/>
        <v>45994</v>
      </c>
      <c r="G90" s="77">
        <f t="shared" si="50"/>
        <v>45982</v>
      </c>
      <c r="H90" s="77">
        <f t="shared" si="51"/>
        <v>45989</v>
      </c>
      <c r="I90" s="77">
        <v>46002</v>
      </c>
      <c r="J90" s="78">
        <f t="shared" si="44"/>
        <v>28</v>
      </c>
      <c r="K90" s="25">
        <v>12.47</v>
      </c>
      <c r="L90" s="25">
        <v>6.28</v>
      </c>
      <c r="M90" s="25">
        <f t="shared" si="45"/>
        <v>6.19</v>
      </c>
      <c r="N90" s="25" t="s">
        <v>592</v>
      </c>
    </row>
    <row r="91" spans="1:14" x14ac:dyDescent="0.25">
      <c r="A91" s="77">
        <v>45974</v>
      </c>
      <c r="B91" s="25" t="s">
        <v>557</v>
      </c>
      <c r="C91" s="77">
        <f t="shared" si="46"/>
        <v>45997</v>
      </c>
      <c r="D91" s="77">
        <f t="shared" si="47"/>
        <v>45981</v>
      </c>
      <c r="E91" s="77">
        <f t="shared" si="48"/>
        <v>45988</v>
      </c>
      <c r="F91" s="77">
        <f t="shared" si="49"/>
        <v>45994</v>
      </c>
      <c r="G91" s="77">
        <f t="shared" si="50"/>
        <v>45982</v>
      </c>
      <c r="H91" s="77">
        <f t="shared" si="51"/>
        <v>45989</v>
      </c>
      <c r="I91" s="77">
        <v>46001</v>
      </c>
      <c r="J91" s="78">
        <f t="shared" si="44"/>
        <v>27</v>
      </c>
      <c r="K91" s="25">
        <v>15.82</v>
      </c>
      <c r="L91" s="25">
        <v>14.25</v>
      </c>
      <c r="M91" s="25">
        <f t="shared" ref="M91:M96" si="53">K91-L91</f>
        <v>1.5700000000000003</v>
      </c>
      <c r="N91" s="25" t="s">
        <v>593</v>
      </c>
    </row>
    <row r="92" spans="1:14" x14ac:dyDescent="0.25">
      <c r="A92" s="77">
        <v>45974</v>
      </c>
      <c r="B92" s="25" t="s">
        <v>558</v>
      </c>
      <c r="C92" s="77">
        <f t="shared" si="46"/>
        <v>45997</v>
      </c>
      <c r="D92" s="77">
        <f t="shared" si="47"/>
        <v>45981</v>
      </c>
      <c r="E92" s="77">
        <f t="shared" si="48"/>
        <v>45988</v>
      </c>
      <c r="F92" s="77">
        <f t="shared" si="49"/>
        <v>45994</v>
      </c>
      <c r="G92" s="77">
        <f t="shared" si="50"/>
        <v>45982</v>
      </c>
      <c r="H92" s="77">
        <f t="shared" si="51"/>
        <v>45989</v>
      </c>
      <c r="I92" s="77">
        <v>46001</v>
      </c>
      <c r="J92" s="78">
        <f t="shared" si="44"/>
        <v>27</v>
      </c>
      <c r="K92" s="25">
        <v>16.89</v>
      </c>
      <c r="L92" s="25">
        <v>15.28</v>
      </c>
      <c r="M92" s="25">
        <f t="shared" si="53"/>
        <v>1.6100000000000012</v>
      </c>
      <c r="N92" s="25" t="s">
        <v>593</v>
      </c>
    </row>
    <row r="93" spans="1:14" x14ac:dyDescent="0.25">
      <c r="A93" s="77">
        <v>45975</v>
      </c>
      <c r="B93" s="25" t="s">
        <v>545</v>
      </c>
      <c r="C93" s="77">
        <f t="shared" si="46"/>
        <v>45998</v>
      </c>
      <c r="D93" s="77">
        <f t="shared" si="47"/>
        <v>45982</v>
      </c>
      <c r="E93" s="77">
        <f t="shared" si="48"/>
        <v>45989</v>
      </c>
      <c r="F93" s="77">
        <f t="shared" si="49"/>
        <v>45995</v>
      </c>
      <c r="G93" s="77">
        <f t="shared" si="50"/>
        <v>45983</v>
      </c>
      <c r="H93" s="77">
        <f t="shared" si="51"/>
        <v>45990</v>
      </c>
      <c r="I93" s="77">
        <v>46003</v>
      </c>
      <c r="J93" s="78">
        <f t="shared" si="44"/>
        <v>28</v>
      </c>
      <c r="K93" s="25">
        <v>10.98</v>
      </c>
      <c r="L93" s="25">
        <v>4.1100000000000003</v>
      </c>
      <c r="M93" s="25">
        <f t="shared" si="53"/>
        <v>6.87</v>
      </c>
      <c r="N93" s="25" t="s">
        <v>592</v>
      </c>
    </row>
    <row r="94" spans="1:14" x14ac:dyDescent="0.25">
      <c r="A94" s="77">
        <v>45975</v>
      </c>
      <c r="B94" s="25" t="s">
        <v>546</v>
      </c>
      <c r="C94" s="77">
        <f t="shared" si="46"/>
        <v>45998</v>
      </c>
      <c r="D94" s="77">
        <f t="shared" si="47"/>
        <v>45982</v>
      </c>
      <c r="E94" s="77">
        <f t="shared" si="48"/>
        <v>45989</v>
      </c>
      <c r="F94" s="77">
        <f t="shared" si="49"/>
        <v>45995</v>
      </c>
      <c r="G94" s="77">
        <f t="shared" si="50"/>
        <v>45983</v>
      </c>
      <c r="H94" s="77">
        <f t="shared" si="51"/>
        <v>45990</v>
      </c>
      <c r="I94" s="77">
        <v>46003</v>
      </c>
      <c r="J94" s="78">
        <f t="shared" si="44"/>
        <v>28</v>
      </c>
      <c r="K94" s="25">
        <v>11.61</v>
      </c>
      <c r="L94" s="25">
        <v>5.21</v>
      </c>
      <c r="M94" s="25">
        <f t="shared" si="53"/>
        <v>6.3999999999999995</v>
      </c>
      <c r="N94" s="25" t="s">
        <v>592</v>
      </c>
    </row>
    <row r="95" spans="1:14" x14ac:dyDescent="0.25">
      <c r="A95" s="77">
        <v>45975</v>
      </c>
      <c r="B95" s="25" t="s">
        <v>547</v>
      </c>
      <c r="C95" s="77">
        <f t="shared" si="46"/>
        <v>45998</v>
      </c>
      <c r="D95" s="77">
        <f t="shared" si="47"/>
        <v>45982</v>
      </c>
      <c r="E95" s="77">
        <f t="shared" si="48"/>
        <v>45989</v>
      </c>
      <c r="F95" s="77">
        <f t="shared" si="49"/>
        <v>45995</v>
      </c>
      <c r="G95" s="77">
        <f t="shared" si="50"/>
        <v>45983</v>
      </c>
      <c r="H95" s="77">
        <f t="shared" si="51"/>
        <v>45990</v>
      </c>
      <c r="I95" s="77">
        <v>46003</v>
      </c>
      <c r="J95" s="78">
        <f t="shared" ref="J95" si="54">I95-A95</f>
        <v>28</v>
      </c>
      <c r="K95" s="25">
        <v>10.43</v>
      </c>
      <c r="L95" s="25">
        <v>4.6399999999999997</v>
      </c>
      <c r="M95" s="25">
        <f t="shared" si="53"/>
        <v>5.79</v>
      </c>
      <c r="N95" s="25" t="s">
        <v>592</v>
      </c>
    </row>
    <row r="96" spans="1:14" x14ac:dyDescent="0.25">
      <c r="A96" s="77">
        <v>45975</v>
      </c>
      <c r="B96" s="25" t="s">
        <v>548</v>
      </c>
      <c r="C96" s="77">
        <f t="shared" si="46"/>
        <v>45998</v>
      </c>
      <c r="D96" s="77">
        <f t="shared" si="47"/>
        <v>45982</v>
      </c>
      <c r="E96" s="77">
        <f t="shared" si="48"/>
        <v>45989</v>
      </c>
      <c r="F96" s="77">
        <f t="shared" si="49"/>
        <v>45995</v>
      </c>
      <c r="G96" s="77">
        <f t="shared" si="50"/>
        <v>45983</v>
      </c>
      <c r="H96" s="77">
        <f t="shared" si="51"/>
        <v>45990</v>
      </c>
      <c r="I96" s="77">
        <v>46003</v>
      </c>
      <c r="J96" s="78">
        <f t="shared" ref="J96" si="55">I96-A96</f>
        <v>28</v>
      </c>
      <c r="K96" s="25">
        <v>11.82</v>
      </c>
      <c r="L96" s="25">
        <v>5.71</v>
      </c>
      <c r="M96" s="25">
        <f t="shared" si="53"/>
        <v>6.11</v>
      </c>
      <c r="N96" s="25" t="s">
        <v>592</v>
      </c>
    </row>
    <row r="97" spans="1:14" x14ac:dyDescent="0.25">
      <c r="A97" s="77">
        <v>45975</v>
      </c>
      <c r="B97" s="25" t="s">
        <v>549</v>
      </c>
      <c r="C97" s="77">
        <f t="shared" si="46"/>
        <v>45998</v>
      </c>
      <c r="D97" s="77">
        <f t="shared" si="47"/>
        <v>45982</v>
      </c>
      <c r="E97" s="77">
        <f t="shared" si="48"/>
        <v>45989</v>
      </c>
      <c r="F97" s="77">
        <f t="shared" si="49"/>
        <v>45995</v>
      </c>
      <c r="G97" s="77">
        <f t="shared" si="50"/>
        <v>45983</v>
      </c>
      <c r="H97" s="77">
        <f t="shared" si="51"/>
        <v>45990</v>
      </c>
      <c r="I97" s="77">
        <v>46002</v>
      </c>
      <c r="J97" s="78">
        <f t="shared" ref="J97:J98" si="56">I97-A97</f>
        <v>27</v>
      </c>
      <c r="K97" s="25">
        <v>13.66</v>
      </c>
      <c r="L97" s="25">
        <v>12.73</v>
      </c>
      <c r="M97" s="25">
        <f t="shared" ref="M97:M128" si="57">K97-L97</f>
        <v>0.92999999999999972</v>
      </c>
      <c r="N97" s="25" t="s">
        <v>593</v>
      </c>
    </row>
    <row r="98" spans="1:14" x14ac:dyDescent="0.25">
      <c r="A98" s="77">
        <v>45975</v>
      </c>
      <c r="B98" s="25" t="s">
        <v>550</v>
      </c>
      <c r="C98" s="77">
        <f t="shared" si="46"/>
        <v>45998</v>
      </c>
      <c r="D98" s="77">
        <f t="shared" si="47"/>
        <v>45982</v>
      </c>
      <c r="E98" s="77">
        <f t="shared" si="48"/>
        <v>45989</v>
      </c>
      <c r="F98" s="77">
        <f t="shared" si="49"/>
        <v>45995</v>
      </c>
      <c r="G98" s="77">
        <f t="shared" si="50"/>
        <v>45983</v>
      </c>
      <c r="H98" s="77">
        <f t="shared" si="51"/>
        <v>45990</v>
      </c>
      <c r="I98" s="77">
        <v>46002</v>
      </c>
      <c r="J98" s="78">
        <f t="shared" si="56"/>
        <v>27</v>
      </c>
      <c r="K98" s="25">
        <v>15.17</v>
      </c>
      <c r="L98" s="25">
        <v>14.58</v>
      </c>
      <c r="M98" s="25">
        <f t="shared" si="57"/>
        <v>0.58999999999999986</v>
      </c>
      <c r="N98" s="25" t="s">
        <v>593</v>
      </c>
    </row>
    <row r="99" spans="1:14" x14ac:dyDescent="0.25">
      <c r="A99" s="77">
        <v>45975</v>
      </c>
      <c r="B99" s="25" t="s">
        <v>551</v>
      </c>
      <c r="C99" s="77">
        <f t="shared" si="46"/>
        <v>45998</v>
      </c>
      <c r="D99" s="77">
        <f t="shared" si="47"/>
        <v>45982</v>
      </c>
      <c r="E99" s="77">
        <f t="shared" si="48"/>
        <v>45989</v>
      </c>
      <c r="F99" s="77">
        <f t="shared" si="49"/>
        <v>45995</v>
      </c>
      <c r="G99" s="77">
        <f t="shared" si="50"/>
        <v>45983</v>
      </c>
      <c r="H99" s="77">
        <f t="shared" si="51"/>
        <v>45990</v>
      </c>
      <c r="I99" s="77">
        <v>46002</v>
      </c>
      <c r="J99" s="78">
        <f t="shared" ref="J99:J100" si="58">I99-A99</f>
        <v>27</v>
      </c>
      <c r="K99" s="25">
        <v>14.25</v>
      </c>
      <c r="L99" s="25">
        <v>13.1</v>
      </c>
      <c r="M99" s="25">
        <f t="shared" si="57"/>
        <v>1.1500000000000004</v>
      </c>
      <c r="N99" s="25" t="s">
        <v>593</v>
      </c>
    </row>
    <row r="100" spans="1:14" x14ac:dyDescent="0.25">
      <c r="A100" s="77">
        <v>45976</v>
      </c>
      <c r="B100" s="25" t="s">
        <v>537</v>
      </c>
      <c r="C100" s="77">
        <f t="shared" si="46"/>
        <v>45999</v>
      </c>
      <c r="D100" s="77">
        <f t="shared" si="47"/>
        <v>45983</v>
      </c>
      <c r="E100" s="77">
        <f t="shared" si="48"/>
        <v>45990</v>
      </c>
      <c r="F100" s="77">
        <f t="shared" si="49"/>
        <v>45996</v>
      </c>
      <c r="G100" s="77">
        <f t="shared" si="50"/>
        <v>45984</v>
      </c>
      <c r="H100" s="77">
        <f t="shared" si="51"/>
        <v>45991</v>
      </c>
      <c r="I100" s="77">
        <v>46003</v>
      </c>
      <c r="J100" s="78">
        <f t="shared" si="58"/>
        <v>27</v>
      </c>
      <c r="K100" s="25">
        <v>9.76</v>
      </c>
      <c r="L100" s="25">
        <v>8.6199999999999992</v>
      </c>
      <c r="M100" s="25">
        <f t="shared" si="57"/>
        <v>1.1400000000000006</v>
      </c>
      <c r="N100" s="25" t="s">
        <v>593</v>
      </c>
    </row>
    <row r="101" spans="1:14" x14ac:dyDescent="0.25">
      <c r="A101" s="77">
        <v>45976</v>
      </c>
      <c r="B101" s="25" t="s">
        <v>538</v>
      </c>
      <c r="C101" s="77">
        <f t="shared" si="46"/>
        <v>45999</v>
      </c>
      <c r="D101" s="77">
        <f t="shared" si="47"/>
        <v>45983</v>
      </c>
      <c r="E101" s="77">
        <f t="shared" si="48"/>
        <v>45990</v>
      </c>
      <c r="F101" s="77">
        <f t="shared" si="49"/>
        <v>45996</v>
      </c>
      <c r="G101" s="77">
        <f t="shared" si="50"/>
        <v>45984</v>
      </c>
      <c r="H101" s="77">
        <f t="shared" si="51"/>
        <v>45991</v>
      </c>
      <c r="I101" s="77">
        <v>46003</v>
      </c>
      <c r="J101" s="78">
        <f t="shared" ref="J101" si="59">I101-A101</f>
        <v>27</v>
      </c>
      <c r="K101" s="25">
        <v>9.81</v>
      </c>
      <c r="L101" s="25">
        <v>8.76</v>
      </c>
      <c r="M101" s="25">
        <f t="shared" si="57"/>
        <v>1.0500000000000007</v>
      </c>
      <c r="N101" s="25" t="s">
        <v>593</v>
      </c>
    </row>
    <row r="102" spans="1:14" x14ac:dyDescent="0.25">
      <c r="A102" s="77">
        <v>45976</v>
      </c>
      <c r="B102" s="25" t="s">
        <v>539</v>
      </c>
      <c r="C102" s="77">
        <f t="shared" si="46"/>
        <v>45999</v>
      </c>
      <c r="D102" s="77">
        <f t="shared" si="47"/>
        <v>45983</v>
      </c>
      <c r="E102" s="77">
        <f t="shared" si="48"/>
        <v>45990</v>
      </c>
      <c r="F102" s="77">
        <f t="shared" si="49"/>
        <v>45996</v>
      </c>
      <c r="G102" s="77">
        <f t="shared" si="50"/>
        <v>45984</v>
      </c>
      <c r="H102" s="77">
        <f t="shared" si="51"/>
        <v>45991</v>
      </c>
      <c r="I102" s="77">
        <v>46003</v>
      </c>
      <c r="J102" s="78">
        <f t="shared" ref="J102" si="60">I102-A102</f>
        <v>27</v>
      </c>
      <c r="K102" s="25">
        <v>13.25</v>
      </c>
      <c r="L102" s="25">
        <v>12.15</v>
      </c>
      <c r="M102" s="25">
        <f t="shared" si="57"/>
        <v>1.0999999999999996</v>
      </c>
      <c r="N102" s="25" t="s">
        <v>593</v>
      </c>
    </row>
    <row r="103" spans="1:14" x14ac:dyDescent="0.25">
      <c r="A103" s="77">
        <v>45976</v>
      </c>
      <c r="B103" s="25" t="s">
        <v>540</v>
      </c>
      <c r="C103" s="77">
        <f t="shared" si="46"/>
        <v>45999</v>
      </c>
      <c r="D103" s="77">
        <f t="shared" si="47"/>
        <v>45983</v>
      </c>
      <c r="E103" s="77">
        <f t="shared" si="48"/>
        <v>45990</v>
      </c>
      <c r="F103" s="77">
        <f t="shared" si="49"/>
        <v>45996</v>
      </c>
      <c r="G103" s="77">
        <f t="shared" si="50"/>
        <v>45984</v>
      </c>
      <c r="H103" s="77">
        <f t="shared" si="51"/>
        <v>45991</v>
      </c>
      <c r="I103" s="77">
        <v>46003</v>
      </c>
      <c r="J103" s="78">
        <f t="shared" ref="J103" si="61">I103-A103</f>
        <v>27</v>
      </c>
      <c r="K103" s="25">
        <v>13.53</v>
      </c>
      <c r="L103" s="25">
        <v>12.37</v>
      </c>
      <c r="M103" s="25">
        <f t="shared" si="57"/>
        <v>1.1600000000000001</v>
      </c>
      <c r="N103" s="25" t="s">
        <v>593</v>
      </c>
    </row>
    <row r="104" spans="1:14" x14ac:dyDescent="0.25">
      <c r="A104" s="77">
        <v>45976</v>
      </c>
      <c r="B104" s="25" t="s">
        <v>541</v>
      </c>
      <c r="C104" s="77">
        <f t="shared" si="46"/>
        <v>45999</v>
      </c>
      <c r="D104" s="77">
        <f t="shared" si="47"/>
        <v>45983</v>
      </c>
      <c r="E104" s="77">
        <f t="shared" si="48"/>
        <v>45990</v>
      </c>
      <c r="F104" s="77">
        <f t="shared" si="49"/>
        <v>45996</v>
      </c>
      <c r="G104" s="77">
        <f t="shared" si="50"/>
        <v>45984</v>
      </c>
      <c r="H104" s="77">
        <f t="shared" si="51"/>
        <v>45991</v>
      </c>
      <c r="I104" s="77">
        <v>46003</v>
      </c>
      <c r="J104" s="78">
        <f t="shared" ref="J104:J108" si="62">I104-A104</f>
        <v>27</v>
      </c>
      <c r="K104" s="25">
        <v>12.49</v>
      </c>
      <c r="L104" s="25">
        <v>11.21</v>
      </c>
      <c r="M104" s="25">
        <f t="shared" si="57"/>
        <v>1.2799999999999994</v>
      </c>
      <c r="N104" s="25" t="s">
        <v>593</v>
      </c>
    </row>
    <row r="105" spans="1:14" x14ac:dyDescent="0.25">
      <c r="A105" s="77">
        <v>45976</v>
      </c>
      <c r="B105" s="25" t="s">
        <v>542</v>
      </c>
      <c r="C105" s="77">
        <f t="shared" si="46"/>
        <v>45999</v>
      </c>
      <c r="D105" s="77">
        <f t="shared" si="47"/>
        <v>45983</v>
      </c>
      <c r="E105" s="77">
        <f t="shared" si="48"/>
        <v>45990</v>
      </c>
      <c r="F105" s="77">
        <f t="shared" si="49"/>
        <v>45996</v>
      </c>
      <c r="G105" s="77">
        <f t="shared" si="50"/>
        <v>45984</v>
      </c>
      <c r="H105" s="77">
        <f t="shared" si="51"/>
        <v>45991</v>
      </c>
      <c r="I105" s="77">
        <v>46003</v>
      </c>
      <c r="J105" s="78">
        <f t="shared" si="62"/>
        <v>27</v>
      </c>
      <c r="K105" s="25">
        <v>13.17</v>
      </c>
      <c r="L105" s="25">
        <v>12.56</v>
      </c>
      <c r="M105" s="25">
        <f t="shared" si="57"/>
        <v>0.60999999999999943</v>
      </c>
      <c r="N105" s="25" t="s">
        <v>593</v>
      </c>
    </row>
    <row r="106" spans="1:14" x14ac:dyDescent="0.25">
      <c r="A106" s="77">
        <v>45976</v>
      </c>
      <c r="B106" s="25" t="s">
        <v>543</v>
      </c>
      <c r="C106" s="77">
        <f t="shared" si="46"/>
        <v>45999</v>
      </c>
      <c r="D106" s="77">
        <f t="shared" si="47"/>
        <v>45983</v>
      </c>
      <c r="E106" s="77">
        <f t="shared" si="48"/>
        <v>45990</v>
      </c>
      <c r="F106" s="77">
        <f t="shared" si="49"/>
        <v>45996</v>
      </c>
      <c r="G106" s="77">
        <f t="shared" si="50"/>
        <v>45984</v>
      </c>
      <c r="H106" s="77">
        <f t="shared" si="51"/>
        <v>45991</v>
      </c>
      <c r="I106" s="77">
        <v>46003</v>
      </c>
      <c r="J106" s="78">
        <f t="shared" si="62"/>
        <v>27</v>
      </c>
      <c r="K106" s="25">
        <v>10.56</v>
      </c>
      <c r="L106" s="25">
        <v>4.71</v>
      </c>
      <c r="M106" s="25">
        <f t="shared" si="57"/>
        <v>5.8500000000000005</v>
      </c>
      <c r="N106" s="25" t="s">
        <v>593</v>
      </c>
    </row>
    <row r="107" spans="1:14" x14ac:dyDescent="0.25">
      <c r="A107" s="77">
        <v>45976</v>
      </c>
      <c r="B107" s="25" t="s">
        <v>544</v>
      </c>
      <c r="C107" s="77">
        <f t="shared" si="46"/>
        <v>45999</v>
      </c>
      <c r="D107" s="77">
        <f t="shared" si="47"/>
        <v>45983</v>
      </c>
      <c r="E107" s="77">
        <f t="shared" si="48"/>
        <v>45990</v>
      </c>
      <c r="F107" s="77">
        <f t="shared" si="49"/>
        <v>45996</v>
      </c>
      <c r="G107" s="77">
        <f t="shared" si="50"/>
        <v>45984</v>
      </c>
      <c r="H107" s="77">
        <f t="shared" si="51"/>
        <v>45991</v>
      </c>
      <c r="I107" s="77">
        <v>46003</v>
      </c>
      <c r="J107" s="78">
        <f t="shared" si="62"/>
        <v>27</v>
      </c>
      <c r="K107" s="25">
        <v>11.09</v>
      </c>
      <c r="L107" s="25">
        <v>5.04</v>
      </c>
      <c r="M107" s="25">
        <f t="shared" si="57"/>
        <v>6.05</v>
      </c>
      <c r="N107" s="25" t="s">
        <v>593</v>
      </c>
    </row>
    <row r="108" spans="1:14" x14ac:dyDescent="0.25">
      <c r="A108" s="77">
        <v>45977</v>
      </c>
      <c r="B108" s="25" t="s">
        <v>513</v>
      </c>
      <c r="C108" s="77">
        <f t="shared" si="46"/>
        <v>46000</v>
      </c>
      <c r="D108" s="77">
        <f t="shared" si="47"/>
        <v>45984</v>
      </c>
      <c r="E108" s="77">
        <f t="shared" si="48"/>
        <v>45991</v>
      </c>
      <c r="F108" s="77">
        <f t="shared" si="49"/>
        <v>45997</v>
      </c>
      <c r="G108" s="77">
        <f t="shared" si="50"/>
        <v>45985</v>
      </c>
      <c r="H108" s="77">
        <f t="shared" si="51"/>
        <v>45992</v>
      </c>
      <c r="I108" s="77">
        <v>46004</v>
      </c>
      <c r="J108" s="78">
        <f t="shared" si="62"/>
        <v>27</v>
      </c>
      <c r="K108" s="25">
        <v>12.55</v>
      </c>
      <c r="L108" s="25">
        <v>6.07</v>
      </c>
      <c r="M108" s="25">
        <f t="shared" si="57"/>
        <v>6.48</v>
      </c>
      <c r="N108" s="25" t="s">
        <v>592</v>
      </c>
    </row>
    <row r="109" spans="1:14" x14ac:dyDescent="0.25">
      <c r="A109" s="77">
        <v>45977</v>
      </c>
      <c r="B109" s="25" t="s">
        <v>514</v>
      </c>
      <c r="C109" s="77">
        <f t="shared" si="46"/>
        <v>46000</v>
      </c>
      <c r="D109" s="77">
        <f t="shared" si="47"/>
        <v>45984</v>
      </c>
      <c r="E109" s="77">
        <f t="shared" si="48"/>
        <v>45991</v>
      </c>
      <c r="F109" s="77">
        <f t="shared" si="49"/>
        <v>45997</v>
      </c>
      <c r="G109" s="77">
        <f t="shared" si="50"/>
        <v>45985</v>
      </c>
      <c r="H109" s="77">
        <f t="shared" si="51"/>
        <v>45992</v>
      </c>
      <c r="I109" s="77">
        <v>46004</v>
      </c>
      <c r="J109" s="78">
        <f t="shared" ref="J109:J128" si="63">I109-A109</f>
        <v>27</v>
      </c>
      <c r="K109" s="25">
        <v>11.71</v>
      </c>
      <c r="L109" s="25">
        <v>5.58</v>
      </c>
      <c r="M109" s="25">
        <f t="shared" si="57"/>
        <v>6.1300000000000008</v>
      </c>
      <c r="N109" s="25" t="s">
        <v>592</v>
      </c>
    </row>
    <row r="110" spans="1:14" x14ac:dyDescent="0.25">
      <c r="A110" s="77">
        <v>45977</v>
      </c>
      <c r="B110" s="25" t="s">
        <v>515</v>
      </c>
      <c r="C110" s="77">
        <f t="shared" si="46"/>
        <v>46000</v>
      </c>
      <c r="D110" s="77">
        <f t="shared" si="47"/>
        <v>45984</v>
      </c>
      <c r="E110" s="77">
        <f t="shared" si="48"/>
        <v>45991</v>
      </c>
      <c r="F110" s="77">
        <f t="shared" si="49"/>
        <v>45997</v>
      </c>
      <c r="G110" s="77">
        <f t="shared" si="50"/>
        <v>45985</v>
      </c>
      <c r="H110" s="77">
        <f t="shared" si="51"/>
        <v>45992</v>
      </c>
      <c r="I110" s="77">
        <v>46004</v>
      </c>
      <c r="J110" s="78">
        <f t="shared" si="63"/>
        <v>27</v>
      </c>
      <c r="K110" s="25">
        <v>11.62</v>
      </c>
      <c r="L110" s="25">
        <v>5.22</v>
      </c>
      <c r="M110" s="25">
        <f t="shared" si="57"/>
        <v>6.3999999999999995</v>
      </c>
      <c r="N110" s="25" t="s">
        <v>592</v>
      </c>
    </row>
    <row r="111" spans="1:14" x14ac:dyDescent="0.25">
      <c r="A111" s="77">
        <v>45977</v>
      </c>
      <c r="B111" s="25" t="s">
        <v>516</v>
      </c>
      <c r="C111" s="77">
        <f t="shared" si="46"/>
        <v>46000</v>
      </c>
      <c r="D111" s="77">
        <f t="shared" si="47"/>
        <v>45984</v>
      </c>
      <c r="E111" s="77">
        <f t="shared" si="48"/>
        <v>45991</v>
      </c>
      <c r="F111" s="77">
        <f t="shared" si="49"/>
        <v>45997</v>
      </c>
      <c r="G111" s="77">
        <f t="shared" si="50"/>
        <v>45985</v>
      </c>
      <c r="H111" s="77">
        <f t="shared" si="51"/>
        <v>45992</v>
      </c>
      <c r="I111" s="77">
        <v>46004</v>
      </c>
      <c r="J111" s="78">
        <f t="shared" si="63"/>
        <v>27</v>
      </c>
      <c r="K111" s="25">
        <v>12.47</v>
      </c>
      <c r="L111" s="25">
        <v>11.29</v>
      </c>
      <c r="M111" s="25">
        <f t="shared" si="57"/>
        <v>1.1800000000000015</v>
      </c>
      <c r="N111" s="25" t="s">
        <v>593</v>
      </c>
    </row>
    <row r="112" spans="1:14" x14ac:dyDescent="0.25">
      <c r="A112" s="77">
        <v>45977</v>
      </c>
      <c r="B112" s="25" t="s">
        <v>517</v>
      </c>
      <c r="C112" s="77">
        <f t="shared" si="46"/>
        <v>46000</v>
      </c>
      <c r="D112" s="77">
        <f t="shared" si="47"/>
        <v>45984</v>
      </c>
      <c r="E112" s="77">
        <f t="shared" si="48"/>
        <v>45991</v>
      </c>
      <c r="F112" s="77">
        <f t="shared" si="49"/>
        <v>45997</v>
      </c>
      <c r="G112" s="77">
        <f t="shared" si="50"/>
        <v>45985</v>
      </c>
      <c r="H112" s="77">
        <f t="shared" si="51"/>
        <v>45992</v>
      </c>
      <c r="I112" s="77">
        <v>46004</v>
      </c>
      <c r="J112" s="78">
        <f t="shared" si="63"/>
        <v>27</v>
      </c>
      <c r="K112" s="25">
        <v>11.81</v>
      </c>
      <c r="L112" s="25">
        <v>10.76</v>
      </c>
      <c r="M112" s="25">
        <f t="shared" si="57"/>
        <v>1.0500000000000007</v>
      </c>
      <c r="N112" s="25" t="s">
        <v>593</v>
      </c>
    </row>
    <row r="113" spans="1:14" x14ac:dyDescent="0.25">
      <c r="A113" s="77">
        <v>45977</v>
      </c>
      <c r="B113" s="25" t="s">
        <v>518</v>
      </c>
      <c r="C113" s="77">
        <f t="shared" si="46"/>
        <v>46000</v>
      </c>
      <c r="D113" s="77">
        <f t="shared" si="47"/>
        <v>45984</v>
      </c>
      <c r="E113" s="77">
        <f t="shared" si="48"/>
        <v>45991</v>
      </c>
      <c r="F113" s="77">
        <f t="shared" si="49"/>
        <v>45997</v>
      </c>
      <c r="G113" s="77">
        <f t="shared" si="50"/>
        <v>45985</v>
      </c>
      <c r="H113" s="77">
        <f t="shared" si="51"/>
        <v>45992</v>
      </c>
      <c r="I113" s="77">
        <v>46004</v>
      </c>
      <c r="J113" s="78">
        <f t="shared" si="63"/>
        <v>27</v>
      </c>
      <c r="K113" s="25">
        <v>13.49</v>
      </c>
      <c r="L113" s="25">
        <v>12.15</v>
      </c>
      <c r="M113" s="25">
        <f t="shared" si="57"/>
        <v>1.3399999999999999</v>
      </c>
      <c r="N113" s="25" t="s">
        <v>593</v>
      </c>
    </row>
    <row r="114" spans="1:14" x14ac:dyDescent="0.25">
      <c r="A114" s="77">
        <v>45977</v>
      </c>
      <c r="B114" s="25" t="s">
        <v>519</v>
      </c>
      <c r="C114" s="77">
        <f t="shared" si="46"/>
        <v>46000</v>
      </c>
      <c r="D114" s="77">
        <f t="shared" si="47"/>
        <v>45984</v>
      </c>
      <c r="E114" s="77">
        <f t="shared" si="48"/>
        <v>45991</v>
      </c>
      <c r="F114" s="77">
        <f t="shared" si="49"/>
        <v>45997</v>
      </c>
      <c r="G114" s="77">
        <f t="shared" si="50"/>
        <v>45985</v>
      </c>
      <c r="H114" s="77">
        <f t="shared" si="51"/>
        <v>45992</v>
      </c>
      <c r="I114" s="77">
        <v>46004</v>
      </c>
      <c r="J114" s="78">
        <f t="shared" si="63"/>
        <v>27</v>
      </c>
      <c r="K114" s="25">
        <v>12.68</v>
      </c>
      <c r="L114" s="25">
        <v>11.33</v>
      </c>
      <c r="M114" s="25">
        <f t="shared" si="57"/>
        <v>1.3499999999999996</v>
      </c>
      <c r="N114" s="25" t="s">
        <v>593</v>
      </c>
    </row>
    <row r="115" spans="1:14" x14ac:dyDescent="0.25">
      <c r="A115" s="77">
        <v>45978</v>
      </c>
      <c r="B115" s="25" t="s">
        <v>520</v>
      </c>
      <c r="C115" s="77">
        <f t="shared" si="46"/>
        <v>46001</v>
      </c>
      <c r="D115" s="77">
        <f t="shared" si="47"/>
        <v>45985</v>
      </c>
      <c r="E115" s="77">
        <f t="shared" si="48"/>
        <v>45992</v>
      </c>
      <c r="F115" s="77">
        <f t="shared" si="49"/>
        <v>45998</v>
      </c>
      <c r="G115" s="77">
        <f t="shared" si="50"/>
        <v>45986</v>
      </c>
      <c r="H115" s="77">
        <f t="shared" si="51"/>
        <v>45993</v>
      </c>
      <c r="I115" s="77">
        <v>46005</v>
      </c>
      <c r="J115" s="78">
        <f t="shared" si="63"/>
        <v>27</v>
      </c>
      <c r="K115" s="25">
        <v>12.74</v>
      </c>
      <c r="L115" s="25">
        <v>6.28</v>
      </c>
      <c r="M115" s="25">
        <f t="shared" si="57"/>
        <v>6.46</v>
      </c>
      <c r="N115" s="25" t="s">
        <v>592</v>
      </c>
    </row>
    <row r="116" spans="1:14" x14ac:dyDescent="0.25">
      <c r="A116" s="77">
        <v>45978</v>
      </c>
      <c r="B116" s="25" t="s">
        <v>521</v>
      </c>
      <c r="C116" s="77">
        <f t="shared" si="46"/>
        <v>46001</v>
      </c>
      <c r="D116" s="77">
        <f t="shared" si="47"/>
        <v>45985</v>
      </c>
      <c r="E116" s="77">
        <f t="shared" si="48"/>
        <v>45992</v>
      </c>
      <c r="F116" s="77">
        <f t="shared" si="49"/>
        <v>45998</v>
      </c>
      <c r="G116" s="77">
        <f t="shared" si="50"/>
        <v>45986</v>
      </c>
      <c r="H116" s="77">
        <f t="shared" si="51"/>
        <v>45993</v>
      </c>
      <c r="I116" s="77">
        <v>46005</v>
      </c>
      <c r="J116" s="78">
        <f t="shared" si="63"/>
        <v>27</v>
      </c>
      <c r="K116" s="25">
        <v>14.52</v>
      </c>
      <c r="L116" s="25">
        <v>7.31</v>
      </c>
      <c r="M116" s="25">
        <f t="shared" si="57"/>
        <v>7.21</v>
      </c>
      <c r="N116" s="25" t="s">
        <v>592</v>
      </c>
    </row>
    <row r="117" spans="1:14" x14ac:dyDescent="0.25">
      <c r="A117" s="77">
        <v>45978</v>
      </c>
      <c r="B117" s="25" t="s">
        <v>522</v>
      </c>
      <c r="C117" s="77">
        <f t="shared" si="46"/>
        <v>46001</v>
      </c>
      <c r="D117" s="77">
        <f t="shared" si="47"/>
        <v>45985</v>
      </c>
      <c r="E117" s="77">
        <f t="shared" si="48"/>
        <v>45992</v>
      </c>
      <c r="F117" s="77">
        <f t="shared" si="49"/>
        <v>45998</v>
      </c>
      <c r="G117" s="77">
        <f t="shared" si="50"/>
        <v>45986</v>
      </c>
      <c r="H117" s="77">
        <f t="shared" si="51"/>
        <v>45993</v>
      </c>
      <c r="I117" s="77">
        <v>46005</v>
      </c>
      <c r="J117" s="78">
        <f t="shared" si="63"/>
        <v>27</v>
      </c>
      <c r="K117" s="25">
        <v>14.81</v>
      </c>
      <c r="L117" s="25">
        <v>7.52</v>
      </c>
      <c r="M117" s="25">
        <f t="shared" si="57"/>
        <v>7.2900000000000009</v>
      </c>
      <c r="N117" s="25" t="s">
        <v>592</v>
      </c>
    </row>
    <row r="118" spans="1:14" x14ac:dyDescent="0.25">
      <c r="A118" s="77">
        <v>45978</v>
      </c>
      <c r="B118" s="25" t="s">
        <v>523</v>
      </c>
      <c r="C118" s="77">
        <f t="shared" si="46"/>
        <v>46001</v>
      </c>
      <c r="D118" s="77">
        <f t="shared" si="47"/>
        <v>45985</v>
      </c>
      <c r="E118" s="77">
        <f t="shared" si="48"/>
        <v>45992</v>
      </c>
      <c r="F118" s="77">
        <f t="shared" si="49"/>
        <v>45998</v>
      </c>
      <c r="G118" s="77">
        <f t="shared" si="50"/>
        <v>45986</v>
      </c>
      <c r="H118" s="77">
        <f t="shared" si="51"/>
        <v>45993</v>
      </c>
      <c r="I118" s="77">
        <v>46005</v>
      </c>
      <c r="J118" s="78">
        <f t="shared" si="63"/>
        <v>27</v>
      </c>
      <c r="K118" s="25">
        <v>13.1</v>
      </c>
      <c r="L118" s="25">
        <v>6.98</v>
      </c>
      <c r="M118" s="25">
        <f t="shared" si="57"/>
        <v>6.1199999999999992</v>
      </c>
      <c r="N118" s="25" t="s">
        <v>592</v>
      </c>
    </row>
    <row r="119" spans="1:14" x14ac:dyDescent="0.25">
      <c r="A119" s="77">
        <v>45978</v>
      </c>
      <c r="B119" s="25" t="s">
        <v>524</v>
      </c>
      <c r="C119" s="77">
        <f t="shared" si="46"/>
        <v>46001</v>
      </c>
      <c r="D119" s="77">
        <f t="shared" si="47"/>
        <v>45985</v>
      </c>
      <c r="E119" s="77">
        <f t="shared" si="48"/>
        <v>45992</v>
      </c>
      <c r="F119" s="77">
        <f t="shared" si="49"/>
        <v>45998</v>
      </c>
      <c r="G119" s="77">
        <f t="shared" si="50"/>
        <v>45986</v>
      </c>
      <c r="H119" s="77">
        <f t="shared" si="51"/>
        <v>45993</v>
      </c>
      <c r="I119" s="77">
        <v>46005</v>
      </c>
      <c r="J119" s="78">
        <f t="shared" si="63"/>
        <v>27</v>
      </c>
      <c r="K119" s="25">
        <v>11.66</v>
      </c>
      <c r="L119" s="25">
        <v>10.210000000000001</v>
      </c>
      <c r="M119" s="25">
        <f t="shared" si="57"/>
        <v>1.4499999999999993</v>
      </c>
      <c r="N119" s="25" t="s">
        <v>593</v>
      </c>
    </row>
    <row r="120" spans="1:14" x14ac:dyDescent="0.25">
      <c r="A120" s="77">
        <v>45978</v>
      </c>
      <c r="B120" s="25" t="s">
        <v>525</v>
      </c>
      <c r="C120" s="77">
        <f t="shared" si="46"/>
        <v>46001</v>
      </c>
      <c r="D120" s="77">
        <f t="shared" si="47"/>
        <v>45985</v>
      </c>
      <c r="E120" s="77">
        <f t="shared" si="48"/>
        <v>45992</v>
      </c>
      <c r="F120" s="77">
        <f t="shared" si="49"/>
        <v>45998</v>
      </c>
      <c r="G120" s="77">
        <f t="shared" si="50"/>
        <v>45986</v>
      </c>
      <c r="H120" s="77">
        <f t="shared" si="51"/>
        <v>45993</v>
      </c>
      <c r="I120" s="77">
        <v>46005</v>
      </c>
      <c r="J120" s="78">
        <f t="shared" si="63"/>
        <v>27</v>
      </c>
      <c r="K120" s="25">
        <v>13.79</v>
      </c>
      <c r="L120" s="25">
        <v>12.17</v>
      </c>
      <c r="M120" s="25">
        <f t="shared" si="57"/>
        <v>1.6199999999999992</v>
      </c>
      <c r="N120" s="25" t="s">
        <v>593</v>
      </c>
    </row>
    <row r="121" spans="1:14" x14ac:dyDescent="0.25">
      <c r="A121" s="77">
        <v>45978</v>
      </c>
      <c r="B121" s="25" t="s">
        <v>526</v>
      </c>
      <c r="C121" s="77">
        <f t="shared" si="46"/>
        <v>46001</v>
      </c>
      <c r="D121" s="77">
        <f t="shared" si="47"/>
        <v>45985</v>
      </c>
      <c r="E121" s="77">
        <f t="shared" si="48"/>
        <v>45992</v>
      </c>
      <c r="F121" s="77">
        <f t="shared" si="49"/>
        <v>45998</v>
      </c>
      <c r="G121" s="77">
        <f t="shared" si="50"/>
        <v>45986</v>
      </c>
      <c r="H121" s="77">
        <f t="shared" si="51"/>
        <v>45993</v>
      </c>
      <c r="I121" s="77">
        <v>46005</v>
      </c>
      <c r="J121" s="78">
        <f t="shared" si="63"/>
        <v>27</v>
      </c>
      <c r="K121" s="25">
        <v>11.82</v>
      </c>
      <c r="L121" s="25">
        <v>10.58</v>
      </c>
      <c r="M121" s="25">
        <f t="shared" si="57"/>
        <v>1.2400000000000002</v>
      </c>
      <c r="N121" s="25" t="s">
        <v>593</v>
      </c>
    </row>
    <row r="122" spans="1:14" x14ac:dyDescent="0.25">
      <c r="A122" s="77">
        <v>45979</v>
      </c>
      <c r="B122" s="25" t="s">
        <v>527</v>
      </c>
      <c r="C122" s="77">
        <f t="shared" si="46"/>
        <v>46002</v>
      </c>
      <c r="D122" s="77">
        <f t="shared" si="47"/>
        <v>45986</v>
      </c>
      <c r="E122" s="77">
        <f t="shared" si="48"/>
        <v>45993</v>
      </c>
      <c r="F122" s="77">
        <f t="shared" si="49"/>
        <v>45999</v>
      </c>
      <c r="G122" s="77">
        <f t="shared" si="50"/>
        <v>45987</v>
      </c>
      <c r="H122" s="77">
        <f t="shared" si="51"/>
        <v>45994</v>
      </c>
      <c r="I122" s="77">
        <v>46005</v>
      </c>
      <c r="J122" s="78">
        <f t="shared" si="63"/>
        <v>26</v>
      </c>
      <c r="K122" s="25">
        <v>12.75</v>
      </c>
      <c r="L122" s="25">
        <v>11.07</v>
      </c>
      <c r="M122" s="25">
        <f t="shared" si="57"/>
        <v>1.6799999999999997</v>
      </c>
      <c r="N122" s="25" t="s">
        <v>593</v>
      </c>
    </row>
    <row r="123" spans="1:14" x14ac:dyDescent="0.25">
      <c r="A123" s="77">
        <v>45979</v>
      </c>
      <c r="B123" s="25" t="s">
        <v>528</v>
      </c>
      <c r="C123" s="77">
        <f t="shared" si="46"/>
        <v>46002</v>
      </c>
      <c r="D123" s="77">
        <f t="shared" si="47"/>
        <v>45986</v>
      </c>
      <c r="E123" s="77">
        <f t="shared" si="48"/>
        <v>45993</v>
      </c>
      <c r="F123" s="77">
        <f t="shared" si="49"/>
        <v>45999</v>
      </c>
      <c r="G123" s="77">
        <f t="shared" si="50"/>
        <v>45987</v>
      </c>
      <c r="H123" s="77">
        <f t="shared" si="51"/>
        <v>45994</v>
      </c>
      <c r="I123" s="77">
        <v>46005</v>
      </c>
      <c r="J123" s="78">
        <f t="shared" si="63"/>
        <v>26</v>
      </c>
      <c r="K123" s="25">
        <v>12.88</v>
      </c>
      <c r="L123" s="25">
        <v>11.16</v>
      </c>
      <c r="M123" s="25">
        <f t="shared" si="57"/>
        <v>1.7200000000000006</v>
      </c>
      <c r="N123" s="25" t="s">
        <v>593</v>
      </c>
    </row>
    <row r="124" spans="1:14" x14ac:dyDescent="0.25">
      <c r="A124" s="77">
        <v>45979</v>
      </c>
      <c r="B124" s="25" t="s">
        <v>529</v>
      </c>
      <c r="C124" s="77">
        <f t="shared" si="46"/>
        <v>46002</v>
      </c>
      <c r="D124" s="77">
        <f t="shared" si="47"/>
        <v>45986</v>
      </c>
      <c r="E124" s="77">
        <f t="shared" si="48"/>
        <v>45993</v>
      </c>
      <c r="F124" s="77">
        <f t="shared" si="49"/>
        <v>45999</v>
      </c>
      <c r="G124" s="77">
        <f t="shared" si="50"/>
        <v>45987</v>
      </c>
      <c r="H124" s="77">
        <f t="shared" si="51"/>
        <v>45994</v>
      </c>
      <c r="I124" s="77">
        <v>46005</v>
      </c>
      <c r="J124" s="78">
        <f t="shared" si="63"/>
        <v>26</v>
      </c>
      <c r="K124" s="25">
        <v>13.54</v>
      </c>
      <c r="L124" s="25">
        <v>12.42</v>
      </c>
      <c r="M124" s="25">
        <f t="shared" si="57"/>
        <v>1.1199999999999992</v>
      </c>
      <c r="N124" s="25" t="s">
        <v>593</v>
      </c>
    </row>
    <row r="125" spans="1:14" x14ac:dyDescent="0.25">
      <c r="A125" s="77">
        <v>45979</v>
      </c>
      <c r="B125" s="25" t="s">
        <v>530</v>
      </c>
      <c r="C125" s="77">
        <f t="shared" si="46"/>
        <v>46002</v>
      </c>
      <c r="D125" s="77">
        <f t="shared" si="47"/>
        <v>45986</v>
      </c>
      <c r="E125" s="77">
        <f t="shared" si="48"/>
        <v>45993</v>
      </c>
      <c r="F125" s="77">
        <f t="shared" si="49"/>
        <v>45999</v>
      </c>
      <c r="G125" s="77">
        <f t="shared" si="50"/>
        <v>45987</v>
      </c>
      <c r="H125" s="77">
        <f t="shared" si="51"/>
        <v>45994</v>
      </c>
      <c r="I125" s="77">
        <v>46006</v>
      </c>
      <c r="J125" s="78">
        <f t="shared" si="63"/>
        <v>27</v>
      </c>
      <c r="K125" s="25">
        <v>13.52</v>
      </c>
      <c r="L125" s="25">
        <v>5.91</v>
      </c>
      <c r="M125" s="25">
        <f t="shared" si="57"/>
        <v>7.6099999999999994</v>
      </c>
      <c r="N125" s="25" t="s">
        <v>592</v>
      </c>
    </row>
    <row r="126" spans="1:14" x14ac:dyDescent="0.25">
      <c r="A126" s="77">
        <v>45979</v>
      </c>
      <c r="B126" s="25" t="s">
        <v>531</v>
      </c>
      <c r="C126" s="77">
        <f t="shared" si="46"/>
        <v>46002</v>
      </c>
      <c r="D126" s="77">
        <f t="shared" si="47"/>
        <v>45986</v>
      </c>
      <c r="E126" s="77">
        <f t="shared" si="48"/>
        <v>45993</v>
      </c>
      <c r="F126" s="77">
        <f t="shared" si="49"/>
        <v>45999</v>
      </c>
      <c r="G126" s="77">
        <f t="shared" si="50"/>
        <v>45987</v>
      </c>
      <c r="H126" s="77">
        <f t="shared" si="51"/>
        <v>45994</v>
      </c>
      <c r="I126" s="77">
        <v>46006</v>
      </c>
      <c r="J126" s="78">
        <f t="shared" si="63"/>
        <v>27</v>
      </c>
      <c r="K126" s="25">
        <v>12.96</v>
      </c>
      <c r="L126" s="25">
        <v>5.86</v>
      </c>
      <c r="M126" s="25">
        <f t="shared" si="57"/>
        <v>7.1000000000000005</v>
      </c>
      <c r="N126" s="25" t="s">
        <v>592</v>
      </c>
    </row>
    <row r="127" spans="1:14" x14ac:dyDescent="0.25">
      <c r="A127" s="77">
        <v>45979</v>
      </c>
      <c r="B127" s="25" t="s">
        <v>532</v>
      </c>
      <c r="C127" s="77">
        <f t="shared" si="46"/>
        <v>46002</v>
      </c>
      <c r="D127" s="77">
        <f t="shared" si="47"/>
        <v>45986</v>
      </c>
      <c r="E127" s="77">
        <f t="shared" si="48"/>
        <v>45993</v>
      </c>
      <c r="F127" s="77">
        <f t="shared" si="49"/>
        <v>45999</v>
      </c>
      <c r="G127" s="77">
        <f t="shared" si="50"/>
        <v>45987</v>
      </c>
      <c r="H127" s="77">
        <f t="shared" si="51"/>
        <v>45994</v>
      </c>
      <c r="I127" s="77">
        <v>46006</v>
      </c>
      <c r="J127" s="78">
        <f t="shared" si="63"/>
        <v>27</v>
      </c>
      <c r="K127" s="25">
        <v>12.25</v>
      </c>
      <c r="L127" s="25">
        <v>5.1100000000000003</v>
      </c>
      <c r="M127" s="25">
        <f t="shared" si="57"/>
        <v>7.14</v>
      </c>
      <c r="N127" s="25" t="s">
        <v>592</v>
      </c>
    </row>
    <row r="128" spans="1:14" x14ac:dyDescent="0.25">
      <c r="A128" s="77">
        <v>45979</v>
      </c>
      <c r="B128" s="25" t="s">
        <v>533</v>
      </c>
      <c r="C128" s="77">
        <f t="shared" si="46"/>
        <v>46002</v>
      </c>
      <c r="D128" s="77">
        <f t="shared" si="47"/>
        <v>45986</v>
      </c>
      <c r="E128" s="77">
        <f t="shared" si="48"/>
        <v>45993</v>
      </c>
      <c r="F128" s="77">
        <f t="shared" si="49"/>
        <v>45999</v>
      </c>
      <c r="G128" s="77">
        <f t="shared" si="50"/>
        <v>45987</v>
      </c>
      <c r="H128" s="77">
        <f t="shared" si="51"/>
        <v>45994</v>
      </c>
      <c r="I128" s="77">
        <v>46006</v>
      </c>
      <c r="J128" s="78">
        <f t="shared" si="63"/>
        <v>27</v>
      </c>
      <c r="K128" s="25">
        <v>11.81</v>
      </c>
      <c r="L128" s="25">
        <v>4.75</v>
      </c>
      <c r="M128" s="25">
        <f t="shared" si="57"/>
        <v>7.0600000000000005</v>
      </c>
      <c r="N128" s="25" t="s">
        <v>592</v>
      </c>
    </row>
    <row r="129" spans="1:14" x14ac:dyDescent="0.25">
      <c r="A129" s="77">
        <v>45980</v>
      </c>
      <c r="B129" s="25" t="s">
        <v>435</v>
      </c>
      <c r="C129" s="77">
        <f t="shared" si="46"/>
        <v>46003</v>
      </c>
      <c r="D129" s="77">
        <f t="shared" si="47"/>
        <v>45987</v>
      </c>
      <c r="E129" s="77">
        <f t="shared" si="48"/>
        <v>45994</v>
      </c>
      <c r="F129" s="77">
        <f t="shared" si="49"/>
        <v>46000</v>
      </c>
      <c r="G129" s="77">
        <f t="shared" si="50"/>
        <v>45988</v>
      </c>
      <c r="H129" s="77">
        <f t="shared" si="51"/>
        <v>45995</v>
      </c>
      <c r="I129" s="77"/>
      <c r="J129" s="78"/>
      <c r="K129" s="25"/>
      <c r="L129" s="25"/>
      <c r="M129" s="25"/>
      <c r="N129" s="25"/>
    </row>
    <row r="130" spans="1:14" x14ac:dyDescent="0.25">
      <c r="A130" s="77">
        <v>45980</v>
      </c>
      <c r="B130" s="25" t="s">
        <v>436</v>
      </c>
      <c r="C130" s="77">
        <f t="shared" si="46"/>
        <v>46003</v>
      </c>
      <c r="D130" s="77">
        <f t="shared" si="47"/>
        <v>45987</v>
      </c>
      <c r="E130" s="77">
        <f t="shared" si="48"/>
        <v>45994</v>
      </c>
      <c r="F130" s="77">
        <f t="shared" si="49"/>
        <v>46000</v>
      </c>
      <c r="G130" s="77">
        <f t="shared" si="50"/>
        <v>45988</v>
      </c>
      <c r="H130" s="77">
        <f t="shared" si="51"/>
        <v>45995</v>
      </c>
      <c r="I130" s="77"/>
      <c r="J130" s="78"/>
      <c r="K130" s="25"/>
      <c r="L130" s="25"/>
      <c r="M130" s="25"/>
      <c r="N130" s="25"/>
    </row>
    <row r="131" spans="1:14" x14ac:dyDescent="0.25">
      <c r="A131" s="77">
        <v>45980</v>
      </c>
      <c r="B131" s="25" t="s">
        <v>437</v>
      </c>
      <c r="C131" s="77">
        <f t="shared" si="46"/>
        <v>46003</v>
      </c>
      <c r="D131" s="77">
        <f t="shared" si="47"/>
        <v>45987</v>
      </c>
      <c r="E131" s="77">
        <f t="shared" si="48"/>
        <v>45994</v>
      </c>
      <c r="F131" s="77">
        <f t="shared" si="49"/>
        <v>46000</v>
      </c>
      <c r="G131" s="77">
        <f t="shared" si="50"/>
        <v>45988</v>
      </c>
      <c r="H131" s="77">
        <f t="shared" si="51"/>
        <v>45995</v>
      </c>
      <c r="I131" s="77"/>
      <c r="J131" s="78"/>
      <c r="K131" s="25"/>
      <c r="L131" s="25"/>
      <c r="M131" s="25"/>
      <c r="N131" s="25"/>
    </row>
    <row r="132" spans="1:14" x14ac:dyDescent="0.25">
      <c r="A132" s="77">
        <v>45980</v>
      </c>
      <c r="B132" s="25" t="s">
        <v>438</v>
      </c>
      <c r="C132" s="77">
        <f t="shared" si="46"/>
        <v>46003</v>
      </c>
      <c r="D132" s="77">
        <f t="shared" si="47"/>
        <v>45987</v>
      </c>
      <c r="E132" s="77">
        <f t="shared" si="48"/>
        <v>45994</v>
      </c>
      <c r="F132" s="77">
        <f t="shared" si="49"/>
        <v>46000</v>
      </c>
      <c r="G132" s="77">
        <f t="shared" si="50"/>
        <v>45988</v>
      </c>
      <c r="H132" s="77">
        <f t="shared" si="51"/>
        <v>45995</v>
      </c>
      <c r="I132" s="77"/>
      <c r="J132" s="78"/>
      <c r="K132" s="25"/>
      <c r="L132" s="25"/>
      <c r="M132" s="25"/>
      <c r="N132" s="25"/>
    </row>
    <row r="133" spans="1:14" x14ac:dyDescent="0.25">
      <c r="A133" s="77">
        <v>45980</v>
      </c>
      <c r="B133" s="25" t="s">
        <v>439</v>
      </c>
      <c r="C133" s="77">
        <f t="shared" si="46"/>
        <v>46003</v>
      </c>
      <c r="D133" s="77">
        <f t="shared" si="47"/>
        <v>45987</v>
      </c>
      <c r="E133" s="77">
        <f t="shared" si="48"/>
        <v>45994</v>
      </c>
      <c r="F133" s="77">
        <f t="shared" si="49"/>
        <v>46000</v>
      </c>
      <c r="G133" s="77">
        <f t="shared" si="50"/>
        <v>45988</v>
      </c>
      <c r="H133" s="77">
        <f t="shared" si="51"/>
        <v>45995</v>
      </c>
      <c r="I133" s="77"/>
      <c r="J133" s="78"/>
      <c r="K133" s="25"/>
      <c r="L133" s="25"/>
      <c r="M133" s="25"/>
      <c r="N133" s="25"/>
    </row>
    <row r="134" spans="1:14" x14ac:dyDescent="0.25">
      <c r="A134" s="77">
        <v>45980</v>
      </c>
      <c r="B134" s="25" t="s">
        <v>440</v>
      </c>
      <c r="C134" s="77">
        <f t="shared" si="46"/>
        <v>46003</v>
      </c>
      <c r="D134" s="77">
        <f t="shared" si="47"/>
        <v>45987</v>
      </c>
      <c r="E134" s="77">
        <f t="shared" si="48"/>
        <v>45994</v>
      </c>
      <c r="F134" s="77">
        <f t="shared" si="49"/>
        <v>46000</v>
      </c>
      <c r="G134" s="77">
        <f t="shared" si="50"/>
        <v>45988</v>
      </c>
      <c r="H134" s="77">
        <f t="shared" si="51"/>
        <v>45995</v>
      </c>
      <c r="I134" s="77"/>
      <c r="J134" s="78"/>
      <c r="K134" s="25"/>
      <c r="L134" s="25"/>
      <c r="M134" s="25"/>
      <c r="N134" s="25"/>
    </row>
    <row r="135" spans="1:14" x14ac:dyDescent="0.25">
      <c r="A135" s="77">
        <v>45980</v>
      </c>
      <c r="B135" s="25" t="s">
        <v>441</v>
      </c>
      <c r="C135" s="77">
        <f t="shared" si="46"/>
        <v>46003</v>
      </c>
      <c r="D135" s="77">
        <f t="shared" si="47"/>
        <v>45987</v>
      </c>
      <c r="E135" s="77">
        <f t="shared" si="48"/>
        <v>45994</v>
      </c>
      <c r="F135" s="77">
        <f t="shared" si="49"/>
        <v>46000</v>
      </c>
      <c r="G135" s="77">
        <f t="shared" si="50"/>
        <v>45988</v>
      </c>
      <c r="H135" s="77">
        <f t="shared" si="51"/>
        <v>45995</v>
      </c>
      <c r="I135" s="77"/>
      <c r="J135" s="78"/>
      <c r="K135" s="25"/>
      <c r="L135" s="25"/>
      <c r="M135" s="25"/>
      <c r="N135" s="25"/>
    </row>
    <row r="136" spans="1:14" x14ac:dyDescent="0.25">
      <c r="A136" s="77">
        <v>45981</v>
      </c>
      <c r="B136" s="25" t="s">
        <v>359</v>
      </c>
      <c r="C136" s="77">
        <f t="shared" si="46"/>
        <v>46004</v>
      </c>
      <c r="D136" s="77">
        <f t="shared" si="47"/>
        <v>45988</v>
      </c>
      <c r="E136" s="77">
        <f t="shared" si="48"/>
        <v>45995</v>
      </c>
      <c r="F136" s="77">
        <f t="shared" si="49"/>
        <v>46001</v>
      </c>
      <c r="G136" s="77">
        <f t="shared" si="50"/>
        <v>45989</v>
      </c>
      <c r="H136" s="77">
        <f t="shared" si="51"/>
        <v>45996</v>
      </c>
      <c r="I136" s="77">
        <v>46006</v>
      </c>
      <c r="J136" s="78">
        <f t="shared" ref="J136:J140" si="64">I136-A136</f>
        <v>25</v>
      </c>
      <c r="K136" s="25">
        <v>16.739999999999998</v>
      </c>
      <c r="L136" s="25">
        <v>12.16</v>
      </c>
      <c r="M136" s="25">
        <f t="shared" ref="M136:M140" si="65">K136-L136</f>
        <v>4.5799999999999983</v>
      </c>
      <c r="N136" s="25" t="s">
        <v>593</v>
      </c>
    </row>
    <row r="137" spans="1:14" x14ac:dyDescent="0.25">
      <c r="A137" s="77">
        <v>45981</v>
      </c>
      <c r="B137" s="25" t="s">
        <v>360</v>
      </c>
      <c r="C137" s="77">
        <f t="shared" si="46"/>
        <v>46004</v>
      </c>
      <c r="D137" s="77">
        <f t="shared" si="47"/>
        <v>45988</v>
      </c>
      <c r="E137" s="77">
        <f t="shared" si="48"/>
        <v>45995</v>
      </c>
      <c r="F137" s="77">
        <f t="shared" si="49"/>
        <v>46001</v>
      </c>
      <c r="G137" s="77">
        <f t="shared" si="50"/>
        <v>45989</v>
      </c>
      <c r="H137" s="77">
        <f t="shared" si="51"/>
        <v>45996</v>
      </c>
      <c r="I137" s="77">
        <v>46006</v>
      </c>
      <c r="J137" s="78">
        <f t="shared" si="64"/>
        <v>25</v>
      </c>
      <c r="K137" s="25">
        <v>18.91</v>
      </c>
      <c r="L137" s="25">
        <v>16.38</v>
      </c>
      <c r="M137" s="25">
        <f t="shared" si="65"/>
        <v>2.5300000000000011</v>
      </c>
      <c r="N137" s="25" t="s">
        <v>593</v>
      </c>
    </row>
    <row r="138" spans="1:14" x14ac:dyDescent="0.25">
      <c r="A138" s="77">
        <v>45981</v>
      </c>
      <c r="B138" s="25" t="s">
        <v>361</v>
      </c>
      <c r="C138" s="77">
        <f t="shared" si="46"/>
        <v>46004</v>
      </c>
      <c r="D138" s="77">
        <f t="shared" si="47"/>
        <v>45988</v>
      </c>
      <c r="E138" s="77">
        <f t="shared" si="48"/>
        <v>45995</v>
      </c>
      <c r="F138" s="77">
        <f t="shared" si="49"/>
        <v>46001</v>
      </c>
      <c r="G138" s="77">
        <f t="shared" si="50"/>
        <v>45989</v>
      </c>
      <c r="H138" s="77">
        <f t="shared" si="51"/>
        <v>45996</v>
      </c>
      <c r="I138" s="77">
        <v>46006</v>
      </c>
      <c r="J138" s="78">
        <f t="shared" si="64"/>
        <v>25</v>
      </c>
      <c r="K138" s="25">
        <v>18.27</v>
      </c>
      <c r="L138" s="25">
        <v>15.14</v>
      </c>
      <c r="M138" s="25">
        <f t="shared" si="65"/>
        <v>3.129999999999999</v>
      </c>
      <c r="N138" s="25" t="s">
        <v>593</v>
      </c>
    </row>
    <row r="139" spans="1:14" x14ac:dyDescent="0.25">
      <c r="A139" s="77">
        <v>45981</v>
      </c>
      <c r="B139" s="25" t="s">
        <v>362</v>
      </c>
      <c r="C139" s="77">
        <f t="shared" si="46"/>
        <v>46004</v>
      </c>
      <c r="D139" s="77">
        <f t="shared" si="47"/>
        <v>45988</v>
      </c>
      <c r="E139" s="77">
        <f t="shared" si="48"/>
        <v>45995</v>
      </c>
      <c r="F139" s="77">
        <f t="shared" si="49"/>
        <v>46001</v>
      </c>
      <c r="G139" s="77">
        <f t="shared" si="50"/>
        <v>45989</v>
      </c>
      <c r="H139" s="77">
        <f t="shared" si="51"/>
        <v>45996</v>
      </c>
      <c r="I139" s="77">
        <v>46006</v>
      </c>
      <c r="J139" s="78">
        <f t="shared" si="64"/>
        <v>25</v>
      </c>
      <c r="K139" s="25">
        <v>16.100000000000001</v>
      </c>
      <c r="L139" s="25">
        <v>13.47</v>
      </c>
      <c r="M139" s="25">
        <f t="shared" si="65"/>
        <v>2.6300000000000008</v>
      </c>
      <c r="N139" s="25" t="s">
        <v>593</v>
      </c>
    </row>
    <row r="140" spans="1:14" x14ac:dyDescent="0.25">
      <c r="A140" s="77">
        <v>45981</v>
      </c>
      <c r="B140" s="25" t="s">
        <v>363</v>
      </c>
      <c r="C140" s="77">
        <f t="shared" si="46"/>
        <v>46004</v>
      </c>
      <c r="D140" s="77">
        <f t="shared" si="47"/>
        <v>45988</v>
      </c>
      <c r="E140" s="77">
        <f t="shared" si="48"/>
        <v>45995</v>
      </c>
      <c r="F140" s="77">
        <f t="shared" si="49"/>
        <v>46001</v>
      </c>
      <c r="G140" s="77">
        <f t="shared" si="50"/>
        <v>45989</v>
      </c>
      <c r="H140" s="77">
        <f t="shared" si="51"/>
        <v>45996</v>
      </c>
      <c r="I140" s="77">
        <v>46006</v>
      </c>
      <c r="J140" s="78">
        <f t="shared" si="64"/>
        <v>25</v>
      </c>
      <c r="K140" s="25">
        <v>16.190000000000001</v>
      </c>
      <c r="L140" s="25">
        <v>12.1</v>
      </c>
      <c r="M140" s="25">
        <f t="shared" si="65"/>
        <v>4.0900000000000016</v>
      </c>
      <c r="N140" s="25" t="s">
        <v>593</v>
      </c>
    </row>
    <row r="141" spans="1:14" x14ac:dyDescent="0.25">
      <c r="A141" s="77">
        <v>45981</v>
      </c>
      <c r="B141" s="25" t="s">
        <v>364</v>
      </c>
      <c r="C141" s="77">
        <f t="shared" si="46"/>
        <v>46004</v>
      </c>
      <c r="D141" s="77">
        <f t="shared" si="47"/>
        <v>45988</v>
      </c>
      <c r="E141" s="77">
        <f t="shared" si="48"/>
        <v>45995</v>
      </c>
      <c r="F141" s="77">
        <f t="shared" si="49"/>
        <v>46001</v>
      </c>
      <c r="G141" s="77">
        <f t="shared" si="50"/>
        <v>45989</v>
      </c>
      <c r="H141" s="77">
        <f t="shared" si="51"/>
        <v>45996</v>
      </c>
      <c r="I141" s="77"/>
      <c r="J141" s="78"/>
      <c r="K141" s="25"/>
      <c r="L141" s="25"/>
      <c r="M141" s="25"/>
      <c r="N141" s="25"/>
    </row>
    <row r="142" spans="1:14" x14ac:dyDescent="0.25">
      <c r="A142" s="77">
        <v>45981</v>
      </c>
      <c r="B142" s="25" t="s">
        <v>365</v>
      </c>
      <c r="C142" s="77">
        <f t="shared" ref="C142:C205" si="66">A142+23</f>
        <v>46004</v>
      </c>
      <c r="D142" s="77">
        <f t="shared" ref="D142:D205" si="67">A142+7</f>
        <v>45988</v>
      </c>
      <c r="E142" s="77">
        <f t="shared" ref="E142:E205" si="68">A142+14</f>
        <v>45995</v>
      </c>
      <c r="F142" s="77">
        <f t="shared" ref="F142:F205" si="69">A142+20</f>
        <v>46001</v>
      </c>
      <c r="G142" s="77">
        <f t="shared" ref="G142:G205" si="70">A142+8</f>
        <v>45989</v>
      </c>
      <c r="H142" s="77">
        <f t="shared" ref="H142:H205" si="71">A142+15</f>
        <v>45996</v>
      </c>
      <c r="I142" s="77"/>
      <c r="J142" s="78"/>
      <c r="K142" s="25"/>
      <c r="L142" s="25"/>
      <c r="M142" s="25"/>
      <c r="N142" s="25"/>
    </row>
    <row r="143" spans="1:14" x14ac:dyDescent="0.25">
      <c r="A143" s="77">
        <v>45982</v>
      </c>
      <c r="B143" s="25" t="s">
        <v>379</v>
      </c>
      <c r="C143" s="77">
        <f t="shared" si="66"/>
        <v>46005</v>
      </c>
      <c r="D143" s="77">
        <f t="shared" si="67"/>
        <v>45989</v>
      </c>
      <c r="E143" s="77">
        <f t="shared" si="68"/>
        <v>45996</v>
      </c>
      <c r="F143" s="77">
        <f t="shared" si="69"/>
        <v>46002</v>
      </c>
      <c r="G143" s="77">
        <f t="shared" si="70"/>
        <v>45990</v>
      </c>
      <c r="H143" s="77">
        <f t="shared" si="71"/>
        <v>45997</v>
      </c>
      <c r="I143" s="77"/>
      <c r="J143" s="78"/>
      <c r="K143" s="25"/>
      <c r="L143" s="25"/>
      <c r="M143" s="25"/>
      <c r="N143" s="25"/>
    </row>
    <row r="144" spans="1:14" x14ac:dyDescent="0.25">
      <c r="A144" s="77">
        <v>45982</v>
      </c>
      <c r="B144" s="25" t="s">
        <v>380</v>
      </c>
      <c r="C144" s="77">
        <f t="shared" si="66"/>
        <v>46005</v>
      </c>
      <c r="D144" s="77">
        <f t="shared" si="67"/>
        <v>45989</v>
      </c>
      <c r="E144" s="77">
        <f t="shared" si="68"/>
        <v>45996</v>
      </c>
      <c r="F144" s="77">
        <f t="shared" si="69"/>
        <v>46002</v>
      </c>
      <c r="G144" s="77">
        <f t="shared" si="70"/>
        <v>45990</v>
      </c>
      <c r="H144" s="77">
        <f t="shared" si="71"/>
        <v>45997</v>
      </c>
      <c r="I144" s="77"/>
      <c r="J144" s="78"/>
      <c r="K144" s="25"/>
      <c r="L144" s="25"/>
      <c r="M144" s="25"/>
      <c r="N144" s="25"/>
    </row>
    <row r="145" spans="1:14" x14ac:dyDescent="0.25">
      <c r="A145" s="77">
        <v>45982</v>
      </c>
      <c r="B145" s="25" t="s">
        <v>381</v>
      </c>
      <c r="C145" s="77">
        <f t="shared" si="66"/>
        <v>46005</v>
      </c>
      <c r="D145" s="77">
        <f t="shared" si="67"/>
        <v>45989</v>
      </c>
      <c r="E145" s="77">
        <f t="shared" si="68"/>
        <v>45996</v>
      </c>
      <c r="F145" s="77">
        <f t="shared" si="69"/>
        <v>46002</v>
      </c>
      <c r="G145" s="77">
        <f t="shared" si="70"/>
        <v>45990</v>
      </c>
      <c r="H145" s="77">
        <f t="shared" si="71"/>
        <v>45997</v>
      </c>
      <c r="I145" s="77"/>
      <c r="J145" s="78"/>
      <c r="K145" s="25"/>
      <c r="L145" s="25"/>
      <c r="M145" s="25"/>
      <c r="N145" s="25"/>
    </row>
    <row r="146" spans="1:14" x14ac:dyDescent="0.25">
      <c r="A146" s="77">
        <v>45982</v>
      </c>
      <c r="B146" s="25" t="s">
        <v>382</v>
      </c>
      <c r="C146" s="77">
        <f t="shared" si="66"/>
        <v>46005</v>
      </c>
      <c r="D146" s="77">
        <f t="shared" si="67"/>
        <v>45989</v>
      </c>
      <c r="E146" s="77">
        <f t="shared" si="68"/>
        <v>45996</v>
      </c>
      <c r="F146" s="77">
        <f t="shared" si="69"/>
        <v>46002</v>
      </c>
      <c r="G146" s="77">
        <f t="shared" si="70"/>
        <v>45990</v>
      </c>
      <c r="H146" s="77">
        <f t="shared" si="71"/>
        <v>45997</v>
      </c>
      <c r="I146" s="77"/>
      <c r="J146" s="78"/>
      <c r="K146" s="25"/>
      <c r="L146" s="25"/>
      <c r="M146" s="25"/>
      <c r="N146" s="25"/>
    </row>
    <row r="147" spans="1:14" x14ac:dyDescent="0.25">
      <c r="A147" s="77">
        <v>45982</v>
      </c>
      <c r="B147" s="25" t="s">
        <v>383</v>
      </c>
      <c r="C147" s="77">
        <f t="shared" si="66"/>
        <v>46005</v>
      </c>
      <c r="D147" s="77">
        <f t="shared" si="67"/>
        <v>45989</v>
      </c>
      <c r="E147" s="77">
        <f t="shared" si="68"/>
        <v>45996</v>
      </c>
      <c r="F147" s="77">
        <f t="shared" si="69"/>
        <v>46002</v>
      </c>
      <c r="G147" s="77">
        <f t="shared" si="70"/>
        <v>45990</v>
      </c>
      <c r="H147" s="77">
        <f t="shared" si="71"/>
        <v>45997</v>
      </c>
      <c r="I147" s="77"/>
      <c r="J147" s="78"/>
      <c r="K147" s="25"/>
      <c r="L147" s="25"/>
      <c r="M147" s="25"/>
      <c r="N147" s="25"/>
    </row>
    <row r="148" spans="1:14" x14ac:dyDescent="0.25">
      <c r="A148" s="77">
        <v>45982</v>
      </c>
      <c r="B148" s="25" t="s">
        <v>384</v>
      </c>
      <c r="C148" s="77">
        <f t="shared" si="66"/>
        <v>46005</v>
      </c>
      <c r="D148" s="77">
        <f t="shared" si="67"/>
        <v>45989</v>
      </c>
      <c r="E148" s="77">
        <f t="shared" si="68"/>
        <v>45996</v>
      </c>
      <c r="F148" s="77">
        <f t="shared" si="69"/>
        <v>46002</v>
      </c>
      <c r="G148" s="77">
        <f t="shared" si="70"/>
        <v>45990</v>
      </c>
      <c r="H148" s="77">
        <f t="shared" si="71"/>
        <v>45997</v>
      </c>
      <c r="I148" s="77"/>
      <c r="J148" s="78"/>
      <c r="K148" s="25"/>
      <c r="L148" s="25"/>
      <c r="M148" s="25"/>
      <c r="N148" s="25"/>
    </row>
    <row r="149" spans="1:14" x14ac:dyDescent="0.25">
      <c r="A149" s="77">
        <v>45982</v>
      </c>
      <c r="B149" s="25" t="s">
        <v>385</v>
      </c>
      <c r="C149" s="77">
        <f t="shared" si="66"/>
        <v>46005</v>
      </c>
      <c r="D149" s="77">
        <f t="shared" si="67"/>
        <v>45989</v>
      </c>
      <c r="E149" s="77">
        <f t="shared" si="68"/>
        <v>45996</v>
      </c>
      <c r="F149" s="77">
        <f t="shared" si="69"/>
        <v>46002</v>
      </c>
      <c r="G149" s="77">
        <f t="shared" si="70"/>
        <v>45990</v>
      </c>
      <c r="H149" s="77">
        <f t="shared" si="71"/>
        <v>45997</v>
      </c>
      <c r="I149" s="77"/>
      <c r="J149" s="78"/>
      <c r="K149" s="25"/>
      <c r="L149" s="25"/>
      <c r="M149" s="25"/>
      <c r="N149" s="25"/>
    </row>
    <row r="150" spans="1:14" x14ac:dyDescent="0.25">
      <c r="A150" s="77">
        <v>45983</v>
      </c>
      <c r="B150" s="25" t="s">
        <v>366</v>
      </c>
      <c r="C150" s="77">
        <f t="shared" si="66"/>
        <v>46006</v>
      </c>
      <c r="D150" s="77">
        <f t="shared" si="67"/>
        <v>45990</v>
      </c>
      <c r="E150" s="77">
        <f t="shared" si="68"/>
        <v>45997</v>
      </c>
      <c r="F150" s="77">
        <f t="shared" si="69"/>
        <v>46003</v>
      </c>
      <c r="G150" s="77">
        <f t="shared" si="70"/>
        <v>45991</v>
      </c>
      <c r="H150" s="77">
        <f t="shared" si="71"/>
        <v>45998</v>
      </c>
      <c r="I150" s="77"/>
      <c r="J150" s="78"/>
      <c r="K150" s="25"/>
      <c r="L150" s="25"/>
      <c r="M150" s="25"/>
      <c r="N150" s="25"/>
    </row>
    <row r="151" spans="1:14" x14ac:dyDescent="0.25">
      <c r="A151" s="77">
        <v>45983</v>
      </c>
      <c r="B151" s="25" t="s">
        <v>367</v>
      </c>
      <c r="C151" s="77">
        <f t="shared" si="66"/>
        <v>46006</v>
      </c>
      <c r="D151" s="77">
        <f t="shared" si="67"/>
        <v>45990</v>
      </c>
      <c r="E151" s="77">
        <f t="shared" si="68"/>
        <v>45997</v>
      </c>
      <c r="F151" s="77">
        <f t="shared" si="69"/>
        <v>46003</v>
      </c>
      <c r="G151" s="77">
        <f t="shared" si="70"/>
        <v>45991</v>
      </c>
      <c r="H151" s="77">
        <f t="shared" si="71"/>
        <v>45998</v>
      </c>
      <c r="I151" s="77"/>
      <c r="J151" s="78"/>
      <c r="K151" s="25"/>
      <c r="L151" s="25"/>
      <c r="M151" s="25"/>
      <c r="N151" s="25"/>
    </row>
    <row r="152" spans="1:14" x14ac:dyDescent="0.25">
      <c r="A152" s="77">
        <v>45983</v>
      </c>
      <c r="B152" s="25" t="s">
        <v>368</v>
      </c>
      <c r="C152" s="77">
        <f t="shared" si="66"/>
        <v>46006</v>
      </c>
      <c r="D152" s="77">
        <f t="shared" si="67"/>
        <v>45990</v>
      </c>
      <c r="E152" s="77">
        <f t="shared" si="68"/>
        <v>45997</v>
      </c>
      <c r="F152" s="77">
        <f t="shared" si="69"/>
        <v>46003</v>
      </c>
      <c r="G152" s="77">
        <f t="shared" si="70"/>
        <v>45991</v>
      </c>
      <c r="H152" s="77">
        <f t="shared" si="71"/>
        <v>45998</v>
      </c>
      <c r="I152" s="77"/>
      <c r="J152" s="78"/>
      <c r="K152" s="25"/>
      <c r="L152" s="25"/>
      <c r="M152" s="25"/>
      <c r="N152" s="25"/>
    </row>
    <row r="153" spans="1:14" x14ac:dyDescent="0.25">
      <c r="A153" s="77">
        <v>45983</v>
      </c>
      <c r="B153" s="25" t="s">
        <v>369</v>
      </c>
      <c r="C153" s="77">
        <f t="shared" si="66"/>
        <v>46006</v>
      </c>
      <c r="D153" s="77">
        <f t="shared" si="67"/>
        <v>45990</v>
      </c>
      <c r="E153" s="77">
        <f t="shared" si="68"/>
        <v>45997</v>
      </c>
      <c r="F153" s="77">
        <f t="shared" si="69"/>
        <v>46003</v>
      </c>
      <c r="G153" s="77">
        <f t="shared" si="70"/>
        <v>45991</v>
      </c>
      <c r="H153" s="77">
        <f t="shared" si="71"/>
        <v>45998</v>
      </c>
      <c r="I153" s="77"/>
      <c r="J153" s="78"/>
      <c r="K153" s="25"/>
      <c r="L153" s="25"/>
      <c r="M153" s="25"/>
      <c r="N153" s="25"/>
    </row>
    <row r="154" spans="1:14" x14ac:dyDescent="0.25">
      <c r="A154" s="77">
        <v>45983</v>
      </c>
      <c r="B154" s="25" t="s">
        <v>370</v>
      </c>
      <c r="C154" s="77">
        <f t="shared" si="66"/>
        <v>46006</v>
      </c>
      <c r="D154" s="77">
        <f t="shared" si="67"/>
        <v>45990</v>
      </c>
      <c r="E154" s="77">
        <f t="shared" si="68"/>
        <v>45997</v>
      </c>
      <c r="F154" s="77">
        <f t="shared" si="69"/>
        <v>46003</v>
      </c>
      <c r="G154" s="77">
        <f t="shared" si="70"/>
        <v>45991</v>
      </c>
      <c r="H154" s="77">
        <f t="shared" si="71"/>
        <v>45998</v>
      </c>
      <c r="I154" s="77"/>
      <c r="J154" s="78"/>
      <c r="K154" s="25"/>
      <c r="L154" s="25"/>
      <c r="M154" s="25"/>
      <c r="N154" s="25"/>
    </row>
    <row r="155" spans="1:14" x14ac:dyDescent="0.25">
      <c r="A155" s="77">
        <v>45983</v>
      </c>
      <c r="B155" s="25" t="s">
        <v>371</v>
      </c>
      <c r="C155" s="77">
        <f t="shared" si="66"/>
        <v>46006</v>
      </c>
      <c r="D155" s="77">
        <f t="shared" si="67"/>
        <v>45990</v>
      </c>
      <c r="E155" s="77">
        <f t="shared" si="68"/>
        <v>45997</v>
      </c>
      <c r="F155" s="77">
        <f t="shared" si="69"/>
        <v>46003</v>
      </c>
      <c r="G155" s="77">
        <f t="shared" si="70"/>
        <v>45991</v>
      </c>
      <c r="H155" s="77">
        <f t="shared" si="71"/>
        <v>45998</v>
      </c>
      <c r="I155" s="77"/>
      <c r="J155" s="78"/>
      <c r="K155" s="25"/>
      <c r="L155" s="25"/>
      <c r="M155" s="25"/>
      <c r="N155" s="25"/>
    </row>
    <row r="156" spans="1:14" x14ac:dyDescent="0.25">
      <c r="A156" s="77">
        <v>45983</v>
      </c>
      <c r="B156" s="25" t="s">
        <v>372</v>
      </c>
      <c r="C156" s="77">
        <f t="shared" si="66"/>
        <v>46006</v>
      </c>
      <c r="D156" s="77">
        <f t="shared" si="67"/>
        <v>45990</v>
      </c>
      <c r="E156" s="77">
        <f t="shared" si="68"/>
        <v>45997</v>
      </c>
      <c r="F156" s="77">
        <f t="shared" si="69"/>
        <v>46003</v>
      </c>
      <c r="G156" s="77">
        <f t="shared" si="70"/>
        <v>45991</v>
      </c>
      <c r="H156" s="77">
        <f t="shared" si="71"/>
        <v>45998</v>
      </c>
      <c r="I156" s="77"/>
      <c r="J156" s="78"/>
      <c r="K156" s="25"/>
      <c r="L156" s="25"/>
      <c r="M156" s="25"/>
      <c r="N156" s="25"/>
    </row>
    <row r="157" spans="1:14" x14ac:dyDescent="0.25">
      <c r="A157" s="77">
        <v>45984</v>
      </c>
      <c r="B157" s="25" t="s">
        <v>386</v>
      </c>
      <c r="C157" s="77">
        <f t="shared" si="66"/>
        <v>46007</v>
      </c>
      <c r="D157" s="77">
        <f t="shared" si="67"/>
        <v>45991</v>
      </c>
      <c r="E157" s="77">
        <f t="shared" si="68"/>
        <v>45998</v>
      </c>
      <c r="F157" s="77">
        <f t="shared" si="69"/>
        <v>46004</v>
      </c>
      <c r="G157" s="77">
        <f t="shared" si="70"/>
        <v>45992</v>
      </c>
      <c r="H157" s="77">
        <f t="shared" si="71"/>
        <v>45999</v>
      </c>
      <c r="I157" s="77"/>
      <c r="J157" s="78"/>
      <c r="K157" s="25"/>
      <c r="L157" s="25"/>
      <c r="M157" s="25"/>
      <c r="N157" s="25"/>
    </row>
    <row r="158" spans="1:14" x14ac:dyDescent="0.25">
      <c r="A158" s="77">
        <v>45984</v>
      </c>
      <c r="B158" s="25" t="s">
        <v>387</v>
      </c>
      <c r="C158" s="77">
        <f t="shared" si="66"/>
        <v>46007</v>
      </c>
      <c r="D158" s="77">
        <f t="shared" si="67"/>
        <v>45991</v>
      </c>
      <c r="E158" s="77">
        <f t="shared" si="68"/>
        <v>45998</v>
      </c>
      <c r="F158" s="77">
        <f t="shared" si="69"/>
        <v>46004</v>
      </c>
      <c r="G158" s="77">
        <f t="shared" si="70"/>
        <v>45992</v>
      </c>
      <c r="H158" s="77">
        <f t="shared" si="71"/>
        <v>45999</v>
      </c>
      <c r="I158" s="77"/>
      <c r="J158" s="78"/>
      <c r="K158" s="25"/>
      <c r="L158" s="25"/>
      <c r="M158" s="25"/>
      <c r="N158" s="25"/>
    </row>
    <row r="159" spans="1:14" x14ac:dyDescent="0.25">
      <c r="A159" s="77">
        <v>45984</v>
      </c>
      <c r="B159" s="25" t="s">
        <v>388</v>
      </c>
      <c r="C159" s="77">
        <f t="shared" si="66"/>
        <v>46007</v>
      </c>
      <c r="D159" s="77">
        <f t="shared" si="67"/>
        <v>45991</v>
      </c>
      <c r="E159" s="77">
        <f t="shared" si="68"/>
        <v>45998</v>
      </c>
      <c r="F159" s="77">
        <f t="shared" si="69"/>
        <v>46004</v>
      </c>
      <c r="G159" s="77">
        <f t="shared" si="70"/>
        <v>45992</v>
      </c>
      <c r="H159" s="77">
        <f t="shared" si="71"/>
        <v>45999</v>
      </c>
      <c r="I159" s="77"/>
      <c r="J159" s="78"/>
      <c r="K159" s="25"/>
      <c r="L159" s="25"/>
      <c r="M159" s="25"/>
      <c r="N159" s="25"/>
    </row>
    <row r="160" spans="1:14" x14ac:dyDescent="0.25">
      <c r="A160" s="77">
        <v>45984</v>
      </c>
      <c r="B160" s="25" t="s">
        <v>389</v>
      </c>
      <c r="C160" s="77">
        <f t="shared" si="66"/>
        <v>46007</v>
      </c>
      <c r="D160" s="77">
        <f t="shared" si="67"/>
        <v>45991</v>
      </c>
      <c r="E160" s="77">
        <f t="shared" si="68"/>
        <v>45998</v>
      </c>
      <c r="F160" s="77">
        <f t="shared" si="69"/>
        <v>46004</v>
      </c>
      <c r="G160" s="77">
        <f t="shared" si="70"/>
        <v>45992</v>
      </c>
      <c r="H160" s="77">
        <f t="shared" si="71"/>
        <v>45999</v>
      </c>
      <c r="I160" s="77"/>
      <c r="J160" s="78"/>
      <c r="K160" s="25"/>
      <c r="L160" s="25"/>
      <c r="M160" s="25"/>
      <c r="N160" s="25"/>
    </row>
    <row r="161" spans="1:14" x14ac:dyDescent="0.25">
      <c r="A161" s="77">
        <v>45984</v>
      </c>
      <c r="B161" s="25" t="s">
        <v>390</v>
      </c>
      <c r="C161" s="77">
        <f t="shared" si="66"/>
        <v>46007</v>
      </c>
      <c r="D161" s="77">
        <f t="shared" si="67"/>
        <v>45991</v>
      </c>
      <c r="E161" s="77">
        <f t="shared" si="68"/>
        <v>45998</v>
      </c>
      <c r="F161" s="77">
        <f t="shared" si="69"/>
        <v>46004</v>
      </c>
      <c r="G161" s="77">
        <f t="shared" si="70"/>
        <v>45992</v>
      </c>
      <c r="H161" s="77">
        <f t="shared" si="71"/>
        <v>45999</v>
      </c>
      <c r="I161" s="77"/>
      <c r="J161" s="78"/>
      <c r="K161" s="25"/>
      <c r="L161" s="25"/>
      <c r="M161" s="25"/>
      <c r="N161" s="25"/>
    </row>
    <row r="162" spans="1:14" x14ac:dyDescent="0.25">
      <c r="A162" s="77">
        <v>45984</v>
      </c>
      <c r="B162" s="25" t="s">
        <v>391</v>
      </c>
      <c r="C162" s="77">
        <f t="shared" si="66"/>
        <v>46007</v>
      </c>
      <c r="D162" s="77">
        <f t="shared" si="67"/>
        <v>45991</v>
      </c>
      <c r="E162" s="77">
        <f t="shared" si="68"/>
        <v>45998</v>
      </c>
      <c r="F162" s="77">
        <f t="shared" si="69"/>
        <v>46004</v>
      </c>
      <c r="G162" s="77">
        <f t="shared" si="70"/>
        <v>45992</v>
      </c>
      <c r="H162" s="77">
        <f t="shared" si="71"/>
        <v>45999</v>
      </c>
      <c r="I162" s="77"/>
      <c r="J162" s="78"/>
      <c r="K162" s="25"/>
      <c r="L162" s="25"/>
      <c r="M162" s="25"/>
      <c r="N162" s="25"/>
    </row>
    <row r="163" spans="1:14" x14ac:dyDescent="0.25">
      <c r="A163" s="77">
        <v>45984</v>
      </c>
      <c r="B163" s="25" t="s">
        <v>392</v>
      </c>
      <c r="C163" s="77">
        <f t="shared" si="66"/>
        <v>46007</v>
      </c>
      <c r="D163" s="77">
        <f t="shared" si="67"/>
        <v>45991</v>
      </c>
      <c r="E163" s="77">
        <f t="shared" si="68"/>
        <v>45998</v>
      </c>
      <c r="F163" s="77">
        <f t="shared" si="69"/>
        <v>46004</v>
      </c>
      <c r="G163" s="77">
        <f t="shared" si="70"/>
        <v>45992</v>
      </c>
      <c r="H163" s="77">
        <f t="shared" si="71"/>
        <v>45999</v>
      </c>
      <c r="I163" s="77"/>
      <c r="J163" s="78"/>
      <c r="K163" s="25"/>
      <c r="L163" s="25"/>
      <c r="M163" s="25"/>
      <c r="N163" s="25"/>
    </row>
    <row r="164" spans="1:14" x14ac:dyDescent="0.25">
      <c r="A164" s="77">
        <v>45985</v>
      </c>
      <c r="B164" s="25" t="s">
        <v>373</v>
      </c>
      <c r="C164" s="77">
        <f t="shared" si="66"/>
        <v>46008</v>
      </c>
      <c r="D164" s="77">
        <f t="shared" si="67"/>
        <v>45992</v>
      </c>
      <c r="E164" s="77">
        <f t="shared" si="68"/>
        <v>45999</v>
      </c>
      <c r="F164" s="77">
        <f t="shared" si="69"/>
        <v>46005</v>
      </c>
      <c r="G164" s="77">
        <f t="shared" si="70"/>
        <v>45993</v>
      </c>
      <c r="H164" s="77">
        <f t="shared" si="71"/>
        <v>46000</v>
      </c>
      <c r="I164" s="77"/>
      <c r="J164" s="78"/>
      <c r="K164" s="25"/>
      <c r="L164" s="25"/>
      <c r="M164" s="25"/>
      <c r="N164" s="25"/>
    </row>
    <row r="165" spans="1:14" x14ac:dyDescent="0.25">
      <c r="A165" s="77">
        <v>45985</v>
      </c>
      <c r="B165" s="25" t="s">
        <v>374</v>
      </c>
      <c r="C165" s="77">
        <f t="shared" si="66"/>
        <v>46008</v>
      </c>
      <c r="D165" s="77">
        <f t="shared" si="67"/>
        <v>45992</v>
      </c>
      <c r="E165" s="77">
        <f t="shared" si="68"/>
        <v>45999</v>
      </c>
      <c r="F165" s="77">
        <f t="shared" si="69"/>
        <v>46005</v>
      </c>
      <c r="G165" s="77">
        <f t="shared" si="70"/>
        <v>45993</v>
      </c>
      <c r="H165" s="77">
        <f t="shared" si="71"/>
        <v>46000</v>
      </c>
      <c r="I165" s="77"/>
      <c r="J165" s="78"/>
      <c r="K165" s="25"/>
      <c r="L165" s="25"/>
      <c r="M165" s="25"/>
      <c r="N165" s="25"/>
    </row>
    <row r="166" spans="1:14" x14ac:dyDescent="0.25">
      <c r="A166" s="77">
        <v>45985</v>
      </c>
      <c r="B166" s="25" t="s">
        <v>375</v>
      </c>
      <c r="C166" s="77">
        <f t="shared" si="66"/>
        <v>46008</v>
      </c>
      <c r="D166" s="77">
        <f t="shared" si="67"/>
        <v>45992</v>
      </c>
      <c r="E166" s="77">
        <f t="shared" si="68"/>
        <v>45999</v>
      </c>
      <c r="F166" s="77">
        <f t="shared" si="69"/>
        <v>46005</v>
      </c>
      <c r="G166" s="77">
        <f t="shared" si="70"/>
        <v>45993</v>
      </c>
      <c r="H166" s="77">
        <f t="shared" si="71"/>
        <v>46000</v>
      </c>
      <c r="I166" s="77"/>
      <c r="J166" s="78"/>
      <c r="K166" s="25"/>
      <c r="L166" s="25"/>
      <c r="M166" s="25"/>
      <c r="N166" s="25"/>
    </row>
    <row r="167" spans="1:14" x14ac:dyDescent="0.25">
      <c r="A167" s="77">
        <v>45985</v>
      </c>
      <c r="B167" s="25" t="s">
        <v>376</v>
      </c>
      <c r="C167" s="77">
        <f t="shared" si="66"/>
        <v>46008</v>
      </c>
      <c r="D167" s="77">
        <f t="shared" si="67"/>
        <v>45992</v>
      </c>
      <c r="E167" s="77">
        <f t="shared" si="68"/>
        <v>45999</v>
      </c>
      <c r="F167" s="77">
        <f t="shared" si="69"/>
        <v>46005</v>
      </c>
      <c r="G167" s="77">
        <f t="shared" si="70"/>
        <v>45993</v>
      </c>
      <c r="H167" s="77">
        <f t="shared" si="71"/>
        <v>46000</v>
      </c>
      <c r="I167" s="77"/>
      <c r="J167" s="78"/>
      <c r="K167" s="25"/>
      <c r="L167" s="25"/>
      <c r="M167" s="25"/>
      <c r="N167" s="25"/>
    </row>
    <row r="168" spans="1:14" x14ac:dyDescent="0.25">
      <c r="A168" s="77">
        <v>45985</v>
      </c>
      <c r="B168" s="25" t="s">
        <v>377</v>
      </c>
      <c r="C168" s="77">
        <f t="shared" si="66"/>
        <v>46008</v>
      </c>
      <c r="D168" s="77">
        <f t="shared" si="67"/>
        <v>45992</v>
      </c>
      <c r="E168" s="77">
        <f t="shared" si="68"/>
        <v>45999</v>
      </c>
      <c r="F168" s="77">
        <f t="shared" si="69"/>
        <v>46005</v>
      </c>
      <c r="G168" s="77">
        <f t="shared" si="70"/>
        <v>45993</v>
      </c>
      <c r="H168" s="77">
        <f t="shared" si="71"/>
        <v>46000</v>
      </c>
      <c r="I168" s="77"/>
      <c r="J168" s="78"/>
      <c r="K168" s="25"/>
      <c r="L168" s="25"/>
      <c r="M168" s="25"/>
      <c r="N168" s="25"/>
    </row>
    <row r="169" spans="1:14" x14ac:dyDescent="0.25">
      <c r="A169" s="77">
        <v>45985</v>
      </c>
      <c r="B169" s="25" t="s">
        <v>393</v>
      </c>
      <c r="C169" s="77">
        <f t="shared" si="66"/>
        <v>46008</v>
      </c>
      <c r="D169" s="77">
        <f t="shared" si="67"/>
        <v>45992</v>
      </c>
      <c r="E169" s="77">
        <f t="shared" si="68"/>
        <v>45999</v>
      </c>
      <c r="F169" s="77">
        <f t="shared" si="69"/>
        <v>46005</v>
      </c>
      <c r="G169" s="77">
        <f t="shared" si="70"/>
        <v>45993</v>
      </c>
      <c r="H169" s="77">
        <f t="shared" si="71"/>
        <v>46000</v>
      </c>
      <c r="I169" s="77"/>
      <c r="J169" s="78"/>
      <c r="K169" s="25"/>
      <c r="L169" s="25"/>
      <c r="M169" s="25"/>
      <c r="N169" s="25"/>
    </row>
    <row r="170" spans="1:14" x14ac:dyDescent="0.25">
      <c r="A170" s="77">
        <v>45985</v>
      </c>
      <c r="B170" s="25" t="s">
        <v>394</v>
      </c>
      <c r="C170" s="77">
        <f t="shared" si="66"/>
        <v>46008</v>
      </c>
      <c r="D170" s="77">
        <f t="shared" si="67"/>
        <v>45992</v>
      </c>
      <c r="E170" s="77">
        <f t="shared" si="68"/>
        <v>45999</v>
      </c>
      <c r="F170" s="77">
        <f t="shared" si="69"/>
        <v>46005</v>
      </c>
      <c r="G170" s="77">
        <f t="shared" si="70"/>
        <v>45993</v>
      </c>
      <c r="H170" s="77">
        <f t="shared" si="71"/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45986</v>
      </c>
      <c r="B171" s="25" t="s">
        <v>395</v>
      </c>
      <c r="C171" s="77">
        <f t="shared" si="66"/>
        <v>46009</v>
      </c>
      <c r="D171" s="77">
        <f t="shared" si="67"/>
        <v>45993</v>
      </c>
      <c r="E171" s="77">
        <f t="shared" si="68"/>
        <v>46000</v>
      </c>
      <c r="F171" s="77">
        <f t="shared" si="69"/>
        <v>46006</v>
      </c>
      <c r="G171" s="77">
        <f t="shared" si="70"/>
        <v>45994</v>
      </c>
      <c r="H171" s="77">
        <f t="shared" si="71"/>
        <v>46001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45986</v>
      </c>
      <c r="B172" s="25" t="s">
        <v>396</v>
      </c>
      <c r="C172" s="77">
        <f t="shared" si="66"/>
        <v>46009</v>
      </c>
      <c r="D172" s="77">
        <f t="shared" si="67"/>
        <v>45993</v>
      </c>
      <c r="E172" s="77">
        <f t="shared" si="68"/>
        <v>46000</v>
      </c>
      <c r="F172" s="77">
        <f t="shared" si="69"/>
        <v>46006</v>
      </c>
      <c r="G172" s="77">
        <f t="shared" si="70"/>
        <v>45994</v>
      </c>
      <c r="H172" s="77">
        <f t="shared" si="71"/>
        <v>46001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397</v>
      </c>
      <c r="C173" s="77">
        <f t="shared" si="66"/>
        <v>46009</v>
      </c>
      <c r="D173" s="77">
        <f t="shared" si="67"/>
        <v>45993</v>
      </c>
      <c r="E173" s="77">
        <f t="shared" si="68"/>
        <v>46000</v>
      </c>
      <c r="F173" s="77">
        <f t="shared" si="69"/>
        <v>46006</v>
      </c>
      <c r="G173" s="77">
        <f t="shared" si="70"/>
        <v>45994</v>
      </c>
      <c r="H173" s="77">
        <f t="shared" si="71"/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408</v>
      </c>
      <c r="C174" s="77">
        <f t="shared" si="66"/>
        <v>46009</v>
      </c>
      <c r="D174" s="77">
        <f t="shared" si="67"/>
        <v>45993</v>
      </c>
      <c r="E174" s="77">
        <f t="shared" si="68"/>
        <v>46000</v>
      </c>
      <c r="F174" s="77">
        <f t="shared" si="69"/>
        <v>46006</v>
      </c>
      <c r="G174" s="77">
        <f t="shared" si="70"/>
        <v>45994</v>
      </c>
      <c r="H174" s="77">
        <f t="shared" si="71"/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409</v>
      </c>
      <c r="C175" s="77">
        <f t="shared" si="66"/>
        <v>46009</v>
      </c>
      <c r="D175" s="77">
        <f t="shared" si="67"/>
        <v>45993</v>
      </c>
      <c r="E175" s="77">
        <f t="shared" si="68"/>
        <v>46000</v>
      </c>
      <c r="F175" s="77">
        <f t="shared" si="69"/>
        <v>46006</v>
      </c>
      <c r="G175" s="77">
        <f t="shared" si="70"/>
        <v>45994</v>
      </c>
      <c r="H175" s="77">
        <f t="shared" si="71"/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410</v>
      </c>
      <c r="C176" s="77">
        <f t="shared" si="66"/>
        <v>46009</v>
      </c>
      <c r="D176" s="77">
        <f t="shared" si="67"/>
        <v>45993</v>
      </c>
      <c r="E176" s="77">
        <f t="shared" si="68"/>
        <v>46000</v>
      </c>
      <c r="F176" s="77">
        <f t="shared" si="69"/>
        <v>46006</v>
      </c>
      <c r="G176" s="77">
        <f t="shared" si="70"/>
        <v>45994</v>
      </c>
      <c r="H176" s="77">
        <f t="shared" si="71"/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411</v>
      </c>
      <c r="C177" s="77">
        <f t="shared" si="66"/>
        <v>46009</v>
      </c>
      <c r="D177" s="77">
        <f t="shared" si="67"/>
        <v>45993</v>
      </c>
      <c r="E177" s="77">
        <f t="shared" si="68"/>
        <v>46000</v>
      </c>
      <c r="F177" s="77">
        <f t="shared" si="69"/>
        <v>46006</v>
      </c>
      <c r="G177" s="77">
        <f t="shared" si="70"/>
        <v>45994</v>
      </c>
      <c r="H177" s="77">
        <f t="shared" si="71"/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45987</v>
      </c>
      <c r="B178" s="25" t="s">
        <v>404</v>
      </c>
      <c r="C178" s="77">
        <f t="shared" si="66"/>
        <v>46010</v>
      </c>
      <c r="D178" s="77">
        <f t="shared" si="67"/>
        <v>45994</v>
      </c>
      <c r="E178" s="77">
        <f t="shared" si="68"/>
        <v>46001</v>
      </c>
      <c r="F178" s="77">
        <f t="shared" si="69"/>
        <v>46007</v>
      </c>
      <c r="G178" s="77">
        <f t="shared" si="70"/>
        <v>45995</v>
      </c>
      <c r="H178" s="77">
        <f t="shared" si="71"/>
        <v>46002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45987</v>
      </c>
      <c r="B179" s="25" t="s">
        <v>405</v>
      </c>
      <c r="C179" s="77">
        <f t="shared" si="66"/>
        <v>46010</v>
      </c>
      <c r="D179" s="77">
        <f t="shared" si="67"/>
        <v>45994</v>
      </c>
      <c r="E179" s="77">
        <f t="shared" si="68"/>
        <v>46001</v>
      </c>
      <c r="F179" s="77">
        <f t="shared" si="69"/>
        <v>46007</v>
      </c>
      <c r="G179" s="77">
        <f t="shared" si="70"/>
        <v>45995</v>
      </c>
      <c r="H179" s="77">
        <f t="shared" si="71"/>
        <v>46002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406</v>
      </c>
      <c r="C180" s="77">
        <f t="shared" si="66"/>
        <v>46010</v>
      </c>
      <c r="D180" s="77">
        <f t="shared" si="67"/>
        <v>45994</v>
      </c>
      <c r="E180" s="77">
        <f t="shared" si="68"/>
        <v>46001</v>
      </c>
      <c r="F180" s="77">
        <f t="shared" si="69"/>
        <v>46007</v>
      </c>
      <c r="G180" s="77">
        <f t="shared" si="70"/>
        <v>45995</v>
      </c>
      <c r="H180" s="77">
        <f t="shared" si="71"/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407</v>
      </c>
      <c r="C181" s="77">
        <f t="shared" si="66"/>
        <v>46010</v>
      </c>
      <c r="D181" s="77">
        <f t="shared" si="67"/>
        <v>45994</v>
      </c>
      <c r="E181" s="77">
        <f t="shared" si="68"/>
        <v>46001</v>
      </c>
      <c r="F181" s="77">
        <f t="shared" si="69"/>
        <v>46007</v>
      </c>
      <c r="G181" s="77">
        <f t="shared" si="70"/>
        <v>45995</v>
      </c>
      <c r="H181" s="77">
        <f t="shared" si="71"/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431</v>
      </c>
      <c r="C182" s="77">
        <f t="shared" si="66"/>
        <v>46010</v>
      </c>
      <c r="D182" s="77">
        <f t="shared" si="67"/>
        <v>45994</v>
      </c>
      <c r="E182" s="77">
        <f t="shared" si="68"/>
        <v>46001</v>
      </c>
      <c r="F182" s="77">
        <f t="shared" si="69"/>
        <v>46007</v>
      </c>
      <c r="G182" s="77">
        <f t="shared" si="70"/>
        <v>45995</v>
      </c>
      <c r="H182" s="77">
        <f t="shared" si="71"/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432</v>
      </c>
      <c r="C183" s="77">
        <f t="shared" si="66"/>
        <v>46010</v>
      </c>
      <c r="D183" s="77">
        <f t="shared" si="67"/>
        <v>45994</v>
      </c>
      <c r="E183" s="77">
        <f t="shared" si="68"/>
        <v>46001</v>
      </c>
      <c r="F183" s="77">
        <f t="shared" si="69"/>
        <v>46007</v>
      </c>
      <c r="G183" s="77">
        <f t="shared" si="70"/>
        <v>45995</v>
      </c>
      <c r="H183" s="77">
        <f t="shared" si="71"/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433</v>
      </c>
      <c r="C184" s="77">
        <f t="shared" si="66"/>
        <v>46010</v>
      </c>
      <c r="D184" s="77">
        <f t="shared" si="67"/>
        <v>45994</v>
      </c>
      <c r="E184" s="77">
        <f t="shared" si="68"/>
        <v>46001</v>
      </c>
      <c r="F184" s="77">
        <f t="shared" si="69"/>
        <v>46007</v>
      </c>
      <c r="G184" s="77">
        <f t="shared" si="70"/>
        <v>45995</v>
      </c>
      <c r="H184" s="77">
        <f t="shared" si="71"/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434</v>
      </c>
      <c r="C185" s="77">
        <f t="shared" si="66"/>
        <v>46010</v>
      </c>
      <c r="D185" s="77">
        <f t="shared" si="67"/>
        <v>45994</v>
      </c>
      <c r="E185" s="77">
        <f t="shared" si="68"/>
        <v>46001</v>
      </c>
      <c r="F185" s="77">
        <f t="shared" si="69"/>
        <v>46007</v>
      </c>
      <c r="G185" s="77">
        <f t="shared" si="70"/>
        <v>45995</v>
      </c>
      <c r="H185" s="77">
        <f t="shared" si="71"/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45988</v>
      </c>
      <c r="B186" s="25" t="s">
        <v>428</v>
      </c>
      <c r="C186" s="77">
        <f t="shared" si="66"/>
        <v>46011</v>
      </c>
      <c r="D186" s="77">
        <f t="shared" si="67"/>
        <v>45995</v>
      </c>
      <c r="E186" s="77">
        <f t="shared" si="68"/>
        <v>46002</v>
      </c>
      <c r="F186" s="77">
        <f t="shared" si="69"/>
        <v>46008</v>
      </c>
      <c r="G186" s="77">
        <f t="shared" si="70"/>
        <v>45996</v>
      </c>
      <c r="H186" s="77">
        <f t="shared" si="71"/>
        <v>46003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45988</v>
      </c>
      <c r="B187" s="25" t="s">
        <v>429</v>
      </c>
      <c r="C187" s="77">
        <f t="shared" si="66"/>
        <v>46011</v>
      </c>
      <c r="D187" s="77">
        <f t="shared" si="67"/>
        <v>45995</v>
      </c>
      <c r="E187" s="77">
        <f t="shared" si="68"/>
        <v>46002</v>
      </c>
      <c r="F187" s="77">
        <f t="shared" si="69"/>
        <v>46008</v>
      </c>
      <c r="G187" s="77">
        <f t="shared" si="70"/>
        <v>45996</v>
      </c>
      <c r="H187" s="77">
        <f t="shared" si="71"/>
        <v>46003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430</v>
      </c>
      <c r="C188" s="77">
        <f t="shared" si="66"/>
        <v>46011</v>
      </c>
      <c r="D188" s="77">
        <f t="shared" si="67"/>
        <v>45995</v>
      </c>
      <c r="E188" s="77">
        <f t="shared" si="68"/>
        <v>46002</v>
      </c>
      <c r="F188" s="77">
        <f t="shared" si="69"/>
        <v>46008</v>
      </c>
      <c r="G188" s="77">
        <f t="shared" si="70"/>
        <v>45996</v>
      </c>
      <c r="H188" s="77">
        <f t="shared" si="71"/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559</v>
      </c>
      <c r="C189" s="77">
        <f t="shared" si="66"/>
        <v>46011</v>
      </c>
      <c r="D189" s="77">
        <f t="shared" si="67"/>
        <v>45995</v>
      </c>
      <c r="E189" s="77">
        <f t="shared" si="68"/>
        <v>46002</v>
      </c>
      <c r="F189" s="77">
        <f t="shared" si="69"/>
        <v>46008</v>
      </c>
      <c r="G189" s="77">
        <f t="shared" si="70"/>
        <v>45996</v>
      </c>
      <c r="H189" s="77">
        <f t="shared" si="71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560</v>
      </c>
      <c r="C190" s="77">
        <f t="shared" si="66"/>
        <v>46011</v>
      </c>
      <c r="D190" s="77">
        <f t="shared" si="67"/>
        <v>45995</v>
      </c>
      <c r="E190" s="77">
        <f t="shared" si="68"/>
        <v>46002</v>
      </c>
      <c r="F190" s="77">
        <f t="shared" si="69"/>
        <v>46008</v>
      </c>
      <c r="G190" s="77">
        <f t="shared" si="70"/>
        <v>45996</v>
      </c>
      <c r="H190" s="77">
        <f t="shared" si="71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561</v>
      </c>
      <c r="C191" s="77">
        <f t="shared" si="66"/>
        <v>46011</v>
      </c>
      <c r="D191" s="77">
        <f t="shared" si="67"/>
        <v>45995</v>
      </c>
      <c r="E191" s="77">
        <f t="shared" si="68"/>
        <v>46002</v>
      </c>
      <c r="F191" s="77">
        <f t="shared" si="69"/>
        <v>46008</v>
      </c>
      <c r="G191" s="77">
        <f t="shared" si="70"/>
        <v>45996</v>
      </c>
      <c r="H191" s="77">
        <f t="shared" si="71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562</v>
      </c>
      <c r="C192" s="77">
        <f t="shared" si="66"/>
        <v>46011</v>
      </c>
      <c r="D192" s="77">
        <f t="shared" si="67"/>
        <v>45995</v>
      </c>
      <c r="E192" s="77">
        <f t="shared" si="68"/>
        <v>46002</v>
      </c>
      <c r="F192" s="77">
        <f t="shared" si="69"/>
        <v>46008</v>
      </c>
      <c r="G192" s="77">
        <f t="shared" si="70"/>
        <v>45996</v>
      </c>
      <c r="H192" s="77">
        <f t="shared" si="71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45989</v>
      </c>
      <c r="B193" s="25" t="s">
        <v>563</v>
      </c>
      <c r="C193" s="77">
        <f t="shared" si="66"/>
        <v>46012</v>
      </c>
      <c r="D193" s="77">
        <f t="shared" si="67"/>
        <v>45996</v>
      </c>
      <c r="E193" s="77">
        <f t="shared" si="68"/>
        <v>46003</v>
      </c>
      <c r="F193" s="77">
        <f t="shared" si="69"/>
        <v>46009</v>
      </c>
      <c r="G193" s="77">
        <f t="shared" si="70"/>
        <v>45997</v>
      </c>
      <c r="H193" s="77">
        <f t="shared" si="71"/>
        <v>46004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45989</v>
      </c>
      <c r="B194" s="25" t="s">
        <v>564</v>
      </c>
      <c r="C194" s="77">
        <f t="shared" si="66"/>
        <v>46012</v>
      </c>
      <c r="D194" s="77">
        <f t="shared" si="67"/>
        <v>45996</v>
      </c>
      <c r="E194" s="77">
        <f t="shared" si="68"/>
        <v>46003</v>
      </c>
      <c r="F194" s="77">
        <f t="shared" si="69"/>
        <v>46009</v>
      </c>
      <c r="G194" s="77">
        <f t="shared" si="70"/>
        <v>45997</v>
      </c>
      <c r="H194" s="77">
        <f t="shared" si="71"/>
        <v>46004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565</v>
      </c>
      <c r="C195" s="77">
        <f t="shared" si="66"/>
        <v>46012</v>
      </c>
      <c r="D195" s="77">
        <f t="shared" si="67"/>
        <v>45996</v>
      </c>
      <c r="E195" s="77">
        <f t="shared" si="68"/>
        <v>46003</v>
      </c>
      <c r="F195" s="77">
        <f t="shared" si="69"/>
        <v>46009</v>
      </c>
      <c r="G195" s="77">
        <f t="shared" si="70"/>
        <v>45997</v>
      </c>
      <c r="H195" s="77">
        <f t="shared" si="71"/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566</v>
      </c>
      <c r="C196" s="77">
        <f t="shared" si="66"/>
        <v>46012</v>
      </c>
      <c r="D196" s="77">
        <f t="shared" si="67"/>
        <v>45996</v>
      </c>
      <c r="E196" s="77">
        <f t="shared" si="68"/>
        <v>46003</v>
      </c>
      <c r="F196" s="77">
        <f t="shared" si="69"/>
        <v>46009</v>
      </c>
      <c r="G196" s="77">
        <f t="shared" si="70"/>
        <v>45997</v>
      </c>
      <c r="H196" s="77">
        <f t="shared" si="71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567</v>
      </c>
      <c r="C197" s="77">
        <f t="shared" si="66"/>
        <v>46012</v>
      </c>
      <c r="D197" s="77">
        <f t="shared" si="67"/>
        <v>45996</v>
      </c>
      <c r="E197" s="77">
        <f t="shared" si="68"/>
        <v>46003</v>
      </c>
      <c r="F197" s="77">
        <f t="shared" si="69"/>
        <v>46009</v>
      </c>
      <c r="G197" s="77">
        <f t="shared" si="70"/>
        <v>45997</v>
      </c>
      <c r="H197" s="77">
        <f t="shared" si="71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568</v>
      </c>
      <c r="C198" s="77">
        <f t="shared" si="66"/>
        <v>46012</v>
      </c>
      <c r="D198" s="77">
        <f t="shared" si="67"/>
        <v>45996</v>
      </c>
      <c r="E198" s="77">
        <f t="shared" si="68"/>
        <v>46003</v>
      </c>
      <c r="F198" s="77">
        <f t="shared" si="69"/>
        <v>46009</v>
      </c>
      <c r="G198" s="77">
        <f t="shared" si="70"/>
        <v>45997</v>
      </c>
      <c r="H198" s="77">
        <f t="shared" si="71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569</v>
      </c>
      <c r="C199" s="77">
        <f t="shared" si="66"/>
        <v>46012</v>
      </c>
      <c r="D199" s="77">
        <f t="shared" si="67"/>
        <v>45996</v>
      </c>
      <c r="E199" s="77">
        <f t="shared" si="68"/>
        <v>46003</v>
      </c>
      <c r="F199" s="77">
        <f t="shared" si="69"/>
        <v>46009</v>
      </c>
      <c r="G199" s="77">
        <f t="shared" si="70"/>
        <v>45997</v>
      </c>
      <c r="H199" s="77">
        <f t="shared" si="71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45990</v>
      </c>
      <c r="B200" s="25" t="s">
        <v>570</v>
      </c>
      <c r="C200" s="77">
        <f t="shared" si="66"/>
        <v>46013</v>
      </c>
      <c r="D200" s="77">
        <f t="shared" si="67"/>
        <v>45997</v>
      </c>
      <c r="E200" s="77">
        <f t="shared" si="68"/>
        <v>46004</v>
      </c>
      <c r="F200" s="77">
        <f t="shared" si="69"/>
        <v>46010</v>
      </c>
      <c r="G200" s="77">
        <f t="shared" si="70"/>
        <v>45998</v>
      </c>
      <c r="H200" s="77">
        <f t="shared" si="71"/>
        <v>46005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45990</v>
      </c>
      <c r="B201" s="25" t="s">
        <v>571</v>
      </c>
      <c r="C201" s="77">
        <f t="shared" si="66"/>
        <v>46013</v>
      </c>
      <c r="D201" s="77">
        <f t="shared" si="67"/>
        <v>45997</v>
      </c>
      <c r="E201" s="77">
        <f t="shared" si="68"/>
        <v>46004</v>
      </c>
      <c r="F201" s="77">
        <f t="shared" si="69"/>
        <v>46010</v>
      </c>
      <c r="G201" s="77">
        <f t="shared" si="70"/>
        <v>45998</v>
      </c>
      <c r="H201" s="77">
        <f t="shared" si="71"/>
        <v>46005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572</v>
      </c>
      <c r="C202" s="77">
        <f t="shared" si="66"/>
        <v>46013</v>
      </c>
      <c r="D202" s="77">
        <f t="shared" si="67"/>
        <v>45997</v>
      </c>
      <c r="E202" s="77">
        <f t="shared" si="68"/>
        <v>46004</v>
      </c>
      <c r="F202" s="77">
        <f t="shared" si="69"/>
        <v>46010</v>
      </c>
      <c r="G202" s="77">
        <f t="shared" si="70"/>
        <v>45998</v>
      </c>
      <c r="H202" s="77">
        <f t="shared" si="71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573</v>
      </c>
      <c r="C203" s="77">
        <f t="shared" si="66"/>
        <v>46013</v>
      </c>
      <c r="D203" s="77">
        <f t="shared" si="67"/>
        <v>45997</v>
      </c>
      <c r="E203" s="77">
        <f t="shared" si="68"/>
        <v>46004</v>
      </c>
      <c r="F203" s="77">
        <f t="shared" si="69"/>
        <v>46010</v>
      </c>
      <c r="G203" s="77">
        <f t="shared" si="70"/>
        <v>45998</v>
      </c>
      <c r="H203" s="77">
        <f t="shared" si="71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574</v>
      </c>
      <c r="C204" s="77">
        <f t="shared" si="66"/>
        <v>46013</v>
      </c>
      <c r="D204" s="77">
        <f t="shared" si="67"/>
        <v>45997</v>
      </c>
      <c r="E204" s="77">
        <f t="shared" si="68"/>
        <v>46004</v>
      </c>
      <c r="F204" s="77">
        <f t="shared" si="69"/>
        <v>46010</v>
      </c>
      <c r="G204" s="77">
        <f t="shared" si="70"/>
        <v>45998</v>
      </c>
      <c r="H204" s="77">
        <f t="shared" si="71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575</v>
      </c>
      <c r="C205" s="77">
        <f t="shared" si="66"/>
        <v>46013</v>
      </c>
      <c r="D205" s="77">
        <f t="shared" si="67"/>
        <v>45997</v>
      </c>
      <c r="E205" s="77">
        <f t="shared" si="68"/>
        <v>46004</v>
      </c>
      <c r="F205" s="77">
        <f t="shared" si="69"/>
        <v>46010</v>
      </c>
      <c r="G205" s="77">
        <f t="shared" si="70"/>
        <v>45998</v>
      </c>
      <c r="H205" s="77">
        <f t="shared" si="71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576</v>
      </c>
      <c r="C206" s="77">
        <f t="shared" ref="C206:C209" si="72">A206+23</f>
        <v>46013</v>
      </c>
      <c r="D206" s="77">
        <f t="shared" ref="D206:D209" si="73">A206+7</f>
        <v>45997</v>
      </c>
      <c r="E206" s="77">
        <f t="shared" ref="E206:E209" si="74">A206+14</f>
        <v>46004</v>
      </c>
      <c r="F206" s="77">
        <f t="shared" ref="F206:F209" si="75">A206+20</f>
        <v>46010</v>
      </c>
      <c r="G206" s="77">
        <f t="shared" ref="G206:G209" si="76">A206+8</f>
        <v>45998</v>
      </c>
      <c r="H206" s="77">
        <f t="shared" ref="H206:H209" si="77">A206+15</f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45991</v>
      </c>
      <c r="B207" s="25" t="s">
        <v>458</v>
      </c>
      <c r="C207" s="77">
        <f t="shared" si="72"/>
        <v>46014</v>
      </c>
      <c r="D207" s="77">
        <f t="shared" si="73"/>
        <v>45998</v>
      </c>
      <c r="E207" s="77">
        <f t="shared" si="74"/>
        <v>46005</v>
      </c>
      <c r="F207" s="77">
        <f t="shared" si="75"/>
        <v>46011</v>
      </c>
      <c r="G207" s="77">
        <f t="shared" si="76"/>
        <v>45999</v>
      </c>
      <c r="H207" s="77">
        <f t="shared" si="77"/>
        <v>46006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45991</v>
      </c>
      <c r="B208" s="25" t="s">
        <v>459</v>
      </c>
      <c r="C208" s="77">
        <f t="shared" si="72"/>
        <v>46014</v>
      </c>
      <c r="D208" s="77">
        <f t="shared" si="73"/>
        <v>45998</v>
      </c>
      <c r="E208" s="77">
        <f t="shared" si="74"/>
        <v>46005</v>
      </c>
      <c r="F208" s="77">
        <f t="shared" si="75"/>
        <v>46011</v>
      </c>
      <c r="G208" s="77">
        <f t="shared" si="76"/>
        <v>45999</v>
      </c>
      <c r="H208" s="77">
        <f t="shared" si="77"/>
        <v>46006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460</v>
      </c>
      <c r="C209" s="77">
        <f t="shared" si="72"/>
        <v>46014</v>
      </c>
      <c r="D209" s="77">
        <f t="shared" si="73"/>
        <v>45998</v>
      </c>
      <c r="E209" s="77">
        <f t="shared" si="74"/>
        <v>46005</v>
      </c>
      <c r="F209" s="77">
        <f t="shared" si="75"/>
        <v>46011</v>
      </c>
      <c r="G209" s="77">
        <f t="shared" si="76"/>
        <v>45999</v>
      </c>
      <c r="H209" s="77">
        <f t="shared" si="77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461</v>
      </c>
      <c r="C210" s="77">
        <f t="shared" ref="C210:C213" si="78">A210+23</f>
        <v>46014</v>
      </c>
      <c r="D210" s="77">
        <f t="shared" ref="D210:D213" si="79">A210+7</f>
        <v>45998</v>
      </c>
      <c r="E210" s="77">
        <f t="shared" ref="E210:E213" si="80">A210+14</f>
        <v>46005</v>
      </c>
      <c r="F210" s="77">
        <f t="shared" ref="F210:F213" si="81">A210+20</f>
        <v>46011</v>
      </c>
      <c r="G210" s="77">
        <f t="shared" ref="G210:G213" si="82">A210+8</f>
        <v>45999</v>
      </c>
      <c r="H210" s="77">
        <f t="shared" ref="H210:H213" si="83">A210+15</f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577</v>
      </c>
      <c r="C211" s="77">
        <f t="shared" si="78"/>
        <v>46014</v>
      </c>
      <c r="D211" s="77">
        <f t="shared" si="79"/>
        <v>45998</v>
      </c>
      <c r="E211" s="77">
        <f t="shared" si="80"/>
        <v>46005</v>
      </c>
      <c r="F211" s="77">
        <f t="shared" si="81"/>
        <v>46011</v>
      </c>
      <c r="G211" s="77">
        <f t="shared" si="82"/>
        <v>45999</v>
      </c>
      <c r="H211" s="77">
        <f t="shared" si="83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578</v>
      </c>
      <c r="C212" s="77">
        <f t="shared" si="78"/>
        <v>46014</v>
      </c>
      <c r="D212" s="77">
        <f t="shared" si="79"/>
        <v>45998</v>
      </c>
      <c r="E212" s="77">
        <f t="shared" si="80"/>
        <v>46005</v>
      </c>
      <c r="F212" s="77">
        <f t="shared" si="81"/>
        <v>46011</v>
      </c>
      <c r="G212" s="77">
        <f t="shared" si="82"/>
        <v>45999</v>
      </c>
      <c r="H212" s="77">
        <f t="shared" si="83"/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579</v>
      </c>
      <c r="C213" s="77">
        <f t="shared" si="78"/>
        <v>46014</v>
      </c>
      <c r="D213" s="77">
        <f t="shared" si="79"/>
        <v>45998</v>
      </c>
      <c r="E213" s="77">
        <f t="shared" si="80"/>
        <v>46005</v>
      </c>
      <c r="F213" s="77">
        <f t="shared" si="81"/>
        <v>46011</v>
      </c>
      <c r="G213" s="77">
        <f t="shared" si="82"/>
        <v>45999</v>
      </c>
      <c r="H213" s="77">
        <f t="shared" si="83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45992</v>
      </c>
      <c r="B214" s="25" t="s">
        <v>462</v>
      </c>
      <c r="C214" s="77">
        <f t="shared" ref="C214:C220" si="84">A214+23</f>
        <v>46015</v>
      </c>
      <c r="D214" s="77">
        <f t="shared" ref="D214:D220" si="85">A214+7</f>
        <v>45999</v>
      </c>
      <c r="E214" s="77">
        <f t="shared" ref="E214:E220" si="86">A214+14</f>
        <v>46006</v>
      </c>
      <c r="F214" s="77">
        <f t="shared" ref="F214:F220" si="87">A214+20</f>
        <v>46012</v>
      </c>
      <c r="G214" s="77">
        <f t="shared" ref="G214:G220" si="88">A214+8</f>
        <v>46000</v>
      </c>
      <c r="H214" s="77">
        <f t="shared" ref="H214:H220" si="89">A214+15</f>
        <v>46007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45992</v>
      </c>
      <c r="B215" s="25" t="s">
        <v>463</v>
      </c>
      <c r="C215" s="77">
        <f t="shared" si="84"/>
        <v>46015</v>
      </c>
      <c r="D215" s="77">
        <f t="shared" si="85"/>
        <v>45999</v>
      </c>
      <c r="E215" s="77">
        <f t="shared" si="86"/>
        <v>46006</v>
      </c>
      <c r="F215" s="77">
        <f t="shared" si="87"/>
        <v>46012</v>
      </c>
      <c r="G215" s="77">
        <f t="shared" si="88"/>
        <v>46000</v>
      </c>
      <c r="H215" s="77">
        <f t="shared" si="89"/>
        <v>46007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464</v>
      </c>
      <c r="C216" s="77">
        <f t="shared" si="84"/>
        <v>46015</v>
      </c>
      <c r="D216" s="77">
        <f t="shared" si="85"/>
        <v>45999</v>
      </c>
      <c r="E216" s="77">
        <f t="shared" si="86"/>
        <v>46006</v>
      </c>
      <c r="F216" s="77">
        <f t="shared" si="87"/>
        <v>46012</v>
      </c>
      <c r="G216" s="77">
        <f t="shared" si="88"/>
        <v>46000</v>
      </c>
      <c r="H216" s="77">
        <f t="shared" si="89"/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424</v>
      </c>
      <c r="C217" s="77">
        <f t="shared" si="84"/>
        <v>46015</v>
      </c>
      <c r="D217" s="77">
        <f t="shared" si="85"/>
        <v>45999</v>
      </c>
      <c r="E217" s="77">
        <f t="shared" si="86"/>
        <v>46006</v>
      </c>
      <c r="F217" s="77">
        <f t="shared" si="87"/>
        <v>46012</v>
      </c>
      <c r="G217" s="77">
        <f t="shared" si="88"/>
        <v>46000</v>
      </c>
      <c r="H217" s="77">
        <f t="shared" si="89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425</v>
      </c>
      <c r="C218" s="77">
        <f t="shared" si="84"/>
        <v>46015</v>
      </c>
      <c r="D218" s="77">
        <f t="shared" si="85"/>
        <v>45999</v>
      </c>
      <c r="E218" s="77">
        <f t="shared" si="86"/>
        <v>46006</v>
      </c>
      <c r="F218" s="77">
        <f t="shared" si="87"/>
        <v>46012</v>
      </c>
      <c r="G218" s="77">
        <f t="shared" si="88"/>
        <v>46000</v>
      </c>
      <c r="H218" s="77">
        <f t="shared" si="89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426</v>
      </c>
      <c r="C219" s="77">
        <f t="shared" si="84"/>
        <v>46015</v>
      </c>
      <c r="D219" s="77">
        <f t="shared" si="85"/>
        <v>45999</v>
      </c>
      <c r="E219" s="77">
        <f t="shared" si="86"/>
        <v>46006</v>
      </c>
      <c r="F219" s="77">
        <f t="shared" si="87"/>
        <v>46012</v>
      </c>
      <c r="G219" s="77">
        <f t="shared" si="88"/>
        <v>46000</v>
      </c>
      <c r="H219" s="77">
        <f t="shared" si="89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427</v>
      </c>
      <c r="C220" s="77">
        <f t="shared" si="84"/>
        <v>46015</v>
      </c>
      <c r="D220" s="77">
        <f t="shared" si="85"/>
        <v>45999</v>
      </c>
      <c r="E220" s="77">
        <f t="shared" si="86"/>
        <v>46006</v>
      </c>
      <c r="F220" s="77">
        <f t="shared" si="87"/>
        <v>46012</v>
      </c>
      <c r="G220" s="77">
        <f t="shared" si="88"/>
        <v>46000</v>
      </c>
      <c r="H220" s="77">
        <f t="shared" si="89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45994</v>
      </c>
      <c r="B221" s="25" t="s">
        <v>421</v>
      </c>
      <c r="C221" s="77">
        <f t="shared" ref="C221:C229" si="90">A221+23</f>
        <v>46017</v>
      </c>
      <c r="D221" s="77">
        <f t="shared" ref="D221:D229" si="91">A221+7</f>
        <v>46001</v>
      </c>
      <c r="E221" s="77">
        <f t="shared" ref="E221:E229" si="92">A221+14</f>
        <v>46008</v>
      </c>
      <c r="F221" s="77">
        <f t="shared" ref="F221:F229" si="93">A221+20</f>
        <v>46014</v>
      </c>
      <c r="G221" s="77">
        <f t="shared" ref="G221:G229" si="94">A221+8</f>
        <v>46002</v>
      </c>
      <c r="H221" s="77">
        <f t="shared" ref="H221:H229" si="95">A221+15</f>
        <v>46009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45994</v>
      </c>
      <c r="B222" s="25" t="s">
        <v>422</v>
      </c>
      <c r="C222" s="77">
        <f t="shared" si="90"/>
        <v>46017</v>
      </c>
      <c r="D222" s="77">
        <f t="shared" si="91"/>
        <v>46001</v>
      </c>
      <c r="E222" s="77">
        <f t="shared" si="92"/>
        <v>46008</v>
      </c>
      <c r="F222" s="77">
        <f t="shared" si="93"/>
        <v>46014</v>
      </c>
      <c r="G222" s="77">
        <f t="shared" si="94"/>
        <v>46002</v>
      </c>
      <c r="H222" s="77">
        <f t="shared" si="95"/>
        <v>46009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423</v>
      </c>
      <c r="C223" s="77">
        <f t="shared" si="90"/>
        <v>46017</v>
      </c>
      <c r="D223" s="77">
        <f t="shared" si="91"/>
        <v>46001</v>
      </c>
      <c r="E223" s="77">
        <f t="shared" si="92"/>
        <v>46008</v>
      </c>
      <c r="F223" s="77">
        <f t="shared" si="93"/>
        <v>46014</v>
      </c>
      <c r="G223" s="77">
        <f t="shared" si="94"/>
        <v>46002</v>
      </c>
      <c r="H223" s="77">
        <f t="shared" si="95"/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452</v>
      </c>
      <c r="C224" s="77">
        <f t="shared" si="90"/>
        <v>46017</v>
      </c>
      <c r="D224" s="77">
        <f t="shared" si="91"/>
        <v>46001</v>
      </c>
      <c r="E224" s="77">
        <f t="shared" si="92"/>
        <v>46008</v>
      </c>
      <c r="F224" s="77">
        <f t="shared" si="93"/>
        <v>46014</v>
      </c>
      <c r="G224" s="77">
        <f t="shared" si="94"/>
        <v>46002</v>
      </c>
      <c r="H224" s="77">
        <f t="shared" si="95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453</v>
      </c>
      <c r="C225" s="77">
        <f t="shared" si="90"/>
        <v>46017</v>
      </c>
      <c r="D225" s="77">
        <f t="shared" si="91"/>
        <v>46001</v>
      </c>
      <c r="E225" s="77">
        <f t="shared" si="92"/>
        <v>46008</v>
      </c>
      <c r="F225" s="77">
        <f t="shared" si="93"/>
        <v>46014</v>
      </c>
      <c r="G225" s="77">
        <f t="shared" si="94"/>
        <v>46002</v>
      </c>
      <c r="H225" s="77">
        <f t="shared" si="95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454</v>
      </c>
      <c r="C226" s="77">
        <f t="shared" si="90"/>
        <v>46017</v>
      </c>
      <c r="D226" s="77">
        <f t="shared" si="91"/>
        <v>46001</v>
      </c>
      <c r="E226" s="77">
        <f t="shared" si="92"/>
        <v>46008</v>
      </c>
      <c r="F226" s="77">
        <f t="shared" si="93"/>
        <v>46014</v>
      </c>
      <c r="G226" s="77">
        <f t="shared" si="94"/>
        <v>46002</v>
      </c>
      <c r="H226" s="77">
        <f t="shared" si="95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455</v>
      </c>
      <c r="C227" s="77">
        <f t="shared" si="90"/>
        <v>46017</v>
      </c>
      <c r="D227" s="77">
        <f t="shared" si="91"/>
        <v>46001</v>
      </c>
      <c r="E227" s="77">
        <f t="shared" si="92"/>
        <v>46008</v>
      </c>
      <c r="F227" s="77">
        <f t="shared" si="93"/>
        <v>46014</v>
      </c>
      <c r="G227" s="77">
        <f t="shared" si="94"/>
        <v>46002</v>
      </c>
      <c r="H227" s="77">
        <f t="shared" si="95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456</v>
      </c>
      <c r="C228" s="77">
        <f t="shared" si="90"/>
        <v>46017</v>
      </c>
      <c r="D228" s="77">
        <f t="shared" si="91"/>
        <v>46001</v>
      </c>
      <c r="E228" s="77">
        <f t="shared" si="92"/>
        <v>46008</v>
      </c>
      <c r="F228" s="77">
        <f t="shared" si="93"/>
        <v>46014</v>
      </c>
      <c r="G228" s="77">
        <f t="shared" si="94"/>
        <v>46002</v>
      </c>
      <c r="H228" s="77">
        <f t="shared" si="95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457</v>
      </c>
      <c r="C229" s="77">
        <f t="shared" si="90"/>
        <v>46017</v>
      </c>
      <c r="D229" s="77">
        <f t="shared" si="91"/>
        <v>46001</v>
      </c>
      <c r="E229" s="77">
        <f t="shared" si="92"/>
        <v>46008</v>
      </c>
      <c r="F229" s="77">
        <f t="shared" si="93"/>
        <v>46014</v>
      </c>
      <c r="G229" s="77">
        <f t="shared" si="94"/>
        <v>46002</v>
      </c>
      <c r="H229" s="77">
        <f t="shared" si="95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45995</v>
      </c>
      <c r="B230" s="25" t="s">
        <v>417</v>
      </c>
      <c r="C230" s="77">
        <f t="shared" ref="C230:C239" si="96">A230+23</f>
        <v>46018</v>
      </c>
      <c r="D230" s="77">
        <f t="shared" ref="D230:D239" si="97">A230+7</f>
        <v>46002</v>
      </c>
      <c r="E230" s="77">
        <f t="shared" ref="E230:E239" si="98">A230+14</f>
        <v>46009</v>
      </c>
      <c r="F230" s="77">
        <f t="shared" ref="F230:F239" si="99">A230+20</f>
        <v>46015</v>
      </c>
      <c r="G230" s="77">
        <f t="shared" ref="G230:G239" si="100">A230+8</f>
        <v>46003</v>
      </c>
      <c r="H230" s="77">
        <f t="shared" ref="H230:H239" si="101">A230+15</f>
        <v>46010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45995</v>
      </c>
      <c r="B231" s="25" t="s">
        <v>418</v>
      </c>
      <c r="C231" s="77">
        <f t="shared" si="96"/>
        <v>46018</v>
      </c>
      <c r="D231" s="77">
        <f t="shared" si="97"/>
        <v>46002</v>
      </c>
      <c r="E231" s="77">
        <f t="shared" si="98"/>
        <v>46009</v>
      </c>
      <c r="F231" s="77">
        <f t="shared" si="99"/>
        <v>46015</v>
      </c>
      <c r="G231" s="77">
        <f t="shared" si="100"/>
        <v>46003</v>
      </c>
      <c r="H231" s="77">
        <f t="shared" si="101"/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419</v>
      </c>
      <c r="C232" s="77">
        <f t="shared" si="96"/>
        <v>46018</v>
      </c>
      <c r="D232" s="77">
        <f t="shared" si="97"/>
        <v>46002</v>
      </c>
      <c r="E232" s="77">
        <f t="shared" si="98"/>
        <v>46009</v>
      </c>
      <c r="F232" s="77">
        <f t="shared" si="99"/>
        <v>46015</v>
      </c>
      <c r="G232" s="77">
        <f t="shared" si="100"/>
        <v>46003</v>
      </c>
      <c r="H232" s="77">
        <f t="shared" si="101"/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420</v>
      </c>
      <c r="C233" s="77">
        <f t="shared" si="96"/>
        <v>46018</v>
      </c>
      <c r="D233" s="77">
        <f t="shared" si="97"/>
        <v>46002</v>
      </c>
      <c r="E233" s="77">
        <f t="shared" si="98"/>
        <v>46009</v>
      </c>
      <c r="F233" s="77">
        <f t="shared" si="99"/>
        <v>46015</v>
      </c>
      <c r="G233" s="77">
        <f t="shared" si="100"/>
        <v>46003</v>
      </c>
      <c r="H233" s="77">
        <f t="shared" si="101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451</v>
      </c>
      <c r="C234" s="77">
        <f t="shared" si="96"/>
        <v>46018</v>
      </c>
      <c r="D234" s="77">
        <f t="shared" si="97"/>
        <v>46002</v>
      </c>
      <c r="E234" s="77">
        <f t="shared" si="98"/>
        <v>46009</v>
      </c>
      <c r="F234" s="77">
        <f t="shared" si="99"/>
        <v>46015</v>
      </c>
      <c r="G234" s="77">
        <f t="shared" si="100"/>
        <v>46003</v>
      </c>
      <c r="H234" s="77">
        <f t="shared" si="101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465</v>
      </c>
      <c r="C235" s="77">
        <f t="shared" si="96"/>
        <v>46018</v>
      </c>
      <c r="D235" s="77">
        <f t="shared" si="97"/>
        <v>46002</v>
      </c>
      <c r="E235" s="77">
        <f t="shared" si="98"/>
        <v>46009</v>
      </c>
      <c r="F235" s="77">
        <f t="shared" si="99"/>
        <v>46015</v>
      </c>
      <c r="G235" s="77">
        <f t="shared" si="100"/>
        <v>46003</v>
      </c>
      <c r="H235" s="77">
        <f t="shared" si="101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467</v>
      </c>
      <c r="C236" s="77">
        <f t="shared" si="96"/>
        <v>46018</v>
      </c>
      <c r="D236" s="77">
        <f t="shared" si="97"/>
        <v>46002</v>
      </c>
      <c r="E236" s="77">
        <f t="shared" si="98"/>
        <v>46009</v>
      </c>
      <c r="F236" s="77">
        <f t="shared" si="99"/>
        <v>46015</v>
      </c>
      <c r="G236" s="77">
        <f t="shared" si="100"/>
        <v>46003</v>
      </c>
      <c r="H236" s="77">
        <f t="shared" si="101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469</v>
      </c>
      <c r="C237" s="77">
        <f t="shared" si="96"/>
        <v>46018</v>
      </c>
      <c r="D237" s="77">
        <f t="shared" si="97"/>
        <v>46002</v>
      </c>
      <c r="E237" s="77">
        <f t="shared" si="98"/>
        <v>46009</v>
      </c>
      <c r="F237" s="77">
        <f t="shared" si="99"/>
        <v>46015</v>
      </c>
      <c r="G237" s="77">
        <f t="shared" si="100"/>
        <v>46003</v>
      </c>
      <c r="H237" s="77">
        <f t="shared" si="101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470</v>
      </c>
      <c r="C238" s="77">
        <f t="shared" si="96"/>
        <v>46018</v>
      </c>
      <c r="D238" s="77">
        <f t="shared" si="97"/>
        <v>46002</v>
      </c>
      <c r="E238" s="77">
        <f t="shared" si="98"/>
        <v>46009</v>
      </c>
      <c r="F238" s="77">
        <f t="shared" si="99"/>
        <v>46015</v>
      </c>
      <c r="G238" s="77">
        <f t="shared" si="100"/>
        <v>46003</v>
      </c>
      <c r="H238" s="77">
        <f t="shared" si="101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471</v>
      </c>
      <c r="C239" s="77">
        <f t="shared" si="96"/>
        <v>46018</v>
      </c>
      <c r="D239" s="77">
        <f t="shared" si="97"/>
        <v>46002</v>
      </c>
      <c r="E239" s="77">
        <f t="shared" si="98"/>
        <v>46009</v>
      </c>
      <c r="F239" s="77">
        <f t="shared" si="99"/>
        <v>46015</v>
      </c>
      <c r="G239" s="77">
        <f t="shared" si="100"/>
        <v>46003</v>
      </c>
      <c r="H239" s="77">
        <f t="shared" si="101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45996</v>
      </c>
      <c r="B240" s="25" t="s">
        <v>414</v>
      </c>
      <c r="C240" s="77">
        <f t="shared" ref="C240:C246" si="102">A240+23</f>
        <v>46019</v>
      </c>
      <c r="D240" s="77">
        <f t="shared" ref="D240:D246" si="103">A240+7</f>
        <v>46003</v>
      </c>
      <c r="E240" s="77">
        <f t="shared" ref="E240:E246" si="104">A240+14</f>
        <v>46010</v>
      </c>
      <c r="F240" s="77">
        <f t="shared" ref="F240:F246" si="105">A240+20</f>
        <v>46016</v>
      </c>
      <c r="G240" s="77">
        <f t="shared" ref="G240:G246" si="106">A240+8</f>
        <v>46004</v>
      </c>
      <c r="H240" s="77">
        <f t="shared" ref="H240:H246" si="107">A240+15</f>
        <v>46011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415</v>
      </c>
      <c r="C241" s="77">
        <f t="shared" si="102"/>
        <v>46019</v>
      </c>
      <c r="D241" s="77">
        <f t="shared" si="103"/>
        <v>46003</v>
      </c>
      <c r="E241" s="77">
        <f t="shared" si="104"/>
        <v>46010</v>
      </c>
      <c r="F241" s="77">
        <f t="shared" si="105"/>
        <v>46016</v>
      </c>
      <c r="G241" s="77">
        <f t="shared" si="106"/>
        <v>46004</v>
      </c>
      <c r="H241" s="77">
        <f t="shared" si="107"/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416</v>
      </c>
      <c r="C242" s="77">
        <f t="shared" si="102"/>
        <v>46019</v>
      </c>
      <c r="D242" s="77">
        <f t="shared" si="103"/>
        <v>46003</v>
      </c>
      <c r="E242" s="77">
        <f t="shared" si="104"/>
        <v>46010</v>
      </c>
      <c r="F242" s="77">
        <f t="shared" si="105"/>
        <v>46016</v>
      </c>
      <c r="G242" s="77">
        <f t="shared" si="106"/>
        <v>46004</v>
      </c>
      <c r="H242" s="77">
        <f t="shared" si="107"/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448</v>
      </c>
      <c r="C243" s="77">
        <f t="shared" si="102"/>
        <v>46019</v>
      </c>
      <c r="D243" s="77">
        <f t="shared" si="103"/>
        <v>46003</v>
      </c>
      <c r="E243" s="77">
        <f t="shared" si="104"/>
        <v>46010</v>
      </c>
      <c r="F243" s="77">
        <f t="shared" si="105"/>
        <v>46016</v>
      </c>
      <c r="G243" s="77">
        <f t="shared" si="106"/>
        <v>46004</v>
      </c>
      <c r="H243" s="77">
        <f t="shared" si="107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449</v>
      </c>
      <c r="C244" s="77">
        <f t="shared" si="102"/>
        <v>46019</v>
      </c>
      <c r="D244" s="77">
        <f t="shared" si="103"/>
        <v>46003</v>
      </c>
      <c r="E244" s="77">
        <f t="shared" si="104"/>
        <v>46010</v>
      </c>
      <c r="F244" s="77">
        <f t="shared" si="105"/>
        <v>46016</v>
      </c>
      <c r="G244" s="77">
        <f t="shared" si="106"/>
        <v>46004</v>
      </c>
      <c r="H244" s="77">
        <f t="shared" si="107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466</v>
      </c>
      <c r="C245" s="77">
        <f t="shared" si="102"/>
        <v>46019</v>
      </c>
      <c r="D245" s="77">
        <f t="shared" si="103"/>
        <v>46003</v>
      </c>
      <c r="E245" s="77">
        <f t="shared" si="104"/>
        <v>46010</v>
      </c>
      <c r="F245" s="77">
        <f t="shared" si="105"/>
        <v>46016</v>
      </c>
      <c r="G245" s="77">
        <f t="shared" si="106"/>
        <v>46004</v>
      </c>
      <c r="H245" s="77">
        <f t="shared" si="107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468</v>
      </c>
      <c r="C246" s="77">
        <f t="shared" si="102"/>
        <v>46019</v>
      </c>
      <c r="D246" s="77">
        <f t="shared" si="103"/>
        <v>46003</v>
      </c>
      <c r="E246" s="77">
        <f t="shared" si="104"/>
        <v>46010</v>
      </c>
      <c r="F246" s="77">
        <f t="shared" si="105"/>
        <v>46016</v>
      </c>
      <c r="G246" s="77">
        <f t="shared" si="106"/>
        <v>46004</v>
      </c>
      <c r="H246" s="77">
        <f t="shared" si="107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45997</v>
      </c>
      <c r="B247" s="25" t="s">
        <v>412</v>
      </c>
      <c r="C247" s="77">
        <f t="shared" ref="C247:C253" si="108">A247+23</f>
        <v>46020</v>
      </c>
      <c r="D247" s="77">
        <f t="shared" ref="D247:D253" si="109">A247+7</f>
        <v>46004</v>
      </c>
      <c r="E247" s="77">
        <f t="shared" ref="E247:E253" si="110">A247+14</f>
        <v>46011</v>
      </c>
      <c r="F247" s="77">
        <f t="shared" ref="F247:F253" si="111">A247+20</f>
        <v>46017</v>
      </c>
      <c r="G247" s="77">
        <f t="shared" ref="G247:G253" si="112">A247+8</f>
        <v>46005</v>
      </c>
      <c r="H247" s="77">
        <f t="shared" ref="H247:H253" si="113">A247+15</f>
        <v>46012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413</v>
      </c>
      <c r="C248" s="77">
        <f t="shared" si="108"/>
        <v>46020</v>
      </c>
      <c r="D248" s="77">
        <f t="shared" si="109"/>
        <v>46004</v>
      </c>
      <c r="E248" s="77">
        <f t="shared" si="110"/>
        <v>46011</v>
      </c>
      <c r="F248" s="77">
        <f t="shared" si="111"/>
        <v>46017</v>
      </c>
      <c r="G248" s="77">
        <f t="shared" si="112"/>
        <v>46005</v>
      </c>
      <c r="H248" s="77">
        <f t="shared" si="113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444</v>
      </c>
      <c r="C249" s="77">
        <f t="shared" si="108"/>
        <v>46020</v>
      </c>
      <c r="D249" s="77">
        <f t="shared" si="109"/>
        <v>46004</v>
      </c>
      <c r="E249" s="77">
        <f t="shared" si="110"/>
        <v>46011</v>
      </c>
      <c r="F249" s="77">
        <f t="shared" si="111"/>
        <v>46017</v>
      </c>
      <c r="G249" s="77">
        <f t="shared" si="112"/>
        <v>46005</v>
      </c>
      <c r="H249" s="77">
        <f t="shared" si="113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445</v>
      </c>
      <c r="C250" s="77">
        <f t="shared" si="108"/>
        <v>46020</v>
      </c>
      <c r="D250" s="77">
        <f t="shared" si="109"/>
        <v>46004</v>
      </c>
      <c r="E250" s="77">
        <f t="shared" si="110"/>
        <v>46011</v>
      </c>
      <c r="F250" s="77">
        <f t="shared" si="111"/>
        <v>46017</v>
      </c>
      <c r="G250" s="77">
        <f t="shared" si="112"/>
        <v>46005</v>
      </c>
      <c r="H250" s="77">
        <f t="shared" si="113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446</v>
      </c>
      <c r="C251" s="77">
        <f t="shared" si="108"/>
        <v>46020</v>
      </c>
      <c r="D251" s="77">
        <f t="shared" si="109"/>
        <v>46004</v>
      </c>
      <c r="E251" s="77">
        <f t="shared" si="110"/>
        <v>46011</v>
      </c>
      <c r="F251" s="77">
        <f t="shared" si="111"/>
        <v>46017</v>
      </c>
      <c r="G251" s="77">
        <f t="shared" si="112"/>
        <v>46005</v>
      </c>
      <c r="H251" s="77">
        <f t="shared" si="113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447</v>
      </c>
      <c r="C252" s="77">
        <f t="shared" si="108"/>
        <v>46020</v>
      </c>
      <c r="D252" s="77">
        <f t="shared" si="109"/>
        <v>46004</v>
      </c>
      <c r="E252" s="77">
        <f t="shared" si="110"/>
        <v>46011</v>
      </c>
      <c r="F252" s="77">
        <f t="shared" si="111"/>
        <v>46017</v>
      </c>
      <c r="G252" s="77">
        <f t="shared" si="112"/>
        <v>46005</v>
      </c>
      <c r="H252" s="77">
        <f t="shared" si="113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450</v>
      </c>
      <c r="C253" s="77">
        <f t="shared" si="108"/>
        <v>46020</v>
      </c>
      <c r="D253" s="77">
        <f t="shared" si="109"/>
        <v>46004</v>
      </c>
      <c r="E253" s="77">
        <f t="shared" si="110"/>
        <v>46011</v>
      </c>
      <c r="F253" s="77">
        <f t="shared" si="111"/>
        <v>46017</v>
      </c>
      <c r="G253" s="77">
        <f t="shared" si="112"/>
        <v>46005</v>
      </c>
      <c r="H253" s="77">
        <f t="shared" si="113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45998</v>
      </c>
      <c r="B254" s="25" t="s">
        <v>442</v>
      </c>
      <c r="C254" s="77">
        <f t="shared" ref="C254:C262" si="114">A254+23</f>
        <v>46021</v>
      </c>
      <c r="D254" s="77">
        <f t="shared" ref="D254:D262" si="115">A254+7</f>
        <v>46005</v>
      </c>
      <c r="E254" s="77">
        <f t="shared" ref="E254:E262" si="116">A254+14</f>
        <v>46012</v>
      </c>
      <c r="F254" s="77">
        <f t="shared" ref="F254:F262" si="117">A254+20</f>
        <v>46018</v>
      </c>
      <c r="G254" s="77">
        <f t="shared" ref="G254:G262" si="118">A254+8</f>
        <v>46006</v>
      </c>
      <c r="H254" s="77">
        <f t="shared" ref="H254:H262" si="119">A254+15</f>
        <v>46013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443</v>
      </c>
      <c r="C255" s="77">
        <f t="shared" si="114"/>
        <v>46021</v>
      </c>
      <c r="D255" s="77">
        <f t="shared" si="115"/>
        <v>46005</v>
      </c>
      <c r="E255" s="77">
        <f t="shared" si="116"/>
        <v>46012</v>
      </c>
      <c r="F255" s="77">
        <f t="shared" si="117"/>
        <v>46018</v>
      </c>
      <c r="G255" s="77">
        <f t="shared" si="118"/>
        <v>46006</v>
      </c>
      <c r="H255" s="77">
        <f t="shared" si="119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476</v>
      </c>
      <c r="C256" s="77">
        <f t="shared" si="114"/>
        <v>46021</v>
      </c>
      <c r="D256" s="77">
        <f t="shared" si="115"/>
        <v>46005</v>
      </c>
      <c r="E256" s="77">
        <f t="shared" si="116"/>
        <v>46012</v>
      </c>
      <c r="F256" s="77">
        <f t="shared" si="117"/>
        <v>46018</v>
      </c>
      <c r="G256" s="77">
        <f t="shared" si="118"/>
        <v>46006</v>
      </c>
      <c r="H256" s="77">
        <f t="shared" si="119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477</v>
      </c>
      <c r="C257" s="77">
        <f t="shared" si="114"/>
        <v>46021</v>
      </c>
      <c r="D257" s="77">
        <f t="shared" si="115"/>
        <v>46005</v>
      </c>
      <c r="E257" s="77">
        <f t="shared" si="116"/>
        <v>46012</v>
      </c>
      <c r="F257" s="77">
        <f t="shared" si="117"/>
        <v>46018</v>
      </c>
      <c r="G257" s="77">
        <f t="shared" si="118"/>
        <v>46006</v>
      </c>
      <c r="H257" s="77">
        <f t="shared" si="119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478</v>
      </c>
      <c r="C258" s="77">
        <f t="shared" si="114"/>
        <v>46021</v>
      </c>
      <c r="D258" s="77">
        <f t="shared" si="115"/>
        <v>46005</v>
      </c>
      <c r="E258" s="77">
        <f t="shared" si="116"/>
        <v>46012</v>
      </c>
      <c r="F258" s="77">
        <f t="shared" si="117"/>
        <v>46018</v>
      </c>
      <c r="G258" s="77">
        <f t="shared" si="118"/>
        <v>46006</v>
      </c>
      <c r="H258" s="77">
        <f t="shared" si="119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479</v>
      </c>
      <c r="C259" s="77">
        <f t="shared" si="114"/>
        <v>46021</v>
      </c>
      <c r="D259" s="77">
        <f t="shared" si="115"/>
        <v>46005</v>
      </c>
      <c r="E259" s="77">
        <f t="shared" si="116"/>
        <v>46012</v>
      </c>
      <c r="F259" s="77">
        <f t="shared" si="117"/>
        <v>46018</v>
      </c>
      <c r="G259" s="77">
        <f t="shared" si="118"/>
        <v>46006</v>
      </c>
      <c r="H259" s="77">
        <f t="shared" si="119"/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480</v>
      </c>
      <c r="C260" s="77">
        <f t="shared" si="114"/>
        <v>46021</v>
      </c>
      <c r="D260" s="77">
        <f t="shared" si="115"/>
        <v>46005</v>
      </c>
      <c r="E260" s="77">
        <f t="shared" si="116"/>
        <v>46012</v>
      </c>
      <c r="F260" s="77">
        <f t="shared" si="117"/>
        <v>46018</v>
      </c>
      <c r="G260" s="77">
        <f t="shared" si="118"/>
        <v>46006</v>
      </c>
      <c r="H260" s="77">
        <f t="shared" si="119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481</v>
      </c>
      <c r="C261" s="77">
        <f t="shared" si="114"/>
        <v>46021</v>
      </c>
      <c r="D261" s="77">
        <f t="shared" si="115"/>
        <v>46005</v>
      </c>
      <c r="E261" s="77">
        <f t="shared" si="116"/>
        <v>46012</v>
      </c>
      <c r="F261" s="77">
        <f t="shared" si="117"/>
        <v>46018</v>
      </c>
      <c r="G261" s="77">
        <f t="shared" si="118"/>
        <v>46006</v>
      </c>
      <c r="H261" s="77">
        <f t="shared" si="119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482</v>
      </c>
      <c r="C262" s="77">
        <f t="shared" si="114"/>
        <v>46021</v>
      </c>
      <c r="D262" s="77">
        <f t="shared" si="115"/>
        <v>46005</v>
      </c>
      <c r="E262" s="77">
        <f t="shared" si="116"/>
        <v>46012</v>
      </c>
      <c r="F262" s="77">
        <f t="shared" si="117"/>
        <v>46018</v>
      </c>
      <c r="G262" s="77">
        <f t="shared" si="118"/>
        <v>46006</v>
      </c>
      <c r="H262" s="77">
        <f t="shared" si="119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45999</v>
      </c>
      <c r="B263" s="25" t="s">
        <v>483</v>
      </c>
      <c r="C263" s="77">
        <f t="shared" ref="C263:C297" si="120">A263+23</f>
        <v>46022</v>
      </c>
      <c r="D263" s="77">
        <f t="shared" ref="D263:D297" si="121">A263+7</f>
        <v>46006</v>
      </c>
      <c r="E263" s="77">
        <f t="shared" ref="E263:E297" si="122">A263+14</f>
        <v>46013</v>
      </c>
      <c r="F263" s="77">
        <f t="shared" ref="F263:F297" si="123">A263+20</f>
        <v>46019</v>
      </c>
      <c r="G263" s="77">
        <f t="shared" ref="G263:G297" si="124">A263+8</f>
        <v>46007</v>
      </c>
      <c r="H263" s="77">
        <f t="shared" ref="H263:H297" si="125">A263+15</f>
        <v>46014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484</v>
      </c>
      <c r="C264" s="77">
        <f t="shared" si="120"/>
        <v>46022</v>
      </c>
      <c r="D264" s="77">
        <f t="shared" si="121"/>
        <v>46006</v>
      </c>
      <c r="E264" s="77">
        <f t="shared" si="122"/>
        <v>46013</v>
      </c>
      <c r="F264" s="77">
        <f t="shared" si="123"/>
        <v>46019</v>
      </c>
      <c r="G264" s="77">
        <f t="shared" si="124"/>
        <v>46007</v>
      </c>
      <c r="H264" s="77">
        <f t="shared" si="125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485</v>
      </c>
      <c r="C265" s="77">
        <f t="shared" si="120"/>
        <v>46022</v>
      </c>
      <c r="D265" s="77">
        <f t="shared" si="121"/>
        <v>46006</v>
      </c>
      <c r="E265" s="77">
        <f t="shared" si="122"/>
        <v>46013</v>
      </c>
      <c r="F265" s="77">
        <f t="shared" si="123"/>
        <v>46019</v>
      </c>
      <c r="G265" s="77">
        <f t="shared" si="124"/>
        <v>46007</v>
      </c>
      <c r="H265" s="77">
        <f t="shared" si="125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486</v>
      </c>
      <c r="C266" s="77">
        <f t="shared" si="120"/>
        <v>46022</v>
      </c>
      <c r="D266" s="77">
        <f t="shared" si="121"/>
        <v>46006</v>
      </c>
      <c r="E266" s="77">
        <f t="shared" si="122"/>
        <v>46013</v>
      </c>
      <c r="F266" s="77">
        <f t="shared" si="123"/>
        <v>46019</v>
      </c>
      <c r="G266" s="77">
        <f t="shared" si="124"/>
        <v>46007</v>
      </c>
      <c r="H266" s="77">
        <f t="shared" si="125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487</v>
      </c>
      <c r="C267" s="77">
        <f t="shared" si="120"/>
        <v>46022</v>
      </c>
      <c r="D267" s="77">
        <f t="shared" si="121"/>
        <v>46006</v>
      </c>
      <c r="E267" s="77">
        <f t="shared" si="122"/>
        <v>46013</v>
      </c>
      <c r="F267" s="77">
        <f t="shared" si="123"/>
        <v>46019</v>
      </c>
      <c r="G267" s="77">
        <f t="shared" si="124"/>
        <v>46007</v>
      </c>
      <c r="H267" s="77">
        <f t="shared" si="125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488</v>
      </c>
      <c r="C268" s="77">
        <f t="shared" si="120"/>
        <v>46022</v>
      </c>
      <c r="D268" s="77">
        <f t="shared" si="121"/>
        <v>46006</v>
      </c>
      <c r="E268" s="77">
        <f t="shared" si="122"/>
        <v>46013</v>
      </c>
      <c r="F268" s="77">
        <f t="shared" si="123"/>
        <v>46019</v>
      </c>
      <c r="G268" s="77">
        <f t="shared" si="124"/>
        <v>46007</v>
      </c>
      <c r="H268" s="77">
        <f t="shared" si="125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489</v>
      </c>
      <c r="C269" s="77">
        <f t="shared" si="120"/>
        <v>46022</v>
      </c>
      <c r="D269" s="77">
        <f t="shared" si="121"/>
        <v>46006</v>
      </c>
      <c r="E269" s="77">
        <f t="shared" si="122"/>
        <v>46013</v>
      </c>
      <c r="F269" s="77">
        <f t="shared" si="123"/>
        <v>46019</v>
      </c>
      <c r="G269" s="77">
        <f t="shared" si="124"/>
        <v>46007</v>
      </c>
      <c r="H269" s="77">
        <f t="shared" si="125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46000</v>
      </c>
      <c r="B270" s="25" t="s">
        <v>490</v>
      </c>
      <c r="C270" s="77">
        <f t="shared" si="120"/>
        <v>46023</v>
      </c>
      <c r="D270" s="77">
        <f t="shared" si="121"/>
        <v>46007</v>
      </c>
      <c r="E270" s="77">
        <f t="shared" si="122"/>
        <v>46014</v>
      </c>
      <c r="F270" s="77">
        <f t="shared" si="123"/>
        <v>46020</v>
      </c>
      <c r="G270" s="77">
        <f t="shared" si="124"/>
        <v>46008</v>
      </c>
      <c r="H270" s="77">
        <f t="shared" si="125"/>
        <v>46015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491</v>
      </c>
      <c r="C271" s="77">
        <f t="shared" si="120"/>
        <v>46023</v>
      </c>
      <c r="D271" s="77">
        <f t="shared" si="121"/>
        <v>46007</v>
      </c>
      <c r="E271" s="77">
        <f t="shared" si="122"/>
        <v>46014</v>
      </c>
      <c r="F271" s="77">
        <f t="shared" si="123"/>
        <v>46020</v>
      </c>
      <c r="G271" s="77">
        <f t="shared" si="124"/>
        <v>46008</v>
      </c>
      <c r="H271" s="77">
        <f t="shared" si="125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492</v>
      </c>
      <c r="C272" s="77">
        <f t="shared" si="120"/>
        <v>46023</v>
      </c>
      <c r="D272" s="77">
        <f t="shared" si="121"/>
        <v>46007</v>
      </c>
      <c r="E272" s="77">
        <f t="shared" si="122"/>
        <v>46014</v>
      </c>
      <c r="F272" s="77">
        <f t="shared" si="123"/>
        <v>46020</v>
      </c>
      <c r="G272" s="77">
        <f t="shared" si="124"/>
        <v>46008</v>
      </c>
      <c r="H272" s="77">
        <f t="shared" si="125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493</v>
      </c>
      <c r="C273" s="77">
        <f t="shared" si="120"/>
        <v>46023</v>
      </c>
      <c r="D273" s="77">
        <f t="shared" si="121"/>
        <v>46007</v>
      </c>
      <c r="E273" s="77">
        <f t="shared" si="122"/>
        <v>46014</v>
      </c>
      <c r="F273" s="77">
        <f t="shared" si="123"/>
        <v>46020</v>
      </c>
      <c r="G273" s="77">
        <f t="shared" si="124"/>
        <v>46008</v>
      </c>
      <c r="H273" s="77">
        <f t="shared" si="125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494</v>
      </c>
      <c r="C274" s="77">
        <f t="shared" si="120"/>
        <v>46023</v>
      </c>
      <c r="D274" s="77">
        <f t="shared" si="121"/>
        <v>46007</v>
      </c>
      <c r="E274" s="77">
        <f t="shared" si="122"/>
        <v>46014</v>
      </c>
      <c r="F274" s="77">
        <f t="shared" si="123"/>
        <v>46020</v>
      </c>
      <c r="G274" s="77">
        <f t="shared" si="124"/>
        <v>46008</v>
      </c>
      <c r="H274" s="77">
        <f t="shared" si="125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495</v>
      </c>
      <c r="C275" s="77">
        <f t="shared" si="120"/>
        <v>46023</v>
      </c>
      <c r="D275" s="77">
        <f t="shared" si="121"/>
        <v>46007</v>
      </c>
      <c r="E275" s="77">
        <f t="shared" si="122"/>
        <v>46014</v>
      </c>
      <c r="F275" s="77">
        <f t="shared" si="123"/>
        <v>46020</v>
      </c>
      <c r="G275" s="77">
        <f t="shared" si="124"/>
        <v>46008</v>
      </c>
      <c r="H275" s="77">
        <f t="shared" si="125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496</v>
      </c>
      <c r="C276" s="77">
        <f t="shared" si="120"/>
        <v>46023</v>
      </c>
      <c r="D276" s="77">
        <f t="shared" si="121"/>
        <v>46007</v>
      </c>
      <c r="E276" s="77">
        <f t="shared" si="122"/>
        <v>46014</v>
      </c>
      <c r="F276" s="77">
        <f t="shared" si="123"/>
        <v>46020</v>
      </c>
      <c r="G276" s="77">
        <f t="shared" si="124"/>
        <v>46008</v>
      </c>
      <c r="H276" s="77">
        <f t="shared" si="125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46001</v>
      </c>
      <c r="B277" s="25" t="s">
        <v>497</v>
      </c>
      <c r="C277" s="77">
        <f t="shared" si="120"/>
        <v>46024</v>
      </c>
      <c r="D277" s="77">
        <f t="shared" si="121"/>
        <v>46008</v>
      </c>
      <c r="E277" s="77">
        <f t="shared" si="122"/>
        <v>46015</v>
      </c>
      <c r="F277" s="77">
        <f t="shared" si="123"/>
        <v>46021</v>
      </c>
      <c r="G277" s="77">
        <f t="shared" si="124"/>
        <v>46009</v>
      </c>
      <c r="H277" s="77">
        <f t="shared" si="125"/>
        <v>46016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498</v>
      </c>
      <c r="C278" s="77">
        <f t="shared" si="120"/>
        <v>46024</v>
      </c>
      <c r="D278" s="77">
        <f t="shared" si="121"/>
        <v>46008</v>
      </c>
      <c r="E278" s="77">
        <f t="shared" si="122"/>
        <v>46015</v>
      </c>
      <c r="F278" s="77">
        <f t="shared" si="123"/>
        <v>46021</v>
      </c>
      <c r="G278" s="77">
        <f t="shared" si="124"/>
        <v>46009</v>
      </c>
      <c r="H278" s="77">
        <f t="shared" si="125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499</v>
      </c>
      <c r="C279" s="77">
        <f t="shared" si="120"/>
        <v>46024</v>
      </c>
      <c r="D279" s="77">
        <f t="shared" si="121"/>
        <v>46008</v>
      </c>
      <c r="E279" s="77">
        <f t="shared" si="122"/>
        <v>46015</v>
      </c>
      <c r="F279" s="77">
        <f t="shared" si="123"/>
        <v>46021</v>
      </c>
      <c r="G279" s="77">
        <f t="shared" si="124"/>
        <v>46009</v>
      </c>
      <c r="H279" s="77">
        <f t="shared" si="125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500</v>
      </c>
      <c r="C280" s="77">
        <f t="shared" si="120"/>
        <v>46024</v>
      </c>
      <c r="D280" s="77">
        <f t="shared" si="121"/>
        <v>46008</v>
      </c>
      <c r="E280" s="77">
        <f t="shared" si="122"/>
        <v>46015</v>
      </c>
      <c r="F280" s="77">
        <f t="shared" si="123"/>
        <v>46021</v>
      </c>
      <c r="G280" s="77">
        <f t="shared" si="124"/>
        <v>46009</v>
      </c>
      <c r="H280" s="77">
        <f t="shared" si="125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501</v>
      </c>
      <c r="C281" s="77">
        <f t="shared" si="120"/>
        <v>46024</v>
      </c>
      <c r="D281" s="77">
        <f t="shared" si="121"/>
        <v>46008</v>
      </c>
      <c r="E281" s="77">
        <f t="shared" si="122"/>
        <v>46015</v>
      </c>
      <c r="F281" s="77">
        <f t="shared" si="123"/>
        <v>46021</v>
      </c>
      <c r="G281" s="77">
        <f t="shared" si="124"/>
        <v>46009</v>
      </c>
      <c r="H281" s="77">
        <f t="shared" si="125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502</v>
      </c>
      <c r="C282" s="77">
        <f t="shared" si="120"/>
        <v>46024</v>
      </c>
      <c r="D282" s="77">
        <f t="shared" si="121"/>
        <v>46008</v>
      </c>
      <c r="E282" s="77">
        <f t="shared" si="122"/>
        <v>46015</v>
      </c>
      <c r="F282" s="77">
        <f t="shared" si="123"/>
        <v>46021</v>
      </c>
      <c r="G282" s="77">
        <f t="shared" si="124"/>
        <v>46009</v>
      </c>
      <c r="H282" s="77">
        <f t="shared" si="125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503</v>
      </c>
      <c r="C283" s="77">
        <f t="shared" si="120"/>
        <v>46024</v>
      </c>
      <c r="D283" s="77">
        <f t="shared" si="121"/>
        <v>46008</v>
      </c>
      <c r="E283" s="77">
        <f t="shared" si="122"/>
        <v>46015</v>
      </c>
      <c r="F283" s="77">
        <f t="shared" si="123"/>
        <v>46021</v>
      </c>
      <c r="G283" s="77">
        <f t="shared" si="124"/>
        <v>46009</v>
      </c>
      <c r="H283" s="77">
        <f t="shared" si="125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46002</v>
      </c>
      <c r="B284" s="25" t="s">
        <v>504</v>
      </c>
      <c r="C284" s="77">
        <f t="shared" si="120"/>
        <v>46025</v>
      </c>
      <c r="D284" s="77">
        <f t="shared" si="121"/>
        <v>46009</v>
      </c>
      <c r="E284" s="77">
        <f t="shared" si="122"/>
        <v>46016</v>
      </c>
      <c r="F284" s="77">
        <f t="shared" si="123"/>
        <v>46022</v>
      </c>
      <c r="G284" s="77">
        <f t="shared" si="124"/>
        <v>46010</v>
      </c>
      <c r="H284" s="77">
        <f t="shared" si="125"/>
        <v>46017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505</v>
      </c>
      <c r="C285" s="77">
        <f t="shared" si="120"/>
        <v>46025</v>
      </c>
      <c r="D285" s="77">
        <f t="shared" si="121"/>
        <v>46009</v>
      </c>
      <c r="E285" s="77">
        <f t="shared" si="122"/>
        <v>46016</v>
      </c>
      <c r="F285" s="77">
        <f t="shared" si="123"/>
        <v>46022</v>
      </c>
      <c r="G285" s="77">
        <f t="shared" si="124"/>
        <v>46010</v>
      </c>
      <c r="H285" s="77">
        <f t="shared" si="125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506</v>
      </c>
      <c r="C286" s="77">
        <f t="shared" si="120"/>
        <v>46025</v>
      </c>
      <c r="D286" s="77">
        <f t="shared" si="121"/>
        <v>46009</v>
      </c>
      <c r="E286" s="77">
        <f t="shared" si="122"/>
        <v>46016</v>
      </c>
      <c r="F286" s="77">
        <f t="shared" si="123"/>
        <v>46022</v>
      </c>
      <c r="G286" s="77">
        <f t="shared" si="124"/>
        <v>46010</v>
      </c>
      <c r="H286" s="77">
        <f t="shared" si="125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507</v>
      </c>
      <c r="C287" s="77">
        <f t="shared" si="120"/>
        <v>46025</v>
      </c>
      <c r="D287" s="77">
        <f t="shared" si="121"/>
        <v>46009</v>
      </c>
      <c r="E287" s="77">
        <f t="shared" si="122"/>
        <v>46016</v>
      </c>
      <c r="F287" s="77">
        <f t="shared" si="123"/>
        <v>46022</v>
      </c>
      <c r="G287" s="77">
        <f t="shared" si="124"/>
        <v>46010</v>
      </c>
      <c r="H287" s="77">
        <f t="shared" si="125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508</v>
      </c>
      <c r="C288" s="77">
        <f t="shared" si="120"/>
        <v>46025</v>
      </c>
      <c r="D288" s="77">
        <f t="shared" si="121"/>
        <v>46009</v>
      </c>
      <c r="E288" s="77">
        <f t="shared" si="122"/>
        <v>46016</v>
      </c>
      <c r="F288" s="77">
        <f t="shared" si="123"/>
        <v>46022</v>
      </c>
      <c r="G288" s="77">
        <f t="shared" si="124"/>
        <v>46010</v>
      </c>
      <c r="H288" s="77">
        <f t="shared" si="125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509</v>
      </c>
      <c r="C289" s="77">
        <f t="shared" si="120"/>
        <v>46025</v>
      </c>
      <c r="D289" s="77">
        <f t="shared" si="121"/>
        <v>46009</v>
      </c>
      <c r="E289" s="77">
        <f t="shared" si="122"/>
        <v>46016</v>
      </c>
      <c r="F289" s="77">
        <f t="shared" si="123"/>
        <v>46022</v>
      </c>
      <c r="G289" s="77">
        <f t="shared" si="124"/>
        <v>46010</v>
      </c>
      <c r="H289" s="77">
        <f t="shared" si="125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510</v>
      </c>
      <c r="C290" s="77">
        <f t="shared" si="120"/>
        <v>46025</v>
      </c>
      <c r="D290" s="77">
        <f t="shared" si="121"/>
        <v>46009</v>
      </c>
      <c r="E290" s="77">
        <f t="shared" si="122"/>
        <v>46016</v>
      </c>
      <c r="F290" s="77">
        <f t="shared" si="123"/>
        <v>46022</v>
      </c>
      <c r="G290" s="77">
        <f t="shared" si="124"/>
        <v>46010</v>
      </c>
      <c r="H290" s="77">
        <f t="shared" si="125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46003</v>
      </c>
      <c r="B291" s="25" t="s">
        <v>552</v>
      </c>
      <c r="C291" s="77">
        <f t="shared" si="120"/>
        <v>46026</v>
      </c>
      <c r="D291" s="77">
        <f t="shared" si="121"/>
        <v>46010</v>
      </c>
      <c r="E291" s="77">
        <f t="shared" si="122"/>
        <v>46017</v>
      </c>
      <c r="F291" s="77">
        <f t="shared" si="123"/>
        <v>46023</v>
      </c>
      <c r="G291" s="77">
        <f t="shared" si="124"/>
        <v>46011</v>
      </c>
      <c r="H291" s="77">
        <f t="shared" si="125"/>
        <v>46018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553</v>
      </c>
      <c r="C292" s="77">
        <f t="shared" si="120"/>
        <v>46026</v>
      </c>
      <c r="D292" s="77">
        <f t="shared" si="121"/>
        <v>46010</v>
      </c>
      <c r="E292" s="77">
        <f t="shared" si="122"/>
        <v>46017</v>
      </c>
      <c r="F292" s="77">
        <f t="shared" si="123"/>
        <v>46023</v>
      </c>
      <c r="G292" s="77">
        <f t="shared" si="124"/>
        <v>46011</v>
      </c>
      <c r="H292" s="77">
        <f t="shared" si="125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554</v>
      </c>
      <c r="C293" s="77">
        <f t="shared" si="120"/>
        <v>46026</v>
      </c>
      <c r="D293" s="77">
        <f t="shared" si="121"/>
        <v>46010</v>
      </c>
      <c r="E293" s="77">
        <f t="shared" si="122"/>
        <v>46017</v>
      </c>
      <c r="F293" s="77">
        <f t="shared" si="123"/>
        <v>46023</v>
      </c>
      <c r="G293" s="77">
        <f t="shared" si="124"/>
        <v>46011</v>
      </c>
      <c r="H293" s="77">
        <f t="shared" si="125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555</v>
      </c>
      <c r="C294" s="77">
        <f t="shared" si="120"/>
        <v>46026</v>
      </c>
      <c r="D294" s="77">
        <f t="shared" si="121"/>
        <v>46010</v>
      </c>
      <c r="E294" s="77">
        <f t="shared" si="122"/>
        <v>46017</v>
      </c>
      <c r="F294" s="77">
        <f t="shared" si="123"/>
        <v>46023</v>
      </c>
      <c r="G294" s="77">
        <f t="shared" si="124"/>
        <v>46011</v>
      </c>
      <c r="H294" s="77">
        <f t="shared" si="125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556</v>
      </c>
      <c r="C295" s="77">
        <f t="shared" si="120"/>
        <v>46026</v>
      </c>
      <c r="D295" s="77">
        <f t="shared" si="121"/>
        <v>46010</v>
      </c>
      <c r="E295" s="77">
        <f t="shared" si="122"/>
        <v>46017</v>
      </c>
      <c r="F295" s="77">
        <f t="shared" si="123"/>
        <v>46023</v>
      </c>
      <c r="G295" s="77">
        <f t="shared" si="124"/>
        <v>46011</v>
      </c>
      <c r="H295" s="77">
        <f t="shared" si="125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557</v>
      </c>
      <c r="C296" s="77">
        <f t="shared" si="120"/>
        <v>46026</v>
      </c>
      <c r="D296" s="77">
        <f t="shared" si="121"/>
        <v>46010</v>
      </c>
      <c r="E296" s="77">
        <f t="shared" si="122"/>
        <v>46017</v>
      </c>
      <c r="F296" s="77">
        <f t="shared" si="123"/>
        <v>46023</v>
      </c>
      <c r="G296" s="77">
        <f t="shared" si="124"/>
        <v>46011</v>
      </c>
      <c r="H296" s="77">
        <f t="shared" si="125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558</v>
      </c>
      <c r="C297" s="77">
        <f t="shared" si="120"/>
        <v>46026</v>
      </c>
      <c r="D297" s="77">
        <f t="shared" si="121"/>
        <v>46010</v>
      </c>
      <c r="E297" s="77">
        <f t="shared" si="122"/>
        <v>46017</v>
      </c>
      <c r="F297" s="77">
        <f t="shared" si="123"/>
        <v>46023</v>
      </c>
      <c r="G297" s="77">
        <f t="shared" si="124"/>
        <v>46011</v>
      </c>
      <c r="H297" s="77">
        <f t="shared" si="125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46004</v>
      </c>
      <c r="B298" s="25" t="s">
        <v>545</v>
      </c>
      <c r="C298" s="77">
        <f t="shared" ref="C298:C333" si="126">A298+23</f>
        <v>46027</v>
      </c>
      <c r="D298" s="77">
        <f t="shared" ref="D298:D333" si="127">A298+7</f>
        <v>46011</v>
      </c>
      <c r="E298" s="77">
        <f t="shared" ref="E298:E333" si="128">A298+14</f>
        <v>46018</v>
      </c>
      <c r="F298" s="77">
        <f t="shared" ref="F298:F333" si="129">A298+20</f>
        <v>46024</v>
      </c>
      <c r="G298" s="77">
        <f t="shared" ref="G298:G333" si="130">A298+8</f>
        <v>46012</v>
      </c>
      <c r="H298" s="77">
        <f t="shared" ref="H298:H333" si="131">A298+15</f>
        <v>46019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546</v>
      </c>
      <c r="C299" s="77">
        <f t="shared" si="126"/>
        <v>46027</v>
      </c>
      <c r="D299" s="77">
        <f t="shared" si="127"/>
        <v>46011</v>
      </c>
      <c r="E299" s="77">
        <f t="shared" si="128"/>
        <v>46018</v>
      </c>
      <c r="F299" s="77">
        <f t="shared" si="129"/>
        <v>46024</v>
      </c>
      <c r="G299" s="77">
        <f t="shared" si="130"/>
        <v>46012</v>
      </c>
      <c r="H299" s="77">
        <f t="shared" si="131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547</v>
      </c>
      <c r="C300" s="77">
        <f t="shared" si="126"/>
        <v>46027</v>
      </c>
      <c r="D300" s="77">
        <f t="shared" si="127"/>
        <v>46011</v>
      </c>
      <c r="E300" s="77">
        <f t="shared" si="128"/>
        <v>46018</v>
      </c>
      <c r="F300" s="77">
        <f t="shared" si="129"/>
        <v>46024</v>
      </c>
      <c r="G300" s="77">
        <f t="shared" si="130"/>
        <v>46012</v>
      </c>
      <c r="H300" s="77">
        <f t="shared" si="131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548</v>
      </c>
      <c r="C301" s="77">
        <f t="shared" si="126"/>
        <v>46027</v>
      </c>
      <c r="D301" s="77">
        <f t="shared" si="127"/>
        <v>46011</v>
      </c>
      <c r="E301" s="77">
        <f t="shared" si="128"/>
        <v>46018</v>
      </c>
      <c r="F301" s="77">
        <f t="shared" si="129"/>
        <v>46024</v>
      </c>
      <c r="G301" s="77">
        <f t="shared" si="130"/>
        <v>46012</v>
      </c>
      <c r="H301" s="77">
        <f t="shared" si="131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549</v>
      </c>
      <c r="C302" s="77">
        <f t="shared" si="126"/>
        <v>46027</v>
      </c>
      <c r="D302" s="77">
        <f t="shared" si="127"/>
        <v>46011</v>
      </c>
      <c r="E302" s="77">
        <f t="shared" si="128"/>
        <v>46018</v>
      </c>
      <c r="F302" s="77">
        <f t="shared" si="129"/>
        <v>46024</v>
      </c>
      <c r="G302" s="77">
        <f t="shared" si="130"/>
        <v>46012</v>
      </c>
      <c r="H302" s="77">
        <f t="shared" si="131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550</v>
      </c>
      <c r="C303" s="77">
        <f t="shared" si="126"/>
        <v>46027</v>
      </c>
      <c r="D303" s="77">
        <f t="shared" si="127"/>
        <v>46011</v>
      </c>
      <c r="E303" s="77">
        <f t="shared" si="128"/>
        <v>46018</v>
      </c>
      <c r="F303" s="77">
        <f t="shared" si="129"/>
        <v>46024</v>
      </c>
      <c r="G303" s="77">
        <f t="shared" si="130"/>
        <v>46012</v>
      </c>
      <c r="H303" s="77">
        <f t="shared" si="131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551</v>
      </c>
      <c r="C304" s="77">
        <f t="shared" si="126"/>
        <v>46027</v>
      </c>
      <c r="D304" s="77">
        <f t="shared" si="127"/>
        <v>46011</v>
      </c>
      <c r="E304" s="77">
        <f t="shared" si="128"/>
        <v>46018</v>
      </c>
      <c r="F304" s="77">
        <f t="shared" si="129"/>
        <v>46024</v>
      </c>
      <c r="G304" s="77">
        <f t="shared" si="130"/>
        <v>46012</v>
      </c>
      <c r="H304" s="77">
        <f t="shared" si="131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46005</v>
      </c>
      <c r="B305" s="25" t="s">
        <v>537</v>
      </c>
      <c r="C305" s="77">
        <f t="shared" si="126"/>
        <v>46028</v>
      </c>
      <c r="D305" s="77">
        <f t="shared" si="127"/>
        <v>46012</v>
      </c>
      <c r="E305" s="77">
        <f t="shared" si="128"/>
        <v>46019</v>
      </c>
      <c r="F305" s="77">
        <f t="shared" si="129"/>
        <v>46025</v>
      </c>
      <c r="G305" s="77">
        <f t="shared" si="130"/>
        <v>46013</v>
      </c>
      <c r="H305" s="77">
        <f t="shared" si="131"/>
        <v>46020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538</v>
      </c>
      <c r="C306" s="77">
        <f t="shared" si="126"/>
        <v>46028</v>
      </c>
      <c r="D306" s="77">
        <f t="shared" si="127"/>
        <v>46012</v>
      </c>
      <c r="E306" s="77">
        <f t="shared" si="128"/>
        <v>46019</v>
      </c>
      <c r="F306" s="77">
        <f t="shared" si="129"/>
        <v>46025</v>
      </c>
      <c r="G306" s="77">
        <f t="shared" si="130"/>
        <v>46013</v>
      </c>
      <c r="H306" s="77">
        <f t="shared" si="131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539</v>
      </c>
      <c r="C307" s="77">
        <f t="shared" si="126"/>
        <v>46028</v>
      </c>
      <c r="D307" s="77">
        <f t="shared" si="127"/>
        <v>46012</v>
      </c>
      <c r="E307" s="77">
        <f t="shared" si="128"/>
        <v>46019</v>
      </c>
      <c r="F307" s="77">
        <f t="shared" si="129"/>
        <v>46025</v>
      </c>
      <c r="G307" s="77">
        <f t="shared" si="130"/>
        <v>46013</v>
      </c>
      <c r="H307" s="77">
        <f t="shared" si="131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540</v>
      </c>
      <c r="C308" s="77">
        <f t="shared" si="126"/>
        <v>46028</v>
      </c>
      <c r="D308" s="77">
        <f t="shared" si="127"/>
        <v>46012</v>
      </c>
      <c r="E308" s="77">
        <f t="shared" si="128"/>
        <v>46019</v>
      </c>
      <c r="F308" s="77">
        <f t="shared" si="129"/>
        <v>46025</v>
      </c>
      <c r="G308" s="77">
        <f t="shared" si="130"/>
        <v>46013</v>
      </c>
      <c r="H308" s="77">
        <f t="shared" si="131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541</v>
      </c>
      <c r="C309" s="77">
        <f t="shared" si="126"/>
        <v>46028</v>
      </c>
      <c r="D309" s="77">
        <f t="shared" si="127"/>
        <v>46012</v>
      </c>
      <c r="E309" s="77">
        <f t="shared" si="128"/>
        <v>46019</v>
      </c>
      <c r="F309" s="77">
        <f t="shared" si="129"/>
        <v>46025</v>
      </c>
      <c r="G309" s="77">
        <f t="shared" si="130"/>
        <v>46013</v>
      </c>
      <c r="H309" s="77">
        <f t="shared" si="131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542</v>
      </c>
      <c r="C310" s="77">
        <f t="shared" si="126"/>
        <v>46028</v>
      </c>
      <c r="D310" s="77">
        <f t="shared" si="127"/>
        <v>46012</v>
      </c>
      <c r="E310" s="77">
        <f t="shared" si="128"/>
        <v>46019</v>
      </c>
      <c r="F310" s="77">
        <f t="shared" si="129"/>
        <v>46025</v>
      </c>
      <c r="G310" s="77">
        <f t="shared" si="130"/>
        <v>46013</v>
      </c>
      <c r="H310" s="77">
        <f t="shared" si="131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543</v>
      </c>
      <c r="C311" s="77">
        <f t="shared" si="126"/>
        <v>46028</v>
      </c>
      <c r="D311" s="77">
        <f t="shared" si="127"/>
        <v>46012</v>
      </c>
      <c r="E311" s="77">
        <f t="shared" si="128"/>
        <v>46019</v>
      </c>
      <c r="F311" s="77">
        <f t="shared" si="129"/>
        <v>46025</v>
      </c>
      <c r="G311" s="77">
        <f t="shared" si="130"/>
        <v>46013</v>
      </c>
      <c r="H311" s="77">
        <f t="shared" si="131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544</v>
      </c>
      <c r="C312" s="77">
        <f t="shared" si="126"/>
        <v>46028</v>
      </c>
      <c r="D312" s="77">
        <f t="shared" si="127"/>
        <v>46012</v>
      </c>
      <c r="E312" s="77">
        <f t="shared" si="128"/>
        <v>46019</v>
      </c>
      <c r="F312" s="77">
        <f t="shared" si="129"/>
        <v>46025</v>
      </c>
      <c r="G312" s="77">
        <f t="shared" si="130"/>
        <v>46013</v>
      </c>
      <c r="H312" s="77">
        <f t="shared" si="131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46006</v>
      </c>
      <c r="B313" s="25" t="s">
        <v>513</v>
      </c>
      <c r="C313" s="77">
        <f t="shared" si="126"/>
        <v>46029</v>
      </c>
      <c r="D313" s="77">
        <f t="shared" si="127"/>
        <v>46013</v>
      </c>
      <c r="E313" s="77">
        <f t="shared" si="128"/>
        <v>46020</v>
      </c>
      <c r="F313" s="77">
        <f t="shared" si="129"/>
        <v>46026</v>
      </c>
      <c r="G313" s="77">
        <f t="shared" si="130"/>
        <v>46014</v>
      </c>
      <c r="H313" s="77">
        <f t="shared" si="131"/>
        <v>46021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514</v>
      </c>
      <c r="C314" s="77">
        <f t="shared" si="126"/>
        <v>46029</v>
      </c>
      <c r="D314" s="77">
        <f t="shared" si="127"/>
        <v>46013</v>
      </c>
      <c r="E314" s="77">
        <f t="shared" si="128"/>
        <v>46020</v>
      </c>
      <c r="F314" s="77">
        <f t="shared" si="129"/>
        <v>46026</v>
      </c>
      <c r="G314" s="77">
        <f t="shared" si="130"/>
        <v>46014</v>
      </c>
      <c r="H314" s="77">
        <f t="shared" si="131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515</v>
      </c>
      <c r="C315" s="77">
        <f t="shared" si="126"/>
        <v>46029</v>
      </c>
      <c r="D315" s="77">
        <f t="shared" si="127"/>
        <v>46013</v>
      </c>
      <c r="E315" s="77">
        <f t="shared" si="128"/>
        <v>46020</v>
      </c>
      <c r="F315" s="77">
        <f t="shared" si="129"/>
        <v>46026</v>
      </c>
      <c r="G315" s="77">
        <f t="shared" si="130"/>
        <v>46014</v>
      </c>
      <c r="H315" s="77">
        <f t="shared" si="131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516</v>
      </c>
      <c r="C316" s="77">
        <f t="shared" si="126"/>
        <v>46029</v>
      </c>
      <c r="D316" s="77">
        <f t="shared" si="127"/>
        <v>46013</v>
      </c>
      <c r="E316" s="77">
        <f t="shared" si="128"/>
        <v>46020</v>
      </c>
      <c r="F316" s="77">
        <f t="shared" si="129"/>
        <v>46026</v>
      </c>
      <c r="G316" s="77">
        <f t="shared" si="130"/>
        <v>46014</v>
      </c>
      <c r="H316" s="77">
        <f t="shared" si="131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517</v>
      </c>
      <c r="C317" s="77">
        <f t="shared" si="126"/>
        <v>46029</v>
      </c>
      <c r="D317" s="77">
        <f t="shared" si="127"/>
        <v>46013</v>
      </c>
      <c r="E317" s="77">
        <f t="shared" si="128"/>
        <v>46020</v>
      </c>
      <c r="F317" s="77">
        <f t="shared" si="129"/>
        <v>46026</v>
      </c>
      <c r="G317" s="77">
        <f t="shared" si="130"/>
        <v>46014</v>
      </c>
      <c r="H317" s="77">
        <f t="shared" si="131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518</v>
      </c>
      <c r="C318" s="77">
        <f t="shared" si="126"/>
        <v>46029</v>
      </c>
      <c r="D318" s="77">
        <f t="shared" si="127"/>
        <v>46013</v>
      </c>
      <c r="E318" s="77">
        <f t="shared" si="128"/>
        <v>46020</v>
      </c>
      <c r="F318" s="77">
        <f t="shared" si="129"/>
        <v>46026</v>
      </c>
      <c r="G318" s="77">
        <f t="shared" si="130"/>
        <v>46014</v>
      </c>
      <c r="H318" s="77">
        <f t="shared" si="131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519</v>
      </c>
      <c r="C319" s="77">
        <f t="shared" si="126"/>
        <v>46029</v>
      </c>
      <c r="D319" s="77">
        <f t="shared" si="127"/>
        <v>46013</v>
      </c>
      <c r="E319" s="77">
        <f t="shared" si="128"/>
        <v>46020</v>
      </c>
      <c r="F319" s="77">
        <f t="shared" si="129"/>
        <v>46026</v>
      </c>
      <c r="G319" s="77">
        <f t="shared" si="130"/>
        <v>46014</v>
      </c>
      <c r="H319" s="77">
        <f t="shared" si="131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46007</v>
      </c>
      <c r="B320" s="25" t="s">
        <v>520</v>
      </c>
      <c r="C320" s="77">
        <f t="shared" si="126"/>
        <v>46030</v>
      </c>
      <c r="D320" s="77">
        <f t="shared" si="127"/>
        <v>46014</v>
      </c>
      <c r="E320" s="77">
        <f t="shared" si="128"/>
        <v>46021</v>
      </c>
      <c r="F320" s="77">
        <f t="shared" si="129"/>
        <v>46027</v>
      </c>
      <c r="G320" s="77">
        <f t="shared" si="130"/>
        <v>46015</v>
      </c>
      <c r="H320" s="77">
        <f t="shared" si="131"/>
        <v>46022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521</v>
      </c>
      <c r="C321" s="77">
        <f t="shared" si="126"/>
        <v>46030</v>
      </c>
      <c r="D321" s="77">
        <f t="shared" si="127"/>
        <v>46014</v>
      </c>
      <c r="E321" s="77">
        <f t="shared" si="128"/>
        <v>46021</v>
      </c>
      <c r="F321" s="77">
        <f t="shared" si="129"/>
        <v>46027</v>
      </c>
      <c r="G321" s="77">
        <f t="shared" si="130"/>
        <v>46015</v>
      </c>
      <c r="H321" s="77">
        <f t="shared" si="131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522</v>
      </c>
      <c r="C322" s="77">
        <f t="shared" si="126"/>
        <v>46030</v>
      </c>
      <c r="D322" s="77">
        <f t="shared" si="127"/>
        <v>46014</v>
      </c>
      <c r="E322" s="77">
        <f t="shared" si="128"/>
        <v>46021</v>
      </c>
      <c r="F322" s="77">
        <f t="shared" si="129"/>
        <v>46027</v>
      </c>
      <c r="G322" s="77">
        <f t="shared" si="130"/>
        <v>46015</v>
      </c>
      <c r="H322" s="77">
        <f t="shared" si="131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523</v>
      </c>
      <c r="C323" s="77">
        <f t="shared" si="126"/>
        <v>46030</v>
      </c>
      <c r="D323" s="77">
        <f t="shared" si="127"/>
        <v>46014</v>
      </c>
      <c r="E323" s="77">
        <f t="shared" si="128"/>
        <v>46021</v>
      </c>
      <c r="F323" s="77">
        <f t="shared" si="129"/>
        <v>46027</v>
      </c>
      <c r="G323" s="77">
        <f t="shared" si="130"/>
        <v>46015</v>
      </c>
      <c r="H323" s="77">
        <f t="shared" si="131"/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524</v>
      </c>
      <c r="C324" s="77">
        <f t="shared" si="126"/>
        <v>46030</v>
      </c>
      <c r="D324" s="77">
        <f t="shared" si="127"/>
        <v>46014</v>
      </c>
      <c r="E324" s="77">
        <f t="shared" si="128"/>
        <v>46021</v>
      </c>
      <c r="F324" s="77">
        <f t="shared" si="129"/>
        <v>46027</v>
      </c>
      <c r="G324" s="77">
        <f t="shared" si="130"/>
        <v>46015</v>
      </c>
      <c r="H324" s="77">
        <f t="shared" si="131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525</v>
      </c>
      <c r="C325" s="77">
        <f t="shared" si="126"/>
        <v>46030</v>
      </c>
      <c r="D325" s="77">
        <f t="shared" si="127"/>
        <v>46014</v>
      </c>
      <c r="E325" s="77">
        <f t="shared" si="128"/>
        <v>46021</v>
      </c>
      <c r="F325" s="77">
        <f t="shared" si="129"/>
        <v>46027</v>
      </c>
      <c r="G325" s="77">
        <f t="shared" si="130"/>
        <v>46015</v>
      </c>
      <c r="H325" s="77">
        <f t="shared" si="131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526</v>
      </c>
      <c r="C326" s="77">
        <f t="shared" si="126"/>
        <v>46030</v>
      </c>
      <c r="D326" s="77">
        <f t="shared" si="127"/>
        <v>46014</v>
      </c>
      <c r="E326" s="77">
        <f t="shared" si="128"/>
        <v>46021</v>
      </c>
      <c r="F326" s="77">
        <f t="shared" si="129"/>
        <v>46027</v>
      </c>
      <c r="G326" s="77">
        <f t="shared" si="130"/>
        <v>46015</v>
      </c>
      <c r="H326" s="77">
        <f t="shared" si="131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46008</v>
      </c>
      <c r="B327" s="25" t="s">
        <v>527</v>
      </c>
      <c r="C327" s="77">
        <f t="shared" si="126"/>
        <v>46031</v>
      </c>
      <c r="D327" s="77">
        <f t="shared" si="127"/>
        <v>46015</v>
      </c>
      <c r="E327" s="77">
        <f t="shared" si="128"/>
        <v>46022</v>
      </c>
      <c r="F327" s="77">
        <f t="shared" si="129"/>
        <v>46028</v>
      </c>
      <c r="G327" s="77">
        <f t="shared" si="130"/>
        <v>46016</v>
      </c>
      <c r="H327" s="77">
        <f t="shared" si="131"/>
        <v>46023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528</v>
      </c>
      <c r="C328" s="77">
        <f t="shared" si="126"/>
        <v>46031</v>
      </c>
      <c r="D328" s="77">
        <f t="shared" si="127"/>
        <v>46015</v>
      </c>
      <c r="E328" s="77">
        <f t="shared" si="128"/>
        <v>46022</v>
      </c>
      <c r="F328" s="77">
        <f t="shared" si="129"/>
        <v>46028</v>
      </c>
      <c r="G328" s="77">
        <f t="shared" si="130"/>
        <v>46016</v>
      </c>
      <c r="H328" s="77">
        <f t="shared" si="131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529</v>
      </c>
      <c r="C329" s="77">
        <f t="shared" si="126"/>
        <v>46031</v>
      </c>
      <c r="D329" s="77">
        <f t="shared" si="127"/>
        <v>46015</v>
      </c>
      <c r="E329" s="77">
        <f t="shared" si="128"/>
        <v>46022</v>
      </c>
      <c r="F329" s="77">
        <f t="shared" si="129"/>
        <v>46028</v>
      </c>
      <c r="G329" s="77">
        <f t="shared" si="130"/>
        <v>46016</v>
      </c>
      <c r="H329" s="77">
        <f t="shared" si="131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530</v>
      </c>
      <c r="C330" s="77">
        <f t="shared" si="126"/>
        <v>46031</v>
      </c>
      <c r="D330" s="77">
        <f t="shared" si="127"/>
        <v>46015</v>
      </c>
      <c r="E330" s="77">
        <f t="shared" si="128"/>
        <v>46022</v>
      </c>
      <c r="F330" s="77">
        <f t="shared" si="129"/>
        <v>46028</v>
      </c>
      <c r="G330" s="77">
        <f t="shared" si="130"/>
        <v>46016</v>
      </c>
      <c r="H330" s="77">
        <f t="shared" si="131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531</v>
      </c>
      <c r="C331" s="77">
        <f t="shared" si="126"/>
        <v>46031</v>
      </c>
      <c r="D331" s="77">
        <f t="shared" si="127"/>
        <v>46015</v>
      </c>
      <c r="E331" s="77">
        <f t="shared" si="128"/>
        <v>46022</v>
      </c>
      <c r="F331" s="77">
        <f t="shared" si="129"/>
        <v>46028</v>
      </c>
      <c r="G331" s="77">
        <f t="shared" si="130"/>
        <v>46016</v>
      </c>
      <c r="H331" s="77">
        <f t="shared" si="131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532</v>
      </c>
      <c r="C332" s="77">
        <f t="shared" si="126"/>
        <v>46031</v>
      </c>
      <c r="D332" s="77">
        <f t="shared" si="127"/>
        <v>46015</v>
      </c>
      <c r="E332" s="77">
        <f t="shared" si="128"/>
        <v>46022</v>
      </c>
      <c r="F332" s="77">
        <f t="shared" si="129"/>
        <v>46028</v>
      </c>
      <c r="G332" s="77">
        <f t="shared" si="130"/>
        <v>46016</v>
      </c>
      <c r="H332" s="77">
        <f t="shared" si="131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533</v>
      </c>
      <c r="C333" s="77">
        <f t="shared" si="126"/>
        <v>46031</v>
      </c>
      <c r="D333" s="77">
        <f t="shared" si="127"/>
        <v>46015</v>
      </c>
      <c r="E333" s="77">
        <f t="shared" si="128"/>
        <v>46022</v>
      </c>
      <c r="F333" s="77">
        <f t="shared" si="129"/>
        <v>46028</v>
      </c>
      <c r="G333" s="77">
        <f t="shared" si="130"/>
        <v>46016</v>
      </c>
      <c r="H333" s="77">
        <f t="shared" si="131"/>
        <v>46023</v>
      </c>
      <c r="I333" s="77"/>
      <c r="J333" s="78"/>
      <c r="K333" s="25"/>
      <c r="L333" s="25"/>
      <c r="M333" s="25"/>
      <c r="N333" s="25"/>
    </row>
  </sheetData>
  <conditionalFormatting sqref="A1:I220 A334:I1048576 A221:A333 C220:I333">
    <cfRule type="expression" dxfId="4" priority="3">
      <formula>$J1&gt;0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94" activePane="bottomRight" state="frozen"/>
      <selection pane="topRight" activeCell="D1" sqref="D1"/>
      <selection pane="bottomLeft" activeCell="A2" sqref="A2"/>
      <selection pane="bottomRight" activeCell="G4" sqref="G4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Plan Maps. AUG</vt:lpstr>
      <vt:lpstr>Tanam Kangkung- 7 Bedeng</vt:lpstr>
      <vt:lpstr>dash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2025-12-15T17:42:39Z</dcterms:modified>
</cp:coreProperties>
</file>