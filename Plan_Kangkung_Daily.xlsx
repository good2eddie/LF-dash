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9bbde6cd352aed6/LF/"/>
    </mc:Choice>
  </mc:AlternateContent>
  <xr:revisionPtr revIDLastSave="20" documentId="13_ncr:1_{6B8A5412-FED2-41F4-96E7-65E10DD33CC6}" xr6:coauthVersionLast="47" xr6:coauthVersionMax="47" xr10:uidLastSave="{B1DDD1AB-3799-4C17-AD23-D43CF6938515}"/>
  <bookViews>
    <workbookView xWindow="-120" yWindow="-120" windowWidth="29040" windowHeight="15720" activeTab="2" xr2:uid="{65D86592-8B1C-4B59-9172-662E88479B0D}"/>
  </bookViews>
  <sheets>
    <sheet name="Plan Maps. AUG" sheetId="2" r:id="rId1"/>
    <sheet name="Tanam Kangkung- 7 Bedeng" sheetId="1" r:id="rId2"/>
    <sheet name="dash" sheetId="3" r:id="rId3"/>
    <sheet name="Basil" sheetId="7" r:id="rId4"/>
  </sheets>
  <definedNames>
    <definedName name="_xlnm._FilterDatabase" localSheetId="2" hidden="1">dash!$A$2:$O$683</definedName>
    <definedName name="_xlnm._FilterDatabase" localSheetId="1" hidden="1">'Tanam Kangkung- 7 Bedeng'!$A$13:$BS$234</definedName>
    <definedName name="_xlnm.Print_Area" localSheetId="0">'Plan Maps. AUG'!$B$66:$AC$73</definedName>
    <definedName name="_xlnm.Print_Area" localSheetId="1">'Tanam Kangkung- 7 Bedeng'!$A$1:$I$217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K1264" i="3" l="1"/>
  <c r="K1265" i="3"/>
  <c r="K1266" i="3"/>
  <c r="K1267" i="3"/>
  <c r="K1268" i="3"/>
  <c r="K1269" i="3"/>
  <c r="K1270" i="3"/>
  <c r="K1250" i="3"/>
  <c r="K1251" i="3"/>
  <c r="K1252" i="3"/>
  <c r="K1253" i="3"/>
  <c r="K1254" i="3"/>
  <c r="K1255" i="3"/>
  <c r="K1256" i="3"/>
  <c r="K1257" i="3"/>
  <c r="K1258" i="3"/>
  <c r="K1259" i="3"/>
  <c r="K1260" i="3"/>
  <c r="K1261" i="3"/>
  <c r="K1262" i="3"/>
  <c r="K1263" i="3"/>
  <c r="K1090" i="3"/>
  <c r="N1090" i="3"/>
  <c r="K1118" i="3"/>
  <c r="N1118" i="3"/>
  <c r="K1232" i="3"/>
  <c r="K1233" i="3"/>
  <c r="K1234" i="3"/>
  <c r="K1235" i="3"/>
  <c r="K1236" i="3"/>
  <c r="K1237" i="3"/>
  <c r="K1238" i="3"/>
  <c r="K1239" i="3"/>
  <c r="K1240" i="3"/>
  <c r="K1241" i="3"/>
  <c r="K1242" i="3"/>
  <c r="K1243" i="3"/>
  <c r="K1244" i="3"/>
  <c r="K1245" i="3"/>
  <c r="K1246" i="3"/>
  <c r="K1247" i="3"/>
  <c r="K1248" i="3"/>
  <c r="K1249" i="3"/>
  <c r="N1231" i="3"/>
  <c r="K1231" i="3"/>
  <c r="K1218" i="3"/>
  <c r="K1219" i="3"/>
  <c r="K1220" i="3"/>
  <c r="K1221" i="3"/>
  <c r="K1222" i="3"/>
  <c r="K1223" i="3"/>
  <c r="K1224" i="3"/>
  <c r="K1225" i="3"/>
  <c r="K1226" i="3"/>
  <c r="K1227" i="3"/>
  <c r="K1228" i="3"/>
  <c r="K1229" i="3"/>
  <c r="K1230" i="3"/>
  <c r="K1214" i="3"/>
  <c r="K1215" i="3"/>
  <c r="K1216" i="3"/>
  <c r="K1217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K1136" i="3"/>
  <c r="K1137" i="3"/>
  <c r="K1138" i="3"/>
  <c r="K1139" i="3"/>
  <c r="K1140" i="3"/>
  <c r="K1141" i="3"/>
  <c r="K1142" i="3"/>
  <c r="K1143" i="3"/>
  <c r="K1144" i="3"/>
  <c r="K1145" i="3"/>
  <c r="K1146" i="3"/>
  <c r="K1147" i="3"/>
  <c r="K1148" i="3"/>
  <c r="K1149" i="3"/>
  <c r="K1150" i="3"/>
  <c r="K1151" i="3"/>
  <c r="K1152" i="3"/>
  <c r="K1153" i="3"/>
  <c r="K1154" i="3"/>
  <c r="K1155" i="3"/>
  <c r="K1156" i="3"/>
  <c r="K1157" i="3"/>
  <c r="K1158" i="3"/>
  <c r="K1159" i="3"/>
  <c r="K1160" i="3"/>
  <c r="K1161" i="3"/>
  <c r="K1162" i="3"/>
  <c r="K1163" i="3"/>
  <c r="K1164" i="3"/>
  <c r="K1165" i="3"/>
  <c r="K1166" i="3"/>
  <c r="K1167" i="3"/>
  <c r="K1168" i="3"/>
  <c r="K1169" i="3"/>
  <c r="K1170" i="3"/>
  <c r="K1171" i="3"/>
  <c r="K1172" i="3"/>
  <c r="K1173" i="3"/>
  <c r="K1174" i="3"/>
  <c r="K1175" i="3"/>
  <c r="K1176" i="3"/>
  <c r="K1177" i="3"/>
  <c r="K1178" i="3"/>
  <c r="K1179" i="3"/>
  <c r="K1180" i="3"/>
  <c r="K1181" i="3"/>
  <c r="K1182" i="3"/>
  <c r="K1183" i="3"/>
  <c r="K1184" i="3"/>
  <c r="K1185" i="3"/>
  <c r="K1186" i="3"/>
  <c r="K1187" i="3"/>
  <c r="K1188" i="3"/>
  <c r="K1189" i="3"/>
  <c r="K1190" i="3"/>
  <c r="K1191" i="3"/>
  <c r="K1192" i="3"/>
  <c r="K1193" i="3"/>
  <c r="K1194" i="3"/>
  <c r="K1195" i="3"/>
  <c r="K1196" i="3"/>
  <c r="K1197" i="3"/>
  <c r="K1198" i="3"/>
  <c r="K1199" i="3"/>
  <c r="K1200" i="3"/>
  <c r="K1201" i="3"/>
  <c r="K1202" i="3"/>
  <c r="K1203" i="3"/>
  <c r="K1204" i="3"/>
  <c r="K1205" i="3"/>
  <c r="K1206" i="3"/>
  <c r="K1207" i="3"/>
  <c r="K1208" i="3"/>
  <c r="K1209" i="3"/>
  <c r="K1210" i="3"/>
  <c r="K1211" i="3"/>
  <c r="K1212" i="3"/>
  <c r="K1213" i="3"/>
  <c r="K1121" i="3"/>
  <c r="N1117" i="3"/>
  <c r="N1116" i="3"/>
  <c r="N1115" i="3"/>
  <c r="N1114" i="3"/>
  <c r="N1113" i="3"/>
  <c r="N1112" i="3"/>
  <c r="K1113" i="3"/>
  <c r="K1114" i="3"/>
  <c r="K1115" i="3"/>
  <c r="K1116" i="3"/>
  <c r="K1117" i="3"/>
  <c r="K1119" i="3"/>
  <c r="K1120" i="3"/>
  <c r="K1122" i="3"/>
  <c r="K1123" i="3"/>
  <c r="K1124" i="3"/>
  <c r="K1125" i="3"/>
  <c r="K1126" i="3"/>
  <c r="K1127" i="3"/>
  <c r="K1128" i="3"/>
  <c r="K1129" i="3"/>
  <c r="K1130" i="3"/>
  <c r="K1131" i="3"/>
  <c r="K1132" i="3"/>
  <c r="K1133" i="3"/>
  <c r="K1134" i="3"/>
  <c r="K1135" i="3"/>
  <c r="K1112" i="3"/>
  <c r="L47" i="7"/>
  <c r="L48" i="7"/>
  <c r="L49" i="7"/>
  <c r="L50" i="7"/>
  <c r="L51" i="7"/>
  <c r="L52" i="7"/>
  <c r="L53" i="7"/>
  <c r="L54" i="7"/>
  <c r="L55" i="7"/>
  <c r="L56" i="7"/>
  <c r="L57" i="7"/>
  <c r="L58" i="7"/>
  <c r="L59" i="7"/>
  <c r="L61" i="7"/>
  <c r="L62" i="7"/>
  <c r="L63" i="7"/>
  <c r="L64" i="7"/>
  <c r="L65" i="7"/>
  <c r="L66" i="7"/>
  <c r="L60" i="7"/>
  <c r="F2" i="7"/>
  <c r="F102" i="7" s="1"/>
  <c r="F54" i="7" l="1"/>
  <c r="F135" i="7"/>
  <c r="F144" i="7"/>
  <c r="F17" i="7"/>
  <c r="F167" i="7"/>
  <c r="F279" i="7"/>
  <c r="F69" i="7"/>
  <c r="F254" i="7"/>
  <c r="F196" i="7"/>
  <c r="F255" i="7"/>
  <c r="F218" i="7"/>
  <c r="F35" i="7"/>
  <c r="F235" i="7"/>
  <c r="F36" i="7"/>
  <c r="F97" i="7"/>
  <c r="F150" i="7"/>
  <c r="F151" i="7"/>
  <c r="F301" i="7"/>
  <c r="F136" i="7"/>
  <c r="F175" i="7"/>
  <c r="F55" i="7"/>
  <c r="F197" i="7"/>
  <c r="F73" i="7"/>
  <c r="F280" i="7"/>
  <c r="F256" i="7"/>
  <c r="F152" i="7"/>
  <c r="F137" i="7"/>
  <c r="F176" i="7"/>
  <c r="F169" i="7"/>
  <c r="F91" i="7"/>
  <c r="F220" i="7"/>
  <c r="F259" i="7"/>
  <c r="F38" i="7"/>
  <c r="F138" i="7"/>
  <c r="F182" i="7"/>
  <c r="F170" i="7"/>
  <c r="F92" i="7"/>
  <c r="F221" i="7"/>
  <c r="F75" i="7"/>
  <c r="F282" i="7"/>
  <c r="F39" i="7"/>
  <c r="F123" i="7"/>
  <c r="F183" i="7"/>
  <c r="F70" i="7"/>
  <c r="F222" i="7"/>
  <c r="F76" i="7"/>
  <c r="F6" i="7"/>
  <c r="F40" i="7"/>
  <c r="F140" i="7"/>
  <c r="F28" i="7"/>
  <c r="F223" i="7"/>
  <c r="F289" i="7"/>
  <c r="F41" i="7"/>
  <c r="F258" i="7"/>
  <c r="F185" i="7"/>
  <c r="F229" i="7"/>
  <c r="F268" i="7"/>
  <c r="F245" i="7"/>
  <c r="F114" i="7"/>
  <c r="F30" i="7"/>
  <c r="F208" i="7"/>
  <c r="F99" i="7"/>
  <c r="F146" i="7"/>
  <c r="F115" i="7"/>
  <c r="F65" i="7"/>
  <c r="F93" i="7"/>
  <c r="F20" i="7"/>
  <c r="F120" i="7"/>
  <c r="F168" i="7"/>
  <c r="F85" i="7"/>
  <c r="F219" i="7"/>
  <c r="F98" i="7"/>
  <c r="F37" i="7"/>
  <c r="F121" i="7"/>
  <c r="F56" i="7"/>
  <c r="F198" i="7"/>
  <c r="F74" i="7"/>
  <c r="F281" i="7"/>
  <c r="F257" i="7"/>
  <c r="F153" i="7"/>
  <c r="F122" i="7"/>
  <c r="F57" i="7"/>
  <c r="F199" i="7"/>
  <c r="F265" i="7"/>
  <c r="F242" i="7"/>
  <c r="F139" i="7"/>
  <c r="F58" i="7"/>
  <c r="F266" i="7"/>
  <c r="F243" i="7"/>
  <c r="F124" i="7"/>
  <c r="F71" i="7"/>
  <c r="F77" i="7"/>
  <c r="F7" i="7"/>
  <c r="F113" i="7"/>
  <c r="F29" i="7"/>
  <c r="F78" i="7"/>
  <c r="F291" i="7"/>
  <c r="F161" i="7"/>
  <c r="F18" i="7"/>
  <c r="F186" i="7"/>
  <c r="F79" i="7"/>
  <c r="F296" i="7"/>
  <c r="F19" i="7"/>
  <c r="F270" i="7"/>
  <c r="F297" i="7"/>
  <c r="F147" i="7"/>
  <c r="F141" i="7"/>
  <c r="F32" i="7"/>
  <c r="F193" i="7"/>
  <c r="F210" i="7"/>
  <c r="F232" i="7"/>
  <c r="F94" i="7"/>
  <c r="F271" i="7"/>
  <c r="F101" i="7"/>
  <c r="F298" i="7"/>
  <c r="F248" i="7"/>
  <c r="F148" i="7"/>
  <c r="F128" i="7"/>
  <c r="F142" i="7"/>
  <c r="F15" i="7"/>
  <c r="F165" i="7"/>
  <c r="F47" i="7"/>
  <c r="F67" i="7"/>
  <c r="F194" i="7"/>
  <c r="F211" i="7"/>
  <c r="F233" i="7"/>
  <c r="F95" i="7"/>
  <c r="F277" i="7"/>
  <c r="F300" i="7"/>
  <c r="F288" i="7"/>
  <c r="F276" i="7"/>
  <c r="F264" i="7"/>
  <c r="F84" i="7"/>
  <c r="F72" i="7"/>
  <c r="F228" i="7"/>
  <c r="F216" i="7"/>
  <c r="F204" i="7"/>
  <c r="F192" i="7"/>
  <c r="F90" i="7"/>
  <c r="F63" i="7"/>
  <c r="F53" i="7"/>
  <c r="F27" i="7"/>
  <c r="F25" i="7"/>
  <c r="F181" i="7"/>
  <c r="F12" i="7"/>
  <c r="F119" i="7"/>
  <c r="F112" i="7"/>
  <c r="F133" i="7"/>
  <c r="F157" i="7"/>
  <c r="F46" i="7"/>
  <c r="F34" i="7"/>
  <c r="F241" i="7"/>
  <c r="F295" i="7"/>
  <c r="F287" i="7"/>
  <c r="F275" i="7"/>
  <c r="F263" i="7"/>
  <c r="F83" i="7"/>
  <c r="F239" i="7"/>
  <c r="F227" i="7"/>
  <c r="F215" i="7"/>
  <c r="F203" i="7"/>
  <c r="F191" i="7"/>
  <c r="F89" i="7"/>
  <c r="F62" i="7"/>
  <c r="F52" i="7"/>
  <c r="F26" i="7"/>
  <c r="F24" i="7"/>
  <c r="F180" i="7"/>
  <c r="F11" i="7"/>
  <c r="F118" i="7"/>
  <c r="F111" i="7"/>
  <c r="F132" i="7"/>
  <c r="F45" i="7"/>
  <c r="F33" i="7"/>
  <c r="F240" i="7"/>
  <c r="F294" i="7"/>
  <c r="F106" i="7"/>
  <c r="F286" i="7"/>
  <c r="F274" i="7"/>
  <c r="F262" i="7"/>
  <c r="F82" i="7"/>
  <c r="F226" i="7"/>
  <c r="F214" i="7"/>
  <c r="F202" i="7"/>
  <c r="F190" i="7"/>
  <c r="F88" i="7"/>
  <c r="F61" i="7"/>
  <c r="F174" i="7"/>
  <c r="F23" i="7"/>
  <c r="F179" i="7"/>
  <c r="F10" i="7"/>
  <c r="F117" i="7"/>
  <c r="F131" i="7"/>
  <c r="F44" i="7"/>
  <c r="F253" i="7"/>
  <c r="F105" i="7"/>
  <c r="F261" i="7"/>
  <c r="F225" i="7"/>
  <c r="F201" i="7"/>
  <c r="F87" i="7"/>
  <c r="F173" i="7"/>
  <c r="F178" i="7"/>
  <c r="F116" i="7"/>
  <c r="F130" i="7"/>
  <c r="F43" i="7"/>
  <c r="F252" i="7"/>
  <c r="F284" i="7"/>
  <c r="F260" i="7"/>
  <c r="F212" i="7"/>
  <c r="F86" i="7"/>
  <c r="F172" i="7"/>
  <c r="F177" i="7"/>
  <c r="F145" i="7"/>
  <c r="F107" i="7"/>
  <c r="F156" i="7"/>
  <c r="F238" i="7"/>
  <c r="F51" i="7"/>
  <c r="F110" i="7"/>
  <c r="F155" i="7"/>
  <c r="F251" i="7"/>
  <c r="F293" i="7"/>
  <c r="F285" i="7"/>
  <c r="F273" i="7"/>
  <c r="F81" i="7"/>
  <c r="F237" i="7"/>
  <c r="F213" i="7"/>
  <c r="F189" i="7"/>
  <c r="F50" i="7"/>
  <c r="F22" i="7"/>
  <c r="F9" i="7"/>
  <c r="F109" i="7"/>
  <c r="F154" i="7"/>
  <c r="F250" i="7"/>
  <c r="F292" i="7"/>
  <c r="F104" i="7"/>
  <c r="F272" i="7"/>
  <c r="F80" i="7"/>
  <c r="F236" i="7"/>
  <c r="F200" i="7"/>
  <c r="F188" i="7"/>
  <c r="F164" i="7"/>
  <c r="F21" i="7"/>
  <c r="F108" i="7"/>
  <c r="F60" i="7"/>
  <c r="F224" i="7"/>
  <c r="F49" i="7"/>
  <c r="F8" i="7"/>
  <c r="F129" i="7"/>
  <c r="F158" i="7"/>
  <c r="F171" i="7"/>
  <c r="F205" i="7"/>
  <c r="F283" i="7"/>
  <c r="F159" i="7"/>
  <c r="F184" i="7"/>
  <c r="F59" i="7"/>
  <c r="F206" i="7"/>
  <c r="F267" i="7"/>
  <c r="F244" i="7"/>
  <c r="F160" i="7"/>
  <c r="F125" i="7"/>
  <c r="F163" i="7"/>
  <c r="F207" i="7"/>
  <c r="F290" i="7"/>
  <c r="F42" i="7"/>
  <c r="F126" i="7"/>
  <c r="F64" i="7"/>
  <c r="F230" i="7"/>
  <c r="F269" i="7"/>
  <c r="F246" i="7"/>
  <c r="F162" i="7"/>
  <c r="F13" i="7"/>
  <c r="F31" i="7"/>
  <c r="F187" i="7"/>
  <c r="F209" i="7"/>
  <c r="F231" i="7"/>
  <c r="F100" i="7"/>
  <c r="F247" i="7"/>
  <c r="F127" i="7"/>
  <c r="F14" i="7"/>
  <c r="F66" i="7"/>
  <c r="F299" i="7"/>
  <c r="F249" i="7"/>
  <c r="F149" i="7"/>
  <c r="F134" i="7"/>
  <c r="F143" i="7"/>
  <c r="F16" i="7"/>
  <c r="F166" i="7"/>
  <c r="F48" i="7"/>
  <c r="F68" i="7"/>
  <c r="F195" i="7"/>
  <c r="F217" i="7"/>
  <c r="F234" i="7"/>
  <c r="F96" i="7"/>
  <c r="F278" i="7"/>
  <c r="F103" i="7"/>
  <c r="D1428" i="3" l="1"/>
  <c r="E1428" i="3"/>
  <c r="F1428" i="3"/>
  <c r="G1428" i="3"/>
  <c r="H1428" i="3"/>
  <c r="I1428" i="3"/>
  <c r="D1429" i="3"/>
  <c r="E1429" i="3"/>
  <c r="F1429" i="3"/>
  <c r="G1429" i="3"/>
  <c r="H1429" i="3"/>
  <c r="I1429" i="3"/>
  <c r="D1430" i="3"/>
  <c r="E1430" i="3"/>
  <c r="F1430" i="3"/>
  <c r="G1430" i="3"/>
  <c r="H1430" i="3"/>
  <c r="I1430" i="3"/>
  <c r="D1431" i="3"/>
  <c r="E1431" i="3"/>
  <c r="F1431" i="3"/>
  <c r="G1431" i="3"/>
  <c r="H1431" i="3"/>
  <c r="I1431" i="3"/>
  <c r="D1432" i="3"/>
  <c r="E1432" i="3"/>
  <c r="F1432" i="3"/>
  <c r="G1432" i="3"/>
  <c r="H1432" i="3"/>
  <c r="I1432" i="3"/>
  <c r="D1433" i="3"/>
  <c r="E1433" i="3"/>
  <c r="F1433" i="3"/>
  <c r="G1433" i="3"/>
  <c r="H1433" i="3"/>
  <c r="I1433" i="3"/>
  <c r="D1434" i="3"/>
  <c r="E1434" i="3"/>
  <c r="F1434" i="3"/>
  <c r="G1434" i="3"/>
  <c r="H1434" i="3"/>
  <c r="I1434" i="3"/>
  <c r="D1420" i="3"/>
  <c r="E1420" i="3"/>
  <c r="F1420" i="3"/>
  <c r="G1420" i="3"/>
  <c r="H1420" i="3"/>
  <c r="I1420" i="3"/>
  <c r="D1421" i="3"/>
  <c r="E1421" i="3"/>
  <c r="F1421" i="3"/>
  <c r="G1421" i="3"/>
  <c r="H1421" i="3"/>
  <c r="I1421" i="3"/>
  <c r="D1422" i="3"/>
  <c r="E1422" i="3"/>
  <c r="F1422" i="3"/>
  <c r="G1422" i="3"/>
  <c r="H1422" i="3"/>
  <c r="I1422" i="3"/>
  <c r="D1423" i="3"/>
  <c r="E1423" i="3"/>
  <c r="F1423" i="3"/>
  <c r="G1423" i="3"/>
  <c r="H1423" i="3"/>
  <c r="I1423" i="3"/>
  <c r="D1424" i="3"/>
  <c r="E1424" i="3"/>
  <c r="F1424" i="3"/>
  <c r="G1424" i="3"/>
  <c r="H1424" i="3"/>
  <c r="I1424" i="3"/>
  <c r="D1425" i="3"/>
  <c r="E1425" i="3"/>
  <c r="F1425" i="3"/>
  <c r="G1425" i="3"/>
  <c r="H1425" i="3"/>
  <c r="I1425" i="3"/>
  <c r="D1426" i="3"/>
  <c r="E1426" i="3"/>
  <c r="F1426" i="3"/>
  <c r="G1426" i="3"/>
  <c r="H1426" i="3"/>
  <c r="I1426" i="3"/>
  <c r="D1427" i="3"/>
  <c r="E1427" i="3"/>
  <c r="F1427" i="3"/>
  <c r="G1427" i="3"/>
  <c r="H1427" i="3"/>
  <c r="I1427" i="3"/>
  <c r="D1412" i="3"/>
  <c r="E1412" i="3"/>
  <c r="F1412" i="3"/>
  <c r="G1412" i="3"/>
  <c r="H1412" i="3"/>
  <c r="I1412" i="3"/>
  <c r="D1413" i="3"/>
  <c r="E1413" i="3"/>
  <c r="F1413" i="3"/>
  <c r="G1413" i="3"/>
  <c r="H1413" i="3"/>
  <c r="I1413" i="3"/>
  <c r="D1414" i="3"/>
  <c r="E1414" i="3"/>
  <c r="F1414" i="3"/>
  <c r="G1414" i="3"/>
  <c r="H1414" i="3"/>
  <c r="I1414" i="3"/>
  <c r="D1415" i="3"/>
  <c r="E1415" i="3"/>
  <c r="F1415" i="3"/>
  <c r="G1415" i="3"/>
  <c r="H1415" i="3"/>
  <c r="I1415" i="3"/>
  <c r="D1416" i="3"/>
  <c r="E1416" i="3"/>
  <c r="F1416" i="3"/>
  <c r="G1416" i="3"/>
  <c r="H1416" i="3"/>
  <c r="I1416" i="3"/>
  <c r="D1417" i="3"/>
  <c r="E1417" i="3"/>
  <c r="F1417" i="3"/>
  <c r="G1417" i="3"/>
  <c r="H1417" i="3"/>
  <c r="I1417" i="3"/>
  <c r="D1418" i="3"/>
  <c r="E1418" i="3"/>
  <c r="F1418" i="3"/>
  <c r="G1418" i="3"/>
  <c r="H1418" i="3"/>
  <c r="I1418" i="3"/>
  <c r="D1419" i="3"/>
  <c r="E1419" i="3"/>
  <c r="F1419" i="3"/>
  <c r="G1419" i="3"/>
  <c r="H1419" i="3"/>
  <c r="I1419" i="3"/>
  <c r="D1405" i="3"/>
  <c r="E1405" i="3"/>
  <c r="F1405" i="3"/>
  <c r="G1405" i="3"/>
  <c r="H1405" i="3"/>
  <c r="I1405" i="3"/>
  <c r="D1406" i="3"/>
  <c r="E1406" i="3"/>
  <c r="F1406" i="3"/>
  <c r="G1406" i="3"/>
  <c r="H1406" i="3"/>
  <c r="I1406" i="3"/>
  <c r="D1407" i="3"/>
  <c r="E1407" i="3"/>
  <c r="F1407" i="3"/>
  <c r="G1407" i="3"/>
  <c r="H1407" i="3"/>
  <c r="I1407" i="3"/>
  <c r="D1408" i="3"/>
  <c r="E1408" i="3"/>
  <c r="F1408" i="3"/>
  <c r="G1408" i="3"/>
  <c r="H1408" i="3"/>
  <c r="I1408" i="3"/>
  <c r="D1409" i="3"/>
  <c r="E1409" i="3"/>
  <c r="F1409" i="3"/>
  <c r="G1409" i="3"/>
  <c r="H1409" i="3"/>
  <c r="I1409" i="3"/>
  <c r="D1410" i="3"/>
  <c r="E1410" i="3"/>
  <c r="F1410" i="3"/>
  <c r="G1410" i="3"/>
  <c r="H1410" i="3"/>
  <c r="I1410" i="3"/>
  <c r="D1411" i="3"/>
  <c r="E1411" i="3"/>
  <c r="F1411" i="3"/>
  <c r="G1411" i="3"/>
  <c r="H1411" i="3"/>
  <c r="I1411" i="3"/>
  <c r="D1398" i="3"/>
  <c r="E1398" i="3"/>
  <c r="F1398" i="3"/>
  <c r="G1398" i="3"/>
  <c r="H1398" i="3"/>
  <c r="I1398" i="3"/>
  <c r="D1399" i="3"/>
  <c r="E1399" i="3"/>
  <c r="F1399" i="3"/>
  <c r="G1399" i="3"/>
  <c r="H1399" i="3"/>
  <c r="I1399" i="3"/>
  <c r="D1400" i="3"/>
  <c r="E1400" i="3"/>
  <c r="F1400" i="3"/>
  <c r="G1400" i="3"/>
  <c r="H1400" i="3"/>
  <c r="I1400" i="3"/>
  <c r="D1401" i="3"/>
  <c r="E1401" i="3"/>
  <c r="F1401" i="3"/>
  <c r="G1401" i="3"/>
  <c r="H1401" i="3"/>
  <c r="I1401" i="3"/>
  <c r="D1402" i="3"/>
  <c r="E1402" i="3"/>
  <c r="F1402" i="3"/>
  <c r="G1402" i="3"/>
  <c r="H1402" i="3"/>
  <c r="I1402" i="3"/>
  <c r="D1403" i="3"/>
  <c r="E1403" i="3"/>
  <c r="F1403" i="3"/>
  <c r="G1403" i="3"/>
  <c r="H1403" i="3"/>
  <c r="I1403" i="3"/>
  <c r="D1404" i="3"/>
  <c r="E1404" i="3"/>
  <c r="F1404" i="3"/>
  <c r="G1404" i="3"/>
  <c r="H1404" i="3"/>
  <c r="I1404" i="3"/>
  <c r="D1391" i="3"/>
  <c r="E1391" i="3"/>
  <c r="F1391" i="3"/>
  <c r="G1391" i="3"/>
  <c r="H1391" i="3"/>
  <c r="I1391" i="3"/>
  <c r="D1392" i="3"/>
  <c r="E1392" i="3"/>
  <c r="F1392" i="3"/>
  <c r="G1392" i="3"/>
  <c r="H1392" i="3"/>
  <c r="I1392" i="3"/>
  <c r="D1393" i="3"/>
  <c r="E1393" i="3"/>
  <c r="F1393" i="3"/>
  <c r="G1393" i="3"/>
  <c r="H1393" i="3"/>
  <c r="I1393" i="3"/>
  <c r="D1394" i="3"/>
  <c r="E1394" i="3"/>
  <c r="F1394" i="3"/>
  <c r="G1394" i="3"/>
  <c r="H1394" i="3"/>
  <c r="I1394" i="3"/>
  <c r="D1395" i="3"/>
  <c r="E1395" i="3"/>
  <c r="F1395" i="3"/>
  <c r="G1395" i="3"/>
  <c r="H1395" i="3"/>
  <c r="I1395" i="3"/>
  <c r="D1396" i="3"/>
  <c r="E1396" i="3"/>
  <c r="F1396" i="3"/>
  <c r="G1396" i="3"/>
  <c r="H1396" i="3"/>
  <c r="I1396" i="3"/>
  <c r="D1397" i="3"/>
  <c r="E1397" i="3"/>
  <c r="F1397" i="3"/>
  <c r="G1397" i="3"/>
  <c r="H1397" i="3"/>
  <c r="I1397" i="3"/>
  <c r="M6" i="2"/>
  <c r="L6" i="2"/>
  <c r="K6" i="2"/>
  <c r="J6" i="2"/>
  <c r="H6" i="2"/>
  <c r="G6" i="2"/>
  <c r="F6" i="2"/>
  <c r="E6" i="2"/>
  <c r="D6" i="2"/>
  <c r="C6" i="2"/>
  <c r="D1384" i="3"/>
  <c r="E1384" i="3"/>
  <c r="F1384" i="3"/>
  <c r="G1384" i="3"/>
  <c r="H1384" i="3"/>
  <c r="I1384" i="3"/>
  <c r="D1385" i="3"/>
  <c r="E1385" i="3"/>
  <c r="F1385" i="3"/>
  <c r="G1385" i="3"/>
  <c r="H1385" i="3"/>
  <c r="I1385" i="3"/>
  <c r="D1386" i="3"/>
  <c r="E1386" i="3"/>
  <c r="F1386" i="3"/>
  <c r="G1386" i="3"/>
  <c r="H1386" i="3"/>
  <c r="I1386" i="3"/>
  <c r="D1387" i="3"/>
  <c r="E1387" i="3"/>
  <c r="F1387" i="3"/>
  <c r="G1387" i="3"/>
  <c r="H1387" i="3"/>
  <c r="I1387" i="3"/>
  <c r="D1388" i="3"/>
  <c r="E1388" i="3"/>
  <c r="F1388" i="3"/>
  <c r="G1388" i="3"/>
  <c r="H1388" i="3"/>
  <c r="I1388" i="3"/>
  <c r="D1389" i="3"/>
  <c r="E1389" i="3"/>
  <c r="F1389" i="3"/>
  <c r="G1389" i="3"/>
  <c r="H1389" i="3"/>
  <c r="I1389" i="3"/>
  <c r="D1390" i="3"/>
  <c r="E1390" i="3"/>
  <c r="F1390" i="3"/>
  <c r="G1390" i="3"/>
  <c r="H1390" i="3"/>
  <c r="I1390" i="3"/>
  <c r="D1377" i="3"/>
  <c r="E1377" i="3"/>
  <c r="F1377" i="3"/>
  <c r="G1377" i="3"/>
  <c r="H1377" i="3"/>
  <c r="I1377" i="3"/>
  <c r="D1378" i="3"/>
  <c r="E1378" i="3"/>
  <c r="F1378" i="3"/>
  <c r="G1378" i="3"/>
  <c r="H1378" i="3"/>
  <c r="I1378" i="3"/>
  <c r="D1379" i="3"/>
  <c r="E1379" i="3"/>
  <c r="F1379" i="3"/>
  <c r="G1379" i="3"/>
  <c r="H1379" i="3"/>
  <c r="I1379" i="3"/>
  <c r="D1380" i="3"/>
  <c r="E1380" i="3"/>
  <c r="F1380" i="3"/>
  <c r="G1380" i="3"/>
  <c r="H1380" i="3"/>
  <c r="I1380" i="3"/>
  <c r="D1381" i="3"/>
  <c r="E1381" i="3"/>
  <c r="F1381" i="3"/>
  <c r="G1381" i="3"/>
  <c r="H1381" i="3"/>
  <c r="I1381" i="3"/>
  <c r="D1382" i="3"/>
  <c r="E1382" i="3"/>
  <c r="F1382" i="3"/>
  <c r="G1382" i="3"/>
  <c r="H1382" i="3"/>
  <c r="I1382" i="3"/>
  <c r="D1383" i="3"/>
  <c r="E1383" i="3"/>
  <c r="F1383" i="3"/>
  <c r="G1383" i="3"/>
  <c r="H1383" i="3"/>
  <c r="I1383" i="3"/>
  <c r="D1370" i="3"/>
  <c r="E1370" i="3"/>
  <c r="F1370" i="3"/>
  <c r="G1370" i="3"/>
  <c r="H1370" i="3"/>
  <c r="I1370" i="3"/>
  <c r="D1371" i="3"/>
  <c r="E1371" i="3"/>
  <c r="F1371" i="3"/>
  <c r="G1371" i="3"/>
  <c r="H1371" i="3"/>
  <c r="I1371" i="3"/>
  <c r="D1372" i="3"/>
  <c r="E1372" i="3"/>
  <c r="F1372" i="3"/>
  <c r="G1372" i="3"/>
  <c r="H1372" i="3"/>
  <c r="I1372" i="3"/>
  <c r="D1373" i="3"/>
  <c r="E1373" i="3"/>
  <c r="F1373" i="3"/>
  <c r="G1373" i="3"/>
  <c r="H1373" i="3"/>
  <c r="I1373" i="3"/>
  <c r="D1374" i="3"/>
  <c r="E1374" i="3"/>
  <c r="F1374" i="3"/>
  <c r="G1374" i="3"/>
  <c r="H1374" i="3"/>
  <c r="I1374" i="3"/>
  <c r="D1375" i="3"/>
  <c r="E1375" i="3"/>
  <c r="F1375" i="3"/>
  <c r="G1375" i="3"/>
  <c r="H1375" i="3"/>
  <c r="I1375" i="3"/>
  <c r="D1376" i="3"/>
  <c r="E1376" i="3"/>
  <c r="F1376" i="3"/>
  <c r="G1376" i="3"/>
  <c r="H1376" i="3"/>
  <c r="I1376" i="3"/>
  <c r="D1363" i="3"/>
  <c r="E1363" i="3"/>
  <c r="F1363" i="3"/>
  <c r="G1363" i="3"/>
  <c r="H1363" i="3"/>
  <c r="I1363" i="3"/>
  <c r="D1364" i="3"/>
  <c r="E1364" i="3"/>
  <c r="F1364" i="3"/>
  <c r="G1364" i="3"/>
  <c r="H1364" i="3"/>
  <c r="I1364" i="3"/>
  <c r="D1365" i="3"/>
  <c r="E1365" i="3"/>
  <c r="F1365" i="3"/>
  <c r="G1365" i="3"/>
  <c r="H1365" i="3"/>
  <c r="I1365" i="3"/>
  <c r="D1366" i="3"/>
  <c r="E1366" i="3"/>
  <c r="F1366" i="3"/>
  <c r="G1366" i="3"/>
  <c r="H1366" i="3"/>
  <c r="I1366" i="3"/>
  <c r="D1367" i="3"/>
  <c r="E1367" i="3"/>
  <c r="F1367" i="3"/>
  <c r="G1367" i="3"/>
  <c r="H1367" i="3"/>
  <c r="I1367" i="3"/>
  <c r="D1368" i="3"/>
  <c r="E1368" i="3"/>
  <c r="F1368" i="3"/>
  <c r="G1368" i="3"/>
  <c r="H1368" i="3"/>
  <c r="I1368" i="3"/>
  <c r="D1369" i="3"/>
  <c r="E1369" i="3"/>
  <c r="F1369" i="3"/>
  <c r="G1369" i="3"/>
  <c r="H1369" i="3"/>
  <c r="I1369" i="3"/>
  <c r="D1355" i="3"/>
  <c r="E1355" i="3"/>
  <c r="F1355" i="3"/>
  <c r="G1355" i="3"/>
  <c r="H1355" i="3"/>
  <c r="I1355" i="3"/>
  <c r="D1356" i="3"/>
  <c r="E1356" i="3"/>
  <c r="F1356" i="3"/>
  <c r="G1356" i="3"/>
  <c r="H1356" i="3"/>
  <c r="I1356" i="3"/>
  <c r="D1357" i="3"/>
  <c r="E1357" i="3"/>
  <c r="F1357" i="3"/>
  <c r="G1357" i="3"/>
  <c r="H1357" i="3"/>
  <c r="I1357" i="3"/>
  <c r="D1358" i="3"/>
  <c r="E1358" i="3"/>
  <c r="F1358" i="3"/>
  <c r="G1358" i="3"/>
  <c r="H1358" i="3"/>
  <c r="I1358" i="3"/>
  <c r="D1359" i="3"/>
  <c r="E1359" i="3"/>
  <c r="F1359" i="3"/>
  <c r="G1359" i="3"/>
  <c r="H1359" i="3"/>
  <c r="I1359" i="3"/>
  <c r="D1360" i="3"/>
  <c r="E1360" i="3"/>
  <c r="F1360" i="3"/>
  <c r="G1360" i="3"/>
  <c r="H1360" i="3"/>
  <c r="I1360" i="3"/>
  <c r="D1361" i="3"/>
  <c r="E1361" i="3"/>
  <c r="F1361" i="3"/>
  <c r="G1361" i="3"/>
  <c r="H1361" i="3"/>
  <c r="I1361" i="3"/>
  <c r="D1362" i="3"/>
  <c r="E1362" i="3"/>
  <c r="F1362" i="3"/>
  <c r="G1362" i="3"/>
  <c r="H1362" i="3"/>
  <c r="I1362" i="3"/>
  <c r="D1348" i="3"/>
  <c r="E1348" i="3"/>
  <c r="F1348" i="3"/>
  <c r="G1348" i="3"/>
  <c r="H1348" i="3"/>
  <c r="I1348" i="3"/>
  <c r="D1349" i="3"/>
  <c r="E1349" i="3"/>
  <c r="F1349" i="3"/>
  <c r="G1349" i="3"/>
  <c r="H1349" i="3"/>
  <c r="I1349" i="3"/>
  <c r="D1350" i="3"/>
  <c r="E1350" i="3"/>
  <c r="F1350" i="3"/>
  <c r="G1350" i="3"/>
  <c r="H1350" i="3"/>
  <c r="I1350" i="3"/>
  <c r="D1351" i="3"/>
  <c r="E1351" i="3"/>
  <c r="F1351" i="3"/>
  <c r="G1351" i="3"/>
  <c r="H1351" i="3"/>
  <c r="I1351" i="3"/>
  <c r="D1352" i="3"/>
  <c r="E1352" i="3"/>
  <c r="F1352" i="3"/>
  <c r="G1352" i="3"/>
  <c r="H1352" i="3"/>
  <c r="I1352" i="3"/>
  <c r="D1353" i="3"/>
  <c r="E1353" i="3"/>
  <c r="F1353" i="3"/>
  <c r="G1353" i="3"/>
  <c r="H1353" i="3"/>
  <c r="I1353" i="3"/>
  <c r="D1354" i="3"/>
  <c r="E1354" i="3"/>
  <c r="F1354" i="3"/>
  <c r="G1354" i="3"/>
  <c r="H1354" i="3"/>
  <c r="I1354" i="3"/>
  <c r="D1341" i="3"/>
  <c r="E1341" i="3"/>
  <c r="F1341" i="3"/>
  <c r="G1341" i="3"/>
  <c r="H1341" i="3"/>
  <c r="I1341" i="3"/>
  <c r="D1342" i="3"/>
  <c r="E1342" i="3"/>
  <c r="F1342" i="3"/>
  <c r="G1342" i="3"/>
  <c r="H1342" i="3"/>
  <c r="I1342" i="3"/>
  <c r="D1343" i="3"/>
  <c r="E1343" i="3"/>
  <c r="F1343" i="3"/>
  <c r="G1343" i="3"/>
  <c r="H1343" i="3"/>
  <c r="I1343" i="3"/>
  <c r="D1344" i="3"/>
  <c r="E1344" i="3"/>
  <c r="F1344" i="3"/>
  <c r="G1344" i="3"/>
  <c r="H1344" i="3"/>
  <c r="I1344" i="3"/>
  <c r="D1345" i="3"/>
  <c r="E1345" i="3"/>
  <c r="F1345" i="3"/>
  <c r="G1345" i="3"/>
  <c r="H1345" i="3"/>
  <c r="I1345" i="3"/>
  <c r="D1346" i="3"/>
  <c r="E1346" i="3"/>
  <c r="F1346" i="3"/>
  <c r="G1346" i="3"/>
  <c r="H1346" i="3"/>
  <c r="I1346" i="3"/>
  <c r="D1347" i="3"/>
  <c r="E1347" i="3"/>
  <c r="F1347" i="3"/>
  <c r="G1347" i="3"/>
  <c r="H1347" i="3"/>
  <c r="I1347" i="3"/>
  <c r="D1334" i="3"/>
  <c r="E1334" i="3"/>
  <c r="F1334" i="3"/>
  <c r="G1334" i="3"/>
  <c r="H1334" i="3"/>
  <c r="I1334" i="3"/>
  <c r="D1335" i="3"/>
  <c r="E1335" i="3"/>
  <c r="F1335" i="3"/>
  <c r="G1335" i="3"/>
  <c r="H1335" i="3"/>
  <c r="I1335" i="3"/>
  <c r="D1336" i="3"/>
  <c r="E1336" i="3"/>
  <c r="F1336" i="3"/>
  <c r="G1336" i="3"/>
  <c r="H1336" i="3"/>
  <c r="I1336" i="3"/>
  <c r="D1337" i="3"/>
  <c r="E1337" i="3"/>
  <c r="F1337" i="3"/>
  <c r="G1337" i="3"/>
  <c r="H1337" i="3"/>
  <c r="I1337" i="3"/>
  <c r="D1338" i="3"/>
  <c r="E1338" i="3"/>
  <c r="F1338" i="3"/>
  <c r="G1338" i="3"/>
  <c r="H1338" i="3"/>
  <c r="I1338" i="3"/>
  <c r="D1339" i="3"/>
  <c r="E1339" i="3"/>
  <c r="F1339" i="3"/>
  <c r="G1339" i="3"/>
  <c r="H1339" i="3"/>
  <c r="I1339" i="3"/>
  <c r="D1340" i="3"/>
  <c r="E1340" i="3"/>
  <c r="F1340" i="3"/>
  <c r="G1340" i="3"/>
  <c r="H1340" i="3"/>
  <c r="I1340" i="3"/>
  <c r="D1327" i="3"/>
  <c r="E1327" i="3"/>
  <c r="F1327" i="3"/>
  <c r="G1327" i="3"/>
  <c r="H1327" i="3"/>
  <c r="I1327" i="3"/>
  <c r="D1328" i="3"/>
  <c r="E1328" i="3"/>
  <c r="F1328" i="3"/>
  <c r="G1328" i="3"/>
  <c r="H1328" i="3"/>
  <c r="I1328" i="3"/>
  <c r="D1329" i="3"/>
  <c r="E1329" i="3"/>
  <c r="F1329" i="3"/>
  <c r="G1329" i="3"/>
  <c r="H1329" i="3"/>
  <c r="I1329" i="3"/>
  <c r="D1330" i="3"/>
  <c r="E1330" i="3"/>
  <c r="F1330" i="3"/>
  <c r="G1330" i="3"/>
  <c r="H1330" i="3"/>
  <c r="I1330" i="3"/>
  <c r="D1331" i="3"/>
  <c r="E1331" i="3"/>
  <c r="F1331" i="3"/>
  <c r="G1331" i="3"/>
  <c r="H1331" i="3"/>
  <c r="I1331" i="3"/>
  <c r="D1332" i="3"/>
  <c r="E1332" i="3"/>
  <c r="F1332" i="3"/>
  <c r="G1332" i="3"/>
  <c r="H1332" i="3"/>
  <c r="I1332" i="3"/>
  <c r="D1333" i="3"/>
  <c r="E1333" i="3"/>
  <c r="F1333" i="3"/>
  <c r="G1333" i="3"/>
  <c r="H1333" i="3"/>
  <c r="I1333" i="3"/>
  <c r="D1320" i="3"/>
  <c r="E1320" i="3"/>
  <c r="F1320" i="3"/>
  <c r="G1320" i="3"/>
  <c r="H1320" i="3"/>
  <c r="I1320" i="3"/>
  <c r="D1321" i="3"/>
  <c r="E1321" i="3"/>
  <c r="F1321" i="3"/>
  <c r="G1321" i="3"/>
  <c r="H1321" i="3"/>
  <c r="I1321" i="3"/>
  <c r="D1322" i="3"/>
  <c r="E1322" i="3"/>
  <c r="F1322" i="3"/>
  <c r="G1322" i="3"/>
  <c r="H1322" i="3"/>
  <c r="I1322" i="3"/>
  <c r="D1323" i="3"/>
  <c r="E1323" i="3"/>
  <c r="F1323" i="3"/>
  <c r="G1323" i="3"/>
  <c r="H1323" i="3"/>
  <c r="I1323" i="3"/>
  <c r="D1324" i="3"/>
  <c r="E1324" i="3"/>
  <c r="F1324" i="3"/>
  <c r="G1324" i="3"/>
  <c r="H1324" i="3"/>
  <c r="I1324" i="3"/>
  <c r="D1325" i="3"/>
  <c r="E1325" i="3"/>
  <c r="F1325" i="3"/>
  <c r="G1325" i="3"/>
  <c r="H1325" i="3"/>
  <c r="I1325" i="3"/>
  <c r="D1326" i="3"/>
  <c r="E1326" i="3"/>
  <c r="F1326" i="3"/>
  <c r="G1326" i="3"/>
  <c r="H1326" i="3"/>
  <c r="I1326" i="3"/>
  <c r="D1313" i="3"/>
  <c r="E1313" i="3"/>
  <c r="F1313" i="3"/>
  <c r="G1313" i="3"/>
  <c r="H1313" i="3"/>
  <c r="I1313" i="3"/>
  <c r="D1314" i="3"/>
  <c r="E1314" i="3"/>
  <c r="F1314" i="3"/>
  <c r="G1314" i="3"/>
  <c r="H1314" i="3"/>
  <c r="I1314" i="3"/>
  <c r="D1315" i="3"/>
  <c r="E1315" i="3"/>
  <c r="F1315" i="3"/>
  <c r="G1315" i="3"/>
  <c r="H1315" i="3"/>
  <c r="I1315" i="3"/>
  <c r="D1316" i="3"/>
  <c r="E1316" i="3"/>
  <c r="F1316" i="3"/>
  <c r="G1316" i="3"/>
  <c r="H1316" i="3"/>
  <c r="I1316" i="3"/>
  <c r="D1317" i="3"/>
  <c r="E1317" i="3"/>
  <c r="F1317" i="3"/>
  <c r="G1317" i="3"/>
  <c r="H1317" i="3"/>
  <c r="I1317" i="3"/>
  <c r="D1318" i="3"/>
  <c r="E1318" i="3"/>
  <c r="F1318" i="3"/>
  <c r="G1318" i="3"/>
  <c r="H1318" i="3"/>
  <c r="I1318" i="3"/>
  <c r="D1319" i="3"/>
  <c r="E1319" i="3"/>
  <c r="F1319" i="3"/>
  <c r="G1319" i="3"/>
  <c r="H1319" i="3"/>
  <c r="I1319" i="3"/>
  <c r="D1306" i="3"/>
  <c r="E1306" i="3"/>
  <c r="F1306" i="3"/>
  <c r="G1306" i="3"/>
  <c r="H1306" i="3"/>
  <c r="I1306" i="3"/>
  <c r="D1307" i="3"/>
  <c r="E1307" i="3"/>
  <c r="F1307" i="3"/>
  <c r="G1307" i="3"/>
  <c r="H1307" i="3"/>
  <c r="I1307" i="3"/>
  <c r="D1308" i="3"/>
  <c r="E1308" i="3"/>
  <c r="F1308" i="3"/>
  <c r="G1308" i="3"/>
  <c r="H1308" i="3"/>
  <c r="I1308" i="3"/>
  <c r="D1309" i="3"/>
  <c r="E1309" i="3"/>
  <c r="F1309" i="3"/>
  <c r="G1309" i="3"/>
  <c r="H1309" i="3"/>
  <c r="I1309" i="3"/>
  <c r="D1310" i="3"/>
  <c r="E1310" i="3"/>
  <c r="F1310" i="3"/>
  <c r="G1310" i="3"/>
  <c r="H1310" i="3"/>
  <c r="I1310" i="3"/>
  <c r="D1311" i="3"/>
  <c r="E1311" i="3"/>
  <c r="F1311" i="3"/>
  <c r="G1311" i="3"/>
  <c r="H1311" i="3"/>
  <c r="I1311" i="3"/>
  <c r="D1312" i="3"/>
  <c r="E1312" i="3"/>
  <c r="F1312" i="3"/>
  <c r="G1312" i="3"/>
  <c r="H1312" i="3"/>
  <c r="I1312" i="3"/>
  <c r="D1298" i="3"/>
  <c r="E1298" i="3"/>
  <c r="F1298" i="3"/>
  <c r="G1298" i="3"/>
  <c r="H1298" i="3"/>
  <c r="I1298" i="3"/>
  <c r="D1299" i="3"/>
  <c r="E1299" i="3"/>
  <c r="F1299" i="3"/>
  <c r="G1299" i="3"/>
  <c r="H1299" i="3"/>
  <c r="I1299" i="3"/>
  <c r="D1300" i="3"/>
  <c r="E1300" i="3"/>
  <c r="F1300" i="3"/>
  <c r="G1300" i="3"/>
  <c r="H1300" i="3"/>
  <c r="I1300" i="3"/>
  <c r="D1301" i="3"/>
  <c r="E1301" i="3"/>
  <c r="F1301" i="3"/>
  <c r="G1301" i="3"/>
  <c r="H1301" i="3"/>
  <c r="I1301" i="3"/>
  <c r="D1302" i="3"/>
  <c r="E1302" i="3"/>
  <c r="F1302" i="3"/>
  <c r="G1302" i="3"/>
  <c r="H1302" i="3"/>
  <c r="I1302" i="3"/>
  <c r="D1303" i="3"/>
  <c r="E1303" i="3"/>
  <c r="F1303" i="3"/>
  <c r="G1303" i="3"/>
  <c r="H1303" i="3"/>
  <c r="I1303" i="3"/>
  <c r="D1304" i="3"/>
  <c r="E1304" i="3"/>
  <c r="F1304" i="3"/>
  <c r="G1304" i="3"/>
  <c r="H1304" i="3"/>
  <c r="I1304" i="3"/>
  <c r="D1305" i="3"/>
  <c r="E1305" i="3"/>
  <c r="F1305" i="3"/>
  <c r="G1305" i="3"/>
  <c r="H1305" i="3"/>
  <c r="I1305" i="3"/>
  <c r="D1291" i="3"/>
  <c r="E1291" i="3"/>
  <c r="F1291" i="3"/>
  <c r="G1291" i="3"/>
  <c r="H1291" i="3"/>
  <c r="I1291" i="3"/>
  <c r="D1292" i="3"/>
  <c r="E1292" i="3"/>
  <c r="F1292" i="3"/>
  <c r="G1292" i="3"/>
  <c r="H1292" i="3"/>
  <c r="I1292" i="3"/>
  <c r="D1293" i="3"/>
  <c r="E1293" i="3"/>
  <c r="F1293" i="3"/>
  <c r="G1293" i="3"/>
  <c r="H1293" i="3"/>
  <c r="I1293" i="3"/>
  <c r="D1294" i="3"/>
  <c r="E1294" i="3"/>
  <c r="F1294" i="3"/>
  <c r="G1294" i="3"/>
  <c r="H1294" i="3"/>
  <c r="I1294" i="3"/>
  <c r="D1295" i="3"/>
  <c r="E1295" i="3"/>
  <c r="F1295" i="3"/>
  <c r="G1295" i="3"/>
  <c r="H1295" i="3"/>
  <c r="I1295" i="3"/>
  <c r="D1296" i="3"/>
  <c r="E1296" i="3"/>
  <c r="F1296" i="3"/>
  <c r="G1296" i="3"/>
  <c r="H1296" i="3"/>
  <c r="I1296" i="3"/>
  <c r="D1297" i="3"/>
  <c r="E1297" i="3"/>
  <c r="F1297" i="3"/>
  <c r="G1297" i="3"/>
  <c r="H1297" i="3"/>
  <c r="I1297" i="3"/>
  <c r="D1283" i="3"/>
  <c r="E1283" i="3"/>
  <c r="F1283" i="3"/>
  <c r="G1283" i="3"/>
  <c r="H1283" i="3"/>
  <c r="I1283" i="3"/>
  <c r="D1284" i="3"/>
  <c r="E1284" i="3"/>
  <c r="F1284" i="3"/>
  <c r="G1284" i="3"/>
  <c r="H1284" i="3"/>
  <c r="I1284" i="3"/>
  <c r="D1285" i="3"/>
  <c r="E1285" i="3"/>
  <c r="F1285" i="3"/>
  <c r="G1285" i="3"/>
  <c r="H1285" i="3"/>
  <c r="I1285" i="3"/>
  <c r="D1286" i="3"/>
  <c r="E1286" i="3"/>
  <c r="F1286" i="3"/>
  <c r="G1286" i="3"/>
  <c r="H1286" i="3"/>
  <c r="I1286" i="3"/>
  <c r="D1287" i="3"/>
  <c r="E1287" i="3"/>
  <c r="F1287" i="3"/>
  <c r="G1287" i="3"/>
  <c r="H1287" i="3"/>
  <c r="I1287" i="3"/>
  <c r="D1288" i="3"/>
  <c r="E1288" i="3"/>
  <c r="F1288" i="3"/>
  <c r="G1288" i="3"/>
  <c r="H1288" i="3"/>
  <c r="I1288" i="3"/>
  <c r="D1289" i="3"/>
  <c r="E1289" i="3"/>
  <c r="F1289" i="3"/>
  <c r="G1289" i="3"/>
  <c r="H1289" i="3"/>
  <c r="I1289" i="3"/>
  <c r="D1290" i="3"/>
  <c r="E1290" i="3"/>
  <c r="F1290" i="3"/>
  <c r="G1290" i="3"/>
  <c r="H1290" i="3"/>
  <c r="I1290" i="3"/>
  <c r="D1282" i="3"/>
  <c r="E1282" i="3"/>
  <c r="F1282" i="3"/>
  <c r="G1282" i="3"/>
  <c r="H1282" i="3"/>
  <c r="I1282" i="3"/>
  <c r="D1276" i="3"/>
  <c r="E1276" i="3"/>
  <c r="F1276" i="3"/>
  <c r="G1276" i="3"/>
  <c r="H1276" i="3"/>
  <c r="I1276" i="3"/>
  <c r="D1277" i="3"/>
  <c r="E1277" i="3"/>
  <c r="F1277" i="3"/>
  <c r="G1277" i="3"/>
  <c r="H1277" i="3"/>
  <c r="I1277" i="3"/>
  <c r="D1278" i="3"/>
  <c r="E1278" i="3"/>
  <c r="F1278" i="3"/>
  <c r="G1278" i="3"/>
  <c r="H1278" i="3"/>
  <c r="I1278" i="3"/>
  <c r="D1279" i="3"/>
  <c r="E1279" i="3"/>
  <c r="F1279" i="3"/>
  <c r="G1279" i="3"/>
  <c r="H1279" i="3"/>
  <c r="I1279" i="3"/>
  <c r="D1280" i="3"/>
  <c r="E1280" i="3"/>
  <c r="F1280" i="3"/>
  <c r="G1280" i="3"/>
  <c r="H1280" i="3"/>
  <c r="I1280" i="3"/>
  <c r="D1281" i="3"/>
  <c r="E1281" i="3"/>
  <c r="F1281" i="3"/>
  <c r="G1281" i="3"/>
  <c r="H1281" i="3"/>
  <c r="I1281" i="3"/>
  <c r="I1275" i="3"/>
  <c r="H1275" i="3"/>
  <c r="G1275" i="3"/>
  <c r="F1275" i="3"/>
  <c r="E1275" i="3"/>
  <c r="D1275" i="3"/>
  <c r="I1274" i="3"/>
  <c r="H1274" i="3"/>
  <c r="G1274" i="3"/>
  <c r="F1274" i="3"/>
  <c r="E1274" i="3"/>
  <c r="D1274" i="3"/>
  <c r="I1273" i="3"/>
  <c r="H1273" i="3"/>
  <c r="G1273" i="3"/>
  <c r="F1273" i="3"/>
  <c r="E1273" i="3"/>
  <c r="D1273" i="3"/>
  <c r="I1272" i="3"/>
  <c r="H1272" i="3"/>
  <c r="G1272" i="3"/>
  <c r="F1272" i="3"/>
  <c r="E1272" i="3"/>
  <c r="D1272" i="3"/>
  <c r="I1271" i="3"/>
  <c r="H1271" i="3"/>
  <c r="G1271" i="3"/>
  <c r="F1271" i="3"/>
  <c r="E1271" i="3"/>
  <c r="D1271" i="3"/>
  <c r="I1270" i="3"/>
  <c r="H1270" i="3"/>
  <c r="G1270" i="3"/>
  <c r="F1270" i="3"/>
  <c r="E1270" i="3"/>
  <c r="D1270" i="3"/>
  <c r="I1269" i="3"/>
  <c r="H1269" i="3"/>
  <c r="G1269" i="3"/>
  <c r="F1269" i="3"/>
  <c r="E1269" i="3"/>
  <c r="D1269" i="3"/>
  <c r="I1268" i="3"/>
  <c r="H1268" i="3"/>
  <c r="G1268" i="3"/>
  <c r="F1268" i="3"/>
  <c r="E1268" i="3"/>
  <c r="D1268" i="3"/>
  <c r="I1267" i="3"/>
  <c r="H1267" i="3"/>
  <c r="G1267" i="3"/>
  <c r="F1267" i="3"/>
  <c r="E1267" i="3"/>
  <c r="D1267" i="3"/>
  <c r="I1266" i="3"/>
  <c r="H1266" i="3"/>
  <c r="G1266" i="3"/>
  <c r="F1266" i="3"/>
  <c r="E1266" i="3"/>
  <c r="D1266" i="3"/>
  <c r="I1265" i="3"/>
  <c r="H1265" i="3"/>
  <c r="G1265" i="3"/>
  <c r="F1265" i="3"/>
  <c r="E1265" i="3"/>
  <c r="D1265" i="3"/>
  <c r="I1264" i="3"/>
  <c r="H1264" i="3"/>
  <c r="G1264" i="3"/>
  <c r="F1264" i="3"/>
  <c r="E1264" i="3"/>
  <c r="D1264" i="3"/>
  <c r="I1263" i="3"/>
  <c r="H1263" i="3"/>
  <c r="G1263" i="3"/>
  <c r="F1263" i="3"/>
  <c r="E1263" i="3"/>
  <c r="D1263" i="3"/>
  <c r="I1262" i="3"/>
  <c r="H1262" i="3"/>
  <c r="G1262" i="3"/>
  <c r="F1262" i="3"/>
  <c r="E1262" i="3"/>
  <c r="D1262" i="3"/>
  <c r="I1261" i="3"/>
  <c r="H1261" i="3"/>
  <c r="G1261" i="3"/>
  <c r="F1261" i="3"/>
  <c r="E1261" i="3"/>
  <c r="D1261" i="3"/>
  <c r="I1260" i="3"/>
  <c r="H1260" i="3"/>
  <c r="G1260" i="3"/>
  <c r="F1260" i="3"/>
  <c r="E1260" i="3"/>
  <c r="D1260" i="3"/>
  <c r="I1259" i="3"/>
  <c r="H1259" i="3"/>
  <c r="G1259" i="3"/>
  <c r="F1259" i="3"/>
  <c r="E1259" i="3"/>
  <c r="D1259" i="3"/>
  <c r="I1258" i="3"/>
  <c r="H1258" i="3"/>
  <c r="G1258" i="3"/>
  <c r="F1258" i="3"/>
  <c r="E1258" i="3"/>
  <c r="D1258" i="3"/>
  <c r="I1257" i="3"/>
  <c r="H1257" i="3"/>
  <c r="G1257" i="3"/>
  <c r="F1257" i="3"/>
  <c r="E1257" i="3"/>
  <c r="D1257" i="3"/>
  <c r="I1256" i="3"/>
  <c r="H1256" i="3"/>
  <c r="G1256" i="3"/>
  <c r="F1256" i="3"/>
  <c r="E1256" i="3"/>
  <c r="D1256" i="3"/>
  <c r="I1255" i="3"/>
  <c r="H1255" i="3"/>
  <c r="G1255" i="3"/>
  <c r="F1255" i="3"/>
  <c r="E1255" i="3"/>
  <c r="D1255" i="3"/>
  <c r="I1254" i="3"/>
  <c r="H1254" i="3"/>
  <c r="G1254" i="3"/>
  <c r="F1254" i="3"/>
  <c r="E1254" i="3"/>
  <c r="D1254" i="3"/>
  <c r="I1253" i="3"/>
  <c r="H1253" i="3"/>
  <c r="G1253" i="3"/>
  <c r="F1253" i="3"/>
  <c r="E1253" i="3"/>
  <c r="D1253" i="3"/>
  <c r="I1252" i="3"/>
  <c r="H1252" i="3"/>
  <c r="G1252" i="3"/>
  <c r="F1252" i="3"/>
  <c r="E1252" i="3"/>
  <c r="D1252" i="3"/>
  <c r="I1251" i="3"/>
  <c r="H1251" i="3"/>
  <c r="G1251" i="3"/>
  <c r="F1251" i="3"/>
  <c r="E1251" i="3"/>
  <c r="D1251" i="3"/>
  <c r="I1250" i="3"/>
  <c r="H1250" i="3"/>
  <c r="G1250" i="3"/>
  <c r="F1250" i="3"/>
  <c r="E1250" i="3"/>
  <c r="D1250" i="3"/>
  <c r="I1249" i="3"/>
  <c r="H1249" i="3"/>
  <c r="G1249" i="3"/>
  <c r="F1249" i="3"/>
  <c r="E1249" i="3"/>
  <c r="D1249" i="3"/>
  <c r="I1248" i="3"/>
  <c r="H1248" i="3"/>
  <c r="G1248" i="3"/>
  <c r="F1248" i="3"/>
  <c r="E1248" i="3"/>
  <c r="D1248" i="3"/>
  <c r="I1247" i="3"/>
  <c r="H1247" i="3"/>
  <c r="G1247" i="3"/>
  <c r="F1247" i="3"/>
  <c r="E1247" i="3"/>
  <c r="D1247" i="3"/>
  <c r="I1246" i="3"/>
  <c r="H1246" i="3"/>
  <c r="G1246" i="3"/>
  <c r="F1246" i="3"/>
  <c r="E1246" i="3"/>
  <c r="D1246" i="3"/>
  <c r="I1245" i="3"/>
  <c r="H1245" i="3"/>
  <c r="G1245" i="3"/>
  <c r="F1245" i="3"/>
  <c r="E1245" i="3"/>
  <c r="D1245" i="3"/>
  <c r="I1244" i="3"/>
  <c r="H1244" i="3"/>
  <c r="G1244" i="3"/>
  <c r="F1244" i="3"/>
  <c r="E1244" i="3"/>
  <c r="D1244" i="3"/>
  <c r="I1243" i="3"/>
  <c r="H1243" i="3"/>
  <c r="G1243" i="3"/>
  <c r="F1243" i="3"/>
  <c r="E1243" i="3"/>
  <c r="D1243" i="3"/>
  <c r="I1242" i="3"/>
  <c r="H1242" i="3"/>
  <c r="G1242" i="3"/>
  <c r="F1242" i="3"/>
  <c r="E1242" i="3"/>
  <c r="D1242" i="3"/>
  <c r="I1241" i="3"/>
  <c r="H1241" i="3"/>
  <c r="G1241" i="3"/>
  <c r="F1241" i="3"/>
  <c r="E1241" i="3"/>
  <c r="D1241" i="3"/>
  <c r="I1240" i="3"/>
  <c r="H1240" i="3"/>
  <c r="G1240" i="3"/>
  <c r="F1240" i="3"/>
  <c r="E1240" i="3"/>
  <c r="D1240" i="3"/>
  <c r="I1239" i="3"/>
  <c r="H1239" i="3"/>
  <c r="G1239" i="3"/>
  <c r="F1239" i="3"/>
  <c r="E1239" i="3"/>
  <c r="D1239" i="3"/>
  <c r="I1238" i="3"/>
  <c r="H1238" i="3"/>
  <c r="G1238" i="3"/>
  <c r="F1238" i="3"/>
  <c r="E1238" i="3"/>
  <c r="D1238" i="3"/>
  <c r="I1237" i="3"/>
  <c r="H1237" i="3"/>
  <c r="G1237" i="3"/>
  <c r="F1237" i="3"/>
  <c r="E1237" i="3"/>
  <c r="D1237" i="3"/>
  <c r="I1236" i="3"/>
  <c r="H1236" i="3"/>
  <c r="G1236" i="3"/>
  <c r="F1236" i="3"/>
  <c r="E1236" i="3"/>
  <c r="D1236" i="3"/>
  <c r="I1235" i="3"/>
  <c r="H1235" i="3"/>
  <c r="G1235" i="3"/>
  <c r="F1235" i="3"/>
  <c r="E1235" i="3"/>
  <c r="D1235" i="3"/>
  <c r="I1234" i="3"/>
  <c r="H1234" i="3"/>
  <c r="G1234" i="3"/>
  <c r="F1234" i="3"/>
  <c r="E1234" i="3"/>
  <c r="D1234" i="3"/>
  <c r="I1233" i="3"/>
  <c r="H1233" i="3"/>
  <c r="G1233" i="3"/>
  <c r="F1233" i="3"/>
  <c r="E1233" i="3"/>
  <c r="D1233" i="3"/>
  <c r="I1232" i="3"/>
  <c r="H1232" i="3"/>
  <c r="G1232" i="3"/>
  <c r="F1232" i="3"/>
  <c r="E1232" i="3"/>
  <c r="D1232" i="3"/>
  <c r="I1231" i="3"/>
  <c r="H1231" i="3"/>
  <c r="G1231" i="3"/>
  <c r="F1231" i="3"/>
  <c r="E1231" i="3"/>
  <c r="D1231" i="3"/>
  <c r="I1230" i="3"/>
  <c r="H1230" i="3"/>
  <c r="G1230" i="3"/>
  <c r="F1230" i="3"/>
  <c r="E1230" i="3"/>
  <c r="D1230" i="3"/>
  <c r="I1229" i="3"/>
  <c r="H1229" i="3"/>
  <c r="G1229" i="3"/>
  <c r="F1229" i="3"/>
  <c r="E1229" i="3"/>
  <c r="D1229" i="3"/>
  <c r="I1228" i="3"/>
  <c r="H1228" i="3"/>
  <c r="G1228" i="3"/>
  <c r="F1228" i="3"/>
  <c r="E1228" i="3"/>
  <c r="D1228" i="3"/>
  <c r="I1227" i="3"/>
  <c r="H1227" i="3"/>
  <c r="G1227" i="3"/>
  <c r="F1227" i="3"/>
  <c r="E1227" i="3"/>
  <c r="D1227" i="3"/>
  <c r="I1226" i="3"/>
  <c r="H1226" i="3"/>
  <c r="G1226" i="3"/>
  <c r="F1226" i="3"/>
  <c r="E1226" i="3"/>
  <c r="D1226" i="3"/>
  <c r="I1225" i="3"/>
  <c r="H1225" i="3"/>
  <c r="G1225" i="3"/>
  <c r="F1225" i="3"/>
  <c r="E1225" i="3"/>
  <c r="D1225" i="3"/>
  <c r="I1224" i="3"/>
  <c r="H1224" i="3"/>
  <c r="G1224" i="3"/>
  <c r="F1224" i="3"/>
  <c r="E1224" i="3"/>
  <c r="D1224" i="3"/>
  <c r="N1111" i="3"/>
  <c r="N1110" i="3"/>
  <c r="N1109" i="3"/>
  <c r="N1108" i="3"/>
  <c r="N1107" i="3"/>
  <c r="N1106" i="3"/>
  <c r="N1105" i="3"/>
  <c r="K1106" i="3"/>
  <c r="K1107" i="3"/>
  <c r="K1108" i="3"/>
  <c r="K1109" i="3"/>
  <c r="K1110" i="3"/>
  <c r="K1111" i="3"/>
  <c r="K1105" i="3"/>
  <c r="N1100" i="3"/>
  <c r="N1099" i="3"/>
  <c r="N1098" i="3"/>
  <c r="K1099" i="3"/>
  <c r="K1098" i="3"/>
  <c r="N1104" i="3"/>
  <c r="N1103" i="3"/>
  <c r="N1102" i="3"/>
  <c r="N1101" i="3"/>
  <c r="K1104" i="3"/>
  <c r="K1103" i="3"/>
  <c r="K1102" i="3"/>
  <c r="K1101" i="3"/>
  <c r="K1100" i="3"/>
  <c r="N1092" i="3"/>
  <c r="N1091" i="3"/>
  <c r="K1092" i="3"/>
  <c r="K1091" i="3"/>
  <c r="N1097" i="3"/>
  <c r="N1096" i="3"/>
  <c r="N1095" i="3"/>
  <c r="N1094" i="3"/>
  <c r="N1093" i="3"/>
  <c r="K1095" i="3"/>
  <c r="K1094" i="3"/>
  <c r="K1093" i="3"/>
  <c r="K1096" i="3"/>
  <c r="K1097" i="3"/>
  <c r="N1062" i="3"/>
  <c r="N1061" i="3"/>
  <c r="N1060" i="3"/>
  <c r="K1062" i="3"/>
  <c r="K1061" i="3"/>
  <c r="K1060" i="3"/>
  <c r="N1059" i="3"/>
  <c r="N1058" i="3"/>
  <c r="N1057" i="3"/>
  <c r="K1059" i="3"/>
  <c r="K1058" i="3"/>
  <c r="K1057" i="3"/>
  <c r="N1056" i="3"/>
  <c r="N1055" i="3"/>
  <c r="N1054" i="3"/>
  <c r="K1056" i="3"/>
  <c r="K1055" i="3"/>
  <c r="K1054" i="3"/>
  <c r="N1053" i="3"/>
  <c r="N1052" i="3"/>
  <c r="K1053" i="3"/>
  <c r="K1052" i="3"/>
  <c r="N1089" i="3"/>
  <c r="N1088" i="3"/>
  <c r="K1089" i="3"/>
  <c r="K1088" i="3"/>
  <c r="N1087" i="3"/>
  <c r="K1087" i="3"/>
  <c r="N1069" i="3"/>
  <c r="N1068" i="3"/>
  <c r="N1067" i="3"/>
  <c r="K1069" i="3"/>
  <c r="K1068" i="3"/>
  <c r="K1067" i="3"/>
  <c r="N1086" i="3"/>
  <c r="N1085" i="3"/>
  <c r="N1084" i="3"/>
  <c r="N1083" i="3"/>
  <c r="N1082" i="3"/>
  <c r="N1081" i="3"/>
  <c r="N1080" i="3"/>
  <c r="N1079" i="3"/>
  <c r="N1066" i="3"/>
  <c r="K1066" i="3"/>
  <c r="K1086" i="3"/>
  <c r="K1085" i="3"/>
  <c r="K1084" i="3"/>
  <c r="K1083" i="3"/>
  <c r="K1082" i="3"/>
  <c r="K1081" i="3"/>
  <c r="K1080" i="3"/>
  <c r="K1079" i="3"/>
  <c r="K1078" i="3"/>
  <c r="K1077" i="3"/>
  <c r="K1076" i="3"/>
  <c r="K1075" i="3"/>
  <c r="K1074" i="3"/>
  <c r="K1073" i="3"/>
  <c r="K1072" i="3"/>
  <c r="K1071" i="3"/>
  <c r="N1078" i="3"/>
  <c r="N1077" i="3"/>
  <c r="N1076" i="3"/>
  <c r="N1075" i="3"/>
  <c r="N1074" i="3"/>
  <c r="N1073" i="3"/>
  <c r="N1072" i="3"/>
  <c r="N1071" i="3"/>
  <c r="N1070" i="3"/>
  <c r="K1070" i="3"/>
  <c r="N1065" i="3"/>
  <c r="N1064" i="3"/>
  <c r="K1065" i="3"/>
  <c r="K1064" i="3"/>
  <c r="N1033" i="3"/>
  <c r="N1032" i="3"/>
  <c r="N1031" i="3"/>
  <c r="N1030" i="3"/>
  <c r="N1029" i="3"/>
  <c r="N1028" i="3"/>
  <c r="K1032" i="3"/>
  <c r="K1031" i="3"/>
  <c r="K1030" i="3"/>
  <c r="K1029" i="3"/>
  <c r="K1028" i="3"/>
  <c r="K1033" i="3"/>
  <c r="N1041" i="3"/>
  <c r="N1040" i="3"/>
  <c r="N1039" i="3"/>
  <c r="N1038" i="3"/>
  <c r="N1037" i="3"/>
  <c r="N1036" i="3"/>
  <c r="N1035" i="3"/>
  <c r="N1034" i="3"/>
  <c r="K1041" i="3"/>
  <c r="K1040" i="3"/>
  <c r="K1039" i="3"/>
  <c r="K1038" i="3"/>
  <c r="K1037" i="3"/>
  <c r="K1036" i="3"/>
  <c r="K1035" i="3"/>
  <c r="K1034" i="3"/>
  <c r="N1063" i="3"/>
  <c r="N1048" i="3"/>
  <c r="N1047" i="3"/>
  <c r="N1046" i="3"/>
  <c r="K1063" i="3"/>
  <c r="K1048" i="3"/>
  <c r="K1047" i="3"/>
  <c r="K1046" i="3"/>
  <c r="N1045" i="3"/>
  <c r="N1044" i="3"/>
  <c r="N1043" i="3"/>
  <c r="N1042" i="3"/>
  <c r="K1045" i="3"/>
  <c r="K1044" i="3"/>
  <c r="K1043" i="3"/>
  <c r="K1042" i="3"/>
  <c r="N1022" i="3"/>
  <c r="N1021" i="3"/>
  <c r="K1022" i="3"/>
  <c r="K1021" i="3"/>
  <c r="N1027" i="3"/>
  <c r="N1026" i="3"/>
  <c r="N1025" i="3"/>
  <c r="N1024" i="3"/>
  <c r="N1023" i="3"/>
  <c r="K1027" i="3"/>
  <c r="K1026" i="3"/>
  <c r="K1025" i="3"/>
  <c r="K1024" i="3"/>
  <c r="K1023" i="3"/>
  <c r="K1018" i="3"/>
  <c r="N1020" i="3"/>
  <c r="K1020" i="3"/>
  <c r="K1017" i="3"/>
  <c r="N1019" i="3"/>
  <c r="N1018" i="3"/>
  <c r="N1017" i="3"/>
  <c r="N1016" i="3"/>
  <c r="N1015" i="3"/>
  <c r="N1014" i="3"/>
  <c r="N1013" i="3"/>
  <c r="N1012" i="3"/>
  <c r="N1011" i="3"/>
  <c r="K1019" i="3"/>
  <c r="K1016" i="3"/>
  <c r="K1015" i="3"/>
  <c r="K1014" i="3"/>
  <c r="K1013" i="3"/>
  <c r="K1012" i="3"/>
  <c r="K1011" i="3"/>
  <c r="N1010" i="3"/>
  <c r="N1009" i="3"/>
  <c r="N1008" i="3"/>
  <c r="N1007" i="3"/>
  <c r="N1006" i="3"/>
  <c r="N1005" i="3"/>
  <c r="N1004" i="3"/>
  <c r="N1003" i="3"/>
  <c r="K1010" i="3"/>
  <c r="K1009" i="3"/>
  <c r="K1008" i="3"/>
  <c r="K1007" i="3"/>
  <c r="K1006" i="3"/>
  <c r="K1005" i="3"/>
  <c r="K1004" i="3"/>
  <c r="K1003" i="3"/>
  <c r="N1002" i="3"/>
  <c r="N1001" i="3"/>
  <c r="N1000" i="3"/>
  <c r="N999" i="3"/>
  <c r="N998" i="3"/>
  <c r="N997" i="3"/>
  <c r="K1002" i="3"/>
  <c r="K1001" i="3"/>
  <c r="K1000" i="3"/>
  <c r="K999" i="3"/>
  <c r="K998" i="3"/>
  <c r="K997" i="3"/>
  <c r="I1223" i="3"/>
  <c r="H1223" i="3"/>
  <c r="G1223" i="3"/>
  <c r="F1223" i="3"/>
  <c r="E1223" i="3"/>
  <c r="D1223" i="3"/>
  <c r="I1222" i="3"/>
  <c r="H1222" i="3"/>
  <c r="G1222" i="3"/>
  <c r="F1222" i="3"/>
  <c r="E1222" i="3"/>
  <c r="D1222" i="3"/>
  <c r="I1221" i="3"/>
  <c r="H1221" i="3"/>
  <c r="G1221" i="3"/>
  <c r="F1221" i="3"/>
  <c r="E1221" i="3"/>
  <c r="D1221" i="3"/>
  <c r="I1220" i="3"/>
  <c r="H1220" i="3"/>
  <c r="G1220" i="3"/>
  <c r="F1220" i="3"/>
  <c r="E1220" i="3"/>
  <c r="D1220" i="3"/>
  <c r="I1219" i="3"/>
  <c r="H1219" i="3"/>
  <c r="G1219" i="3"/>
  <c r="F1219" i="3"/>
  <c r="E1219" i="3"/>
  <c r="D1219" i="3"/>
  <c r="I1218" i="3"/>
  <c r="H1218" i="3"/>
  <c r="G1218" i="3"/>
  <c r="F1218" i="3"/>
  <c r="E1218" i="3"/>
  <c r="D1218" i="3"/>
  <c r="I1217" i="3"/>
  <c r="H1217" i="3"/>
  <c r="G1217" i="3"/>
  <c r="F1217" i="3"/>
  <c r="E1217" i="3"/>
  <c r="D1217" i="3"/>
  <c r="I1216" i="3"/>
  <c r="H1216" i="3"/>
  <c r="G1216" i="3"/>
  <c r="F1216" i="3"/>
  <c r="E1216" i="3"/>
  <c r="D1216" i="3"/>
  <c r="I1215" i="3"/>
  <c r="H1215" i="3"/>
  <c r="G1215" i="3"/>
  <c r="F1215" i="3"/>
  <c r="E1215" i="3"/>
  <c r="D1215" i="3"/>
  <c r="I1214" i="3"/>
  <c r="H1214" i="3"/>
  <c r="G1214" i="3"/>
  <c r="F1214" i="3"/>
  <c r="E1214" i="3"/>
  <c r="D1214" i="3"/>
  <c r="I1213" i="3"/>
  <c r="H1213" i="3"/>
  <c r="G1213" i="3"/>
  <c r="F1213" i="3"/>
  <c r="E1213" i="3"/>
  <c r="D1213" i="3"/>
  <c r="I1212" i="3"/>
  <c r="H1212" i="3"/>
  <c r="G1212" i="3"/>
  <c r="F1212" i="3"/>
  <c r="E1212" i="3"/>
  <c r="D1212" i="3"/>
  <c r="I1211" i="3"/>
  <c r="H1211" i="3"/>
  <c r="G1211" i="3"/>
  <c r="F1211" i="3"/>
  <c r="E1211" i="3"/>
  <c r="D1211" i="3"/>
  <c r="I1210" i="3"/>
  <c r="H1210" i="3"/>
  <c r="G1210" i="3"/>
  <c r="F1210" i="3"/>
  <c r="E1210" i="3"/>
  <c r="D1210" i="3"/>
  <c r="I1209" i="3"/>
  <c r="H1209" i="3"/>
  <c r="G1209" i="3"/>
  <c r="F1209" i="3"/>
  <c r="E1209" i="3"/>
  <c r="D1209" i="3"/>
  <c r="I1208" i="3"/>
  <c r="H1208" i="3"/>
  <c r="G1208" i="3"/>
  <c r="F1208" i="3"/>
  <c r="E1208" i="3"/>
  <c r="D1208" i="3"/>
  <c r="I1207" i="3"/>
  <c r="H1207" i="3"/>
  <c r="G1207" i="3"/>
  <c r="F1207" i="3"/>
  <c r="E1207" i="3"/>
  <c r="D1207" i="3"/>
  <c r="I1206" i="3"/>
  <c r="H1206" i="3"/>
  <c r="G1206" i="3"/>
  <c r="F1206" i="3"/>
  <c r="E1206" i="3"/>
  <c r="D1206" i="3"/>
  <c r="I1205" i="3"/>
  <c r="H1205" i="3"/>
  <c r="G1205" i="3"/>
  <c r="F1205" i="3"/>
  <c r="E1205" i="3"/>
  <c r="D1205" i="3"/>
  <c r="I1204" i="3"/>
  <c r="H1204" i="3"/>
  <c r="G1204" i="3"/>
  <c r="F1204" i="3"/>
  <c r="E1204" i="3"/>
  <c r="D1204" i="3"/>
  <c r="I1203" i="3"/>
  <c r="H1203" i="3"/>
  <c r="G1203" i="3"/>
  <c r="F1203" i="3"/>
  <c r="E1203" i="3"/>
  <c r="D1203" i="3"/>
  <c r="I1202" i="3"/>
  <c r="H1202" i="3"/>
  <c r="G1202" i="3"/>
  <c r="F1202" i="3"/>
  <c r="E1202" i="3"/>
  <c r="D1202" i="3"/>
  <c r="I1201" i="3"/>
  <c r="H1201" i="3"/>
  <c r="G1201" i="3"/>
  <c r="F1201" i="3"/>
  <c r="E1201" i="3"/>
  <c r="D1201" i="3"/>
  <c r="I1200" i="3"/>
  <c r="H1200" i="3"/>
  <c r="G1200" i="3"/>
  <c r="F1200" i="3"/>
  <c r="E1200" i="3"/>
  <c r="D1200" i="3"/>
  <c r="I1199" i="3"/>
  <c r="H1199" i="3"/>
  <c r="G1199" i="3"/>
  <c r="F1199" i="3"/>
  <c r="E1199" i="3"/>
  <c r="D1199" i="3"/>
  <c r="I1198" i="3"/>
  <c r="H1198" i="3"/>
  <c r="G1198" i="3"/>
  <c r="F1198" i="3"/>
  <c r="E1198" i="3"/>
  <c r="D1198" i="3"/>
  <c r="I1197" i="3"/>
  <c r="H1197" i="3"/>
  <c r="G1197" i="3"/>
  <c r="F1197" i="3"/>
  <c r="E1197" i="3"/>
  <c r="D1197" i="3"/>
  <c r="I1196" i="3"/>
  <c r="H1196" i="3"/>
  <c r="G1196" i="3"/>
  <c r="F1196" i="3"/>
  <c r="E1196" i="3"/>
  <c r="D1196" i="3"/>
  <c r="I1195" i="3"/>
  <c r="H1195" i="3"/>
  <c r="G1195" i="3"/>
  <c r="F1195" i="3"/>
  <c r="E1195" i="3"/>
  <c r="D1195" i="3"/>
  <c r="I1194" i="3"/>
  <c r="H1194" i="3"/>
  <c r="G1194" i="3"/>
  <c r="F1194" i="3"/>
  <c r="E1194" i="3"/>
  <c r="D1194" i="3"/>
  <c r="I1193" i="3"/>
  <c r="H1193" i="3"/>
  <c r="G1193" i="3"/>
  <c r="F1193" i="3"/>
  <c r="E1193" i="3"/>
  <c r="D1193" i="3"/>
  <c r="I1192" i="3"/>
  <c r="H1192" i="3"/>
  <c r="G1192" i="3"/>
  <c r="F1192" i="3"/>
  <c r="E1192" i="3"/>
  <c r="D1192" i="3"/>
  <c r="I1191" i="3"/>
  <c r="H1191" i="3"/>
  <c r="G1191" i="3"/>
  <c r="F1191" i="3"/>
  <c r="E1191" i="3"/>
  <c r="D1191" i="3"/>
  <c r="I1190" i="3"/>
  <c r="H1190" i="3"/>
  <c r="G1190" i="3"/>
  <c r="F1190" i="3"/>
  <c r="E1190" i="3"/>
  <c r="D1190" i="3"/>
  <c r="I1189" i="3"/>
  <c r="H1189" i="3"/>
  <c r="G1189" i="3"/>
  <c r="F1189" i="3"/>
  <c r="E1189" i="3"/>
  <c r="D1189" i="3"/>
  <c r="I1188" i="3"/>
  <c r="H1188" i="3"/>
  <c r="G1188" i="3"/>
  <c r="F1188" i="3"/>
  <c r="E1188" i="3"/>
  <c r="D1188" i="3"/>
  <c r="I1187" i="3"/>
  <c r="H1187" i="3"/>
  <c r="G1187" i="3"/>
  <c r="F1187" i="3"/>
  <c r="E1187" i="3"/>
  <c r="D1187" i="3"/>
  <c r="I1186" i="3"/>
  <c r="H1186" i="3"/>
  <c r="G1186" i="3"/>
  <c r="F1186" i="3"/>
  <c r="E1186" i="3"/>
  <c r="D1186" i="3"/>
  <c r="I1185" i="3"/>
  <c r="H1185" i="3"/>
  <c r="G1185" i="3"/>
  <c r="F1185" i="3"/>
  <c r="E1185" i="3"/>
  <c r="D1185" i="3"/>
  <c r="I1184" i="3"/>
  <c r="H1184" i="3"/>
  <c r="G1184" i="3"/>
  <c r="F1184" i="3"/>
  <c r="E1184" i="3"/>
  <c r="D1184" i="3"/>
  <c r="I1183" i="3"/>
  <c r="H1183" i="3"/>
  <c r="G1183" i="3"/>
  <c r="F1183" i="3"/>
  <c r="E1183" i="3"/>
  <c r="D1183" i="3"/>
  <c r="I1182" i="3"/>
  <c r="H1182" i="3"/>
  <c r="G1182" i="3"/>
  <c r="F1182" i="3"/>
  <c r="E1182" i="3"/>
  <c r="D1182" i="3"/>
  <c r="I1181" i="3"/>
  <c r="H1181" i="3"/>
  <c r="G1181" i="3"/>
  <c r="F1181" i="3"/>
  <c r="E1181" i="3"/>
  <c r="D1181" i="3"/>
  <c r="I1180" i="3"/>
  <c r="H1180" i="3"/>
  <c r="G1180" i="3"/>
  <c r="F1180" i="3"/>
  <c r="E1180" i="3"/>
  <c r="D1180" i="3"/>
  <c r="I1179" i="3"/>
  <c r="H1179" i="3"/>
  <c r="G1179" i="3"/>
  <c r="F1179" i="3"/>
  <c r="E1179" i="3"/>
  <c r="D1179" i="3"/>
  <c r="I1178" i="3"/>
  <c r="H1178" i="3"/>
  <c r="G1178" i="3"/>
  <c r="F1178" i="3"/>
  <c r="E1178" i="3"/>
  <c r="D1178" i="3"/>
  <c r="I1177" i="3"/>
  <c r="H1177" i="3"/>
  <c r="G1177" i="3"/>
  <c r="F1177" i="3"/>
  <c r="E1177" i="3"/>
  <c r="D1177" i="3"/>
  <c r="I1176" i="3"/>
  <c r="H1176" i="3"/>
  <c r="G1176" i="3"/>
  <c r="F1176" i="3"/>
  <c r="E1176" i="3"/>
  <c r="D1176" i="3"/>
  <c r="I1175" i="3"/>
  <c r="H1175" i="3"/>
  <c r="G1175" i="3"/>
  <c r="F1175" i="3"/>
  <c r="E1175" i="3"/>
  <c r="D1175" i="3"/>
  <c r="I1174" i="3"/>
  <c r="H1174" i="3"/>
  <c r="G1174" i="3"/>
  <c r="F1174" i="3"/>
  <c r="E1174" i="3"/>
  <c r="D1174" i="3"/>
  <c r="I1173" i="3"/>
  <c r="H1173" i="3"/>
  <c r="G1173" i="3"/>
  <c r="F1173" i="3"/>
  <c r="E1173" i="3"/>
  <c r="D1173" i="3"/>
  <c r="I1172" i="3"/>
  <c r="H1172" i="3"/>
  <c r="G1172" i="3"/>
  <c r="F1172" i="3"/>
  <c r="E1172" i="3"/>
  <c r="D1172" i="3"/>
  <c r="I1171" i="3"/>
  <c r="H1171" i="3"/>
  <c r="G1171" i="3"/>
  <c r="F1171" i="3"/>
  <c r="E1171" i="3"/>
  <c r="D1171" i="3"/>
  <c r="I1170" i="3"/>
  <c r="H1170" i="3"/>
  <c r="G1170" i="3"/>
  <c r="F1170" i="3"/>
  <c r="E1170" i="3"/>
  <c r="D1170" i="3"/>
  <c r="I1169" i="3"/>
  <c r="H1169" i="3"/>
  <c r="G1169" i="3"/>
  <c r="F1169" i="3"/>
  <c r="E1169" i="3"/>
  <c r="D1169" i="3"/>
  <c r="I1168" i="3"/>
  <c r="H1168" i="3"/>
  <c r="G1168" i="3"/>
  <c r="F1168" i="3"/>
  <c r="E1168" i="3"/>
  <c r="D1168" i="3"/>
  <c r="I1167" i="3"/>
  <c r="H1167" i="3"/>
  <c r="G1167" i="3"/>
  <c r="F1167" i="3"/>
  <c r="E1167" i="3"/>
  <c r="D1167" i="3"/>
  <c r="I1166" i="3"/>
  <c r="H1166" i="3"/>
  <c r="G1166" i="3"/>
  <c r="F1166" i="3"/>
  <c r="E1166" i="3"/>
  <c r="D1166" i="3"/>
  <c r="I1165" i="3"/>
  <c r="H1165" i="3"/>
  <c r="G1165" i="3"/>
  <c r="F1165" i="3"/>
  <c r="E1165" i="3"/>
  <c r="D1165" i="3"/>
  <c r="I1164" i="3"/>
  <c r="H1164" i="3"/>
  <c r="G1164" i="3"/>
  <c r="F1164" i="3"/>
  <c r="E1164" i="3"/>
  <c r="D1164" i="3"/>
  <c r="I1163" i="3"/>
  <c r="H1163" i="3"/>
  <c r="G1163" i="3"/>
  <c r="F1163" i="3"/>
  <c r="E1163" i="3"/>
  <c r="D1163" i="3"/>
  <c r="I1162" i="3"/>
  <c r="H1162" i="3"/>
  <c r="G1162" i="3"/>
  <c r="F1162" i="3"/>
  <c r="E1162" i="3"/>
  <c r="D1162" i="3"/>
  <c r="I1161" i="3"/>
  <c r="H1161" i="3"/>
  <c r="G1161" i="3"/>
  <c r="F1161" i="3"/>
  <c r="E1161" i="3"/>
  <c r="D1161" i="3"/>
  <c r="I1160" i="3"/>
  <c r="H1160" i="3"/>
  <c r="G1160" i="3"/>
  <c r="F1160" i="3"/>
  <c r="E1160" i="3"/>
  <c r="D1160" i="3"/>
  <c r="I1159" i="3"/>
  <c r="H1159" i="3"/>
  <c r="G1159" i="3"/>
  <c r="F1159" i="3"/>
  <c r="E1159" i="3"/>
  <c r="D1159" i="3"/>
  <c r="I1158" i="3"/>
  <c r="H1158" i="3"/>
  <c r="G1158" i="3"/>
  <c r="F1158" i="3"/>
  <c r="E1158" i="3"/>
  <c r="D1158" i="3"/>
  <c r="I1157" i="3"/>
  <c r="H1157" i="3"/>
  <c r="G1157" i="3"/>
  <c r="F1157" i="3"/>
  <c r="E1157" i="3"/>
  <c r="D1157" i="3"/>
  <c r="I1156" i="3"/>
  <c r="H1156" i="3"/>
  <c r="G1156" i="3"/>
  <c r="F1156" i="3"/>
  <c r="E1156" i="3"/>
  <c r="D1156" i="3"/>
  <c r="I1155" i="3"/>
  <c r="H1155" i="3"/>
  <c r="G1155" i="3"/>
  <c r="F1155" i="3"/>
  <c r="E1155" i="3"/>
  <c r="D1155" i="3"/>
  <c r="I1154" i="3"/>
  <c r="H1154" i="3"/>
  <c r="G1154" i="3"/>
  <c r="F1154" i="3"/>
  <c r="E1154" i="3"/>
  <c r="D1154" i="3"/>
  <c r="I1153" i="3"/>
  <c r="H1153" i="3"/>
  <c r="G1153" i="3"/>
  <c r="F1153" i="3"/>
  <c r="E1153" i="3"/>
  <c r="D1153" i="3"/>
  <c r="I1152" i="3"/>
  <c r="H1152" i="3"/>
  <c r="G1152" i="3"/>
  <c r="F1152" i="3"/>
  <c r="E1152" i="3"/>
  <c r="D1152" i="3"/>
  <c r="I1151" i="3"/>
  <c r="H1151" i="3"/>
  <c r="G1151" i="3"/>
  <c r="F1151" i="3"/>
  <c r="E1151" i="3"/>
  <c r="D1151" i="3"/>
  <c r="I1150" i="3"/>
  <c r="H1150" i="3"/>
  <c r="G1150" i="3"/>
  <c r="F1150" i="3"/>
  <c r="E1150" i="3"/>
  <c r="D1150" i="3"/>
  <c r="I1149" i="3"/>
  <c r="H1149" i="3"/>
  <c r="G1149" i="3"/>
  <c r="F1149" i="3"/>
  <c r="E1149" i="3"/>
  <c r="D1149" i="3"/>
  <c r="I1148" i="3"/>
  <c r="H1148" i="3"/>
  <c r="G1148" i="3"/>
  <c r="F1148" i="3"/>
  <c r="E1148" i="3"/>
  <c r="D1148" i="3"/>
  <c r="I1147" i="3"/>
  <c r="H1147" i="3"/>
  <c r="G1147" i="3"/>
  <c r="F1147" i="3"/>
  <c r="E1147" i="3"/>
  <c r="D1147" i="3"/>
  <c r="I1146" i="3"/>
  <c r="H1146" i="3"/>
  <c r="G1146" i="3"/>
  <c r="F1146" i="3"/>
  <c r="E1146" i="3"/>
  <c r="D1146" i="3"/>
  <c r="I1145" i="3"/>
  <c r="H1145" i="3"/>
  <c r="G1145" i="3"/>
  <c r="F1145" i="3"/>
  <c r="E1145" i="3"/>
  <c r="D1145" i="3"/>
  <c r="I1144" i="3"/>
  <c r="H1144" i="3"/>
  <c r="G1144" i="3"/>
  <c r="F1144" i="3"/>
  <c r="E1144" i="3"/>
  <c r="D1144" i="3"/>
  <c r="I1143" i="3"/>
  <c r="H1143" i="3"/>
  <c r="G1143" i="3"/>
  <c r="F1143" i="3"/>
  <c r="E1143" i="3"/>
  <c r="D1143" i="3"/>
  <c r="I1142" i="3"/>
  <c r="H1142" i="3"/>
  <c r="G1142" i="3"/>
  <c r="F1142" i="3"/>
  <c r="E1142" i="3"/>
  <c r="D1142" i="3"/>
  <c r="I1141" i="3"/>
  <c r="H1141" i="3"/>
  <c r="G1141" i="3"/>
  <c r="F1141" i="3"/>
  <c r="E1141" i="3"/>
  <c r="D1141" i="3"/>
  <c r="I1140" i="3"/>
  <c r="H1140" i="3"/>
  <c r="G1140" i="3"/>
  <c r="F1140" i="3"/>
  <c r="E1140" i="3"/>
  <c r="D1140" i="3"/>
  <c r="I1139" i="3"/>
  <c r="H1139" i="3"/>
  <c r="G1139" i="3"/>
  <c r="F1139" i="3"/>
  <c r="E1139" i="3"/>
  <c r="D1139" i="3"/>
  <c r="I1138" i="3"/>
  <c r="H1138" i="3"/>
  <c r="G1138" i="3"/>
  <c r="F1138" i="3"/>
  <c r="E1138" i="3"/>
  <c r="D1138" i="3"/>
  <c r="I1137" i="3"/>
  <c r="H1137" i="3"/>
  <c r="G1137" i="3"/>
  <c r="F1137" i="3"/>
  <c r="E1137" i="3"/>
  <c r="D1137" i="3"/>
  <c r="I1136" i="3"/>
  <c r="H1136" i="3"/>
  <c r="G1136" i="3"/>
  <c r="F1136" i="3"/>
  <c r="E1136" i="3"/>
  <c r="D1136" i="3"/>
  <c r="I1135" i="3"/>
  <c r="H1135" i="3"/>
  <c r="G1135" i="3"/>
  <c r="F1135" i="3"/>
  <c r="E1135" i="3"/>
  <c r="D1135" i="3"/>
  <c r="I1134" i="3"/>
  <c r="H1134" i="3"/>
  <c r="G1134" i="3"/>
  <c r="F1134" i="3"/>
  <c r="E1134" i="3"/>
  <c r="D1134" i="3"/>
  <c r="I1133" i="3"/>
  <c r="H1133" i="3"/>
  <c r="G1133" i="3"/>
  <c r="F1133" i="3"/>
  <c r="E1133" i="3"/>
  <c r="D1133" i="3"/>
  <c r="I1132" i="3"/>
  <c r="H1132" i="3"/>
  <c r="G1132" i="3"/>
  <c r="F1132" i="3"/>
  <c r="E1132" i="3"/>
  <c r="D1132" i="3"/>
  <c r="I1131" i="3"/>
  <c r="H1131" i="3"/>
  <c r="G1131" i="3"/>
  <c r="F1131" i="3"/>
  <c r="E1131" i="3"/>
  <c r="D1131" i="3"/>
  <c r="I1130" i="3"/>
  <c r="H1130" i="3"/>
  <c r="G1130" i="3"/>
  <c r="F1130" i="3"/>
  <c r="E1130" i="3"/>
  <c r="D1130" i="3"/>
  <c r="I1129" i="3"/>
  <c r="H1129" i="3"/>
  <c r="G1129" i="3"/>
  <c r="F1129" i="3"/>
  <c r="E1129" i="3"/>
  <c r="D1129" i="3"/>
  <c r="I1128" i="3"/>
  <c r="H1128" i="3"/>
  <c r="G1128" i="3"/>
  <c r="F1128" i="3"/>
  <c r="E1128" i="3"/>
  <c r="D1128" i="3"/>
  <c r="I1127" i="3"/>
  <c r="H1127" i="3"/>
  <c r="G1127" i="3"/>
  <c r="F1127" i="3"/>
  <c r="E1127" i="3"/>
  <c r="D1127" i="3"/>
  <c r="I1126" i="3"/>
  <c r="H1126" i="3"/>
  <c r="G1126" i="3"/>
  <c r="F1126" i="3"/>
  <c r="E1126" i="3"/>
  <c r="D1126" i="3"/>
  <c r="I1125" i="3"/>
  <c r="H1125" i="3"/>
  <c r="G1125" i="3"/>
  <c r="F1125" i="3"/>
  <c r="E1125" i="3"/>
  <c r="D1125" i="3"/>
  <c r="I1124" i="3"/>
  <c r="H1124" i="3"/>
  <c r="G1124" i="3"/>
  <c r="F1124" i="3"/>
  <c r="E1124" i="3"/>
  <c r="D1124" i="3"/>
  <c r="I1123" i="3"/>
  <c r="H1123" i="3"/>
  <c r="G1123" i="3"/>
  <c r="F1123" i="3"/>
  <c r="E1123" i="3"/>
  <c r="D1123" i="3"/>
  <c r="I1122" i="3"/>
  <c r="H1122" i="3"/>
  <c r="G1122" i="3"/>
  <c r="F1122" i="3"/>
  <c r="E1122" i="3"/>
  <c r="D1122" i="3"/>
  <c r="I1121" i="3"/>
  <c r="H1121" i="3"/>
  <c r="G1121" i="3"/>
  <c r="F1121" i="3"/>
  <c r="E1121" i="3"/>
  <c r="D1121" i="3"/>
  <c r="I1120" i="3"/>
  <c r="H1120" i="3"/>
  <c r="G1120" i="3"/>
  <c r="F1120" i="3"/>
  <c r="E1120" i="3"/>
  <c r="D1120" i="3"/>
  <c r="I1119" i="3"/>
  <c r="H1119" i="3"/>
  <c r="G1119" i="3"/>
  <c r="F1119" i="3"/>
  <c r="E1119" i="3"/>
  <c r="D1119" i="3"/>
  <c r="I1118" i="3"/>
  <c r="H1118" i="3"/>
  <c r="G1118" i="3"/>
  <c r="F1118" i="3"/>
  <c r="E1118" i="3"/>
  <c r="D1118" i="3"/>
  <c r="I1117" i="3"/>
  <c r="H1117" i="3"/>
  <c r="G1117" i="3"/>
  <c r="F1117" i="3"/>
  <c r="E1117" i="3"/>
  <c r="D1117" i="3"/>
  <c r="I1116" i="3"/>
  <c r="H1116" i="3"/>
  <c r="G1116" i="3"/>
  <c r="F1116" i="3"/>
  <c r="E1116" i="3"/>
  <c r="D1116" i="3"/>
  <c r="I1115" i="3"/>
  <c r="H1115" i="3"/>
  <c r="G1115" i="3"/>
  <c r="F1115" i="3"/>
  <c r="E1115" i="3"/>
  <c r="D1115" i="3"/>
  <c r="I1114" i="3"/>
  <c r="H1114" i="3"/>
  <c r="G1114" i="3"/>
  <c r="F1114" i="3"/>
  <c r="E1114" i="3"/>
  <c r="D1114" i="3"/>
  <c r="I1113" i="3"/>
  <c r="H1113" i="3"/>
  <c r="G1113" i="3"/>
  <c r="F1113" i="3"/>
  <c r="E1113" i="3"/>
  <c r="D1113" i="3"/>
  <c r="I1112" i="3"/>
  <c r="H1112" i="3"/>
  <c r="G1112" i="3"/>
  <c r="F1112" i="3"/>
  <c r="E1112" i="3"/>
  <c r="D1112" i="3"/>
  <c r="I1111" i="3"/>
  <c r="H1111" i="3"/>
  <c r="G1111" i="3"/>
  <c r="F1111" i="3"/>
  <c r="E1111" i="3"/>
  <c r="D1111" i="3"/>
  <c r="I1110" i="3"/>
  <c r="H1110" i="3"/>
  <c r="G1110" i="3"/>
  <c r="F1110" i="3"/>
  <c r="E1110" i="3"/>
  <c r="D1110" i="3"/>
  <c r="I1109" i="3"/>
  <c r="H1109" i="3"/>
  <c r="G1109" i="3"/>
  <c r="F1109" i="3"/>
  <c r="E1109" i="3"/>
  <c r="D1109" i="3"/>
  <c r="I1108" i="3"/>
  <c r="H1108" i="3"/>
  <c r="G1108" i="3"/>
  <c r="F1108" i="3"/>
  <c r="E1108" i="3"/>
  <c r="D1108" i="3"/>
  <c r="I1107" i="3"/>
  <c r="H1107" i="3"/>
  <c r="G1107" i="3"/>
  <c r="F1107" i="3"/>
  <c r="E1107" i="3"/>
  <c r="D1107" i="3"/>
  <c r="I1106" i="3"/>
  <c r="H1106" i="3"/>
  <c r="G1106" i="3"/>
  <c r="F1106" i="3"/>
  <c r="E1106" i="3"/>
  <c r="D1106" i="3"/>
  <c r="I1105" i="3"/>
  <c r="H1105" i="3"/>
  <c r="G1105" i="3"/>
  <c r="F1105" i="3"/>
  <c r="E1105" i="3"/>
  <c r="D1105" i="3"/>
  <c r="I1104" i="3"/>
  <c r="H1104" i="3"/>
  <c r="G1104" i="3"/>
  <c r="F1104" i="3"/>
  <c r="E1104" i="3"/>
  <c r="D1104" i="3"/>
  <c r="I1103" i="3"/>
  <c r="H1103" i="3"/>
  <c r="G1103" i="3"/>
  <c r="F1103" i="3"/>
  <c r="E1103" i="3"/>
  <c r="D1103" i="3"/>
  <c r="I1102" i="3"/>
  <c r="H1102" i="3"/>
  <c r="G1102" i="3"/>
  <c r="F1102" i="3"/>
  <c r="E1102" i="3"/>
  <c r="D1102" i="3"/>
  <c r="I1101" i="3"/>
  <c r="H1101" i="3"/>
  <c r="G1101" i="3"/>
  <c r="F1101" i="3"/>
  <c r="E1101" i="3"/>
  <c r="D1101" i="3"/>
  <c r="I1100" i="3"/>
  <c r="H1100" i="3"/>
  <c r="G1100" i="3"/>
  <c r="F1100" i="3"/>
  <c r="E1100" i="3"/>
  <c r="D1100" i="3"/>
  <c r="I1099" i="3"/>
  <c r="H1099" i="3"/>
  <c r="G1099" i="3"/>
  <c r="F1099" i="3"/>
  <c r="E1099" i="3"/>
  <c r="D1099" i="3"/>
  <c r="I1098" i="3"/>
  <c r="H1098" i="3"/>
  <c r="G1098" i="3"/>
  <c r="F1098" i="3"/>
  <c r="E1098" i="3"/>
  <c r="D1098" i="3"/>
  <c r="I1097" i="3"/>
  <c r="H1097" i="3"/>
  <c r="G1097" i="3"/>
  <c r="F1097" i="3"/>
  <c r="E1097" i="3"/>
  <c r="D1097" i="3"/>
  <c r="I1096" i="3"/>
  <c r="H1096" i="3"/>
  <c r="G1096" i="3"/>
  <c r="F1096" i="3"/>
  <c r="E1096" i="3"/>
  <c r="D1096" i="3"/>
  <c r="I1095" i="3"/>
  <c r="H1095" i="3"/>
  <c r="G1095" i="3"/>
  <c r="F1095" i="3"/>
  <c r="E1095" i="3"/>
  <c r="D1095" i="3"/>
  <c r="I1094" i="3"/>
  <c r="H1094" i="3"/>
  <c r="G1094" i="3"/>
  <c r="F1094" i="3"/>
  <c r="E1094" i="3"/>
  <c r="D1094" i="3"/>
  <c r="I1093" i="3"/>
  <c r="H1093" i="3"/>
  <c r="G1093" i="3"/>
  <c r="F1093" i="3"/>
  <c r="E1093" i="3"/>
  <c r="D1093" i="3"/>
  <c r="I1092" i="3"/>
  <c r="H1092" i="3"/>
  <c r="G1092" i="3"/>
  <c r="F1092" i="3"/>
  <c r="E1092" i="3"/>
  <c r="D1092" i="3"/>
  <c r="I1091" i="3"/>
  <c r="H1091" i="3"/>
  <c r="G1091" i="3"/>
  <c r="F1091" i="3"/>
  <c r="E1091" i="3"/>
  <c r="D1091" i="3"/>
  <c r="I1090" i="3"/>
  <c r="H1090" i="3"/>
  <c r="G1090" i="3"/>
  <c r="F1090" i="3"/>
  <c r="E1090" i="3"/>
  <c r="D1090" i="3"/>
  <c r="I1089" i="3"/>
  <c r="H1089" i="3"/>
  <c r="G1089" i="3"/>
  <c r="F1089" i="3"/>
  <c r="E1089" i="3"/>
  <c r="D1089" i="3"/>
  <c r="I1088" i="3"/>
  <c r="H1088" i="3"/>
  <c r="G1088" i="3"/>
  <c r="F1088" i="3"/>
  <c r="E1088" i="3"/>
  <c r="D1088" i="3"/>
  <c r="I1087" i="3"/>
  <c r="H1087" i="3"/>
  <c r="G1087" i="3"/>
  <c r="F1087" i="3"/>
  <c r="E1087" i="3"/>
  <c r="D1087" i="3"/>
  <c r="I1086" i="3"/>
  <c r="H1086" i="3"/>
  <c r="G1086" i="3"/>
  <c r="F1086" i="3"/>
  <c r="E1086" i="3"/>
  <c r="D1086" i="3"/>
  <c r="I1085" i="3"/>
  <c r="H1085" i="3"/>
  <c r="G1085" i="3"/>
  <c r="F1085" i="3"/>
  <c r="E1085" i="3"/>
  <c r="D1085" i="3"/>
  <c r="I1084" i="3"/>
  <c r="H1084" i="3"/>
  <c r="G1084" i="3"/>
  <c r="F1084" i="3"/>
  <c r="E1084" i="3"/>
  <c r="D1084" i="3"/>
  <c r="I1083" i="3"/>
  <c r="H1083" i="3"/>
  <c r="G1083" i="3"/>
  <c r="F1083" i="3"/>
  <c r="E1083" i="3"/>
  <c r="D1083" i="3"/>
  <c r="I1082" i="3"/>
  <c r="H1082" i="3"/>
  <c r="G1082" i="3"/>
  <c r="F1082" i="3"/>
  <c r="E1082" i="3"/>
  <c r="D1082" i="3"/>
  <c r="I1081" i="3"/>
  <c r="H1081" i="3"/>
  <c r="G1081" i="3"/>
  <c r="F1081" i="3"/>
  <c r="E1081" i="3"/>
  <c r="D1081" i="3"/>
  <c r="I1080" i="3"/>
  <c r="H1080" i="3"/>
  <c r="G1080" i="3"/>
  <c r="F1080" i="3"/>
  <c r="E1080" i="3"/>
  <c r="D1080" i="3"/>
  <c r="I1079" i="3"/>
  <c r="H1079" i="3"/>
  <c r="G1079" i="3"/>
  <c r="F1079" i="3"/>
  <c r="E1079" i="3"/>
  <c r="D1079" i="3"/>
  <c r="I1078" i="3"/>
  <c r="H1078" i="3"/>
  <c r="G1078" i="3"/>
  <c r="F1078" i="3"/>
  <c r="E1078" i="3"/>
  <c r="D1078" i="3"/>
  <c r="I1077" i="3"/>
  <c r="H1077" i="3"/>
  <c r="G1077" i="3"/>
  <c r="F1077" i="3"/>
  <c r="E1077" i="3"/>
  <c r="D1077" i="3"/>
  <c r="I1076" i="3"/>
  <c r="H1076" i="3"/>
  <c r="G1076" i="3"/>
  <c r="F1076" i="3"/>
  <c r="E1076" i="3"/>
  <c r="D1076" i="3"/>
  <c r="I1075" i="3"/>
  <c r="H1075" i="3"/>
  <c r="G1075" i="3"/>
  <c r="F1075" i="3"/>
  <c r="E1075" i="3"/>
  <c r="D1075" i="3"/>
  <c r="I1074" i="3"/>
  <c r="H1074" i="3"/>
  <c r="G1074" i="3"/>
  <c r="F1074" i="3"/>
  <c r="E1074" i="3"/>
  <c r="D1074" i="3"/>
  <c r="I1073" i="3"/>
  <c r="H1073" i="3"/>
  <c r="G1073" i="3"/>
  <c r="F1073" i="3"/>
  <c r="E1073" i="3"/>
  <c r="D1073" i="3"/>
  <c r="I1072" i="3"/>
  <c r="H1072" i="3"/>
  <c r="G1072" i="3"/>
  <c r="F1072" i="3"/>
  <c r="E1072" i="3"/>
  <c r="D1072" i="3"/>
  <c r="I1071" i="3"/>
  <c r="H1071" i="3"/>
  <c r="G1071" i="3"/>
  <c r="F1071" i="3"/>
  <c r="E1071" i="3"/>
  <c r="D1071" i="3"/>
  <c r="I1070" i="3"/>
  <c r="H1070" i="3"/>
  <c r="G1070" i="3"/>
  <c r="F1070" i="3"/>
  <c r="E1070" i="3"/>
  <c r="D1070" i="3"/>
  <c r="I1069" i="3"/>
  <c r="H1069" i="3"/>
  <c r="G1069" i="3"/>
  <c r="F1069" i="3"/>
  <c r="E1069" i="3"/>
  <c r="D1069" i="3"/>
  <c r="I1068" i="3"/>
  <c r="H1068" i="3"/>
  <c r="G1068" i="3"/>
  <c r="F1068" i="3"/>
  <c r="E1068" i="3"/>
  <c r="D1068" i="3"/>
  <c r="I1067" i="3"/>
  <c r="H1067" i="3"/>
  <c r="G1067" i="3"/>
  <c r="F1067" i="3"/>
  <c r="E1067" i="3"/>
  <c r="D1067" i="3"/>
  <c r="I1066" i="3"/>
  <c r="H1066" i="3"/>
  <c r="G1066" i="3"/>
  <c r="F1066" i="3"/>
  <c r="E1066" i="3"/>
  <c r="D1066" i="3"/>
  <c r="I1065" i="3"/>
  <c r="H1065" i="3"/>
  <c r="G1065" i="3"/>
  <c r="F1065" i="3"/>
  <c r="E1065" i="3"/>
  <c r="D1065" i="3"/>
  <c r="I1064" i="3"/>
  <c r="H1064" i="3"/>
  <c r="G1064" i="3"/>
  <c r="F1064" i="3"/>
  <c r="E1064" i="3"/>
  <c r="D1064" i="3"/>
  <c r="I1063" i="3"/>
  <c r="H1063" i="3"/>
  <c r="G1063" i="3"/>
  <c r="F1063" i="3"/>
  <c r="E1063" i="3"/>
  <c r="D1063" i="3"/>
  <c r="I1062" i="3"/>
  <c r="H1062" i="3"/>
  <c r="G1062" i="3"/>
  <c r="F1062" i="3"/>
  <c r="E1062" i="3"/>
  <c r="D1062" i="3"/>
  <c r="I1061" i="3"/>
  <c r="H1061" i="3"/>
  <c r="G1061" i="3"/>
  <c r="F1061" i="3"/>
  <c r="E1061" i="3"/>
  <c r="D1061" i="3"/>
  <c r="I1060" i="3"/>
  <c r="H1060" i="3"/>
  <c r="G1060" i="3"/>
  <c r="F1060" i="3"/>
  <c r="E1060" i="3"/>
  <c r="D1060" i="3"/>
  <c r="I1059" i="3"/>
  <c r="H1059" i="3"/>
  <c r="G1059" i="3"/>
  <c r="F1059" i="3"/>
  <c r="E1059" i="3"/>
  <c r="D1059" i="3"/>
  <c r="I1058" i="3"/>
  <c r="H1058" i="3"/>
  <c r="G1058" i="3"/>
  <c r="F1058" i="3"/>
  <c r="E1058" i="3"/>
  <c r="D1058" i="3"/>
  <c r="I1057" i="3"/>
  <c r="H1057" i="3"/>
  <c r="G1057" i="3"/>
  <c r="F1057" i="3"/>
  <c r="E1057" i="3"/>
  <c r="D1057" i="3"/>
  <c r="I1056" i="3"/>
  <c r="H1056" i="3"/>
  <c r="G1056" i="3"/>
  <c r="F1056" i="3"/>
  <c r="E1056" i="3"/>
  <c r="D1056" i="3"/>
  <c r="I1055" i="3"/>
  <c r="H1055" i="3"/>
  <c r="G1055" i="3"/>
  <c r="F1055" i="3"/>
  <c r="E1055" i="3"/>
  <c r="D1055" i="3"/>
  <c r="I1054" i="3"/>
  <c r="H1054" i="3"/>
  <c r="G1054" i="3"/>
  <c r="F1054" i="3"/>
  <c r="E1054" i="3"/>
  <c r="D1054" i="3"/>
  <c r="I1053" i="3"/>
  <c r="H1053" i="3"/>
  <c r="G1053" i="3"/>
  <c r="F1053" i="3"/>
  <c r="E1053" i="3"/>
  <c r="D1053" i="3"/>
  <c r="I1052" i="3"/>
  <c r="H1052" i="3"/>
  <c r="G1052" i="3"/>
  <c r="F1052" i="3"/>
  <c r="E1052" i="3"/>
  <c r="D1052" i="3"/>
  <c r="I1051" i="3"/>
  <c r="H1051" i="3"/>
  <c r="G1051" i="3"/>
  <c r="F1051" i="3"/>
  <c r="E1051" i="3"/>
  <c r="D1051" i="3"/>
  <c r="I1050" i="3"/>
  <c r="H1050" i="3"/>
  <c r="G1050" i="3"/>
  <c r="F1050" i="3"/>
  <c r="E1050" i="3"/>
  <c r="D1050" i="3"/>
  <c r="I1049" i="3"/>
  <c r="H1049" i="3"/>
  <c r="G1049" i="3"/>
  <c r="F1049" i="3"/>
  <c r="E1049" i="3"/>
  <c r="D1049" i="3"/>
  <c r="I1048" i="3"/>
  <c r="H1048" i="3"/>
  <c r="G1048" i="3"/>
  <c r="F1048" i="3"/>
  <c r="E1048" i="3"/>
  <c r="D1048" i="3"/>
  <c r="I1047" i="3"/>
  <c r="H1047" i="3"/>
  <c r="G1047" i="3"/>
  <c r="F1047" i="3"/>
  <c r="E1047" i="3"/>
  <c r="D1047" i="3"/>
  <c r="I1046" i="3"/>
  <c r="H1046" i="3"/>
  <c r="G1046" i="3"/>
  <c r="F1046" i="3"/>
  <c r="E1046" i="3"/>
  <c r="D1046" i="3"/>
  <c r="I1045" i="3"/>
  <c r="H1045" i="3"/>
  <c r="G1045" i="3"/>
  <c r="F1045" i="3"/>
  <c r="E1045" i="3"/>
  <c r="D1045" i="3"/>
  <c r="I1044" i="3"/>
  <c r="H1044" i="3"/>
  <c r="G1044" i="3"/>
  <c r="F1044" i="3"/>
  <c r="E1044" i="3"/>
  <c r="D1044" i="3"/>
  <c r="I1043" i="3"/>
  <c r="H1043" i="3"/>
  <c r="G1043" i="3"/>
  <c r="F1043" i="3"/>
  <c r="E1043" i="3"/>
  <c r="D1043" i="3"/>
  <c r="I1042" i="3"/>
  <c r="H1042" i="3"/>
  <c r="G1042" i="3"/>
  <c r="F1042" i="3"/>
  <c r="E1042" i="3"/>
  <c r="D1042" i="3"/>
  <c r="I1041" i="3"/>
  <c r="H1041" i="3"/>
  <c r="G1041" i="3"/>
  <c r="F1041" i="3"/>
  <c r="E1041" i="3"/>
  <c r="D1041" i="3"/>
  <c r="I1040" i="3"/>
  <c r="H1040" i="3"/>
  <c r="G1040" i="3"/>
  <c r="F1040" i="3"/>
  <c r="E1040" i="3"/>
  <c r="D1040" i="3"/>
  <c r="I1039" i="3"/>
  <c r="H1039" i="3"/>
  <c r="G1039" i="3"/>
  <c r="F1039" i="3"/>
  <c r="E1039" i="3"/>
  <c r="D1039" i="3"/>
  <c r="I1038" i="3"/>
  <c r="H1038" i="3"/>
  <c r="G1038" i="3"/>
  <c r="F1038" i="3"/>
  <c r="E1038" i="3"/>
  <c r="D1038" i="3"/>
  <c r="I1037" i="3"/>
  <c r="H1037" i="3"/>
  <c r="G1037" i="3"/>
  <c r="F1037" i="3"/>
  <c r="E1037" i="3"/>
  <c r="D1037" i="3"/>
  <c r="I1036" i="3"/>
  <c r="H1036" i="3"/>
  <c r="G1036" i="3"/>
  <c r="F1036" i="3"/>
  <c r="E1036" i="3"/>
  <c r="D1036" i="3"/>
  <c r="I1035" i="3"/>
  <c r="H1035" i="3"/>
  <c r="G1035" i="3"/>
  <c r="F1035" i="3"/>
  <c r="E1035" i="3"/>
  <c r="D1035" i="3"/>
  <c r="I1034" i="3"/>
  <c r="H1034" i="3"/>
  <c r="G1034" i="3"/>
  <c r="F1034" i="3"/>
  <c r="E1034" i="3"/>
  <c r="D1034" i="3"/>
  <c r="I1033" i="3"/>
  <c r="H1033" i="3"/>
  <c r="G1033" i="3"/>
  <c r="F1033" i="3"/>
  <c r="E1033" i="3"/>
  <c r="D1033" i="3"/>
  <c r="I1032" i="3"/>
  <c r="H1032" i="3"/>
  <c r="G1032" i="3"/>
  <c r="F1032" i="3"/>
  <c r="E1032" i="3"/>
  <c r="D1032" i="3"/>
  <c r="I1031" i="3"/>
  <c r="H1031" i="3"/>
  <c r="G1031" i="3"/>
  <c r="F1031" i="3"/>
  <c r="E1031" i="3"/>
  <c r="D1031" i="3"/>
  <c r="I1030" i="3"/>
  <c r="H1030" i="3"/>
  <c r="G1030" i="3"/>
  <c r="F1030" i="3"/>
  <c r="E1030" i="3"/>
  <c r="D1030" i="3"/>
  <c r="I1029" i="3"/>
  <c r="H1029" i="3"/>
  <c r="G1029" i="3"/>
  <c r="F1029" i="3"/>
  <c r="E1029" i="3"/>
  <c r="D1029" i="3"/>
  <c r="I1028" i="3"/>
  <c r="H1028" i="3"/>
  <c r="G1028" i="3"/>
  <c r="F1028" i="3"/>
  <c r="E1028" i="3"/>
  <c r="D1028" i="3"/>
  <c r="I1027" i="3"/>
  <c r="H1027" i="3"/>
  <c r="G1027" i="3"/>
  <c r="F1027" i="3"/>
  <c r="E1027" i="3"/>
  <c r="D1027" i="3"/>
  <c r="I1026" i="3"/>
  <c r="H1026" i="3"/>
  <c r="G1026" i="3"/>
  <c r="F1026" i="3"/>
  <c r="E1026" i="3"/>
  <c r="D1026" i="3"/>
  <c r="I1025" i="3"/>
  <c r="H1025" i="3"/>
  <c r="G1025" i="3"/>
  <c r="F1025" i="3"/>
  <c r="E1025" i="3"/>
  <c r="D1025" i="3"/>
  <c r="I1024" i="3"/>
  <c r="H1024" i="3"/>
  <c r="G1024" i="3"/>
  <c r="F1024" i="3"/>
  <c r="E1024" i="3"/>
  <c r="D1024" i="3"/>
  <c r="I1023" i="3"/>
  <c r="H1023" i="3"/>
  <c r="G1023" i="3"/>
  <c r="F1023" i="3"/>
  <c r="E1023" i="3"/>
  <c r="D1023" i="3"/>
  <c r="I1022" i="3"/>
  <c r="H1022" i="3"/>
  <c r="G1022" i="3"/>
  <c r="F1022" i="3"/>
  <c r="E1022" i="3"/>
  <c r="D1022" i="3"/>
  <c r="I1021" i="3"/>
  <c r="H1021" i="3"/>
  <c r="G1021" i="3"/>
  <c r="F1021" i="3"/>
  <c r="E1021" i="3"/>
  <c r="D1021" i="3"/>
  <c r="I1020" i="3"/>
  <c r="H1020" i="3"/>
  <c r="G1020" i="3"/>
  <c r="F1020" i="3"/>
  <c r="E1020" i="3"/>
  <c r="D1020" i="3"/>
  <c r="I1019" i="3"/>
  <c r="H1019" i="3"/>
  <c r="G1019" i="3"/>
  <c r="F1019" i="3"/>
  <c r="E1019" i="3"/>
  <c r="D1019" i="3"/>
  <c r="I1018" i="3"/>
  <c r="H1018" i="3"/>
  <c r="G1018" i="3"/>
  <c r="F1018" i="3"/>
  <c r="E1018" i="3"/>
  <c r="D1018" i="3"/>
  <c r="I1017" i="3"/>
  <c r="H1017" i="3"/>
  <c r="G1017" i="3"/>
  <c r="F1017" i="3"/>
  <c r="E1017" i="3"/>
  <c r="D1017" i="3"/>
  <c r="I1016" i="3"/>
  <c r="H1016" i="3"/>
  <c r="G1016" i="3"/>
  <c r="F1016" i="3"/>
  <c r="E1016" i="3"/>
  <c r="D1016" i="3"/>
  <c r="I1015" i="3"/>
  <c r="H1015" i="3"/>
  <c r="G1015" i="3"/>
  <c r="F1015" i="3"/>
  <c r="E1015" i="3"/>
  <c r="D1015" i="3"/>
  <c r="I1014" i="3"/>
  <c r="H1014" i="3"/>
  <c r="G1014" i="3"/>
  <c r="F1014" i="3"/>
  <c r="E1014" i="3"/>
  <c r="D1014" i="3"/>
  <c r="I1013" i="3"/>
  <c r="H1013" i="3"/>
  <c r="G1013" i="3"/>
  <c r="F1013" i="3"/>
  <c r="E1013" i="3"/>
  <c r="D1013" i="3"/>
  <c r="I1012" i="3"/>
  <c r="H1012" i="3"/>
  <c r="G1012" i="3"/>
  <c r="F1012" i="3"/>
  <c r="E1012" i="3"/>
  <c r="D1012" i="3"/>
  <c r="I1011" i="3"/>
  <c r="H1011" i="3"/>
  <c r="G1011" i="3"/>
  <c r="F1011" i="3"/>
  <c r="E1011" i="3"/>
  <c r="D1011" i="3"/>
  <c r="I1010" i="3"/>
  <c r="H1010" i="3"/>
  <c r="G1010" i="3"/>
  <c r="F1010" i="3"/>
  <c r="E1010" i="3"/>
  <c r="D1010" i="3"/>
  <c r="I1009" i="3"/>
  <c r="H1009" i="3"/>
  <c r="G1009" i="3"/>
  <c r="F1009" i="3"/>
  <c r="E1009" i="3"/>
  <c r="D1009" i="3"/>
  <c r="I1008" i="3"/>
  <c r="H1008" i="3"/>
  <c r="G1008" i="3"/>
  <c r="F1008" i="3"/>
  <c r="E1008" i="3"/>
  <c r="D1008" i="3"/>
  <c r="I1007" i="3"/>
  <c r="H1007" i="3"/>
  <c r="G1007" i="3"/>
  <c r="F1007" i="3"/>
  <c r="E1007" i="3"/>
  <c r="D1007" i="3"/>
  <c r="I1006" i="3"/>
  <c r="H1006" i="3"/>
  <c r="G1006" i="3"/>
  <c r="F1006" i="3"/>
  <c r="E1006" i="3"/>
  <c r="D1006" i="3"/>
  <c r="I1005" i="3"/>
  <c r="H1005" i="3"/>
  <c r="G1005" i="3"/>
  <c r="F1005" i="3"/>
  <c r="E1005" i="3"/>
  <c r="D1005" i="3"/>
  <c r="I1004" i="3"/>
  <c r="H1004" i="3"/>
  <c r="G1004" i="3"/>
  <c r="F1004" i="3"/>
  <c r="E1004" i="3"/>
  <c r="D1004" i="3"/>
  <c r="I1003" i="3"/>
  <c r="H1003" i="3"/>
  <c r="G1003" i="3"/>
  <c r="F1003" i="3"/>
  <c r="E1003" i="3"/>
  <c r="D1003" i="3"/>
  <c r="I1002" i="3"/>
  <c r="H1002" i="3"/>
  <c r="G1002" i="3"/>
  <c r="F1002" i="3"/>
  <c r="E1002" i="3"/>
  <c r="D1002" i="3"/>
  <c r="I1001" i="3"/>
  <c r="H1001" i="3"/>
  <c r="G1001" i="3"/>
  <c r="F1001" i="3"/>
  <c r="E1001" i="3"/>
  <c r="D1001" i="3"/>
  <c r="I1000" i="3"/>
  <c r="H1000" i="3"/>
  <c r="G1000" i="3"/>
  <c r="F1000" i="3"/>
  <c r="E1000" i="3"/>
  <c r="D1000" i="3"/>
  <c r="I999" i="3"/>
  <c r="H999" i="3"/>
  <c r="G999" i="3"/>
  <c r="F999" i="3"/>
  <c r="E999" i="3"/>
  <c r="D999" i="3"/>
  <c r="I998" i="3"/>
  <c r="H998" i="3"/>
  <c r="G998" i="3"/>
  <c r="F998" i="3"/>
  <c r="E998" i="3"/>
  <c r="D998" i="3"/>
  <c r="I997" i="3"/>
  <c r="H997" i="3"/>
  <c r="G997" i="3"/>
  <c r="F997" i="3"/>
  <c r="E997" i="3"/>
  <c r="D997" i="3"/>
  <c r="N996" i="3"/>
  <c r="K996" i="3"/>
  <c r="I996" i="3"/>
  <c r="H996" i="3"/>
  <c r="G996" i="3"/>
  <c r="F996" i="3"/>
  <c r="E996" i="3"/>
  <c r="D996" i="3"/>
  <c r="N995" i="3"/>
  <c r="K995" i="3"/>
  <c r="I995" i="3"/>
  <c r="H995" i="3"/>
  <c r="G995" i="3"/>
  <c r="F995" i="3"/>
  <c r="E995" i="3"/>
  <c r="D995" i="3"/>
  <c r="N994" i="3"/>
  <c r="K994" i="3"/>
  <c r="I994" i="3"/>
  <c r="H994" i="3"/>
  <c r="G994" i="3"/>
  <c r="F994" i="3"/>
  <c r="E994" i="3"/>
  <c r="D994" i="3"/>
  <c r="N993" i="3"/>
  <c r="K993" i="3"/>
  <c r="I993" i="3"/>
  <c r="H993" i="3"/>
  <c r="G993" i="3"/>
  <c r="F993" i="3"/>
  <c r="E993" i="3"/>
  <c r="D993" i="3"/>
  <c r="N992" i="3"/>
  <c r="K992" i="3"/>
  <c r="I992" i="3"/>
  <c r="H992" i="3"/>
  <c r="G992" i="3"/>
  <c r="F992" i="3"/>
  <c r="E992" i="3"/>
  <c r="D992" i="3"/>
  <c r="N991" i="3"/>
  <c r="K991" i="3"/>
  <c r="I991" i="3"/>
  <c r="H991" i="3"/>
  <c r="G991" i="3"/>
  <c r="F991" i="3"/>
  <c r="E991" i="3"/>
  <c r="D991" i="3"/>
  <c r="N990" i="3"/>
  <c r="K990" i="3"/>
  <c r="I990" i="3"/>
  <c r="H990" i="3"/>
  <c r="G990" i="3"/>
  <c r="F990" i="3"/>
  <c r="E990" i="3"/>
  <c r="D990" i="3"/>
  <c r="N989" i="3"/>
  <c r="K989" i="3"/>
  <c r="I989" i="3"/>
  <c r="H989" i="3"/>
  <c r="G989" i="3"/>
  <c r="F989" i="3"/>
  <c r="E989" i="3"/>
  <c r="D989" i="3"/>
  <c r="N988" i="3"/>
  <c r="K988" i="3"/>
  <c r="I988" i="3"/>
  <c r="H988" i="3"/>
  <c r="G988" i="3"/>
  <c r="F988" i="3"/>
  <c r="E988" i="3"/>
  <c r="D988" i="3"/>
  <c r="N987" i="3"/>
  <c r="K987" i="3"/>
  <c r="I987" i="3"/>
  <c r="H987" i="3"/>
  <c r="G987" i="3"/>
  <c r="F987" i="3"/>
  <c r="E987" i="3"/>
  <c r="D987" i="3"/>
  <c r="N986" i="3"/>
  <c r="K986" i="3"/>
  <c r="I986" i="3"/>
  <c r="H986" i="3"/>
  <c r="G986" i="3"/>
  <c r="F986" i="3"/>
  <c r="E986" i="3"/>
  <c r="D986" i="3"/>
  <c r="N985" i="3"/>
  <c r="K985" i="3"/>
  <c r="I985" i="3"/>
  <c r="H985" i="3"/>
  <c r="G985" i="3"/>
  <c r="F985" i="3"/>
  <c r="E985" i="3"/>
  <c r="D985" i="3"/>
  <c r="N984" i="3"/>
  <c r="K984" i="3"/>
  <c r="I984" i="3"/>
  <c r="H984" i="3"/>
  <c r="G984" i="3"/>
  <c r="F984" i="3"/>
  <c r="E984" i="3"/>
  <c r="D984" i="3"/>
  <c r="N983" i="3"/>
  <c r="K983" i="3"/>
  <c r="I983" i="3"/>
  <c r="H983" i="3"/>
  <c r="G983" i="3"/>
  <c r="F983" i="3"/>
  <c r="E983" i="3"/>
  <c r="D983" i="3"/>
  <c r="N982" i="3"/>
  <c r="K982" i="3"/>
  <c r="I982" i="3"/>
  <c r="H982" i="3"/>
  <c r="G982" i="3"/>
  <c r="F982" i="3"/>
  <c r="E982" i="3"/>
  <c r="D982" i="3"/>
  <c r="N981" i="3"/>
  <c r="K981" i="3"/>
  <c r="I981" i="3"/>
  <c r="H981" i="3"/>
  <c r="G981" i="3"/>
  <c r="F981" i="3"/>
  <c r="E981" i="3"/>
  <c r="D981" i="3"/>
  <c r="N980" i="3"/>
  <c r="K980" i="3"/>
  <c r="I980" i="3"/>
  <c r="H980" i="3"/>
  <c r="G980" i="3"/>
  <c r="F980" i="3"/>
  <c r="E980" i="3"/>
  <c r="D980" i="3"/>
  <c r="N979" i="3"/>
  <c r="K979" i="3"/>
  <c r="I979" i="3"/>
  <c r="H979" i="3"/>
  <c r="G979" i="3"/>
  <c r="F979" i="3"/>
  <c r="E979" i="3"/>
  <c r="D979" i="3"/>
  <c r="N978" i="3"/>
  <c r="K978" i="3"/>
  <c r="I978" i="3"/>
  <c r="H978" i="3"/>
  <c r="G978" i="3"/>
  <c r="F978" i="3"/>
  <c r="E978" i="3"/>
  <c r="D978" i="3"/>
  <c r="N977" i="3"/>
  <c r="K977" i="3"/>
  <c r="I977" i="3"/>
  <c r="H977" i="3"/>
  <c r="G977" i="3"/>
  <c r="F977" i="3"/>
  <c r="E977" i="3"/>
  <c r="D977" i="3"/>
  <c r="N976" i="3"/>
  <c r="K976" i="3"/>
  <c r="I976" i="3"/>
  <c r="H976" i="3"/>
  <c r="G976" i="3"/>
  <c r="F976" i="3"/>
  <c r="E976" i="3"/>
  <c r="D976" i="3"/>
  <c r="N975" i="3"/>
  <c r="K975" i="3"/>
  <c r="I975" i="3"/>
  <c r="H975" i="3"/>
  <c r="G975" i="3"/>
  <c r="F975" i="3"/>
  <c r="E975" i="3"/>
  <c r="D975" i="3"/>
  <c r="N974" i="3"/>
  <c r="K974" i="3"/>
  <c r="I974" i="3"/>
  <c r="H974" i="3"/>
  <c r="G974" i="3"/>
  <c r="F974" i="3"/>
  <c r="E974" i="3"/>
  <c r="D974" i="3"/>
  <c r="N973" i="3"/>
  <c r="K973" i="3"/>
  <c r="I973" i="3"/>
  <c r="H973" i="3"/>
  <c r="G973" i="3"/>
  <c r="F973" i="3"/>
  <c r="E973" i="3"/>
  <c r="D973" i="3"/>
  <c r="N972" i="3"/>
  <c r="K972" i="3"/>
  <c r="I972" i="3"/>
  <c r="H972" i="3"/>
  <c r="G972" i="3"/>
  <c r="F972" i="3"/>
  <c r="E972" i="3"/>
  <c r="D972" i="3"/>
  <c r="N971" i="3"/>
  <c r="K971" i="3"/>
  <c r="I971" i="3"/>
  <c r="H971" i="3"/>
  <c r="G971" i="3"/>
  <c r="F971" i="3"/>
  <c r="E971" i="3"/>
  <c r="D971" i="3"/>
  <c r="N970" i="3"/>
  <c r="K970" i="3"/>
  <c r="I970" i="3"/>
  <c r="H970" i="3"/>
  <c r="G970" i="3"/>
  <c r="F970" i="3"/>
  <c r="E970" i="3"/>
  <c r="D970" i="3"/>
  <c r="N969" i="3"/>
  <c r="K969" i="3"/>
  <c r="I969" i="3"/>
  <c r="H969" i="3"/>
  <c r="G969" i="3"/>
  <c r="F969" i="3"/>
  <c r="E969" i="3"/>
  <c r="D969" i="3"/>
  <c r="N968" i="3"/>
  <c r="K968" i="3"/>
  <c r="I968" i="3"/>
  <c r="H968" i="3"/>
  <c r="G968" i="3"/>
  <c r="F968" i="3"/>
  <c r="E968" i="3"/>
  <c r="D968" i="3"/>
  <c r="N967" i="3"/>
  <c r="K967" i="3"/>
  <c r="I967" i="3"/>
  <c r="H967" i="3"/>
  <c r="G967" i="3"/>
  <c r="F967" i="3"/>
  <c r="E967" i="3"/>
  <c r="D967" i="3"/>
  <c r="N966" i="3"/>
  <c r="K966" i="3"/>
  <c r="I966" i="3"/>
  <c r="H966" i="3"/>
  <c r="G966" i="3"/>
  <c r="F966" i="3"/>
  <c r="E966" i="3"/>
  <c r="D966" i="3"/>
  <c r="N965" i="3"/>
  <c r="K965" i="3"/>
  <c r="I965" i="3"/>
  <c r="H965" i="3"/>
  <c r="G965" i="3"/>
  <c r="F965" i="3"/>
  <c r="E965" i="3"/>
  <c r="D965" i="3"/>
  <c r="N964" i="3"/>
  <c r="K964" i="3"/>
  <c r="I964" i="3"/>
  <c r="H964" i="3"/>
  <c r="G964" i="3"/>
  <c r="F964" i="3"/>
  <c r="E964" i="3"/>
  <c r="D964" i="3"/>
  <c r="N963" i="3"/>
  <c r="K963" i="3"/>
  <c r="I963" i="3"/>
  <c r="H963" i="3"/>
  <c r="G963" i="3"/>
  <c r="F963" i="3"/>
  <c r="E963" i="3"/>
  <c r="D963" i="3"/>
  <c r="N962" i="3"/>
  <c r="K962" i="3"/>
  <c r="I962" i="3"/>
  <c r="H962" i="3"/>
  <c r="G962" i="3"/>
  <c r="F962" i="3"/>
  <c r="E962" i="3"/>
  <c r="D962" i="3"/>
  <c r="N961" i="3"/>
  <c r="K961" i="3"/>
  <c r="I961" i="3"/>
  <c r="H961" i="3"/>
  <c r="G961" i="3"/>
  <c r="F961" i="3"/>
  <c r="E961" i="3"/>
  <c r="D961" i="3"/>
  <c r="N960" i="3"/>
  <c r="K960" i="3"/>
  <c r="I960" i="3"/>
  <c r="H960" i="3"/>
  <c r="G960" i="3"/>
  <c r="F960" i="3"/>
  <c r="E960" i="3"/>
  <c r="D960" i="3"/>
  <c r="N959" i="3"/>
  <c r="K959" i="3"/>
  <c r="I959" i="3"/>
  <c r="H959" i="3"/>
  <c r="G959" i="3"/>
  <c r="F959" i="3"/>
  <c r="E959" i="3"/>
  <c r="D959" i="3"/>
  <c r="N958" i="3"/>
  <c r="K958" i="3"/>
  <c r="I958" i="3"/>
  <c r="H958" i="3"/>
  <c r="G958" i="3"/>
  <c r="F958" i="3"/>
  <c r="E958" i="3"/>
  <c r="D958" i="3"/>
  <c r="N957" i="3"/>
  <c r="K957" i="3"/>
  <c r="I957" i="3"/>
  <c r="H957" i="3"/>
  <c r="G957" i="3"/>
  <c r="F957" i="3"/>
  <c r="E957" i="3"/>
  <c r="D957" i="3"/>
  <c r="N956" i="3"/>
  <c r="K956" i="3"/>
  <c r="I956" i="3"/>
  <c r="H956" i="3"/>
  <c r="G956" i="3"/>
  <c r="F956" i="3"/>
  <c r="E956" i="3"/>
  <c r="D956" i="3"/>
  <c r="N955" i="3"/>
  <c r="K955" i="3"/>
  <c r="I955" i="3"/>
  <c r="H955" i="3"/>
  <c r="G955" i="3"/>
  <c r="F955" i="3"/>
  <c r="E955" i="3"/>
  <c r="D955" i="3"/>
  <c r="N954" i="3"/>
  <c r="K954" i="3"/>
  <c r="I954" i="3"/>
  <c r="H954" i="3"/>
  <c r="G954" i="3"/>
  <c r="F954" i="3"/>
  <c r="E954" i="3"/>
  <c r="D954" i="3"/>
  <c r="N953" i="3"/>
  <c r="K953" i="3"/>
  <c r="I953" i="3"/>
  <c r="H953" i="3"/>
  <c r="G953" i="3"/>
  <c r="F953" i="3"/>
  <c r="E953" i="3"/>
  <c r="D953" i="3"/>
  <c r="N952" i="3"/>
  <c r="K952" i="3"/>
  <c r="I952" i="3"/>
  <c r="H952" i="3"/>
  <c r="G952" i="3"/>
  <c r="F952" i="3"/>
  <c r="E952" i="3"/>
  <c r="D952" i="3"/>
  <c r="N951" i="3"/>
  <c r="K951" i="3"/>
  <c r="I951" i="3"/>
  <c r="H951" i="3"/>
  <c r="G951" i="3"/>
  <c r="F951" i="3"/>
  <c r="E951" i="3"/>
  <c r="D951" i="3"/>
  <c r="N950" i="3"/>
  <c r="K950" i="3"/>
  <c r="I950" i="3"/>
  <c r="H950" i="3"/>
  <c r="G950" i="3"/>
  <c r="F950" i="3"/>
  <c r="E950" i="3"/>
  <c r="D950" i="3"/>
  <c r="N949" i="3"/>
  <c r="K949" i="3"/>
  <c r="I949" i="3"/>
  <c r="H949" i="3"/>
  <c r="G949" i="3"/>
  <c r="F949" i="3"/>
  <c r="E949" i="3"/>
  <c r="D949" i="3"/>
  <c r="N948" i="3"/>
  <c r="K948" i="3"/>
  <c r="I948" i="3"/>
  <c r="H948" i="3"/>
  <c r="G948" i="3"/>
  <c r="F948" i="3"/>
  <c r="E948" i="3"/>
  <c r="D948" i="3"/>
  <c r="N947" i="3"/>
  <c r="K947" i="3"/>
  <c r="I947" i="3"/>
  <c r="H947" i="3"/>
  <c r="G947" i="3"/>
  <c r="F947" i="3"/>
  <c r="E947" i="3"/>
  <c r="D947" i="3"/>
  <c r="N946" i="3"/>
  <c r="K946" i="3"/>
  <c r="I946" i="3"/>
  <c r="H946" i="3"/>
  <c r="G946" i="3"/>
  <c r="F946" i="3"/>
  <c r="E946" i="3"/>
  <c r="D946" i="3"/>
  <c r="N945" i="3"/>
  <c r="K945" i="3"/>
  <c r="I945" i="3"/>
  <c r="H945" i="3"/>
  <c r="G945" i="3"/>
  <c r="F945" i="3"/>
  <c r="E945" i="3"/>
  <c r="D945" i="3"/>
  <c r="N944" i="3"/>
  <c r="K944" i="3"/>
  <c r="I944" i="3"/>
  <c r="H944" i="3"/>
  <c r="G944" i="3"/>
  <c r="F944" i="3"/>
  <c r="E944" i="3"/>
  <c r="D944" i="3"/>
  <c r="N943" i="3"/>
  <c r="K943" i="3"/>
  <c r="I943" i="3"/>
  <c r="H943" i="3"/>
  <c r="G943" i="3"/>
  <c r="F943" i="3"/>
  <c r="E943" i="3"/>
  <c r="D943" i="3"/>
  <c r="N942" i="3"/>
  <c r="K942" i="3"/>
  <c r="I942" i="3"/>
  <c r="H942" i="3"/>
  <c r="G942" i="3"/>
  <c r="F942" i="3"/>
  <c r="E942" i="3"/>
  <c r="D942" i="3"/>
  <c r="N941" i="3"/>
  <c r="K941" i="3"/>
  <c r="I941" i="3"/>
  <c r="H941" i="3"/>
  <c r="G941" i="3"/>
  <c r="F941" i="3"/>
  <c r="E941" i="3"/>
  <c r="D941" i="3"/>
  <c r="N940" i="3"/>
  <c r="K940" i="3"/>
  <c r="I940" i="3"/>
  <c r="H940" i="3"/>
  <c r="G940" i="3"/>
  <c r="F940" i="3"/>
  <c r="E940" i="3"/>
  <c r="D940" i="3"/>
  <c r="N939" i="3"/>
  <c r="K939" i="3"/>
  <c r="I939" i="3"/>
  <c r="H939" i="3"/>
  <c r="G939" i="3"/>
  <c r="F939" i="3"/>
  <c r="E939" i="3"/>
  <c r="D939" i="3"/>
  <c r="N938" i="3"/>
  <c r="K938" i="3"/>
  <c r="I938" i="3"/>
  <c r="H938" i="3"/>
  <c r="G938" i="3"/>
  <c r="F938" i="3"/>
  <c r="E938" i="3"/>
  <c r="D938" i="3"/>
  <c r="N937" i="3"/>
  <c r="K937" i="3"/>
  <c r="I937" i="3"/>
  <c r="H937" i="3"/>
  <c r="G937" i="3"/>
  <c r="F937" i="3"/>
  <c r="E937" i="3"/>
  <c r="D937" i="3"/>
  <c r="N936" i="3"/>
  <c r="K936" i="3"/>
  <c r="I936" i="3"/>
  <c r="H936" i="3"/>
  <c r="G936" i="3"/>
  <c r="F936" i="3"/>
  <c r="E936" i="3"/>
  <c r="D936" i="3"/>
  <c r="N935" i="3"/>
  <c r="K935" i="3"/>
  <c r="I935" i="3"/>
  <c r="H935" i="3"/>
  <c r="G935" i="3"/>
  <c r="F935" i="3"/>
  <c r="E935" i="3"/>
  <c r="D935" i="3"/>
  <c r="N934" i="3"/>
  <c r="K934" i="3"/>
  <c r="I934" i="3"/>
  <c r="H934" i="3"/>
  <c r="G934" i="3"/>
  <c r="F934" i="3"/>
  <c r="E934" i="3"/>
  <c r="D934" i="3"/>
  <c r="N933" i="3"/>
  <c r="K933" i="3"/>
  <c r="I933" i="3"/>
  <c r="H933" i="3"/>
  <c r="G933" i="3"/>
  <c r="F933" i="3"/>
  <c r="E933" i="3"/>
  <c r="D933" i="3"/>
  <c r="N932" i="3"/>
  <c r="K932" i="3"/>
  <c r="I932" i="3"/>
  <c r="H932" i="3"/>
  <c r="G932" i="3"/>
  <c r="F932" i="3"/>
  <c r="E932" i="3"/>
  <c r="D932" i="3"/>
  <c r="N931" i="3"/>
  <c r="K931" i="3"/>
  <c r="I931" i="3"/>
  <c r="H931" i="3"/>
  <c r="G931" i="3"/>
  <c r="F931" i="3"/>
  <c r="E931" i="3"/>
  <c r="D931" i="3"/>
  <c r="N930" i="3"/>
  <c r="K930" i="3"/>
  <c r="I930" i="3"/>
  <c r="H930" i="3"/>
  <c r="G930" i="3"/>
  <c r="F930" i="3"/>
  <c r="E930" i="3"/>
  <c r="D930" i="3"/>
  <c r="N929" i="3"/>
  <c r="K929" i="3"/>
  <c r="I929" i="3"/>
  <c r="H929" i="3"/>
  <c r="G929" i="3"/>
  <c r="F929" i="3"/>
  <c r="E929" i="3"/>
  <c r="D929" i="3"/>
  <c r="N928" i="3"/>
  <c r="K928" i="3"/>
  <c r="I928" i="3"/>
  <c r="H928" i="3"/>
  <c r="G928" i="3"/>
  <c r="F928" i="3"/>
  <c r="E928" i="3"/>
  <c r="D928" i="3"/>
  <c r="N927" i="3"/>
  <c r="K927" i="3"/>
  <c r="I927" i="3"/>
  <c r="H927" i="3"/>
  <c r="G927" i="3"/>
  <c r="F927" i="3"/>
  <c r="E927" i="3"/>
  <c r="D927" i="3"/>
  <c r="N926" i="3"/>
  <c r="K926" i="3"/>
  <c r="I926" i="3"/>
  <c r="H926" i="3"/>
  <c r="G926" i="3"/>
  <c r="F926" i="3"/>
  <c r="E926" i="3"/>
  <c r="D926" i="3"/>
  <c r="N925" i="3"/>
  <c r="K925" i="3"/>
  <c r="I925" i="3"/>
  <c r="H925" i="3"/>
  <c r="G925" i="3"/>
  <c r="F925" i="3"/>
  <c r="E925" i="3"/>
  <c r="D925" i="3"/>
  <c r="N924" i="3"/>
  <c r="K924" i="3"/>
  <c r="I924" i="3"/>
  <c r="H924" i="3"/>
  <c r="G924" i="3"/>
  <c r="F924" i="3"/>
  <c r="E924" i="3"/>
  <c r="D924" i="3"/>
  <c r="N923" i="3"/>
  <c r="K923" i="3"/>
  <c r="I923" i="3"/>
  <c r="H923" i="3"/>
  <c r="G923" i="3"/>
  <c r="F923" i="3"/>
  <c r="E923" i="3"/>
  <c r="D923" i="3"/>
  <c r="N922" i="3"/>
  <c r="K922" i="3"/>
  <c r="I922" i="3"/>
  <c r="H922" i="3"/>
  <c r="G922" i="3"/>
  <c r="F922" i="3"/>
  <c r="E922" i="3"/>
  <c r="D922" i="3"/>
  <c r="N921" i="3"/>
  <c r="K921" i="3"/>
  <c r="I921" i="3"/>
  <c r="H921" i="3"/>
  <c r="G921" i="3"/>
  <c r="F921" i="3"/>
  <c r="E921" i="3"/>
  <c r="D921" i="3"/>
  <c r="N920" i="3"/>
  <c r="K920" i="3"/>
  <c r="I920" i="3"/>
  <c r="H920" i="3"/>
  <c r="G920" i="3"/>
  <c r="F920" i="3"/>
  <c r="E920" i="3"/>
  <c r="D920" i="3"/>
  <c r="N919" i="3"/>
  <c r="K919" i="3"/>
  <c r="I919" i="3"/>
  <c r="H919" i="3"/>
  <c r="G919" i="3"/>
  <c r="F919" i="3"/>
  <c r="E919" i="3"/>
  <c r="D919" i="3"/>
  <c r="N918" i="3"/>
  <c r="K918" i="3"/>
  <c r="I918" i="3"/>
  <c r="H918" i="3"/>
  <c r="G918" i="3"/>
  <c r="F918" i="3"/>
  <c r="E918" i="3"/>
  <c r="D918" i="3"/>
  <c r="N917" i="3"/>
  <c r="K917" i="3"/>
  <c r="I917" i="3"/>
  <c r="H917" i="3"/>
  <c r="G917" i="3"/>
  <c r="F917" i="3"/>
  <c r="E917" i="3"/>
  <c r="D917" i="3"/>
  <c r="N916" i="3"/>
  <c r="K916" i="3"/>
  <c r="I916" i="3"/>
  <c r="H916" i="3"/>
  <c r="G916" i="3"/>
  <c r="F916" i="3"/>
  <c r="E916" i="3"/>
  <c r="D916" i="3"/>
  <c r="N915" i="3"/>
  <c r="K915" i="3"/>
  <c r="I915" i="3"/>
  <c r="H915" i="3"/>
  <c r="G915" i="3"/>
  <c r="F915" i="3"/>
  <c r="E915" i="3"/>
  <c r="D915" i="3"/>
  <c r="N914" i="3"/>
  <c r="K914" i="3"/>
  <c r="I914" i="3"/>
  <c r="H914" i="3"/>
  <c r="G914" i="3"/>
  <c r="F914" i="3"/>
  <c r="E914" i="3"/>
  <c r="D914" i="3"/>
  <c r="N913" i="3"/>
  <c r="K913" i="3"/>
  <c r="I913" i="3"/>
  <c r="H913" i="3"/>
  <c r="G913" i="3"/>
  <c r="F913" i="3"/>
  <c r="E913" i="3"/>
  <c r="D913" i="3"/>
  <c r="N912" i="3"/>
  <c r="K912" i="3"/>
  <c r="I912" i="3"/>
  <c r="H912" i="3"/>
  <c r="G912" i="3"/>
  <c r="F912" i="3"/>
  <c r="E912" i="3"/>
  <c r="D912" i="3"/>
  <c r="N911" i="3"/>
  <c r="K911" i="3"/>
  <c r="I911" i="3"/>
  <c r="H911" i="3"/>
  <c r="G911" i="3"/>
  <c r="F911" i="3"/>
  <c r="E911" i="3"/>
  <c r="D911" i="3"/>
  <c r="N910" i="3"/>
  <c r="K910" i="3"/>
  <c r="I910" i="3"/>
  <c r="H910" i="3"/>
  <c r="G910" i="3"/>
  <c r="F910" i="3"/>
  <c r="E910" i="3"/>
  <c r="D910" i="3"/>
  <c r="N909" i="3"/>
  <c r="K909" i="3"/>
  <c r="I909" i="3"/>
  <c r="H909" i="3"/>
  <c r="G909" i="3"/>
  <c r="F909" i="3"/>
  <c r="E909" i="3"/>
  <c r="D909" i="3"/>
  <c r="N908" i="3"/>
  <c r="K908" i="3"/>
  <c r="I908" i="3"/>
  <c r="H908" i="3"/>
  <c r="G908" i="3"/>
  <c r="F908" i="3"/>
  <c r="E908" i="3"/>
  <c r="D908" i="3"/>
  <c r="N907" i="3"/>
  <c r="K907" i="3"/>
  <c r="I907" i="3"/>
  <c r="H907" i="3"/>
  <c r="G907" i="3"/>
  <c r="F907" i="3"/>
  <c r="E907" i="3"/>
  <c r="D907" i="3"/>
  <c r="N906" i="3"/>
  <c r="K906" i="3"/>
  <c r="I906" i="3"/>
  <c r="H906" i="3"/>
  <c r="G906" i="3"/>
  <c r="F906" i="3"/>
  <c r="E906" i="3"/>
  <c r="D906" i="3"/>
  <c r="N905" i="3"/>
  <c r="K905" i="3"/>
  <c r="I905" i="3"/>
  <c r="H905" i="3"/>
  <c r="G905" i="3"/>
  <c r="F905" i="3"/>
  <c r="E905" i="3"/>
  <c r="D905" i="3"/>
  <c r="N904" i="3"/>
  <c r="K904" i="3"/>
  <c r="I904" i="3"/>
  <c r="H904" i="3"/>
  <c r="G904" i="3"/>
  <c r="F904" i="3"/>
  <c r="E904" i="3"/>
  <c r="D904" i="3"/>
  <c r="N903" i="3"/>
  <c r="K903" i="3"/>
  <c r="I903" i="3"/>
  <c r="H903" i="3"/>
  <c r="G903" i="3"/>
  <c r="F903" i="3"/>
  <c r="E903" i="3"/>
  <c r="D903" i="3"/>
  <c r="N902" i="3"/>
  <c r="K902" i="3"/>
  <c r="I902" i="3"/>
  <c r="H902" i="3"/>
  <c r="G902" i="3"/>
  <c r="F902" i="3"/>
  <c r="E902" i="3"/>
  <c r="D902" i="3"/>
  <c r="N901" i="3"/>
  <c r="K901" i="3"/>
  <c r="I901" i="3"/>
  <c r="H901" i="3"/>
  <c r="G901" i="3"/>
  <c r="F901" i="3"/>
  <c r="E901" i="3"/>
  <c r="D901" i="3"/>
  <c r="N900" i="3"/>
  <c r="K900" i="3"/>
  <c r="I900" i="3"/>
  <c r="H900" i="3"/>
  <c r="G900" i="3"/>
  <c r="F900" i="3"/>
  <c r="E900" i="3"/>
  <c r="D900" i="3"/>
  <c r="N899" i="3"/>
  <c r="K899" i="3"/>
  <c r="I899" i="3"/>
  <c r="H899" i="3"/>
  <c r="G899" i="3"/>
  <c r="F899" i="3"/>
  <c r="E899" i="3"/>
  <c r="D899" i="3"/>
  <c r="N898" i="3"/>
  <c r="K898" i="3"/>
  <c r="I898" i="3"/>
  <c r="H898" i="3"/>
  <c r="G898" i="3"/>
  <c r="F898" i="3"/>
  <c r="E898" i="3"/>
  <c r="D898" i="3"/>
  <c r="N897" i="3"/>
  <c r="K897" i="3"/>
  <c r="I897" i="3"/>
  <c r="H897" i="3"/>
  <c r="G897" i="3"/>
  <c r="F897" i="3"/>
  <c r="E897" i="3"/>
  <c r="D897" i="3"/>
  <c r="N896" i="3"/>
  <c r="K896" i="3"/>
  <c r="I896" i="3"/>
  <c r="H896" i="3"/>
  <c r="G896" i="3"/>
  <c r="F896" i="3"/>
  <c r="E896" i="3"/>
  <c r="D896" i="3"/>
  <c r="N895" i="3"/>
  <c r="K895" i="3"/>
  <c r="I895" i="3"/>
  <c r="H895" i="3"/>
  <c r="G895" i="3"/>
  <c r="F895" i="3"/>
  <c r="E895" i="3"/>
  <c r="D895" i="3"/>
  <c r="N894" i="3"/>
  <c r="K894" i="3"/>
  <c r="I894" i="3"/>
  <c r="H894" i="3"/>
  <c r="G894" i="3"/>
  <c r="F894" i="3"/>
  <c r="E894" i="3"/>
  <c r="D894" i="3"/>
  <c r="N893" i="3"/>
  <c r="K893" i="3"/>
  <c r="I893" i="3"/>
  <c r="H893" i="3"/>
  <c r="G893" i="3"/>
  <c r="F893" i="3"/>
  <c r="E893" i="3"/>
  <c r="D893" i="3"/>
  <c r="N892" i="3"/>
  <c r="K892" i="3"/>
  <c r="I892" i="3"/>
  <c r="H892" i="3"/>
  <c r="G892" i="3"/>
  <c r="F892" i="3"/>
  <c r="E892" i="3"/>
  <c r="D892" i="3"/>
  <c r="N891" i="3"/>
  <c r="K891" i="3"/>
  <c r="I891" i="3"/>
  <c r="H891" i="3"/>
  <c r="G891" i="3"/>
  <c r="F891" i="3"/>
  <c r="E891" i="3"/>
  <c r="D891" i="3"/>
  <c r="N890" i="3"/>
  <c r="K890" i="3"/>
  <c r="I890" i="3"/>
  <c r="H890" i="3"/>
  <c r="G890" i="3"/>
  <c r="F890" i="3"/>
  <c r="E890" i="3"/>
  <c r="D890" i="3"/>
  <c r="N889" i="3"/>
  <c r="K889" i="3"/>
  <c r="I889" i="3"/>
  <c r="H889" i="3"/>
  <c r="G889" i="3"/>
  <c r="F889" i="3"/>
  <c r="E889" i="3"/>
  <c r="D889" i="3"/>
  <c r="N888" i="3"/>
  <c r="K888" i="3"/>
  <c r="I888" i="3"/>
  <c r="H888" i="3"/>
  <c r="G888" i="3"/>
  <c r="F888" i="3"/>
  <c r="E888" i="3"/>
  <c r="D888" i="3"/>
  <c r="N887" i="3"/>
  <c r="K887" i="3"/>
  <c r="I887" i="3"/>
  <c r="H887" i="3"/>
  <c r="G887" i="3"/>
  <c r="F887" i="3"/>
  <c r="E887" i="3"/>
  <c r="D887" i="3"/>
  <c r="N886" i="3"/>
  <c r="K886" i="3"/>
  <c r="I886" i="3"/>
  <c r="H886" i="3"/>
  <c r="G886" i="3"/>
  <c r="F886" i="3"/>
  <c r="E886" i="3"/>
  <c r="D886" i="3"/>
  <c r="N885" i="3"/>
  <c r="K885" i="3"/>
  <c r="I885" i="3"/>
  <c r="H885" i="3"/>
  <c r="G885" i="3"/>
  <c r="F885" i="3"/>
  <c r="E885" i="3"/>
  <c r="D885" i="3"/>
  <c r="N884" i="3"/>
  <c r="K884" i="3"/>
  <c r="I884" i="3"/>
  <c r="H884" i="3"/>
  <c r="G884" i="3"/>
  <c r="F884" i="3"/>
  <c r="E884" i="3"/>
  <c r="D884" i="3"/>
  <c r="N883" i="3"/>
  <c r="K883" i="3"/>
  <c r="I883" i="3"/>
  <c r="H883" i="3"/>
  <c r="G883" i="3"/>
  <c r="F883" i="3"/>
  <c r="E883" i="3"/>
  <c r="D883" i="3"/>
  <c r="N882" i="3"/>
  <c r="K882" i="3"/>
  <c r="I882" i="3"/>
  <c r="H882" i="3"/>
  <c r="G882" i="3"/>
  <c r="F882" i="3"/>
  <c r="E882" i="3"/>
  <c r="D882" i="3"/>
  <c r="N881" i="3"/>
  <c r="K881" i="3"/>
  <c r="I881" i="3"/>
  <c r="H881" i="3"/>
  <c r="G881" i="3"/>
  <c r="F881" i="3"/>
  <c r="E881" i="3"/>
  <c r="D881" i="3"/>
  <c r="N880" i="3"/>
  <c r="K880" i="3"/>
  <c r="I880" i="3"/>
  <c r="H880" i="3"/>
  <c r="G880" i="3"/>
  <c r="F880" i="3"/>
  <c r="E880" i="3"/>
  <c r="D880" i="3"/>
  <c r="N879" i="3"/>
  <c r="K879" i="3"/>
  <c r="I879" i="3"/>
  <c r="H879" i="3"/>
  <c r="G879" i="3"/>
  <c r="F879" i="3"/>
  <c r="E879" i="3"/>
  <c r="D879" i="3"/>
  <c r="N878" i="3"/>
  <c r="K878" i="3"/>
  <c r="I878" i="3"/>
  <c r="H878" i="3"/>
  <c r="G878" i="3"/>
  <c r="F878" i="3"/>
  <c r="E878" i="3"/>
  <c r="D878" i="3"/>
  <c r="N877" i="3"/>
  <c r="K877" i="3"/>
  <c r="I877" i="3"/>
  <c r="H877" i="3"/>
  <c r="G877" i="3"/>
  <c r="F877" i="3"/>
  <c r="E877" i="3"/>
  <c r="D877" i="3"/>
  <c r="N876" i="3"/>
  <c r="K876" i="3"/>
  <c r="I876" i="3"/>
  <c r="H876" i="3"/>
  <c r="G876" i="3"/>
  <c r="F876" i="3"/>
  <c r="E876" i="3"/>
  <c r="D876" i="3"/>
  <c r="N875" i="3"/>
  <c r="K875" i="3"/>
  <c r="I875" i="3"/>
  <c r="H875" i="3"/>
  <c r="G875" i="3"/>
  <c r="F875" i="3"/>
  <c r="E875" i="3"/>
  <c r="D875" i="3"/>
  <c r="N874" i="3"/>
  <c r="K874" i="3"/>
  <c r="I874" i="3"/>
  <c r="H874" i="3"/>
  <c r="G874" i="3"/>
  <c r="F874" i="3"/>
  <c r="E874" i="3"/>
  <c r="D874" i="3"/>
  <c r="N873" i="3"/>
  <c r="K873" i="3"/>
  <c r="I873" i="3"/>
  <c r="H873" i="3"/>
  <c r="G873" i="3"/>
  <c r="F873" i="3"/>
  <c r="E873" i="3"/>
  <c r="D873" i="3"/>
  <c r="N872" i="3"/>
  <c r="K872" i="3"/>
  <c r="I872" i="3"/>
  <c r="H872" i="3"/>
  <c r="G872" i="3"/>
  <c r="F872" i="3"/>
  <c r="E872" i="3"/>
  <c r="D872" i="3"/>
  <c r="N871" i="3"/>
  <c r="K871" i="3"/>
  <c r="I871" i="3"/>
  <c r="H871" i="3"/>
  <c r="G871" i="3"/>
  <c r="F871" i="3"/>
  <c r="E871" i="3"/>
  <c r="D871" i="3"/>
  <c r="N870" i="3"/>
  <c r="K870" i="3"/>
  <c r="I870" i="3"/>
  <c r="H870" i="3"/>
  <c r="G870" i="3"/>
  <c r="F870" i="3"/>
  <c r="E870" i="3"/>
  <c r="D870" i="3"/>
  <c r="N869" i="3"/>
  <c r="K869" i="3"/>
  <c r="I869" i="3"/>
  <c r="H869" i="3"/>
  <c r="G869" i="3"/>
  <c r="F869" i="3"/>
  <c r="E869" i="3"/>
  <c r="D869" i="3"/>
  <c r="N868" i="3"/>
  <c r="K868" i="3"/>
  <c r="I868" i="3"/>
  <c r="H868" i="3"/>
  <c r="G868" i="3"/>
  <c r="F868" i="3"/>
  <c r="E868" i="3"/>
  <c r="D868" i="3"/>
  <c r="N867" i="3"/>
  <c r="K867" i="3"/>
  <c r="I867" i="3"/>
  <c r="H867" i="3"/>
  <c r="G867" i="3"/>
  <c r="F867" i="3"/>
  <c r="E867" i="3"/>
  <c r="D867" i="3"/>
  <c r="N866" i="3"/>
  <c r="K866" i="3"/>
  <c r="I866" i="3"/>
  <c r="H866" i="3"/>
  <c r="G866" i="3"/>
  <c r="F866" i="3"/>
  <c r="E866" i="3"/>
  <c r="D866" i="3"/>
  <c r="N865" i="3"/>
  <c r="K865" i="3"/>
  <c r="I865" i="3"/>
  <c r="H865" i="3"/>
  <c r="G865" i="3"/>
  <c r="F865" i="3"/>
  <c r="E865" i="3"/>
  <c r="D865" i="3"/>
  <c r="N864" i="3"/>
  <c r="K864" i="3"/>
  <c r="I864" i="3"/>
  <c r="H864" i="3"/>
  <c r="G864" i="3"/>
  <c r="F864" i="3"/>
  <c r="E864" i="3"/>
  <c r="D864" i="3"/>
  <c r="N863" i="3"/>
  <c r="K863" i="3"/>
  <c r="I863" i="3"/>
  <c r="H863" i="3"/>
  <c r="G863" i="3"/>
  <c r="F863" i="3"/>
  <c r="E863" i="3"/>
  <c r="D863" i="3"/>
  <c r="N862" i="3"/>
  <c r="K862" i="3"/>
  <c r="I862" i="3"/>
  <c r="H862" i="3"/>
  <c r="G862" i="3"/>
  <c r="F862" i="3"/>
  <c r="E862" i="3"/>
  <c r="D862" i="3"/>
  <c r="N861" i="3"/>
  <c r="K861" i="3"/>
  <c r="I861" i="3"/>
  <c r="H861" i="3"/>
  <c r="G861" i="3"/>
  <c r="F861" i="3"/>
  <c r="E861" i="3"/>
  <c r="D861" i="3"/>
  <c r="N860" i="3"/>
  <c r="K860" i="3"/>
  <c r="I860" i="3"/>
  <c r="H860" i="3"/>
  <c r="G860" i="3"/>
  <c r="F860" i="3"/>
  <c r="E860" i="3"/>
  <c r="D860" i="3"/>
  <c r="N859" i="3"/>
  <c r="K859" i="3"/>
  <c r="I859" i="3"/>
  <c r="H859" i="3"/>
  <c r="G859" i="3"/>
  <c r="F859" i="3"/>
  <c r="E859" i="3"/>
  <c r="D859" i="3"/>
  <c r="N858" i="3"/>
  <c r="K858" i="3"/>
  <c r="I858" i="3"/>
  <c r="H858" i="3"/>
  <c r="G858" i="3"/>
  <c r="F858" i="3"/>
  <c r="E858" i="3"/>
  <c r="D858" i="3"/>
  <c r="N857" i="3"/>
  <c r="K857" i="3"/>
  <c r="I857" i="3"/>
  <c r="H857" i="3"/>
  <c r="G857" i="3"/>
  <c r="F857" i="3"/>
  <c r="E857" i="3"/>
  <c r="D857" i="3"/>
  <c r="N856" i="3"/>
  <c r="K856" i="3"/>
  <c r="I856" i="3"/>
  <c r="H856" i="3"/>
  <c r="G856" i="3"/>
  <c r="F856" i="3"/>
  <c r="E856" i="3"/>
  <c r="D856" i="3"/>
  <c r="N855" i="3"/>
  <c r="K855" i="3"/>
  <c r="I855" i="3"/>
  <c r="H855" i="3"/>
  <c r="G855" i="3"/>
  <c r="F855" i="3"/>
  <c r="E855" i="3"/>
  <c r="D855" i="3"/>
  <c r="N854" i="3"/>
  <c r="K854" i="3"/>
  <c r="I854" i="3"/>
  <c r="H854" i="3"/>
  <c r="G854" i="3"/>
  <c r="F854" i="3"/>
  <c r="E854" i="3"/>
  <c r="D854" i="3"/>
  <c r="N853" i="3"/>
  <c r="K853" i="3"/>
  <c r="I853" i="3"/>
  <c r="H853" i="3"/>
  <c r="G853" i="3"/>
  <c r="F853" i="3"/>
  <c r="E853" i="3"/>
  <c r="D853" i="3"/>
  <c r="N852" i="3"/>
  <c r="K852" i="3"/>
  <c r="I852" i="3"/>
  <c r="H852" i="3"/>
  <c r="G852" i="3"/>
  <c r="F852" i="3"/>
  <c r="E852" i="3"/>
  <c r="D852" i="3"/>
  <c r="N851" i="3"/>
  <c r="K851" i="3"/>
  <c r="I851" i="3"/>
  <c r="H851" i="3"/>
  <c r="G851" i="3"/>
  <c r="F851" i="3"/>
  <c r="E851" i="3"/>
  <c r="D851" i="3"/>
  <c r="N850" i="3"/>
  <c r="K850" i="3"/>
  <c r="I850" i="3"/>
  <c r="H850" i="3"/>
  <c r="G850" i="3"/>
  <c r="F850" i="3"/>
  <c r="E850" i="3"/>
  <c r="D850" i="3"/>
  <c r="N849" i="3"/>
  <c r="K849" i="3"/>
  <c r="I849" i="3"/>
  <c r="H849" i="3"/>
  <c r="G849" i="3"/>
  <c r="F849" i="3"/>
  <c r="E849" i="3"/>
  <c r="D849" i="3"/>
  <c r="N848" i="3"/>
  <c r="K848" i="3"/>
  <c r="I848" i="3"/>
  <c r="H848" i="3"/>
  <c r="G848" i="3"/>
  <c r="F848" i="3"/>
  <c r="E848" i="3"/>
  <c r="D848" i="3"/>
  <c r="N847" i="3"/>
  <c r="K847" i="3"/>
  <c r="I847" i="3"/>
  <c r="H847" i="3"/>
  <c r="G847" i="3"/>
  <c r="F847" i="3"/>
  <c r="E847" i="3"/>
  <c r="D847" i="3"/>
  <c r="N846" i="3"/>
  <c r="K846" i="3"/>
  <c r="I846" i="3"/>
  <c r="H846" i="3"/>
  <c r="G846" i="3"/>
  <c r="F846" i="3"/>
  <c r="E846" i="3"/>
  <c r="D846" i="3"/>
  <c r="N845" i="3"/>
  <c r="K845" i="3"/>
  <c r="I845" i="3"/>
  <c r="H845" i="3"/>
  <c r="G845" i="3"/>
  <c r="F845" i="3"/>
  <c r="E845" i="3"/>
  <c r="D845" i="3"/>
  <c r="N844" i="3"/>
  <c r="K844" i="3"/>
  <c r="I844" i="3"/>
  <c r="H844" i="3"/>
  <c r="G844" i="3"/>
  <c r="F844" i="3"/>
  <c r="E844" i="3"/>
  <c r="D844" i="3"/>
  <c r="N843" i="3"/>
  <c r="K843" i="3"/>
  <c r="I843" i="3"/>
  <c r="H843" i="3"/>
  <c r="G843" i="3"/>
  <c r="F843" i="3"/>
  <c r="E843" i="3"/>
  <c r="D843" i="3"/>
  <c r="N842" i="3"/>
  <c r="K842" i="3"/>
  <c r="I842" i="3"/>
  <c r="H842" i="3"/>
  <c r="G842" i="3"/>
  <c r="F842" i="3"/>
  <c r="E842" i="3"/>
  <c r="D842" i="3"/>
  <c r="N841" i="3"/>
  <c r="K841" i="3"/>
  <c r="I841" i="3"/>
  <c r="H841" i="3"/>
  <c r="G841" i="3"/>
  <c r="F841" i="3"/>
  <c r="E841" i="3"/>
  <c r="D841" i="3"/>
  <c r="N840" i="3"/>
  <c r="K840" i="3"/>
  <c r="I840" i="3"/>
  <c r="H840" i="3"/>
  <c r="G840" i="3"/>
  <c r="F840" i="3"/>
  <c r="E840" i="3"/>
  <c r="D840" i="3"/>
  <c r="N839" i="3"/>
  <c r="K839" i="3"/>
  <c r="I839" i="3"/>
  <c r="H839" i="3"/>
  <c r="G839" i="3"/>
  <c r="F839" i="3"/>
  <c r="E839" i="3"/>
  <c r="D839" i="3"/>
  <c r="N838" i="3"/>
  <c r="K838" i="3"/>
  <c r="I838" i="3"/>
  <c r="H838" i="3"/>
  <c r="G838" i="3"/>
  <c r="F838" i="3"/>
  <c r="E838" i="3"/>
  <c r="D838" i="3"/>
  <c r="N837" i="3"/>
  <c r="K837" i="3"/>
  <c r="I837" i="3"/>
  <c r="H837" i="3"/>
  <c r="G837" i="3"/>
  <c r="F837" i="3"/>
  <c r="E837" i="3"/>
  <c r="D837" i="3"/>
  <c r="N836" i="3"/>
  <c r="K836" i="3"/>
  <c r="I836" i="3"/>
  <c r="H836" i="3"/>
  <c r="G836" i="3"/>
  <c r="F836" i="3"/>
  <c r="E836" i="3"/>
  <c r="D836" i="3"/>
  <c r="N835" i="3"/>
  <c r="K835" i="3"/>
  <c r="I835" i="3"/>
  <c r="H835" i="3"/>
  <c r="G835" i="3"/>
  <c r="F835" i="3"/>
  <c r="E835" i="3"/>
  <c r="D835" i="3"/>
  <c r="N834" i="3"/>
  <c r="K834" i="3"/>
  <c r="I834" i="3"/>
  <c r="H834" i="3"/>
  <c r="G834" i="3"/>
  <c r="F834" i="3"/>
  <c r="E834" i="3"/>
  <c r="D834" i="3"/>
  <c r="N833" i="3"/>
  <c r="K833" i="3"/>
  <c r="I833" i="3"/>
  <c r="H833" i="3"/>
  <c r="G833" i="3"/>
  <c r="F833" i="3"/>
  <c r="E833" i="3"/>
  <c r="D833" i="3"/>
  <c r="N832" i="3"/>
  <c r="K832" i="3"/>
  <c r="I832" i="3"/>
  <c r="H832" i="3"/>
  <c r="G832" i="3"/>
  <c r="F832" i="3"/>
  <c r="E832" i="3"/>
  <c r="D832" i="3"/>
  <c r="N831" i="3"/>
  <c r="K831" i="3"/>
  <c r="I831" i="3"/>
  <c r="H831" i="3"/>
  <c r="G831" i="3"/>
  <c r="F831" i="3"/>
  <c r="E831" i="3"/>
  <c r="D831" i="3"/>
  <c r="N830" i="3"/>
  <c r="K830" i="3"/>
  <c r="I830" i="3"/>
  <c r="H830" i="3"/>
  <c r="G830" i="3"/>
  <c r="F830" i="3"/>
  <c r="E830" i="3"/>
  <c r="D830" i="3"/>
  <c r="N829" i="3"/>
  <c r="K829" i="3"/>
  <c r="I829" i="3"/>
  <c r="H829" i="3"/>
  <c r="G829" i="3"/>
  <c r="F829" i="3"/>
  <c r="E829" i="3"/>
  <c r="D829" i="3"/>
  <c r="N828" i="3"/>
  <c r="K828" i="3"/>
  <c r="I828" i="3"/>
  <c r="H828" i="3"/>
  <c r="G828" i="3"/>
  <c r="F828" i="3"/>
  <c r="E828" i="3"/>
  <c r="D828" i="3"/>
  <c r="N827" i="3"/>
  <c r="K827" i="3"/>
  <c r="I827" i="3"/>
  <c r="H827" i="3"/>
  <c r="G827" i="3"/>
  <c r="F827" i="3"/>
  <c r="E827" i="3"/>
  <c r="D827" i="3"/>
  <c r="N826" i="3"/>
  <c r="K826" i="3"/>
  <c r="I826" i="3"/>
  <c r="H826" i="3"/>
  <c r="G826" i="3"/>
  <c r="F826" i="3"/>
  <c r="E826" i="3"/>
  <c r="D826" i="3"/>
  <c r="N825" i="3"/>
  <c r="K825" i="3"/>
  <c r="I825" i="3"/>
  <c r="H825" i="3"/>
  <c r="G825" i="3"/>
  <c r="F825" i="3"/>
  <c r="E825" i="3"/>
  <c r="D825" i="3"/>
  <c r="N824" i="3"/>
  <c r="K824" i="3"/>
  <c r="I824" i="3"/>
  <c r="H824" i="3"/>
  <c r="G824" i="3"/>
  <c r="F824" i="3"/>
  <c r="E824" i="3"/>
  <c r="D824" i="3"/>
  <c r="N823" i="3"/>
  <c r="K823" i="3"/>
  <c r="I823" i="3"/>
  <c r="H823" i="3"/>
  <c r="G823" i="3"/>
  <c r="F823" i="3"/>
  <c r="E823" i="3"/>
  <c r="D823" i="3"/>
  <c r="N822" i="3"/>
  <c r="K822" i="3"/>
  <c r="I822" i="3"/>
  <c r="H822" i="3"/>
  <c r="G822" i="3"/>
  <c r="F822" i="3"/>
  <c r="E822" i="3"/>
  <c r="D822" i="3"/>
  <c r="N821" i="3"/>
  <c r="K821" i="3"/>
  <c r="I821" i="3"/>
  <c r="H821" i="3"/>
  <c r="G821" i="3"/>
  <c r="F821" i="3"/>
  <c r="E821" i="3"/>
  <c r="D821" i="3"/>
  <c r="N820" i="3"/>
  <c r="K820" i="3"/>
  <c r="I820" i="3"/>
  <c r="H820" i="3"/>
  <c r="G820" i="3"/>
  <c r="F820" i="3"/>
  <c r="E820" i="3"/>
  <c r="D820" i="3"/>
  <c r="N819" i="3"/>
  <c r="K819" i="3"/>
  <c r="I819" i="3"/>
  <c r="H819" i="3"/>
  <c r="G819" i="3"/>
  <c r="F819" i="3"/>
  <c r="E819" i="3"/>
  <c r="D819" i="3"/>
  <c r="N818" i="3"/>
  <c r="K818" i="3"/>
  <c r="I818" i="3"/>
  <c r="H818" i="3"/>
  <c r="G818" i="3"/>
  <c r="F818" i="3"/>
  <c r="E818" i="3"/>
  <c r="D818" i="3"/>
  <c r="N817" i="3"/>
  <c r="K817" i="3"/>
  <c r="I817" i="3"/>
  <c r="H817" i="3"/>
  <c r="G817" i="3"/>
  <c r="F817" i="3"/>
  <c r="E817" i="3"/>
  <c r="D817" i="3"/>
  <c r="N816" i="3"/>
  <c r="K816" i="3"/>
  <c r="I816" i="3"/>
  <c r="H816" i="3"/>
  <c r="G816" i="3"/>
  <c r="F816" i="3"/>
  <c r="E816" i="3"/>
  <c r="D816" i="3"/>
  <c r="N815" i="3"/>
  <c r="K815" i="3"/>
  <c r="I815" i="3"/>
  <c r="H815" i="3"/>
  <c r="G815" i="3"/>
  <c r="F815" i="3"/>
  <c r="E815" i="3"/>
  <c r="D815" i="3"/>
  <c r="N814" i="3"/>
  <c r="K814" i="3"/>
  <c r="I814" i="3"/>
  <c r="H814" i="3"/>
  <c r="G814" i="3"/>
  <c r="F814" i="3"/>
  <c r="E814" i="3"/>
  <c r="D814" i="3"/>
  <c r="N813" i="3"/>
  <c r="K813" i="3"/>
  <c r="I813" i="3"/>
  <c r="H813" i="3"/>
  <c r="G813" i="3"/>
  <c r="F813" i="3"/>
  <c r="E813" i="3"/>
  <c r="D813" i="3"/>
  <c r="N812" i="3"/>
  <c r="K812" i="3"/>
  <c r="I812" i="3"/>
  <c r="H812" i="3"/>
  <c r="G812" i="3"/>
  <c r="F812" i="3"/>
  <c r="E812" i="3"/>
  <c r="D812" i="3"/>
  <c r="N811" i="3"/>
  <c r="K811" i="3"/>
  <c r="I811" i="3"/>
  <c r="H811" i="3"/>
  <c r="G811" i="3"/>
  <c r="F811" i="3"/>
  <c r="E811" i="3"/>
  <c r="D811" i="3"/>
  <c r="N810" i="3"/>
  <c r="K810" i="3"/>
  <c r="I810" i="3"/>
  <c r="H810" i="3"/>
  <c r="G810" i="3"/>
  <c r="F810" i="3"/>
  <c r="E810" i="3"/>
  <c r="D810" i="3"/>
  <c r="N809" i="3"/>
  <c r="K809" i="3"/>
  <c r="I809" i="3"/>
  <c r="H809" i="3"/>
  <c r="G809" i="3"/>
  <c r="F809" i="3"/>
  <c r="E809" i="3"/>
  <c r="D809" i="3"/>
  <c r="N808" i="3"/>
  <c r="K808" i="3"/>
  <c r="I808" i="3"/>
  <c r="H808" i="3"/>
  <c r="G808" i="3"/>
  <c r="F808" i="3"/>
  <c r="E808" i="3"/>
  <c r="D808" i="3"/>
  <c r="N807" i="3"/>
  <c r="K807" i="3"/>
  <c r="I807" i="3"/>
  <c r="H807" i="3"/>
  <c r="G807" i="3"/>
  <c r="F807" i="3"/>
  <c r="E807" i="3"/>
  <c r="D807" i="3"/>
  <c r="N806" i="3"/>
  <c r="K806" i="3"/>
  <c r="I806" i="3"/>
  <c r="H806" i="3"/>
  <c r="G806" i="3"/>
  <c r="F806" i="3"/>
  <c r="E806" i="3"/>
  <c r="D806" i="3"/>
  <c r="N805" i="3"/>
  <c r="K805" i="3"/>
  <c r="I805" i="3"/>
  <c r="H805" i="3"/>
  <c r="G805" i="3"/>
  <c r="F805" i="3"/>
  <c r="E805" i="3"/>
  <c r="D805" i="3"/>
  <c r="N804" i="3"/>
  <c r="K804" i="3"/>
  <c r="I804" i="3"/>
  <c r="H804" i="3"/>
  <c r="G804" i="3"/>
  <c r="F804" i="3"/>
  <c r="E804" i="3"/>
  <c r="D804" i="3"/>
  <c r="N803" i="3"/>
  <c r="K803" i="3"/>
  <c r="I803" i="3"/>
  <c r="H803" i="3"/>
  <c r="G803" i="3"/>
  <c r="F803" i="3"/>
  <c r="E803" i="3"/>
  <c r="D803" i="3"/>
  <c r="N802" i="3"/>
  <c r="K802" i="3"/>
  <c r="I802" i="3"/>
  <c r="H802" i="3"/>
  <c r="G802" i="3"/>
  <c r="F802" i="3"/>
  <c r="E802" i="3"/>
  <c r="D802" i="3"/>
  <c r="N801" i="3"/>
  <c r="K801" i="3"/>
  <c r="I801" i="3"/>
  <c r="H801" i="3"/>
  <c r="G801" i="3"/>
  <c r="F801" i="3"/>
  <c r="E801" i="3"/>
  <c r="D801" i="3"/>
  <c r="N800" i="3"/>
  <c r="K800" i="3"/>
  <c r="I800" i="3"/>
  <c r="H800" i="3"/>
  <c r="G800" i="3"/>
  <c r="F800" i="3"/>
  <c r="E800" i="3"/>
  <c r="D800" i="3"/>
  <c r="N799" i="3"/>
  <c r="K799" i="3"/>
  <c r="I799" i="3"/>
  <c r="H799" i="3"/>
  <c r="G799" i="3"/>
  <c r="F799" i="3"/>
  <c r="E799" i="3"/>
  <c r="D799" i="3"/>
  <c r="N798" i="3"/>
  <c r="K798" i="3"/>
  <c r="I798" i="3"/>
  <c r="H798" i="3"/>
  <c r="G798" i="3"/>
  <c r="F798" i="3"/>
  <c r="E798" i="3"/>
  <c r="D798" i="3"/>
  <c r="N797" i="3"/>
  <c r="K797" i="3"/>
  <c r="I797" i="3"/>
  <c r="H797" i="3"/>
  <c r="G797" i="3"/>
  <c r="F797" i="3"/>
  <c r="E797" i="3"/>
  <c r="D797" i="3"/>
  <c r="N796" i="3"/>
  <c r="K796" i="3"/>
  <c r="I796" i="3"/>
  <c r="H796" i="3"/>
  <c r="G796" i="3"/>
  <c r="F796" i="3"/>
  <c r="E796" i="3"/>
  <c r="D796" i="3"/>
  <c r="N795" i="3"/>
  <c r="K795" i="3"/>
  <c r="I795" i="3"/>
  <c r="H795" i="3"/>
  <c r="G795" i="3"/>
  <c r="F795" i="3"/>
  <c r="E795" i="3"/>
  <c r="D795" i="3"/>
  <c r="N794" i="3"/>
  <c r="K794" i="3"/>
  <c r="I794" i="3"/>
  <c r="H794" i="3"/>
  <c r="G794" i="3"/>
  <c r="F794" i="3"/>
  <c r="E794" i="3"/>
  <c r="D794" i="3"/>
  <c r="N793" i="3"/>
  <c r="K793" i="3"/>
  <c r="I793" i="3"/>
  <c r="H793" i="3"/>
  <c r="G793" i="3"/>
  <c r="F793" i="3"/>
  <c r="E793" i="3"/>
  <c r="D793" i="3"/>
  <c r="N792" i="3"/>
  <c r="K792" i="3"/>
  <c r="I792" i="3"/>
  <c r="H792" i="3"/>
  <c r="G792" i="3"/>
  <c r="F792" i="3"/>
  <c r="E792" i="3"/>
  <c r="D792" i="3"/>
  <c r="N791" i="3"/>
  <c r="K791" i="3"/>
  <c r="I791" i="3"/>
  <c r="H791" i="3"/>
  <c r="G791" i="3"/>
  <c r="F791" i="3"/>
  <c r="E791" i="3"/>
  <c r="D791" i="3"/>
  <c r="N790" i="3"/>
  <c r="K790" i="3"/>
  <c r="I790" i="3"/>
  <c r="H790" i="3"/>
  <c r="G790" i="3"/>
  <c r="F790" i="3"/>
  <c r="E790" i="3"/>
  <c r="D790" i="3"/>
  <c r="N789" i="3"/>
  <c r="K789" i="3"/>
  <c r="I789" i="3"/>
  <c r="H789" i="3"/>
  <c r="G789" i="3"/>
  <c r="F789" i="3"/>
  <c r="E789" i="3"/>
  <c r="D789" i="3"/>
  <c r="N788" i="3"/>
  <c r="K788" i="3"/>
  <c r="I788" i="3"/>
  <c r="H788" i="3"/>
  <c r="G788" i="3"/>
  <c r="F788" i="3"/>
  <c r="E788" i="3"/>
  <c r="D788" i="3"/>
  <c r="N787" i="3"/>
  <c r="K787" i="3"/>
  <c r="I787" i="3"/>
  <c r="H787" i="3"/>
  <c r="G787" i="3"/>
  <c r="F787" i="3"/>
  <c r="E787" i="3"/>
  <c r="D787" i="3"/>
  <c r="N786" i="3"/>
  <c r="K786" i="3"/>
  <c r="I786" i="3"/>
  <c r="H786" i="3"/>
  <c r="G786" i="3"/>
  <c r="F786" i="3"/>
  <c r="E786" i="3"/>
  <c r="D786" i="3"/>
  <c r="N785" i="3"/>
  <c r="K785" i="3"/>
  <c r="I785" i="3"/>
  <c r="H785" i="3"/>
  <c r="G785" i="3"/>
  <c r="F785" i="3"/>
  <c r="E785" i="3"/>
  <c r="D785" i="3"/>
  <c r="N784" i="3"/>
  <c r="K784" i="3"/>
  <c r="I784" i="3"/>
  <c r="H784" i="3"/>
  <c r="G784" i="3"/>
  <c r="F784" i="3"/>
  <c r="E784" i="3"/>
  <c r="D784" i="3"/>
  <c r="N783" i="3"/>
  <c r="K783" i="3"/>
  <c r="I783" i="3"/>
  <c r="H783" i="3"/>
  <c r="G783" i="3"/>
  <c r="F783" i="3"/>
  <c r="E783" i="3"/>
  <c r="D783" i="3"/>
  <c r="N782" i="3"/>
  <c r="K782" i="3"/>
  <c r="I782" i="3"/>
  <c r="H782" i="3"/>
  <c r="G782" i="3"/>
  <c r="F782" i="3"/>
  <c r="E782" i="3"/>
  <c r="D782" i="3"/>
  <c r="N781" i="3"/>
  <c r="K781" i="3"/>
  <c r="I781" i="3"/>
  <c r="H781" i="3"/>
  <c r="G781" i="3"/>
  <c r="F781" i="3"/>
  <c r="E781" i="3"/>
  <c r="D781" i="3"/>
  <c r="N780" i="3"/>
  <c r="K780" i="3"/>
  <c r="I780" i="3"/>
  <c r="H780" i="3"/>
  <c r="G780" i="3"/>
  <c r="F780" i="3"/>
  <c r="E780" i="3"/>
  <c r="D780" i="3"/>
  <c r="N779" i="3"/>
  <c r="K779" i="3"/>
  <c r="I779" i="3"/>
  <c r="H779" i="3"/>
  <c r="G779" i="3"/>
  <c r="F779" i="3"/>
  <c r="E779" i="3"/>
  <c r="D779" i="3"/>
  <c r="N778" i="3"/>
  <c r="K778" i="3"/>
  <c r="I778" i="3"/>
  <c r="H778" i="3"/>
  <c r="G778" i="3"/>
  <c r="F778" i="3"/>
  <c r="E778" i="3"/>
  <c r="D778" i="3"/>
  <c r="N777" i="3"/>
  <c r="K777" i="3"/>
  <c r="I777" i="3"/>
  <c r="H777" i="3"/>
  <c r="G777" i="3"/>
  <c r="F777" i="3"/>
  <c r="E777" i="3"/>
  <c r="D777" i="3"/>
  <c r="N776" i="3"/>
  <c r="K776" i="3"/>
  <c r="I776" i="3"/>
  <c r="H776" i="3"/>
  <c r="G776" i="3"/>
  <c r="F776" i="3"/>
  <c r="E776" i="3"/>
  <c r="D776" i="3"/>
  <c r="N775" i="3"/>
  <c r="K775" i="3"/>
  <c r="I775" i="3"/>
  <c r="H775" i="3"/>
  <c r="G775" i="3"/>
  <c r="F775" i="3"/>
  <c r="E775" i="3"/>
  <c r="D775" i="3"/>
  <c r="N774" i="3"/>
  <c r="K774" i="3"/>
  <c r="I774" i="3"/>
  <c r="H774" i="3"/>
  <c r="G774" i="3"/>
  <c r="F774" i="3"/>
  <c r="E774" i="3"/>
  <c r="D774" i="3"/>
  <c r="N773" i="3"/>
  <c r="K773" i="3"/>
  <c r="I773" i="3"/>
  <c r="H773" i="3"/>
  <c r="G773" i="3"/>
  <c r="F773" i="3"/>
  <c r="E773" i="3"/>
  <c r="D773" i="3"/>
  <c r="N772" i="3"/>
  <c r="K772" i="3"/>
  <c r="I772" i="3"/>
  <c r="H772" i="3"/>
  <c r="G772" i="3"/>
  <c r="F772" i="3"/>
  <c r="E772" i="3"/>
  <c r="D772" i="3"/>
  <c r="N771" i="3"/>
  <c r="K771" i="3"/>
  <c r="I771" i="3"/>
  <c r="H771" i="3"/>
  <c r="G771" i="3"/>
  <c r="F771" i="3"/>
  <c r="E771" i="3"/>
  <c r="D771" i="3"/>
  <c r="N770" i="3"/>
  <c r="K770" i="3"/>
  <c r="I770" i="3"/>
  <c r="H770" i="3"/>
  <c r="G770" i="3"/>
  <c r="F770" i="3"/>
  <c r="E770" i="3"/>
  <c r="D770" i="3"/>
  <c r="N769" i="3"/>
  <c r="K769" i="3"/>
  <c r="I769" i="3"/>
  <c r="H769" i="3"/>
  <c r="G769" i="3"/>
  <c r="F769" i="3"/>
  <c r="E769" i="3"/>
  <c r="D769" i="3"/>
  <c r="N768" i="3"/>
  <c r="K768" i="3"/>
  <c r="I768" i="3"/>
  <c r="H768" i="3"/>
  <c r="G768" i="3"/>
  <c r="F768" i="3"/>
  <c r="E768" i="3"/>
  <c r="D768" i="3"/>
  <c r="N767" i="3"/>
  <c r="K767" i="3"/>
  <c r="I767" i="3"/>
  <c r="H767" i="3"/>
  <c r="G767" i="3"/>
  <c r="F767" i="3"/>
  <c r="E767" i="3"/>
  <c r="D767" i="3"/>
  <c r="N766" i="3"/>
  <c r="K766" i="3"/>
  <c r="I766" i="3"/>
  <c r="H766" i="3"/>
  <c r="G766" i="3"/>
  <c r="F766" i="3"/>
  <c r="E766" i="3"/>
  <c r="D766" i="3"/>
  <c r="N765" i="3"/>
  <c r="K765" i="3"/>
  <c r="I765" i="3"/>
  <c r="H765" i="3"/>
  <c r="G765" i="3"/>
  <c r="F765" i="3"/>
  <c r="E765" i="3"/>
  <c r="D765" i="3"/>
  <c r="N764" i="3"/>
  <c r="K764" i="3"/>
  <c r="I764" i="3"/>
  <c r="H764" i="3"/>
  <c r="G764" i="3"/>
  <c r="F764" i="3"/>
  <c r="E764" i="3"/>
  <c r="D764" i="3"/>
  <c r="N763" i="3"/>
  <c r="K763" i="3"/>
  <c r="I763" i="3"/>
  <c r="H763" i="3"/>
  <c r="G763" i="3"/>
  <c r="F763" i="3"/>
  <c r="E763" i="3"/>
  <c r="D763" i="3"/>
  <c r="N762" i="3"/>
  <c r="K762" i="3"/>
  <c r="I762" i="3"/>
  <c r="H762" i="3"/>
  <c r="G762" i="3"/>
  <c r="F762" i="3"/>
  <c r="E762" i="3"/>
  <c r="D762" i="3"/>
  <c r="N761" i="3"/>
  <c r="K761" i="3"/>
  <c r="I761" i="3"/>
  <c r="H761" i="3"/>
  <c r="G761" i="3"/>
  <c r="F761" i="3"/>
  <c r="E761" i="3"/>
  <c r="D761" i="3"/>
  <c r="N760" i="3"/>
  <c r="K760" i="3"/>
  <c r="I760" i="3"/>
  <c r="H760" i="3"/>
  <c r="G760" i="3"/>
  <c r="F760" i="3"/>
  <c r="E760" i="3"/>
  <c r="D760" i="3"/>
  <c r="N759" i="3"/>
  <c r="K759" i="3"/>
  <c r="I759" i="3"/>
  <c r="H759" i="3"/>
  <c r="G759" i="3"/>
  <c r="F759" i="3"/>
  <c r="E759" i="3"/>
  <c r="D759" i="3"/>
  <c r="N758" i="3"/>
  <c r="K758" i="3"/>
  <c r="I758" i="3"/>
  <c r="H758" i="3"/>
  <c r="G758" i="3"/>
  <c r="F758" i="3"/>
  <c r="E758" i="3"/>
  <c r="D758" i="3"/>
  <c r="N757" i="3"/>
  <c r="K757" i="3"/>
  <c r="I757" i="3"/>
  <c r="H757" i="3"/>
  <c r="G757" i="3"/>
  <c r="F757" i="3"/>
  <c r="E757" i="3"/>
  <c r="D757" i="3"/>
  <c r="N756" i="3"/>
  <c r="K756" i="3"/>
  <c r="I756" i="3"/>
  <c r="H756" i="3"/>
  <c r="G756" i="3"/>
  <c r="F756" i="3"/>
  <c r="E756" i="3"/>
  <c r="D756" i="3"/>
  <c r="N755" i="3"/>
  <c r="K755" i="3"/>
  <c r="I755" i="3"/>
  <c r="H755" i="3"/>
  <c r="G755" i="3"/>
  <c r="F755" i="3"/>
  <c r="E755" i="3"/>
  <c r="D755" i="3"/>
  <c r="N754" i="3"/>
  <c r="K754" i="3"/>
  <c r="I754" i="3"/>
  <c r="H754" i="3"/>
  <c r="G754" i="3"/>
  <c r="F754" i="3"/>
  <c r="E754" i="3"/>
  <c r="D754" i="3"/>
  <c r="N753" i="3"/>
  <c r="K753" i="3"/>
  <c r="I753" i="3"/>
  <c r="H753" i="3"/>
  <c r="G753" i="3"/>
  <c r="F753" i="3"/>
  <c r="E753" i="3"/>
  <c r="D753" i="3"/>
  <c r="N752" i="3"/>
  <c r="K752" i="3"/>
  <c r="I752" i="3"/>
  <c r="H752" i="3"/>
  <c r="G752" i="3"/>
  <c r="F752" i="3"/>
  <c r="E752" i="3"/>
  <c r="D752" i="3"/>
  <c r="N751" i="3"/>
  <c r="K751" i="3"/>
  <c r="I751" i="3"/>
  <c r="H751" i="3"/>
  <c r="G751" i="3"/>
  <c r="F751" i="3"/>
  <c r="E751" i="3"/>
  <c r="D751" i="3"/>
  <c r="N750" i="3"/>
  <c r="K750" i="3"/>
  <c r="I750" i="3"/>
  <c r="H750" i="3"/>
  <c r="G750" i="3"/>
  <c r="F750" i="3"/>
  <c r="E750" i="3"/>
  <c r="D750" i="3"/>
  <c r="N749" i="3"/>
  <c r="K749" i="3"/>
  <c r="I749" i="3"/>
  <c r="H749" i="3"/>
  <c r="G749" i="3"/>
  <c r="F749" i="3"/>
  <c r="E749" i="3"/>
  <c r="D749" i="3"/>
  <c r="N748" i="3"/>
  <c r="K748" i="3"/>
  <c r="I748" i="3"/>
  <c r="H748" i="3"/>
  <c r="G748" i="3"/>
  <c r="F748" i="3"/>
  <c r="E748" i="3"/>
  <c r="D748" i="3"/>
  <c r="N747" i="3"/>
  <c r="K747" i="3"/>
  <c r="I747" i="3"/>
  <c r="H747" i="3"/>
  <c r="G747" i="3"/>
  <c r="F747" i="3"/>
  <c r="E747" i="3"/>
  <c r="D747" i="3"/>
  <c r="N746" i="3"/>
  <c r="K746" i="3"/>
  <c r="I746" i="3"/>
  <c r="H746" i="3"/>
  <c r="G746" i="3"/>
  <c r="F746" i="3"/>
  <c r="E746" i="3"/>
  <c r="D746" i="3"/>
  <c r="N745" i="3"/>
  <c r="K745" i="3"/>
  <c r="I745" i="3"/>
  <c r="H745" i="3"/>
  <c r="G745" i="3"/>
  <c r="F745" i="3"/>
  <c r="E745" i="3"/>
  <c r="D745" i="3"/>
  <c r="N744" i="3"/>
  <c r="K744" i="3"/>
  <c r="I744" i="3"/>
  <c r="H744" i="3"/>
  <c r="G744" i="3"/>
  <c r="F744" i="3"/>
  <c r="E744" i="3"/>
  <c r="D744" i="3"/>
  <c r="N743" i="3"/>
  <c r="K743" i="3"/>
  <c r="I743" i="3"/>
  <c r="H743" i="3"/>
  <c r="G743" i="3"/>
  <c r="F743" i="3"/>
  <c r="E743" i="3"/>
  <c r="D743" i="3"/>
  <c r="N742" i="3"/>
  <c r="K742" i="3"/>
  <c r="I742" i="3"/>
  <c r="H742" i="3"/>
  <c r="G742" i="3"/>
  <c r="F742" i="3"/>
  <c r="E742" i="3"/>
  <c r="D742" i="3"/>
  <c r="N741" i="3"/>
  <c r="K741" i="3"/>
  <c r="I741" i="3"/>
  <c r="H741" i="3"/>
  <c r="G741" i="3"/>
  <c r="F741" i="3"/>
  <c r="E741" i="3"/>
  <c r="D741" i="3"/>
  <c r="N740" i="3"/>
  <c r="K740" i="3"/>
  <c r="I740" i="3"/>
  <c r="H740" i="3"/>
  <c r="G740" i="3"/>
  <c r="F740" i="3"/>
  <c r="E740" i="3"/>
  <c r="D740" i="3"/>
  <c r="N739" i="3"/>
  <c r="K739" i="3"/>
  <c r="I739" i="3"/>
  <c r="H739" i="3"/>
  <c r="G739" i="3"/>
  <c r="F739" i="3"/>
  <c r="E739" i="3"/>
  <c r="D739" i="3"/>
  <c r="N738" i="3"/>
  <c r="K738" i="3"/>
  <c r="I738" i="3"/>
  <c r="H738" i="3"/>
  <c r="G738" i="3"/>
  <c r="F738" i="3"/>
  <c r="E738" i="3"/>
  <c r="D738" i="3"/>
  <c r="N737" i="3"/>
  <c r="K737" i="3"/>
  <c r="I737" i="3"/>
  <c r="H737" i="3"/>
  <c r="G737" i="3"/>
  <c r="F737" i="3"/>
  <c r="E737" i="3"/>
  <c r="D737" i="3"/>
  <c r="N736" i="3"/>
  <c r="K736" i="3"/>
  <c r="I736" i="3"/>
  <c r="H736" i="3"/>
  <c r="G736" i="3"/>
  <c r="F736" i="3"/>
  <c r="E736" i="3"/>
  <c r="D736" i="3"/>
  <c r="N735" i="3"/>
  <c r="K735" i="3"/>
  <c r="I735" i="3"/>
  <c r="H735" i="3"/>
  <c r="G735" i="3"/>
  <c r="F735" i="3"/>
  <c r="E735" i="3"/>
  <c r="D735" i="3"/>
  <c r="N734" i="3"/>
  <c r="K734" i="3"/>
  <c r="I734" i="3"/>
  <c r="H734" i="3"/>
  <c r="G734" i="3"/>
  <c r="F734" i="3"/>
  <c r="E734" i="3"/>
  <c r="D734" i="3"/>
  <c r="N733" i="3"/>
  <c r="K733" i="3"/>
  <c r="I733" i="3"/>
  <c r="H733" i="3"/>
  <c r="G733" i="3"/>
  <c r="F733" i="3"/>
  <c r="E733" i="3"/>
  <c r="D733" i="3"/>
  <c r="N732" i="3"/>
  <c r="K732" i="3"/>
  <c r="I732" i="3"/>
  <c r="H732" i="3"/>
  <c r="G732" i="3"/>
  <c r="F732" i="3"/>
  <c r="E732" i="3"/>
  <c r="D732" i="3"/>
  <c r="N731" i="3"/>
  <c r="K731" i="3"/>
  <c r="I731" i="3"/>
  <c r="H731" i="3"/>
  <c r="G731" i="3"/>
  <c r="F731" i="3"/>
  <c r="E731" i="3"/>
  <c r="D731" i="3"/>
  <c r="N730" i="3"/>
  <c r="K730" i="3"/>
  <c r="I730" i="3"/>
  <c r="H730" i="3"/>
  <c r="G730" i="3"/>
  <c r="F730" i="3"/>
  <c r="E730" i="3"/>
  <c r="D730" i="3"/>
  <c r="N729" i="3"/>
  <c r="K729" i="3"/>
  <c r="I729" i="3"/>
  <c r="H729" i="3"/>
  <c r="G729" i="3"/>
  <c r="F729" i="3"/>
  <c r="E729" i="3"/>
  <c r="D729" i="3"/>
  <c r="N728" i="3"/>
  <c r="K728" i="3"/>
  <c r="I728" i="3"/>
  <c r="H728" i="3"/>
  <c r="G728" i="3"/>
  <c r="F728" i="3"/>
  <c r="E728" i="3"/>
  <c r="D728" i="3"/>
  <c r="N727" i="3"/>
  <c r="K727" i="3"/>
  <c r="I727" i="3"/>
  <c r="H727" i="3"/>
  <c r="G727" i="3"/>
  <c r="F727" i="3"/>
  <c r="E727" i="3"/>
  <c r="D727" i="3"/>
  <c r="N726" i="3"/>
  <c r="K726" i="3"/>
  <c r="I726" i="3"/>
  <c r="H726" i="3"/>
  <c r="G726" i="3"/>
  <c r="F726" i="3"/>
  <c r="E726" i="3"/>
  <c r="D726" i="3"/>
  <c r="N725" i="3"/>
  <c r="K725" i="3"/>
  <c r="I725" i="3"/>
  <c r="H725" i="3"/>
  <c r="G725" i="3"/>
  <c r="F725" i="3"/>
  <c r="E725" i="3"/>
  <c r="D725" i="3"/>
  <c r="N724" i="3"/>
  <c r="K724" i="3"/>
  <c r="I724" i="3"/>
  <c r="H724" i="3"/>
  <c r="G724" i="3"/>
  <c r="F724" i="3"/>
  <c r="E724" i="3"/>
  <c r="D724" i="3"/>
  <c r="N723" i="3"/>
  <c r="K723" i="3"/>
  <c r="I723" i="3"/>
  <c r="H723" i="3"/>
  <c r="G723" i="3"/>
  <c r="F723" i="3"/>
  <c r="E723" i="3"/>
  <c r="D723" i="3"/>
  <c r="N713" i="3"/>
  <c r="K713" i="3"/>
  <c r="I713" i="3"/>
  <c r="H713" i="3"/>
  <c r="G713" i="3"/>
  <c r="F713" i="3"/>
  <c r="E713" i="3"/>
  <c r="D713" i="3"/>
  <c r="N712" i="3"/>
  <c r="K712" i="3"/>
  <c r="I712" i="3"/>
  <c r="H712" i="3"/>
  <c r="G712" i="3"/>
  <c r="F712" i="3"/>
  <c r="E712" i="3"/>
  <c r="D712" i="3"/>
  <c r="N711" i="3"/>
  <c r="K711" i="3"/>
  <c r="I711" i="3"/>
  <c r="H711" i="3"/>
  <c r="G711" i="3"/>
  <c r="F711" i="3"/>
  <c r="E711" i="3"/>
  <c r="D711" i="3"/>
  <c r="N710" i="3"/>
  <c r="K710" i="3"/>
  <c r="I710" i="3"/>
  <c r="H710" i="3"/>
  <c r="G710" i="3"/>
  <c r="F710" i="3"/>
  <c r="E710" i="3"/>
  <c r="D710" i="3"/>
  <c r="N709" i="3"/>
  <c r="K709" i="3"/>
  <c r="I709" i="3"/>
  <c r="H709" i="3"/>
  <c r="G709" i="3"/>
  <c r="F709" i="3"/>
  <c r="E709" i="3"/>
  <c r="D709" i="3"/>
  <c r="N708" i="3"/>
  <c r="K708" i="3"/>
  <c r="I708" i="3"/>
  <c r="H708" i="3"/>
  <c r="G708" i="3"/>
  <c r="F708" i="3"/>
  <c r="E708" i="3"/>
  <c r="D708" i="3"/>
  <c r="N707" i="3"/>
  <c r="K707" i="3"/>
  <c r="I707" i="3"/>
  <c r="H707" i="3"/>
  <c r="G707" i="3"/>
  <c r="F707" i="3"/>
  <c r="E707" i="3"/>
  <c r="D707" i="3"/>
  <c r="N706" i="3"/>
  <c r="K706" i="3"/>
  <c r="I706" i="3"/>
  <c r="H706" i="3"/>
  <c r="G706" i="3"/>
  <c r="F706" i="3"/>
  <c r="E706" i="3"/>
  <c r="D706" i="3"/>
  <c r="N705" i="3"/>
  <c r="K705" i="3"/>
  <c r="I705" i="3"/>
  <c r="H705" i="3"/>
  <c r="G705" i="3"/>
  <c r="F705" i="3"/>
  <c r="E705" i="3"/>
  <c r="D705" i="3"/>
  <c r="N704" i="3"/>
  <c r="K704" i="3"/>
  <c r="I704" i="3"/>
  <c r="H704" i="3"/>
  <c r="G704" i="3"/>
  <c r="F704" i="3"/>
  <c r="E704" i="3"/>
  <c r="D704" i="3"/>
  <c r="N703" i="3"/>
  <c r="K703" i="3"/>
  <c r="I703" i="3"/>
  <c r="H703" i="3"/>
  <c r="G703" i="3"/>
  <c r="F703" i="3"/>
  <c r="E703" i="3"/>
  <c r="D703" i="3"/>
  <c r="N702" i="3"/>
  <c r="K702" i="3"/>
  <c r="I702" i="3"/>
  <c r="H702" i="3"/>
  <c r="G702" i="3"/>
  <c r="F702" i="3"/>
  <c r="E702" i="3"/>
  <c r="D702" i="3"/>
  <c r="N701" i="3"/>
  <c r="K701" i="3"/>
  <c r="I701" i="3"/>
  <c r="H701" i="3"/>
  <c r="G701" i="3"/>
  <c r="F701" i="3"/>
  <c r="E701" i="3"/>
  <c r="D701" i="3"/>
  <c r="N700" i="3"/>
  <c r="K700" i="3"/>
  <c r="I700" i="3"/>
  <c r="H700" i="3"/>
  <c r="G700" i="3"/>
  <c r="F700" i="3"/>
  <c r="E700" i="3"/>
  <c r="D700" i="3"/>
  <c r="N699" i="3"/>
  <c r="K699" i="3"/>
  <c r="I699" i="3"/>
  <c r="H699" i="3"/>
  <c r="G699" i="3"/>
  <c r="F699" i="3"/>
  <c r="E699" i="3"/>
  <c r="D699" i="3"/>
  <c r="N698" i="3"/>
  <c r="K698" i="3"/>
  <c r="I698" i="3"/>
  <c r="H698" i="3"/>
  <c r="G698" i="3"/>
  <c r="F698" i="3"/>
  <c r="E698" i="3"/>
  <c r="D698" i="3"/>
  <c r="N697" i="3"/>
  <c r="K697" i="3"/>
  <c r="I697" i="3"/>
  <c r="H697" i="3"/>
  <c r="G697" i="3"/>
  <c r="F697" i="3"/>
  <c r="E697" i="3"/>
  <c r="D697" i="3"/>
  <c r="N696" i="3"/>
  <c r="K696" i="3"/>
  <c r="I696" i="3"/>
  <c r="H696" i="3"/>
  <c r="G696" i="3"/>
  <c r="F696" i="3"/>
  <c r="E696" i="3"/>
  <c r="D696" i="3"/>
  <c r="N695" i="3"/>
  <c r="K695" i="3"/>
  <c r="I695" i="3"/>
  <c r="H695" i="3"/>
  <c r="G695" i="3"/>
  <c r="F695" i="3"/>
  <c r="E695" i="3"/>
  <c r="D695" i="3"/>
  <c r="N694" i="3" l="1"/>
  <c r="K694" i="3"/>
  <c r="I694" i="3"/>
  <c r="H694" i="3"/>
  <c r="G694" i="3"/>
  <c r="F694" i="3"/>
  <c r="E694" i="3"/>
  <c r="D694" i="3"/>
  <c r="N693" i="3"/>
  <c r="K693" i="3"/>
  <c r="I693" i="3"/>
  <c r="H693" i="3"/>
  <c r="G693" i="3"/>
  <c r="F693" i="3"/>
  <c r="E693" i="3"/>
  <c r="D693" i="3"/>
  <c r="N692" i="3"/>
  <c r="K692" i="3"/>
  <c r="I692" i="3"/>
  <c r="H692" i="3"/>
  <c r="G692" i="3"/>
  <c r="F692" i="3"/>
  <c r="E692" i="3"/>
  <c r="D692" i="3"/>
  <c r="N691" i="3"/>
  <c r="K691" i="3"/>
  <c r="I691" i="3"/>
  <c r="H691" i="3"/>
  <c r="G691" i="3"/>
  <c r="F691" i="3"/>
  <c r="E691" i="3"/>
  <c r="D691" i="3"/>
  <c r="N690" i="3" l="1"/>
  <c r="N689" i="3"/>
  <c r="N688" i="3"/>
  <c r="K690" i="3"/>
  <c r="K689" i="3"/>
  <c r="K688" i="3"/>
  <c r="N686" i="3"/>
  <c r="N685" i="3"/>
  <c r="N684" i="3"/>
  <c r="N683" i="3"/>
  <c r="N682" i="3"/>
  <c r="N681" i="3"/>
  <c r="K682" i="3"/>
  <c r="K686" i="3"/>
  <c r="K685" i="3"/>
  <c r="K684" i="3"/>
  <c r="K683" i="3"/>
  <c r="K681" i="3"/>
  <c r="N687" i="3"/>
  <c r="K687" i="3"/>
  <c r="N678" i="3"/>
  <c r="N677" i="3"/>
  <c r="N676" i="3"/>
  <c r="N675" i="3"/>
  <c r="N674" i="3"/>
  <c r="N673" i="3"/>
  <c r="K678" i="3"/>
  <c r="K677" i="3"/>
  <c r="K676" i="3"/>
  <c r="K675" i="3"/>
  <c r="K674" i="3"/>
  <c r="K673" i="3"/>
  <c r="I690" i="3"/>
  <c r="H690" i="3"/>
  <c r="G690" i="3"/>
  <c r="F690" i="3"/>
  <c r="E690" i="3"/>
  <c r="D690" i="3"/>
  <c r="I689" i="3"/>
  <c r="H689" i="3"/>
  <c r="G689" i="3"/>
  <c r="F689" i="3"/>
  <c r="E689" i="3"/>
  <c r="D689" i="3"/>
  <c r="I688" i="3"/>
  <c r="H688" i="3"/>
  <c r="G688" i="3"/>
  <c r="F688" i="3"/>
  <c r="E688" i="3"/>
  <c r="D688" i="3"/>
  <c r="I687" i="3"/>
  <c r="H687" i="3"/>
  <c r="G687" i="3"/>
  <c r="F687" i="3"/>
  <c r="E687" i="3"/>
  <c r="D687" i="3"/>
  <c r="I686" i="3"/>
  <c r="H686" i="3"/>
  <c r="G686" i="3"/>
  <c r="F686" i="3"/>
  <c r="E686" i="3"/>
  <c r="D686" i="3"/>
  <c r="I685" i="3"/>
  <c r="H685" i="3"/>
  <c r="G685" i="3"/>
  <c r="F685" i="3"/>
  <c r="E685" i="3"/>
  <c r="D685" i="3"/>
  <c r="I684" i="3"/>
  <c r="H684" i="3"/>
  <c r="G684" i="3"/>
  <c r="F684" i="3"/>
  <c r="E684" i="3"/>
  <c r="D684" i="3"/>
  <c r="I683" i="3"/>
  <c r="H683" i="3"/>
  <c r="G683" i="3"/>
  <c r="F683" i="3"/>
  <c r="E683" i="3"/>
  <c r="D683" i="3"/>
  <c r="I682" i="3"/>
  <c r="H682" i="3"/>
  <c r="G682" i="3"/>
  <c r="F682" i="3"/>
  <c r="E682" i="3"/>
  <c r="D682" i="3"/>
  <c r="I681" i="3"/>
  <c r="H681" i="3"/>
  <c r="G681" i="3"/>
  <c r="F681" i="3"/>
  <c r="E681" i="3"/>
  <c r="D681" i="3"/>
  <c r="N680" i="3"/>
  <c r="K680" i="3"/>
  <c r="I680" i="3"/>
  <c r="H680" i="3"/>
  <c r="G680" i="3"/>
  <c r="F680" i="3"/>
  <c r="E680" i="3"/>
  <c r="D680" i="3"/>
  <c r="N679" i="3"/>
  <c r="K679" i="3"/>
  <c r="I679" i="3"/>
  <c r="H679" i="3"/>
  <c r="G679" i="3"/>
  <c r="F679" i="3"/>
  <c r="E679" i="3"/>
  <c r="D679" i="3"/>
  <c r="I678" i="3"/>
  <c r="H678" i="3"/>
  <c r="G678" i="3"/>
  <c r="F678" i="3"/>
  <c r="E678" i="3"/>
  <c r="D678" i="3"/>
  <c r="I677" i="3"/>
  <c r="H677" i="3"/>
  <c r="G677" i="3"/>
  <c r="F677" i="3"/>
  <c r="E677" i="3"/>
  <c r="D677" i="3"/>
  <c r="I676" i="3"/>
  <c r="H676" i="3"/>
  <c r="G676" i="3"/>
  <c r="F676" i="3"/>
  <c r="E676" i="3"/>
  <c r="D676" i="3"/>
  <c r="I675" i="3"/>
  <c r="H675" i="3"/>
  <c r="G675" i="3"/>
  <c r="F675" i="3"/>
  <c r="E675" i="3"/>
  <c r="D675" i="3"/>
  <c r="I674" i="3"/>
  <c r="H674" i="3"/>
  <c r="G674" i="3"/>
  <c r="F674" i="3"/>
  <c r="E674" i="3"/>
  <c r="D674" i="3"/>
  <c r="I673" i="3"/>
  <c r="H673" i="3"/>
  <c r="G673" i="3"/>
  <c r="F673" i="3"/>
  <c r="E673" i="3"/>
  <c r="D673" i="3"/>
  <c r="N672" i="3"/>
  <c r="K672" i="3"/>
  <c r="I672" i="3"/>
  <c r="H672" i="3"/>
  <c r="G672" i="3"/>
  <c r="F672" i="3"/>
  <c r="E672" i="3"/>
  <c r="D672" i="3"/>
  <c r="N671" i="3"/>
  <c r="K671" i="3"/>
  <c r="I671" i="3"/>
  <c r="H671" i="3"/>
  <c r="G671" i="3"/>
  <c r="F671" i="3"/>
  <c r="E671" i="3"/>
  <c r="D671" i="3"/>
  <c r="N670" i="3"/>
  <c r="K670" i="3"/>
  <c r="I670" i="3"/>
  <c r="H670" i="3"/>
  <c r="G670" i="3"/>
  <c r="F670" i="3"/>
  <c r="E670" i="3"/>
  <c r="D670" i="3"/>
  <c r="N669" i="3"/>
  <c r="K669" i="3"/>
  <c r="I669" i="3"/>
  <c r="H669" i="3"/>
  <c r="G669" i="3"/>
  <c r="F669" i="3"/>
  <c r="E669" i="3"/>
  <c r="D669" i="3"/>
  <c r="N668" i="3"/>
  <c r="K668" i="3"/>
  <c r="I668" i="3"/>
  <c r="H668" i="3"/>
  <c r="G668" i="3"/>
  <c r="F668" i="3"/>
  <c r="E668" i="3"/>
  <c r="D668" i="3"/>
  <c r="N667" i="3"/>
  <c r="K667" i="3"/>
  <c r="I667" i="3"/>
  <c r="H667" i="3"/>
  <c r="G667" i="3"/>
  <c r="F667" i="3"/>
  <c r="E667" i="3"/>
  <c r="D667" i="3"/>
  <c r="N666" i="3"/>
  <c r="K666" i="3"/>
  <c r="I666" i="3"/>
  <c r="H666" i="3"/>
  <c r="G666" i="3"/>
  <c r="F666" i="3"/>
  <c r="E666" i="3"/>
  <c r="D666" i="3"/>
  <c r="K627" i="3"/>
  <c r="I627" i="3"/>
  <c r="H627" i="3"/>
  <c r="G627" i="3"/>
  <c r="F627" i="3"/>
  <c r="E627" i="3"/>
  <c r="D627" i="3"/>
  <c r="K626" i="3"/>
  <c r="I626" i="3"/>
  <c r="H626" i="3"/>
  <c r="G626" i="3"/>
  <c r="F626" i="3"/>
  <c r="E626" i="3"/>
  <c r="D626" i="3"/>
  <c r="K625" i="3"/>
  <c r="I625" i="3"/>
  <c r="H625" i="3"/>
  <c r="G625" i="3"/>
  <c r="F625" i="3"/>
  <c r="E625" i="3"/>
  <c r="D625" i="3"/>
  <c r="K624" i="3"/>
  <c r="I624" i="3"/>
  <c r="H624" i="3"/>
  <c r="G624" i="3"/>
  <c r="F624" i="3"/>
  <c r="E624" i="3"/>
  <c r="D624" i="3"/>
  <c r="K623" i="3"/>
  <c r="I623" i="3"/>
  <c r="H623" i="3"/>
  <c r="G623" i="3"/>
  <c r="F623" i="3"/>
  <c r="E623" i="3"/>
  <c r="D623" i="3"/>
  <c r="K622" i="3"/>
  <c r="I622" i="3"/>
  <c r="H622" i="3"/>
  <c r="G622" i="3"/>
  <c r="F622" i="3"/>
  <c r="E622" i="3"/>
  <c r="D622" i="3"/>
  <c r="K621" i="3"/>
  <c r="I621" i="3"/>
  <c r="H621" i="3"/>
  <c r="G621" i="3"/>
  <c r="F621" i="3"/>
  <c r="E621" i="3"/>
  <c r="D621" i="3"/>
  <c r="K620" i="3"/>
  <c r="I620" i="3"/>
  <c r="H620" i="3"/>
  <c r="G620" i="3"/>
  <c r="F620" i="3"/>
  <c r="E620" i="3"/>
  <c r="D620" i="3"/>
  <c r="K619" i="3"/>
  <c r="I619" i="3"/>
  <c r="H619" i="3"/>
  <c r="G619" i="3"/>
  <c r="F619" i="3"/>
  <c r="E619" i="3"/>
  <c r="D619" i="3"/>
  <c r="K618" i="3"/>
  <c r="I618" i="3"/>
  <c r="H618" i="3"/>
  <c r="G618" i="3"/>
  <c r="F618" i="3"/>
  <c r="E618" i="3"/>
  <c r="D618" i="3"/>
  <c r="N617" i="3"/>
  <c r="K617" i="3"/>
  <c r="I617" i="3"/>
  <c r="H617" i="3"/>
  <c r="G617" i="3"/>
  <c r="F617" i="3"/>
  <c r="E617" i="3"/>
  <c r="D617" i="3"/>
  <c r="N616" i="3"/>
  <c r="K616" i="3"/>
  <c r="I616" i="3"/>
  <c r="H616" i="3"/>
  <c r="G616" i="3"/>
  <c r="F616" i="3"/>
  <c r="E616" i="3"/>
  <c r="D616" i="3"/>
  <c r="N615" i="3"/>
  <c r="K615" i="3"/>
  <c r="I615" i="3"/>
  <c r="H615" i="3"/>
  <c r="G615" i="3"/>
  <c r="F615" i="3"/>
  <c r="E615" i="3"/>
  <c r="D615" i="3"/>
  <c r="N614" i="3"/>
  <c r="K614" i="3"/>
  <c r="I614" i="3"/>
  <c r="H614" i="3"/>
  <c r="G614" i="3"/>
  <c r="F614" i="3"/>
  <c r="E614" i="3"/>
  <c r="D614" i="3"/>
  <c r="N613" i="3" l="1"/>
  <c r="K613" i="3"/>
  <c r="I613" i="3"/>
  <c r="H613" i="3"/>
  <c r="G613" i="3"/>
  <c r="F613" i="3"/>
  <c r="E613" i="3"/>
  <c r="D613" i="3"/>
  <c r="N612" i="3"/>
  <c r="K612" i="3"/>
  <c r="I612" i="3"/>
  <c r="H612" i="3"/>
  <c r="G612" i="3"/>
  <c r="F612" i="3"/>
  <c r="E612" i="3"/>
  <c r="D612" i="3"/>
  <c r="N611" i="3"/>
  <c r="K611" i="3"/>
  <c r="I611" i="3"/>
  <c r="H611" i="3"/>
  <c r="G611" i="3"/>
  <c r="F611" i="3"/>
  <c r="E611" i="3"/>
  <c r="D611" i="3"/>
  <c r="N610" i="3"/>
  <c r="K610" i="3"/>
  <c r="I610" i="3"/>
  <c r="H610" i="3"/>
  <c r="G610" i="3"/>
  <c r="F610" i="3"/>
  <c r="E610" i="3"/>
  <c r="D610" i="3"/>
  <c r="N609" i="3"/>
  <c r="K609" i="3"/>
  <c r="I609" i="3"/>
  <c r="H609" i="3"/>
  <c r="G609" i="3"/>
  <c r="F609" i="3"/>
  <c r="E609" i="3"/>
  <c r="D609" i="3"/>
  <c r="N608" i="3"/>
  <c r="K608" i="3"/>
  <c r="I608" i="3"/>
  <c r="H608" i="3"/>
  <c r="G608" i="3"/>
  <c r="F608" i="3"/>
  <c r="E608" i="3"/>
  <c r="D608" i="3"/>
  <c r="N607" i="3"/>
  <c r="K607" i="3"/>
  <c r="I607" i="3"/>
  <c r="H607" i="3"/>
  <c r="G607" i="3"/>
  <c r="F607" i="3"/>
  <c r="E607" i="3"/>
  <c r="D607" i="3"/>
  <c r="N606" i="3"/>
  <c r="K606" i="3"/>
  <c r="I606" i="3"/>
  <c r="H606" i="3"/>
  <c r="G606" i="3"/>
  <c r="F606" i="3"/>
  <c r="E606" i="3"/>
  <c r="D606" i="3"/>
  <c r="N605" i="3"/>
  <c r="K605" i="3"/>
  <c r="I605" i="3"/>
  <c r="H605" i="3"/>
  <c r="G605" i="3"/>
  <c r="F605" i="3"/>
  <c r="E605" i="3"/>
  <c r="D605" i="3"/>
  <c r="N604" i="3"/>
  <c r="K604" i="3"/>
  <c r="I604" i="3"/>
  <c r="H604" i="3"/>
  <c r="G604" i="3"/>
  <c r="F604" i="3"/>
  <c r="E604" i="3"/>
  <c r="D604" i="3"/>
  <c r="N603" i="3"/>
  <c r="K603" i="3"/>
  <c r="I603" i="3"/>
  <c r="H603" i="3"/>
  <c r="G603" i="3"/>
  <c r="F603" i="3"/>
  <c r="E603" i="3"/>
  <c r="D603" i="3"/>
  <c r="N602" i="3"/>
  <c r="K602" i="3"/>
  <c r="I602" i="3"/>
  <c r="H602" i="3"/>
  <c r="G602" i="3"/>
  <c r="F602" i="3"/>
  <c r="E602" i="3"/>
  <c r="D602" i="3"/>
  <c r="N601" i="3"/>
  <c r="K601" i="3"/>
  <c r="I601" i="3"/>
  <c r="H601" i="3"/>
  <c r="G601" i="3"/>
  <c r="F601" i="3"/>
  <c r="E601" i="3"/>
  <c r="D601" i="3"/>
  <c r="N600" i="3"/>
  <c r="K600" i="3"/>
  <c r="I600" i="3"/>
  <c r="H600" i="3"/>
  <c r="G600" i="3"/>
  <c r="F600" i="3"/>
  <c r="E600" i="3"/>
  <c r="D600" i="3"/>
  <c r="N599" i="3"/>
  <c r="K599" i="3"/>
  <c r="I599" i="3"/>
  <c r="H599" i="3"/>
  <c r="G599" i="3"/>
  <c r="F599" i="3"/>
  <c r="E599" i="3"/>
  <c r="D599" i="3"/>
  <c r="N598" i="3"/>
  <c r="K598" i="3"/>
  <c r="I598" i="3"/>
  <c r="H598" i="3"/>
  <c r="G598" i="3"/>
  <c r="F598" i="3"/>
  <c r="E598" i="3"/>
  <c r="D598" i="3"/>
  <c r="N597" i="3"/>
  <c r="K597" i="3"/>
  <c r="I597" i="3"/>
  <c r="H597" i="3"/>
  <c r="G597" i="3"/>
  <c r="F597" i="3"/>
  <c r="E597" i="3"/>
  <c r="D597" i="3"/>
  <c r="N596" i="3"/>
  <c r="K596" i="3"/>
  <c r="I596" i="3"/>
  <c r="H596" i="3"/>
  <c r="G596" i="3"/>
  <c r="F596" i="3"/>
  <c r="E596" i="3"/>
  <c r="D596" i="3"/>
  <c r="N595" i="3"/>
  <c r="K595" i="3"/>
  <c r="I595" i="3"/>
  <c r="H595" i="3"/>
  <c r="G595" i="3"/>
  <c r="F595" i="3"/>
  <c r="E595" i="3"/>
  <c r="D595" i="3"/>
  <c r="N594" i="3"/>
  <c r="K594" i="3"/>
  <c r="I594" i="3"/>
  <c r="H594" i="3"/>
  <c r="G594" i="3"/>
  <c r="F594" i="3"/>
  <c r="E594" i="3"/>
  <c r="D594" i="3"/>
  <c r="N593" i="3"/>
  <c r="K593" i="3"/>
  <c r="I593" i="3"/>
  <c r="H593" i="3"/>
  <c r="G593" i="3"/>
  <c r="F593" i="3"/>
  <c r="E593" i="3"/>
  <c r="D593" i="3"/>
  <c r="N592" i="3"/>
  <c r="K592" i="3"/>
  <c r="I592" i="3"/>
  <c r="H592" i="3"/>
  <c r="G592" i="3"/>
  <c r="F592" i="3"/>
  <c r="E592" i="3"/>
  <c r="D592" i="3"/>
  <c r="N591" i="3"/>
  <c r="K591" i="3"/>
  <c r="I591" i="3"/>
  <c r="H591" i="3"/>
  <c r="G591" i="3"/>
  <c r="F591" i="3"/>
  <c r="E591" i="3"/>
  <c r="D591" i="3"/>
  <c r="N590" i="3"/>
  <c r="K590" i="3"/>
  <c r="I590" i="3"/>
  <c r="H590" i="3"/>
  <c r="G590" i="3"/>
  <c r="F590" i="3"/>
  <c r="E590" i="3"/>
  <c r="D590" i="3"/>
  <c r="N589" i="3"/>
  <c r="K589" i="3"/>
  <c r="I589" i="3"/>
  <c r="H589" i="3"/>
  <c r="G589" i="3"/>
  <c r="F589" i="3"/>
  <c r="E589" i="3"/>
  <c r="D589" i="3"/>
  <c r="N588" i="3"/>
  <c r="K588" i="3"/>
  <c r="I588" i="3"/>
  <c r="H588" i="3"/>
  <c r="G588" i="3"/>
  <c r="F588" i="3"/>
  <c r="E588" i="3"/>
  <c r="D588" i="3"/>
  <c r="N587" i="3"/>
  <c r="K587" i="3"/>
  <c r="I587" i="3"/>
  <c r="H587" i="3"/>
  <c r="G587" i="3"/>
  <c r="F587" i="3"/>
  <c r="E587" i="3"/>
  <c r="D587" i="3"/>
  <c r="N586" i="3"/>
  <c r="K586" i="3"/>
  <c r="I586" i="3"/>
  <c r="H586" i="3"/>
  <c r="G586" i="3"/>
  <c r="F586" i="3"/>
  <c r="E586" i="3"/>
  <c r="D586" i="3"/>
  <c r="N585" i="3"/>
  <c r="K585" i="3"/>
  <c r="I585" i="3"/>
  <c r="H585" i="3"/>
  <c r="G585" i="3"/>
  <c r="F585" i="3"/>
  <c r="E585" i="3"/>
  <c r="D585" i="3"/>
  <c r="N584" i="3"/>
  <c r="K584" i="3"/>
  <c r="I584" i="3"/>
  <c r="H584" i="3"/>
  <c r="G584" i="3"/>
  <c r="F584" i="3"/>
  <c r="E584" i="3"/>
  <c r="D584" i="3"/>
  <c r="N583" i="3"/>
  <c r="K583" i="3"/>
  <c r="I583" i="3"/>
  <c r="H583" i="3"/>
  <c r="G583" i="3"/>
  <c r="F583" i="3"/>
  <c r="E583" i="3"/>
  <c r="D583" i="3"/>
  <c r="N582" i="3"/>
  <c r="K582" i="3"/>
  <c r="I582" i="3"/>
  <c r="H582" i="3"/>
  <c r="G582" i="3"/>
  <c r="F582" i="3"/>
  <c r="E582" i="3"/>
  <c r="D582" i="3"/>
  <c r="N581" i="3"/>
  <c r="K581" i="3"/>
  <c r="I581" i="3"/>
  <c r="H581" i="3"/>
  <c r="G581" i="3"/>
  <c r="F581" i="3"/>
  <c r="E581" i="3"/>
  <c r="D581" i="3"/>
  <c r="N580" i="3"/>
  <c r="K580" i="3"/>
  <c r="I580" i="3"/>
  <c r="H580" i="3"/>
  <c r="G580" i="3"/>
  <c r="F580" i="3"/>
  <c r="E580" i="3"/>
  <c r="D580" i="3"/>
  <c r="N579" i="3"/>
  <c r="K579" i="3"/>
  <c r="I579" i="3"/>
  <c r="H579" i="3"/>
  <c r="G579" i="3"/>
  <c r="F579" i="3"/>
  <c r="E579" i="3"/>
  <c r="D579" i="3"/>
  <c r="N578" i="3"/>
  <c r="N577" i="3"/>
  <c r="N576" i="3"/>
  <c r="N575" i="3"/>
  <c r="N574" i="3"/>
  <c r="N573" i="3"/>
  <c r="N572" i="3"/>
  <c r="K578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N571" i="3"/>
  <c r="N570" i="3"/>
  <c r="N569" i="3"/>
  <c r="N568" i="3"/>
  <c r="N567" i="3"/>
  <c r="N566" i="3"/>
  <c r="N565" i="3"/>
  <c r="N564" i="3"/>
  <c r="N563" i="3"/>
  <c r="N562" i="3"/>
  <c r="N561" i="3"/>
  <c r="N560" i="3"/>
  <c r="N559" i="3"/>
  <c r="N558" i="3"/>
  <c r="K564" i="3"/>
  <c r="K563" i="3"/>
  <c r="K562" i="3"/>
  <c r="K561" i="3"/>
  <c r="K560" i="3"/>
  <c r="K559" i="3"/>
  <c r="K558" i="3"/>
  <c r="N557" i="3"/>
  <c r="N556" i="3"/>
  <c r="N555" i="3"/>
  <c r="N554" i="3"/>
  <c r="N553" i="3"/>
  <c r="N552" i="3"/>
  <c r="N551" i="3"/>
  <c r="N550" i="3"/>
  <c r="K557" i="3"/>
  <c r="K556" i="3"/>
  <c r="K555" i="3"/>
  <c r="K554" i="3"/>
  <c r="K553" i="3"/>
  <c r="K552" i="3"/>
  <c r="K551" i="3"/>
  <c r="K550" i="3"/>
  <c r="N549" i="3"/>
  <c r="N548" i="3"/>
  <c r="N547" i="3"/>
  <c r="N546" i="3"/>
  <c r="N545" i="3"/>
  <c r="N544" i="3"/>
  <c r="N543" i="3"/>
  <c r="N542" i="3"/>
  <c r="N541" i="3"/>
  <c r="N540" i="3"/>
  <c r="N539" i="3"/>
  <c r="K549" i="3"/>
  <c r="K548" i="3"/>
  <c r="K547" i="3"/>
  <c r="K546" i="3"/>
  <c r="K545" i="3"/>
  <c r="K544" i="3"/>
  <c r="K543" i="3"/>
  <c r="K542" i="3"/>
  <c r="K541" i="3"/>
  <c r="K540" i="3"/>
  <c r="K539" i="3"/>
  <c r="N538" i="3"/>
  <c r="N537" i="3"/>
  <c r="N536" i="3"/>
  <c r="N535" i="3"/>
  <c r="N534" i="3"/>
  <c r="N533" i="3"/>
  <c r="N532" i="3"/>
  <c r="N531" i="3"/>
  <c r="N530" i="3"/>
  <c r="K538" i="3"/>
  <c r="K537" i="3"/>
  <c r="K536" i="3"/>
  <c r="K535" i="3"/>
  <c r="K534" i="3"/>
  <c r="K533" i="3"/>
  <c r="K532" i="3"/>
  <c r="K531" i="3"/>
  <c r="K530" i="3"/>
  <c r="N529" i="3"/>
  <c r="N528" i="3"/>
  <c r="N527" i="3"/>
  <c r="N526" i="3"/>
  <c r="N525" i="3"/>
  <c r="N524" i="3"/>
  <c r="N523" i="3"/>
  <c r="K529" i="3"/>
  <c r="K528" i="3"/>
  <c r="K527" i="3"/>
  <c r="K526" i="3"/>
  <c r="K525" i="3"/>
  <c r="K524" i="3"/>
  <c r="K523" i="3"/>
  <c r="N522" i="3"/>
  <c r="N521" i="3"/>
  <c r="N520" i="3"/>
  <c r="N519" i="3"/>
  <c r="N518" i="3"/>
  <c r="N517" i="3"/>
  <c r="N516" i="3"/>
  <c r="K522" i="3"/>
  <c r="K521" i="3"/>
  <c r="K520" i="3"/>
  <c r="K519" i="3"/>
  <c r="K518" i="3"/>
  <c r="K517" i="3"/>
  <c r="K516" i="3"/>
  <c r="N515" i="3"/>
  <c r="K515" i="3"/>
  <c r="N514" i="3"/>
  <c r="K514" i="3"/>
  <c r="N511" i="3"/>
  <c r="N510" i="3"/>
  <c r="N509" i="3"/>
  <c r="N508" i="3"/>
  <c r="K511" i="3"/>
  <c r="K510" i="3"/>
  <c r="K509" i="3"/>
  <c r="K508" i="3"/>
  <c r="N513" i="3"/>
  <c r="N512" i="3"/>
  <c r="K513" i="3"/>
  <c r="K512" i="3"/>
  <c r="N504" i="3"/>
  <c r="N503" i="3"/>
  <c r="N502" i="3"/>
  <c r="N501" i="3"/>
  <c r="K504" i="3"/>
  <c r="K503" i="3"/>
  <c r="K502" i="3"/>
  <c r="K501" i="3"/>
  <c r="N507" i="3"/>
  <c r="N506" i="3"/>
  <c r="N505" i="3"/>
  <c r="K507" i="3"/>
  <c r="K506" i="3"/>
  <c r="K505" i="3"/>
  <c r="K500" i="3"/>
  <c r="K499" i="3"/>
  <c r="K498" i="3"/>
  <c r="K497" i="3"/>
  <c r="K496" i="3"/>
  <c r="K495" i="3"/>
  <c r="K494" i="3"/>
  <c r="N493" i="3"/>
  <c r="N492" i="3"/>
  <c r="N491" i="3"/>
  <c r="K493" i="3"/>
  <c r="K492" i="3"/>
  <c r="K491" i="3"/>
  <c r="N490" i="3"/>
  <c r="K490" i="3"/>
  <c r="N489" i="3"/>
  <c r="K489" i="3"/>
  <c r="K488" i="3"/>
  <c r="K487" i="3"/>
  <c r="K486" i="3"/>
  <c r="K485" i="3"/>
  <c r="K484" i="3"/>
  <c r="K483" i="3"/>
  <c r="N488" i="3"/>
  <c r="N487" i="3"/>
  <c r="N486" i="3"/>
  <c r="N485" i="3"/>
  <c r="N484" i="3"/>
  <c r="N483" i="3"/>
  <c r="N482" i="3"/>
  <c r="N481" i="3"/>
  <c r="N480" i="3"/>
  <c r="N479" i="3"/>
  <c r="N478" i="3"/>
  <c r="N477" i="3"/>
  <c r="N476" i="3"/>
  <c r="N475" i="3"/>
  <c r="N474" i="3"/>
  <c r="N473" i="3"/>
  <c r="N472" i="3"/>
  <c r="K482" i="3"/>
  <c r="K481" i="3"/>
  <c r="K480" i="3"/>
  <c r="K479" i="3"/>
  <c r="K478" i="3"/>
  <c r="K477" i="3"/>
  <c r="K476" i="3"/>
  <c r="K475" i="3"/>
  <c r="K474" i="3"/>
  <c r="K473" i="3"/>
  <c r="K472" i="3"/>
  <c r="K463" i="3"/>
  <c r="N471" i="3"/>
  <c r="N470" i="3"/>
  <c r="N469" i="3"/>
  <c r="N468" i="3"/>
  <c r="N467" i="3"/>
  <c r="N466" i="3"/>
  <c r="N465" i="3"/>
  <c r="N464" i="3"/>
  <c r="K471" i="3"/>
  <c r="K470" i="3"/>
  <c r="K469" i="3"/>
  <c r="K468" i="3"/>
  <c r="K467" i="3"/>
  <c r="K466" i="3"/>
  <c r="K465" i="3"/>
  <c r="K464" i="3"/>
  <c r="N462" i="3"/>
  <c r="N461" i="3"/>
  <c r="N460" i="3"/>
  <c r="N459" i="3"/>
  <c r="N458" i="3"/>
  <c r="N457" i="3"/>
  <c r="K462" i="3"/>
  <c r="K461" i="3"/>
  <c r="K460" i="3"/>
  <c r="K459" i="3"/>
  <c r="K458" i="3"/>
  <c r="N456" i="3"/>
  <c r="N455" i="3"/>
  <c r="N454" i="3"/>
  <c r="N453" i="3"/>
  <c r="N452" i="3"/>
  <c r="N451" i="3"/>
  <c r="K456" i="3"/>
  <c r="K455" i="3"/>
  <c r="K454" i="3"/>
  <c r="K453" i="3"/>
  <c r="K452" i="3"/>
  <c r="K451" i="3"/>
  <c r="K457" i="3"/>
  <c r="K449" i="3"/>
  <c r="K448" i="3"/>
  <c r="K447" i="3"/>
  <c r="K446" i="3"/>
  <c r="K445" i="3"/>
  <c r="K444" i="3"/>
  <c r="N449" i="3"/>
  <c r="N448" i="3"/>
  <c r="N447" i="3"/>
  <c r="N446" i="3"/>
  <c r="N445" i="3"/>
  <c r="N444" i="3"/>
  <c r="N450" i="3"/>
  <c r="N443" i="3"/>
  <c r="N442" i="3"/>
  <c r="N441" i="3"/>
  <c r="N440" i="3"/>
  <c r="N439" i="3"/>
  <c r="N438" i="3"/>
  <c r="N437" i="3"/>
  <c r="K450" i="3"/>
  <c r="K443" i="3"/>
  <c r="K442" i="3"/>
  <c r="K441" i="3"/>
  <c r="K440" i="3"/>
  <c r="K439" i="3"/>
  <c r="K438" i="3"/>
  <c r="K437" i="3"/>
  <c r="N434" i="3"/>
  <c r="N433" i="3"/>
  <c r="N432" i="3"/>
  <c r="N431" i="3"/>
  <c r="N430" i="3"/>
  <c r="K434" i="3"/>
  <c r="K433" i="3"/>
  <c r="K432" i="3"/>
  <c r="K431" i="3"/>
  <c r="K430" i="3"/>
  <c r="K435" i="3"/>
  <c r="K422" i="3" l="1"/>
  <c r="K421" i="3"/>
  <c r="K420" i="3"/>
  <c r="K419" i="3"/>
  <c r="K418" i="3"/>
  <c r="K417" i="3"/>
  <c r="K416" i="3"/>
  <c r="N422" i="3"/>
  <c r="N421" i="3"/>
  <c r="N420" i="3"/>
  <c r="N419" i="3"/>
  <c r="N418" i="3"/>
  <c r="N417" i="3"/>
  <c r="K436" i="3"/>
  <c r="K429" i="3"/>
  <c r="K428" i="3"/>
  <c r="K427" i="3"/>
  <c r="K426" i="3"/>
  <c r="K425" i="3"/>
  <c r="K424" i="3"/>
  <c r="K423" i="3"/>
  <c r="K415" i="3"/>
  <c r="N415" i="3"/>
  <c r="N416" i="3"/>
  <c r="N423" i="3"/>
  <c r="N424" i="3"/>
  <c r="N425" i="3"/>
  <c r="N426" i="3"/>
  <c r="N427" i="3"/>
  <c r="N428" i="3"/>
  <c r="N429" i="3"/>
  <c r="N435" i="3"/>
  <c r="N436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K390" i="3"/>
  <c r="K389" i="3"/>
  <c r="K388" i="3"/>
  <c r="N397" i="3"/>
  <c r="N396" i="3"/>
  <c r="N395" i="3"/>
  <c r="N394" i="3"/>
  <c r="N393" i="3"/>
  <c r="N392" i="3"/>
  <c r="N391" i="3"/>
  <c r="N390" i="3"/>
  <c r="N389" i="3"/>
  <c r="N388" i="3"/>
  <c r="N387" i="3"/>
  <c r="N386" i="3"/>
  <c r="N385" i="3"/>
  <c r="N384" i="3"/>
  <c r="N383" i="3"/>
  <c r="N382" i="3"/>
  <c r="N381" i="3"/>
  <c r="K387" i="3"/>
  <c r="K386" i="3"/>
  <c r="K385" i="3"/>
  <c r="K384" i="3"/>
  <c r="K383" i="3"/>
  <c r="K382" i="3"/>
  <c r="K381" i="3"/>
  <c r="K376" i="3"/>
  <c r="K375" i="3"/>
  <c r="K374" i="3"/>
  <c r="K373" i="3"/>
  <c r="N376" i="3"/>
  <c r="N375" i="3"/>
  <c r="N374" i="3"/>
  <c r="N373" i="3"/>
  <c r="K380" i="3"/>
  <c r="K379" i="3"/>
  <c r="K378" i="3"/>
  <c r="K377" i="3"/>
  <c r="N380" i="3"/>
  <c r="N379" i="3"/>
  <c r="N378" i="3"/>
  <c r="N377" i="3"/>
  <c r="K372" i="3"/>
  <c r="N372" i="3"/>
  <c r="K371" i="3"/>
  <c r="N371" i="3"/>
  <c r="N370" i="3"/>
  <c r="K370" i="3"/>
  <c r="K366" i="3"/>
  <c r="K365" i="3"/>
  <c r="N366" i="3"/>
  <c r="N365" i="3"/>
  <c r="K369" i="3"/>
  <c r="K368" i="3"/>
  <c r="K367" i="3"/>
  <c r="N369" i="3"/>
  <c r="N368" i="3"/>
  <c r="N367" i="3"/>
  <c r="K364" i="3"/>
  <c r="K363" i="3"/>
  <c r="K362" i="3"/>
  <c r="K361" i="3"/>
  <c r="K360" i="3"/>
  <c r="K359" i="3"/>
  <c r="K358" i="3"/>
  <c r="K357" i="3"/>
  <c r="K356" i="3"/>
  <c r="K355" i="3"/>
  <c r="N364" i="3"/>
  <c r="N363" i="3"/>
  <c r="N362" i="3"/>
  <c r="N361" i="3"/>
  <c r="N360" i="3"/>
  <c r="N359" i="3"/>
  <c r="N358" i="3"/>
  <c r="N357" i="3"/>
  <c r="N356" i="3"/>
  <c r="N355" i="3"/>
  <c r="K354" i="3"/>
  <c r="K353" i="3"/>
  <c r="K352" i="3"/>
  <c r="K351" i="3"/>
  <c r="K350" i="3"/>
  <c r="K349" i="3"/>
  <c r="N354" i="3"/>
  <c r="N353" i="3"/>
  <c r="N352" i="3"/>
  <c r="N351" i="3"/>
  <c r="N350" i="3"/>
  <c r="N349" i="3"/>
  <c r="K348" i="3"/>
  <c r="K347" i="3"/>
  <c r="K346" i="3"/>
  <c r="K345" i="3"/>
  <c r="K344" i="3"/>
  <c r="K343" i="3"/>
  <c r="K342" i="3"/>
  <c r="K341" i="3"/>
  <c r="N348" i="3"/>
  <c r="N347" i="3"/>
  <c r="N346" i="3"/>
  <c r="N345" i="3"/>
  <c r="N344" i="3"/>
  <c r="N343" i="3"/>
  <c r="N342" i="3"/>
  <c r="N341" i="3"/>
  <c r="K340" i="3"/>
  <c r="K339" i="3"/>
  <c r="K338" i="3"/>
  <c r="K337" i="3"/>
  <c r="K336" i="3"/>
  <c r="N340" i="3"/>
  <c r="N339" i="3"/>
  <c r="N338" i="3"/>
  <c r="N337" i="3"/>
  <c r="N336" i="3"/>
  <c r="K335" i="3"/>
  <c r="K334" i="3"/>
  <c r="K333" i="3"/>
  <c r="K332" i="3"/>
  <c r="K331" i="3"/>
  <c r="K330" i="3"/>
  <c r="K329" i="3"/>
  <c r="K328" i="3"/>
  <c r="K327" i="3"/>
  <c r="K326" i="3"/>
  <c r="N335" i="3"/>
  <c r="N334" i="3"/>
  <c r="N333" i="3"/>
  <c r="N332" i="3"/>
  <c r="N331" i="3"/>
  <c r="N330" i="3"/>
  <c r="N329" i="3"/>
  <c r="N328" i="3"/>
  <c r="N327" i="3"/>
  <c r="N326" i="3"/>
  <c r="K325" i="3"/>
  <c r="K324" i="3"/>
  <c r="K323" i="3"/>
  <c r="K322" i="3"/>
  <c r="N325" i="3"/>
  <c r="N324" i="3"/>
  <c r="N323" i="3"/>
  <c r="N322" i="3"/>
  <c r="K314" i="3"/>
  <c r="K315" i="3"/>
  <c r="K316" i="3"/>
  <c r="K317" i="3"/>
  <c r="K318" i="3"/>
  <c r="K319" i="3"/>
  <c r="K320" i="3"/>
  <c r="K321" i="3"/>
  <c r="N314" i="3"/>
  <c r="N315" i="3"/>
  <c r="N316" i="3"/>
  <c r="N317" i="3"/>
  <c r="N318" i="3"/>
  <c r="N319" i="3"/>
  <c r="N320" i="3"/>
  <c r="N321" i="3"/>
  <c r="I578" i="3"/>
  <c r="H578" i="3"/>
  <c r="G578" i="3"/>
  <c r="F578" i="3"/>
  <c r="E578" i="3"/>
  <c r="D578" i="3"/>
  <c r="I577" i="3"/>
  <c r="H577" i="3"/>
  <c r="G577" i="3"/>
  <c r="F577" i="3"/>
  <c r="E577" i="3"/>
  <c r="D577" i="3"/>
  <c r="I576" i="3"/>
  <c r="H576" i="3"/>
  <c r="G576" i="3"/>
  <c r="F576" i="3"/>
  <c r="E576" i="3"/>
  <c r="D576" i="3"/>
  <c r="I575" i="3"/>
  <c r="H575" i="3"/>
  <c r="G575" i="3"/>
  <c r="F575" i="3"/>
  <c r="E575" i="3"/>
  <c r="D575" i="3"/>
  <c r="I574" i="3"/>
  <c r="H574" i="3"/>
  <c r="G574" i="3"/>
  <c r="F574" i="3"/>
  <c r="E574" i="3"/>
  <c r="D574" i="3"/>
  <c r="I573" i="3"/>
  <c r="H573" i="3"/>
  <c r="G573" i="3"/>
  <c r="F573" i="3"/>
  <c r="E573" i="3"/>
  <c r="D573" i="3"/>
  <c r="I572" i="3"/>
  <c r="H572" i="3"/>
  <c r="G572" i="3"/>
  <c r="F572" i="3"/>
  <c r="E572" i="3"/>
  <c r="D572" i="3"/>
  <c r="I571" i="3"/>
  <c r="H571" i="3"/>
  <c r="G571" i="3"/>
  <c r="F571" i="3"/>
  <c r="E571" i="3"/>
  <c r="D571" i="3"/>
  <c r="I570" i="3"/>
  <c r="H570" i="3"/>
  <c r="G570" i="3"/>
  <c r="F570" i="3"/>
  <c r="E570" i="3"/>
  <c r="D570" i="3"/>
  <c r="I569" i="3"/>
  <c r="H569" i="3"/>
  <c r="G569" i="3"/>
  <c r="F569" i="3"/>
  <c r="E569" i="3"/>
  <c r="D569" i="3"/>
  <c r="I568" i="3"/>
  <c r="H568" i="3"/>
  <c r="G568" i="3"/>
  <c r="F568" i="3"/>
  <c r="E568" i="3"/>
  <c r="D568" i="3"/>
  <c r="I567" i="3"/>
  <c r="H567" i="3"/>
  <c r="G567" i="3"/>
  <c r="F567" i="3"/>
  <c r="E567" i="3"/>
  <c r="D567" i="3"/>
  <c r="I566" i="3"/>
  <c r="H566" i="3"/>
  <c r="G566" i="3"/>
  <c r="F566" i="3"/>
  <c r="E566" i="3"/>
  <c r="D566" i="3"/>
  <c r="I565" i="3"/>
  <c r="H565" i="3"/>
  <c r="G565" i="3"/>
  <c r="F565" i="3"/>
  <c r="E565" i="3"/>
  <c r="D565" i="3"/>
  <c r="I564" i="3"/>
  <c r="H564" i="3"/>
  <c r="G564" i="3"/>
  <c r="F564" i="3"/>
  <c r="E564" i="3"/>
  <c r="D564" i="3"/>
  <c r="I563" i="3"/>
  <c r="H563" i="3"/>
  <c r="G563" i="3"/>
  <c r="F563" i="3"/>
  <c r="E563" i="3"/>
  <c r="D563" i="3"/>
  <c r="I562" i="3"/>
  <c r="H562" i="3"/>
  <c r="G562" i="3"/>
  <c r="F562" i="3"/>
  <c r="E562" i="3"/>
  <c r="D562" i="3"/>
  <c r="I561" i="3"/>
  <c r="H561" i="3"/>
  <c r="G561" i="3"/>
  <c r="F561" i="3"/>
  <c r="E561" i="3"/>
  <c r="D561" i="3"/>
  <c r="I560" i="3"/>
  <c r="H560" i="3"/>
  <c r="G560" i="3"/>
  <c r="F560" i="3"/>
  <c r="E560" i="3"/>
  <c r="D560" i="3"/>
  <c r="I559" i="3"/>
  <c r="H559" i="3"/>
  <c r="G559" i="3"/>
  <c r="F559" i="3"/>
  <c r="E559" i="3"/>
  <c r="D559" i="3"/>
  <c r="I558" i="3"/>
  <c r="H558" i="3"/>
  <c r="G558" i="3"/>
  <c r="F558" i="3"/>
  <c r="E558" i="3"/>
  <c r="D558" i="3"/>
  <c r="I557" i="3"/>
  <c r="H557" i="3"/>
  <c r="G557" i="3"/>
  <c r="F557" i="3"/>
  <c r="E557" i="3"/>
  <c r="D557" i="3"/>
  <c r="I556" i="3"/>
  <c r="H556" i="3"/>
  <c r="G556" i="3"/>
  <c r="F556" i="3"/>
  <c r="E556" i="3"/>
  <c r="D556" i="3"/>
  <c r="I555" i="3"/>
  <c r="H555" i="3"/>
  <c r="G555" i="3"/>
  <c r="F555" i="3"/>
  <c r="E555" i="3"/>
  <c r="D555" i="3"/>
  <c r="I554" i="3"/>
  <c r="H554" i="3"/>
  <c r="G554" i="3"/>
  <c r="F554" i="3"/>
  <c r="E554" i="3"/>
  <c r="D554" i="3"/>
  <c r="I553" i="3"/>
  <c r="H553" i="3"/>
  <c r="G553" i="3"/>
  <c r="F553" i="3"/>
  <c r="E553" i="3"/>
  <c r="D553" i="3"/>
  <c r="I552" i="3"/>
  <c r="H552" i="3"/>
  <c r="G552" i="3"/>
  <c r="F552" i="3"/>
  <c r="E552" i="3"/>
  <c r="D552" i="3"/>
  <c r="I551" i="3"/>
  <c r="H551" i="3"/>
  <c r="G551" i="3"/>
  <c r="F551" i="3"/>
  <c r="E551" i="3"/>
  <c r="D551" i="3"/>
  <c r="I550" i="3"/>
  <c r="H550" i="3"/>
  <c r="G550" i="3"/>
  <c r="F550" i="3"/>
  <c r="E550" i="3"/>
  <c r="D550" i="3"/>
  <c r="I549" i="3"/>
  <c r="H549" i="3"/>
  <c r="G549" i="3"/>
  <c r="F549" i="3"/>
  <c r="E549" i="3"/>
  <c r="D549" i="3"/>
  <c r="I548" i="3"/>
  <c r="H548" i="3"/>
  <c r="G548" i="3"/>
  <c r="F548" i="3"/>
  <c r="E548" i="3"/>
  <c r="D548" i="3"/>
  <c r="I547" i="3"/>
  <c r="H547" i="3"/>
  <c r="G547" i="3"/>
  <c r="F547" i="3"/>
  <c r="E547" i="3"/>
  <c r="D547" i="3"/>
  <c r="I546" i="3"/>
  <c r="H546" i="3"/>
  <c r="G546" i="3"/>
  <c r="F546" i="3"/>
  <c r="E546" i="3"/>
  <c r="D546" i="3"/>
  <c r="I545" i="3"/>
  <c r="H545" i="3"/>
  <c r="G545" i="3"/>
  <c r="F545" i="3"/>
  <c r="E545" i="3"/>
  <c r="D545" i="3"/>
  <c r="I544" i="3"/>
  <c r="H544" i="3"/>
  <c r="G544" i="3"/>
  <c r="F544" i="3"/>
  <c r="E544" i="3"/>
  <c r="D544" i="3"/>
  <c r="I543" i="3"/>
  <c r="H543" i="3"/>
  <c r="G543" i="3"/>
  <c r="F543" i="3"/>
  <c r="E543" i="3"/>
  <c r="D543" i="3"/>
  <c r="I542" i="3"/>
  <c r="H542" i="3"/>
  <c r="G542" i="3"/>
  <c r="F542" i="3"/>
  <c r="E542" i="3"/>
  <c r="D542" i="3"/>
  <c r="I541" i="3"/>
  <c r="H541" i="3"/>
  <c r="G541" i="3"/>
  <c r="F541" i="3"/>
  <c r="E541" i="3"/>
  <c r="D541" i="3"/>
  <c r="I540" i="3"/>
  <c r="H540" i="3"/>
  <c r="G540" i="3"/>
  <c r="F540" i="3"/>
  <c r="E540" i="3"/>
  <c r="D540" i="3"/>
  <c r="I539" i="3"/>
  <c r="H539" i="3"/>
  <c r="G539" i="3"/>
  <c r="F539" i="3"/>
  <c r="E539" i="3"/>
  <c r="D539" i="3"/>
  <c r="I538" i="3"/>
  <c r="H538" i="3"/>
  <c r="G538" i="3"/>
  <c r="F538" i="3"/>
  <c r="E538" i="3"/>
  <c r="D538" i="3"/>
  <c r="I537" i="3"/>
  <c r="H537" i="3"/>
  <c r="G537" i="3"/>
  <c r="F537" i="3"/>
  <c r="E537" i="3"/>
  <c r="D537" i="3"/>
  <c r="I536" i="3"/>
  <c r="H536" i="3"/>
  <c r="G536" i="3"/>
  <c r="F536" i="3"/>
  <c r="E536" i="3"/>
  <c r="D536" i="3"/>
  <c r="I535" i="3"/>
  <c r="H535" i="3"/>
  <c r="G535" i="3"/>
  <c r="F535" i="3"/>
  <c r="E535" i="3"/>
  <c r="D535" i="3"/>
  <c r="I534" i="3"/>
  <c r="H534" i="3"/>
  <c r="G534" i="3"/>
  <c r="F534" i="3"/>
  <c r="E534" i="3"/>
  <c r="D534" i="3"/>
  <c r="I533" i="3"/>
  <c r="H533" i="3"/>
  <c r="G533" i="3"/>
  <c r="F533" i="3"/>
  <c r="E533" i="3"/>
  <c r="D533" i="3"/>
  <c r="I532" i="3"/>
  <c r="H532" i="3"/>
  <c r="G532" i="3"/>
  <c r="F532" i="3"/>
  <c r="E532" i="3"/>
  <c r="D532" i="3"/>
  <c r="I531" i="3"/>
  <c r="H531" i="3"/>
  <c r="G531" i="3"/>
  <c r="F531" i="3"/>
  <c r="E531" i="3"/>
  <c r="D531" i="3"/>
  <c r="I530" i="3"/>
  <c r="H530" i="3"/>
  <c r="G530" i="3"/>
  <c r="F530" i="3"/>
  <c r="E530" i="3"/>
  <c r="D530" i="3"/>
  <c r="I529" i="3"/>
  <c r="H529" i="3"/>
  <c r="G529" i="3"/>
  <c r="F529" i="3"/>
  <c r="E529" i="3"/>
  <c r="D529" i="3"/>
  <c r="I528" i="3"/>
  <c r="H528" i="3"/>
  <c r="G528" i="3"/>
  <c r="F528" i="3"/>
  <c r="E528" i="3"/>
  <c r="D528" i="3"/>
  <c r="I527" i="3"/>
  <c r="H527" i="3"/>
  <c r="G527" i="3"/>
  <c r="F527" i="3"/>
  <c r="E527" i="3"/>
  <c r="D527" i="3"/>
  <c r="I526" i="3"/>
  <c r="H526" i="3"/>
  <c r="G526" i="3"/>
  <c r="F526" i="3"/>
  <c r="E526" i="3"/>
  <c r="D526" i="3"/>
  <c r="I525" i="3"/>
  <c r="H525" i="3"/>
  <c r="G525" i="3"/>
  <c r="F525" i="3"/>
  <c r="E525" i="3"/>
  <c r="D525" i="3"/>
  <c r="I524" i="3"/>
  <c r="H524" i="3"/>
  <c r="G524" i="3"/>
  <c r="F524" i="3"/>
  <c r="E524" i="3"/>
  <c r="D524" i="3"/>
  <c r="I523" i="3"/>
  <c r="H523" i="3"/>
  <c r="G523" i="3"/>
  <c r="F523" i="3"/>
  <c r="E523" i="3"/>
  <c r="D523" i="3"/>
  <c r="I522" i="3"/>
  <c r="H522" i="3"/>
  <c r="G522" i="3"/>
  <c r="F522" i="3"/>
  <c r="E522" i="3"/>
  <c r="D522" i="3"/>
  <c r="I521" i="3"/>
  <c r="H521" i="3"/>
  <c r="G521" i="3"/>
  <c r="F521" i="3"/>
  <c r="E521" i="3"/>
  <c r="D521" i="3"/>
  <c r="I520" i="3"/>
  <c r="H520" i="3"/>
  <c r="G520" i="3"/>
  <c r="F520" i="3"/>
  <c r="E520" i="3"/>
  <c r="D520" i="3"/>
  <c r="I519" i="3"/>
  <c r="H519" i="3"/>
  <c r="G519" i="3"/>
  <c r="F519" i="3"/>
  <c r="E519" i="3"/>
  <c r="D519" i="3"/>
  <c r="I518" i="3"/>
  <c r="H518" i="3"/>
  <c r="G518" i="3"/>
  <c r="F518" i="3"/>
  <c r="E518" i="3"/>
  <c r="D518" i="3"/>
  <c r="I517" i="3"/>
  <c r="H517" i="3"/>
  <c r="G517" i="3"/>
  <c r="F517" i="3"/>
  <c r="E517" i="3"/>
  <c r="D517" i="3"/>
  <c r="I516" i="3"/>
  <c r="H516" i="3"/>
  <c r="G516" i="3"/>
  <c r="F516" i="3"/>
  <c r="E516" i="3"/>
  <c r="D516" i="3"/>
  <c r="I515" i="3"/>
  <c r="H515" i="3"/>
  <c r="G515" i="3"/>
  <c r="F515" i="3"/>
  <c r="E515" i="3"/>
  <c r="D515" i="3"/>
  <c r="N313" i="3"/>
  <c r="N312" i="3"/>
  <c r="N311" i="3"/>
  <c r="N310" i="3"/>
  <c r="N309" i="3"/>
  <c r="N308" i="3"/>
  <c r="N307" i="3"/>
  <c r="N306" i="3"/>
  <c r="K313" i="3"/>
  <c r="K312" i="3"/>
  <c r="K311" i="3"/>
  <c r="K310" i="3"/>
  <c r="K309" i="3"/>
  <c r="K308" i="3"/>
  <c r="K307" i="3"/>
  <c r="K306" i="3"/>
  <c r="N305" i="3"/>
  <c r="N304" i="3"/>
  <c r="N303" i="3"/>
  <c r="N302" i="3"/>
  <c r="N301" i="3"/>
  <c r="N300" i="3"/>
  <c r="N299" i="3"/>
  <c r="K305" i="3"/>
  <c r="K304" i="3"/>
  <c r="K303" i="3"/>
  <c r="K302" i="3"/>
  <c r="K301" i="3"/>
  <c r="K300" i="3"/>
  <c r="K299" i="3"/>
  <c r="N292" i="3"/>
  <c r="K292" i="3"/>
  <c r="I514" i="3"/>
  <c r="H514" i="3"/>
  <c r="G514" i="3"/>
  <c r="F514" i="3"/>
  <c r="E514" i="3"/>
  <c r="D514" i="3"/>
  <c r="I513" i="3"/>
  <c r="H513" i="3"/>
  <c r="G513" i="3"/>
  <c r="F513" i="3"/>
  <c r="E513" i="3"/>
  <c r="D513" i="3"/>
  <c r="I512" i="3"/>
  <c r="H512" i="3"/>
  <c r="G512" i="3"/>
  <c r="F512" i="3"/>
  <c r="E512" i="3"/>
  <c r="D512" i="3"/>
  <c r="I511" i="3"/>
  <c r="H511" i="3"/>
  <c r="G511" i="3"/>
  <c r="F511" i="3"/>
  <c r="E511" i="3"/>
  <c r="D511" i="3"/>
  <c r="I510" i="3"/>
  <c r="H510" i="3"/>
  <c r="G510" i="3"/>
  <c r="F510" i="3"/>
  <c r="E510" i="3"/>
  <c r="D510" i="3"/>
  <c r="I509" i="3"/>
  <c r="H509" i="3"/>
  <c r="G509" i="3"/>
  <c r="F509" i="3"/>
  <c r="E509" i="3"/>
  <c r="D509" i="3"/>
  <c r="I508" i="3"/>
  <c r="H508" i="3"/>
  <c r="G508" i="3"/>
  <c r="F508" i="3"/>
  <c r="E508" i="3"/>
  <c r="D508" i="3"/>
  <c r="I507" i="3"/>
  <c r="H507" i="3"/>
  <c r="G507" i="3"/>
  <c r="F507" i="3"/>
  <c r="E507" i="3"/>
  <c r="D507" i="3"/>
  <c r="I506" i="3"/>
  <c r="H506" i="3"/>
  <c r="G506" i="3"/>
  <c r="F506" i="3"/>
  <c r="E506" i="3"/>
  <c r="D506" i="3"/>
  <c r="I505" i="3"/>
  <c r="H505" i="3"/>
  <c r="G505" i="3"/>
  <c r="F505" i="3"/>
  <c r="E505" i="3"/>
  <c r="D505" i="3"/>
  <c r="I504" i="3"/>
  <c r="H504" i="3"/>
  <c r="G504" i="3"/>
  <c r="F504" i="3"/>
  <c r="E504" i="3"/>
  <c r="D504" i="3"/>
  <c r="I503" i="3"/>
  <c r="H503" i="3"/>
  <c r="G503" i="3"/>
  <c r="F503" i="3"/>
  <c r="E503" i="3"/>
  <c r="D503" i="3"/>
  <c r="I502" i="3"/>
  <c r="H502" i="3"/>
  <c r="G502" i="3"/>
  <c r="F502" i="3"/>
  <c r="E502" i="3"/>
  <c r="D502" i="3"/>
  <c r="I501" i="3"/>
  <c r="H501" i="3"/>
  <c r="G501" i="3"/>
  <c r="F501" i="3"/>
  <c r="E501" i="3"/>
  <c r="D501" i="3"/>
  <c r="I500" i="3"/>
  <c r="H500" i="3"/>
  <c r="G500" i="3"/>
  <c r="F500" i="3"/>
  <c r="E500" i="3"/>
  <c r="D500" i="3"/>
  <c r="I499" i="3"/>
  <c r="H499" i="3"/>
  <c r="G499" i="3"/>
  <c r="F499" i="3"/>
  <c r="E499" i="3"/>
  <c r="D499" i="3"/>
  <c r="I498" i="3"/>
  <c r="H498" i="3"/>
  <c r="G498" i="3"/>
  <c r="F498" i="3"/>
  <c r="E498" i="3"/>
  <c r="D498" i="3"/>
  <c r="I497" i="3"/>
  <c r="H497" i="3"/>
  <c r="G497" i="3"/>
  <c r="F497" i="3"/>
  <c r="E497" i="3"/>
  <c r="D497" i="3"/>
  <c r="I496" i="3"/>
  <c r="H496" i="3"/>
  <c r="G496" i="3"/>
  <c r="F496" i="3"/>
  <c r="E496" i="3"/>
  <c r="D496" i="3"/>
  <c r="I495" i="3"/>
  <c r="H495" i="3"/>
  <c r="G495" i="3"/>
  <c r="F495" i="3"/>
  <c r="E495" i="3"/>
  <c r="D495" i="3"/>
  <c r="I494" i="3"/>
  <c r="H494" i="3"/>
  <c r="G494" i="3"/>
  <c r="F494" i="3"/>
  <c r="E494" i="3"/>
  <c r="D494" i="3"/>
  <c r="I493" i="3"/>
  <c r="H493" i="3"/>
  <c r="G493" i="3"/>
  <c r="F493" i="3"/>
  <c r="E493" i="3"/>
  <c r="D493" i="3"/>
  <c r="I492" i="3"/>
  <c r="H492" i="3"/>
  <c r="G492" i="3"/>
  <c r="F492" i="3"/>
  <c r="E492" i="3"/>
  <c r="D492" i="3"/>
  <c r="I491" i="3"/>
  <c r="H491" i="3"/>
  <c r="G491" i="3"/>
  <c r="F491" i="3"/>
  <c r="E491" i="3"/>
  <c r="D491" i="3"/>
  <c r="I490" i="3"/>
  <c r="H490" i="3"/>
  <c r="G490" i="3"/>
  <c r="F490" i="3"/>
  <c r="E490" i="3"/>
  <c r="D490" i="3"/>
  <c r="I489" i="3"/>
  <c r="H489" i="3"/>
  <c r="G489" i="3"/>
  <c r="F489" i="3"/>
  <c r="E489" i="3"/>
  <c r="D489" i="3"/>
  <c r="I488" i="3"/>
  <c r="H488" i="3"/>
  <c r="G488" i="3"/>
  <c r="F488" i="3"/>
  <c r="E488" i="3"/>
  <c r="D488" i="3"/>
  <c r="I487" i="3"/>
  <c r="H487" i="3"/>
  <c r="G487" i="3"/>
  <c r="F487" i="3"/>
  <c r="E487" i="3"/>
  <c r="D487" i="3"/>
  <c r="N298" i="3"/>
  <c r="N297" i="3"/>
  <c r="N296" i="3"/>
  <c r="N295" i="3"/>
  <c r="N294" i="3"/>
  <c r="N293" i="3"/>
  <c r="N291" i="3"/>
  <c r="N290" i="3"/>
  <c r="N289" i="3"/>
  <c r="K298" i="3"/>
  <c r="K297" i="3"/>
  <c r="K296" i="3"/>
  <c r="K295" i="3"/>
  <c r="K294" i="3"/>
  <c r="K293" i="3"/>
  <c r="K291" i="3"/>
  <c r="K290" i="3"/>
  <c r="K289" i="3"/>
  <c r="N281" i="3"/>
  <c r="N282" i="3"/>
  <c r="N283" i="3"/>
  <c r="N284" i="3"/>
  <c r="N285" i="3"/>
  <c r="N286" i="3"/>
  <c r="N287" i="3"/>
  <c r="N288" i="3"/>
  <c r="K281" i="3"/>
  <c r="K282" i="3"/>
  <c r="K283" i="3"/>
  <c r="K284" i="3"/>
  <c r="K285" i="3"/>
  <c r="K286" i="3"/>
  <c r="K287" i="3"/>
  <c r="K288" i="3"/>
  <c r="N280" i="3"/>
  <c r="N279" i="3"/>
  <c r="N278" i="3"/>
  <c r="N277" i="3"/>
  <c r="N276" i="3"/>
  <c r="N275" i="3"/>
  <c r="N274" i="3"/>
  <c r="N273" i="3"/>
  <c r="K280" i="3"/>
  <c r="K279" i="3"/>
  <c r="K278" i="3"/>
  <c r="K277" i="3"/>
  <c r="K276" i="3"/>
  <c r="K275" i="3"/>
  <c r="K274" i="3"/>
  <c r="K273" i="3"/>
  <c r="I486" i="3"/>
  <c r="H486" i="3"/>
  <c r="G486" i="3"/>
  <c r="F486" i="3"/>
  <c r="E486" i="3"/>
  <c r="D486" i="3"/>
  <c r="I485" i="3"/>
  <c r="H485" i="3"/>
  <c r="G485" i="3"/>
  <c r="F485" i="3"/>
  <c r="E485" i="3"/>
  <c r="D485" i="3"/>
  <c r="I484" i="3"/>
  <c r="H484" i="3"/>
  <c r="G484" i="3"/>
  <c r="F484" i="3"/>
  <c r="E484" i="3"/>
  <c r="D484" i="3"/>
  <c r="I483" i="3"/>
  <c r="H483" i="3"/>
  <c r="G483" i="3"/>
  <c r="F483" i="3"/>
  <c r="E483" i="3"/>
  <c r="D483" i="3"/>
  <c r="I482" i="3"/>
  <c r="H482" i="3"/>
  <c r="G482" i="3"/>
  <c r="F482" i="3"/>
  <c r="E482" i="3"/>
  <c r="D482" i="3"/>
  <c r="I481" i="3"/>
  <c r="H481" i="3"/>
  <c r="G481" i="3"/>
  <c r="F481" i="3"/>
  <c r="E481" i="3"/>
  <c r="D481" i="3"/>
  <c r="I480" i="3"/>
  <c r="H480" i="3"/>
  <c r="G480" i="3"/>
  <c r="F480" i="3"/>
  <c r="E480" i="3"/>
  <c r="D480" i="3"/>
  <c r="I479" i="3"/>
  <c r="H479" i="3"/>
  <c r="G479" i="3"/>
  <c r="F479" i="3"/>
  <c r="E479" i="3"/>
  <c r="D479" i="3"/>
  <c r="I478" i="3"/>
  <c r="H478" i="3"/>
  <c r="G478" i="3"/>
  <c r="F478" i="3"/>
  <c r="E478" i="3"/>
  <c r="D478" i="3"/>
  <c r="I477" i="3"/>
  <c r="H477" i="3"/>
  <c r="G477" i="3"/>
  <c r="F477" i="3"/>
  <c r="E477" i="3"/>
  <c r="D477" i="3"/>
  <c r="I476" i="3"/>
  <c r="H476" i="3"/>
  <c r="G476" i="3"/>
  <c r="F476" i="3"/>
  <c r="E476" i="3"/>
  <c r="D476" i="3"/>
  <c r="I475" i="3"/>
  <c r="H475" i="3"/>
  <c r="G475" i="3"/>
  <c r="F475" i="3"/>
  <c r="E475" i="3"/>
  <c r="D475" i="3"/>
  <c r="I474" i="3"/>
  <c r="H474" i="3"/>
  <c r="G474" i="3"/>
  <c r="F474" i="3"/>
  <c r="E474" i="3"/>
  <c r="D474" i="3"/>
  <c r="I473" i="3"/>
  <c r="H473" i="3"/>
  <c r="G473" i="3"/>
  <c r="F473" i="3"/>
  <c r="E473" i="3"/>
  <c r="D473" i="3"/>
  <c r="I472" i="3"/>
  <c r="H472" i="3"/>
  <c r="G472" i="3"/>
  <c r="F472" i="3"/>
  <c r="E472" i="3"/>
  <c r="D472" i="3"/>
  <c r="I471" i="3"/>
  <c r="H471" i="3"/>
  <c r="G471" i="3"/>
  <c r="F471" i="3"/>
  <c r="E471" i="3"/>
  <c r="D471" i="3"/>
  <c r="I470" i="3"/>
  <c r="H470" i="3"/>
  <c r="G470" i="3"/>
  <c r="F470" i="3"/>
  <c r="E470" i="3"/>
  <c r="D470" i="3"/>
  <c r="I469" i="3"/>
  <c r="H469" i="3"/>
  <c r="G469" i="3"/>
  <c r="F469" i="3"/>
  <c r="E469" i="3"/>
  <c r="D469" i="3"/>
  <c r="I468" i="3"/>
  <c r="H468" i="3"/>
  <c r="G468" i="3"/>
  <c r="F468" i="3"/>
  <c r="E468" i="3"/>
  <c r="D468" i="3"/>
  <c r="I467" i="3"/>
  <c r="H467" i="3"/>
  <c r="G467" i="3"/>
  <c r="F467" i="3"/>
  <c r="E467" i="3"/>
  <c r="D467" i="3"/>
  <c r="D466" i="3"/>
  <c r="E466" i="3"/>
  <c r="F466" i="3"/>
  <c r="G466" i="3"/>
  <c r="H466" i="3"/>
  <c r="I466" i="3"/>
  <c r="N272" i="3"/>
  <c r="N271" i="3"/>
  <c r="K272" i="3"/>
  <c r="K271" i="3"/>
  <c r="D459" i="3"/>
  <c r="E459" i="3"/>
  <c r="F459" i="3"/>
  <c r="D460" i="3"/>
  <c r="E460" i="3"/>
  <c r="F460" i="3"/>
  <c r="D461" i="3"/>
  <c r="E461" i="3"/>
  <c r="F461" i="3"/>
  <c r="D462" i="3"/>
  <c r="E462" i="3"/>
  <c r="F462" i="3"/>
  <c r="D463" i="3"/>
  <c r="E463" i="3"/>
  <c r="F463" i="3"/>
  <c r="D464" i="3"/>
  <c r="E464" i="3"/>
  <c r="F464" i="3"/>
  <c r="D465" i="3"/>
  <c r="E465" i="3"/>
  <c r="F465" i="3"/>
  <c r="D430" i="3"/>
  <c r="E430" i="3"/>
  <c r="F430" i="3"/>
  <c r="D431" i="3"/>
  <c r="E431" i="3"/>
  <c r="F431" i="3"/>
  <c r="D432" i="3"/>
  <c r="E432" i="3"/>
  <c r="F432" i="3"/>
  <c r="D433" i="3"/>
  <c r="E433" i="3"/>
  <c r="F433" i="3"/>
  <c r="D434" i="3"/>
  <c r="E434" i="3"/>
  <c r="F434" i="3"/>
  <c r="D435" i="3"/>
  <c r="E435" i="3"/>
  <c r="F435" i="3"/>
  <c r="D436" i="3"/>
  <c r="E436" i="3"/>
  <c r="F436" i="3"/>
  <c r="D437" i="3"/>
  <c r="E437" i="3"/>
  <c r="F437" i="3"/>
  <c r="D438" i="3"/>
  <c r="E438" i="3"/>
  <c r="F438" i="3"/>
  <c r="D439" i="3"/>
  <c r="E439" i="3"/>
  <c r="F439" i="3"/>
  <c r="D440" i="3"/>
  <c r="E440" i="3"/>
  <c r="F440" i="3"/>
  <c r="D441" i="3"/>
  <c r="E441" i="3"/>
  <c r="F441" i="3"/>
  <c r="D442" i="3"/>
  <c r="E442" i="3"/>
  <c r="F442" i="3"/>
  <c r="D443" i="3"/>
  <c r="E443" i="3"/>
  <c r="F443" i="3"/>
  <c r="D444" i="3"/>
  <c r="E444" i="3"/>
  <c r="F444" i="3"/>
  <c r="D445" i="3"/>
  <c r="E445" i="3"/>
  <c r="F445" i="3"/>
  <c r="D446" i="3"/>
  <c r="E446" i="3"/>
  <c r="F446" i="3"/>
  <c r="D447" i="3"/>
  <c r="E447" i="3"/>
  <c r="F447" i="3"/>
  <c r="D448" i="3"/>
  <c r="E448" i="3"/>
  <c r="F448" i="3"/>
  <c r="D449" i="3"/>
  <c r="E449" i="3"/>
  <c r="F449" i="3"/>
  <c r="D450" i="3"/>
  <c r="E450" i="3"/>
  <c r="F450" i="3"/>
  <c r="D451" i="3"/>
  <c r="E451" i="3"/>
  <c r="F451" i="3"/>
  <c r="D452" i="3"/>
  <c r="E452" i="3"/>
  <c r="F452" i="3"/>
  <c r="D453" i="3"/>
  <c r="E453" i="3"/>
  <c r="F453" i="3"/>
  <c r="D454" i="3"/>
  <c r="E454" i="3"/>
  <c r="F454" i="3"/>
  <c r="D455" i="3"/>
  <c r="E455" i="3"/>
  <c r="F455" i="3"/>
  <c r="D456" i="3"/>
  <c r="E456" i="3"/>
  <c r="F456" i="3"/>
  <c r="D457" i="3"/>
  <c r="E457" i="3"/>
  <c r="F457" i="3"/>
  <c r="D458" i="3"/>
  <c r="E458" i="3"/>
  <c r="F458" i="3"/>
  <c r="G453" i="3"/>
  <c r="H453" i="3"/>
  <c r="I453" i="3"/>
  <c r="G454" i="3"/>
  <c r="H454" i="3"/>
  <c r="I454" i="3"/>
  <c r="G455" i="3"/>
  <c r="H455" i="3"/>
  <c r="I455" i="3"/>
  <c r="G456" i="3"/>
  <c r="H456" i="3"/>
  <c r="I456" i="3"/>
  <c r="G457" i="3"/>
  <c r="H457" i="3"/>
  <c r="I457" i="3"/>
  <c r="G458" i="3"/>
  <c r="H458" i="3"/>
  <c r="I458" i="3"/>
  <c r="G459" i="3"/>
  <c r="H459" i="3"/>
  <c r="I459" i="3"/>
  <c r="G460" i="3"/>
  <c r="H460" i="3"/>
  <c r="I460" i="3"/>
  <c r="G461" i="3"/>
  <c r="H461" i="3"/>
  <c r="I461" i="3"/>
  <c r="G462" i="3"/>
  <c r="H462" i="3"/>
  <c r="I462" i="3"/>
  <c r="G463" i="3"/>
  <c r="H463" i="3"/>
  <c r="I463" i="3"/>
  <c r="G464" i="3"/>
  <c r="H464" i="3"/>
  <c r="I464" i="3"/>
  <c r="G465" i="3"/>
  <c r="H465" i="3"/>
  <c r="I465" i="3"/>
  <c r="G430" i="3"/>
  <c r="H430" i="3"/>
  <c r="I430" i="3"/>
  <c r="G431" i="3"/>
  <c r="H431" i="3"/>
  <c r="I431" i="3"/>
  <c r="G432" i="3"/>
  <c r="H432" i="3"/>
  <c r="I432" i="3"/>
  <c r="G433" i="3"/>
  <c r="H433" i="3"/>
  <c r="I433" i="3"/>
  <c r="G434" i="3"/>
  <c r="H434" i="3"/>
  <c r="I434" i="3"/>
  <c r="G435" i="3"/>
  <c r="H435" i="3"/>
  <c r="I435" i="3"/>
  <c r="G436" i="3"/>
  <c r="H436" i="3"/>
  <c r="I436" i="3"/>
  <c r="G437" i="3"/>
  <c r="H437" i="3"/>
  <c r="I437" i="3"/>
  <c r="G438" i="3"/>
  <c r="H438" i="3"/>
  <c r="I438" i="3"/>
  <c r="G439" i="3"/>
  <c r="H439" i="3"/>
  <c r="I439" i="3"/>
  <c r="G440" i="3"/>
  <c r="H440" i="3"/>
  <c r="I440" i="3"/>
  <c r="G441" i="3"/>
  <c r="H441" i="3"/>
  <c r="I441" i="3"/>
  <c r="G442" i="3"/>
  <c r="H442" i="3"/>
  <c r="I442" i="3"/>
  <c r="G443" i="3"/>
  <c r="H443" i="3"/>
  <c r="I443" i="3"/>
  <c r="G444" i="3"/>
  <c r="H444" i="3"/>
  <c r="I444" i="3"/>
  <c r="G445" i="3"/>
  <c r="H445" i="3"/>
  <c r="I445" i="3"/>
  <c r="G446" i="3"/>
  <c r="H446" i="3"/>
  <c r="I446" i="3"/>
  <c r="G447" i="3"/>
  <c r="H447" i="3"/>
  <c r="I447" i="3"/>
  <c r="G448" i="3"/>
  <c r="H448" i="3"/>
  <c r="I448" i="3"/>
  <c r="G449" i="3"/>
  <c r="H449" i="3"/>
  <c r="I449" i="3"/>
  <c r="G450" i="3"/>
  <c r="H450" i="3"/>
  <c r="I450" i="3"/>
  <c r="G451" i="3"/>
  <c r="H451" i="3"/>
  <c r="I451" i="3"/>
  <c r="G452" i="3"/>
  <c r="H452" i="3"/>
  <c r="I452" i="3"/>
  <c r="K261" i="3"/>
  <c r="K262" i="3"/>
  <c r="K263" i="3"/>
  <c r="K264" i="3"/>
  <c r="K265" i="3"/>
  <c r="K266" i="3"/>
  <c r="K267" i="3"/>
  <c r="K268" i="3"/>
  <c r="K269" i="3"/>
  <c r="K270" i="3"/>
  <c r="N270" i="3"/>
  <c r="N269" i="3"/>
  <c r="N268" i="3"/>
  <c r="N267" i="3"/>
  <c r="N266" i="3"/>
  <c r="N265" i="3"/>
  <c r="N264" i="3"/>
  <c r="N263" i="3"/>
  <c r="N262" i="3"/>
  <c r="N261" i="3"/>
  <c r="I429" i="3" l="1"/>
  <c r="H429" i="3"/>
  <c r="G429" i="3"/>
  <c r="F429" i="3"/>
  <c r="E429" i="3"/>
  <c r="D429" i="3"/>
  <c r="I428" i="3"/>
  <c r="H428" i="3"/>
  <c r="G428" i="3"/>
  <c r="F428" i="3"/>
  <c r="E428" i="3"/>
  <c r="D428" i="3"/>
  <c r="I427" i="3"/>
  <c r="H427" i="3"/>
  <c r="G427" i="3"/>
  <c r="F427" i="3"/>
  <c r="E427" i="3"/>
  <c r="D427" i="3"/>
  <c r="I426" i="3"/>
  <c r="H426" i="3"/>
  <c r="G426" i="3"/>
  <c r="F426" i="3"/>
  <c r="E426" i="3"/>
  <c r="D426" i="3"/>
  <c r="I425" i="3"/>
  <c r="H425" i="3"/>
  <c r="G425" i="3"/>
  <c r="F425" i="3"/>
  <c r="E425" i="3"/>
  <c r="D425" i="3"/>
  <c r="I424" i="3"/>
  <c r="H424" i="3"/>
  <c r="G424" i="3"/>
  <c r="F424" i="3"/>
  <c r="E424" i="3"/>
  <c r="D424" i="3"/>
  <c r="I423" i="3"/>
  <c r="H423" i="3"/>
  <c r="G423" i="3"/>
  <c r="F423" i="3"/>
  <c r="E423" i="3"/>
  <c r="D423" i="3"/>
  <c r="N260" i="3"/>
  <c r="N259" i="3"/>
  <c r="N258" i="3"/>
  <c r="N257" i="3"/>
  <c r="K260" i="3"/>
  <c r="K259" i="3"/>
  <c r="K258" i="3"/>
  <c r="K257" i="3"/>
  <c r="N256" i="3"/>
  <c r="N255" i="3"/>
  <c r="K256" i="3"/>
  <c r="K255" i="3"/>
  <c r="N249" i="3"/>
  <c r="N248" i="3"/>
  <c r="K249" i="3"/>
  <c r="K248" i="3"/>
  <c r="I422" i="3"/>
  <c r="H422" i="3"/>
  <c r="G422" i="3"/>
  <c r="F422" i="3"/>
  <c r="E422" i="3"/>
  <c r="D422" i="3"/>
  <c r="I421" i="3"/>
  <c r="H421" i="3"/>
  <c r="G421" i="3"/>
  <c r="F421" i="3"/>
  <c r="E421" i="3"/>
  <c r="D421" i="3"/>
  <c r="I420" i="3"/>
  <c r="H420" i="3"/>
  <c r="G420" i="3"/>
  <c r="F420" i="3"/>
  <c r="E420" i="3"/>
  <c r="D420" i="3"/>
  <c r="I419" i="3"/>
  <c r="H419" i="3"/>
  <c r="G419" i="3"/>
  <c r="F419" i="3"/>
  <c r="E419" i="3"/>
  <c r="D419" i="3"/>
  <c r="I418" i="3"/>
  <c r="H418" i="3"/>
  <c r="G418" i="3"/>
  <c r="F418" i="3"/>
  <c r="E418" i="3"/>
  <c r="D418" i="3"/>
  <c r="I417" i="3"/>
  <c r="H417" i="3"/>
  <c r="G417" i="3"/>
  <c r="F417" i="3"/>
  <c r="E417" i="3"/>
  <c r="D417" i="3"/>
  <c r="I416" i="3"/>
  <c r="H416" i="3"/>
  <c r="G416" i="3"/>
  <c r="F416" i="3"/>
  <c r="E416" i="3"/>
  <c r="D416" i="3"/>
  <c r="N251" i="3" l="1"/>
  <c r="N250" i="3"/>
  <c r="K251" i="3"/>
  <c r="K250" i="3"/>
  <c r="N247" i="3"/>
  <c r="N246" i="3"/>
  <c r="N238" i="3"/>
  <c r="K247" i="3"/>
  <c r="K246" i="3"/>
  <c r="K238" i="3"/>
  <c r="K240" i="3"/>
  <c r="N240" i="3"/>
  <c r="K237" i="3"/>
  <c r="N237" i="3"/>
  <c r="N239" i="3"/>
  <c r="K239" i="3"/>
  <c r="N236" i="3"/>
  <c r="K236" i="3"/>
  <c r="I415" i="3"/>
  <c r="H415" i="3"/>
  <c r="G415" i="3"/>
  <c r="F415" i="3"/>
  <c r="E415" i="3"/>
  <c r="D415" i="3"/>
  <c r="I414" i="3"/>
  <c r="H414" i="3"/>
  <c r="G414" i="3"/>
  <c r="F414" i="3"/>
  <c r="E414" i="3"/>
  <c r="D414" i="3"/>
  <c r="I413" i="3"/>
  <c r="H413" i="3"/>
  <c r="G413" i="3"/>
  <c r="F413" i="3"/>
  <c r="E413" i="3"/>
  <c r="D413" i="3"/>
  <c r="I412" i="3"/>
  <c r="H412" i="3"/>
  <c r="G412" i="3"/>
  <c r="F412" i="3"/>
  <c r="E412" i="3"/>
  <c r="D412" i="3"/>
  <c r="I411" i="3"/>
  <c r="H411" i="3"/>
  <c r="G411" i="3"/>
  <c r="F411" i="3"/>
  <c r="E411" i="3"/>
  <c r="D411" i="3"/>
  <c r="I410" i="3"/>
  <c r="H410" i="3"/>
  <c r="G410" i="3"/>
  <c r="F410" i="3"/>
  <c r="E410" i="3"/>
  <c r="D410" i="3"/>
  <c r="I409" i="3"/>
  <c r="H409" i="3"/>
  <c r="G409" i="3"/>
  <c r="F409" i="3"/>
  <c r="E409" i="3"/>
  <c r="D409" i="3"/>
  <c r="N254" i="3"/>
  <c r="N253" i="3"/>
  <c r="N252" i="3"/>
  <c r="N245" i="3"/>
  <c r="N244" i="3"/>
  <c r="N243" i="3"/>
  <c r="N242" i="3"/>
  <c r="N241" i="3"/>
  <c r="N235" i="3"/>
  <c r="N234" i="3"/>
  <c r="N233" i="3"/>
  <c r="N232" i="3"/>
  <c r="N231" i="3"/>
  <c r="K254" i="3"/>
  <c r="K253" i="3"/>
  <c r="K252" i="3"/>
  <c r="K245" i="3"/>
  <c r="K244" i="3"/>
  <c r="K243" i="3"/>
  <c r="K242" i="3"/>
  <c r="K241" i="3"/>
  <c r="K235" i="3"/>
  <c r="K234" i="3"/>
  <c r="K233" i="3"/>
  <c r="K232" i="3"/>
  <c r="K231" i="3"/>
  <c r="BQ8" i="1"/>
  <c r="BR8" i="1"/>
  <c r="BS8" i="1"/>
  <c r="BT8" i="1"/>
  <c r="BU8" i="1"/>
  <c r="BV8" i="1"/>
  <c r="BW8" i="1"/>
  <c r="BX8" i="1"/>
  <c r="BY8" i="1"/>
  <c r="BZ8" i="1"/>
  <c r="CA8" i="1"/>
  <c r="CB8" i="1"/>
  <c r="CC8" i="1"/>
  <c r="CD8" i="1"/>
  <c r="CE8" i="1"/>
  <c r="CF8" i="1"/>
  <c r="CG8" i="1"/>
  <c r="CH8" i="1"/>
  <c r="CI8" i="1"/>
  <c r="CJ8" i="1"/>
  <c r="CK8" i="1"/>
  <c r="CL8" i="1"/>
  <c r="CM8" i="1"/>
  <c r="CN8" i="1"/>
  <c r="CO8" i="1"/>
  <c r="CP8" i="1"/>
  <c r="CQ8" i="1"/>
  <c r="CR8" i="1"/>
  <c r="CS8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BQ11" i="1"/>
  <c r="BR11" i="1"/>
  <c r="BS11" i="1"/>
  <c r="BT11" i="1"/>
  <c r="BU11" i="1"/>
  <c r="BV11" i="1"/>
  <c r="BW11" i="1"/>
  <c r="BX11" i="1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CM11" i="1"/>
  <c r="CN11" i="1"/>
  <c r="CO11" i="1"/>
  <c r="CP11" i="1"/>
  <c r="CQ11" i="1"/>
  <c r="CR11" i="1"/>
  <c r="CS11" i="1"/>
  <c r="I408" i="3"/>
  <c r="H408" i="3"/>
  <c r="G408" i="3"/>
  <c r="F408" i="3"/>
  <c r="E408" i="3"/>
  <c r="D408" i="3"/>
  <c r="I407" i="3"/>
  <c r="H407" i="3"/>
  <c r="G407" i="3"/>
  <c r="F407" i="3"/>
  <c r="E407" i="3"/>
  <c r="D407" i="3"/>
  <c r="I406" i="3"/>
  <c r="H406" i="3"/>
  <c r="G406" i="3"/>
  <c r="F406" i="3"/>
  <c r="E406" i="3"/>
  <c r="D406" i="3"/>
  <c r="I405" i="3"/>
  <c r="H405" i="3"/>
  <c r="G405" i="3"/>
  <c r="F405" i="3"/>
  <c r="E405" i="3"/>
  <c r="D405" i="3"/>
  <c r="I404" i="3"/>
  <c r="H404" i="3"/>
  <c r="G404" i="3"/>
  <c r="F404" i="3"/>
  <c r="E404" i="3"/>
  <c r="D404" i="3"/>
  <c r="I403" i="3"/>
  <c r="H403" i="3"/>
  <c r="G403" i="3"/>
  <c r="F403" i="3"/>
  <c r="E403" i="3"/>
  <c r="D403" i="3"/>
  <c r="I402" i="3"/>
  <c r="H402" i="3"/>
  <c r="G402" i="3"/>
  <c r="F402" i="3"/>
  <c r="E402" i="3"/>
  <c r="D402" i="3"/>
  <c r="N230" i="3"/>
  <c r="N229" i="3"/>
  <c r="N228" i="3"/>
  <c r="N227" i="3"/>
  <c r="N226" i="3"/>
  <c r="N225" i="3"/>
  <c r="K230" i="3"/>
  <c r="K229" i="3"/>
  <c r="K228" i="3"/>
  <c r="K227" i="3"/>
  <c r="K226" i="3"/>
  <c r="K225" i="3"/>
  <c r="K224" i="3"/>
  <c r="K223" i="3"/>
  <c r="N224" i="3"/>
  <c r="N223" i="3"/>
  <c r="N222" i="3"/>
  <c r="K222" i="3"/>
  <c r="N218" i="3"/>
  <c r="K218" i="3"/>
  <c r="I401" i="3" l="1"/>
  <c r="H401" i="3"/>
  <c r="G401" i="3"/>
  <c r="F401" i="3"/>
  <c r="E401" i="3"/>
  <c r="D401" i="3"/>
  <c r="I400" i="3"/>
  <c r="H400" i="3"/>
  <c r="G400" i="3"/>
  <c r="F400" i="3"/>
  <c r="E400" i="3"/>
  <c r="D400" i="3"/>
  <c r="I399" i="3"/>
  <c r="H399" i="3"/>
  <c r="G399" i="3"/>
  <c r="F399" i="3"/>
  <c r="E399" i="3"/>
  <c r="D399" i="3"/>
  <c r="I398" i="3"/>
  <c r="H398" i="3"/>
  <c r="G398" i="3"/>
  <c r="F398" i="3"/>
  <c r="E398" i="3"/>
  <c r="D398" i="3"/>
  <c r="I397" i="3"/>
  <c r="H397" i="3"/>
  <c r="G397" i="3"/>
  <c r="F397" i="3"/>
  <c r="E397" i="3"/>
  <c r="D397" i="3"/>
  <c r="I396" i="3"/>
  <c r="H396" i="3"/>
  <c r="G396" i="3"/>
  <c r="F396" i="3"/>
  <c r="E396" i="3"/>
  <c r="D396" i="3"/>
  <c r="I395" i="3"/>
  <c r="H395" i="3"/>
  <c r="G395" i="3"/>
  <c r="F395" i="3"/>
  <c r="E395" i="3"/>
  <c r="D395" i="3"/>
  <c r="F394" i="3"/>
  <c r="E394" i="3"/>
  <c r="D394" i="3"/>
  <c r="F393" i="3"/>
  <c r="E393" i="3"/>
  <c r="D393" i="3"/>
  <c r="F392" i="3"/>
  <c r="E392" i="3"/>
  <c r="D392" i="3"/>
  <c r="F391" i="3"/>
  <c r="E391" i="3"/>
  <c r="D391" i="3"/>
  <c r="F390" i="3"/>
  <c r="E390" i="3"/>
  <c r="D390" i="3"/>
  <c r="F389" i="3"/>
  <c r="E389" i="3"/>
  <c r="D389" i="3"/>
  <c r="F388" i="3"/>
  <c r="E388" i="3"/>
  <c r="D388" i="3"/>
  <c r="F387" i="3"/>
  <c r="E387" i="3"/>
  <c r="D387" i="3"/>
  <c r="F386" i="3"/>
  <c r="E386" i="3"/>
  <c r="D386" i="3"/>
  <c r="F385" i="3"/>
  <c r="E385" i="3"/>
  <c r="D385" i="3"/>
  <c r="F384" i="3"/>
  <c r="E384" i="3"/>
  <c r="D384" i="3"/>
  <c r="F383" i="3"/>
  <c r="E383" i="3"/>
  <c r="D383" i="3"/>
  <c r="F382" i="3"/>
  <c r="E382" i="3"/>
  <c r="D382" i="3"/>
  <c r="F381" i="3"/>
  <c r="E381" i="3"/>
  <c r="D381" i="3"/>
  <c r="I394" i="3"/>
  <c r="H394" i="3"/>
  <c r="G394" i="3"/>
  <c r="I393" i="3"/>
  <c r="H393" i="3"/>
  <c r="G393" i="3"/>
  <c r="I392" i="3"/>
  <c r="H392" i="3"/>
  <c r="G392" i="3"/>
  <c r="I391" i="3"/>
  <c r="H391" i="3"/>
  <c r="G391" i="3"/>
  <c r="I390" i="3"/>
  <c r="H390" i="3"/>
  <c r="G390" i="3"/>
  <c r="I389" i="3"/>
  <c r="H389" i="3"/>
  <c r="G389" i="3"/>
  <c r="I388" i="3"/>
  <c r="H388" i="3"/>
  <c r="G388" i="3"/>
  <c r="I387" i="3"/>
  <c r="H387" i="3"/>
  <c r="G387" i="3"/>
  <c r="I386" i="3"/>
  <c r="H386" i="3"/>
  <c r="G386" i="3"/>
  <c r="I385" i="3"/>
  <c r="H385" i="3"/>
  <c r="G385" i="3"/>
  <c r="I384" i="3"/>
  <c r="H384" i="3"/>
  <c r="G384" i="3"/>
  <c r="I383" i="3"/>
  <c r="H383" i="3"/>
  <c r="G383" i="3"/>
  <c r="I382" i="3"/>
  <c r="H382" i="3"/>
  <c r="G382" i="3"/>
  <c r="I381" i="3"/>
  <c r="H381" i="3"/>
  <c r="G381" i="3"/>
  <c r="N221" i="3"/>
  <c r="N220" i="3"/>
  <c r="N219" i="3"/>
  <c r="K221" i="3"/>
  <c r="K220" i="3"/>
  <c r="K219" i="3"/>
  <c r="N217" i="3"/>
  <c r="N216" i="3"/>
  <c r="N215" i="3"/>
  <c r="K217" i="3"/>
  <c r="K216" i="3"/>
  <c r="K215" i="3"/>
  <c r="N211" i="3"/>
  <c r="N210" i="3"/>
  <c r="N209" i="3"/>
  <c r="K211" i="3"/>
  <c r="K210" i="3"/>
  <c r="K209" i="3"/>
  <c r="N214" i="3"/>
  <c r="N213" i="3"/>
  <c r="N212" i="3"/>
  <c r="N208" i="3"/>
  <c r="K208" i="3"/>
  <c r="N207" i="3"/>
  <c r="N206" i="3"/>
  <c r="N205" i="3"/>
  <c r="N204" i="3"/>
  <c r="N203" i="3"/>
  <c r="K214" i="3"/>
  <c r="K213" i="3"/>
  <c r="K212" i="3"/>
  <c r="K207" i="3"/>
  <c r="K206" i="3"/>
  <c r="K205" i="3"/>
  <c r="K204" i="3"/>
  <c r="K203" i="3"/>
  <c r="N202" i="3"/>
  <c r="N201" i="3"/>
  <c r="N200" i="3"/>
  <c r="N199" i="3"/>
  <c r="N198" i="3"/>
  <c r="N197" i="3"/>
  <c r="N196" i="3"/>
  <c r="N195" i="3"/>
  <c r="N194" i="3"/>
  <c r="N193" i="3"/>
  <c r="N192" i="3"/>
  <c r="N191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N190" i="3"/>
  <c r="N186" i="3"/>
  <c r="N185" i="3"/>
  <c r="N184" i="3"/>
  <c r="N183" i="3"/>
  <c r="K186" i="3"/>
  <c r="K185" i="3"/>
  <c r="K184" i="3"/>
  <c r="K183" i="3"/>
  <c r="N189" i="3"/>
  <c r="K189" i="3"/>
  <c r="I372" i="3"/>
  <c r="H372" i="3"/>
  <c r="G372" i="3"/>
  <c r="F372" i="3"/>
  <c r="E372" i="3"/>
  <c r="D372" i="3"/>
  <c r="I371" i="3"/>
  <c r="H371" i="3"/>
  <c r="G371" i="3"/>
  <c r="F371" i="3"/>
  <c r="E371" i="3"/>
  <c r="D371" i="3"/>
  <c r="I370" i="3"/>
  <c r="H370" i="3"/>
  <c r="G370" i="3"/>
  <c r="F370" i="3"/>
  <c r="E370" i="3"/>
  <c r="D370" i="3"/>
  <c r="I373" i="3"/>
  <c r="H373" i="3"/>
  <c r="G373" i="3"/>
  <c r="F373" i="3"/>
  <c r="E373" i="3"/>
  <c r="D373" i="3"/>
  <c r="I369" i="3"/>
  <c r="H369" i="3"/>
  <c r="G369" i="3"/>
  <c r="F369" i="3"/>
  <c r="E369" i="3"/>
  <c r="D369" i="3"/>
  <c r="I380" i="3"/>
  <c r="H380" i="3"/>
  <c r="G380" i="3"/>
  <c r="F380" i="3"/>
  <c r="E380" i="3"/>
  <c r="D380" i="3"/>
  <c r="I379" i="3"/>
  <c r="H379" i="3"/>
  <c r="G379" i="3"/>
  <c r="F379" i="3"/>
  <c r="E379" i="3"/>
  <c r="D379" i="3"/>
  <c r="I378" i="3"/>
  <c r="H378" i="3"/>
  <c r="G378" i="3"/>
  <c r="F378" i="3"/>
  <c r="E378" i="3"/>
  <c r="D378" i="3"/>
  <c r="I377" i="3"/>
  <c r="H377" i="3"/>
  <c r="G377" i="3"/>
  <c r="F377" i="3"/>
  <c r="E377" i="3"/>
  <c r="D377" i="3"/>
  <c r="I376" i="3"/>
  <c r="H376" i="3"/>
  <c r="G376" i="3"/>
  <c r="F376" i="3"/>
  <c r="E376" i="3"/>
  <c r="D376" i="3"/>
  <c r="I375" i="3"/>
  <c r="H375" i="3"/>
  <c r="G375" i="3"/>
  <c r="F375" i="3"/>
  <c r="E375" i="3"/>
  <c r="D375" i="3"/>
  <c r="I374" i="3"/>
  <c r="H374" i="3"/>
  <c r="G374" i="3"/>
  <c r="F374" i="3"/>
  <c r="E374" i="3"/>
  <c r="D374" i="3"/>
  <c r="I368" i="3"/>
  <c r="H368" i="3"/>
  <c r="G368" i="3"/>
  <c r="F368" i="3"/>
  <c r="E368" i="3"/>
  <c r="D368" i="3"/>
  <c r="I367" i="3"/>
  <c r="H367" i="3"/>
  <c r="G367" i="3"/>
  <c r="F367" i="3"/>
  <c r="E367" i="3"/>
  <c r="D367" i="3"/>
  <c r="I366" i="3"/>
  <c r="H366" i="3"/>
  <c r="G366" i="3"/>
  <c r="F366" i="3"/>
  <c r="E366" i="3"/>
  <c r="D366" i="3"/>
  <c r="I365" i="3"/>
  <c r="H365" i="3"/>
  <c r="G365" i="3"/>
  <c r="F365" i="3"/>
  <c r="E365" i="3"/>
  <c r="D365" i="3"/>
  <c r="I364" i="3"/>
  <c r="H364" i="3"/>
  <c r="G364" i="3"/>
  <c r="F364" i="3"/>
  <c r="E364" i="3"/>
  <c r="D364" i="3"/>
  <c r="I363" i="3"/>
  <c r="H363" i="3"/>
  <c r="G363" i="3"/>
  <c r="F363" i="3"/>
  <c r="E363" i="3"/>
  <c r="D363" i="3"/>
  <c r="N188" i="3"/>
  <c r="K188" i="3"/>
  <c r="I188" i="3"/>
  <c r="H188" i="3"/>
  <c r="G188" i="3"/>
  <c r="F188" i="3"/>
  <c r="E188" i="3"/>
  <c r="D188" i="3"/>
  <c r="N187" i="3"/>
  <c r="K187" i="3"/>
  <c r="I187" i="3"/>
  <c r="H187" i="3"/>
  <c r="G187" i="3"/>
  <c r="F187" i="3"/>
  <c r="E187" i="3"/>
  <c r="D187" i="3"/>
  <c r="I186" i="3"/>
  <c r="H186" i="3"/>
  <c r="G186" i="3"/>
  <c r="F186" i="3"/>
  <c r="E186" i="3"/>
  <c r="D186" i="3"/>
  <c r="I185" i="3"/>
  <c r="H185" i="3"/>
  <c r="G185" i="3"/>
  <c r="F185" i="3"/>
  <c r="E185" i="3"/>
  <c r="D185" i="3"/>
  <c r="I184" i="3"/>
  <c r="H184" i="3"/>
  <c r="G184" i="3"/>
  <c r="F184" i="3"/>
  <c r="E184" i="3"/>
  <c r="D184" i="3"/>
  <c r="I183" i="3"/>
  <c r="H183" i="3"/>
  <c r="G183" i="3"/>
  <c r="F183" i="3"/>
  <c r="E183" i="3"/>
  <c r="D183" i="3"/>
  <c r="N182" i="3"/>
  <c r="K182" i="3"/>
  <c r="I182" i="3"/>
  <c r="H182" i="3"/>
  <c r="G182" i="3"/>
  <c r="F182" i="3"/>
  <c r="E182" i="3"/>
  <c r="D182" i="3"/>
  <c r="N181" i="3"/>
  <c r="K181" i="3"/>
  <c r="I181" i="3"/>
  <c r="H181" i="3"/>
  <c r="G181" i="3"/>
  <c r="F181" i="3"/>
  <c r="E181" i="3"/>
  <c r="D181" i="3"/>
  <c r="N180" i="3"/>
  <c r="K180" i="3"/>
  <c r="I180" i="3"/>
  <c r="H180" i="3"/>
  <c r="G180" i="3"/>
  <c r="F180" i="3"/>
  <c r="E180" i="3"/>
  <c r="D180" i="3"/>
  <c r="N179" i="3"/>
  <c r="K179" i="3"/>
  <c r="I179" i="3"/>
  <c r="H179" i="3"/>
  <c r="G179" i="3"/>
  <c r="F179" i="3"/>
  <c r="E179" i="3"/>
  <c r="D179" i="3"/>
  <c r="N178" i="3"/>
  <c r="K178" i="3"/>
  <c r="I178" i="3"/>
  <c r="H178" i="3"/>
  <c r="G178" i="3"/>
  <c r="F178" i="3"/>
  <c r="E178" i="3"/>
  <c r="D178" i="3"/>
  <c r="N177" i="3"/>
  <c r="K177" i="3"/>
  <c r="I177" i="3"/>
  <c r="H177" i="3"/>
  <c r="G177" i="3"/>
  <c r="F177" i="3"/>
  <c r="E177" i="3"/>
  <c r="D177" i="3"/>
  <c r="N176" i="3"/>
  <c r="K176" i="3"/>
  <c r="I176" i="3"/>
  <c r="H176" i="3"/>
  <c r="G176" i="3"/>
  <c r="F176" i="3"/>
  <c r="E176" i="3"/>
  <c r="D176" i="3"/>
  <c r="N175" i="3"/>
  <c r="K175" i="3"/>
  <c r="I175" i="3"/>
  <c r="H175" i="3"/>
  <c r="G175" i="3"/>
  <c r="F175" i="3"/>
  <c r="E175" i="3"/>
  <c r="D175" i="3"/>
  <c r="N174" i="3"/>
  <c r="K174" i="3"/>
  <c r="I174" i="3"/>
  <c r="H174" i="3"/>
  <c r="G174" i="3"/>
  <c r="F174" i="3"/>
  <c r="E174" i="3"/>
  <c r="D174" i="3"/>
  <c r="N173" i="3"/>
  <c r="K173" i="3"/>
  <c r="I173" i="3"/>
  <c r="H173" i="3"/>
  <c r="G173" i="3"/>
  <c r="F173" i="3"/>
  <c r="E173" i="3"/>
  <c r="D173" i="3"/>
  <c r="N172" i="3"/>
  <c r="K172" i="3"/>
  <c r="I172" i="3"/>
  <c r="H172" i="3"/>
  <c r="G172" i="3"/>
  <c r="F172" i="3"/>
  <c r="E172" i="3"/>
  <c r="D172" i="3"/>
  <c r="N171" i="3"/>
  <c r="K171" i="3"/>
  <c r="I171" i="3"/>
  <c r="H171" i="3"/>
  <c r="G171" i="3"/>
  <c r="F171" i="3"/>
  <c r="E171" i="3"/>
  <c r="D171" i="3"/>
  <c r="N170" i="3"/>
  <c r="K170" i="3"/>
  <c r="I170" i="3"/>
  <c r="H170" i="3"/>
  <c r="G170" i="3"/>
  <c r="F170" i="3"/>
  <c r="E170" i="3"/>
  <c r="D170" i="3"/>
  <c r="I362" i="3"/>
  <c r="H362" i="3"/>
  <c r="G362" i="3"/>
  <c r="F362" i="3"/>
  <c r="E362" i="3"/>
  <c r="D362" i="3"/>
  <c r="I361" i="3"/>
  <c r="H361" i="3"/>
  <c r="G361" i="3"/>
  <c r="F361" i="3"/>
  <c r="E361" i="3"/>
  <c r="D361" i="3"/>
  <c r="I360" i="3"/>
  <c r="H360" i="3"/>
  <c r="G360" i="3"/>
  <c r="F360" i="3"/>
  <c r="E360" i="3"/>
  <c r="D360" i="3"/>
  <c r="I359" i="3"/>
  <c r="H359" i="3"/>
  <c r="G359" i="3"/>
  <c r="F359" i="3"/>
  <c r="E359" i="3"/>
  <c r="D359" i="3"/>
  <c r="I358" i="3"/>
  <c r="H358" i="3"/>
  <c r="G358" i="3"/>
  <c r="F358" i="3"/>
  <c r="E358" i="3"/>
  <c r="D358" i="3"/>
  <c r="I357" i="3"/>
  <c r="H357" i="3"/>
  <c r="G357" i="3"/>
  <c r="F357" i="3"/>
  <c r="E357" i="3"/>
  <c r="D357" i="3"/>
  <c r="I356" i="3"/>
  <c r="H356" i="3"/>
  <c r="G356" i="3"/>
  <c r="F356" i="3"/>
  <c r="E356" i="3"/>
  <c r="D356" i="3"/>
  <c r="I355" i="3"/>
  <c r="H355" i="3"/>
  <c r="G355" i="3"/>
  <c r="F355" i="3"/>
  <c r="E355" i="3"/>
  <c r="D355" i="3"/>
  <c r="I354" i="3"/>
  <c r="H354" i="3"/>
  <c r="G354" i="3"/>
  <c r="F354" i="3"/>
  <c r="E354" i="3"/>
  <c r="D354" i="3"/>
  <c r="I353" i="3"/>
  <c r="H353" i="3"/>
  <c r="G353" i="3"/>
  <c r="F353" i="3"/>
  <c r="E353" i="3"/>
  <c r="D353" i="3"/>
  <c r="I352" i="3"/>
  <c r="H352" i="3"/>
  <c r="G352" i="3"/>
  <c r="F352" i="3"/>
  <c r="E352" i="3"/>
  <c r="D352" i="3"/>
  <c r="I351" i="3"/>
  <c r="H351" i="3"/>
  <c r="G351" i="3"/>
  <c r="F351" i="3"/>
  <c r="E351" i="3"/>
  <c r="D351" i="3"/>
  <c r="I350" i="3"/>
  <c r="H350" i="3"/>
  <c r="G350" i="3"/>
  <c r="F350" i="3"/>
  <c r="E350" i="3"/>
  <c r="D350" i="3"/>
  <c r="I349" i="3"/>
  <c r="H349" i="3"/>
  <c r="G349" i="3"/>
  <c r="F349" i="3"/>
  <c r="E349" i="3"/>
  <c r="D349" i="3"/>
  <c r="I348" i="3"/>
  <c r="H348" i="3"/>
  <c r="G348" i="3"/>
  <c r="F348" i="3"/>
  <c r="E348" i="3"/>
  <c r="D348" i="3"/>
  <c r="I347" i="3"/>
  <c r="H347" i="3"/>
  <c r="G347" i="3"/>
  <c r="F347" i="3"/>
  <c r="E347" i="3"/>
  <c r="D347" i="3"/>
  <c r="I346" i="3"/>
  <c r="H346" i="3"/>
  <c r="G346" i="3"/>
  <c r="F346" i="3"/>
  <c r="E346" i="3"/>
  <c r="D346" i="3"/>
  <c r="I345" i="3"/>
  <c r="H345" i="3"/>
  <c r="G345" i="3"/>
  <c r="F345" i="3"/>
  <c r="E345" i="3"/>
  <c r="D345" i="3"/>
  <c r="I344" i="3"/>
  <c r="H344" i="3"/>
  <c r="G344" i="3"/>
  <c r="F344" i="3"/>
  <c r="E344" i="3"/>
  <c r="D344" i="3"/>
  <c r="I343" i="3"/>
  <c r="H343" i="3"/>
  <c r="G343" i="3"/>
  <c r="F343" i="3"/>
  <c r="E343" i="3"/>
  <c r="D343" i="3"/>
  <c r="I342" i="3"/>
  <c r="H342" i="3"/>
  <c r="G342" i="3"/>
  <c r="F342" i="3"/>
  <c r="E342" i="3"/>
  <c r="D342" i="3"/>
  <c r="I341" i="3"/>
  <c r="H341" i="3"/>
  <c r="G341" i="3"/>
  <c r="F341" i="3"/>
  <c r="E341" i="3"/>
  <c r="D341" i="3"/>
  <c r="I340" i="3"/>
  <c r="H340" i="3"/>
  <c r="G340" i="3"/>
  <c r="F340" i="3"/>
  <c r="E340" i="3"/>
  <c r="D340" i="3"/>
  <c r="I339" i="3"/>
  <c r="H339" i="3"/>
  <c r="G339" i="3"/>
  <c r="F339" i="3"/>
  <c r="E339" i="3"/>
  <c r="D339" i="3"/>
  <c r="I338" i="3"/>
  <c r="H338" i="3"/>
  <c r="G338" i="3"/>
  <c r="F338" i="3"/>
  <c r="E338" i="3"/>
  <c r="D338" i="3"/>
  <c r="I337" i="3"/>
  <c r="H337" i="3"/>
  <c r="G337" i="3"/>
  <c r="F337" i="3"/>
  <c r="E337" i="3"/>
  <c r="D337" i="3"/>
  <c r="I336" i="3"/>
  <c r="H336" i="3"/>
  <c r="G336" i="3"/>
  <c r="F336" i="3"/>
  <c r="E336" i="3"/>
  <c r="D336" i="3"/>
  <c r="I335" i="3"/>
  <c r="H335" i="3"/>
  <c r="G335" i="3"/>
  <c r="F335" i="3"/>
  <c r="E335" i="3"/>
  <c r="D335" i="3"/>
  <c r="K169" i="3"/>
  <c r="K168" i="3"/>
  <c r="K167" i="3"/>
  <c r="K166" i="3"/>
  <c r="K165" i="3"/>
  <c r="K164" i="3"/>
  <c r="K163" i="3"/>
  <c r="K162" i="3"/>
  <c r="N169" i="3"/>
  <c r="N168" i="3"/>
  <c r="N167" i="3"/>
  <c r="N166" i="3"/>
  <c r="N165" i="3"/>
  <c r="N164" i="3"/>
  <c r="N163" i="3"/>
  <c r="N162" i="3"/>
  <c r="K144" i="3" l="1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34" i="3"/>
  <c r="K135" i="3"/>
  <c r="K136" i="3"/>
  <c r="K137" i="3"/>
  <c r="K138" i="3"/>
  <c r="K139" i="3"/>
  <c r="K140" i="3"/>
  <c r="K141" i="3"/>
  <c r="K142" i="3"/>
  <c r="K143" i="3"/>
  <c r="K130" i="3"/>
  <c r="K131" i="3"/>
  <c r="K132" i="3"/>
  <c r="K133" i="3"/>
  <c r="N161" i="3"/>
  <c r="N160" i="3"/>
  <c r="N159" i="3"/>
  <c r="N158" i="3"/>
  <c r="N157" i="3"/>
  <c r="N156" i="3"/>
  <c r="N155" i="3"/>
  <c r="N154" i="3"/>
  <c r="N153" i="3"/>
  <c r="N152" i="3"/>
  <c r="N151" i="3"/>
  <c r="N150" i="3"/>
  <c r="N149" i="3"/>
  <c r="N148" i="3"/>
  <c r="N147" i="3"/>
  <c r="N146" i="3"/>
  <c r="N145" i="3"/>
  <c r="N144" i="3"/>
  <c r="N143" i="3"/>
  <c r="N142" i="3"/>
  <c r="N141" i="3"/>
  <c r="N140" i="3"/>
  <c r="N139" i="3"/>
  <c r="N138" i="3"/>
  <c r="N137" i="3"/>
  <c r="N136" i="3"/>
  <c r="N135" i="3"/>
  <c r="N134" i="3"/>
  <c r="N133" i="3"/>
  <c r="N132" i="3"/>
  <c r="N131" i="3"/>
  <c r="N130" i="3"/>
  <c r="N129" i="3"/>
  <c r="N128" i="3"/>
  <c r="N127" i="3"/>
  <c r="N126" i="3"/>
  <c r="N125" i="3"/>
  <c r="N124" i="3"/>
  <c r="N123" i="3"/>
  <c r="N122" i="3"/>
  <c r="N121" i="3"/>
  <c r="N120" i="3"/>
  <c r="N119" i="3"/>
  <c r="N118" i="3"/>
  <c r="N117" i="3"/>
  <c r="N116" i="3"/>
  <c r="N115" i="3"/>
  <c r="N114" i="3"/>
  <c r="N113" i="3"/>
  <c r="N112" i="3"/>
  <c r="N111" i="3"/>
  <c r="N110" i="3"/>
  <c r="N109" i="3"/>
  <c r="N108" i="3"/>
  <c r="N107" i="3"/>
  <c r="N106" i="3"/>
  <c r="N105" i="3"/>
  <c r="N104" i="3"/>
  <c r="N103" i="3"/>
  <c r="N102" i="3"/>
  <c r="N101" i="3"/>
  <c r="N100" i="3"/>
  <c r="N99" i="3"/>
  <c r="N98" i="3"/>
  <c r="N97" i="3"/>
  <c r="N96" i="3"/>
  <c r="N95" i="3"/>
  <c r="N94" i="3"/>
  <c r="N93" i="3"/>
  <c r="N92" i="3"/>
  <c r="N91" i="3"/>
  <c r="N90" i="3"/>
  <c r="N89" i="3"/>
  <c r="N88" i="3"/>
  <c r="N87" i="3"/>
  <c r="N86" i="3"/>
  <c r="N85" i="3"/>
  <c r="N84" i="3"/>
  <c r="N83" i="3"/>
  <c r="N82" i="3"/>
  <c r="N81" i="3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62" i="3"/>
  <c r="N61" i="3"/>
  <c r="N60" i="3"/>
  <c r="N59" i="3"/>
  <c r="N58" i="3"/>
  <c r="N57" i="3"/>
  <c r="N56" i="3"/>
  <c r="N55" i="3"/>
  <c r="N54" i="3"/>
  <c r="N53" i="3"/>
  <c r="N52" i="3"/>
  <c r="N51" i="3"/>
  <c r="N50" i="3"/>
  <c r="N49" i="3"/>
  <c r="N48" i="3"/>
  <c r="N47" i="3"/>
  <c r="N46" i="3"/>
  <c r="N45" i="3"/>
  <c r="N44" i="3"/>
  <c r="N43" i="3"/>
  <c r="N42" i="3"/>
  <c r="N41" i="3"/>
  <c r="N40" i="3"/>
  <c r="N39" i="3"/>
  <c r="N38" i="3"/>
  <c r="N37" i="3"/>
  <c r="N36" i="3"/>
  <c r="N35" i="3"/>
  <c r="N34" i="3"/>
  <c r="N33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D3" i="3"/>
  <c r="E3" i="3"/>
  <c r="F3" i="3"/>
  <c r="G3" i="3"/>
  <c r="H3" i="3"/>
  <c r="I3" i="3"/>
  <c r="D4" i="3"/>
  <c r="E4" i="3"/>
  <c r="F4" i="3"/>
  <c r="G4" i="3"/>
  <c r="H4" i="3"/>
  <c r="I4" i="3"/>
  <c r="D5" i="3"/>
  <c r="E5" i="3"/>
  <c r="F5" i="3"/>
  <c r="G5" i="3"/>
  <c r="H5" i="3"/>
  <c r="I5" i="3"/>
  <c r="D6" i="3"/>
  <c r="E6" i="3"/>
  <c r="F6" i="3"/>
  <c r="G6" i="3"/>
  <c r="H6" i="3"/>
  <c r="I6" i="3"/>
  <c r="D7" i="3"/>
  <c r="E7" i="3"/>
  <c r="F7" i="3"/>
  <c r="G7" i="3"/>
  <c r="H7" i="3"/>
  <c r="I7" i="3"/>
  <c r="D8" i="3"/>
  <c r="E8" i="3"/>
  <c r="F8" i="3"/>
  <c r="G8" i="3"/>
  <c r="H8" i="3"/>
  <c r="I8" i="3"/>
  <c r="D9" i="3"/>
  <c r="E9" i="3"/>
  <c r="F9" i="3"/>
  <c r="G9" i="3"/>
  <c r="H9" i="3"/>
  <c r="I9" i="3"/>
  <c r="D10" i="3"/>
  <c r="E10" i="3"/>
  <c r="F10" i="3"/>
  <c r="G10" i="3"/>
  <c r="H10" i="3"/>
  <c r="I10" i="3"/>
  <c r="D11" i="3"/>
  <c r="E11" i="3"/>
  <c r="F11" i="3"/>
  <c r="G11" i="3"/>
  <c r="H11" i="3"/>
  <c r="I11" i="3"/>
  <c r="D12" i="3"/>
  <c r="E12" i="3"/>
  <c r="F12" i="3"/>
  <c r="G12" i="3"/>
  <c r="H12" i="3"/>
  <c r="I12" i="3"/>
  <c r="D13" i="3"/>
  <c r="E13" i="3"/>
  <c r="F13" i="3"/>
  <c r="G13" i="3"/>
  <c r="H13" i="3"/>
  <c r="I13" i="3"/>
  <c r="D14" i="3"/>
  <c r="E14" i="3"/>
  <c r="F14" i="3"/>
  <c r="G14" i="3"/>
  <c r="H14" i="3"/>
  <c r="I14" i="3"/>
  <c r="D15" i="3"/>
  <c r="E15" i="3"/>
  <c r="F15" i="3"/>
  <c r="G15" i="3"/>
  <c r="H15" i="3"/>
  <c r="I15" i="3"/>
  <c r="D16" i="3"/>
  <c r="E16" i="3"/>
  <c r="F16" i="3"/>
  <c r="G16" i="3"/>
  <c r="H16" i="3"/>
  <c r="I16" i="3"/>
  <c r="D17" i="3"/>
  <c r="E17" i="3"/>
  <c r="F17" i="3"/>
  <c r="G17" i="3"/>
  <c r="H17" i="3"/>
  <c r="I17" i="3"/>
  <c r="D18" i="3"/>
  <c r="E18" i="3"/>
  <c r="F18" i="3"/>
  <c r="G18" i="3"/>
  <c r="H18" i="3"/>
  <c r="I18" i="3"/>
  <c r="D19" i="3"/>
  <c r="E19" i="3"/>
  <c r="F19" i="3"/>
  <c r="G19" i="3"/>
  <c r="H19" i="3"/>
  <c r="I19" i="3"/>
  <c r="D20" i="3"/>
  <c r="E20" i="3"/>
  <c r="F20" i="3"/>
  <c r="G20" i="3"/>
  <c r="H20" i="3"/>
  <c r="I20" i="3"/>
  <c r="D21" i="3"/>
  <c r="E21" i="3"/>
  <c r="F21" i="3"/>
  <c r="G21" i="3"/>
  <c r="H21" i="3"/>
  <c r="I21" i="3"/>
  <c r="D22" i="3"/>
  <c r="E22" i="3"/>
  <c r="F22" i="3"/>
  <c r="G22" i="3"/>
  <c r="H22" i="3"/>
  <c r="I22" i="3"/>
  <c r="D23" i="3"/>
  <c r="E23" i="3"/>
  <c r="F23" i="3"/>
  <c r="G23" i="3"/>
  <c r="H23" i="3"/>
  <c r="I23" i="3"/>
  <c r="D24" i="3"/>
  <c r="E24" i="3"/>
  <c r="F24" i="3"/>
  <c r="G24" i="3"/>
  <c r="H24" i="3"/>
  <c r="I24" i="3"/>
  <c r="D25" i="3"/>
  <c r="E25" i="3"/>
  <c r="F25" i="3"/>
  <c r="G25" i="3"/>
  <c r="H25" i="3"/>
  <c r="I25" i="3"/>
  <c r="D26" i="3"/>
  <c r="E26" i="3"/>
  <c r="F26" i="3"/>
  <c r="G26" i="3"/>
  <c r="H26" i="3"/>
  <c r="I26" i="3"/>
  <c r="D27" i="3"/>
  <c r="E27" i="3"/>
  <c r="F27" i="3"/>
  <c r="G27" i="3"/>
  <c r="H27" i="3"/>
  <c r="I27" i="3"/>
  <c r="D28" i="3"/>
  <c r="E28" i="3"/>
  <c r="F28" i="3"/>
  <c r="G28" i="3"/>
  <c r="H28" i="3"/>
  <c r="I28" i="3"/>
  <c r="D29" i="3"/>
  <c r="E29" i="3"/>
  <c r="F29" i="3"/>
  <c r="G29" i="3"/>
  <c r="H29" i="3"/>
  <c r="I29" i="3"/>
  <c r="D30" i="3"/>
  <c r="E30" i="3"/>
  <c r="F30" i="3"/>
  <c r="G30" i="3"/>
  <c r="H30" i="3"/>
  <c r="I30" i="3"/>
  <c r="D31" i="3"/>
  <c r="E31" i="3"/>
  <c r="F31" i="3"/>
  <c r="G31" i="3"/>
  <c r="H31" i="3"/>
  <c r="I31" i="3"/>
  <c r="D32" i="3"/>
  <c r="E32" i="3"/>
  <c r="F32" i="3"/>
  <c r="G32" i="3"/>
  <c r="H32" i="3"/>
  <c r="I32" i="3"/>
  <c r="D33" i="3"/>
  <c r="E33" i="3"/>
  <c r="F33" i="3"/>
  <c r="G33" i="3"/>
  <c r="H33" i="3"/>
  <c r="I33" i="3"/>
  <c r="D34" i="3"/>
  <c r="E34" i="3"/>
  <c r="F34" i="3"/>
  <c r="G34" i="3"/>
  <c r="H34" i="3"/>
  <c r="I34" i="3"/>
  <c r="D35" i="3"/>
  <c r="E35" i="3"/>
  <c r="F35" i="3"/>
  <c r="G35" i="3"/>
  <c r="H35" i="3"/>
  <c r="I35" i="3"/>
  <c r="D36" i="3"/>
  <c r="E36" i="3"/>
  <c r="F36" i="3"/>
  <c r="G36" i="3"/>
  <c r="H36" i="3"/>
  <c r="I36" i="3"/>
  <c r="D37" i="3"/>
  <c r="E37" i="3"/>
  <c r="F37" i="3"/>
  <c r="G37" i="3"/>
  <c r="H37" i="3"/>
  <c r="I37" i="3"/>
  <c r="D38" i="3"/>
  <c r="E38" i="3"/>
  <c r="F38" i="3"/>
  <c r="G38" i="3"/>
  <c r="H38" i="3"/>
  <c r="I38" i="3"/>
  <c r="D39" i="3"/>
  <c r="E39" i="3"/>
  <c r="F39" i="3"/>
  <c r="G39" i="3"/>
  <c r="H39" i="3"/>
  <c r="I39" i="3"/>
  <c r="D40" i="3"/>
  <c r="E40" i="3"/>
  <c r="F40" i="3"/>
  <c r="G40" i="3"/>
  <c r="H40" i="3"/>
  <c r="I40" i="3"/>
  <c r="D41" i="3"/>
  <c r="E41" i="3"/>
  <c r="F41" i="3"/>
  <c r="G41" i="3"/>
  <c r="H41" i="3"/>
  <c r="I41" i="3"/>
  <c r="D42" i="3"/>
  <c r="E42" i="3"/>
  <c r="F42" i="3"/>
  <c r="G42" i="3"/>
  <c r="H42" i="3"/>
  <c r="I42" i="3"/>
  <c r="D43" i="3"/>
  <c r="E43" i="3"/>
  <c r="F43" i="3"/>
  <c r="G43" i="3"/>
  <c r="H43" i="3"/>
  <c r="I43" i="3"/>
  <c r="D44" i="3"/>
  <c r="E44" i="3"/>
  <c r="F44" i="3"/>
  <c r="G44" i="3"/>
  <c r="H44" i="3"/>
  <c r="I44" i="3"/>
  <c r="D45" i="3"/>
  <c r="E45" i="3"/>
  <c r="F45" i="3"/>
  <c r="G45" i="3"/>
  <c r="H45" i="3"/>
  <c r="I45" i="3"/>
  <c r="D46" i="3"/>
  <c r="E46" i="3"/>
  <c r="F46" i="3"/>
  <c r="G46" i="3"/>
  <c r="H46" i="3"/>
  <c r="I46" i="3"/>
  <c r="D47" i="3"/>
  <c r="E47" i="3"/>
  <c r="F47" i="3"/>
  <c r="G47" i="3"/>
  <c r="H47" i="3"/>
  <c r="I47" i="3"/>
  <c r="D48" i="3"/>
  <c r="E48" i="3"/>
  <c r="F48" i="3"/>
  <c r="G48" i="3"/>
  <c r="H48" i="3"/>
  <c r="I48" i="3"/>
  <c r="D49" i="3"/>
  <c r="E49" i="3"/>
  <c r="F49" i="3"/>
  <c r="G49" i="3"/>
  <c r="H49" i="3"/>
  <c r="I49" i="3"/>
  <c r="D50" i="3"/>
  <c r="E50" i="3"/>
  <c r="F50" i="3"/>
  <c r="G50" i="3"/>
  <c r="H50" i="3"/>
  <c r="I50" i="3"/>
  <c r="D51" i="3"/>
  <c r="E51" i="3"/>
  <c r="F51" i="3"/>
  <c r="G51" i="3"/>
  <c r="H51" i="3"/>
  <c r="I51" i="3"/>
  <c r="D52" i="3"/>
  <c r="E52" i="3"/>
  <c r="F52" i="3"/>
  <c r="G52" i="3"/>
  <c r="H52" i="3"/>
  <c r="I52" i="3"/>
  <c r="D53" i="3"/>
  <c r="E53" i="3"/>
  <c r="F53" i="3"/>
  <c r="G53" i="3"/>
  <c r="H53" i="3"/>
  <c r="I53" i="3"/>
  <c r="D54" i="3"/>
  <c r="E54" i="3"/>
  <c r="F54" i="3"/>
  <c r="G54" i="3"/>
  <c r="H54" i="3"/>
  <c r="I54" i="3"/>
  <c r="D55" i="3"/>
  <c r="E55" i="3"/>
  <c r="F55" i="3"/>
  <c r="G55" i="3"/>
  <c r="H55" i="3"/>
  <c r="I55" i="3"/>
  <c r="D56" i="3"/>
  <c r="E56" i="3"/>
  <c r="F56" i="3"/>
  <c r="G56" i="3"/>
  <c r="H56" i="3"/>
  <c r="I56" i="3"/>
  <c r="D57" i="3"/>
  <c r="E57" i="3"/>
  <c r="F57" i="3"/>
  <c r="G57" i="3"/>
  <c r="H57" i="3"/>
  <c r="I57" i="3"/>
  <c r="D58" i="3"/>
  <c r="E58" i="3"/>
  <c r="F58" i="3"/>
  <c r="G58" i="3"/>
  <c r="H58" i="3"/>
  <c r="I58" i="3"/>
  <c r="D59" i="3"/>
  <c r="E59" i="3"/>
  <c r="F59" i="3"/>
  <c r="G59" i="3"/>
  <c r="H59" i="3"/>
  <c r="I59" i="3"/>
  <c r="D60" i="3"/>
  <c r="E60" i="3"/>
  <c r="F60" i="3"/>
  <c r="G60" i="3"/>
  <c r="H60" i="3"/>
  <c r="I60" i="3"/>
  <c r="D61" i="3"/>
  <c r="E61" i="3"/>
  <c r="F61" i="3"/>
  <c r="G61" i="3"/>
  <c r="H61" i="3"/>
  <c r="I61" i="3"/>
  <c r="D62" i="3"/>
  <c r="E62" i="3"/>
  <c r="F62" i="3"/>
  <c r="G62" i="3"/>
  <c r="H62" i="3"/>
  <c r="I62" i="3"/>
  <c r="D63" i="3"/>
  <c r="E63" i="3"/>
  <c r="F63" i="3"/>
  <c r="G63" i="3"/>
  <c r="H63" i="3"/>
  <c r="I63" i="3"/>
  <c r="D64" i="3"/>
  <c r="E64" i="3"/>
  <c r="F64" i="3"/>
  <c r="G64" i="3"/>
  <c r="H64" i="3"/>
  <c r="I64" i="3"/>
  <c r="D65" i="3"/>
  <c r="E65" i="3"/>
  <c r="F65" i="3"/>
  <c r="G65" i="3"/>
  <c r="H65" i="3"/>
  <c r="I65" i="3"/>
  <c r="D66" i="3"/>
  <c r="E66" i="3"/>
  <c r="F66" i="3"/>
  <c r="G66" i="3"/>
  <c r="H66" i="3"/>
  <c r="I66" i="3"/>
  <c r="D67" i="3"/>
  <c r="E67" i="3"/>
  <c r="F67" i="3"/>
  <c r="G67" i="3"/>
  <c r="H67" i="3"/>
  <c r="I67" i="3"/>
  <c r="D68" i="3"/>
  <c r="E68" i="3"/>
  <c r="F68" i="3"/>
  <c r="G68" i="3"/>
  <c r="H68" i="3"/>
  <c r="I68" i="3"/>
  <c r="D69" i="3"/>
  <c r="E69" i="3"/>
  <c r="F69" i="3"/>
  <c r="G69" i="3"/>
  <c r="H69" i="3"/>
  <c r="I69" i="3"/>
  <c r="D70" i="3"/>
  <c r="E70" i="3"/>
  <c r="F70" i="3"/>
  <c r="G70" i="3"/>
  <c r="H70" i="3"/>
  <c r="I70" i="3"/>
  <c r="D71" i="3"/>
  <c r="E71" i="3"/>
  <c r="F71" i="3"/>
  <c r="G71" i="3"/>
  <c r="H71" i="3"/>
  <c r="I71" i="3"/>
  <c r="D72" i="3"/>
  <c r="E72" i="3"/>
  <c r="F72" i="3"/>
  <c r="G72" i="3"/>
  <c r="H72" i="3"/>
  <c r="I72" i="3"/>
  <c r="D73" i="3"/>
  <c r="E73" i="3"/>
  <c r="F73" i="3"/>
  <c r="G73" i="3"/>
  <c r="H73" i="3"/>
  <c r="I73" i="3"/>
  <c r="D74" i="3"/>
  <c r="E74" i="3"/>
  <c r="F74" i="3"/>
  <c r="G74" i="3"/>
  <c r="H74" i="3"/>
  <c r="I74" i="3"/>
  <c r="D75" i="3"/>
  <c r="E75" i="3"/>
  <c r="F75" i="3"/>
  <c r="G75" i="3"/>
  <c r="H75" i="3"/>
  <c r="I75" i="3"/>
  <c r="D76" i="3"/>
  <c r="E76" i="3"/>
  <c r="F76" i="3"/>
  <c r="G76" i="3"/>
  <c r="H76" i="3"/>
  <c r="I76" i="3"/>
  <c r="D77" i="3"/>
  <c r="E77" i="3"/>
  <c r="F77" i="3"/>
  <c r="G77" i="3"/>
  <c r="H77" i="3"/>
  <c r="I77" i="3"/>
  <c r="D78" i="3"/>
  <c r="E78" i="3"/>
  <c r="F78" i="3"/>
  <c r="G78" i="3"/>
  <c r="H78" i="3"/>
  <c r="I78" i="3"/>
  <c r="D79" i="3"/>
  <c r="E79" i="3"/>
  <c r="F79" i="3"/>
  <c r="G79" i="3"/>
  <c r="H79" i="3"/>
  <c r="I79" i="3"/>
  <c r="D80" i="3"/>
  <c r="E80" i="3"/>
  <c r="F80" i="3"/>
  <c r="G80" i="3"/>
  <c r="H80" i="3"/>
  <c r="I80" i="3"/>
  <c r="D81" i="3"/>
  <c r="E81" i="3"/>
  <c r="F81" i="3"/>
  <c r="G81" i="3"/>
  <c r="H81" i="3"/>
  <c r="I81" i="3"/>
  <c r="D82" i="3"/>
  <c r="E82" i="3"/>
  <c r="F82" i="3"/>
  <c r="G82" i="3"/>
  <c r="H82" i="3"/>
  <c r="I82" i="3"/>
  <c r="D83" i="3"/>
  <c r="E83" i="3"/>
  <c r="F83" i="3"/>
  <c r="G83" i="3"/>
  <c r="H83" i="3"/>
  <c r="I83" i="3"/>
  <c r="D84" i="3"/>
  <c r="E84" i="3"/>
  <c r="F84" i="3"/>
  <c r="G84" i="3"/>
  <c r="H84" i="3"/>
  <c r="I84" i="3"/>
  <c r="D85" i="3"/>
  <c r="E85" i="3"/>
  <c r="F85" i="3"/>
  <c r="G85" i="3"/>
  <c r="H85" i="3"/>
  <c r="I85" i="3"/>
  <c r="D86" i="3"/>
  <c r="E86" i="3"/>
  <c r="F86" i="3"/>
  <c r="G86" i="3"/>
  <c r="H86" i="3"/>
  <c r="I86" i="3"/>
  <c r="D87" i="3"/>
  <c r="E87" i="3"/>
  <c r="F87" i="3"/>
  <c r="G87" i="3"/>
  <c r="H87" i="3"/>
  <c r="I87" i="3"/>
  <c r="D88" i="3"/>
  <c r="E88" i="3"/>
  <c r="F88" i="3"/>
  <c r="G88" i="3"/>
  <c r="H88" i="3"/>
  <c r="I88" i="3"/>
  <c r="D89" i="3"/>
  <c r="E89" i="3"/>
  <c r="F89" i="3"/>
  <c r="G89" i="3"/>
  <c r="H89" i="3"/>
  <c r="I89" i="3"/>
  <c r="D90" i="3"/>
  <c r="E90" i="3"/>
  <c r="F90" i="3"/>
  <c r="G90" i="3"/>
  <c r="H90" i="3"/>
  <c r="I90" i="3"/>
  <c r="D91" i="3"/>
  <c r="E91" i="3"/>
  <c r="F91" i="3"/>
  <c r="G91" i="3"/>
  <c r="H91" i="3"/>
  <c r="I91" i="3"/>
  <c r="D92" i="3"/>
  <c r="E92" i="3"/>
  <c r="F92" i="3"/>
  <c r="G92" i="3"/>
  <c r="H92" i="3"/>
  <c r="I92" i="3"/>
  <c r="D93" i="3"/>
  <c r="E93" i="3"/>
  <c r="F93" i="3"/>
  <c r="G93" i="3"/>
  <c r="H93" i="3"/>
  <c r="I93" i="3"/>
  <c r="D94" i="3"/>
  <c r="E94" i="3"/>
  <c r="F94" i="3"/>
  <c r="G94" i="3"/>
  <c r="H94" i="3"/>
  <c r="I94" i="3"/>
  <c r="D95" i="3"/>
  <c r="E95" i="3"/>
  <c r="F95" i="3"/>
  <c r="G95" i="3"/>
  <c r="H95" i="3"/>
  <c r="I95" i="3"/>
  <c r="D96" i="3"/>
  <c r="E96" i="3"/>
  <c r="F96" i="3"/>
  <c r="G96" i="3"/>
  <c r="H96" i="3"/>
  <c r="I96" i="3"/>
  <c r="D97" i="3"/>
  <c r="E97" i="3"/>
  <c r="F97" i="3"/>
  <c r="G97" i="3"/>
  <c r="H97" i="3"/>
  <c r="I97" i="3"/>
  <c r="D98" i="3"/>
  <c r="E98" i="3"/>
  <c r="F98" i="3"/>
  <c r="G98" i="3"/>
  <c r="H98" i="3"/>
  <c r="I98" i="3"/>
  <c r="D99" i="3"/>
  <c r="E99" i="3"/>
  <c r="F99" i="3"/>
  <c r="G99" i="3"/>
  <c r="H99" i="3"/>
  <c r="I99" i="3"/>
  <c r="D100" i="3"/>
  <c r="E100" i="3"/>
  <c r="F100" i="3"/>
  <c r="G100" i="3"/>
  <c r="H100" i="3"/>
  <c r="I100" i="3"/>
  <c r="D101" i="3"/>
  <c r="E101" i="3"/>
  <c r="F101" i="3"/>
  <c r="G101" i="3"/>
  <c r="H101" i="3"/>
  <c r="I101" i="3"/>
  <c r="D102" i="3"/>
  <c r="E102" i="3"/>
  <c r="F102" i="3"/>
  <c r="G102" i="3"/>
  <c r="H102" i="3"/>
  <c r="I102" i="3"/>
  <c r="D103" i="3"/>
  <c r="E103" i="3"/>
  <c r="F103" i="3"/>
  <c r="G103" i="3"/>
  <c r="H103" i="3"/>
  <c r="I103" i="3"/>
  <c r="D104" i="3"/>
  <c r="E104" i="3"/>
  <c r="F104" i="3"/>
  <c r="G104" i="3"/>
  <c r="H104" i="3"/>
  <c r="I104" i="3"/>
  <c r="D105" i="3"/>
  <c r="E105" i="3"/>
  <c r="F105" i="3"/>
  <c r="G105" i="3"/>
  <c r="H105" i="3"/>
  <c r="I105" i="3"/>
  <c r="D106" i="3"/>
  <c r="E106" i="3"/>
  <c r="F106" i="3"/>
  <c r="G106" i="3"/>
  <c r="H106" i="3"/>
  <c r="I106" i="3"/>
  <c r="D107" i="3"/>
  <c r="E107" i="3"/>
  <c r="F107" i="3"/>
  <c r="G107" i="3"/>
  <c r="H107" i="3"/>
  <c r="I107" i="3"/>
  <c r="D108" i="3"/>
  <c r="E108" i="3"/>
  <c r="F108" i="3"/>
  <c r="G108" i="3"/>
  <c r="H108" i="3"/>
  <c r="I108" i="3"/>
  <c r="D109" i="3"/>
  <c r="E109" i="3"/>
  <c r="F109" i="3"/>
  <c r="G109" i="3"/>
  <c r="H109" i="3"/>
  <c r="I109" i="3"/>
  <c r="D110" i="3"/>
  <c r="E110" i="3"/>
  <c r="F110" i="3"/>
  <c r="G110" i="3"/>
  <c r="H110" i="3"/>
  <c r="I110" i="3"/>
  <c r="D111" i="3"/>
  <c r="E111" i="3"/>
  <c r="F111" i="3"/>
  <c r="G111" i="3"/>
  <c r="H111" i="3"/>
  <c r="I111" i="3"/>
  <c r="D112" i="3"/>
  <c r="E112" i="3"/>
  <c r="F112" i="3"/>
  <c r="G112" i="3"/>
  <c r="H112" i="3"/>
  <c r="I112" i="3"/>
  <c r="D113" i="3"/>
  <c r="E113" i="3"/>
  <c r="F113" i="3"/>
  <c r="G113" i="3"/>
  <c r="H113" i="3"/>
  <c r="I113" i="3"/>
  <c r="D114" i="3"/>
  <c r="E114" i="3"/>
  <c r="F114" i="3"/>
  <c r="G114" i="3"/>
  <c r="H114" i="3"/>
  <c r="I114" i="3"/>
  <c r="D115" i="3"/>
  <c r="E115" i="3"/>
  <c r="F115" i="3"/>
  <c r="G115" i="3"/>
  <c r="H115" i="3"/>
  <c r="I115" i="3"/>
  <c r="D116" i="3"/>
  <c r="E116" i="3"/>
  <c r="F116" i="3"/>
  <c r="G116" i="3"/>
  <c r="H116" i="3"/>
  <c r="I116" i="3"/>
  <c r="D117" i="3"/>
  <c r="E117" i="3"/>
  <c r="F117" i="3"/>
  <c r="G117" i="3"/>
  <c r="H117" i="3"/>
  <c r="I117" i="3"/>
  <c r="D118" i="3"/>
  <c r="E118" i="3"/>
  <c r="F118" i="3"/>
  <c r="G118" i="3"/>
  <c r="H118" i="3"/>
  <c r="I118" i="3"/>
  <c r="D119" i="3"/>
  <c r="E119" i="3"/>
  <c r="F119" i="3"/>
  <c r="G119" i="3"/>
  <c r="H119" i="3"/>
  <c r="I119" i="3"/>
  <c r="D120" i="3"/>
  <c r="E120" i="3"/>
  <c r="F120" i="3"/>
  <c r="G120" i="3"/>
  <c r="H120" i="3"/>
  <c r="I120" i="3"/>
  <c r="D121" i="3"/>
  <c r="E121" i="3"/>
  <c r="F121" i="3"/>
  <c r="G121" i="3"/>
  <c r="H121" i="3"/>
  <c r="I121" i="3"/>
  <c r="D122" i="3"/>
  <c r="E122" i="3"/>
  <c r="F122" i="3"/>
  <c r="G122" i="3"/>
  <c r="H122" i="3"/>
  <c r="I122" i="3"/>
  <c r="D123" i="3"/>
  <c r="E123" i="3"/>
  <c r="F123" i="3"/>
  <c r="G123" i="3"/>
  <c r="H123" i="3"/>
  <c r="I123" i="3"/>
  <c r="D124" i="3"/>
  <c r="E124" i="3"/>
  <c r="F124" i="3"/>
  <c r="G124" i="3"/>
  <c r="H124" i="3"/>
  <c r="I124" i="3"/>
  <c r="D125" i="3"/>
  <c r="E125" i="3"/>
  <c r="F125" i="3"/>
  <c r="G125" i="3"/>
  <c r="H125" i="3"/>
  <c r="I125" i="3"/>
  <c r="D126" i="3"/>
  <c r="E126" i="3"/>
  <c r="F126" i="3"/>
  <c r="G126" i="3"/>
  <c r="H126" i="3"/>
  <c r="I126" i="3"/>
  <c r="D127" i="3"/>
  <c r="E127" i="3"/>
  <c r="F127" i="3"/>
  <c r="G127" i="3"/>
  <c r="H127" i="3"/>
  <c r="I127" i="3"/>
  <c r="D128" i="3"/>
  <c r="E128" i="3"/>
  <c r="F128" i="3"/>
  <c r="G128" i="3"/>
  <c r="H128" i="3"/>
  <c r="I128" i="3"/>
  <c r="D129" i="3"/>
  <c r="E129" i="3"/>
  <c r="F129" i="3"/>
  <c r="G129" i="3"/>
  <c r="H129" i="3"/>
  <c r="I129" i="3"/>
  <c r="D130" i="3"/>
  <c r="E130" i="3"/>
  <c r="F130" i="3"/>
  <c r="G130" i="3"/>
  <c r="H130" i="3"/>
  <c r="I130" i="3"/>
  <c r="D131" i="3"/>
  <c r="E131" i="3"/>
  <c r="F131" i="3"/>
  <c r="G131" i="3"/>
  <c r="H131" i="3"/>
  <c r="I131" i="3"/>
  <c r="D132" i="3"/>
  <c r="E132" i="3"/>
  <c r="F132" i="3"/>
  <c r="G132" i="3"/>
  <c r="H132" i="3"/>
  <c r="I132" i="3"/>
  <c r="D133" i="3"/>
  <c r="E133" i="3"/>
  <c r="F133" i="3"/>
  <c r="G133" i="3"/>
  <c r="H133" i="3"/>
  <c r="I133" i="3"/>
  <c r="D134" i="3"/>
  <c r="E134" i="3"/>
  <c r="F134" i="3"/>
  <c r="G134" i="3"/>
  <c r="H134" i="3"/>
  <c r="I134" i="3"/>
  <c r="D135" i="3"/>
  <c r="E135" i="3"/>
  <c r="F135" i="3"/>
  <c r="G135" i="3"/>
  <c r="H135" i="3"/>
  <c r="I135" i="3"/>
  <c r="D136" i="3"/>
  <c r="E136" i="3"/>
  <c r="F136" i="3"/>
  <c r="G136" i="3"/>
  <c r="H136" i="3"/>
  <c r="I136" i="3"/>
  <c r="D137" i="3"/>
  <c r="E137" i="3"/>
  <c r="F137" i="3"/>
  <c r="G137" i="3"/>
  <c r="H137" i="3"/>
  <c r="I137" i="3"/>
  <c r="D138" i="3"/>
  <c r="E138" i="3"/>
  <c r="F138" i="3"/>
  <c r="G138" i="3"/>
  <c r="H138" i="3"/>
  <c r="I138" i="3"/>
  <c r="D139" i="3"/>
  <c r="E139" i="3"/>
  <c r="F139" i="3"/>
  <c r="G139" i="3"/>
  <c r="H139" i="3"/>
  <c r="I139" i="3"/>
  <c r="D140" i="3"/>
  <c r="E140" i="3"/>
  <c r="F140" i="3"/>
  <c r="G140" i="3"/>
  <c r="H140" i="3"/>
  <c r="I140" i="3"/>
  <c r="D141" i="3"/>
  <c r="E141" i="3"/>
  <c r="F141" i="3"/>
  <c r="G141" i="3"/>
  <c r="H141" i="3"/>
  <c r="I141" i="3"/>
  <c r="D142" i="3"/>
  <c r="E142" i="3"/>
  <c r="F142" i="3"/>
  <c r="G142" i="3"/>
  <c r="H142" i="3"/>
  <c r="I142" i="3"/>
  <c r="D143" i="3"/>
  <c r="E143" i="3"/>
  <c r="F143" i="3"/>
  <c r="G143" i="3"/>
  <c r="H143" i="3"/>
  <c r="I143" i="3"/>
  <c r="D144" i="3"/>
  <c r="E144" i="3"/>
  <c r="F144" i="3"/>
  <c r="G144" i="3"/>
  <c r="H144" i="3"/>
  <c r="I144" i="3"/>
  <c r="D145" i="3"/>
  <c r="E145" i="3"/>
  <c r="F145" i="3"/>
  <c r="G145" i="3"/>
  <c r="H145" i="3"/>
  <c r="I145" i="3"/>
  <c r="D146" i="3"/>
  <c r="E146" i="3"/>
  <c r="F146" i="3"/>
  <c r="G146" i="3"/>
  <c r="H146" i="3"/>
  <c r="I146" i="3"/>
  <c r="D147" i="3"/>
  <c r="E147" i="3"/>
  <c r="F147" i="3"/>
  <c r="G147" i="3"/>
  <c r="H147" i="3"/>
  <c r="I147" i="3"/>
  <c r="D148" i="3"/>
  <c r="E148" i="3"/>
  <c r="F148" i="3"/>
  <c r="G148" i="3"/>
  <c r="H148" i="3"/>
  <c r="I148" i="3"/>
  <c r="D149" i="3"/>
  <c r="E149" i="3"/>
  <c r="F149" i="3"/>
  <c r="G149" i="3"/>
  <c r="H149" i="3"/>
  <c r="I149" i="3"/>
  <c r="D150" i="3"/>
  <c r="E150" i="3"/>
  <c r="F150" i="3"/>
  <c r="G150" i="3"/>
  <c r="H150" i="3"/>
  <c r="I150" i="3"/>
  <c r="D151" i="3"/>
  <c r="E151" i="3"/>
  <c r="F151" i="3"/>
  <c r="G151" i="3"/>
  <c r="H151" i="3"/>
  <c r="I151" i="3"/>
  <c r="D152" i="3"/>
  <c r="E152" i="3"/>
  <c r="F152" i="3"/>
  <c r="G152" i="3"/>
  <c r="H152" i="3"/>
  <c r="I152" i="3"/>
  <c r="D153" i="3"/>
  <c r="E153" i="3"/>
  <c r="F153" i="3"/>
  <c r="G153" i="3"/>
  <c r="H153" i="3"/>
  <c r="I153" i="3"/>
  <c r="D154" i="3"/>
  <c r="E154" i="3"/>
  <c r="F154" i="3"/>
  <c r="G154" i="3"/>
  <c r="H154" i="3"/>
  <c r="I154" i="3"/>
  <c r="D155" i="3"/>
  <c r="E155" i="3"/>
  <c r="F155" i="3"/>
  <c r="G155" i="3"/>
  <c r="H155" i="3"/>
  <c r="I155" i="3"/>
  <c r="D156" i="3"/>
  <c r="E156" i="3"/>
  <c r="F156" i="3"/>
  <c r="G156" i="3"/>
  <c r="H156" i="3"/>
  <c r="I156" i="3"/>
  <c r="D157" i="3"/>
  <c r="E157" i="3"/>
  <c r="F157" i="3"/>
  <c r="G157" i="3"/>
  <c r="H157" i="3"/>
  <c r="I157" i="3"/>
  <c r="D158" i="3"/>
  <c r="E158" i="3"/>
  <c r="F158" i="3"/>
  <c r="G158" i="3"/>
  <c r="H158" i="3"/>
  <c r="I158" i="3"/>
  <c r="D159" i="3"/>
  <c r="E159" i="3"/>
  <c r="F159" i="3"/>
  <c r="G159" i="3"/>
  <c r="H159" i="3"/>
  <c r="I159" i="3"/>
  <c r="D160" i="3"/>
  <c r="E160" i="3"/>
  <c r="F160" i="3"/>
  <c r="G160" i="3"/>
  <c r="H160" i="3"/>
  <c r="I160" i="3"/>
  <c r="D161" i="3"/>
  <c r="E161" i="3"/>
  <c r="F161" i="3"/>
  <c r="G161" i="3"/>
  <c r="H161" i="3"/>
  <c r="I161" i="3"/>
  <c r="D162" i="3"/>
  <c r="E162" i="3"/>
  <c r="F162" i="3"/>
  <c r="G162" i="3"/>
  <c r="H162" i="3"/>
  <c r="I162" i="3"/>
  <c r="D163" i="3"/>
  <c r="E163" i="3"/>
  <c r="F163" i="3"/>
  <c r="G163" i="3"/>
  <c r="H163" i="3"/>
  <c r="I163" i="3"/>
  <c r="D164" i="3"/>
  <c r="E164" i="3"/>
  <c r="F164" i="3"/>
  <c r="G164" i="3"/>
  <c r="H164" i="3"/>
  <c r="I164" i="3"/>
  <c r="D165" i="3"/>
  <c r="E165" i="3"/>
  <c r="F165" i="3"/>
  <c r="G165" i="3"/>
  <c r="H165" i="3"/>
  <c r="I165" i="3"/>
  <c r="D166" i="3"/>
  <c r="E166" i="3"/>
  <c r="F166" i="3"/>
  <c r="G166" i="3"/>
  <c r="H166" i="3"/>
  <c r="I166" i="3"/>
  <c r="D167" i="3"/>
  <c r="E167" i="3"/>
  <c r="F167" i="3"/>
  <c r="G167" i="3"/>
  <c r="H167" i="3"/>
  <c r="I167" i="3"/>
  <c r="D168" i="3"/>
  <c r="E168" i="3"/>
  <c r="F168" i="3"/>
  <c r="G168" i="3"/>
  <c r="H168" i="3"/>
  <c r="I168" i="3"/>
  <c r="D169" i="3"/>
  <c r="E169" i="3"/>
  <c r="F169" i="3"/>
  <c r="G169" i="3"/>
  <c r="H169" i="3"/>
  <c r="I169" i="3"/>
  <c r="D189" i="3"/>
  <c r="E189" i="3"/>
  <c r="F189" i="3"/>
  <c r="G189" i="3"/>
  <c r="H189" i="3"/>
  <c r="I189" i="3"/>
  <c r="D190" i="3"/>
  <c r="E190" i="3"/>
  <c r="F190" i="3"/>
  <c r="G190" i="3"/>
  <c r="H190" i="3"/>
  <c r="I190" i="3"/>
  <c r="D191" i="3"/>
  <c r="E191" i="3"/>
  <c r="F191" i="3"/>
  <c r="G191" i="3"/>
  <c r="H191" i="3"/>
  <c r="I191" i="3"/>
  <c r="D192" i="3"/>
  <c r="E192" i="3"/>
  <c r="F192" i="3"/>
  <c r="G192" i="3"/>
  <c r="H192" i="3"/>
  <c r="I192" i="3"/>
  <c r="D193" i="3"/>
  <c r="E193" i="3"/>
  <c r="F193" i="3"/>
  <c r="G193" i="3"/>
  <c r="H193" i="3"/>
  <c r="I193" i="3"/>
  <c r="D194" i="3"/>
  <c r="E194" i="3"/>
  <c r="F194" i="3"/>
  <c r="G194" i="3"/>
  <c r="H194" i="3"/>
  <c r="I194" i="3"/>
  <c r="D195" i="3"/>
  <c r="E195" i="3"/>
  <c r="F195" i="3"/>
  <c r="G195" i="3"/>
  <c r="H195" i="3"/>
  <c r="I195" i="3"/>
  <c r="D196" i="3"/>
  <c r="E196" i="3"/>
  <c r="F196" i="3"/>
  <c r="G196" i="3"/>
  <c r="H196" i="3"/>
  <c r="I196" i="3"/>
  <c r="D197" i="3"/>
  <c r="E197" i="3"/>
  <c r="F197" i="3"/>
  <c r="G197" i="3"/>
  <c r="H197" i="3"/>
  <c r="I197" i="3"/>
  <c r="D198" i="3"/>
  <c r="E198" i="3"/>
  <c r="F198" i="3"/>
  <c r="G198" i="3"/>
  <c r="H198" i="3"/>
  <c r="I198" i="3"/>
  <c r="D199" i="3"/>
  <c r="E199" i="3"/>
  <c r="F199" i="3"/>
  <c r="G199" i="3"/>
  <c r="H199" i="3"/>
  <c r="I199" i="3"/>
  <c r="D200" i="3"/>
  <c r="E200" i="3"/>
  <c r="F200" i="3"/>
  <c r="G200" i="3"/>
  <c r="H200" i="3"/>
  <c r="I200" i="3"/>
  <c r="D201" i="3"/>
  <c r="E201" i="3"/>
  <c r="F201" i="3"/>
  <c r="G201" i="3"/>
  <c r="H201" i="3"/>
  <c r="I201" i="3"/>
  <c r="D202" i="3"/>
  <c r="E202" i="3"/>
  <c r="F202" i="3"/>
  <c r="G202" i="3"/>
  <c r="H202" i="3"/>
  <c r="I202" i="3"/>
  <c r="D203" i="3"/>
  <c r="E203" i="3"/>
  <c r="F203" i="3"/>
  <c r="G203" i="3"/>
  <c r="H203" i="3"/>
  <c r="I203" i="3"/>
  <c r="D204" i="3"/>
  <c r="E204" i="3"/>
  <c r="F204" i="3"/>
  <c r="G204" i="3"/>
  <c r="H204" i="3"/>
  <c r="I204" i="3"/>
  <c r="D205" i="3"/>
  <c r="E205" i="3"/>
  <c r="F205" i="3"/>
  <c r="G205" i="3"/>
  <c r="H205" i="3"/>
  <c r="I205" i="3"/>
  <c r="D206" i="3"/>
  <c r="E206" i="3"/>
  <c r="F206" i="3"/>
  <c r="G206" i="3"/>
  <c r="H206" i="3"/>
  <c r="I206" i="3"/>
  <c r="D207" i="3"/>
  <c r="E207" i="3"/>
  <c r="F207" i="3"/>
  <c r="G207" i="3"/>
  <c r="H207" i="3"/>
  <c r="I207" i="3"/>
  <c r="D208" i="3"/>
  <c r="E208" i="3"/>
  <c r="F208" i="3"/>
  <c r="G208" i="3"/>
  <c r="H208" i="3"/>
  <c r="I208" i="3"/>
  <c r="D209" i="3"/>
  <c r="E209" i="3"/>
  <c r="F209" i="3"/>
  <c r="G209" i="3"/>
  <c r="H209" i="3"/>
  <c r="I209" i="3"/>
  <c r="D210" i="3"/>
  <c r="E210" i="3"/>
  <c r="F210" i="3"/>
  <c r="G210" i="3"/>
  <c r="H210" i="3"/>
  <c r="I210" i="3"/>
  <c r="D211" i="3"/>
  <c r="E211" i="3"/>
  <c r="F211" i="3"/>
  <c r="G211" i="3"/>
  <c r="H211" i="3"/>
  <c r="I211" i="3"/>
  <c r="D212" i="3"/>
  <c r="E212" i="3"/>
  <c r="F212" i="3"/>
  <c r="G212" i="3"/>
  <c r="H212" i="3"/>
  <c r="I212" i="3"/>
  <c r="D213" i="3"/>
  <c r="E213" i="3"/>
  <c r="F213" i="3"/>
  <c r="G213" i="3"/>
  <c r="H213" i="3"/>
  <c r="I213" i="3"/>
  <c r="D214" i="3"/>
  <c r="E214" i="3"/>
  <c r="F214" i="3"/>
  <c r="G214" i="3"/>
  <c r="H214" i="3"/>
  <c r="I214" i="3"/>
  <c r="D215" i="3"/>
  <c r="E215" i="3"/>
  <c r="F215" i="3"/>
  <c r="G215" i="3"/>
  <c r="H215" i="3"/>
  <c r="I215" i="3"/>
  <c r="D216" i="3"/>
  <c r="E216" i="3"/>
  <c r="F216" i="3"/>
  <c r="G216" i="3"/>
  <c r="H216" i="3"/>
  <c r="I216" i="3"/>
  <c r="D217" i="3"/>
  <c r="E217" i="3"/>
  <c r="F217" i="3"/>
  <c r="G217" i="3"/>
  <c r="H217" i="3"/>
  <c r="I217" i="3"/>
  <c r="D218" i="3"/>
  <c r="E218" i="3"/>
  <c r="F218" i="3"/>
  <c r="G218" i="3"/>
  <c r="H218" i="3"/>
  <c r="I218" i="3"/>
  <c r="D219" i="3"/>
  <c r="E219" i="3"/>
  <c r="F219" i="3"/>
  <c r="G219" i="3"/>
  <c r="H219" i="3"/>
  <c r="I219" i="3"/>
  <c r="D220" i="3"/>
  <c r="E220" i="3"/>
  <c r="F220" i="3"/>
  <c r="G220" i="3"/>
  <c r="H220" i="3"/>
  <c r="I220" i="3"/>
  <c r="D221" i="3"/>
  <c r="E221" i="3"/>
  <c r="F221" i="3"/>
  <c r="G221" i="3"/>
  <c r="H221" i="3"/>
  <c r="I221" i="3"/>
  <c r="D222" i="3"/>
  <c r="E222" i="3"/>
  <c r="F222" i="3"/>
  <c r="G222" i="3"/>
  <c r="H222" i="3"/>
  <c r="I222" i="3"/>
  <c r="D223" i="3"/>
  <c r="E223" i="3"/>
  <c r="F223" i="3"/>
  <c r="G223" i="3"/>
  <c r="H223" i="3"/>
  <c r="I223" i="3"/>
  <c r="D224" i="3"/>
  <c r="E224" i="3"/>
  <c r="F224" i="3"/>
  <c r="G224" i="3"/>
  <c r="H224" i="3"/>
  <c r="I224" i="3"/>
  <c r="D225" i="3"/>
  <c r="E225" i="3"/>
  <c r="F225" i="3"/>
  <c r="G225" i="3"/>
  <c r="H225" i="3"/>
  <c r="I225" i="3"/>
  <c r="D226" i="3"/>
  <c r="E226" i="3"/>
  <c r="F226" i="3"/>
  <c r="G226" i="3"/>
  <c r="H226" i="3"/>
  <c r="I226" i="3"/>
  <c r="D227" i="3"/>
  <c r="E227" i="3"/>
  <c r="F227" i="3"/>
  <c r="G227" i="3"/>
  <c r="H227" i="3"/>
  <c r="I227" i="3"/>
  <c r="D228" i="3"/>
  <c r="E228" i="3"/>
  <c r="F228" i="3"/>
  <c r="G228" i="3"/>
  <c r="H228" i="3"/>
  <c r="I228" i="3"/>
  <c r="D229" i="3"/>
  <c r="E229" i="3"/>
  <c r="F229" i="3"/>
  <c r="G229" i="3"/>
  <c r="H229" i="3"/>
  <c r="I229" i="3"/>
  <c r="D230" i="3"/>
  <c r="E230" i="3"/>
  <c r="F230" i="3"/>
  <c r="G230" i="3"/>
  <c r="H230" i="3"/>
  <c r="I230" i="3"/>
  <c r="D231" i="3"/>
  <c r="E231" i="3"/>
  <c r="F231" i="3"/>
  <c r="G231" i="3"/>
  <c r="H231" i="3"/>
  <c r="I231" i="3"/>
  <c r="D232" i="3"/>
  <c r="E232" i="3"/>
  <c r="F232" i="3"/>
  <c r="G232" i="3"/>
  <c r="H232" i="3"/>
  <c r="I232" i="3"/>
  <c r="D233" i="3"/>
  <c r="E233" i="3"/>
  <c r="F233" i="3"/>
  <c r="G233" i="3"/>
  <c r="H233" i="3"/>
  <c r="I233" i="3"/>
  <c r="D234" i="3"/>
  <c r="E234" i="3"/>
  <c r="F234" i="3"/>
  <c r="G234" i="3"/>
  <c r="H234" i="3"/>
  <c r="I234" i="3"/>
  <c r="D235" i="3"/>
  <c r="E235" i="3"/>
  <c r="F235" i="3"/>
  <c r="G235" i="3"/>
  <c r="H235" i="3"/>
  <c r="I235" i="3"/>
  <c r="D236" i="3"/>
  <c r="E236" i="3"/>
  <c r="F236" i="3"/>
  <c r="G236" i="3"/>
  <c r="H236" i="3"/>
  <c r="I236" i="3"/>
  <c r="D237" i="3"/>
  <c r="E237" i="3"/>
  <c r="F237" i="3"/>
  <c r="G237" i="3"/>
  <c r="H237" i="3"/>
  <c r="I237" i="3"/>
  <c r="D238" i="3"/>
  <c r="E238" i="3"/>
  <c r="F238" i="3"/>
  <c r="G238" i="3"/>
  <c r="H238" i="3"/>
  <c r="I238" i="3"/>
  <c r="D246" i="3"/>
  <c r="E246" i="3"/>
  <c r="F246" i="3"/>
  <c r="G246" i="3"/>
  <c r="H246" i="3"/>
  <c r="I246" i="3"/>
  <c r="D247" i="3"/>
  <c r="E247" i="3"/>
  <c r="F247" i="3"/>
  <c r="G247" i="3"/>
  <c r="H247" i="3"/>
  <c r="I247" i="3"/>
  <c r="D241" i="3"/>
  <c r="E241" i="3"/>
  <c r="F241" i="3"/>
  <c r="G241" i="3"/>
  <c r="H241" i="3"/>
  <c r="I241" i="3"/>
  <c r="D242" i="3"/>
  <c r="E242" i="3"/>
  <c r="F242" i="3"/>
  <c r="G242" i="3"/>
  <c r="H242" i="3"/>
  <c r="I242" i="3"/>
  <c r="D243" i="3"/>
  <c r="E243" i="3"/>
  <c r="F243" i="3"/>
  <c r="G243" i="3"/>
  <c r="H243" i="3"/>
  <c r="I243" i="3"/>
  <c r="D244" i="3"/>
  <c r="E244" i="3"/>
  <c r="F244" i="3"/>
  <c r="G244" i="3"/>
  <c r="H244" i="3"/>
  <c r="I244" i="3"/>
  <c r="D245" i="3"/>
  <c r="E245" i="3"/>
  <c r="F245" i="3"/>
  <c r="G245" i="3"/>
  <c r="H245" i="3"/>
  <c r="I245" i="3"/>
  <c r="D239" i="3"/>
  <c r="E239" i="3"/>
  <c r="F239" i="3"/>
  <c r="G239" i="3"/>
  <c r="H239" i="3"/>
  <c r="I239" i="3"/>
  <c r="D240" i="3"/>
  <c r="E240" i="3"/>
  <c r="F240" i="3"/>
  <c r="G240" i="3"/>
  <c r="H240" i="3"/>
  <c r="I240" i="3"/>
  <c r="D248" i="3"/>
  <c r="E248" i="3"/>
  <c r="F248" i="3"/>
  <c r="G248" i="3"/>
  <c r="H248" i="3"/>
  <c r="I248" i="3"/>
  <c r="D249" i="3"/>
  <c r="E249" i="3"/>
  <c r="F249" i="3"/>
  <c r="G249" i="3"/>
  <c r="H249" i="3"/>
  <c r="I249" i="3"/>
  <c r="D250" i="3"/>
  <c r="E250" i="3"/>
  <c r="F250" i="3"/>
  <c r="G250" i="3"/>
  <c r="H250" i="3"/>
  <c r="I250" i="3"/>
  <c r="D251" i="3"/>
  <c r="E251" i="3"/>
  <c r="F251" i="3"/>
  <c r="G251" i="3"/>
  <c r="H251" i="3"/>
  <c r="I251" i="3"/>
  <c r="D252" i="3"/>
  <c r="E252" i="3"/>
  <c r="F252" i="3"/>
  <c r="G252" i="3"/>
  <c r="H252" i="3"/>
  <c r="I252" i="3"/>
  <c r="D253" i="3"/>
  <c r="E253" i="3"/>
  <c r="F253" i="3"/>
  <c r="G253" i="3"/>
  <c r="H253" i="3"/>
  <c r="I253" i="3"/>
  <c r="D254" i="3"/>
  <c r="E254" i="3"/>
  <c r="F254" i="3"/>
  <c r="G254" i="3"/>
  <c r="H254" i="3"/>
  <c r="I254" i="3"/>
  <c r="D255" i="3"/>
  <c r="E255" i="3"/>
  <c r="F255" i="3"/>
  <c r="G255" i="3"/>
  <c r="H255" i="3"/>
  <c r="I255" i="3"/>
  <c r="D256" i="3"/>
  <c r="E256" i="3"/>
  <c r="F256" i="3"/>
  <c r="G256" i="3"/>
  <c r="H256" i="3"/>
  <c r="I256" i="3"/>
  <c r="D257" i="3"/>
  <c r="E257" i="3"/>
  <c r="F257" i="3"/>
  <c r="G257" i="3"/>
  <c r="H257" i="3"/>
  <c r="I257" i="3"/>
  <c r="D258" i="3"/>
  <c r="E258" i="3"/>
  <c r="F258" i="3"/>
  <c r="G258" i="3"/>
  <c r="H258" i="3"/>
  <c r="I258" i="3"/>
  <c r="D259" i="3"/>
  <c r="E259" i="3"/>
  <c r="F259" i="3"/>
  <c r="G259" i="3"/>
  <c r="H259" i="3"/>
  <c r="I259" i="3"/>
  <c r="D260" i="3"/>
  <c r="E260" i="3"/>
  <c r="F260" i="3"/>
  <c r="G260" i="3"/>
  <c r="H260" i="3"/>
  <c r="I260" i="3"/>
  <c r="D261" i="3"/>
  <c r="E261" i="3"/>
  <c r="F261" i="3"/>
  <c r="G261" i="3"/>
  <c r="H261" i="3"/>
  <c r="I261" i="3"/>
  <c r="D262" i="3"/>
  <c r="E262" i="3"/>
  <c r="F262" i="3"/>
  <c r="G262" i="3"/>
  <c r="H262" i="3"/>
  <c r="I262" i="3"/>
  <c r="D263" i="3"/>
  <c r="E263" i="3"/>
  <c r="F263" i="3"/>
  <c r="G263" i="3"/>
  <c r="H263" i="3"/>
  <c r="I263" i="3"/>
  <c r="D264" i="3"/>
  <c r="E264" i="3"/>
  <c r="F264" i="3"/>
  <c r="G264" i="3"/>
  <c r="H264" i="3"/>
  <c r="I264" i="3"/>
  <c r="D265" i="3"/>
  <c r="E265" i="3"/>
  <c r="F265" i="3"/>
  <c r="G265" i="3"/>
  <c r="H265" i="3"/>
  <c r="I265" i="3"/>
  <c r="D266" i="3"/>
  <c r="E266" i="3"/>
  <c r="F266" i="3"/>
  <c r="G266" i="3"/>
  <c r="H266" i="3"/>
  <c r="I266" i="3"/>
  <c r="D267" i="3"/>
  <c r="E267" i="3"/>
  <c r="F267" i="3"/>
  <c r="G267" i="3"/>
  <c r="H267" i="3"/>
  <c r="I267" i="3"/>
  <c r="D268" i="3"/>
  <c r="E268" i="3"/>
  <c r="F268" i="3"/>
  <c r="G268" i="3"/>
  <c r="H268" i="3"/>
  <c r="I268" i="3"/>
  <c r="D269" i="3"/>
  <c r="E269" i="3"/>
  <c r="F269" i="3"/>
  <c r="G269" i="3"/>
  <c r="H269" i="3"/>
  <c r="I269" i="3"/>
  <c r="D270" i="3"/>
  <c r="E270" i="3"/>
  <c r="F270" i="3"/>
  <c r="G270" i="3"/>
  <c r="H270" i="3"/>
  <c r="I270" i="3"/>
  <c r="D271" i="3"/>
  <c r="E271" i="3"/>
  <c r="F271" i="3"/>
  <c r="G271" i="3"/>
  <c r="H271" i="3"/>
  <c r="I271" i="3"/>
  <c r="D272" i="3"/>
  <c r="E272" i="3"/>
  <c r="F272" i="3"/>
  <c r="G272" i="3"/>
  <c r="H272" i="3"/>
  <c r="I272" i="3"/>
  <c r="D273" i="3"/>
  <c r="E273" i="3"/>
  <c r="F273" i="3"/>
  <c r="G273" i="3"/>
  <c r="H273" i="3"/>
  <c r="I273" i="3"/>
  <c r="D274" i="3"/>
  <c r="E274" i="3"/>
  <c r="F274" i="3"/>
  <c r="G274" i="3"/>
  <c r="H274" i="3"/>
  <c r="I274" i="3"/>
  <c r="D275" i="3"/>
  <c r="E275" i="3"/>
  <c r="F275" i="3"/>
  <c r="G275" i="3"/>
  <c r="H275" i="3"/>
  <c r="I275" i="3"/>
  <c r="D276" i="3"/>
  <c r="E276" i="3"/>
  <c r="F276" i="3"/>
  <c r="G276" i="3"/>
  <c r="H276" i="3"/>
  <c r="I276" i="3"/>
  <c r="D277" i="3"/>
  <c r="E277" i="3"/>
  <c r="F277" i="3"/>
  <c r="G277" i="3"/>
  <c r="H277" i="3"/>
  <c r="I277" i="3"/>
  <c r="D278" i="3"/>
  <c r="E278" i="3"/>
  <c r="F278" i="3"/>
  <c r="G278" i="3"/>
  <c r="H278" i="3"/>
  <c r="I278" i="3"/>
  <c r="D279" i="3"/>
  <c r="E279" i="3"/>
  <c r="F279" i="3"/>
  <c r="G279" i="3"/>
  <c r="H279" i="3"/>
  <c r="I279" i="3"/>
  <c r="D280" i="3"/>
  <c r="E280" i="3"/>
  <c r="F280" i="3"/>
  <c r="G280" i="3"/>
  <c r="H280" i="3"/>
  <c r="I280" i="3"/>
  <c r="D281" i="3"/>
  <c r="E281" i="3"/>
  <c r="F281" i="3"/>
  <c r="G281" i="3"/>
  <c r="H281" i="3"/>
  <c r="I281" i="3"/>
  <c r="D282" i="3"/>
  <c r="E282" i="3"/>
  <c r="F282" i="3"/>
  <c r="G282" i="3"/>
  <c r="H282" i="3"/>
  <c r="I282" i="3"/>
  <c r="D283" i="3"/>
  <c r="E283" i="3"/>
  <c r="F283" i="3"/>
  <c r="G283" i="3"/>
  <c r="H283" i="3"/>
  <c r="I283" i="3"/>
  <c r="D284" i="3"/>
  <c r="E284" i="3"/>
  <c r="F284" i="3"/>
  <c r="G284" i="3"/>
  <c r="H284" i="3"/>
  <c r="I284" i="3"/>
  <c r="D285" i="3"/>
  <c r="E285" i="3"/>
  <c r="F285" i="3"/>
  <c r="G285" i="3"/>
  <c r="H285" i="3"/>
  <c r="I285" i="3"/>
  <c r="D286" i="3"/>
  <c r="E286" i="3"/>
  <c r="F286" i="3"/>
  <c r="G286" i="3"/>
  <c r="H286" i="3"/>
  <c r="I286" i="3"/>
  <c r="D287" i="3"/>
  <c r="E287" i="3"/>
  <c r="F287" i="3"/>
  <c r="G287" i="3"/>
  <c r="H287" i="3"/>
  <c r="I287" i="3"/>
  <c r="D288" i="3"/>
  <c r="E288" i="3"/>
  <c r="F288" i="3"/>
  <c r="G288" i="3"/>
  <c r="H288" i="3"/>
  <c r="I288" i="3"/>
  <c r="D289" i="3"/>
  <c r="E289" i="3"/>
  <c r="F289" i="3"/>
  <c r="G289" i="3"/>
  <c r="H289" i="3"/>
  <c r="I289" i="3"/>
  <c r="D290" i="3"/>
  <c r="E290" i="3"/>
  <c r="F290" i="3"/>
  <c r="G290" i="3"/>
  <c r="H290" i="3"/>
  <c r="I290" i="3"/>
  <c r="D291" i="3"/>
  <c r="E291" i="3"/>
  <c r="F291" i="3"/>
  <c r="G291" i="3"/>
  <c r="H291" i="3"/>
  <c r="I291" i="3"/>
  <c r="D292" i="3"/>
  <c r="E292" i="3"/>
  <c r="F292" i="3"/>
  <c r="G292" i="3"/>
  <c r="H292" i="3"/>
  <c r="I292" i="3"/>
  <c r="D293" i="3"/>
  <c r="E293" i="3"/>
  <c r="F293" i="3"/>
  <c r="G293" i="3"/>
  <c r="H293" i="3"/>
  <c r="I293" i="3"/>
  <c r="D294" i="3"/>
  <c r="E294" i="3"/>
  <c r="F294" i="3"/>
  <c r="G294" i="3"/>
  <c r="H294" i="3"/>
  <c r="I294" i="3"/>
  <c r="D295" i="3"/>
  <c r="E295" i="3"/>
  <c r="F295" i="3"/>
  <c r="G295" i="3"/>
  <c r="H295" i="3"/>
  <c r="I295" i="3"/>
  <c r="D296" i="3"/>
  <c r="E296" i="3"/>
  <c r="F296" i="3"/>
  <c r="G296" i="3"/>
  <c r="H296" i="3"/>
  <c r="I296" i="3"/>
  <c r="D297" i="3"/>
  <c r="E297" i="3"/>
  <c r="F297" i="3"/>
  <c r="G297" i="3"/>
  <c r="H297" i="3"/>
  <c r="I297" i="3"/>
  <c r="D298" i="3"/>
  <c r="E298" i="3"/>
  <c r="F298" i="3"/>
  <c r="G298" i="3"/>
  <c r="H298" i="3"/>
  <c r="I298" i="3"/>
  <c r="D299" i="3"/>
  <c r="E299" i="3"/>
  <c r="F299" i="3"/>
  <c r="G299" i="3"/>
  <c r="H299" i="3"/>
  <c r="I299" i="3"/>
  <c r="D300" i="3"/>
  <c r="E300" i="3"/>
  <c r="F300" i="3"/>
  <c r="G300" i="3"/>
  <c r="H300" i="3"/>
  <c r="I300" i="3"/>
  <c r="D301" i="3"/>
  <c r="E301" i="3"/>
  <c r="F301" i="3"/>
  <c r="G301" i="3"/>
  <c r="H301" i="3"/>
  <c r="I301" i="3"/>
  <c r="D302" i="3"/>
  <c r="E302" i="3"/>
  <c r="F302" i="3"/>
  <c r="G302" i="3"/>
  <c r="H302" i="3"/>
  <c r="I302" i="3"/>
  <c r="D303" i="3"/>
  <c r="E303" i="3"/>
  <c r="F303" i="3"/>
  <c r="G303" i="3"/>
  <c r="H303" i="3"/>
  <c r="I303" i="3"/>
  <c r="D304" i="3"/>
  <c r="E304" i="3"/>
  <c r="F304" i="3"/>
  <c r="G304" i="3"/>
  <c r="H304" i="3"/>
  <c r="I304" i="3"/>
  <c r="D305" i="3"/>
  <c r="E305" i="3"/>
  <c r="F305" i="3"/>
  <c r="G305" i="3"/>
  <c r="H305" i="3"/>
  <c r="I305" i="3"/>
  <c r="D306" i="3"/>
  <c r="E306" i="3"/>
  <c r="F306" i="3"/>
  <c r="G306" i="3"/>
  <c r="H306" i="3"/>
  <c r="I306" i="3"/>
  <c r="D307" i="3"/>
  <c r="E307" i="3"/>
  <c r="F307" i="3"/>
  <c r="G307" i="3"/>
  <c r="H307" i="3"/>
  <c r="I307" i="3"/>
  <c r="D308" i="3"/>
  <c r="E308" i="3"/>
  <c r="F308" i="3"/>
  <c r="G308" i="3"/>
  <c r="H308" i="3"/>
  <c r="I308" i="3"/>
  <c r="D309" i="3"/>
  <c r="E309" i="3"/>
  <c r="F309" i="3"/>
  <c r="G309" i="3"/>
  <c r="H309" i="3"/>
  <c r="I309" i="3"/>
  <c r="D310" i="3"/>
  <c r="E310" i="3"/>
  <c r="F310" i="3"/>
  <c r="G310" i="3"/>
  <c r="H310" i="3"/>
  <c r="I310" i="3"/>
  <c r="D311" i="3"/>
  <c r="E311" i="3"/>
  <c r="F311" i="3"/>
  <c r="G311" i="3"/>
  <c r="H311" i="3"/>
  <c r="I311" i="3"/>
  <c r="D312" i="3"/>
  <c r="E312" i="3"/>
  <c r="F312" i="3"/>
  <c r="G312" i="3"/>
  <c r="H312" i="3"/>
  <c r="I312" i="3"/>
  <c r="D313" i="3"/>
  <c r="E313" i="3"/>
  <c r="F313" i="3"/>
  <c r="G313" i="3"/>
  <c r="H313" i="3"/>
  <c r="I313" i="3"/>
  <c r="D314" i="3"/>
  <c r="E314" i="3"/>
  <c r="F314" i="3"/>
  <c r="G314" i="3"/>
  <c r="H314" i="3"/>
  <c r="I314" i="3"/>
  <c r="D315" i="3"/>
  <c r="E315" i="3"/>
  <c r="F315" i="3"/>
  <c r="G315" i="3"/>
  <c r="H315" i="3"/>
  <c r="I315" i="3"/>
  <c r="D316" i="3"/>
  <c r="E316" i="3"/>
  <c r="F316" i="3"/>
  <c r="G316" i="3"/>
  <c r="H316" i="3"/>
  <c r="I316" i="3"/>
  <c r="D317" i="3"/>
  <c r="E317" i="3"/>
  <c r="F317" i="3"/>
  <c r="G317" i="3"/>
  <c r="H317" i="3"/>
  <c r="I317" i="3"/>
  <c r="D318" i="3"/>
  <c r="E318" i="3"/>
  <c r="F318" i="3"/>
  <c r="G318" i="3"/>
  <c r="H318" i="3"/>
  <c r="I318" i="3"/>
  <c r="D319" i="3"/>
  <c r="E319" i="3"/>
  <c r="F319" i="3"/>
  <c r="G319" i="3"/>
  <c r="H319" i="3"/>
  <c r="I319" i="3"/>
  <c r="D320" i="3"/>
  <c r="E320" i="3"/>
  <c r="F320" i="3"/>
  <c r="G320" i="3"/>
  <c r="H320" i="3"/>
  <c r="I320" i="3"/>
  <c r="D321" i="3"/>
  <c r="E321" i="3"/>
  <c r="F321" i="3"/>
  <c r="G321" i="3"/>
  <c r="H321" i="3"/>
  <c r="I321" i="3"/>
  <c r="D322" i="3"/>
  <c r="E322" i="3"/>
  <c r="F322" i="3"/>
  <c r="G322" i="3"/>
  <c r="H322" i="3"/>
  <c r="I322" i="3"/>
  <c r="D323" i="3"/>
  <c r="E323" i="3"/>
  <c r="F323" i="3"/>
  <c r="G323" i="3"/>
  <c r="H323" i="3"/>
  <c r="I323" i="3"/>
  <c r="D324" i="3"/>
  <c r="E324" i="3"/>
  <c r="F324" i="3"/>
  <c r="G324" i="3"/>
  <c r="H324" i="3"/>
  <c r="I324" i="3"/>
  <c r="D325" i="3"/>
  <c r="E325" i="3"/>
  <c r="F325" i="3"/>
  <c r="G325" i="3"/>
  <c r="H325" i="3"/>
  <c r="I325" i="3"/>
  <c r="D326" i="3"/>
  <c r="E326" i="3"/>
  <c r="F326" i="3"/>
  <c r="G326" i="3"/>
  <c r="H326" i="3"/>
  <c r="I326" i="3"/>
  <c r="D327" i="3"/>
  <c r="E327" i="3"/>
  <c r="F327" i="3"/>
  <c r="G327" i="3"/>
  <c r="H327" i="3"/>
  <c r="I327" i="3"/>
  <c r="D328" i="3"/>
  <c r="E328" i="3"/>
  <c r="F328" i="3"/>
  <c r="G328" i="3"/>
  <c r="H328" i="3"/>
  <c r="I328" i="3"/>
  <c r="D329" i="3"/>
  <c r="E329" i="3"/>
  <c r="F329" i="3"/>
  <c r="G329" i="3"/>
  <c r="H329" i="3"/>
  <c r="I329" i="3"/>
  <c r="D330" i="3"/>
  <c r="E330" i="3"/>
  <c r="F330" i="3"/>
  <c r="G330" i="3"/>
  <c r="H330" i="3"/>
  <c r="I330" i="3"/>
  <c r="D331" i="3"/>
  <c r="E331" i="3"/>
  <c r="F331" i="3"/>
  <c r="G331" i="3"/>
  <c r="H331" i="3"/>
  <c r="I331" i="3"/>
  <c r="D332" i="3"/>
  <c r="E332" i="3"/>
  <c r="F332" i="3"/>
  <c r="G332" i="3"/>
  <c r="H332" i="3"/>
  <c r="I332" i="3"/>
  <c r="D333" i="3"/>
  <c r="E333" i="3"/>
  <c r="F333" i="3"/>
  <c r="G333" i="3"/>
  <c r="H333" i="3"/>
  <c r="I333" i="3"/>
  <c r="D334" i="3"/>
  <c r="E334" i="3"/>
  <c r="F334" i="3"/>
  <c r="G334" i="3"/>
  <c r="H334" i="3"/>
  <c r="I334" i="3"/>
  <c r="G114" i="1" l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76" i="1" a="1"/>
  <c r="G76" i="1" s="1"/>
  <c r="G77" i="1" a="1"/>
  <c r="G77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67" i="1" a="1"/>
  <c r="G67" i="1" s="1"/>
  <c r="G68" i="1" a="1"/>
  <c r="G68" i="1" s="1"/>
  <c r="G97" i="1" a="1"/>
  <c r="G97" i="1" s="1"/>
  <c r="G98" i="1" a="1"/>
  <c r="G98" i="1" s="1"/>
  <c r="G127" i="1" a="1"/>
  <c r="G127" i="1" s="1"/>
  <c r="G128" i="1" a="1"/>
  <c r="G128" i="1" s="1"/>
  <c r="G129" i="1" a="1"/>
  <c r="G129" i="1" s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6" i="1" a="1"/>
  <c r="G146" i="1" s="1"/>
  <c r="G147" i="1" a="1"/>
  <c r="G147" i="1" s="1"/>
  <c r="G148" i="1" a="1"/>
  <c r="G148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7" i="1" a="1"/>
  <c r="G157" i="1" s="1"/>
  <c r="G158" i="1" a="1"/>
  <c r="G158" i="1" s="1"/>
  <c r="G159" i="1" a="1"/>
  <c r="G159" i="1" s="1"/>
  <c r="G160" i="1" a="1"/>
  <c r="G160" i="1" s="1"/>
  <c r="G161" i="1" a="1"/>
  <c r="G161" i="1" s="1"/>
  <c r="G162" i="1" a="1"/>
  <c r="G162" i="1" s="1"/>
  <c r="G163" i="1" a="1"/>
  <c r="G163" i="1" s="1"/>
  <c r="G164" i="1" a="1"/>
  <c r="G164" i="1" s="1"/>
  <c r="G165" i="1" a="1"/>
  <c r="G165" i="1" s="1"/>
  <c r="G207" i="1" a="1"/>
  <c r="G207" i="1" s="1"/>
  <c r="G208" i="1" a="1"/>
  <c r="G208" i="1" s="1"/>
  <c r="G209" i="1" a="1"/>
  <c r="G209" i="1" s="1"/>
  <c r="G210" i="1" a="1"/>
  <c r="G210" i="1" s="1"/>
  <c r="G211" i="1" a="1"/>
  <c r="G211" i="1" s="1"/>
  <c r="G212" i="1" a="1"/>
  <c r="G212" i="1" s="1"/>
  <c r="G213" i="1" a="1"/>
  <c r="G213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192" i="1" a="1"/>
  <c r="G192" i="1" s="1"/>
  <c r="G193" i="1" a="1"/>
  <c r="G193" i="1" s="1"/>
  <c r="G194" i="1" a="1"/>
  <c r="G194" i="1" s="1"/>
  <c r="G195" i="1" a="1"/>
  <c r="G195" i="1" s="1"/>
  <c r="G196" i="1" a="1"/>
  <c r="G196" i="1" s="1"/>
  <c r="G197" i="1" a="1"/>
  <c r="G197" i="1" s="1"/>
  <c r="G198" i="1" a="1"/>
  <c r="G198" i="1" s="1"/>
  <c r="G199" i="1" a="1"/>
  <c r="G199" i="1" s="1"/>
  <c r="G168" i="1" a="1"/>
  <c r="G168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85" i="1" a="1"/>
  <c r="G185" i="1" s="1"/>
  <c r="G186" i="1" a="1"/>
  <c r="G186" i="1" s="1"/>
  <c r="G187" i="1" a="1"/>
  <c r="G187" i="1" s="1"/>
  <c r="G188" i="1" a="1"/>
  <c r="G188" i="1" s="1"/>
  <c r="G189" i="1" a="1"/>
  <c r="G189" i="1" s="1"/>
  <c r="G190" i="1" a="1"/>
  <c r="G190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63" i="1" a="1"/>
  <c r="G63" i="1" s="1"/>
  <c r="G64" i="1" a="1"/>
  <c r="G64" i="1" s="1"/>
  <c r="G65" i="1" a="1"/>
  <c r="G65" i="1" s="1"/>
  <c r="G66" i="1" a="1"/>
  <c r="G66" i="1" s="1"/>
  <c r="G59" i="1" a="1"/>
  <c r="G59" i="1" s="1"/>
  <c r="G60" i="1" a="1"/>
  <c r="G60" i="1" s="1"/>
  <c r="G61" i="1" a="1"/>
  <c r="G61" i="1" s="1"/>
  <c r="G62" i="1" a="1"/>
  <c r="G62" i="1" s="1"/>
  <c r="G86" i="1" a="1"/>
  <c r="G86" i="1" s="1"/>
  <c r="G87" i="1" a="1"/>
  <c r="G87" i="1" s="1"/>
  <c r="G88" i="1" a="1"/>
  <c r="G88" i="1" s="1"/>
  <c r="G89" i="1" a="1"/>
  <c r="G89" i="1" s="1"/>
  <c r="G83" i="1" a="1"/>
  <c r="G83" i="1" s="1"/>
  <c r="G84" i="1" a="1"/>
  <c r="G84" i="1" s="1"/>
  <c r="G85" i="1" a="1"/>
  <c r="G85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0" i="1" a="1"/>
  <c r="G220" i="1" s="1"/>
  <c r="G221" i="1" a="1"/>
  <c r="G221" i="1" s="1"/>
  <c r="G222" i="1" a="1"/>
  <c r="G222" i="1" s="1"/>
  <c r="G223" i="1" a="1"/>
  <c r="G223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33" i="1" a="1"/>
  <c r="G33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130" i="1" a="1"/>
  <c r="G130" i="1" s="1"/>
  <c r="G166" i="1" a="1"/>
  <c r="G166" i="1" s="1"/>
  <c r="G167" i="1" a="1"/>
  <c r="G167" i="1" s="1"/>
  <c r="G191" i="1" a="1"/>
  <c r="G191" i="1" s="1"/>
  <c r="G113" i="1" a="1"/>
  <c r="G113" i="1" s="1"/>
  <c r="H114" i="1"/>
  <c r="H115" i="1"/>
  <c r="H116" i="1"/>
  <c r="H117" i="1"/>
  <c r="H118" i="1"/>
  <c r="H119" i="1"/>
  <c r="H76" i="1"/>
  <c r="H77" i="1"/>
  <c r="H78" i="1"/>
  <c r="H79" i="1"/>
  <c r="H80" i="1"/>
  <c r="H81" i="1"/>
  <c r="H82" i="1"/>
  <c r="H106" i="1"/>
  <c r="H107" i="1"/>
  <c r="H108" i="1"/>
  <c r="H109" i="1"/>
  <c r="H110" i="1"/>
  <c r="H111" i="1"/>
  <c r="H112" i="1"/>
  <c r="H120" i="1"/>
  <c r="H121" i="1"/>
  <c r="H122" i="1"/>
  <c r="H123" i="1"/>
  <c r="H124" i="1"/>
  <c r="H125" i="1"/>
  <c r="H126" i="1"/>
  <c r="H69" i="1"/>
  <c r="H70" i="1"/>
  <c r="H71" i="1"/>
  <c r="H72" i="1"/>
  <c r="H73" i="1"/>
  <c r="H74" i="1"/>
  <c r="H75" i="1"/>
  <c r="H99" i="1"/>
  <c r="H100" i="1"/>
  <c r="H101" i="1"/>
  <c r="H102" i="1"/>
  <c r="H103" i="1"/>
  <c r="H104" i="1"/>
  <c r="H105" i="1"/>
  <c r="H67" i="1"/>
  <c r="H68" i="1"/>
  <c r="H97" i="1"/>
  <c r="H98" i="1"/>
  <c r="H127" i="1"/>
  <c r="H128" i="1"/>
  <c r="H129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207" i="1"/>
  <c r="H208" i="1"/>
  <c r="H209" i="1"/>
  <c r="H210" i="1"/>
  <c r="H211" i="1"/>
  <c r="H212" i="1"/>
  <c r="H213" i="1"/>
  <c r="H200" i="1"/>
  <c r="H201" i="1"/>
  <c r="H202" i="1"/>
  <c r="H203" i="1"/>
  <c r="H204" i="1"/>
  <c r="H205" i="1"/>
  <c r="H206" i="1"/>
  <c r="H192" i="1"/>
  <c r="H193" i="1"/>
  <c r="H194" i="1"/>
  <c r="H195" i="1"/>
  <c r="H196" i="1"/>
  <c r="H197" i="1"/>
  <c r="H198" i="1"/>
  <c r="H199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90" i="1"/>
  <c r="H91" i="1"/>
  <c r="H92" i="1"/>
  <c r="H93" i="1"/>
  <c r="H94" i="1"/>
  <c r="H95" i="1"/>
  <c r="H96" i="1"/>
  <c r="H14" i="1"/>
  <c r="H15" i="1"/>
  <c r="H16" i="1"/>
  <c r="H17" i="1"/>
  <c r="H18" i="1"/>
  <c r="H19" i="1"/>
  <c r="H20" i="1"/>
  <c r="H34" i="1"/>
  <c r="H35" i="1"/>
  <c r="H36" i="1"/>
  <c r="H37" i="1"/>
  <c r="H38" i="1"/>
  <c r="H39" i="1"/>
  <c r="H40" i="1"/>
  <c r="H21" i="1"/>
  <c r="H22" i="1"/>
  <c r="H23" i="1"/>
  <c r="H24" i="1"/>
  <c r="H25" i="1"/>
  <c r="H26" i="1"/>
  <c r="H27" i="1"/>
  <c r="H41" i="1"/>
  <c r="H42" i="1"/>
  <c r="H43" i="1"/>
  <c r="H44" i="1"/>
  <c r="H45" i="1"/>
  <c r="H46" i="1"/>
  <c r="H47" i="1"/>
  <c r="H28" i="1"/>
  <c r="H29" i="1"/>
  <c r="H30" i="1"/>
  <c r="H31" i="1"/>
  <c r="H32" i="1"/>
  <c r="H48" i="1"/>
  <c r="H49" i="1"/>
  <c r="H50" i="1"/>
  <c r="H51" i="1"/>
  <c r="H52" i="1"/>
  <c r="H63" i="1"/>
  <c r="H64" i="1"/>
  <c r="H65" i="1"/>
  <c r="H66" i="1"/>
  <c r="H59" i="1"/>
  <c r="H60" i="1"/>
  <c r="H61" i="1"/>
  <c r="H62" i="1"/>
  <c r="H86" i="1"/>
  <c r="H87" i="1"/>
  <c r="H88" i="1"/>
  <c r="H89" i="1"/>
  <c r="H83" i="1"/>
  <c r="H84" i="1"/>
  <c r="H85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33" i="1"/>
  <c r="H53" i="1"/>
  <c r="H54" i="1"/>
  <c r="H55" i="1"/>
  <c r="H56" i="1"/>
  <c r="H57" i="1"/>
  <c r="H58" i="1"/>
  <c r="H130" i="1"/>
  <c r="H166" i="1"/>
  <c r="H167" i="1"/>
  <c r="H191" i="1"/>
  <c r="H113" i="1"/>
  <c r="E35" i="1" a="1"/>
  <c r="E35" i="1" s="1"/>
  <c r="E190" i="1" a="1"/>
  <c r="E190" i="1" s="1"/>
  <c r="E198" i="1" a="1"/>
  <c r="E198" i="1" s="1"/>
  <c r="F191" i="1"/>
  <c r="E191" i="1" s="1" a="1"/>
  <c r="E191" i="1" s="1"/>
  <c r="F167" i="1"/>
  <c r="E167" i="1" s="1" a="1"/>
  <c r="E167" i="1" s="1"/>
  <c r="F166" i="1"/>
  <c r="E166" i="1" s="1" a="1"/>
  <c r="E166" i="1" s="1"/>
  <c r="F130" i="1"/>
  <c r="E130" i="1" s="1" a="1"/>
  <c r="E130" i="1" s="1"/>
  <c r="F58" i="1"/>
  <c r="E58" i="1" s="1" a="1"/>
  <c r="E58" i="1" s="1"/>
  <c r="F57" i="1"/>
  <c r="E57" i="1" s="1" a="1"/>
  <c r="E57" i="1" s="1"/>
  <c r="F56" i="1"/>
  <c r="E56" i="1" s="1" a="1"/>
  <c r="E56" i="1" s="1"/>
  <c r="F55" i="1"/>
  <c r="E55" i="1" s="1" a="1"/>
  <c r="E55" i="1" s="1"/>
  <c r="F54" i="1"/>
  <c r="E54" i="1" s="1" a="1"/>
  <c r="E54" i="1" s="1"/>
  <c r="F53" i="1"/>
  <c r="E53" i="1" s="1" a="1"/>
  <c r="E53" i="1" s="1"/>
  <c r="F33" i="1"/>
  <c r="E33" i="1" s="1" a="1"/>
  <c r="E33" i="1" s="1"/>
  <c r="F234" i="1"/>
  <c r="E234" i="1" s="1" a="1"/>
  <c r="E234" i="1" s="1"/>
  <c r="F233" i="1"/>
  <c r="E233" i="1" s="1" a="1"/>
  <c r="E233" i="1" s="1"/>
  <c r="F232" i="1"/>
  <c r="E232" i="1" s="1" a="1"/>
  <c r="E232" i="1" s="1"/>
  <c r="F231" i="1"/>
  <c r="E231" i="1" s="1" a="1"/>
  <c r="E231" i="1" s="1"/>
  <c r="F230" i="1"/>
  <c r="E230" i="1" s="1" a="1"/>
  <c r="E230" i="1" s="1"/>
  <c r="F229" i="1"/>
  <c r="E229" i="1" s="1" a="1"/>
  <c r="E229" i="1" s="1"/>
  <c r="F228" i="1"/>
  <c r="E228" i="1" s="1" a="1"/>
  <c r="E228" i="1" s="1"/>
  <c r="F227" i="1"/>
  <c r="E227" i="1" s="1" a="1"/>
  <c r="E227" i="1" s="1"/>
  <c r="F226" i="1"/>
  <c r="E226" i="1" s="1" a="1"/>
  <c r="E226" i="1" s="1"/>
  <c r="F225" i="1"/>
  <c r="E225" i="1" s="1" a="1"/>
  <c r="E225" i="1" s="1"/>
  <c r="F224" i="1"/>
  <c r="E224" i="1" s="1" a="1"/>
  <c r="E224" i="1" s="1"/>
  <c r="F223" i="1"/>
  <c r="E223" i="1" s="1" a="1"/>
  <c r="E223" i="1" s="1"/>
  <c r="F222" i="1"/>
  <c r="E222" i="1" s="1" a="1"/>
  <c r="E222" i="1" s="1"/>
  <c r="F221" i="1"/>
  <c r="E221" i="1" s="1" a="1"/>
  <c r="E221" i="1" s="1"/>
  <c r="F220" i="1"/>
  <c r="E220" i="1" s="1" a="1"/>
  <c r="E220" i="1" s="1"/>
  <c r="F219" i="1"/>
  <c r="E219" i="1" s="1" a="1"/>
  <c r="E219" i="1" s="1"/>
  <c r="F218" i="1"/>
  <c r="E218" i="1" s="1" a="1"/>
  <c r="E218" i="1" s="1"/>
  <c r="F217" i="1"/>
  <c r="E217" i="1" s="1" a="1"/>
  <c r="E217" i="1" s="1"/>
  <c r="F216" i="1"/>
  <c r="E216" i="1" s="1" a="1"/>
  <c r="E216" i="1" s="1"/>
  <c r="F215" i="1"/>
  <c r="E215" i="1" s="1" a="1"/>
  <c r="E215" i="1" s="1"/>
  <c r="F214" i="1"/>
  <c r="E214" i="1" s="1" a="1"/>
  <c r="E214" i="1" s="1"/>
  <c r="F85" i="1"/>
  <c r="E85" i="1" s="1" a="1"/>
  <c r="E85" i="1" s="1"/>
  <c r="F84" i="1"/>
  <c r="E84" i="1" s="1" a="1"/>
  <c r="E84" i="1" s="1"/>
  <c r="F83" i="1"/>
  <c r="E83" i="1" s="1" a="1"/>
  <c r="E83" i="1" s="1"/>
  <c r="F89" i="1"/>
  <c r="E89" i="1" s="1" a="1"/>
  <c r="E89" i="1" s="1"/>
  <c r="F88" i="1"/>
  <c r="E88" i="1" s="1" a="1"/>
  <c r="E88" i="1" s="1"/>
  <c r="F87" i="1"/>
  <c r="E87" i="1" s="1" a="1"/>
  <c r="E87" i="1" s="1"/>
  <c r="F86" i="1"/>
  <c r="E86" i="1" s="1" a="1"/>
  <c r="E86" i="1" s="1"/>
  <c r="F62" i="1"/>
  <c r="E62" i="1" s="1" a="1"/>
  <c r="E62" i="1" s="1"/>
  <c r="F61" i="1"/>
  <c r="E61" i="1" s="1" a="1"/>
  <c r="E61" i="1" s="1"/>
  <c r="F60" i="1"/>
  <c r="E60" i="1" s="1" a="1"/>
  <c r="E60" i="1" s="1"/>
  <c r="F59" i="1"/>
  <c r="E59" i="1" s="1" a="1"/>
  <c r="E59" i="1" s="1"/>
  <c r="F66" i="1"/>
  <c r="E66" i="1" s="1" a="1"/>
  <c r="E66" i="1" s="1"/>
  <c r="F65" i="1"/>
  <c r="E65" i="1" s="1" a="1"/>
  <c r="E65" i="1" s="1"/>
  <c r="F64" i="1"/>
  <c r="E64" i="1" s="1" a="1"/>
  <c r="E64" i="1" s="1"/>
  <c r="F63" i="1"/>
  <c r="E63" i="1" s="1" a="1"/>
  <c r="E63" i="1" s="1"/>
  <c r="F52" i="1"/>
  <c r="E52" i="1" s="1" a="1"/>
  <c r="E52" i="1" s="1"/>
  <c r="F51" i="1"/>
  <c r="E51" i="1" s="1" a="1"/>
  <c r="E51" i="1" s="1"/>
  <c r="F50" i="1"/>
  <c r="E50" i="1" s="1" a="1"/>
  <c r="E50" i="1" s="1"/>
  <c r="F49" i="1"/>
  <c r="E49" i="1" s="1" a="1"/>
  <c r="E49" i="1" s="1"/>
  <c r="F48" i="1"/>
  <c r="E48" i="1" s="1" a="1"/>
  <c r="E48" i="1" s="1"/>
  <c r="F32" i="1"/>
  <c r="E32" i="1" s="1" a="1"/>
  <c r="E32" i="1" s="1"/>
  <c r="F31" i="1"/>
  <c r="E31" i="1" s="1" a="1"/>
  <c r="E31" i="1" s="1"/>
  <c r="F30" i="1"/>
  <c r="E30" i="1" s="1" a="1"/>
  <c r="E30" i="1" s="1"/>
  <c r="F29" i="1"/>
  <c r="E29" i="1" s="1" a="1"/>
  <c r="E29" i="1" s="1"/>
  <c r="F28" i="1"/>
  <c r="E28" i="1" s="1" a="1"/>
  <c r="E28" i="1" s="1"/>
  <c r="F47" i="1"/>
  <c r="E47" i="1" s="1" a="1"/>
  <c r="E47" i="1" s="1"/>
  <c r="F46" i="1"/>
  <c r="E46" i="1" s="1" a="1"/>
  <c r="E46" i="1" s="1"/>
  <c r="F45" i="1"/>
  <c r="E45" i="1" s="1" a="1"/>
  <c r="E45" i="1" s="1"/>
  <c r="F44" i="1"/>
  <c r="E44" i="1" s="1" a="1"/>
  <c r="E44" i="1" s="1"/>
  <c r="F43" i="1"/>
  <c r="E43" i="1" s="1" a="1"/>
  <c r="E43" i="1" s="1"/>
  <c r="F42" i="1"/>
  <c r="E42" i="1" s="1" a="1"/>
  <c r="E42" i="1" s="1"/>
  <c r="F41" i="1"/>
  <c r="E41" i="1" s="1" a="1"/>
  <c r="E41" i="1" s="1"/>
  <c r="F27" i="1"/>
  <c r="E27" i="1" s="1" a="1"/>
  <c r="E27" i="1" s="1"/>
  <c r="F26" i="1"/>
  <c r="E26" i="1" s="1" a="1"/>
  <c r="E26" i="1" s="1"/>
  <c r="F25" i="1"/>
  <c r="E25" i="1" s="1" a="1"/>
  <c r="E25" i="1" s="1"/>
  <c r="F24" i="1"/>
  <c r="E24" i="1" s="1" a="1"/>
  <c r="E24" i="1" s="1"/>
  <c r="F23" i="1"/>
  <c r="E23" i="1" s="1" a="1"/>
  <c r="E23" i="1" s="1"/>
  <c r="F22" i="1"/>
  <c r="E22" i="1" s="1" a="1"/>
  <c r="E22" i="1" s="1"/>
  <c r="F21" i="1"/>
  <c r="E21" i="1" s="1" a="1"/>
  <c r="E21" i="1" s="1"/>
  <c r="F40" i="1"/>
  <c r="E40" i="1" s="1" a="1"/>
  <c r="E40" i="1" s="1"/>
  <c r="F39" i="1"/>
  <c r="E39" i="1" s="1" a="1"/>
  <c r="E39" i="1" s="1"/>
  <c r="F38" i="1"/>
  <c r="E38" i="1" s="1" a="1"/>
  <c r="E38" i="1" s="1"/>
  <c r="F37" i="1"/>
  <c r="E37" i="1" s="1" a="1"/>
  <c r="E37" i="1" s="1"/>
  <c r="F36" i="1"/>
  <c r="E36" i="1" s="1" a="1"/>
  <c r="E36" i="1" s="1"/>
  <c r="F35" i="1"/>
  <c r="F34" i="1"/>
  <c r="E34" i="1" s="1" a="1"/>
  <c r="E34" i="1" s="1"/>
  <c r="F20" i="1"/>
  <c r="E20" i="1" s="1" a="1"/>
  <c r="E20" i="1" s="1"/>
  <c r="F19" i="1"/>
  <c r="E19" i="1" s="1" a="1"/>
  <c r="E19" i="1" s="1"/>
  <c r="F18" i="1"/>
  <c r="E18" i="1" s="1" a="1"/>
  <c r="E18" i="1" s="1"/>
  <c r="F17" i="1"/>
  <c r="E17" i="1" s="1" a="1"/>
  <c r="E17" i="1" s="1"/>
  <c r="F16" i="1"/>
  <c r="E16" i="1" s="1" a="1"/>
  <c r="E16" i="1" s="1"/>
  <c r="F15" i="1"/>
  <c r="E15" i="1" s="1" a="1"/>
  <c r="E15" i="1" s="1"/>
  <c r="F14" i="1"/>
  <c r="E14" i="1" s="1" a="1"/>
  <c r="E14" i="1" s="1"/>
  <c r="F96" i="1"/>
  <c r="E96" i="1" s="1" a="1"/>
  <c r="E96" i="1" s="1"/>
  <c r="F95" i="1"/>
  <c r="E95" i="1" s="1" a="1"/>
  <c r="E95" i="1" s="1"/>
  <c r="F94" i="1"/>
  <c r="E94" i="1" s="1" a="1"/>
  <c r="E94" i="1" s="1"/>
  <c r="F93" i="1"/>
  <c r="E93" i="1" s="1" a="1"/>
  <c r="E93" i="1" s="1"/>
  <c r="F92" i="1"/>
  <c r="E92" i="1" s="1" a="1"/>
  <c r="E92" i="1" s="1"/>
  <c r="F91" i="1"/>
  <c r="E91" i="1" s="1" a="1"/>
  <c r="E91" i="1" s="1"/>
  <c r="F90" i="1"/>
  <c r="E90" i="1" s="1" a="1"/>
  <c r="E90" i="1" s="1"/>
  <c r="F190" i="1"/>
  <c r="F189" i="1"/>
  <c r="E189" i="1" s="1" a="1"/>
  <c r="E189" i="1" s="1"/>
  <c r="F188" i="1"/>
  <c r="E188" i="1" s="1" a="1"/>
  <c r="E188" i="1" s="1"/>
  <c r="F187" i="1"/>
  <c r="E187" i="1" s="1" a="1"/>
  <c r="E187" i="1" s="1"/>
  <c r="F186" i="1"/>
  <c r="E186" i="1" s="1" a="1"/>
  <c r="E186" i="1" s="1"/>
  <c r="F185" i="1"/>
  <c r="E185" i="1" s="1" a="1"/>
  <c r="E185" i="1" s="1"/>
  <c r="F184" i="1"/>
  <c r="E184" i="1" s="1" a="1"/>
  <c r="E184" i="1" s="1"/>
  <c r="F183" i="1"/>
  <c r="E183" i="1" s="1" a="1"/>
  <c r="E183" i="1" s="1"/>
  <c r="F182" i="1"/>
  <c r="E182" i="1" s="1" a="1"/>
  <c r="E182" i="1" s="1"/>
  <c r="F181" i="1"/>
  <c r="E181" i="1" s="1" a="1"/>
  <c r="E181" i="1" s="1"/>
  <c r="F180" i="1"/>
  <c r="E180" i="1" s="1" a="1"/>
  <c r="E180" i="1" s="1"/>
  <c r="F179" i="1"/>
  <c r="E179" i="1" s="1" a="1"/>
  <c r="E179" i="1" s="1"/>
  <c r="F178" i="1"/>
  <c r="E178" i="1" s="1" a="1"/>
  <c r="E178" i="1" s="1"/>
  <c r="F177" i="1"/>
  <c r="E177" i="1" s="1" a="1"/>
  <c r="E177" i="1" s="1"/>
  <c r="F176" i="1"/>
  <c r="E176" i="1" s="1" a="1"/>
  <c r="E176" i="1" s="1"/>
  <c r="F175" i="1"/>
  <c r="E175" i="1" s="1" a="1"/>
  <c r="E175" i="1" s="1"/>
  <c r="F174" i="1"/>
  <c r="E174" i="1" s="1" a="1"/>
  <c r="E174" i="1" s="1"/>
  <c r="F173" i="1"/>
  <c r="E173" i="1" s="1" a="1"/>
  <c r="E173" i="1" s="1"/>
  <c r="F172" i="1"/>
  <c r="E172" i="1" s="1" a="1"/>
  <c r="E172" i="1" s="1"/>
  <c r="F171" i="1"/>
  <c r="E171" i="1" s="1" a="1"/>
  <c r="E171" i="1" s="1"/>
  <c r="F170" i="1"/>
  <c r="E170" i="1" s="1" a="1"/>
  <c r="E170" i="1" s="1"/>
  <c r="F169" i="1"/>
  <c r="E169" i="1" s="1" a="1"/>
  <c r="E169" i="1" s="1"/>
  <c r="F168" i="1"/>
  <c r="E168" i="1" s="1" a="1"/>
  <c r="E168" i="1" s="1"/>
  <c r="F199" i="1"/>
  <c r="E199" i="1" s="1" a="1"/>
  <c r="E199" i="1" s="1"/>
  <c r="F198" i="1"/>
  <c r="F197" i="1"/>
  <c r="E197" i="1" s="1" a="1"/>
  <c r="E197" i="1" s="1"/>
  <c r="F196" i="1"/>
  <c r="E196" i="1" s="1" a="1"/>
  <c r="E196" i="1" s="1"/>
  <c r="F195" i="1"/>
  <c r="E195" i="1" s="1" a="1"/>
  <c r="E195" i="1" s="1"/>
  <c r="F194" i="1"/>
  <c r="E194" i="1" s="1" a="1"/>
  <c r="E194" i="1" s="1"/>
  <c r="F193" i="1"/>
  <c r="E193" i="1" s="1" a="1"/>
  <c r="E193" i="1" s="1"/>
  <c r="F192" i="1"/>
  <c r="E192" i="1" s="1" a="1"/>
  <c r="E192" i="1" s="1"/>
  <c r="F206" i="1"/>
  <c r="E206" i="1" s="1" a="1"/>
  <c r="E206" i="1" s="1"/>
  <c r="F205" i="1"/>
  <c r="E205" i="1" s="1" a="1"/>
  <c r="E205" i="1" s="1"/>
  <c r="F204" i="1"/>
  <c r="E204" i="1" s="1" a="1"/>
  <c r="E204" i="1" s="1"/>
  <c r="F203" i="1"/>
  <c r="E203" i="1" s="1" a="1"/>
  <c r="E203" i="1" s="1"/>
  <c r="F202" i="1"/>
  <c r="E202" i="1" s="1" a="1"/>
  <c r="E202" i="1" s="1"/>
  <c r="F201" i="1"/>
  <c r="E201" i="1" s="1" a="1"/>
  <c r="E201" i="1" s="1"/>
  <c r="F200" i="1"/>
  <c r="E200" i="1" s="1" a="1"/>
  <c r="E200" i="1" s="1"/>
  <c r="F213" i="1"/>
  <c r="E213" i="1" s="1" a="1"/>
  <c r="E213" i="1" s="1"/>
  <c r="F212" i="1"/>
  <c r="E212" i="1" s="1" a="1"/>
  <c r="E212" i="1" s="1"/>
  <c r="F211" i="1"/>
  <c r="E211" i="1" s="1" a="1"/>
  <c r="E211" i="1" s="1"/>
  <c r="F210" i="1"/>
  <c r="E210" i="1" s="1" a="1"/>
  <c r="E210" i="1" s="1"/>
  <c r="F209" i="1"/>
  <c r="E209" i="1" s="1" a="1"/>
  <c r="E209" i="1" s="1"/>
  <c r="F208" i="1"/>
  <c r="E208" i="1" s="1" a="1"/>
  <c r="E208" i="1" s="1"/>
  <c r="F207" i="1"/>
  <c r="E207" i="1" s="1" a="1"/>
  <c r="E207" i="1" s="1"/>
  <c r="F165" i="1"/>
  <c r="E165" i="1" s="1" a="1"/>
  <c r="E165" i="1" s="1"/>
  <c r="F164" i="1"/>
  <c r="E164" i="1" s="1" a="1"/>
  <c r="E164" i="1" s="1"/>
  <c r="F163" i="1"/>
  <c r="E163" i="1" s="1" a="1"/>
  <c r="E163" i="1" s="1"/>
  <c r="F162" i="1"/>
  <c r="E162" i="1" s="1" a="1"/>
  <c r="E162" i="1" s="1"/>
  <c r="F161" i="1"/>
  <c r="E161" i="1" s="1" a="1"/>
  <c r="E161" i="1" s="1"/>
  <c r="F160" i="1"/>
  <c r="E160" i="1" s="1" a="1"/>
  <c r="E160" i="1" s="1"/>
  <c r="F159" i="1"/>
  <c r="E159" i="1" s="1" a="1"/>
  <c r="E159" i="1" s="1"/>
  <c r="F158" i="1"/>
  <c r="E158" i="1" s="1" a="1"/>
  <c r="E158" i="1" s="1"/>
  <c r="F157" i="1"/>
  <c r="E157" i="1" s="1" a="1"/>
  <c r="E157" i="1" s="1"/>
  <c r="F156" i="1"/>
  <c r="E156" i="1" s="1" a="1"/>
  <c r="E156" i="1" s="1"/>
  <c r="F155" i="1"/>
  <c r="E155" i="1" s="1" a="1"/>
  <c r="E155" i="1" s="1"/>
  <c r="F154" i="1"/>
  <c r="E154" i="1" s="1" a="1"/>
  <c r="E154" i="1" s="1"/>
  <c r="F153" i="1"/>
  <c r="E153" i="1" s="1" a="1"/>
  <c r="E153" i="1" s="1"/>
  <c r="F152" i="1"/>
  <c r="E152" i="1" s="1" a="1"/>
  <c r="E152" i="1" s="1"/>
  <c r="F151" i="1"/>
  <c r="E151" i="1" s="1" a="1"/>
  <c r="E151" i="1" s="1"/>
  <c r="F150" i="1"/>
  <c r="E150" i="1" s="1" a="1"/>
  <c r="E150" i="1" s="1"/>
  <c r="F149" i="1"/>
  <c r="E149" i="1" s="1" a="1"/>
  <c r="E149" i="1" s="1"/>
  <c r="F148" i="1"/>
  <c r="E148" i="1" s="1" a="1"/>
  <c r="E148" i="1" s="1"/>
  <c r="F147" i="1"/>
  <c r="E147" i="1" s="1" a="1"/>
  <c r="E147" i="1" s="1"/>
  <c r="F146" i="1"/>
  <c r="E146" i="1" s="1" a="1"/>
  <c r="E146" i="1" s="1"/>
  <c r="F145" i="1"/>
  <c r="E145" i="1" s="1" a="1"/>
  <c r="E145" i="1" s="1"/>
  <c r="F144" i="1"/>
  <c r="E144" i="1" s="1" a="1"/>
  <c r="E144" i="1" s="1"/>
  <c r="F143" i="1"/>
  <c r="E143" i="1" s="1" a="1"/>
  <c r="E143" i="1" s="1"/>
  <c r="F142" i="1"/>
  <c r="E142" i="1" s="1" a="1"/>
  <c r="E142" i="1" s="1"/>
  <c r="F141" i="1"/>
  <c r="E141" i="1" s="1" a="1"/>
  <c r="E141" i="1" s="1"/>
  <c r="F140" i="1"/>
  <c r="E140" i="1" s="1" a="1"/>
  <c r="E140" i="1" s="1"/>
  <c r="F139" i="1"/>
  <c r="E139" i="1" s="1" a="1"/>
  <c r="E139" i="1" s="1"/>
  <c r="F138" i="1"/>
  <c r="E138" i="1" s="1" a="1"/>
  <c r="E138" i="1" s="1"/>
  <c r="F137" i="1"/>
  <c r="E137" i="1" s="1" a="1"/>
  <c r="E137" i="1" s="1"/>
  <c r="F136" i="1"/>
  <c r="E136" i="1" s="1" a="1"/>
  <c r="E136" i="1" s="1"/>
  <c r="F135" i="1"/>
  <c r="E135" i="1" s="1" a="1"/>
  <c r="E135" i="1" s="1"/>
  <c r="F134" i="1"/>
  <c r="E134" i="1" s="1" a="1"/>
  <c r="E134" i="1" s="1"/>
  <c r="F133" i="1"/>
  <c r="E133" i="1" s="1" a="1"/>
  <c r="E133" i="1" s="1"/>
  <c r="F132" i="1"/>
  <c r="E132" i="1" s="1" a="1"/>
  <c r="E132" i="1" s="1"/>
  <c r="F131" i="1"/>
  <c r="E131" i="1" s="1" a="1"/>
  <c r="E131" i="1" s="1"/>
  <c r="F129" i="1"/>
  <c r="E129" i="1" s="1" a="1"/>
  <c r="E129" i="1" s="1"/>
  <c r="F128" i="1"/>
  <c r="E128" i="1" s="1" a="1"/>
  <c r="E128" i="1" s="1"/>
  <c r="F127" i="1"/>
  <c r="E127" i="1" s="1" a="1"/>
  <c r="E127" i="1" s="1"/>
  <c r="F98" i="1"/>
  <c r="E98" i="1" s="1" a="1"/>
  <c r="E98" i="1" s="1"/>
  <c r="F97" i="1"/>
  <c r="E97" i="1" s="1" a="1"/>
  <c r="E97" i="1" s="1"/>
  <c r="F68" i="1"/>
  <c r="E68" i="1" s="1" a="1"/>
  <c r="E68" i="1" s="1"/>
  <c r="F67" i="1"/>
  <c r="E67" i="1" s="1" a="1"/>
  <c r="E67" i="1" s="1"/>
  <c r="F105" i="1"/>
  <c r="E105" i="1" s="1" a="1"/>
  <c r="E105" i="1" s="1"/>
  <c r="F104" i="1"/>
  <c r="E104" i="1" s="1" a="1"/>
  <c r="E104" i="1" s="1"/>
  <c r="F103" i="1"/>
  <c r="E103" i="1" s="1" a="1"/>
  <c r="E103" i="1" s="1"/>
  <c r="F102" i="1"/>
  <c r="E102" i="1" s="1" a="1"/>
  <c r="E102" i="1" s="1"/>
  <c r="F101" i="1"/>
  <c r="E101" i="1" s="1" a="1"/>
  <c r="E101" i="1" s="1"/>
  <c r="F100" i="1"/>
  <c r="E100" i="1" s="1" a="1"/>
  <c r="E100" i="1" s="1"/>
  <c r="F99" i="1"/>
  <c r="E99" i="1" s="1" a="1"/>
  <c r="E99" i="1" s="1"/>
  <c r="F75" i="1"/>
  <c r="E75" i="1" s="1" a="1"/>
  <c r="E75" i="1" s="1"/>
  <c r="F74" i="1"/>
  <c r="E74" i="1" s="1" a="1"/>
  <c r="E74" i="1" s="1"/>
  <c r="F73" i="1"/>
  <c r="E73" i="1" s="1" a="1"/>
  <c r="E73" i="1" s="1"/>
  <c r="F72" i="1"/>
  <c r="E72" i="1" s="1" a="1"/>
  <c r="E72" i="1" s="1"/>
  <c r="F71" i="1"/>
  <c r="E71" i="1" s="1" a="1"/>
  <c r="E71" i="1" s="1"/>
  <c r="F70" i="1"/>
  <c r="E70" i="1" s="1" a="1"/>
  <c r="E70" i="1" s="1"/>
  <c r="F69" i="1"/>
  <c r="E69" i="1" s="1" a="1"/>
  <c r="E69" i="1" s="1"/>
  <c r="F126" i="1"/>
  <c r="E126" i="1" s="1" a="1"/>
  <c r="E126" i="1" s="1"/>
  <c r="F125" i="1"/>
  <c r="E125" i="1" s="1" a="1"/>
  <c r="E125" i="1" s="1"/>
  <c r="F124" i="1"/>
  <c r="E124" i="1" s="1" a="1"/>
  <c r="E124" i="1" s="1"/>
  <c r="F123" i="1"/>
  <c r="E123" i="1" s="1" a="1"/>
  <c r="E123" i="1" s="1"/>
  <c r="F122" i="1"/>
  <c r="E122" i="1" s="1" a="1"/>
  <c r="E122" i="1" s="1"/>
  <c r="F121" i="1"/>
  <c r="E121" i="1" s="1" a="1"/>
  <c r="E121" i="1" s="1"/>
  <c r="F120" i="1"/>
  <c r="E120" i="1" s="1" a="1"/>
  <c r="E120" i="1" s="1"/>
  <c r="F112" i="1"/>
  <c r="E112" i="1" s="1" a="1"/>
  <c r="E112" i="1" s="1"/>
  <c r="F111" i="1"/>
  <c r="E111" i="1" s="1" a="1"/>
  <c r="E111" i="1" s="1"/>
  <c r="F110" i="1"/>
  <c r="E110" i="1" s="1" a="1"/>
  <c r="E110" i="1" s="1"/>
  <c r="F109" i="1"/>
  <c r="E109" i="1" s="1" a="1"/>
  <c r="E109" i="1" s="1"/>
  <c r="F108" i="1"/>
  <c r="E108" i="1" s="1" a="1"/>
  <c r="E108" i="1" s="1"/>
  <c r="F107" i="1"/>
  <c r="E107" i="1" s="1" a="1"/>
  <c r="E107" i="1" s="1"/>
  <c r="F106" i="1"/>
  <c r="E106" i="1" s="1" a="1"/>
  <c r="E106" i="1" s="1"/>
  <c r="F82" i="1"/>
  <c r="F81" i="1"/>
  <c r="F80" i="1"/>
  <c r="F79" i="1"/>
  <c r="F78" i="1"/>
  <c r="E78" i="1" s="1" a="1"/>
  <c r="E78" i="1" s="1"/>
  <c r="F77" i="1"/>
  <c r="E77" i="1" s="1" a="1"/>
  <c r="E77" i="1" s="1"/>
  <c r="F76" i="1"/>
  <c r="E76" i="1" s="1" a="1"/>
  <c r="E76" i="1" s="1"/>
  <c r="F119" i="1"/>
  <c r="F118" i="1"/>
  <c r="F117" i="1"/>
  <c r="F116" i="1"/>
  <c r="F115" i="1"/>
  <c r="F114" i="1"/>
  <c r="F113" i="1"/>
  <c r="B1" i="2" l="1"/>
  <c r="U6" i="2" l="1"/>
  <c r="T6" i="2"/>
  <c r="R6" i="2"/>
  <c r="S6" i="2"/>
  <c r="N6" i="2"/>
  <c r="P6" i="2"/>
  <c r="O6" i="2"/>
  <c r="X10" i="2"/>
  <c r="X6" i="2"/>
  <c r="W6" i="2"/>
  <c r="V6" i="2"/>
  <c r="X14" i="2"/>
  <c r="K14" i="2"/>
  <c r="J14" i="2"/>
  <c r="H14" i="2"/>
  <c r="G14" i="2"/>
  <c r="F14" i="2"/>
  <c r="W14" i="2"/>
  <c r="V14" i="2"/>
  <c r="U14" i="2"/>
  <c r="T14" i="2"/>
  <c r="S14" i="2"/>
  <c r="E14" i="2"/>
  <c r="R14" i="2"/>
  <c r="D14" i="2"/>
  <c r="C14" i="2"/>
  <c r="P14" i="2"/>
  <c r="O14" i="2"/>
  <c r="N14" i="2"/>
  <c r="M14" i="2"/>
  <c r="L14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K6" i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K5" i="1"/>
  <c r="K4" i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L5" i="1" l="1"/>
  <c r="M5" i="1" l="1"/>
  <c r="N5" i="1" l="1"/>
  <c r="O5" i="1"/>
  <c r="P5" i="1" l="1"/>
  <c r="Q5" i="1" l="1"/>
  <c r="R5" i="1" l="1"/>
  <c r="S5" i="1" l="1"/>
  <c r="T5" i="1" l="1"/>
  <c r="U5" i="1" l="1"/>
  <c r="V5" i="1" l="1"/>
  <c r="W5" i="1" l="1"/>
  <c r="X5" i="1" l="1"/>
  <c r="Y5" i="1" l="1"/>
  <c r="Z5" i="1" l="1"/>
  <c r="AA5" i="1" l="1"/>
  <c r="AB5" i="1" l="1"/>
  <c r="AC5" i="1" l="1"/>
  <c r="AD5" i="1" l="1"/>
  <c r="AE5" i="1" l="1"/>
  <c r="AF5" i="1" l="1"/>
  <c r="AG5" i="1" l="1"/>
  <c r="AH5" i="1" l="1"/>
  <c r="AI5" i="1" l="1"/>
  <c r="AJ5" i="1" l="1"/>
  <c r="AK5" i="1" l="1"/>
  <c r="AL5" i="1" l="1"/>
  <c r="AM5" i="1" l="1"/>
  <c r="E113" i="1" l="1" a="1"/>
  <c r="E113" i="1" s="1"/>
  <c r="E116" i="1" a="1"/>
  <c r="E116" i="1" s="1"/>
  <c r="E114" i="1" a="1"/>
  <c r="E114" i="1" s="1"/>
  <c r="E115" i="1" a="1"/>
  <c r="E115" i="1" s="1"/>
  <c r="AN5" i="1"/>
  <c r="AO5" i="1" l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E82" i="1" a="1"/>
  <c r="E82" i="1" s="1"/>
  <c r="E80" i="1" a="1"/>
  <c r="E80" i="1" s="1"/>
  <c r="E79" i="1" a="1"/>
  <c r="E79" i="1" s="1"/>
  <c r="E117" i="1" a="1"/>
  <c r="E117" i="1" s="1"/>
  <c r="E81" i="1" a="1"/>
  <c r="E81" i="1" s="1"/>
  <c r="E119" i="1" a="1"/>
  <c r="E119" i="1" s="1"/>
  <c r="E118" i="1" a="1"/>
  <c r="E1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eddy</author>
  </authors>
  <commentList>
    <comment ref="C29" authorId="0" shapeId="0" xr:uid="{0FAC3AB0-D7D8-4012-8119-E4719549DADB}">
      <text>
        <r>
          <rPr>
            <b/>
            <sz val="9"/>
            <color indexed="81"/>
            <rFont val="Tahoma"/>
            <family val="2"/>
          </rPr>
          <t>eddy: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<sst xmlns="http://schemas.openxmlformats.org/spreadsheetml/2006/main" count="8176" uniqueCount="1563">
  <si>
    <t>Block No</t>
  </si>
  <si>
    <t>Tanggal Tanam</t>
  </si>
  <si>
    <t>Tanaman</t>
  </si>
  <si>
    <t>Total Panen per Hari (kg)</t>
  </si>
  <si>
    <t>Total Tanam kangkung per Hari (bedeng)</t>
  </si>
  <si>
    <t>Total volume penyemprotan Pupuk Daun  per hari</t>
  </si>
  <si>
    <t>Total volume Pupuk Cor  per hari (Bedeng)</t>
  </si>
  <si>
    <t>Total volume penyemprotan Insect per hari (Bedeng)</t>
  </si>
  <si>
    <t>T.SWG-A</t>
  </si>
  <si>
    <t>AA001</t>
  </si>
  <si>
    <t>Kangkung</t>
  </si>
  <si>
    <t>C2</t>
  </si>
  <si>
    <t>T</t>
  </si>
  <si>
    <t>C1</t>
  </si>
  <si>
    <t>P2</t>
  </si>
  <si>
    <t>P3</t>
  </si>
  <si>
    <t>P1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</si>
  <si>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</si>
  <si>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</si>
  <si>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</si>
  <si>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</si>
  <si>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</si>
  <si>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</si>
  <si>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</si>
  <si>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</si>
  <si>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</si>
  <si>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</si>
  <si>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</si>
  <si>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</si>
  <si>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</si>
  <si>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</si>
  <si>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</si>
  <si>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</si>
  <si>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</si>
  <si>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</si>
  <si>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</si>
  <si>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</si>
  <si>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</si>
  <si>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</si>
  <si>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</si>
  <si>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</si>
  <si>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</si>
  <si>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</si>
  <si>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</si>
  <si>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</si>
  <si>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</si>
  <si>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</si>
  <si>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</si>
  <si>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</si>
  <si>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</si>
  <si>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</si>
  <si>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</si>
  <si>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</si>
  <si>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</si>
  <si>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</si>
  <si>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</si>
  <si>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T.SWG-B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</si>
  <si>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</si>
  <si>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</si>
  <si>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</si>
  <si>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</si>
  <si>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</si>
  <si>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</si>
  <si>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</si>
  <si>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</si>
  <si>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</si>
  <si>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</si>
  <si>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</si>
  <si>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</si>
  <si>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</si>
  <si>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</si>
  <si>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</si>
  <si>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</si>
  <si>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</si>
  <si>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</si>
  <si>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</si>
  <si>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</si>
  <si>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</si>
  <si>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</si>
  <si>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</si>
  <si>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</si>
  <si>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</si>
  <si>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</si>
  <si>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</si>
  <si>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</si>
  <si>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</si>
  <si>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</si>
  <si>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</si>
  <si>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</si>
  <si>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</si>
  <si>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</si>
  <si>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</si>
  <si>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</si>
  <si>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</si>
  <si>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</si>
  <si>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</si>
  <si>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</si>
  <si>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</si>
  <si>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</si>
  <si>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</si>
  <si>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</si>
  <si>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</si>
  <si>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</si>
  <si>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</si>
  <si>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</si>
  <si>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</si>
  <si>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</si>
  <si>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</si>
  <si>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</si>
  <si>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</si>
  <si>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</si>
  <si>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</si>
  <si>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</si>
  <si>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</si>
  <si>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</si>
  <si>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</si>
  <si>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</si>
  <si>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BC001</t>
  </si>
  <si>
    <t>BC002</t>
  </si>
  <si>
    <t>BC003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</si>
  <si>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</si>
  <si>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</si>
  <si>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</si>
  <si>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</si>
  <si>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</si>
  <si>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</si>
  <si>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</si>
  <si>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</si>
  <si>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</si>
  <si>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</si>
  <si>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T.TA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</si>
  <si>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</si>
  <si>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</si>
  <si>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</si>
  <si>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</si>
  <si>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</si>
  <si>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</si>
  <si>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</si>
  <si>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</si>
  <si>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</si>
  <si>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</si>
  <si>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</si>
  <si>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</si>
  <si>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</si>
  <si>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T.TB</t>
  </si>
  <si>
    <t>T.BS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</si>
  <si>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</si>
  <si>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</si>
  <si>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</si>
  <si>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</si>
  <si>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</si>
  <si>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</si>
  <si>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</si>
  <si>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</si>
  <si>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</si>
  <si>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</si>
  <si>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</si>
  <si>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Legend</t>
  </si>
  <si>
    <t>No Bedeng</t>
  </si>
  <si>
    <t>Umur Tanaman</t>
  </si>
  <si>
    <t>Bedeng Kosong</t>
  </si>
  <si>
    <t/>
  </si>
  <si>
    <t>Ngo Gai</t>
  </si>
  <si>
    <t>Rau Que</t>
  </si>
  <si>
    <t>tanggal</t>
  </si>
  <si>
    <t>bedeng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</si>
  <si>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</si>
  <si>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</si>
  <si>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</si>
  <si>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</si>
  <si>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</si>
  <si>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</si>
  <si>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</si>
  <si>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</si>
  <si>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</si>
  <si>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</si>
  <si>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</si>
  <si>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</si>
  <si>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</si>
  <si>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</si>
  <si>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</si>
  <si>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</si>
  <si>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</si>
  <si>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</si>
  <si>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</si>
  <si>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</si>
  <si>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AB01</t>
  </si>
  <si>
    <t>AB02</t>
  </si>
  <si>
    <t>AB03</t>
  </si>
  <si>
    <t>AB04</t>
  </si>
  <si>
    <t>AB05</t>
  </si>
  <si>
    <t>AB06</t>
  </si>
  <si>
    <t>AB07</t>
  </si>
  <si>
    <t>AB08</t>
  </si>
  <si>
    <t>AB09</t>
  </si>
  <si>
    <t>AB10</t>
  </si>
  <si>
    <t>AB11</t>
  </si>
  <si>
    <t>AB12</t>
  </si>
  <si>
    <t>AB13</t>
  </si>
  <si>
    <t>AB14</t>
  </si>
  <si>
    <t>AB15</t>
  </si>
  <si>
    <t>AB16</t>
  </si>
  <si>
    <t>AB17</t>
  </si>
  <si>
    <t>AB18</t>
  </si>
  <si>
    <t>AB19</t>
  </si>
  <si>
    <t>AB20</t>
  </si>
  <si>
    <t>AC06</t>
  </si>
  <si>
    <t>AC07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</si>
  <si>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</si>
  <si>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</si>
  <si>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</si>
  <si>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</si>
  <si>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</si>
  <si>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</si>
  <si>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</si>
  <si>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</si>
  <si>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</si>
  <si>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</si>
  <si>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</si>
  <si>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BA01</t>
  </si>
  <si>
    <t>BA02</t>
  </si>
  <si>
    <t>BA03</t>
  </si>
  <si>
    <t>BA04</t>
  </si>
  <si>
    <t>BA05</t>
  </si>
  <si>
    <t>BA06</t>
  </si>
  <si>
    <t>BA07</t>
  </si>
  <si>
    <t>BA08</t>
  </si>
  <si>
    <t>BA09</t>
  </si>
  <si>
    <t>BA10</t>
  </si>
  <si>
    <t>BA11</t>
  </si>
  <si>
    <t>BA12</t>
  </si>
  <si>
    <t>BA13</t>
  </si>
  <si>
    <t>BA14</t>
  </si>
  <si>
    <t>BA15</t>
  </si>
  <si>
    <t>BA16</t>
  </si>
  <si>
    <t>BA17</t>
  </si>
  <si>
    <t>BA18</t>
  </si>
  <si>
    <t>BA19</t>
  </si>
  <si>
    <t>BA20</t>
  </si>
  <si>
    <t>BA21</t>
  </si>
  <si>
    <t>BA22</t>
  </si>
  <si>
    <t>BA23</t>
  </si>
  <si>
    <t>BA24</t>
  </si>
  <si>
    <t>BA25</t>
  </si>
  <si>
    <t>BA26</t>
  </si>
  <si>
    <t>BA27</t>
  </si>
  <si>
    <t>BA28</t>
  </si>
  <si>
    <t>BA29</t>
  </si>
  <si>
    <t>BA30</t>
  </si>
  <si>
    <t>BB01</t>
  </si>
  <si>
    <t>BB02</t>
  </si>
  <si>
    <t>BB03</t>
  </si>
  <si>
    <t>BB04</t>
  </si>
  <si>
    <t>BB05</t>
  </si>
  <si>
    <t>BB06</t>
  </si>
  <si>
    <t>BB07</t>
  </si>
  <si>
    <t>BB08</t>
  </si>
  <si>
    <t>BB09</t>
  </si>
  <si>
    <t>BB10</t>
  </si>
  <si>
    <t>BB11</t>
  </si>
  <si>
    <t>BB12</t>
  </si>
  <si>
    <t>BB13</t>
  </si>
  <si>
    <t>BB14</t>
  </si>
  <si>
    <t>BB15</t>
  </si>
  <si>
    <t>BB16</t>
  </si>
  <si>
    <t>BB17</t>
  </si>
  <si>
    <t>BB18</t>
  </si>
  <si>
    <t>BB19</t>
  </si>
  <si>
    <t>BB20</t>
  </si>
  <si>
    <t>BB21</t>
  </si>
  <si>
    <t>BB22</t>
  </si>
  <si>
    <t>BB23</t>
  </si>
  <si>
    <t>BB24</t>
  </si>
  <si>
    <t>BB25</t>
  </si>
  <si>
    <t>BB26</t>
  </si>
  <si>
    <t>BB27</t>
  </si>
  <si>
    <t>BB28</t>
  </si>
  <si>
    <t>BB29</t>
  </si>
  <si>
    <t>BB30</t>
  </si>
  <si>
    <t>BC01</t>
  </si>
  <si>
    <t>BC02</t>
  </si>
  <si>
    <t>BC06</t>
  </si>
  <si>
    <t>BC07</t>
  </si>
  <si>
    <t>AC01</t>
  </si>
  <si>
    <t>AC02</t>
  </si>
  <si>
    <t>AC03</t>
  </si>
  <si>
    <t>AC04</t>
  </si>
  <si>
    <t>AC05</t>
  </si>
  <si>
    <t>AC08</t>
  </si>
  <si>
    <t>AC09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</si>
  <si>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</si>
  <si>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</si>
  <si>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</si>
  <si>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</si>
  <si>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</si>
  <si>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</si>
  <si>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</si>
  <si>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</si>
  <si>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</si>
  <si>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</si>
  <si>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</si>
  <si>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CA12</t>
  </si>
  <si>
    <t>CA13</t>
  </si>
  <si>
    <t>CA14</t>
  </si>
  <si>
    <t>CA15</t>
  </si>
  <si>
    <t>CA16</t>
  </si>
  <si>
    <t>CA17</t>
  </si>
  <si>
    <t>CA18</t>
  </si>
  <si>
    <t>CA19</t>
  </si>
  <si>
    <t>CA20</t>
  </si>
  <si>
    <t>CA21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</si>
  <si>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</si>
  <si>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</si>
  <si>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</si>
  <si>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</si>
  <si>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</si>
  <si>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</si>
  <si>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</si>
  <si>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</si>
  <si>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</si>
  <si>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</si>
  <si>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</si>
  <si>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</si>
  <si>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</si>
  <si>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</si>
  <si>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</si>
  <si>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</si>
  <si>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</si>
  <si>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</si>
  <si>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</si>
  <si>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</si>
  <si>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</si>
  <si>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</si>
  <si>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</si>
  <si>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</si>
  <si>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</si>
  <si>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</si>
  <si>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</si>
  <si>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</si>
  <si>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</si>
  <si>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</si>
  <si>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</si>
  <si>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</si>
  <si>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</si>
  <si>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</si>
  <si>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</si>
  <si>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</si>
  <si>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</si>
  <si>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</si>
  <si>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</si>
  <si>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</si>
  <si>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SA-AC06</t>
  </si>
  <si>
    <t>SA-AC07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</si>
  <si>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</si>
  <si>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</si>
  <si>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</si>
  <si>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</si>
  <si>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</si>
  <si>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</si>
  <si>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</si>
  <si>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</si>
  <si>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</si>
  <si>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</si>
  <si>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</si>
  <si>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</si>
  <si>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</si>
  <si>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</si>
  <si>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</si>
  <si>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</si>
  <si>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</si>
  <si>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</si>
  <si>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</si>
  <si>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</si>
  <si>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</si>
  <si>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</si>
  <si>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</si>
  <si>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</si>
  <si>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</si>
  <si>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</si>
  <si>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</si>
  <si>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</si>
  <si>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</si>
  <si>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</si>
  <si>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</si>
  <si>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</si>
  <si>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</si>
  <si>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</si>
  <si>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</si>
  <si>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</si>
  <si>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</si>
  <si>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</si>
  <si>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</si>
  <si>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</si>
  <si>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</si>
  <si>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</si>
  <si>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</si>
  <si>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</si>
  <si>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</si>
  <si>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</si>
  <si>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</si>
  <si>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</si>
  <si>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</si>
  <si>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</si>
  <si>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</si>
  <si>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</si>
  <si>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</si>
  <si>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</si>
  <si>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</si>
  <si>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</si>
  <si>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</si>
  <si>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</si>
  <si>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</si>
  <si>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</si>
  <si>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</si>
  <si>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</si>
  <si>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</si>
  <si>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</si>
  <si>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</si>
  <si>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</si>
  <si>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</si>
  <si>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</si>
  <si>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</si>
  <si>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</si>
  <si>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</si>
  <si>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</si>
  <si>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</si>
  <si>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</si>
  <si>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</si>
  <si>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</si>
  <si>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</si>
  <si>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</si>
  <si>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</si>
  <si>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</si>
  <si>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</si>
  <si>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</si>
  <si>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</si>
  <si>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</si>
  <si>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</si>
  <si>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</si>
  <si>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</si>
  <si>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</si>
  <si>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</si>
  <si>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</si>
  <si>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</si>
  <si>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</si>
  <si>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</si>
  <si>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</si>
  <si>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</si>
  <si>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</si>
  <si>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</si>
  <si>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</si>
  <si>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</si>
  <si>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</si>
  <si>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</si>
  <si>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</si>
  <si>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</si>
  <si>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</si>
  <si>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</si>
  <si>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</si>
  <si>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</si>
  <si>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</si>
  <si>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</si>
  <si>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</si>
  <si>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TA-AC12</t>
  </si>
  <si>
    <t>TA-AC13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</si>
  <si>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</si>
  <si>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</si>
  <si>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</si>
  <si>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</si>
  <si>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</si>
  <si>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</si>
  <si>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</si>
  <si>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</si>
  <si>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</si>
  <si>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</si>
  <si>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</si>
  <si>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</si>
  <si>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</si>
  <si>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</si>
  <si>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</si>
  <si>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</si>
  <si>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</si>
  <si>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</si>
  <si>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</si>
  <si>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</si>
  <si>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</si>
  <si>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TB-BA22</t>
  </si>
  <si>
    <t>TB-BA23</t>
  </si>
  <si>
    <t>TB-BB01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</si>
  <si>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</si>
  <si>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</si>
  <si>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</si>
  <si>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</si>
  <si>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</si>
  <si>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</si>
  <si>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</si>
  <si>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</si>
  <si>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</si>
  <si>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</si>
  <si>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</si>
  <si>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</si>
  <si>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</si>
  <si>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</si>
  <si>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</si>
  <si>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</si>
  <si>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</si>
  <si>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</si>
  <si>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</si>
  <si>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</si>
  <si>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</si>
  <si>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</si>
  <si>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</si>
  <si>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</si>
  <si>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</si>
  <si>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</si>
  <si>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</si>
  <si>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</si>
  <si>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</si>
  <si>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</si>
  <si>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</si>
  <si>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</si>
  <si>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</si>
  <si>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</si>
  <si>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</si>
  <si>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</si>
  <si>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</si>
  <si>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</si>
  <si>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</si>
  <si>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</si>
  <si>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</si>
  <si>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</si>
  <si>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BS-CA21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</si>
  <si>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</si>
  <si>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</si>
  <si>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</si>
  <si>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</si>
  <si>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</si>
  <si>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</si>
  <si>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</si>
  <si>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</si>
  <si>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</si>
  <si>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</si>
  <si>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</si>
  <si>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</si>
  <si>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</si>
  <si>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</si>
  <si>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Tanam</t>
  </si>
  <si>
    <t>Ke -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</si>
  <si>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</si>
  <si>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</si>
  <si>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</si>
  <si>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</si>
  <si>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</si>
  <si>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</si>
  <si>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</si>
  <si>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</si>
  <si>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</si>
  <si>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</si>
  <si>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BS-CB01</t>
  </si>
  <si>
    <t>SB-BC03</t>
  </si>
  <si>
    <t>SB-BC04</t>
  </si>
  <si>
    <t>BS-CD01</t>
  </si>
  <si>
    <t>BS-CD02</t>
  </si>
  <si>
    <t>BS-CD03</t>
  </si>
  <si>
    <t>BS-CD04</t>
  </si>
  <si>
    <t>BS-CD05</t>
  </si>
  <si>
    <t>BS-CD06</t>
  </si>
  <si>
    <t>BJ.I012</t>
  </si>
  <si>
    <t>BJ.I013</t>
  </si>
  <si>
    <t>BJ.I014</t>
  </si>
  <si>
    <t>BJ.I015</t>
  </si>
  <si>
    <t>BJ.I016</t>
  </si>
  <si>
    <t>BJ.I017</t>
  </si>
  <si>
    <t>BJ.I018</t>
  </si>
  <si>
    <t>BJ.I019</t>
  </si>
  <si>
    <t>BJ.I020</t>
  </si>
  <si>
    <t>BJ.J001</t>
  </si>
  <si>
    <t>SV.B017</t>
  </si>
  <si>
    <t>SV.B018</t>
  </si>
  <si>
    <t>SV.B019</t>
  </si>
  <si>
    <t>SV.B020</t>
  </si>
  <si>
    <t>SV.B021</t>
  </si>
  <si>
    <t>SV.B022</t>
  </si>
  <si>
    <t>SV.B023</t>
  </si>
  <si>
    <t>SV.A010</t>
  </si>
  <si>
    <t>SV.A011</t>
  </si>
  <si>
    <t>SV.A012</t>
  </si>
  <si>
    <t>SV.A013</t>
  </si>
  <si>
    <t>SV.A014</t>
  </si>
  <si>
    <t>SV.A015</t>
  </si>
  <si>
    <t>SV.A016</t>
  </si>
  <si>
    <t>SV.B010</t>
  </si>
  <si>
    <t>SV.B011</t>
  </si>
  <si>
    <t>SV.B012</t>
  </si>
  <si>
    <t>SV.B013</t>
  </si>
  <si>
    <t>SV.B014</t>
  </si>
  <si>
    <t>SV.B015</t>
  </si>
  <si>
    <t>SV.B016</t>
  </si>
  <si>
    <t>SV.A003</t>
  </si>
  <si>
    <t>SV.A004</t>
  </si>
  <si>
    <t>SV.A005</t>
  </si>
  <si>
    <t>SV.A006</t>
  </si>
  <si>
    <t>SV.A007</t>
  </si>
  <si>
    <t>SV.A008</t>
  </si>
  <si>
    <t>SV.A009</t>
  </si>
  <si>
    <t>ST.G006</t>
  </si>
  <si>
    <t>ST.G007</t>
  </si>
  <si>
    <t>ST.B017</t>
  </si>
  <si>
    <t>ST.B018</t>
  </si>
  <si>
    <t>ST.B019</t>
  </si>
  <si>
    <t>ST.B020</t>
  </si>
  <si>
    <t>ST.B021</t>
  </si>
  <si>
    <t>ST.B022</t>
  </si>
  <si>
    <t>ST.B023</t>
  </si>
  <si>
    <t>SV.B003</t>
  </si>
  <si>
    <t>SV.B004</t>
  </si>
  <si>
    <t>SV.B005</t>
  </si>
  <si>
    <t>SV.B006</t>
  </si>
  <si>
    <t>SV.B007</t>
  </si>
  <si>
    <t>SV.B008</t>
  </si>
  <si>
    <t>SV.B009</t>
  </si>
  <si>
    <t>SV.A001</t>
  </si>
  <si>
    <t>SV.A002</t>
  </si>
  <si>
    <t>SV.B001</t>
  </si>
  <si>
    <t>SV.B002</t>
  </si>
  <si>
    <t>SV.C003</t>
  </si>
  <si>
    <t>SV.C004</t>
  </si>
  <si>
    <t>SV.C006</t>
  </si>
  <si>
    <t>SV.C007</t>
  </si>
  <si>
    <t>ST.F001</t>
  </si>
  <si>
    <t>ST.F002</t>
  </si>
  <si>
    <t>ST.F003</t>
  </si>
  <si>
    <t>ST.F004</t>
  </si>
  <si>
    <t>ST.F005</t>
  </si>
  <si>
    <t>ST.F006</t>
  </si>
  <si>
    <t>ST.F007</t>
  </si>
  <si>
    <t>ST.F008</t>
  </si>
  <si>
    <t>ST.F009</t>
  </si>
  <si>
    <t>ST.F010</t>
  </si>
  <si>
    <t>ST.F011</t>
  </si>
  <si>
    <t>ST.F012</t>
  </si>
  <si>
    <t>ST.G001</t>
  </si>
  <si>
    <t>ST.G002</t>
  </si>
  <si>
    <t>BJ.H021</t>
  </si>
  <si>
    <t>BJ.H022</t>
  </si>
  <si>
    <t>BJ.H023</t>
  </si>
  <si>
    <t>BJ.H024</t>
  </si>
  <si>
    <t>BJ.H025</t>
  </si>
  <si>
    <t>BJ.H026</t>
  </si>
  <si>
    <t>BJ.H027</t>
  </si>
  <si>
    <t>BJ.H028</t>
  </si>
  <si>
    <t>BJ.H029</t>
  </si>
  <si>
    <t>BJ.H030</t>
  </si>
  <si>
    <t>BJ.L001</t>
  </si>
  <si>
    <t>BJ.L002</t>
  </si>
  <si>
    <t>BJ.L003</t>
  </si>
  <si>
    <t>BJ.L004</t>
  </si>
  <si>
    <t>BJ.L005</t>
  </si>
  <si>
    <t>BJ.L006</t>
  </si>
  <si>
    <t>ST.G003</t>
  </si>
  <si>
    <t>ST.G004</t>
  </si>
  <si>
    <t>ST.G005</t>
  </si>
  <si>
    <t>ST.B010</t>
  </si>
  <si>
    <t>ST.B011</t>
  </si>
  <si>
    <t>ST.B012</t>
  </si>
  <si>
    <t>ST.B013</t>
  </si>
  <si>
    <t>ST.B014</t>
  </si>
  <si>
    <t>ST.B015</t>
  </si>
  <si>
    <t>ST.B016</t>
  </si>
  <si>
    <t>ST.B002</t>
  </si>
  <si>
    <t>ST.B003</t>
  </si>
  <si>
    <t>ST.B004</t>
  </si>
  <si>
    <t>ST.B005</t>
  </si>
  <si>
    <t>ST.B006</t>
  </si>
  <si>
    <t>ST.B007</t>
  </si>
  <si>
    <t>ST.B008</t>
  </si>
  <si>
    <t>ST.B009</t>
  </si>
  <si>
    <t>ST.A001</t>
  </si>
  <si>
    <t>ST.A002</t>
  </si>
  <si>
    <t>ST.A003</t>
  </si>
  <si>
    <t>ST.A004</t>
  </si>
  <si>
    <t>ST.A005</t>
  </si>
  <si>
    <t>ST.A006</t>
  </si>
  <si>
    <t>ST.A007</t>
  </si>
  <si>
    <t>ST.A008</t>
  </si>
  <si>
    <t>ST.A009</t>
  </si>
  <si>
    <t>ST.A010</t>
  </si>
  <si>
    <t>ST.A011</t>
  </si>
  <si>
    <t>ST.A012</t>
  </si>
  <si>
    <t>ST.A013</t>
  </si>
  <si>
    <t>ST.A014</t>
  </si>
  <si>
    <t>ST.A015</t>
  </si>
  <si>
    <t>ST.A016</t>
  </si>
  <si>
    <t>ST.A017</t>
  </si>
  <si>
    <t>ST.A018</t>
  </si>
  <si>
    <t>ST.A019</t>
  </si>
  <si>
    <t>ST.A020</t>
  </si>
  <si>
    <t>ST.A021</t>
  </si>
  <si>
    <t>SV.F001</t>
  </si>
  <si>
    <t>SV.F002</t>
  </si>
  <si>
    <t>SV.F003</t>
  </si>
  <si>
    <t>SV.F004</t>
  </si>
  <si>
    <t>SV.F005</t>
  </si>
  <si>
    <t>SV.F006</t>
  </si>
  <si>
    <t>SV.F007</t>
  </si>
  <si>
    <t>SV.G001</t>
  </si>
  <si>
    <t>SV.G002</t>
  </si>
  <si>
    <t>SV.G003</t>
  </si>
  <si>
    <t>SV.G004</t>
  </si>
  <si>
    <t>SV.G005</t>
  </si>
  <si>
    <t>SV.G006</t>
  </si>
  <si>
    <t>SV.G007</t>
  </si>
  <si>
    <t>SV.F008</t>
  </si>
  <si>
    <t>SV.F009</t>
  </si>
  <si>
    <t>SV.F010</t>
  </si>
  <si>
    <t>SV.F011</t>
  </si>
  <si>
    <t>SV.F012</t>
  </si>
  <si>
    <t>SV.F013</t>
  </si>
  <si>
    <t>SV.F014</t>
  </si>
  <si>
    <t>SV.G008</t>
  </si>
  <si>
    <t>SV.G009</t>
  </si>
  <si>
    <t>SV.G010</t>
  </si>
  <si>
    <t>SV.G011</t>
  </si>
  <si>
    <t>SV.G012</t>
  </si>
  <si>
    <t>SV.G013</t>
  </si>
  <si>
    <t>SV.G014</t>
  </si>
  <si>
    <t>SV.F015</t>
  </si>
  <si>
    <t>SV.F016</t>
  </si>
  <si>
    <t>SV.F017</t>
  </si>
  <si>
    <t>SV.F018</t>
  </si>
  <si>
    <t>SV.F019</t>
  </si>
  <si>
    <t>SV.G015</t>
  </si>
  <si>
    <t>SV.G016</t>
  </si>
  <si>
    <t>SV.H013</t>
  </si>
  <si>
    <t>SV.H014</t>
  </si>
  <si>
    <t>SV.H015</t>
  </si>
  <si>
    <t>SV.H016</t>
  </si>
  <si>
    <t>SV.H017</t>
  </si>
  <si>
    <t>SV.H018</t>
  </si>
  <si>
    <t>SV.H019</t>
  </si>
  <si>
    <t>SV.H020</t>
  </si>
  <si>
    <t>SV.G017</t>
  </si>
  <si>
    <t>SV.G018</t>
  </si>
  <si>
    <t>SV.G019</t>
  </si>
  <si>
    <t>SV.H010</t>
  </si>
  <si>
    <t>SV.H011</t>
  </si>
  <si>
    <t>SV.H012</t>
  </si>
  <si>
    <t>SV.A024</t>
  </si>
  <si>
    <t>SV.A025</t>
  </si>
  <si>
    <t>SV.A026</t>
  </si>
  <si>
    <t>SV.A027</t>
  </si>
  <si>
    <t>SV.A028</t>
  </si>
  <si>
    <t>SV.A029</t>
  </si>
  <si>
    <t>SV.A030</t>
  </si>
  <si>
    <t>SV.A017</t>
  </si>
  <si>
    <t>SV.A018</t>
  </si>
  <si>
    <t>SV.A019</t>
  </si>
  <si>
    <t>SV.A020</t>
  </si>
  <si>
    <t>SV.A021</t>
  </si>
  <si>
    <t>SV.A022</t>
  </si>
  <si>
    <t>SV.A023</t>
  </si>
  <si>
    <t>ST.G008</t>
  </si>
  <si>
    <t>ST.G009</t>
  </si>
  <si>
    <t>ST.G010</t>
  </si>
  <si>
    <t>ST.G011</t>
  </si>
  <si>
    <t>ST.G012</t>
  </si>
  <si>
    <t>ST.H001</t>
  </si>
  <si>
    <t>ST.H002</t>
  </si>
  <si>
    <t>ST.H003</t>
  </si>
  <si>
    <t>ST.H004</t>
  </si>
  <si>
    <t>ST.H005</t>
  </si>
  <si>
    <t>ST.H006</t>
  </si>
  <si>
    <t>ST.H007</t>
  </si>
  <si>
    <t>ST.H008</t>
  </si>
  <si>
    <t>ST.H009</t>
  </si>
  <si>
    <t>SV.B024</t>
  </si>
  <si>
    <t>SV.B025</t>
  </si>
  <si>
    <t>SV.B026</t>
  </si>
  <si>
    <t>SV.B027</t>
  </si>
  <si>
    <t>SV.B028</t>
  </si>
  <si>
    <t>SV.B029</t>
  </si>
  <si>
    <t>SV.B030</t>
  </si>
  <si>
    <t>BJ.I001</t>
  </si>
  <si>
    <t>BJ.I002</t>
  </si>
  <si>
    <t>BJ.I003</t>
  </si>
  <si>
    <t>BJ.I004</t>
  </si>
  <si>
    <t>BJ.I005</t>
  </si>
  <si>
    <t>BJ.I006</t>
  </si>
  <si>
    <t>BJ.I007</t>
  </si>
  <si>
    <t>BJ.I008</t>
  </si>
  <si>
    <t>BJ.I009</t>
  </si>
  <si>
    <t>BJ.I010</t>
  </si>
  <si>
    <t>BJ.I011</t>
  </si>
  <si>
    <t>SV.C001</t>
  </si>
  <si>
    <t>SV.C002</t>
  </si>
  <si>
    <t>BS-CD07</t>
  </si>
  <si>
    <t>BS-CD08</t>
  </si>
  <si>
    <t>BS-CD09</t>
  </si>
  <si>
    <t>BS-CD10</t>
  </si>
  <si>
    <t>ST.A022</t>
  </si>
  <si>
    <t>ST.A023</t>
  </si>
  <si>
    <t>ST.A024</t>
  </si>
  <si>
    <t>ST.A025</t>
  </si>
  <si>
    <t>ST.A026</t>
  </si>
  <si>
    <t>ST.A027</t>
  </si>
  <si>
    <t>ST.A028</t>
  </si>
  <si>
    <t>ST.A029</t>
  </si>
  <si>
    <t>ST.A030</t>
  </si>
  <si>
    <t>ST.A031</t>
  </si>
  <si>
    <t>ST.A032</t>
  </si>
  <si>
    <t>ST.A033</t>
  </si>
  <si>
    <t>ST.A034</t>
  </si>
  <si>
    <t>ST.A035</t>
  </si>
  <si>
    <t>ST.A036</t>
  </si>
  <si>
    <t>ST.A037</t>
  </si>
  <si>
    <t>ST.A038</t>
  </si>
  <si>
    <t>ST.A039</t>
  </si>
  <si>
    <t>ST.A040</t>
  </si>
  <si>
    <t>ST.A041</t>
  </si>
  <si>
    <t>ST.A042</t>
  </si>
  <si>
    <t>ST.A043</t>
  </si>
  <si>
    <t>ST.A044</t>
  </si>
  <si>
    <t>ST.A045</t>
  </si>
  <si>
    <t>ST.A046</t>
  </si>
  <si>
    <t>ST.A047</t>
  </si>
  <si>
    <t>ST.A048</t>
  </si>
  <si>
    <t>ST.A049</t>
  </si>
  <si>
    <t>ST.A050</t>
  </si>
  <si>
    <t>ST.A051</t>
  </si>
  <si>
    <t>ST.A052</t>
  </si>
  <si>
    <t>ST.A053</t>
  </si>
  <si>
    <t>ST.A054</t>
  </si>
  <si>
    <t>ST.A055</t>
  </si>
  <si>
    <t>ST.A056</t>
  </si>
  <si>
    <t>ST.A057</t>
  </si>
  <si>
    <t>ST.A058</t>
  </si>
  <si>
    <t>ST.A059</t>
  </si>
  <si>
    <t>ST.A060</t>
  </si>
  <si>
    <t>ST.A061</t>
  </si>
  <si>
    <t>ST.A062</t>
  </si>
  <si>
    <t>ST.A063</t>
  </si>
  <si>
    <t>ST.A064</t>
  </si>
  <si>
    <t>ST.A065</t>
  </si>
  <si>
    <t>ST.A066</t>
  </si>
  <si>
    <t>ST.A067</t>
  </si>
  <si>
    <t>ST.A068</t>
  </si>
  <si>
    <t>ST.A069</t>
  </si>
  <si>
    <t>ST.A070</t>
  </si>
  <si>
    <t>ST.A071</t>
  </si>
  <si>
    <t>ST.A072</t>
  </si>
  <si>
    <t>ST.A073</t>
  </si>
  <si>
    <t>ST.A074</t>
  </si>
  <si>
    <t>ST.A075</t>
  </si>
  <si>
    <t>ST.A076</t>
  </si>
  <si>
    <t>ST.A077</t>
  </si>
  <si>
    <t>ST.A078</t>
  </si>
  <si>
    <t>ST.A079</t>
  </si>
  <si>
    <t>ST.A080</t>
  </si>
  <si>
    <t>ST.A081</t>
  </si>
  <si>
    <t>ST.A082</t>
  </si>
  <si>
    <t>ST.A083</t>
  </si>
  <si>
    <t>ST.A084</t>
  </si>
  <si>
    <t>ST.A085</t>
  </si>
  <si>
    <t>ST.A086</t>
  </si>
  <si>
    <t>ST.A087</t>
  </si>
  <si>
    <t>ST.A088</t>
  </si>
  <si>
    <t>ST.A089</t>
  </si>
  <si>
    <t>ST.A090</t>
  </si>
  <si>
    <t>ST.A091</t>
  </si>
  <si>
    <t>ST.A092</t>
  </si>
  <si>
    <t>ST.A093</t>
  </si>
  <si>
    <t>ST.A094</t>
  </si>
  <si>
    <t>ST.A095</t>
  </si>
  <si>
    <t>ST.A096</t>
  </si>
  <si>
    <t>ST.A097</t>
  </si>
  <si>
    <t>ST.A098</t>
  </si>
  <si>
    <t>ST.A099</t>
  </si>
  <si>
    <t>ST.A100</t>
  </si>
  <si>
    <t>ST.A101</t>
  </si>
  <si>
    <t>ST.A102</t>
  </si>
  <si>
    <t>ST.A103</t>
  </si>
  <si>
    <t>ST.A104</t>
  </si>
  <si>
    <t>ST.A105</t>
  </si>
  <si>
    <t>ST.A106</t>
  </si>
  <si>
    <t>ST.A107</t>
  </si>
  <si>
    <t>ST.A108</t>
  </si>
  <si>
    <t>ST.A109</t>
  </si>
  <si>
    <t>ST.A110</t>
  </si>
  <si>
    <t>ST.A111</t>
  </si>
  <si>
    <t>ST.A112</t>
  </si>
  <si>
    <t>ST.A113</t>
  </si>
  <si>
    <t>ST.A114</t>
  </si>
  <si>
    <t>ST.A115</t>
  </si>
  <si>
    <t>ST.A116</t>
  </si>
  <si>
    <t>ST.A117</t>
  </si>
  <si>
    <t>ST.A118</t>
  </si>
  <si>
    <t>ST.A119</t>
  </si>
  <si>
    <t>ST.A120</t>
  </si>
  <si>
    <t>ST.A121</t>
  </si>
  <si>
    <t>ST.A122</t>
  </si>
  <si>
    <t>ST.A123</t>
  </si>
  <si>
    <t>ST.A124</t>
  </si>
  <si>
    <t>ST.A125</t>
  </si>
  <si>
    <t>ST.A126</t>
  </si>
  <si>
    <t>ST.A127</t>
  </si>
  <si>
    <t>ST.A128</t>
  </si>
  <si>
    <t>ST.A129</t>
  </si>
  <si>
    <t>ST.A130</t>
  </si>
  <si>
    <t>ST.A131</t>
  </si>
  <si>
    <t>ST.A132</t>
  </si>
  <si>
    <t>ST.A133</t>
  </si>
  <si>
    <t>ST.A134</t>
  </si>
  <si>
    <t>ST.A135</t>
  </si>
  <si>
    <t>ST.A136</t>
  </si>
  <si>
    <t>ST.A137</t>
  </si>
  <si>
    <t>ST.A138</t>
  </si>
  <si>
    <t>ST.A139</t>
  </si>
  <si>
    <t>ST.A140</t>
  </si>
  <si>
    <t>ST.A141</t>
  </si>
  <si>
    <t>ST.A142</t>
  </si>
  <si>
    <t>ST.A143</t>
  </si>
  <si>
    <t>ST.A144</t>
  </si>
  <si>
    <t>ST.A145</t>
  </si>
  <si>
    <t>ST.A146</t>
  </si>
  <si>
    <t>ST.A147</t>
  </si>
  <si>
    <t>ST.A148</t>
  </si>
  <si>
    <t>ST.A149</t>
  </si>
  <si>
    <t>ST.A150</t>
  </si>
  <si>
    <t>ST.A151</t>
  </si>
  <si>
    <t>ST.A152</t>
  </si>
  <si>
    <t>ST.A153</t>
  </si>
  <si>
    <t>ST.A154</t>
  </si>
  <si>
    <t>ST.A155</t>
  </si>
  <si>
    <t>ST.A156</t>
  </si>
  <si>
    <t>ST.A157</t>
  </si>
  <si>
    <t>ST.A158</t>
  </si>
  <si>
    <t>ST.A159</t>
  </si>
  <si>
    <t>ST.A160</t>
  </si>
  <si>
    <t>ST.A161</t>
  </si>
  <si>
    <t>ST.A162</t>
  </si>
  <si>
    <t>ST.A163</t>
  </si>
  <si>
    <t>ST.A164</t>
  </si>
  <si>
    <t>ST.A165</t>
  </si>
  <si>
    <t>ST.A166</t>
  </si>
  <si>
    <t>ST.A167</t>
  </si>
  <si>
    <t>ST.A168</t>
  </si>
  <si>
    <t>ST.A169</t>
  </si>
  <si>
    <t>ST.A170</t>
  </si>
  <si>
    <t>ST.A171</t>
  </si>
  <si>
    <t>ST.A172</t>
  </si>
  <si>
    <t>ST.A173</t>
  </si>
  <si>
    <t>ST.A174</t>
  </si>
  <si>
    <t>ST.A175</t>
  </si>
  <si>
    <t>ST.A176</t>
  </si>
  <si>
    <t>ST.A177</t>
  </si>
  <si>
    <t>ST.A178</t>
  </si>
  <si>
    <t>ST.A179</t>
  </si>
  <si>
    <t>Lokasi : Bojongsari (BJ)</t>
  </si>
  <si>
    <t xml:space="preserve">Kode </t>
  </si>
  <si>
    <t>Kode baru</t>
  </si>
  <si>
    <t>Vegy</t>
  </si>
  <si>
    <t>Tgl Tanam</t>
  </si>
  <si>
    <t>Panen Terakhir</t>
  </si>
  <si>
    <t>BS.AA01</t>
  </si>
  <si>
    <t>A001</t>
  </si>
  <si>
    <t>BS.AA02</t>
  </si>
  <si>
    <t>A002</t>
  </si>
  <si>
    <t>BS.DA10</t>
  </si>
  <si>
    <t>N010</t>
  </si>
  <si>
    <t>BS.DA11</t>
  </si>
  <si>
    <t>N011</t>
  </si>
  <si>
    <t>BS.DA12</t>
  </si>
  <si>
    <t>N012</t>
  </si>
  <si>
    <t>BS.DA13</t>
  </si>
  <si>
    <t>N013</t>
  </si>
  <si>
    <t>BS.DA14</t>
  </si>
  <si>
    <t>N014</t>
  </si>
  <si>
    <t>BS.DA15</t>
  </si>
  <si>
    <t>N015</t>
  </si>
  <si>
    <t>BS.DA16</t>
  </si>
  <si>
    <t>N016</t>
  </si>
  <si>
    <t>BS.DA17</t>
  </si>
  <si>
    <t>N017</t>
  </si>
  <si>
    <t>BS.DA18</t>
  </si>
  <si>
    <t>N018</t>
  </si>
  <si>
    <t>BS.CC17</t>
  </si>
  <si>
    <t>K017</t>
  </si>
  <si>
    <t>BS.CC18</t>
  </si>
  <si>
    <t>K018</t>
  </si>
  <si>
    <t>BS.CC19</t>
  </si>
  <si>
    <t>K019</t>
  </si>
  <si>
    <t>BS.CC20</t>
  </si>
  <si>
    <t>K020</t>
  </si>
  <si>
    <t>BS.CC15</t>
  </si>
  <si>
    <t>K015</t>
  </si>
  <si>
    <t>BS.CC16</t>
  </si>
  <si>
    <t>K016</t>
  </si>
  <si>
    <t>BS.CC03</t>
  </si>
  <si>
    <t>K003</t>
  </si>
  <si>
    <t>BS.CC04</t>
  </si>
  <si>
    <t>K004</t>
  </si>
  <si>
    <t>BS.CC05</t>
  </si>
  <si>
    <t>K005</t>
  </si>
  <si>
    <t>BS.CC06</t>
  </si>
  <si>
    <t>K006</t>
  </si>
  <si>
    <t>BS.CC07</t>
  </si>
  <si>
    <t>K007</t>
  </si>
  <si>
    <t>BS.CC08</t>
  </si>
  <si>
    <t>K008</t>
  </si>
  <si>
    <t>BS.CC09</t>
  </si>
  <si>
    <t>K009</t>
  </si>
  <si>
    <t>BS.CC10</t>
  </si>
  <si>
    <t>K010</t>
  </si>
  <si>
    <t>BS.CC11</t>
  </si>
  <si>
    <t>K011</t>
  </si>
  <si>
    <t>BS.CC12</t>
  </si>
  <si>
    <t>K012</t>
  </si>
  <si>
    <t>BS.CC13</t>
  </si>
  <si>
    <t>K013</t>
  </si>
  <si>
    <t>BS.CC14</t>
  </si>
  <si>
    <t>K014</t>
  </si>
  <si>
    <t>BS.AB01</t>
  </si>
  <si>
    <t>B001</t>
  </si>
  <si>
    <t>BS.AB02</t>
  </si>
  <si>
    <t>B002</t>
  </si>
  <si>
    <t>BS.AB03</t>
  </si>
  <si>
    <t>B003</t>
  </si>
  <si>
    <t>BS.AB04</t>
  </si>
  <si>
    <t>B004</t>
  </si>
  <si>
    <t>BS.AB05</t>
  </si>
  <si>
    <t>B005</t>
  </si>
  <si>
    <t>BS.AB06</t>
  </si>
  <si>
    <t>B006</t>
  </si>
  <si>
    <t>BS.AB07</t>
  </si>
  <si>
    <t>B007</t>
  </si>
  <si>
    <t>BS.AB08</t>
  </si>
  <si>
    <t>B008</t>
  </si>
  <si>
    <t>BS.AB09</t>
  </si>
  <si>
    <t>B009</t>
  </si>
  <si>
    <t>BS.AB10</t>
  </si>
  <si>
    <t>B010</t>
  </si>
  <si>
    <t>BS.AB11</t>
  </si>
  <si>
    <t>B011</t>
  </si>
  <si>
    <t>BS.AB12</t>
  </si>
  <si>
    <t>B012</t>
  </si>
  <si>
    <t>BS.AB13</t>
  </si>
  <si>
    <t>B013</t>
  </si>
  <si>
    <t>BS.AB14</t>
  </si>
  <si>
    <t>B014</t>
  </si>
  <si>
    <t>BS.BC01</t>
  </si>
  <si>
    <t>G001</t>
  </si>
  <si>
    <t>BS.BC02</t>
  </si>
  <si>
    <t>G002</t>
  </si>
  <si>
    <t>BS.BC03</t>
  </si>
  <si>
    <t>G003</t>
  </si>
  <si>
    <t>BS.BC04</t>
  </si>
  <si>
    <t>G004</t>
  </si>
  <si>
    <t>BS.BC05</t>
  </si>
  <si>
    <t>G005</t>
  </si>
  <si>
    <t>BS.BC06</t>
  </si>
  <si>
    <t>G006</t>
  </si>
  <si>
    <t>BS.BC07</t>
  </si>
  <si>
    <t>G007</t>
  </si>
  <si>
    <t>BS.BC08</t>
  </si>
  <si>
    <t>G008</t>
  </si>
  <si>
    <t>BS.BC09</t>
  </si>
  <si>
    <t>G009</t>
  </si>
  <si>
    <t>BS.BC10</t>
  </si>
  <si>
    <t>G010</t>
  </si>
  <si>
    <t>BS.BC11</t>
  </si>
  <si>
    <t>G011</t>
  </si>
  <si>
    <t>BS.BC12</t>
  </si>
  <si>
    <t>G012</t>
  </si>
  <si>
    <t>BS.BC13</t>
  </si>
  <si>
    <t>G013</t>
  </si>
  <si>
    <t>BS.BC14</t>
  </si>
  <si>
    <t>G014</t>
  </si>
  <si>
    <t>BS.BC15</t>
  </si>
  <si>
    <t>G015</t>
  </si>
  <si>
    <t>BS.BC16</t>
  </si>
  <si>
    <t>G016</t>
  </si>
  <si>
    <t>BS.BC17</t>
  </si>
  <si>
    <t>G017</t>
  </si>
  <si>
    <t>BS.BB01</t>
  </si>
  <si>
    <t>F001</t>
  </si>
  <si>
    <t>BS.BB02</t>
  </si>
  <si>
    <t>F002</t>
  </si>
  <si>
    <t>BS.BB03</t>
  </si>
  <si>
    <t>F003</t>
  </si>
  <si>
    <t>BS.BB04</t>
  </si>
  <si>
    <t>F004</t>
  </si>
  <si>
    <t>BS.BB05</t>
  </si>
  <si>
    <t>F005</t>
  </si>
  <si>
    <t>BS.BB06</t>
  </si>
  <si>
    <t>F006</t>
  </si>
  <si>
    <t>BS.BB07</t>
  </si>
  <si>
    <t>F007</t>
  </si>
  <si>
    <t>BS.BB08</t>
  </si>
  <si>
    <t>F008</t>
  </si>
  <si>
    <t>BS.BB09</t>
  </si>
  <si>
    <t>F009</t>
  </si>
  <si>
    <t>BS.BB10</t>
  </si>
  <si>
    <t>F010</t>
  </si>
  <si>
    <t>BS.BB11</t>
  </si>
  <si>
    <t>F011</t>
  </si>
  <si>
    <t>BS.BB12</t>
  </si>
  <si>
    <t>F012</t>
  </si>
  <si>
    <t>BS.BB13</t>
  </si>
  <si>
    <t>F013</t>
  </si>
  <si>
    <t>BS.BB14</t>
  </si>
  <si>
    <t>F014</t>
  </si>
  <si>
    <t>BS.BA01</t>
  </si>
  <si>
    <t>E001</t>
  </si>
  <si>
    <t>BS.BA02</t>
  </si>
  <si>
    <t>E002</t>
  </si>
  <si>
    <t>BS.BA03</t>
  </si>
  <si>
    <t>E003</t>
  </si>
  <si>
    <t>BS.BA04</t>
  </si>
  <si>
    <t>E004</t>
  </si>
  <si>
    <t>BS.BA05</t>
  </si>
  <si>
    <t>E005</t>
  </si>
  <si>
    <t>BS.BA06</t>
  </si>
  <si>
    <t>E006</t>
  </si>
  <si>
    <t>BS.BA07</t>
  </si>
  <si>
    <t>E007</t>
  </si>
  <si>
    <t>BS.BA08</t>
  </si>
  <si>
    <t>E008</t>
  </si>
  <si>
    <t>BS.BB15</t>
  </si>
  <si>
    <t>F015</t>
  </si>
  <si>
    <t>BS.BB16</t>
  </si>
  <si>
    <t>F016</t>
  </si>
  <si>
    <t>BS.BB17</t>
  </si>
  <si>
    <t>F017</t>
  </si>
  <si>
    <t>BS.BB18</t>
  </si>
  <si>
    <t>F018</t>
  </si>
  <si>
    <t>BS.BB19</t>
  </si>
  <si>
    <t>F019</t>
  </si>
  <si>
    <t>BS.BA09</t>
  </si>
  <si>
    <t>E009</t>
  </si>
  <si>
    <t>BS.BA10</t>
  </si>
  <si>
    <t>E010</t>
  </si>
  <si>
    <t>BS.BA11</t>
  </si>
  <si>
    <t>E011</t>
  </si>
  <si>
    <t>BS.BA12</t>
  </si>
  <si>
    <t>E012</t>
  </si>
  <si>
    <t>BS.BA13</t>
  </si>
  <si>
    <t>E013</t>
  </si>
  <si>
    <t>BS.BA14</t>
  </si>
  <si>
    <t>E014</t>
  </si>
  <si>
    <t>BS.BA15</t>
  </si>
  <si>
    <t>E015</t>
  </si>
  <si>
    <t>BS.BA16</t>
  </si>
  <si>
    <t>E016</t>
  </si>
  <si>
    <t>BS.BA17</t>
  </si>
  <si>
    <t>E017</t>
  </si>
  <si>
    <t>BS.BA18</t>
  </si>
  <si>
    <t>E018</t>
  </si>
  <si>
    <t>BS.BA19</t>
  </si>
  <si>
    <t>E019</t>
  </si>
  <si>
    <t>BS.AA03</t>
  </si>
  <si>
    <t>A003</t>
  </si>
  <si>
    <t>BS.AA04</t>
  </si>
  <si>
    <t>A004</t>
  </si>
  <si>
    <t>BS.AA05</t>
  </si>
  <si>
    <t>A005</t>
  </si>
  <si>
    <t>BS.AA06</t>
  </si>
  <si>
    <t>A006</t>
  </si>
  <si>
    <t>BS.AA07</t>
  </si>
  <si>
    <t>A007</t>
  </si>
  <si>
    <t>BS.AA08</t>
  </si>
  <si>
    <t>A008</t>
  </si>
  <si>
    <t>BS.AA09</t>
  </si>
  <si>
    <t>A009</t>
  </si>
  <si>
    <t>BS.AA10</t>
  </si>
  <si>
    <t>A010</t>
  </si>
  <si>
    <t>BS.AA11</t>
  </si>
  <si>
    <t>A011</t>
  </si>
  <si>
    <t>BS.AA12</t>
  </si>
  <si>
    <t>A012</t>
  </si>
  <si>
    <t>BS.BD11</t>
  </si>
  <si>
    <t>H011</t>
  </si>
  <si>
    <t>BS.BD12</t>
  </si>
  <si>
    <t>H012</t>
  </si>
  <si>
    <t>BS.BD13</t>
  </si>
  <si>
    <t>H013</t>
  </si>
  <si>
    <t>BS.BD14</t>
  </si>
  <si>
    <t>H014</t>
  </si>
  <si>
    <t>BS.BD15</t>
  </si>
  <si>
    <t>H015</t>
  </si>
  <si>
    <t>BS.BD16</t>
  </si>
  <si>
    <t>H016</t>
  </si>
  <si>
    <t>BS.BD17</t>
  </si>
  <si>
    <t>H017</t>
  </si>
  <si>
    <t>BS.BD18</t>
  </si>
  <si>
    <t>H018</t>
  </si>
  <si>
    <t>BS.BD19</t>
  </si>
  <si>
    <t>H019</t>
  </si>
  <si>
    <t>BS.BD20</t>
  </si>
  <si>
    <t>H020</t>
  </si>
  <si>
    <t>BS.CC21</t>
  </si>
  <si>
    <t>K021</t>
  </si>
  <si>
    <t>BS.AA13</t>
  </si>
  <si>
    <t>A013</t>
  </si>
  <si>
    <t>BS.AA14</t>
  </si>
  <si>
    <t>A014</t>
  </si>
  <si>
    <t>BS.AA15</t>
  </si>
  <si>
    <t>A015</t>
  </si>
  <si>
    <t>BS.AA16</t>
  </si>
  <si>
    <t>A016</t>
  </si>
  <si>
    <t>BS.AA17</t>
  </si>
  <si>
    <t>A017</t>
  </si>
  <si>
    <t>BS.AA18</t>
  </si>
  <si>
    <t>A018</t>
  </si>
  <si>
    <t>BS.AA19</t>
  </si>
  <si>
    <t>A019</t>
  </si>
  <si>
    <t>BS.AA20</t>
  </si>
  <si>
    <t>A020</t>
  </si>
  <si>
    <t>BS.BD01</t>
  </si>
  <si>
    <t>H001</t>
  </si>
  <si>
    <t>BS.BD02</t>
  </si>
  <si>
    <t>H002</t>
  </si>
  <si>
    <t>BS.BD03</t>
  </si>
  <si>
    <t>H003</t>
  </si>
  <si>
    <t>BS.BD04</t>
  </si>
  <si>
    <t>H004</t>
  </si>
  <si>
    <t>BS.BD05</t>
  </si>
  <si>
    <t>H005</t>
  </si>
  <si>
    <t>BS.BD06</t>
  </si>
  <si>
    <t>H006</t>
  </si>
  <si>
    <t>BS.BD07</t>
  </si>
  <si>
    <t>H007</t>
  </si>
  <si>
    <t>BS.BD08</t>
  </si>
  <si>
    <t>H008</t>
  </si>
  <si>
    <t>BS.BD09</t>
  </si>
  <si>
    <t>H009</t>
  </si>
  <si>
    <t>BS.BD10</t>
  </si>
  <si>
    <t>H010</t>
  </si>
  <si>
    <t>BS.AA21</t>
  </si>
  <si>
    <t>A021</t>
  </si>
  <si>
    <t>BS.AA22</t>
  </si>
  <si>
    <t>A022</t>
  </si>
  <si>
    <t>BS.AA23</t>
  </si>
  <si>
    <t>A023</t>
  </si>
  <si>
    <t>BS.AA24</t>
  </si>
  <si>
    <t>A024</t>
  </si>
  <si>
    <t>BS.AA25</t>
  </si>
  <si>
    <t>A025</t>
  </si>
  <si>
    <t>BS.AA26</t>
  </si>
  <si>
    <t>A026</t>
  </si>
  <si>
    <t>BS.AA27</t>
  </si>
  <si>
    <t>A027</t>
  </si>
  <si>
    <t>BS.AB15</t>
  </si>
  <si>
    <t>B015</t>
  </si>
  <si>
    <t>BS.AB16</t>
  </si>
  <si>
    <t>B016</t>
  </si>
  <si>
    <t>BS.AB17</t>
  </si>
  <si>
    <t>B017</t>
  </si>
  <si>
    <t>BS.AB18</t>
  </si>
  <si>
    <t>B018</t>
  </si>
  <si>
    <t>BS.AB19</t>
  </si>
  <si>
    <t>B019</t>
  </si>
  <si>
    <t>BS.AB20</t>
  </si>
  <si>
    <t>B020</t>
  </si>
  <si>
    <t>BS.AB21</t>
  </si>
  <si>
    <t>B021</t>
  </si>
  <si>
    <t>BS.AB22</t>
  </si>
  <si>
    <t>B022</t>
  </si>
  <si>
    <t>BS.AB23</t>
  </si>
  <si>
    <t>B023</t>
  </si>
  <si>
    <t>BS.AB24</t>
  </si>
  <si>
    <t>B024</t>
  </si>
  <si>
    <t>BS.AB25</t>
  </si>
  <si>
    <t>B025</t>
  </si>
  <si>
    <t>BS.AB26</t>
  </si>
  <si>
    <t>B026</t>
  </si>
  <si>
    <t>BS.AB27</t>
  </si>
  <si>
    <t>B027</t>
  </si>
  <si>
    <t>BS.BC18</t>
  </si>
  <si>
    <t>G018</t>
  </si>
  <si>
    <t>Lalot</t>
  </si>
  <si>
    <t>BS.BC19</t>
  </si>
  <si>
    <t>G019</t>
  </si>
  <si>
    <t>BS.AB28</t>
  </si>
  <si>
    <t>B028</t>
  </si>
  <si>
    <t>BS.AB29</t>
  </si>
  <si>
    <t>B029</t>
  </si>
  <si>
    <t>BS.AC01</t>
  </si>
  <si>
    <t>C001</t>
  </si>
  <si>
    <t>BS.AC02</t>
  </si>
  <si>
    <t>C002</t>
  </si>
  <si>
    <t>BS.AC03</t>
  </si>
  <si>
    <t>C003</t>
  </si>
  <si>
    <t>BS.AC04</t>
  </si>
  <si>
    <t>C004</t>
  </si>
  <si>
    <t>BS.AC05</t>
  </si>
  <si>
    <t>C005</t>
  </si>
  <si>
    <t>BS.AC06</t>
  </si>
  <si>
    <t>C006</t>
  </si>
  <si>
    <t>BS.AC07</t>
  </si>
  <si>
    <t>C007</t>
  </si>
  <si>
    <t>BS.AC08</t>
  </si>
  <si>
    <t>C008</t>
  </si>
  <si>
    <t>BS.AD01</t>
  </si>
  <si>
    <t>D001</t>
  </si>
  <si>
    <t>BS.AD02</t>
  </si>
  <si>
    <t>D002</t>
  </si>
  <si>
    <t>BS.AD03</t>
  </si>
  <si>
    <t>D003</t>
  </si>
  <si>
    <t>BS.AD04</t>
  </si>
  <si>
    <t>D004</t>
  </si>
  <si>
    <t>BS.AD05</t>
  </si>
  <si>
    <t>D005</t>
  </si>
  <si>
    <t>BS.AD06</t>
  </si>
  <si>
    <t>D006</t>
  </si>
  <si>
    <t>BS.AD07</t>
  </si>
  <si>
    <t>D007</t>
  </si>
  <si>
    <t>BS.AD08</t>
  </si>
  <si>
    <t>D008</t>
  </si>
  <si>
    <t>BS.AC09</t>
  </si>
  <si>
    <t>C009</t>
  </si>
  <si>
    <t>BS.AC10</t>
  </si>
  <si>
    <t>C010</t>
  </si>
  <si>
    <t>BS.BD21</t>
  </si>
  <si>
    <t>H021</t>
  </si>
  <si>
    <t>BS.BD22</t>
  </si>
  <si>
    <t>H022</t>
  </si>
  <si>
    <t>BS.BD23</t>
  </si>
  <si>
    <t>H023</t>
  </si>
  <si>
    <t>BS.BD24</t>
  </si>
  <si>
    <t>H024</t>
  </si>
  <si>
    <t>BS.BD25</t>
  </si>
  <si>
    <t>H025</t>
  </si>
  <si>
    <t>BS.BD26</t>
  </si>
  <si>
    <t>H026</t>
  </si>
  <si>
    <t>BS.BD27</t>
  </si>
  <si>
    <t>H027</t>
  </si>
  <si>
    <t>BS.BD28</t>
  </si>
  <si>
    <t>H028</t>
  </si>
  <si>
    <t>BS.BD29</t>
  </si>
  <si>
    <t>H029</t>
  </si>
  <si>
    <t>BS.BD30</t>
  </si>
  <si>
    <t>H030</t>
  </si>
  <si>
    <t>BS.CA01</t>
  </si>
  <si>
    <t>I001</t>
  </si>
  <si>
    <t>BS.CA02</t>
  </si>
  <si>
    <t>I002</t>
  </si>
  <si>
    <t>BS.CA03</t>
  </si>
  <si>
    <t>I003</t>
  </si>
  <si>
    <t>BS.CA04</t>
  </si>
  <si>
    <t>I004</t>
  </si>
  <si>
    <t>BS.CA05</t>
  </si>
  <si>
    <t>I005</t>
  </si>
  <si>
    <t>BS.CA06</t>
  </si>
  <si>
    <t>I006</t>
  </si>
  <si>
    <t>BS.CA07</t>
  </si>
  <si>
    <t>I007</t>
  </si>
  <si>
    <t>BS.CA08</t>
  </si>
  <si>
    <t>I008</t>
  </si>
  <si>
    <t>BS.CA09</t>
  </si>
  <si>
    <t>I009</t>
  </si>
  <si>
    <t>BS.CA10</t>
  </si>
  <si>
    <t>I010</t>
  </si>
  <si>
    <t>BS.CA11</t>
  </si>
  <si>
    <t>I011</t>
  </si>
  <si>
    <t>BS.CA12</t>
  </si>
  <si>
    <t>I012</t>
  </si>
  <si>
    <t>BS.CA13</t>
  </si>
  <si>
    <t>I013</t>
  </si>
  <si>
    <t>BS.CA14</t>
  </si>
  <si>
    <t>I014</t>
  </si>
  <si>
    <t>BS.CA15</t>
  </si>
  <si>
    <t>I015</t>
  </si>
  <si>
    <t>BS.CA16</t>
  </si>
  <si>
    <t>I016</t>
  </si>
  <si>
    <t>BS.CA17</t>
  </si>
  <si>
    <t>I017</t>
  </si>
  <si>
    <t>BS.CA18</t>
  </si>
  <si>
    <t>I018</t>
  </si>
  <si>
    <t>BS.CA19</t>
  </si>
  <si>
    <t>I019</t>
  </si>
  <si>
    <t>BS.CA20</t>
  </si>
  <si>
    <t>I020</t>
  </si>
  <si>
    <t>BS.CB01</t>
  </si>
  <si>
    <t>J001</t>
  </si>
  <si>
    <t>BS.CB02</t>
  </si>
  <si>
    <t>J002</t>
  </si>
  <si>
    <t>BS.CB03</t>
  </si>
  <si>
    <t>J003</t>
  </si>
  <si>
    <t>BS.CB04</t>
  </si>
  <si>
    <t>J004</t>
  </si>
  <si>
    <t>BS.CB05</t>
  </si>
  <si>
    <t>J005</t>
  </si>
  <si>
    <t>BS.CB06</t>
  </si>
  <si>
    <t>J006</t>
  </si>
  <si>
    <t>BS.CB07</t>
  </si>
  <si>
    <t>J007</t>
  </si>
  <si>
    <t>BS.CB08</t>
  </si>
  <si>
    <t>J008</t>
  </si>
  <si>
    <t>BS.CB09</t>
  </si>
  <si>
    <t>J009</t>
  </si>
  <si>
    <t>BS.CB10</t>
  </si>
  <si>
    <t>J010</t>
  </si>
  <si>
    <t>BS.CB11</t>
  </si>
  <si>
    <t>J011</t>
  </si>
  <si>
    <t>BS.CB12</t>
  </si>
  <si>
    <t>J012</t>
  </si>
  <si>
    <t>BS.CB13</t>
  </si>
  <si>
    <t>J013</t>
  </si>
  <si>
    <t>BS.CB14</t>
  </si>
  <si>
    <t>J014</t>
  </si>
  <si>
    <t>BS.CB15</t>
  </si>
  <si>
    <t>J015</t>
  </si>
  <si>
    <t>BS.CB16</t>
  </si>
  <si>
    <t>J016</t>
  </si>
  <si>
    <t>BS.CB17</t>
  </si>
  <si>
    <t>J017</t>
  </si>
  <si>
    <t>BS.CB18</t>
  </si>
  <si>
    <t>J018</t>
  </si>
  <si>
    <t>BS.CB19</t>
  </si>
  <si>
    <t>J019</t>
  </si>
  <si>
    <t>BS.CB20</t>
  </si>
  <si>
    <t>J020</t>
  </si>
  <si>
    <t>BS.CB21</t>
  </si>
  <si>
    <t>J021</t>
  </si>
  <si>
    <t>BS.CB22</t>
  </si>
  <si>
    <t>J022</t>
  </si>
  <si>
    <t>BS.CB23</t>
  </si>
  <si>
    <t>J023</t>
  </si>
  <si>
    <t>BS.CC01</t>
  </si>
  <si>
    <t>K001</t>
  </si>
  <si>
    <t>Holy Thai Basil</t>
  </si>
  <si>
    <t>BS.CC02</t>
  </si>
  <si>
    <t>K002</t>
  </si>
  <si>
    <t>BS.AC11</t>
  </si>
  <si>
    <t>C011</t>
  </si>
  <si>
    <t>BS.AC12</t>
  </si>
  <si>
    <t>C012</t>
  </si>
  <si>
    <t>BS.AC13</t>
  </si>
  <si>
    <t>C013</t>
  </si>
  <si>
    <t>BS.AC14</t>
  </si>
  <si>
    <t>C014</t>
  </si>
  <si>
    <t>BS.AC15</t>
  </si>
  <si>
    <t>C015</t>
  </si>
  <si>
    <t>BS.AC16</t>
  </si>
  <si>
    <t>C016</t>
  </si>
  <si>
    <t>BS.AC17</t>
  </si>
  <si>
    <t>C017</t>
  </si>
  <si>
    <t>BS.AC18</t>
  </si>
  <si>
    <t>C018</t>
  </si>
  <si>
    <t>BS.AC19</t>
  </si>
  <si>
    <t>C019</t>
  </si>
  <si>
    <t>BS.AC20</t>
  </si>
  <si>
    <t>C020</t>
  </si>
  <si>
    <t>BS.AC21</t>
  </si>
  <si>
    <t>C021</t>
  </si>
  <si>
    <t>BS.AC22</t>
  </si>
  <si>
    <t>C022</t>
  </si>
  <si>
    <t>BS.AC23</t>
  </si>
  <si>
    <t>C023</t>
  </si>
  <si>
    <t>BS.AD09</t>
  </si>
  <si>
    <t>D009</t>
  </si>
  <si>
    <t>BS.AD10</t>
  </si>
  <si>
    <t>D010</t>
  </si>
  <si>
    <t>BS.AD11</t>
  </si>
  <si>
    <t>D011</t>
  </si>
  <si>
    <t>BS.AD12</t>
  </si>
  <si>
    <t>D012</t>
  </si>
  <si>
    <t>BS.AD13</t>
  </si>
  <si>
    <t>D013</t>
  </si>
  <si>
    <t>BS.AD14</t>
  </si>
  <si>
    <t>D014</t>
  </si>
  <si>
    <t>BS.CD01</t>
  </si>
  <si>
    <t>L001</t>
  </si>
  <si>
    <t>BS.CD02</t>
  </si>
  <si>
    <t>L002</t>
  </si>
  <si>
    <t>BS.CD03</t>
  </si>
  <si>
    <t>L003</t>
  </si>
  <si>
    <t>BS.CD04</t>
  </si>
  <si>
    <t>L004</t>
  </si>
  <si>
    <t>BS.CD05</t>
  </si>
  <si>
    <t>L005</t>
  </si>
  <si>
    <t>BS.CD06</t>
  </si>
  <si>
    <t>L006</t>
  </si>
  <si>
    <t>BS.CD07</t>
  </si>
  <si>
    <t>L007</t>
  </si>
  <si>
    <t>BS.CD08</t>
  </si>
  <si>
    <t>L008</t>
  </si>
  <si>
    <t>BS.CD09</t>
  </si>
  <si>
    <t>L009</t>
  </si>
  <si>
    <t>BS.CD10</t>
  </si>
  <si>
    <t>L010</t>
  </si>
  <si>
    <t>BS.CE01</t>
  </si>
  <si>
    <t>M001</t>
  </si>
  <si>
    <t>BS.CE02</t>
  </si>
  <si>
    <t>M002</t>
  </si>
  <si>
    <t>BS.CE03</t>
  </si>
  <si>
    <t>M003</t>
  </si>
  <si>
    <t>BS.CE04</t>
  </si>
  <si>
    <t>M004</t>
  </si>
  <si>
    <t>BS.CE05</t>
  </si>
  <si>
    <t>M005</t>
  </si>
  <si>
    <t>BS.CE06</t>
  </si>
  <si>
    <t>M006</t>
  </si>
  <si>
    <t>BS.CE07</t>
  </si>
  <si>
    <t>M007</t>
  </si>
  <si>
    <t>BS.CE08</t>
  </si>
  <si>
    <t>M008</t>
  </si>
  <si>
    <t>BS.CE09</t>
  </si>
  <si>
    <t>M009</t>
  </si>
  <si>
    <t>BS.CE10</t>
  </si>
  <si>
    <t>M010</t>
  </si>
  <si>
    <t>BS.CE11</t>
  </si>
  <si>
    <t>M011</t>
  </si>
  <si>
    <t>BS.CE12</t>
  </si>
  <si>
    <t>M012</t>
  </si>
  <si>
    <t>BS.CE13</t>
  </si>
  <si>
    <t>M013</t>
  </si>
  <si>
    <t>BS.DA01</t>
  </si>
  <si>
    <t>N001</t>
  </si>
  <si>
    <t>BS.DA02</t>
  </si>
  <si>
    <t>N002</t>
  </si>
  <si>
    <t>BS.DA03</t>
  </si>
  <si>
    <t>N003</t>
  </si>
  <si>
    <t>BS.DA04</t>
  </si>
  <si>
    <t>N004</t>
  </si>
  <si>
    <t>BS.DA05</t>
  </si>
  <si>
    <t>N005</t>
  </si>
  <si>
    <t>BS.DA06</t>
  </si>
  <si>
    <t>N006</t>
  </si>
  <si>
    <t>BS.DA07</t>
  </si>
  <si>
    <t>N007</t>
  </si>
  <si>
    <t>BS.DA08</t>
  </si>
  <si>
    <t>N008</t>
  </si>
  <si>
    <t>BS.DA09</t>
  </si>
  <si>
    <t>N009</t>
  </si>
  <si>
    <t>BS.AD15</t>
  </si>
  <si>
    <t>D015</t>
  </si>
  <si>
    <t>BS.AD16</t>
  </si>
  <si>
    <t>D016</t>
  </si>
  <si>
    <t>BS.AD17</t>
  </si>
  <si>
    <t>D017</t>
  </si>
  <si>
    <t>BS.AD18</t>
  </si>
  <si>
    <t>D018</t>
  </si>
  <si>
    <t>BS.AD19</t>
  </si>
  <si>
    <t>D019</t>
  </si>
  <si>
    <t>BS.AD20</t>
  </si>
  <si>
    <t>D020</t>
  </si>
  <si>
    <t>BS.AD21</t>
  </si>
  <si>
    <t>D021</t>
  </si>
  <si>
    <t>BS.AD22</t>
  </si>
  <si>
    <t>D022</t>
  </si>
  <si>
    <t>BS.AD23</t>
  </si>
  <si>
    <t>D023</t>
  </si>
  <si>
    <t>BS.DA19</t>
  </si>
  <si>
    <t>N019</t>
  </si>
  <si>
    <t>BS.DA20</t>
  </si>
  <si>
    <t>N020</t>
  </si>
  <si>
    <t>Tgl Panen</t>
  </si>
  <si>
    <t>Umur Panen</t>
  </si>
  <si>
    <t>Gross</t>
  </si>
  <si>
    <t>Panen ke-1</t>
  </si>
  <si>
    <t>Est Panen ke-2</t>
  </si>
  <si>
    <t>Est Panen ke-3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</si>
</sst>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_-;\-* #,##0_-;_-* &quot;-&quot;_-;_-@_-"/>
    <numFmt numFmtId="165" formatCode="_-* #,##0.00_-;\-* #,##0.00_-;_-* &quot;-&quot;??_-;_-@_-"/>
    <numFmt numFmtId="166" formatCode="dd"/>
    <numFmt numFmtId="167" formatCode="mm"/>
    <numFmt numFmtId="168" formatCode="[$-21]ddd"/>
    <numFmt numFmtId="169" formatCode="[$-21]dddd\ dd/mm/yy"/>
    <numFmt numFmtId="170" formatCode="mm\-dd"/>
    <numFmt numFmtId="171" formatCode="dd\-mm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505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7">
    <xf numFmtId="0" fontId="0" fillId="0" borderId="0"/>
    <xf numFmtId="164" fontId="1" fillId="0" borderId="0" applyFont="0" applyFill="0" applyBorder="0" applyAlignment="0" applyProtection="0"/>
    <xf numFmtId="0" fontId="2" fillId="2" borderId="0" applyNumberFormat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2" fillId="14" borderId="0" applyNumberFormat="0" applyBorder="0" applyAlignment="0" applyProtection="0"/>
    <xf numFmtId="0" fontId="13" fillId="15" borderId="0" applyNumberFormat="0" applyBorder="0" applyAlignment="0" applyProtection="0"/>
  </cellStyleXfs>
  <cellXfs count="137">
    <xf numFmtId="0" fontId="0" fillId="0" borderId="0" xfId="0"/>
    <xf numFmtId="14" fontId="7" fillId="0" borderId="0" xfId="0" applyNumberFormat="1" applyFont="1" applyAlignment="1">
      <alignment horizontal="center"/>
    </xf>
    <xf numFmtId="14" fontId="7" fillId="0" borderId="0" xfId="0" applyNumberFormat="1" applyFont="1"/>
    <xf numFmtId="166" fontId="0" fillId="0" borderId="0" xfId="0" applyNumberFormat="1"/>
    <xf numFmtId="0" fontId="0" fillId="3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167" fontId="4" fillId="0" borderId="0" xfId="0" applyNumberFormat="1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6" fontId="4" fillId="0" borderId="0" xfId="0" applyNumberFormat="1" applyFont="1"/>
    <xf numFmtId="0" fontId="0" fillId="0" borderId="0" xfId="0" applyAlignment="1">
      <alignment vertical="center"/>
    </xf>
    <xf numFmtId="168" fontId="0" fillId="0" borderId="0" xfId="0" applyNumberFormat="1" applyAlignment="1">
      <alignment horizontal="center" vertical="center"/>
    </xf>
    <xf numFmtId="168" fontId="4" fillId="0" borderId="0" xfId="0" applyNumberFormat="1" applyFont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vertical="center"/>
    </xf>
    <xf numFmtId="1" fontId="6" fillId="4" borderId="0" xfId="0" applyNumberFormat="1" applyFont="1" applyFill="1" applyAlignment="1">
      <alignment horizontal="center" vertical="center"/>
    </xf>
    <xf numFmtId="1" fontId="6" fillId="4" borderId="0" xfId="0" applyNumberFormat="1" applyFont="1" applyFill="1" applyAlignment="1">
      <alignment vertical="center"/>
    </xf>
    <xf numFmtId="1" fontId="6" fillId="5" borderId="0" xfId="0" applyNumberFormat="1" applyFont="1" applyFill="1" applyAlignment="1">
      <alignment horizontal="center" vertical="center"/>
    </xf>
    <xf numFmtId="1" fontId="6" fillId="5" borderId="0" xfId="0" applyNumberFormat="1" applyFont="1" applyFill="1" applyAlignment="1">
      <alignment vertical="center"/>
    </xf>
    <xf numFmtId="1" fontId="0" fillId="6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vertical="center"/>
    </xf>
    <xf numFmtId="1" fontId="0" fillId="4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vertical="center"/>
    </xf>
    <xf numFmtId="0" fontId="0" fillId="0" borderId="1" xfId="0" applyBorder="1"/>
    <xf numFmtId="169" fontId="0" fillId="0" borderId="1" xfId="0" applyNumberFormat="1" applyBorder="1"/>
    <xf numFmtId="0" fontId="0" fillId="4" borderId="1" xfId="0" applyFill="1" applyBorder="1"/>
    <xf numFmtId="0" fontId="5" fillId="4" borderId="1" xfId="0" applyFont="1" applyFill="1" applyBorder="1"/>
    <xf numFmtId="0" fontId="3" fillId="9" borderId="1" xfId="0" applyFont="1" applyFill="1" applyBorder="1"/>
    <xf numFmtId="0" fontId="5" fillId="8" borderId="1" xfId="0" applyFont="1" applyFill="1" applyBorder="1"/>
    <xf numFmtId="0" fontId="0" fillId="0" borderId="9" xfId="0" applyBorder="1"/>
    <xf numFmtId="0" fontId="3" fillId="9" borderId="9" xfId="0" applyFont="1" applyFill="1" applyBorder="1"/>
    <xf numFmtId="0" fontId="0" fillId="0" borderId="10" xfId="0" applyBorder="1"/>
    <xf numFmtId="1" fontId="0" fillId="7" borderId="1" xfId="0" applyNumberFormat="1" applyFill="1" applyBorder="1" applyAlignment="1">
      <alignment vertical="center"/>
    </xf>
    <xf numFmtId="169" fontId="0" fillId="0" borderId="10" xfId="0" applyNumberFormat="1" applyBorder="1"/>
    <xf numFmtId="169" fontId="0" fillId="0" borderId="11" xfId="0" applyNumberFormat="1" applyBorder="1"/>
    <xf numFmtId="0" fontId="0" fillId="4" borderId="9" xfId="0" applyFill="1" applyBorder="1"/>
    <xf numFmtId="169" fontId="0" fillId="0" borderId="2" xfId="0" applyNumberFormat="1" applyBorder="1"/>
    <xf numFmtId="0" fontId="0" fillId="10" borderId="1" xfId="0" applyFill="1" applyBorder="1"/>
    <xf numFmtId="0" fontId="0" fillId="10" borderId="0" xfId="0" applyFill="1"/>
    <xf numFmtId="0" fontId="0" fillId="11" borderId="1" xfId="0" applyFill="1" applyBorder="1"/>
    <xf numFmtId="169" fontId="0" fillId="11" borderId="2" xfId="0" applyNumberFormat="1" applyFill="1" applyBorder="1"/>
    <xf numFmtId="0" fontId="0" fillId="11" borderId="0" xfId="0" applyFill="1"/>
    <xf numFmtId="169" fontId="0" fillId="10" borderId="2" xfId="0" applyNumberFormat="1" applyFill="1" applyBorder="1"/>
    <xf numFmtId="0" fontId="0" fillId="7" borderId="1" xfId="0" applyFill="1" applyBorder="1"/>
    <xf numFmtId="169" fontId="0" fillId="7" borderId="2" xfId="0" applyNumberFormat="1" applyFill="1" applyBorder="1"/>
    <xf numFmtId="0" fontId="6" fillId="11" borderId="1" xfId="0" applyFont="1" applyFill="1" applyBorder="1"/>
    <xf numFmtId="0" fontId="6" fillId="11" borderId="0" xfId="0" applyFont="1" applyFill="1"/>
    <xf numFmtId="0" fontId="6" fillId="10" borderId="1" xfId="0" applyFont="1" applyFill="1" applyBorder="1"/>
    <xf numFmtId="169" fontId="6" fillId="10" borderId="2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170" fontId="0" fillId="0" borderId="9" xfId="0" applyNumberFormat="1" applyBorder="1"/>
    <xf numFmtId="170" fontId="0" fillId="0" borderId="1" xfId="0" applyNumberFormat="1" applyBorder="1" applyAlignment="1">
      <alignment wrapText="1"/>
    </xf>
    <xf numFmtId="170" fontId="0" fillId="0" borderId="1" xfId="0" applyNumberFormat="1" applyBorder="1"/>
    <xf numFmtId="171" fontId="0" fillId="0" borderId="1" xfId="0" applyNumberFormat="1" applyBorder="1" applyAlignment="1">
      <alignment wrapText="1"/>
    </xf>
    <xf numFmtId="171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7" xfId="0" applyBorder="1"/>
    <xf numFmtId="16" fontId="0" fillId="0" borderId="18" xfId="0" applyNumberFormat="1" applyBorder="1"/>
    <xf numFmtId="0" fontId="0" fillId="0" borderId="18" xfId="0" applyBorder="1"/>
    <xf numFmtId="0" fontId="0" fillId="0" borderId="19" xfId="0" applyBorder="1"/>
    <xf numFmtId="14" fontId="8" fillId="0" borderId="0" xfId="0" applyNumberFormat="1" applyFont="1"/>
    <xf numFmtId="0" fontId="0" fillId="0" borderId="5" xfId="0" applyBorder="1"/>
    <xf numFmtId="0" fontId="6" fillId="3" borderId="1" xfId="0" applyFont="1" applyFill="1" applyBorder="1"/>
    <xf numFmtId="0" fontId="0" fillId="13" borderId="1" xfId="0" applyFill="1" applyBorder="1"/>
    <xf numFmtId="0" fontId="2" fillId="2" borderId="1" xfId="2" applyBorder="1"/>
    <xf numFmtId="0" fontId="5" fillId="0" borderId="0" xfId="0" applyFont="1" applyAlignment="1">
      <alignment horizontal="center"/>
    </xf>
    <xf numFmtId="170" fontId="0" fillId="0" borderId="0" xfId="0" applyNumberFormat="1"/>
    <xf numFmtId="1" fontId="0" fillId="0" borderId="10" xfId="0" applyNumberFormat="1" applyBorder="1" applyAlignment="1">
      <alignment horizontal="center"/>
    </xf>
    <xf numFmtId="14" fontId="0" fillId="0" borderId="1" xfId="0" applyNumberFormat="1" applyBorder="1"/>
    <xf numFmtId="1" fontId="0" fillId="0" borderId="1" xfId="3" applyNumberFormat="1" applyFont="1" applyBorder="1"/>
    <xf numFmtId="1" fontId="0" fillId="0" borderId="10" xfId="3" applyNumberFormat="1" applyFont="1" applyBorder="1" applyAlignment="1">
      <alignment horizontal="center"/>
    </xf>
    <xf numFmtId="14" fontId="0" fillId="0" borderId="0" xfId="0" applyNumberFormat="1"/>
    <xf numFmtId="165" fontId="0" fillId="0" borderId="1" xfId="4" applyFont="1" applyBorder="1"/>
    <xf numFmtId="2" fontId="0" fillId="0" borderId="1" xfId="0" applyNumberFormat="1" applyBorder="1"/>
    <xf numFmtId="1" fontId="0" fillId="0" borderId="1" xfId="4" applyNumberFormat="1" applyFont="1" applyBorder="1"/>
    <xf numFmtId="165" fontId="0" fillId="0" borderId="1" xfId="3" applyFont="1" applyBorder="1"/>
    <xf numFmtId="1" fontId="0" fillId="0" borderId="0" xfId="0" applyNumberFormat="1" applyAlignment="1">
      <alignment horizontal="right"/>
    </xf>
    <xf numFmtId="165" fontId="0" fillId="0" borderId="0" xfId="3" applyFont="1"/>
    <xf numFmtId="2" fontId="0" fillId="0" borderId="0" xfId="0" applyNumberFormat="1"/>
    <xf numFmtId="165" fontId="0" fillId="0" borderId="0" xfId="4" applyFont="1"/>
    <xf numFmtId="0" fontId="0" fillId="0" borderId="1" xfId="0" applyBorder="1" applyAlignment="1">
      <alignment horizontal="center" vertical="center"/>
    </xf>
    <xf numFmtId="165" fontId="0" fillId="0" borderId="1" xfId="0" applyNumberFormat="1" applyBorder="1"/>
    <xf numFmtId="0" fontId="4" fillId="0" borderId="1" xfId="0" applyFont="1" applyBorder="1"/>
    <xf numFmtId="170" fontId="13" fillId="3" borderId="1" xfId="6" applyNumberFormat="1" applyFill="1" applyBorder="1"/>
    <xf numFmtId="0" fontId="0" fillId="3" borderId="1" xfId="0" applyFill="1" applyBorder="1"/>
    <xf numFmtId="0" fontId="5" fillId="7" borderId="24" xfId="0" applyFont="1" applyFill="1" applyBorder="1" applyAlignment="1">
      <alignment horizontal="center"/>
    </xf>
    <xf numFmtId="0" fontId="5" fillId="7" borderId="24" xfId="0" applyFont="1" applyFill="1" applyBorder="1" applyAlignment="1">
      <alignment horizontal="center" wrapText="1"/>
    </xf>
    <xf numFmtId="0" fontId="5" fillId="12" borderId="1" xfId="0" applyFont="1" applyFill="1" applyBorder="1" applyAlignment="1">
      <alignment horizontal="center"/>
    </xf>
    <xf numFmtId="0" fontId="5" fillId="12" borderId="1" xfId="0" applyFont="1" applyFill="1" applyBorder="1" applyAlignment="1">
      <alignment horizontal="center" wrapText="1"/>
    </xf>
    <xf numFmtId="0" fontId="0" fillId="16" borderId="1" xfId="0" applyFill="1" applyBorder="1"/>
    <xf numFmtId="0" fontId="0" fillId="16" borderId="1" xfId="0" applyFill="1" applyBorder="1" applyAlignment="1">
      <alignment horizontal="center"/>
    </xf>
    <xf numFmtId="0" fontId="0" fillId="17" borderId="1" xfId="0" applyFill="1" applyBorder="1"/>
    <xf numFmtId="14" fontId="0" fillId="0" borderId="1" xfId="0" applyNumberFormat="1" applyBorder="1" applyAlignment="1">
      <alignment wrapText="1"/>
    </xf>
    <xf numFmtId="0" fontId="0" fillId="18" borderId="1" xfId="0" applyFill="1" applyBorder="1"/>
    <xf numFmtId="0" fontId="0" fillId="18" borderId="1" xfId="0" applyFill="1" applyBorder="1" applyAlignment="1">
      <alignment horizontal="center"/>
    </xf>
    <xf numFmtId="0" fontId="0" fillId="19" borderId="1" xfId="0" applyFill="1" applyBorder="1"/>
    <xf numFmtId="0" fontId="12" fillId="14" borderId="1" xfId="5" applyBorder="1"/>
    <xf numFmtId="16" fontId="0" fillId="0" borderId="1" xfId="0" applyNumberFormat="1" applyBorder="1"/>
    <xf numFmtId="0" fontId="0" fillId="20" borderId="1" xfId="0" applyFill="1" applyBorder="1"/>
    <xf numFmtId="0" fontId="0" fillId="20" borderId="1" xfId="0" applyFill="1" applyBorder="1" applyAlignment="1">
      <alignment horizontal="center"/>
    </xf>
    <xf numFmtId="0" fontId="0" fillId="21" borderId="1" xfId="0" applyFill="1" applyBorder="1"/>
    <xf numFmtId="0" fontId="0" fillId="21" borderId="1" xfId="0" applyFill="1" applyBorder="1" applyAlignment="1">
      <alignment horizontal="center"/>
    </xf>
    <xf numFmtId="0" fontId="0" fillId="22" borderId="1" xfId="0" applyFill="1" applyBorder="1"/>
    <xf numFmtId="0" fontId="0" fillId="22" borderId="1" xfId="0" applyFill="1" applyBorder="1" applyAlignment="1">
      <alignment horizontal="center"/>
    </xf>
    <xf numFmtId="0" fontId="0" fillId="23" borderId="1" xfId="0" applyFill="1" applyBorder="1"/>
    <xf numFmtId="0" fontId="0" fillId="24" borderId="1" xfId="0" applyFill="1" applyBorder="1"/>
    <xf numFmtId="0" fontId="0" fillId="25" borderId="1" xfId="0" applyFill="1" applyBorder="1"/>
    <xf numFmtId="0" fontId="0" fillId="23" borderId="1" xfId="0" applyFill="1" applyBorder="1" applyAlignment="1">
      <alignment horizontal="center"/>
    </xf>
    <xf numFmtId="0" fontId="5" fillId="7" borderId="1" xfId="0" applyFont="1" applyFill="1" applyBorder="1"/>
    <xf numFmtId="16" fontId="12" fillId="14" borderId="1" xfId="5" applyNumberFormat="1" applyBorder="1"/>
    <xf numFmtId="14" fontId="8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textRotation="255"/>
    </xf>
    <xf numFmtId="0" fontId="5" fillId="0" borderId="15" xfId="0" applyFont="1" applyBorder="1" applyAlignment="1">
      <alignment horizontal="center" textRotation="255"/>
    </xf>
    <xf numFmtId="0" fontId="5" fillId="0" borderId="16" xfId="0" applyFont="1" applyBorder="1" applyAlignment="1">
      <alignment horizontal="center" textRotation="255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" fontId="5" fillId="7" borderId="5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4" fontId="7" fillId="0" borderId="0" xfId="0" applyNumberFormat="1" applyFont="1" applyAlignment="1">
      <alignment horizontal="center"/>
    </xf>
    <xf numFmtId="1" fontId="3" fillId="3" borderId="3" xfId="1" applyNumberFormat="1" applyFont="1" applyFill="1" applyBorder="1" applyAlignment="1">
      <alignment horizontal="center" vertical="center" wrapText="1"/>
    </xf>
    <xf numFmtId="1" fontId="3" fillId="3" borderId="4" xfId="1" applyNumberFormat="1" applyFont="1" applyFill="1" applyBorder="1" applyAlignment="1">
      <alignment horizontal="center" vertical="center" wrapText="1"/>
    </xf>
    <xf numFmtId="1" fontId="3" fillId="4" borderId="5" xfId="1" applyNumberFormat="1" applyFont="1" applyFill="1" applyBorder="1" applyAlignment="1">
      <alignment horizontal="center" vertical="center" wrapText="1"/>
    </xf>
    <xf numFmtId="1" fontId="3" fillId="4" borderId="0" xfId="1" applyNumberFormat="1" applyFont="1" applyFill="1" applyBorder="1" applyAlignment="1">
      <alignment horizontal="center" vertical="center" wrapText="1"/>
    </xf>
    <xf numFmtId="1" fontId="3" fillId="5" borderId="5" xfId="1" applyNumberFormat="1" applyFont="1" applyFill="1" applyBorder="1" applyAlignment="1">
      <alignment horizontal="center" vertical="center" wrapText="1"/>
    </xf>
    <xf numFmtId="1" fontId="3" fillId="5" borderId="0" xfId="1" applyNumberFormat="1" applyFont="1" applyFill="1" applyBorder="1" applyAlignment="1">
      <alignment horizontal="center" vertical="center" wrapText="1"/>
    </xf>
    <xf numFmtId="1" fontId="5" fillId="6" borderId="5" xfId="1" applyNumberFormat="1" applyFont="1" applyFill="1" applyBorder="1" applyAlignment="1">
      <alignment horizontal="center" vertical="center" wrapText="1"/>
    </xf>
    <xf numFmtId="1" fontId="5" fillId="6" borderId="0" xfId="1" applyNumberFormat="1" applyFont="1" applyFill="1" applyBorder="1" applyAlignment="1">
      <alignment horizontal="center" vertical="center" wrapText="1"/>
    </xf>
    <xf numFmtId="0" fontId="14" fillId="0" borderId="23" xfId="0" applyFont="1" applyBorder="1" applyAlignment="1">
      <alignment horizontal="left"/>
    </xf>
    <xf numFmtId="0" fontId="5" fillId="7" borderId="1" xfId="0" applyFont="1" applyFill="1" applyBorder="1" applyAlignment="1">
      <alignment horizontal="center"/>
    </xf>
  </cellXfs>
  <cellStyles count="7">
    <cellStyle name="Bad" xfId="6" builtinId="27"/>
    <cellStyle name="Comma" xfId="3" builtinId="3"/>
    <cellStyle name="Comma [0]" xfId="1" builtinId="6"/>
    <cellStyle name="Comma 2" xfId="4" xr:uid="{8FE10809-4242-4005-A0C6-6FEC3F0AC17B}"/>
    <cellStyle name="Good" xfId="5" builtinId="26"/>
    <cellStyle name="Neutral" xfId="2" builtinId="28"/>
    <cellStyle name="Normal" xfId="0" builtinId="0"/>
  </cellStyles>
  <dxfs count="1265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65</xdr:row>
      <xdr:rowOff>15459</xdr:rowOff>
    </xdr:from>
    <xdr:to>
      <xdr:col>4</xdr:col>
      <xdr:colOff>190843</xdr:colOff>
      <xdr:row>72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64"/>
  <sheetViews>
    <sheetView showGridLines="0" zoomScale="93" zoomScaleNormal="146" workbookViewId="0">
      <selection activeCell="AD7" sqref="AD7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153</v>
      </c>
      <c r="B1" s="117">
        <f ca="1">TODAY()</f>
        <v>46178</v>
      </c>
      <c r="C1" s="117"/>
      <c r="D1" s="117"/>
    </row>
    <row r="2" spans="1:25" x14ac:dyDescent="0.25">
      <c r="B2" s="51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3"/>
    </row>
    <row r="3" spans="1:25" x14ac:dyDescent="0.25">
      <c r="B3" s="54"/>
      <c r="Y3" s="55"/>
    </row>
    <row r="4" spans="1:25" x14ac:dyDescent="0.25">
      <c r="B4" s="54"/>
      <c r="Y4" s="55"/>
    </row>
    <row r="5" spans="1:25" x14ac:dyDescent="0.25">
      <c r="A5">
        <v>60</v>
      </c>
      <c r="B5" s="54"/>
      <c r="C5" s="25" t="s">
        <v>283</v>
      </c>
      <c r="D5" s="25" t="s">
        <v>284</v>
      </c>
      <c r="E5" s="25" t="s">
        <v>285</v>
      </c>
      <c r="F5" s="25" t="s">
        <v>286</v>
      </c>
      <c r="G5" s="25" t="s">
        <v>287</v>
      </c>
      <c r="H5" s="25" t="s">
        <v>206</v>
      </c>
      <c r="J5" s="25" t="s">
        <v>137</v>
      </c>
      <c r="K5" s="25" t="s">
        <v>138</v>
      </c>
      <c r="L5" s="25" t="s">
        <v>139</v>
      </c>
      <c r="M5" s="25" t="s">
        <v>140</v>
      </c>
      <c r="N5" s="25" t="s">
        <v>141</v>
      </c>
      <c r="O5" s="25" t="s">
        <v>142</v>
      </c>
      <c r="P5" s="25" t="s">
        <v>143</v>
      </c>
      <c r="R5" s="25" t="s">
        <v>149</v>
      </c>
      <c r="S5" s="25" t="s">
        <v>150</v>
      </c>
      <c r="T5" s="25" t="s">
        <v>151</v>
      </c>
      <c r="U5" s="25" t="s">
        <v>152</v>
      </c>
      <c r="V5" s="25" t="s">
        <v>146</v>
      </c>
      <c r="W5" s="25" t="s">
        <v>147</v>
      </c>
      <c r="X5" s="25" t="s">
        <v>148</v>
      </c>
      <c r="Y5" s="55"/>
    </row>
    <row r="6" spans="1:25" ht="15.75" thickBot="1" x14ac:dyDescent="0.3">
      <c r="B6" s="54"/>
      <c r="C6" s="31" t="str">
        <f t="shared" ref="C6:H6" si="0">IF(C7="","",$B$1-C7)</f>
        <v/>
      </c>
      <c r="D6" s="25" t="str">
        <f t="shared" si="0"/>
        <v/>
      </c>
      <c r="E6" s="25" t="str">
        <f t="shared" si="0"/>
        <v/>
      </c>
      <c r="F6" s="25" t="str">
        <f t="shared" si="0"/>
        <v/>
      </c>
      <c r="G6" s="25" t="str">
        <f t="shared" si="0"/>
        <v/>
      </c>
      <c r="H6" s="25" t="str">
        <f t="shared" si="0"/>
        <v/>
      </c>
      <c r="J6" s="25" t="str">
        <f t="shared" ref="J6:P6" si="1">IF(J7="","",$B$1-J7)</f>
        <v/>
      </c>
      <c r="K6" s="25" t="str">
        <f t="shared" si="1"/>
        <v/>
      </c>
      <c r="L6" s="25" t="str">
        <f t="shared" si="1"/>
        <v/>
      </c>
      <c r="M6" s="25" t="str">
        <f t="shared" si="1"/>
        <v/>
      </c>
      <c r="N6" s="25">
        <f t="shared" ca="1" si="1"/>
        <v>5</v>
      </c>
      <c r="O6" s="25">
        <f t="shared" ca="1" si="1"/>
        <v>5</v>
      </c>
      <c r="P6" s="25">
        <f t="shared" ca="1" si="1"/>
        <v>5</v>
      </c>
      <c r="R6" s="25">
        <f t="shared" ref="R6:X6" ca="1" si="2">IF(R7="","",$B$1-R7)</f>
        <v>5</v>
      </c>
      <c r="S6" s="25">
        <f t="shared" ca="1" si="2"/>
        <v>5</v>
      </c>
      <c r="T6" s="25">
        <f t="shared" ca="1" si="2"/>
        <v>5</v>
      </c>
      <c r="U6" s="25">
        <f t="shared" ca="1" si="2"/>
        <v>5</v>
      </c>
      <c r="V6" s="25">
        <f t="shared" ca="1" si="2"/>
        <v>6</v>
      </c>
      <c r="W6" s="25">
        <f t="shared" ca="1" si="2"/>
        <v>6</v>
      </c>
      <c r="X6" s="25">
        <f t="shared" ca="1" si="2"/>
        <v>6</v>
      </c>
      <c r="Y6" s="55"/>
    </row>
    <row r="7" spans="1:25" ht="38.25" customHeight="1" x14ac:dyDescent="0.25">
      <c r="B7" s="118" t="s">
        <v>154</v>
      </c>
      <c r="C7" s="56"/>
      <c r="D7" s="57"/>
      <c r="E7" s="57"/>
      <c r="F7" s="57"/>
      <c r="G7" s="57"/>
      <c r="H7" s="57"/>
      <c r="J7" s="57"/>
      <c r="K7" s="57"/>
      <c r="L7" s="57"/>
      <c r="M7" s="57"/>
      <c r="N7" s="57">
        <v>46173</v>
      </c>
      <c r="O7" s="57">
        <v>46173</v>
      </c>
      <c r="P7" s="57">
        <v>46173</v>
      </c>
      <c r="R7" s="57">
        <v>46173</v>
      </c>
      <c r="S7" s="57">
        <v>46173</v>
      </c>
      <c r="T7" s="57">
        <v>46173</v>
      </c>
      <c r="U7" s="57">
        <v>46173</v>
      </c>
      <c r="V7" s="59">
        <v>46172</v>
      </c>
      <c r="W7" s="59">
        <v>46172</v>
      </c>
      <c r="X7" s="59">
        <v>46172</v>
      </c>
      <c r="Y7" s="55"/>
    </row>
    <row r="8" spans="1:25" x14ac:dyDescent="0.25">
      <c r="B8" s="119"/>
      <c r="Y8" s="55"/>
    </row>
    <row r="9" spans="1:25" x14ac:dyDescent="0.25">
      <c r="B9" s="119"/>
      <c r="C9" s="31" t="s">
        <v>36</v>
      </c>
      <c r="D9" s="25" t="s">
        <v>37</v>
      </c>
      <c r="E9" s="25" t="s">
        <v>38</v>
      </c>
      <c r="F9" s="25" t="s">
        <v>39</v>
      </c>
      <c r="G9" s="25" t="s">
        <v>40</v>
      </c>
      <c r="H9" s="25" t="s">
        <v>41</v>
      </c>
      <c r="J9" s="25" t="s">
        <v>42</v>
      </c>
      <c r="K9" s="25" t="s">
        <v>43</v>
      </c>
      <c r="L9" s="25" t="s">
        <v>44</v>
      </c>
      <c r="M9" s="25" t="s">
        <v>45</v>
      </c>
      <c r="N9" s="25" t="s">
        <v>46</v>
      </c>
      <c r="O9" s="25" t="s">
        <v>47</v>
      </c>
      <c r="P9" s="25" t="s">
        <v>48</v>
      </c>
      <c r="R9" s="25" t="s">
        <v>49</v>
      </c>
      <c r="S9" s="25" t="s">
        <v>50</v>
      </c>
      <c r="T9" s="25" t="s">
        <v>51</v>
      </c>
      <c r="U9" s="25" t="s">
        <v>52</v>
      </c>
      <c r="V9" s="25" t="s">
        <v>53</v>
      </c>
      <c r="W9" s="25" t="s">
        <v>54</v>
      </c>
      <c r="X9" s="25" t="s">
        <v>55</v>
      </c>
      <c r="Y9" s="55"/>
    </row>
    <row r="10" spans="1:25" ht="15.75" thickBot="1" x14ac:dyDescent="0.3">
      <c r="B10" s="120"/>
      <c r="C10" s="31">
        <f t="shared" ref="C10:H10" ca="1" si="3">IF(C11="","",$B$1-C11)</f>
        <v>11</v>
      </c>
      <c r="D10" s="25">
        <f t="shared" ca="1" si="3"/>
        <v>11</v>
      </c>
      <c r="E10" s="25">
        <f t="shared" ca="1" si="3"/>
        <v>11</v>
      </c>
      <c r="F10" s="25">
        <f t="shared" ca="1" si="3"/>
        <v>11</v>
      </c>
      <c r="G10" s="25">
        <f t="shared" ca="1" si="3"/>
        <v>11</v>
      </c>
      <c r="H10" s="25">
        <f t="shared" ca="1" si="3"/>
        <v>11</v>
      </c>
      <c r="J10" s="25">
        <f t="shared" ref="J10:P10" ca="1" si="4">IF(J11="","",$B$1-J11)</f>
        <v>11</v>
      </c>
      <c r="K10" s="25">
        <f t="shared" ca="1" si="4"/>
        <v>8</v>
      </c>
      <c r="L10" s="25">
        <f t="shared" ca="1" si="4"/>
        <v>8</v>
      </c>
      <c r="M10" s="25">
        <f t="shared" ca="1" si="4"/>
        <v>8</v>
      </c>
      <c r="N10" s="25">
        <f t="shared" ca="1" si="4"/>
        <v>8</v>
      </c>
      <c r="O10" s="25">
        <f t="shared" ca="1" si="4"/>
        <v>8</v>
      </c>
      <c r="P10" s="25">
        <f t="shared" ca="1" si="4"/>
        <v>8</v>
      </c>
      <c r="R10" s="25">
        <f t="shared" ref="R10:X10" ca="1" si="5">IF(R11="","",$B$1-R11)</f>
        <v>8</v>
      </c>
      <c r="S10" s="25">
        <f t="shared" ca="1" si="5"/>
        <v>7</v>
      </c>
      <c r="T10" s="25">
        <f t="shared" ca="1" si="5"/>
        <v>7</v>
      </c>
      <c r="U10" s="25">
        <f t="shared" ca="1" si="5"/>
        <v>6</v>
      </c>
      <c r="V10" s="25">
        <f t="shared" ca="1" si="5"/>
        <v>6</v>
      </c>
      <c r="W10" s="25">
        <f t="shared" ca="1" si="5"/>
        <v>6</v>
      </c>
      <c r="X10" s="25">
        <f t="shared" ca="1" si="5"/>
        <v>6</v>
      </c>
      <c r="Y10" s="55"/>
    </row>
    <row r="11" spans="1:25" ht="38.25" customHeight="1" x14ac:dyDescent="0.25">
      <c r="B11" s="54"/>
      <c r="C11" s="58">
        <v>46167</v>
      </c>
      <c r="D11" s="58">
        <v>46167</v>
      </c>
      <c r="E11" s="58">
        <v>46167</v>
      </c>
      <c r="F11" s="58">
        <v>46167</v>
      </c>
      <c r="G11" s="58">
        <v>46167</v>
      </c>
      <c r="H11" s="58">
        <v>46167</v>
      </c>
      <c r="J11" s="58">
        <v>46167</v>
      </c>
      <c r="K11" s="58">
        <v>46170</v>
      </c>
      <c r="L11" s="58">
        <v>46170</v>
      </c>
      <c r="M11" s="58">
        <v>46170</v>
      </c>
      <c r="N11" s="58">
        <v>46170</v>
      </c>
      <c r="O11" s="58">
        <v>46170</v>
      </c>
      <c r="P11" s="58">
        <v>46170</v>
      </c>
      <c r="R11" s="58">
        <v>46170</v>
      </c>
      <c r="S11" s="58">
        <v>46171</v>
      </c>
      <c r="T11" s="58">
        <v>46171</v>
      </c>
      <c r="U11" s="59">
        <v>46172</v>
      </c>
      <c r="V11" s="59">
        <v>46172</v>
      </c>
      <c r="W11" s="59">
        <v>46172</v>
      </c>
      <c r="X11" s="59">
        <v>46172</v>
      </c>
      <c r="Y11" s="55"/>
    </row>
    <row r="12" spans="1:25" x14ac:dyDescent="0.25">
      <c r="B12" s="54"/>
      <c r="C12" s="61"/>
      <c r="V12" s="62"/>
      <c r="Y12" s="55"/>
    </row>
    <row r="13" spans="1:25" x14ac:dyDescent="0.25">
      <c r="B13" s="54"/>
      <c r="C13" s="25" t="s">
        <v>9</v>
      </c>
      <c r="D13" s="25" t="s">
        <v>17</v>
      </c>
      <c r="E13" s="25" t="s">
        <v>18</v>
      </c>
      <c r="F13" s="25" t="s">
        <v>19</v>
      </c>
      <c r="G13" s="25" t="s">
        <v>20</v>
      </c>
      <c r="H13" s="25" t="s">
        <v>21</v>
      </c>
      <c r="J13" s="25" t="s">
        <v>22</v>
      </c>
      <c r="K13" s="25" t="s">
        <v>23</v>
      </c>
      <c r="L13" s="25" t="s">
        <v>24</v>
      </c>
      <c r="M13" s="25" t="s">
        <v>25</v>
      </c>
      <c r="N13" s="25" t="s">
        <v>26</v>
      </c>
      <c r="O13" s="25" t="s">
        <v>27</v>
      </c>
      <c r="P13" s="25" t="s">
        <v>28</v>
      </c>
      <c r="R13" s="25" t="s">
        <v>29</v>
      </c>
      <c r="S13" s="25" t="s">
        <v>30</v>
      </c>
      <c r="T13" s="25" t="s">
        <v>31</v>
      </c>
      <c r="U13" s="25" t="s">
        <v>32</v>
      </c>
      <c r="V13" s="25" t="s">
        <v>33</v>
      </c>
      <c r="W13" s="25" t="s">
        <v>34</v>
      </c>
      <c r="X13" s="25" t="s">
        <v>35</v>
      </c>
      <c r="Y13" s="55"/>
    </row>
    <row r="14" spans="1:25" x14ac:dyDescent="0.25">
      <c r="B14" s="54"/>
      <c r="C14" s="31">
        <f t="shared" ref="C14:H14" ca="1" si="6">IF(C15="","",$B$1-C15)</f>
        <v>12</v>
      </c>
      <c r="D14" s="25">
        <f t="shared" ca="1" si="6"/>
        <v>12</v>
      </c>
      <c r="E14" s="25">
        <f t="shared" ca="1" si="6"/>
        <v>12</v>
      </c>
      <c r="F14" s="25">
        <f t="shared" ca="1" si="6"/>
        <v>12</v>
      </c>
      <c r="G14" s="25">
        <f t="shared" ca="1" si="6"/>
        <v>12</v>
      </c>
      <c r="H14" s="25">
        <f t="shared" ca="1" si="6"/>
        <v>12</v>
      </c>
      <c r="J14" s="25">
        <f t="shared" ref="J14:P14" ca="1" si="7">IF(J15="","",$B$1-J15)</f>
        <v>12</v>
      </c>
      <c r="K14" s="25">
        <f t="shared" ca="1" si="7"/>
        <v>9</v>
      </c>
      <c r="L14" s="25">
        <f t="shared" ca="1" si="7"/>
        <v>9</v>
      </c>
      <c r="M14" s="25">
        <f t="shared" ca="1" si="7"/>
        <v>9</v>
      </c>
      <c r="N14" s="25">
        <f t="shared" ca="1" si="7"/>
        <v>9</v>
      </c>
      <c r="O14" s="25">
        <f t="shared" ca="1" si="7"/>
        <v>9</v>
      </c>
      <c r="P14" s="25">
        <f t="shared" ca="1" si="7"/>
        <v>9</v>
      </c>
      <c r="R14" s="25">
        <f t="shared" ref="R14:X14" ca="1" si="8">IF(R15="","",$B$1-R15)</f>
        <v>9</v>
      </c>
      <c r="S14" s="25">
        <f t="shared" ca="1" si="8"/>
        <v>7</v>
      </c>
      <c r="T14" s="25">
        <f t="shared" ca="1" si="8"/>
        <v>7</v>
      </c>
      <c r="U14" s="25">
        <f t="shared" ca="1" si="8"/>
        <v>7</v>
      </c>
      <c r="V14" s="25">
        <f t="shared" ca="1" si="8"/>
        <v>7</v>
      </c>
      <c r="W14" s="25">
        <f t="shared" ca="1" si="8"/>
        <v>7</v>
      </c>
      <c r="X14" s="25">
        <f t="shared" ca="1" si="8"/>
        <v>7</v>
      </c>
      <c r="Y14" s="55"/>
    </row>
    <row r="15" spans="1:25" ht="38.25" customHeight="1" x14ac:dyDescent="0.25">
      <c r="B15" s="54"/>
      <c r="C15" s="58">
        <v>46166</v>
      </c>
      <c r="D15" s="58">
        <v>46166</v>
      </c>
      <c r="E15" s="58">
        <v>46166</v>
      </c>
      <c r="F15" s="58">
        <v>46166</v>
      </c>
      <c r="G15" s="58">
        <v>46166</v>
      </c>
      <c r="H15" s="58">
        <v>46166</v>
      </c>
      <c r="J15" s="58">
        <v>46166</v>
      </c>
      <c r="K15" s="58">
        <v>46169</v>
      </c>
      <c r="L15" s="58">
        <v>46169</v>
      </c>
      <c r="M15" s="58">
        <v>46169</v>
      </c>
      <c r="N15" s="58">
        <v>46169</v>
      </c>
      <c r="O15" s="58">
        <v>46169</v>
      </c>
      <c r="P15" s="58">
        <v>46169</v>
      </c>
      <c r="R15" s="58">
        <v>46169</v>
      </c>
      <c r="S15" s="58">
        <v>46171</v>
      </c>
      <c r="T15" s="58">
        <v>46171</v>
      </c>
      <c r="U15" s="58">
        <v>46171</v>
      </c>
      <c r="V15" s="58">
        <v>46171</v>
      </c>
      <c r="W15" s="58">
        <v>46171</v>
      </c>
      <c r="X15" s="58">
        <v>46171</v>
      </c>
      <c r="Y15" s="55"/>
    </row>
    <row r="16" spans="1:25" ht="15.75" thickBot="1" x14ac:dyDescent="0.3">
      <c r="B16" s="63"/>
      <c r="C16" s="64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6"/>
    </row>
    <row r="17" spans="1:44" ht="16.5" thickBot="1" x14ac:dyDescent="0.3">
      <c r="B17" s="67"/>
    </row>
    <row r="18" spans="1:44" x14ac:dyDescent="0.25">
      <c r="B18" s="51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</row>
    <row r="19" spans="1:44" x14ac:dyDescent="0.25">
      <c r="B19" s="54"/>
      <c r="J19" s="25" t="s">
        <v>124</v>
      </c>
      <c r="K19" s="25" t="s">
        <v>123</v>
      </c>
      <c r="X19" s="25" t="s">
        <v>121</v>
      </c>
      <c r="Y19" s="68"/>
      <c r="AF19" s="25" t="s">
        <v>120</v>
      </c>
      <c r="AG19" s="25" t="s">
        <v>119</v>
      </c>
      <c r="AH19" s="25" t="s">
        <v>118</v>
      </c>
      <c r="AI19" s="25" t="s">
        <v>117</v>
      </c>
      <c r="AJ19" s="55"/>
    </row>
    <row r="20" spans="1:44" x14ac:dyDescent="0.25">
      <c r="B20" s="54"/>
      <c r="J20" s="25">
        <f ca="1">IF(J21="","",$B$1-J21)</f>
        <v>24</v>
      </c>
      <c r="K20" s="25">
        <f ca="1">IF(K21="","",$B$1-K21)</f>
        <v>24</v>
      </c>
      <c r="X20" s="25"/>
      <c r="AF20" s="25"/>
      <c r="AG20" s="25"/>
      <c r="AH20" s="25" t="str">
        <f>IF(AH21="","",$B$1-AH21)</f>
        <v/>
      </c>
      <c r="AI20" s="25" t="str">
        <f>IF(AI21="","",$B$1-AI21)</f>
        <v/>
      </c>
      <c r="AJ20" s="55"/>
    </row>
    <row r="21" spans="1:44" ht="30" x14ac:dyDescent="0.25">
      <c r="B21" s="54"/>
      <c r="J21" s="58">
        <v>46154</v>
      </c>
      <c r="K21" s="58">
        <v>46154</v>
      </c>
      <c r="X21" s="59" t="s">
        <v>122</v>
      </c>
      <c r="AF21" s="58">
        <v>46154</v>
      </c>
      <c r="AG21" s="58">
        <v>46154</v>
      </c>
      <c r="AH21" s="58"/>
      <c r="AI21" s="58"/>
      <c r="AJ21" s="55"/>
      <c r="AO21" s="61"/>
      <c r="AP21" s="61"/>
    </row>
    <row r="22" spans="1:44" x14ac:dyDescent="0.25">
      <c r="B22" s="54"/>
      <c r="AJ22" s="55"/>
      <c r="AL22" t="s">
        <v>157</v>
      </c>
    </row>
    <row r="23" spans="1:44" x14ac:dyDescent="0.25">
      <c r="A23">
        <v>60</v>
      </c>
      <c r="B23" s="54"/>
      <c r="C23" s="25" t="s">
        <v>116</v>
      </c>
      <c r="D23" s="25" t="s">
        <v>115</v>
      </c>
      <c r="E23" s="25" t="s">
        <v>114</v>
      </c>
      <c r="F23" s="25" t="s">
        <v>113</v>
      </c>
      <c r="G23" s="25" t="s">
        <v>112</v>
      </c>
      <c r="H23" s="25" t="s">
        <v>111</v>
      </c>
      <c r="J23" s="25" t="s">
        <v>110</v>
      </c>
      <c r="K23" s="25" t="s">
        <v>109</v>
      </c>
      <c r="L23" s="25" t="s">
        <v>108</v>
      </c>
      <c r="M23" s="25" t="s">
        <v>107</v>
      </c>
      <c r="N23" s="25" t="s">
        <v>106</v>
      </c>
      <c r="O23" s="25" t="s">
        <v>105</v>
      </c>
      <c r="P23" s="25" t="s">
        <v>104</v>
      </c>
      <c r="R23" s="25" t="s">
        <v>103</v>
      </c>
      <c r="S23" s="25" t="s">
        <v>102</v>
      </c>
      <c r="T23" s="25" t="s">
        <v>101</v>
      </c>
      <c r="U23" s="25" t="s">
        <v>100</v>
      </c>
      <c r="V23" s="25" t="s">
        <v>99</v>
      </c>
      <c r="W23" s="25" t="s">
        <v>98</v>
      </c>
      <c r="X23" s="25" t="s">
        <v>97</v>
      </c>
      <c r="Z23" s="25" t="s">
        <v>96</v>
      </c>
      <c r="AA23" s="25" t="s">
        <v>95</v>
      </c>
      <c r="AB23" s="25" t="s">
        <v>94</v>
      </c>
      <c r="AC23" s="25" t="s">
        <v>93</v>
      </c>
      <c r="AD23" s="25" t="s">
        <v>92</v>
      </c>
      <c r="AE23" s="25" t="s">
        <v>91</v>
      </c>
      <c r="AF23" s="25" t="s">
        <v>90</v>
      </c>
      <c r="AG23" s="25" t="s">
        <v>89</v>
      </c>
      <c r="AH23" s="25" t="s">
        <v>88</v>
      </c>
      <c r="AI23" s="25" t="s">
        <v>87</v>
      </c>
      <c r="AJ23" s="55"/>
      <c r="AL23" s="25" t="s">
        <v>158</v>
      </c>
    </row>
    <row r="24" spans="1:44" x14ac:dyDescent="0.25">
      <c r="B24" s="54"/>
      <c r="C24" s="25" t="str">
        <f t="shared" ref="C24:H24" si="9">IF(C25="","",$B$1-C25)</f>
        <v/>
      </c>
      <c r="D24" s="25" t="str">
        <f t="shared" si="9"/>
        <v/>
      </c>
      <c r="E24" s="25" t="str">
        <f t="shared" si="9"/>
        <v/>
      </c>
      <c r="F24" s="25" t="str">
        <f t="shared" si="9"/>
        <v/>
      </c>
      <c r="G24" s="25" t="str">
        <f t="shared" si="9"/>
        <v/>
      </c>
      <c r="H24" s="25" t="str">
        <f t="shared" si="9"/>
        <v/>
      </c>
      <c r="J24" s="25" t="str">
        <f>IF(J25="","",$B$1-J25)</f>
        <v/>
      </c>
      <c r="K24" s="25" t="str">
        <f t="shared" ref="K24:AI24" si="10">IF(K25="","",$B$1-K25)</f>
        <v/>
      </c>
      <c r="L24" s="25" t="str">
        <f t="shared" si="10"/>
        <v/>
      </c>
      <c r="M24" s="25" t="str">
        <f t="shared" si="10"/>
        <v/>
      </c>
      <c r="N24" s="25" t="str">
        <f t="shared" si="10"/>
        <v/>
      </c>
      <c r="O24" s="25" t="str">
        <f t="shared" si="10"/>
        <v/>
      </c>
      <c r="P24" s="25" t="str">
        <f t="shared" si="10"/>
        <v/>
      </c>
      <c r="R24" s="25" t="str">
        <f t="shared" si="10"/>
        <v/>
      </c>
      <c r="S24" s="25">
        <f t="shared" ca="1" si="10"/>
        <v>27</v>
      </c>
      <c r="T24" s="25">
        <f t="shared" ca="1" si="10"/>
        <v>27</v>
      </c>
      <c r="U24" s="25">
        <f t="shared" ca="1" si="10"/>
        <v>27</v>
      </c>
      <c r="V24" s="25">
        <f t="shared" ca="1" si="10"/>
        <v>27</v>
      </c>
      <c r="W24" s="25">
        <f t="shared" ca="1" si="10"/>
        <v>27</v>
      </c>
      <c r="X24" s="25">
        <f t="shared" ca="1" si="10"/>
        <v>27</v>
      </c>
      <c r="Z24" s="25">
        <f t="shared" ca="1" si="10"/>
        <v>27</v>
      </c>
      <c r="AA24" s="25">
        <f t="shared" ca="1" si="10"/>
        <v>25</v>
      </c>
      <c r="AB24" s="25">
        <f t="shared" ca="1" si="10"/>
        <v>25</v>
      </c>
      <c r="AC24" s="25">
        <f t="shared" ca="1" si="10"/>
        <v>25</v>
      </c>
      <c r="AD24" s="25">
        <f t="shared" ca="1" si="10"/>
        <v>25</v>
      </c>
      <c r="AE24" s="25">
        <f t="shared" ca="1" si="10"/>
        <v>25</v>
      </c>
      <c r="AF24" s="25">
        <f t="shared" ca="1" si="10"/>
        <v>25</v>
      </c>
      <c r="AG24" s="25">
        <f t="shared" ca="1" si="10"/>
        <v>25</v>
      </c>
      <c r="AH24" s="25">
        <f t="shared" ca="1" si="10"/>
        <v>24</v>
      </c>
      <c r="AI24" s="25">
        <f t="shared" ca="1" si="10"/>
        <v>24</v>
      </c>
      <c r="AJ24" s="55"/>
      <c r="AL24" s="69" t="s">
        <v>159</v>
      </c>
      <c r="AN24" s="61"/>
      <c r="AO24" s="61"/>
      <c r="AP24" s="61"/>
      <c r="AQ24" s="61"/>
      <c r="AR24" s="61"/>
    </row>
    <row r="25" spans="1:44" ht="39.950000000000003" customHeight="1" x14ac:dyDescent="0.25">
      <c r="B25" s="54"/>
      <c r="C25" s="58"/>
      <c r="D25" s="58"/>
      <c r="E25" s="58"/>
      <c r="F25" s="58"/>
      <c r="G25" s="58"/>
      <c r="H25" s="58"/>
      <c r="J25" s="58"/>
      <c r="K25" s="58"/>
      <c r="L25" s="58"/>
      <c r="M25" s="58"/>
      <c r="N25" s="58"/>
      <c r="O25" s="58"/>
      <c r="P25" s="58"/>
      <c r="R25" s="58"/>
      <c r="S25" s="58">
        <v>46151</v>
      </c>
      <c r="T25" s="58">
        <v>46151</v>
      </c>
      <c r="U25" s="58">
        <v>46151</v>
      </c>
      <c r="V25" s="58">
        <v>46151</v>
      </c>
      <c r="W25" s="58">
        <v>46151</v>
      </c>
      <c r="X25" s="58">
        <v>46151</v>
      </c>
      <c r="Z25" s="58">
        <v>46151</v>
      </c>
      <c r="AA25" s="58">
        <v>46153</v>
      </c>
      <c r="AB25" s="58">
        <v>46153</v>
      </c>
      <c r="AC25" s="58">
        <v>46153</v>
      </c>
      <c r="AD25" s="58">
        <v>46153</v>
      </c>
      <c r="AE25" s="58">
        <v>46153</v>
      </c>
      <c r="AF25" s="58">
        <v>46153</v>
      </c>
      <c r="AG25" s="58">
        <v>46153</v>
      </c>
      <c r="AH25" s="58">
        <v>46154</v>
      </c>
      <c r="AI25" s="58">
        <v>46154</v>
      </c>
      <c r="AJ25" s="55"/>
      <c r="AL25" s="70" t="s">
        <v>1</v>
      </c>
      <c r="AN25" s="61"/>
      <c r="AO25" s="61"/>
      <c r="AP25" s="61"/>
      <c r="AQ25" s="61"/>
      <c r="AR25" s="61"/>
    </row>
    <row r="26" spans="1:44" x14ac:dyDescent="0.25">
      <c r="B26" s="54"/>
      <c r="AJ26" s="55"/>
      <c r="AL26" s="47" t="s">
        <v>160</v>
      </c>
    </row>
    <row r="27" spans="1:44" x14ac:dyDescent="0.25">
      <c r="B27" s="54"/>
      <c r="C27" s="25" t="s">
        <v>86</v>
      </c>
      <c r="D27" s="25" t="s">
        <v>85</v>
      </c>
      <c r="E27" s="25" t="s">
        <v>84</v>
      </c>
      <c r="F27" s="25" t="s">
        <v>83</v>
      </c>
      <c r="G27" s="25" t="s">
        <v>82</v>
      </c>
      <c r="H27" s="25" t="s">
        <v>81</v>
      </c>
      <c r="J27" s="25" t="s">
        <v>80</v>
      </c>
      <c r="K27" s="25" t="s">
        <v>79</v>
      </c>
      <c r="L27" s="25" t="s">
        <v>78</v>
      </c>
      <c r="M27" s="25" t="s">
        <v>77</v>
      </c>
      <c r="N27" s="25" t="s">
        <v>76</v>
      </c>
      <c r="O27" s="25" t="s">
        <v>75</v>
      </c>
      <c r="P27" s="25" t="s">
        <v>74</v>
      </c>
      <c r="R27" s="25" t="s">
        <v>73</v>
      </c>
      <c r="S27" s="25" t="s">
        <v>72</v>
      </c>
      <c r="T27" s="25" t="s">
        <v>71</v>
      </c>
      <c r="U27" s="25" t="s">
        <v>70</v>
      </c>
      <c r="V27" s="25" t="s">
        <v>69</v>
      </c>
      <c r="W27" s="25" t="s">
        <v>68</v>
      </c>
      <c r="X27" s="25" t="s">
        <v>67</v>
      </c>
      <c r="Z27" s="25" t="s">
        <v>66</v>
      </c>
      <c r="AA27" s="25" t="s">
        <v>65</v>
      </c>
      <c r="AB27" s="25" t="s">
        <v>64</v>
      </c>
      <c r="AC27" s="25" t="s">
        <v>63</v>
      </c>
      <c r="AD27" s="25" t="s">
        <v>62</v>
      </c>
      <c r="AE27" s="25" t="s">
        <v>61</v>
      </c>
      <c r="AF27" s="25" t="s">
        <v>60</v>
      </c>
      <c r="AG27" s="25" t="s">
        <v>59</v>
      </c>
      <c r="AH27" s="25" t="s">
        <v>58</v>
      </c>
      <c r="AI27" s="25" t="s">
        <v>57</v>
      </c>
      <c r="AJ27" s="55"/>
    </row>
    <row r="28" spans="1:44" x14ac:dyDescent="0.25">
      <c r="B28" s="54"/>
      <c r="C28" s="25" t="str">
        <f t="shared" ref="C28:H28" si="11">IF(C29="","",$B$1-C29)</f>
        <v/>
      </c>
      <c r="D28" s="25" t="str">
        <f t="shared" si="11"/>
        <v/>
      </c>
      <c r="E28" s="25" t="str">
        <f t="shared" si="11"/>
        <v/>
      </c>
      <c r="F28" s="25" t="str">
        <f t="shared" si="11"/>
        <v/>
      </c>
      <c r="G28" s="25" t="str">
        <f t="shared" si="11"/>
        <v/>
      </c>
      <c r="H28" s="25" t="str">
        <f t="shared" si="11"/>
        <v/>
      </c>
      <c r="J28" s="25" t="str">
        <f>IF(J29="","",$B$1-J29)</f>
        <v/>
      </c>
      <c r="K28" s="25" t="str">
        <f t="shared" ref="K28:P28" si="12">IF(K29="","",$B$1-K29)</f>
        <v/>
      </c>
      <c r="L28" s="25" t="str">
        <f t="shared" si="12"/>
        <v/>
      </c>
      <c r="M28" s="25" t="str">
        <f t="shared" si="12"/>
        <v/>
      </c>
      <c r="N28" s="25" t="str">
        <f t="shared" si="12"/>
        <v/>
      </c>
      <c r="O28" s="25" t="str">
        <f t="shared" si="12"/>
        <v/>
      </c>
      <c r="P28" s="25" t="str">
        <f t="shared" si="12"/>
        <v/>
      </c>
      <c r="R28" s="25" t="str">
        <f t="shared" ref="R28:X28" si="13">IF(R29="","",$B$1-R29)</f>
        <v/>
      </c>
      <c r="S28" s="25">
        <f ca="1">IF(S29="","",$B$1-S29)</f>
        <v>28</v>
      </c>
      <c r="T28" s="25">
        <f ca="1">IF(T29="","",$B$1-T29)</f>
        <v>28</v>
      </c>
      <c r="U28" s="25">
        <f ca="1">IF(U29="","",$B$1-U29)</f>
        <v>28</v>
      </c>
      <c r="V28" s="25">
        <f ca="1">IF(V29="","",$B$1-V29)</f>
        <v>28</v>
      </c>
      <c r="W28" s="25">
        <f t="shared" ca="1" si="13"/>
        <v>28</v>
      </c>
      <c r="X28" s="25">
        <f t="shared" ca="1" si="13"/>
        <v>28</v>
      </c>
      <c r="Z28" s="25">
        <f t="shared" ref="Z28:AI28" ca="1" si="14">IF(Z29="","",$B$1-Z29)</f>
        <v>28</v>
      </c>
      <c r="AA28" s="25">
        <f t="shared" ca="1" si="14"/>
        <v>26</v>
      </c>
      <c r="AB28" s="25">
        <f t="shared" ca="1" si="14"/>
        <v>26</v>
      </c>
      <c r="AC28" s="25">
        <f t="shared" ca="1" si="14"/>
        <v>26</v>
      </c>
      <c r="AD28" s="25">
        <f t="shared" ca="1" si="14"/>
        <v>26</v>
      </c>
      <c r="AE28" s="25">
        <f t="shared" ca="1" si="14"/>
        <v>26</v>
      </c>
      <c r="AF28" s="25">
        <f t="shared" ca="1" si="14"/>
        <v>26</v>
      </c>
      <c r="AG28" s="25">
        <f t="shared" ca="1" si="14"/>
        <v>26</v>
      </c>
      <c r="AH28" s="25">
        <f t="shared" ca="1" si="14"/>
        <v>24</v>
      </c>
      <c r="AI28" s="25">
        <f t="shared" ca="1" si="14"/>
        <v>24</v>
      </c>
      <c r="AJ28" s="55"/>
    </row>
    <row r="29" spans="1:44" ht="39.950000000000003" customHeight="1" thickBot="1" x14ac:dyDescent="0.3">
      <c r="B29" s="54"/>
      <c r="C29" s="58"/>
      <c r="D29" s="58"/>
      <c r="E29" s="58"/>
      <c r="F29" s="58"/>
      <c r="G29" s="58"/>
      <c r="H29" s="58"/>
      <c r="J29" s="58"/>
      <c r="K29" s="58"/>
      <c r="L29" s="58"/>
      <c r="M29" s="58"/>
      <c r="N29" s="58"/>
      <c r="O29" s="58"/>
      <c r="P29" s="58"/>
      <c r="R29" s="58"/>
      <c r="S29" s="58">
        <v>46150</v>
      </c>
      <c r="T29" s="58">
        <v>46150</v>
      </c>
      <c r="U29" s="58">
        <v>46150</v>
      </c>
      <c r="V29" s="58">
        <v>46150</v>
      </c>
      <c r="W29" s="58">
        <v>46150</v>
      </c>
      <c r="X29" s="58">
        <v>46150</v>
      </c>
      <c r="Z29" s="58">
        <v>46150</v>
      </c>
      <c r="AA29" s="58">
        <v>46152</v>
      </c>
      <c r="AB29" s="58">
        <v>46152</v>
      </c>
      <c r="AC29" s="58">
        <v>46152</v>
      </c>
      <c r="AD29" s="58">
        <v>46152</v>
      </c>
      <c r="AE29" s="58">
        <v>46152</v>
      </c>
      <c r="AF29" s="58">
        <v>46152</v>
      </c>
      <c r="AG29" s="58">
        <v>46152</v>
      </c>
      <c r="AH29" s="58">
        <v>46154</v>
      </c>
      <c r="AI29" s="58">
        <v>46154</v>
      </c>
      <c r="AJ29" s="55"/>
    </row>
    <row r="30" spans="1:44" ht="15.75" thickBot="1" x14ac:dyDescent="0.3">
      <c r="B30" s="54"/>
      <c r="H30" s="121" t="s">
        <v>154</v>
      </c>
      <c r="I30" s="122"/>
      <c r="J30" s="123"/>
      <c r="AJ30" s="55"/>
    </row>
    <row r="31" spans="1:44" x14ac:dyDescent="0.25">
      <c r="B31" s="54"/>
      <c r="W31" s="25" t="s">
        <v>129</v>
      </c>
      <c r="X31" s="25" t="s">
        <v>128</v>
      </c>
      <c r="AG31" s="25" t="s">
        <v>127</v>
      </c>
      <c r="AH31" s="25" t="s">
        <v>126</v>
      </c>
      <c r="AI31" s="25" t="s">
        <v>125</v>
      </c>
      <c r="AJ31" s="55"/>
    </row>
    <row r="32" spans="1:44" x14ac:dyDescent="0.25">
      <c r="B32" s="54"/>
      <c r="W32" s="25"/>
      <c r="X32" s="25"/>
      <c r="AG32" s="25" t="s">
        <v>161</v>
      </c>
      <c r="AH32" s="25" t="s">
        <v>161</v>
      </c>
      <c r="AI32" s="25" t="s">
        <v>161</v>
      </c>
      <c r="AJ32" s="55"/>
    </row>
    <row r="33" spans="1:36" ht="39.950000000000003" customHeight="1" x14ac:dyDescent="0.25">
      <c r="B33" s="54"/>
      <c r="W33" s="58" t="s">
        <v>162</v>
      </c>
      <c r="X33" s="58" t="s">
        <v>162</v>
      </c>
      <c r="AG33" s="59" t="s">
        <v>162</v>
      </c>
      <c r="AH33" s="59" t="s">
        <v>162</v>
      </c>
      <c r="AI33" s="59" t="s">
        <v>162</v>
      </c>
      <c r="AJ33" s="55"/>
    </row>
    <row r="34" spans="1:36" ht="15.75" thickBot="1" x14ac:dyDescent="0.3">
      <c r="B34" s="63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  <c r="AA34" s="65"/>
      <c r="AB34" s="65"/>
      <c r="AC34" s="65"/>
      <c r="AD34" s="65"/>
      <c r="AE34" s="65"/>
      <c r="AF34" s="65"/>
      <c r="AG34" s="65"/>
      <c r="AH34" s="65"/>
      <c r="AI34" s="65"/>
      <c r="AJ34" s="66"/>
    </row>
    <row r="36" spans="1:36" ht="16.5" thickBot="1" x14ac:dyDescent="0.3">
      <c r="B36" s="117">
        <v>45978</v>
      </c>
      <c r="C36" s="117"/>
      <c r="D36" s="117"/>
    </row>
    <row r="37" spans="1:36" x14ac:dyDescent="0.25">
      <c r="B37" s="51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3"/>
    </row>
    <row r="38" spans="1:36" x14ac:dyDescent="0.25">
      <c r="B38" s="54"/>
      <c r="R38" s="55"/>
    </row>
    <row r="39" spans="1:36" x14ac:dyDescent="0.25">
      <c r="B39" s="54"/>
      <c r="R39" s="55"/>
    </row>
    <row r="40" spans="1:36" x14ac:dyDescent="0.25">
      <c r="A40">
        <v>12</v>
      </c>
      <c r="B40" s="54"/>
      <c r="C40" s="25" t="s">
        <v>131</v>
      </c>
      <c r="D40" s="25" t="s">
        <v>132</v>
      </c>
      <c r="E40" s="25" t="s">
        <v>133</v>
      </c>
      <c r="F40" s="25" t="s">
        <v>134</v>
      </c>
      <c r="G40" s="25" t="s">
        <v>135</v>
      </c>
      <c r="H40" s="25" t="s">
        <v>136</v>
      </c>
      <c r="J40" s="25" t="s">
        <v>137</v>
      </c>
      <c r="K40" s="25" t="s">
        <v>138</v>
      </c>
      <c r="L40" s="25" t="s">
        <v>139</v>
      </c>
      <c r="M40" s="25" t="s">
        <v>140</v>
      </c>
      <c r="N40" s="25" t="s">
        <v>141</v>
      </c>
      <c r="O40" s="71" t="s">
        <v>142</v>
      </c>
      <c r="P40" s="25" t="s">
        <v>143</v>
      </c>
      <c r="R40" s="55"/>
    </row>
    <row r="41" spans="1:36" x14ac:dyDescent="0.25">
      <c r="A41">
        <v>12</v>
      </c>
      <c r="B41" s="54"/>
      <c r="C41" s="25">
        <f t="shared" ref="C41:O41" ca="1" si="15">IF(C42="","",$B$1-C42)</f>
        <v>20</v>
      </c>
      <c r="D41" s="25">
        <f t="shared" ca="1" si="15"/>
        <v>20</v>
      </c>
      <c r="E41" s="25">
        <f t="shared" ca="1" si="15"/>
        <v>20</v>
      </c>
      <c r="F41" s="25">
        <f t="shared" ca="1" si="15"/>
        <v>20</v>
      </c>
      <c r="G41" s="25">
        <f t="shared" ca="1" si="15"/>
        <v>19</v>
      </c>
      <c r="H41" s="25">
        <f t="shared" ca="1" si="15"/>
        <v>19</v>
      </c>
      <c r="J41" s="25">
        <f t="shared" ca="1" si="15"/>
        <v>19</v>
      </c>
      <c r="K41" s="25">
        <f t="shared" ca="1" si="15"/>
        <v>19</v>
      </c>
      <c r="L41" s="25">
        <f t="shared" ca="1" si="15"/>
        <v>19</v>
      </c>
      <c r="M41" s="25">
        <f t="shared" ca="1" si="15"/>
        <v>19</v>
      </c>
      <c r="N41" s="25">
        <f t="shared" ca="1" si="15"/>
        <v>19</v>
      </c>
      <c r="O41" s="25" t="str">
        <f t="shared" si="15"/>
        <v/>
      </c>
      <c r="P41" s="25"/>
      <c r="R41" s="55"/>
    </row>
    <row r="42" spans="1:36" ht="38.25" customHeight="1" x14ac:dyDescent="0.25">
      <c r="A42">
        <v>12</v>
      </c>
      <c r="B42" s="54"/>
      <c r="C42" s="58">
        <v>46158</v>
      </c>
      <c r="D42" s="58">
        <v>46158</v>
      </c>
      <c r="E42" s="58">
        <v>46158</v>
      </c>
      <c r="F42" s="58">
        <v>46158</v>
      </c>
      <c r="G42" s="58">
        <v>46159</v>
      </c>
      <c r="H42" s="58">
        <v>46159</v>
      </c>
      <c r="J42" s="58">
        <v>46159</v>
      </c>
      <c r="K42" s="58">
        <v>46159</v>
      </c>
      <c r="L42" s="58">
        <v>46159</v>
      </c>
      <c r="M42" s="58">
        <v>46159</v>
      </c>
      <c r="N42" s="58">
        <v>46159</v>
      </c>
      <c r="O42" s="58"/>
      <c r="P42" s="60"/>
      <c r="R42" s="55"/>
    </row>
    <row r="43" spans="1:36" x14ac:dyDescent="0.25">
      <c r="B43" s="54"/>
      <c r="R43" s="55"/>
    </row>
    <row r="44" spans="1:36" x14ac:dyDescent="0.25">
      <c r="B44" s="54"/>
      <c r="C44" s="25" t="s">
        <v>36</v>
      </c>
      <c r="D44" s="25" t="s">
        <v>37</v>
      </c>
      <c r="E44" s="25" t="s">
        <v>38</v>
      </c>
      <c r="F44" s="25" t="s">
        <v>39</v>
      </c>
      <c r="H44" s="25" t="s">
        <v>40</v>
      </c>
      <c r="J44" s="25" t="s">
        <v>41</v>
      </c>
      <c r="K44" s="25" t="s">
        <v>42</v>
      </c>
      <c r="L44" s="25" t="s">
        <v>43</v>
      </c>
      <c r="M44" s="25" t="s">
        <v>44</v>
      </c>
      <c r="N44" s="25" t="s">
        <v>45</v>
      </c>
      <c r="O44" s="25" t="s">
        <v>46</v>
      </c>
      <c r="P44" s="25" t="s">
        <v>47</v>
      </c>
      <c r="R44" s="55"/>
    </row>
    <row r="45" spans="1:36" x14ac:dyDescent="0.25">
      <c r="B45" s="54"/>
      <c r="C45" s="25">
        <f ca="1">IF(C46="","",$B$1-C46)</f>
        <v>22</v>
      </c>
      <c r="D45" s="25">
        <f ca="1">IF(D46="","",$B$1-D46)</f>
        <v>22</v>
      </c>
      <c r="E45" s="25">
        <f ca="1">IF(E46="","",$B$1-E46)</f>
        <v>21</v>
      </c>
      <c r="F45" s="25">
        <f ca="1">IF(F46="","",$B$1-F46)</f>
        <v>21</v>
      </c>
      <c r="H45" s="25">
        <f ca="1">IF(H46="","",$B$1-H46)</f>
        <v>21</v>
      </c>
      <c r="J45" s="25">
        <f t="shared" ref="J45:P45" ca="1" si="16">IF(J46="","",$B$1-J46)</f>
        <v>21</v>
      </c>
      <c r="K45" s="25">
        <f t="shared" ca="1" si="16"/>
        <v>21</v>
      </c>
      <c r="L45" s="25">
        <f t="shared" ca="1" si="16"/>
        <v>21</v>
      </c>
      <c r="M45" s="25">
        <f t="shared" ca="1" si="16"/>
        <v>21</v>
      </c>
      <c r="N45" s="25">
        <f t="shared" ca="1" si="16"/>
        <v>20</v>
      </c>
      <c r="O45" s="25">
        <f t="shared" ca="1" si="16"/>
        <v>20</v>
      </c>
      <c r="P45" s="25">
        <f t="shared" ca="1" si="16"/>
        <v>20</v>
      </c>
      <c r="R45" s="55"/>
    </row>
    <row r="46" spans="1:36" ht="38.25" customHeight="1" x14ac:dyDescent="0.25">
      <c r="B46" s="54"/>
      <c r="C46" s="58">
        <v>46156</v>
      </c>
      <c r="D46" s="58">
        <v>46156</v>
      </c>
      <c r="E46" s="58">
        <v>46157</v>
      </c>
      <c r="F46" s="58">
        <v>46157</v>
      </c>
      <c r="H46" s="58">
        <v>46157</v>
      </c>
      <c r="J46" s="58">
        <v>46157</v>
      </c>
      <c r="K46" s="58">
        <v>46157</v>
      </c>
      <c r="L46" s="58">
        <v>46157</v>
      </c>
      <c r="M46" s="58">
        <v>46157</v>
      </c>
      <c r="N46" s="58">
        <v>46158</v>
      </c>
      <c r="O46" s="58">
        <v>46158</v>
      </c>
      <c r="P46" s="58">
        <v>46158</v>
      </c>
      <c r="R46" s="55"/>
    </row>
    <row r="47" spans="1:36" x14ac:dyDescent="0.25">
      <c r="B47" s="54"/>
      <c r="R47" s="55"/>
    </row>
    <row r="48" spans="1:36" x14ac:dyDescent="0.25">
      <c r="B48" s="54"/>
      <c r="C48" s="25" t="s">
        <v>9</v>
      </c>
      <c r="D48" s="25" t="s">
        <v>17</v>
      </c>
      <c r="E48" s="25" t="s">
        <v>18</v>
      </c>
      <c r="F48" s="25" t="s">
        <v>19</v>
      </c>
      <c r="H48" s="25" t="s">
        <v>20</v>
      </c>
      <c r="J48" s="25" t="s">
        <v>21</v>
      </c>
      <c r="K48" s="25" t="s">
        <v>22</v>
      </c>
      <c r="L48" s="25" t="s">
        <v>23</v>
      </c>
      <c r="M48" s="25" t="s">
        <v>24</v>
      </c>
      <c r="N48" s="25" t="s">
        <v>25</v>
      </c>
      <c r="O48" s="25" t="s">
        <v>26</v>
      </c>
      <c r="P48" s="25" t="s">
        <v>27</v>
      </c>
      <c r="R48" s="55"/>
    </row>
    <row r="49" spans="1:29" x14ac:dyDescent="0.25">
      <c r="B49" s="54"/>
      <c r="C49" s="25">
        <f ca="1">IF(C50="","",$B$1-C50)</f>
        <v>23</v>
      </c>
      <c r="D49" s="25">
        <f ca="1">IF(D50="","",$B$1-D50)</f>
        <v>23</v>
      </c>
      <c r="E49" s="25">
        <f ca="1">IF(E50="","",$B$1-E50)</f>
        <v>23</v>
      </c>
      <c r="F49" s="25">
        <f ca="1">IF(F50="","",$B$1-F50)</f>
        <v>23</v>
      </c>
      <c r="H49" s="25">
        <f ca="1">IF(H50="","",$B$1-H50)</f>
        <v>23</v>
      </c>
      <c r="J49" s="25">
        <f t="shared" ref="J49:P49" ca="1" si="17">IF(J50="","",$B$1-J50)</f>
        <v>23</v>
      </c>
      <c r="K49" s="25">
        <f t="shared" ca="1" si="17"/>
        <v>23</v>
      </c>
      <c r="L49" s="25">
        <f t="shared" ca="1" si="17"/>
        <v>22</v>
      </c>
      <c r="M49" s="25">
        <f t="shared" ca="1" si="17"/>
        <v>22</v>
      </c>
      <c r="N49" s="25">
        <f t="shared" ca="1" si="17"/>
        <v>22</v>
      </c>
      <c r="O49" s="25">
        <f t="shared" ca="1" si="17"/>
        <v>22</v>
      </c>
      <c r="P49" s="25">
        <f t="shared" ca="1" si="17"/>
        <v>22</v>
      </c>
      <c r="R49" s="55"/>
    </row>
    <row r="50" spans="1:29" ht="38.25" customHeight="1" thickBot="1" x14ac:dyDescent="0.3">
      <c r="B50" s="54"/>
      <c r="C50" s="58">
        <v>46155</v>
      </c>
      <c r="D50" s="58">
        <v>46155</v>
      </c>
      <c r="E50" s="58">
        <v>46155</v>
      </c>
      <c r="F50" s="58">
        <v>46155</v>
      </c>
      <c r="H50" s="58">
        <v>46155</v>
      </c>
      <c r="J50" s="58">
        <v>46155</v>
      </c>
      <c r="K50" s="58">
        <v>46155</v>
      </c>
      <c r="L50" s="58">
        <v>46156</v>
      </c>
      <c r="M50" s="58">
        <v>46156</v>
      </c>
      <c r="N50" s="58">
        <v>46156</v>
      </c>
      <c r="O50" s="58">
        <v>46156</v>
      </c>
      <c r="P50" s="58">
        <v>46156</v>
      </c>
      <c r="R50" s="55"/>
    </row>
    <row r="51" spans="1:29" ht="15.75" thickBot="1" x14ac:dyDescent="0.3">
      <c r="B51" s="63"/>
      <c r="C51" s="65"/>
      <c r="D51" s="65"/>
      <c r="E51" s="65"/>
      <c r="F51" s="121" t="s">
        <v>154</v>
      </c>
      <c r="G51" s="122"/>
      <c r="H51" s="123"/>
      <c r="I51" s="65"/>
      <c r="J51" s="65"/>
      <c r="K51" s="65"/>
      <c r="L51" s="65"/>
      <c r="M51" s="65"/>
      <c r="N51" s="65"/>
      <c r="O51" s="65"/>
      <c r="P51" s="65"/>
      <c r="Q51" s="65"/>
      <c r="R51" s="66"/>
    </row>
    <row r="52" spans="1:29" x14ac:dyDescent="0.25">
      <c r="F52" s="72"/>
      <c r="G52" s="72"/>
      <c r="H52" s="72"/>
    </row>
    <row r="53" spans="1:29" ht="15.75" thickBot="1" x14ac:dyDescent="0.3"/>
    <row r="54" spans="1:29" x14ac:dyDescent="0.25">
      <c r="B54" s="51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3"/>
    </row>
    <row r="55" spans="1:29" x14ac:dyDescent="0.25">
      <c r="B55" s="54"/>
      <c r="AC55" s="55"/>
    </row>
    <row r="56" spans="1:29" x14ac:dyDescent="0.25">
      <c r="B56" s="54"/>
      <c r="AC56" s="55"/>
    </row>
    <row r="57" spans="1:29" x14ac:dyDescent="0.25">
      <c r="B57" s="54"/>
      <c r="C57" s="71" t="s">
        <v>57</v>
      </c>
      <c r="D57" s="25" t="s">
        <v>58</v>
      </c>
      <c r="E57" s="25" t="s">
        <v>59</v>
      </c>
      <c r="F57" s="25" t="s">
        <v>60</v>
      </c>
      <c r="G57" s="25" t="s">
        <v>61</v>
      </c>
      <c r="H57" s="25" t="s">
        <v>62</v>
      </c>
      <c r="J57" s="25" t="s">
        <v>63</v>
      </c>
      <c r="K57" s="25" t="s">
        <v>64</v>
      </c>
      <c r="L57" s="25" t="s">
        <v>65</v>
      </c>
      <c r="M57" s="25" t="s">
        <v>66</v>
      </c>
      <c r="N57" s="25" t="s">
        <v>67</v>
      </c>
      <c r="O57" s="25" t="s">
        <v>68</v>
      </c>
      <c r="P57" s="25" t="s">
        <v>69</v>
      </c>
      <c r="R57" s="25" t="s">
        <v>70</v>
      </c>
      <c r="S57" s="25" t="s">
        <v>71</v>
      </c>
      <c r="T57" s="25" t="s">
        <v>72</v>
      </c>
      <c r="U57" s="25" t="s">
        <v>73</v>
      </c>
      <c r="V57" s="25" t="s">
        <v>74</v>
      </c>
      <c r="W57" s="25" t="s">
        <v>75</v>
      </c>
      <c r="X57" s="25" t="s">
        <v>76</v>
      </c>
      <c r="Z57" s="25" t="s">
        <v>77</v>
      </c>
      <c r="AA57" s="71" t="s">
        <v>78</v>
      </c>
      <c r="AB57" s="71" t="s">
        <v>79</v>
      </c>
      <c r="AC57" s="55"/>
    </row>
    <row r="58" spans="1:29" ht="15.75" thickBot="1" x14ac:dyDescent="0.3">
      <c r="A58">
        <v>23</v>
      </c>
      <c r="B58" s="54"/>
      <c r="C58" s="25">
        <f t="shared" ref="C58:H58" ca="1" si="18">IF(C59="","",$B$1-C59)</f>
        <v>15</v>
      </c>
      <c r="D58" s="25">
        <f t="shared" ca="1" si="18"/>
        <v>15</v>
      </c>
      <c r="E58" s="25">
        <f t="shared" ca="1" si="18"/>
        <v>15</v>
      </c>
      <c r="F58" s="25">
        <f t="shared" ca="1" si="18"/>
        <v>15</v>
      </c>
      <c r="G58" s="25">
        <f t="shared" ca="1" si="18"/>
        <v>15</v>
      </c>
      <c r="H58" s="25">
        <f t="shared" ca="1" si="18"/>
        <v>15</v>
      </c>
      <c r="J58" s="25">
        <f t="shared" ref="J58:P58" ca="1" si="19">IF(J59="","",$B$1-J59)</f>
        <v>15</v>
      </c>
      <c r="K58" s="25">
        <f t="shared" ca="1" si="19"/>
        <v>14</v>
      </c>
      <c r="L58" s="25">
        <f t="shared" ca="1" si="19"/>
        <v>14</v>
      </c>
      <c r="M58" s="25">
        <f t="shared" ca="1" si="19"/>
        <v>14</v>
      </c>
      <c r="N58" s="25">
        <f t="shared" ca="1" si="19"/>
        <v>14</v>
      </c>
      <c r="O58" s="25">
        <f t="shared" ca="1" si="19"/>
        <v>14</v>
      </c>
      <c r="P58" s="25">
        <f t="shared" ca="1" si="19"/>
        <v>14</v>
      </c>
      <c r="R58" s="25">
        <f t="shared" ref="R58:X58" ca="1" si="20">IF(R59="","",$B$1-R59)</f>
        <v>14</v>
      </c>
      <c r="S58" s="25">
        <f t="shared" ca="1" si="20"/>
        <v>13</v>
      </c>
      <c r="T58" s="25">
        <f t="shared" ca="1" si="20"/>
        <v>13</v>
      </c>
      <c r="U58" s="25">
        <f t="shared" ca="1" si="20"/>
        <v>13</v>
      </c>
      <c r="V58" s="25">
        <f t="shared" ca="1" si="20"/>
        <v>13</v>
      </c>
      <c r="W58" s="25">
        <f t="shared" ca="1" si="20"/>
        <v>13</v>
      </c>
      <c r="X58" s="25">
        <f t="shared" ca="1" si="20"/>
        <v>13</v>
      </c>
      <c r="Z58" s="25">
        <f ca="1">IF(Z59="","",$B$1-Z59)</f>
        <v>13</v>
      </c>
      <c r="AA58" s="25" t="str">
        <f>IF(AA59="","",$B$1-AA59)</f>
        <v/>
      </c>
      <c r="AB58" s="25" t="str">
        <f>IF(AB59="","",$B$1-AB59)</f>
        <v/>
      </c>
      <c r="AC58" s="55"/>
    </row>
    <row r="59" spans="1:29" ht="39.950000000000003" customHeight="1" x14ac:dyDescent="0.25">
      <c r="A59">
        <v>23</v>
      </c>
      <c r="B59" s="118" t="s">
        <v>154</v>
      </c>
      <c r="C59" s="58">
        <v>46163</v>
      </c>
      <c r="D59" s="58">
        <v>46163</v>
      </c>
      <c r="E59" s="58">
        <v>46163</v>
      </c>
      <c r="F59" s="58">
        <v>46163</v>
      </c>
      <c r="G59" s="58">
        <v>46163</v>
      </c>
      <c r="H59" s="58">
        <v>46163</v>
      </c>
      <c r="I59" s="73"/>
      <c r="J59" s="58">
        <v>46163</v>
      </c>
      <c r="K59" s="58">
        <v>46164</v>
      </c>
      <c r="L59" s="58">
        <v>46164</v>
      </c>
      <c r="M59" s="58">
        <v>46164</v>
      </c>
      <c r="N59" s="58">
        <v>46164</v>
      </c>
      <c r="O59" s="58">
        <v>46164</v>
      </c>
      <c r="P59" s="58">
        <v>46164</v>
      </c>
      <c r="Q59" s="73"/>
      <c r="R59" s="58">
        <v>46164</v>
      </c>
      <c r="S59" s="58">
        <v>46165</v>
      </c>
      <c r="T59" s="58">
        <v>46165</v>
      </c>
      <c r="U59" s="58">
        <v>46165</v>
      </c>
      <c r="V59" s="58">
        <v>46165</v>
      </c>
      <c r="W59" s="58">
        <v>46165</v>
      </c>
      <c r="X59" s="58">
        <v>46165</v>
      </c>
      <c r="Y59" s="73"/>
      <c r="Z59" s="58">
        <v>46165</v>
      </c>
      <c r="AA59" s="58"/>
      <c r="AB59" s="58"/>
      <c r="AC59" s="55"/>
    </row>
    <row r="60" spans="1:29" x14ac:dyDescent="0.25">
      <c r="B60" s="119"/>
      <c r="AC60" s="55"/>
    </row>
    <row r="61" spans="1:29" x14ac:dyDescent="0.25">
      <c r="B61" s="119"/>
      <c r="C61" s="91" t="s">
        <v>87</v>
      </c>
      <c r="D61" s="25" t="s">
        <v>88</v>
      </c>
      <c r="E61" s="25" t="s">
        <v>89</v>
      </c>
      <c r="F61" s="25" t="s">
        <v>90</v>
      </c>
      <c r="G61" s="25" t="s">
        <v>91</v>
      </c>
      <c r="H61" s="25" t="s">
        <v>92</v>
      </c>
      <c r="J61" s="25" t="s">
        <v>93</v>
      </c>
      <c r="K61" s="25" t="s">
        <v>94</v>
      </c>
      <c r="L61" s="25" t="s">
        <v>95</v>
      </c>
      <c r="M61" s="25" t="s">
        <v>96</v>
      </c>
      <c r="N61" s="25" t="s">
        <v>97</v>
      </c>
      <c r="O61" s="25" t="s">
        <v>98</v>
      </c>
      <c r="P61" s="25" t="s">
        <v>99</v>
      </c>
      <c r="R61" s="25" t="s">
        <v>100</v>
      </c>
      <c r="S61" s="25" t="s">
        <v>101</v>
      </c>
      <c r="T61" s="25" t="s">
        <v>102</v>
      </c>
      <c r="U61" s="25" t="s">
        <v>103</v>
      </c>
      <c r="V61" s="25" t="s">
        <v>104</v>
      </c>
      <c r="W61" s="25" t="s">
        <v>105</v>
      </c>
      <c r="X61" s="25" t="s">
        <v>106</v>
      </c>
      <c r="Z61" s="25" t="s">
        <v>107</v>
      </c>
      <c r="AA61" s="25" t="s">
        <v>108</v>
      </c>
      <c r="AB61" s="25" t="s">
        <v>109</v>
      </c>
      <c r="AC61" s="55"/>
    </row>
    <row r="62" spans="1:29" ht="15.75" thickBot="1" x14ac:dyDescent="0.3">
      <c r="B62" s="120"/>
      <c r="C62" s="91" t="str">
        <f t="shared" ref="C62:H62" si="21">IF(C63="","",$B$1-C63)</f>
        <v/>
      </c>
      <c r="D62" s="25">
        <f t="shared" ca="1" si="21"/>
        <v>16</v>
      </c>
      <c r="E62" s="25">
        <f t="shared" ca="1" si="21"/>
        <v>16</v>
      </c>
      <c r="F62" s="25">
        <f t="shared" ca="1" si="21"/>
        <v>16</v>
      </c>
      <c r="G62" s="25">
        <f t="shared" ca="1" si="21"/>
        <v>16</v>
      </c>
      <c r="H62" s="25">
        <f t="shared" ca="1" si="21"/>
        <v>16</v>
      </c>
      <c r="J62" s="25">
        <f t="shared" ref="J62:P62" ca="1" si="22">IF(J63="","",$B$1-J63)</f>
        <v>16</v>
      </c>
      <c r="K62" s="25">
        <f t="shared" ca="1" si="22"/>
        <v>16</v>
      </c>
      <c r="L62" s="25">
        <f t="shared" ca="1" si="22"/>
        <v>16</v>
      </c>
      <c r="M62" s="25">
        <f t="shared" ca="1" si="22"/>
        <v>17</v>
      </c>
      <c r="N62" s="25">
        <f t="shared" ca="1" si="22"/>
        <v>17</v>
      </c>
      <c r="O62" s="25">
        <f t="shared" ca="1" si="22"/>
        <v>17</v>
      </c>
      <c r="P62" s="25">
        <f t="shared" ca="1" si="22"/>
        <v>17</v>
      </c>
      <c r="R62" s="25">
        <f t="shared" ref="R62:X62" ca="1" si="23">IF(R63="","",$B$1-R63)</f>
        <v>17</v>
      </c>
      <c r="S62" s="25">
        <f t="shared" ca="1" si="23"/>
        <v>17</v>
      </c>
      <c r="T62" s="25">
        <f t="shared" ca="1" si="23"/>
        <v>17</v>
      </c>
      <c r="U62" s="25">
        <f t="shared" ca="1" si="23"/>
        <v>18</v>
      </c>
      <c r="V62" s="25">
        <f t="shared" ca="1" si="23"/>
        <v>18</v>
      </c>
      <c r="W62" s="25">
        <f t="shared" ca="1" si="23"/>
        <v>18</v>
      </c>
      <c r="X62" s="25">
        <f t="shared" ca="1" si="23"/>
        <v>18</v>
      </c>
      <c r="Z62" s="25">
        <f ca="1">IF(Z63="","",$B$1-Z63)</f>
        <v>18</v>
      </c>
      <c r="AA62" s="25">
        <f ca="1">IF(AA63="","",$B$1-AA63)</f>
        <v>18</v>
      </c>
      <c r="AB62" s="25">
        <f ca="1">IF(AB63="","",$B$1-AB63)</f>
        <v>18</v>
      </c>
      <c r="AC62" s="55"/>
    </row>
    <row r="63" spans="1:29" ht="39.950000000000003" customHeight="1" x14ac:dyDescent="0.25">
      <c r="B63" s="54"/>
      <c r="C63" s="90"/>
      <c r="D63" s="58">
        <v>46162</v>
      </c>
      <c r="E63" s="58">
        <v>46162</v>
      </c>
      <c r="F63" s="58">
        <v>46162</v>
      </c>
      <c r="G63" s="58">
        <v>46162</v>
      </c>
      <c r="H63" s="58">
        <v>46162</v>
      </c>
      <c r="I63" s="73"/>
      <c r="J63" s="58">
        <v>46162</v>
      </c>
      <c r="K63" s="58">
        <v>46162</v>
      </c>
      <c r="L63" s="58">
        <v>46162</v>
      </c>
      <c r="M63" s="58">
        <v>46161</v>
      </c>
      <c r="N63" s="58">
        <v>46161</v>
      </c>
      <c r="O63" s="58">
        <v>46161</v>
      </c>
      <c r="P63" s="58">
        <v>46161</v>
      </c>
      <c r="Q63" s="73"/>
      <c r="R63" s="58">
        <v>46161</v>
      </c>
      <c r="S63" s="58">
        <v>46161</v>
      </c>
      <c r="T63" s="58">
        <v>46161</v>
      </c>
      <c r="U63" s="58">
        <v>46160</v>
      </c>
      <c r="V63" s="58">
        <v>46160</v>
      </c>
      <c r="W63" s="58">
        <v>46160</v>
      </c>
      <c r="X63" s="58">
        <v>46160</v>
      </c>
      <c r="Y63" s="73"/>
      <c r="Z63" s="58">
        <v>46160</v>
      </c>
      <c r="AA63" s="58">
        <v>46160</v>
      </c>
      <c r="AB63" s="58">
        <v>46160</v>
      </c>
      <c r="AC63" s="55"/>
    </row>
    <row r="64" spans="1:29" ht="15.75" thickBot="1" x14ac:dyDescent="0.3">
      <c r="B64" s="63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  <c r="AA64" s="65"/>
      <c r="AB64" s="65"/>
      <c r="AC64" s="66"/>
    </row>
  </sheetData>
  <mergeCells count="6">
    <mergeCell ref="B59:B62"/>
    <mergeCell ref="B1:D1"/>
    <mergeCell ref="B7:B10"/>
    <mergeCell ref="H30:J30"/>
    <mergeCell ref="B36:D36"/>
    <mergeCell ref="F51:H51"/>
  </mergeCells>
  <phoneticPr fontId="11" type="noConversion"/>
  <conditionalFormatting sqref="C10:F10">
    <cfRule type="dataBar" priority="33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42:F42">
    <cfRule type="containsBlanks" dxfId="1264" priority="181">
      <formula>LEN(TRIM(C42))=0</formula>
    </cfRule>
    <cfRule type="notContainsBlanks" dxfId="1263" priority="182">
      <formula>LEN(TRIM(C42))&gt;0</formula>
    </cfRule>
    <cfRule type="containsBlanks" dxfId="1262" priority="183">
      <formula>LEN(TRIM(C42))=0</formula>
    </cfRule>
    <cfRule type="notContainsBlanks" dxfId="1261" priority="184">
      <formula>LEN(TRIM(C42))&gt;0</formula>
    </cfRule>
  </conditionalFormatting>
  <conditionalFormatting sqref="C46:D46">
    <cfRule type="containsBlanks" dxfId="1260" priority="195">
      <formula>LEN(TRIM(C46))=0</formula>
    </cfRule>
    <cfRule type="notContainsBlanks" dxfId="1259" priority="196">
      <formula>LEN(TRIM(C46))&gt;0</formula>
    </cfRule>
  </conditionalFormatting>
  <conditionalFormatting sqref="C7:H7">
    <cfRule type="containsBlanks" dxfId="1258" priority="282">
      <formula>LEN(TRIM(C7))=0</formula>
    </cfRule>
    <cfRule type="notContainsBlanks" dxfId="1257" priority="283">
      <formula>LEN(TRIM(C7))&gt;0</formula>
    </cfRule>
  </conditionalFormatting>
  <conditionalFormatting sqref="C11:H11">
    <cfRule type="containsBlanks" dxfId="1256" priority="328">
      <formula>LEN(TRIM(C11))=0</formula>
    </cfRule>
    <cfRule type="notContainsBlanks" dxfId="1255" priority="329">
      <formula>LEN(TRIM(C11))&gt;0</formula>
    </cfRule>
  </conditionalFormatting>
  <conditionalFormatting sqref="C15:H15">
    <cfRule type="containsBlanks" dxfId="1254" priority="147">
      <formula>LEN(TRIM(C15))=0</formula>
    </cfRule>
    <cfRule type="notContainsBlanks" dxfId="1253" priority="148">
      <formula>LEN(TRIM(C15))&gt;0</formula>
    </cfRule>
  </conditionalFormatting>
  <conditionalFormatting sqref="C24:H24 J24:P24 R24 AA24:AI24">
    <cfRule type="dataBar" priority="3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1252" priority="89">
      <formula>LEN(TRIM(C25))=0</formula>
    </cfRule>
    <cfRule type="notContainsBlanks" dxfId="1251" priority="90">
      <formula>LEN(TRIM(C25))&gt;0</formula>
    </cfRule>
  </conditionalFormatting>
  <conditionalFormatting sqref="C28:H28 J28:P28">
    <cfRule type="dataBar" priority="32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containsBlanks" dxfId="1250" priority="149">
      <formula>LEN(TRIM(C29))=0</formula>
    </cfRule>
    <cfRule type="notContainsBlanks" dxfId="1249" priority="150">
      <formula>LEN(TRIM(C29))&gt;0</formula>
    </cfRule>
  </conditionalFormatting>
  <conditionalFormatting sqref="C41:H41">
    <cfRule type="dataBar" priority="33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containsBlanks" dxfId="1248" priority="185">
      <formula>LEN(TRIM(C42))=0</formula>
    </cfRule>
    <cfRule type="notContainsBlanks" dxfId="1247" priority="186">
      <formula>LEN(TRIM(C42))&gt;0</formula>
    </cfRule>
  </conditionalFormatting>
  <conditionalFormatting sqref="C58:H58 R58:X58 Z58:AB58 J58:P58">
    <cfRule type="dataBar" priority="3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62:H62 R62:X62 Z62:AB62 J62:P62">
    <cfRule type="dataBar" priority="34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containsBlanks" dxfId="1246" priority="165">
      <formula>LEN(TRIM(C63))=0</formula>
    </cfRule>
    <cfRule type="notContainsBlanks" dxfId="1245" priority="166">
      <formula>LEN(TRIM(C63))&gt;0</formula>
    </cfRule>
  </conditionalFormatting>
  <conditionalFormatting sqref="D63:H63">
    <cfRule type="containsBlanks" dxfId="1244" priority="163">
      <formula>LEN(TRIM(D63))=0</formula>
    </cfRule>
    <cfRule type="notContainsBlanks" dxfId="1243" priority="164">
      <formula>LEN(TRIM(D63))&gt;0</formula>
    </cfRule>
  </conditionalFormatting>
  <conditionalFormatting sqref="E45:F45 H45 J45:P45">
    <cfRule type="dataBar" priority="3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10:H10 J10:P10">
    <cfRule type="dataBar" priority="33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G10:H10 J10:P10">
    <cfRule type="dataBar" priority="32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42:H42">
    <cfRule type="containsBlanks" dxfId="1242" priority="268">
      <formula>LEN(TRIM(G42))=0</formula>
    </cfRule>
    <cfRule type="notContainsBlanks" dxfId="1241" priority="269">
      <formula>LEN(TRIM(G42))&gt;0</formula>
    </cfRule>
  </conditionalFormatting>
  <conditionalFormatting sqref="H45">
    <cfRule type="dataBar" priority="32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I10">
    <cfRule type="dataBar" priority="33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24">
    <cfRule type="dataBar" priority="35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3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3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3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3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34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J20:K20">
    <cfRule type="dataBar" priority="39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46:M46">
    <cfRule type="containsBlanks" dxfId="1240" priority="187">
      <formula>LEN(TRIM(J46))=0</formula>
    </cfRule>
    <cfRule type="notContainsBlanks" dxfId="1239" priority="188">
      <formula>LEN(TRIM(J46))&gt;0</formula>
    </cfRule>
  </conditionalFormatting>
  <conditionalFormatting sqref="J41:O41">
    <cfRule type="dataBar" priority="33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containsBlanks" dxfId="1238" priority="241">
      <formula>LEN(TRIM(J7))=0</formula>
    </cfRule>
    <cfRule type="notContainsBlanks" dxfId="1237" priority="242">
      <formula>LEN(TRIM(J7))&gt;0</formula>
    </cfRule>
  </conditionalFormatting>
  <conditionalFormatting sqref="K11:P11">
    <cfRule type="containsBlanks" dxfId="1236" priority="143">
      <formula>LEN(TRIM(K11))=0</formula>
    </cfRule>
    <cfRule type="notContainsBlanks" dxfId="1235" priority="144">
      <formula>LEN(TRIM(K11))&gt;0</formula>
    </cfRule>
  </conditionalFormatting>
  <conditionalFormatting sqref="K15:P15">
    <cfRule type="containsBlanks" dxfId="1234" priority="145">
      <formula>LEN(TRIM(K15))=0</formula>
    </cfRule>
    <cfRule type="notContainsBlanks" dxfId="1233" priority="146">
      <formula>LEN(TRIM(K15))&gt;0</formula>
    </cfRule>
  </conditionalFormatting>
  <conditionalFormatting sqref="J25:P25">
    <cfRule type="containsBlanks" dxfId="1232" priority="91">
      <formula>LEN(TRIM(J25))=0</formula>
    </cfRule>
    <cfRule type="notContainsBlanks" dxfId="1231" priority="92">
      <formula>LEN(TRIM(J25))&gt;0</formula>
    </cfRule>
  </conditionalFormatting>
  <conditionalFormatting sqref="J29:P29">
    <cfRule type="containsBlanks" dxfId="1230" priority="87">
      <formula>LEN(TRIM(J29))=0</formula>
    </cfRule>
    <cfRule type="notContainsBlanks" dxfId="1229" priority="88">
      <formula>LEN(TRIM(J29))&gt;0</formula>
    </cfRule>
  </conditionalFormatting>
  <conditionalFormatting sqref="O42:P42">
    <cfRule type="containsBlanks" dxfId="1228" priority="179">
      <formula>LEN(TRIM(O42))=0</formula>
    </cfRule>
    <cfRule type="notContainsBlanks" dxfId="1227" priority="180">
      <formula>LEN(TRIM(O42))&gt;0</formula>
    </cfRule>
  </conditionalFormatting>
  <conditionalFormatting sqref="J45:P45">
    <cfRule type="dataBar" priority="32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M46">
    <cfRule type="containsBlanks" dxfId="1226" priority="189">
      <formula>LEN(TRIM(J46))=0</formula>
    </cfRule>
    <cfRule type="notContainsBlanks" dxfId="1225" priority="190">
      <formula>LEN(TRIM(J46))&gt;0</formula>
    </cfRule>
  </conditionalFormatting>
  <conditionalFormatting sqref="J49:P49 C49:F49 H49 C45:F45">
    <cfRule type="dataBar" priority="34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K50">
    <cfRule type="containsBlanks" dxfId="1224" priority="197">
      <formula>LEN(TRIM(J50))=0</formula>
    </cfRule>
    <cfRule type="notContainsBlanks" dxfId="1223" priority="198">
      <formula>LEN(TRIM(J50))&gt;0</formula>
    </cfRule>
  </conditionalFormatting>
  <conditionalFormatting sqref="J59">
    <cfRule type="containsBlanks" dxfId="1222" priority="161">
      <formula>LEN(TRIM(J59))=0</formula>
    </cfRule>
    <cfRule type="notContainsBlanks" dxfId="1221" priority="162">
      <formula>LEN(TRIM(J59))&gt;0</formula>
    </cfRule>
  </conditionalFormatting>
  <conditionalFormatting sqref="M63:P63">
    <cfRule type="containsBlanks" dxfId="1220" priority="169">
      <formula>LEN(TRIM(M63))=0</formula>
    </cfRule>
    <cfRule type="notContainsBlanks" dxfId="1219" priority="170">
      <formula>LEN(TRIM(M63))&gt;0</formula>
    </cfRule>
  </conditionalFormatting>
  <conditionalFormatting sqref="K11:P11">
    <cfRule type="containsBlanks" dxfId="1218" priority="245">
      <formula>LEN(TRIM(K11))=0</formula>
    </cfRule>
    <cfRule type="notContainsBlanks" dxfId="1217" priority="246">
      <formula>LEN(TRIM(K11))&gt;0</formula>
    </cfRule>
  </conditionalFormatting>
  <conditionalFormatting sqref="M63:P63">
    <cfRule type="containsBlanks" dxfId="1216" priority="167">
      <formula>LEN(TRIM(M63))=0</formula>
    </cfRule>
    <cfRule type="notContainsBlanks" dxfId="1215" priority="168">
      <formula>LEN(TRIM(M63))&gt;0</formula>
    </cfRule>
  </conditionalFormatting>
  <conditionalFormatting sqref="P7">
    <cfRule type="containsBlanks" dxfId="1214" priority="237">
      <formula>LEN(TRIM(P7))=0</formula>
    </cfRule>
    <cfRule type="notContainsBlanks" dxfId="1213" priority="238">
      <formula>LEN(TRIM(P7))&gt;0</formula>
    </cfRule>
    <cfRule type="containsBlanks" dxfId="1212" priority="239">
      <formula>LEN(TRIM(P7))=0</formula>
    </cfRule>
    <cfRule type="notContainsBlanks" dxfId="1211" priority="240">
      <formula>LEN(TRIM(P7))&gt;0</formula>
    </cfRule>
  </conditionalFormatting>
  <conditionalFormatting sqref="P41">
    <cfRule type="dataBar" priority="3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34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3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3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3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34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3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U11:X11">
    <cfRule type="notContainsBlanks" dxfId="1210" priority="140">
      <formula>LEN(TRIM(U11))&gt;0</formula>
    </cfRule>
  </conditionalFormatting>
  <conditionalFormatting sqref="R59">
    <cfRule type="containsBlanks" dxfId="1209" priority="155">
      <formula>LEN(TRIM(R59))=0</formula>
    </cfRule>
    <cfRule type="notContainsBlanks" dxfId="1208" priority="156">
      <formula>LEN(TRIM(R59))&gt;0</formula>
    </cfRule>
    <cfRule type="containsBlanks" dxfId="1207" priority="157">
      <formula>LEN(TRIM(R59))=0</formula>
    </cfRule>
    <cfRule type="notContainsBlanks" dxfId="1206" priority="158">
      <formula>LEN(TRIM(R59))&gt;0</formula>
    </cfRule>
  </conditionalFormatting>
  <conditionalFormatting sqref="R10:X10">
    <cfRule type="dataBar" priority="3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25">
    <cfRule type="containsBlanks" dxfId="1205" priority="125">
      <formula>LEN(TRIM(R25))=0</formula>
    </cfRule>
    <cfRule type="notContainsBlanks" dxfId="1204" priority="126">
      <formula>LEN(TRIM(R25))&gt;0</formula>
    </cfRule>
  </conditionalFormatting>
  <conditionalFormatting sqref="R29">
    <cfRule type="containsBlanks" dxfId="1203" priority="95">
      <formula>LEN(TRIM(R29))=0</formula>
    </cfRule>
    <cfRule type="notContainsBlanks" dxfId="1202" priority="96">
      <formula>LEN(TRIM(R29))&gt;0</formula>
    </cfRule>
  </conditionalFormatting>
  <conditionalFormatting sqref="R59:X59">
    <cfRule type="containsBlanks" dxfId="1201" priority="159">
      <formula>LEN(TRIM(R59))=0</formula>
    </cfRule>
    <cfRule type="notContainsBlanks" dxfId="1200" priority="160">
      <formula>LEN(TRIM(R59))&gt;0</formula>
    </cfRule>
  </conditionalFormatting>
  <conditionalFormatting sqref="S15:X15">
    <cfRule type="containsBlanks" dxfId="1199" priority="297">
      <formula>LEN(TRIM(S15))=0</formula>
    </cfRule>
    <cfRule type="notContainsBlanks" dxfId="1198" priority="298">
      <formula>LEN(TRIM(S15))&gt;0</formula>
    </cfRule>
  </conditionalFormatting>
  <conditionalFormatting sqref="S24:X24 Z24">
    <cfRule type="dataBar" priority="28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28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containsBlanks" dxfId="1197" priority="256">
      <formula>LEN(TRIM(S59))=0</formula>
    </cfRule>
    <cfRule type="notContainsBlanks" dxfId="1196" priority="257">
      <formula>LEN(TRIM(S59))&gt;0</formula>
    </cfRule>
  </conditionalFormatting>
  <conditionalFormatting sqref="U11:X11">
    <cfRule type="containsBlanks" dxfId="1195" priority="139">
      <formula>LEN(TRIM(U11))=0</formula>
    </cfRule>
  </conditionalFormatting>
  <conditionalFormatting sqref="U63:X63">
    <cfRule type="containsBlanks" dxfId="1194" priority="171">
      <formula>LEN(TRIM(U63))=0</formula>
    </cfRule>
    <cfRule type="notContainsBlanks" dxfId="1193" priority="172">
      <formula>LEN(TRIM(U63))&gt;0</formula>
    </cfRule>
    <cfRule type="containsBlanks" dxfId="1192" priority="173">
      <formula>LEN(TRIM(U63))=0</formula>
    </cfRule>
    <cfRule type="notContainsBlanks" dxfId="1191" priority="174">
      <formula>LEN(TRIM(U63))&gt;0</formula>
    </cfRule>
    <cfRule type="containsBlanks" dxfId="1190" priority="175">
      <formula>LEN(TRIM(U63))=0</formula>
    </cfRule>
    <cfRule type="notContainsBlanks" dxfId="1189" priority="176">
      <formula>LEN(TRIM(U63))&gt;0</formula>
    </cfRule>
  </conditionalFormatting>
  <conditionalFormatting sqref="V11:W11">
    <cfRule type="containsBlanks" dxfId="1188" priority="135">
      <formula>LEN(TRIM(V11))=0</formula>
    </cfRule>
    <cfRule type="notContainsBlanks" dxfId="1187" priority="136">
      <formula>LEN(TRIM(V11))&gt;0</formula>
    </cfRule>
  </conditionalFormatting>
  <conditionalFormatting sqref="W15:X15">
    <cfRule type="containsBlanks" dxfId="1186" priority="287">
      <formula>LEN(TRIM(W15))=0</formula>
    </cfRule>
    <cfRule type="notContainsBlanks" dxfId="1185" priority="288">
      <formula>LEN(TRIM(W15))&gt;0</formula>
    </cfRule>
  </conditionalFormatting>
  <conditionalFormatting sqref="W32:X32">
    <cfRule type="dataBar" priority="33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containsBlanks" dxfId="1184" priority="299">
      <formula>LEN(TRIM(W33))=0</formula>
    </cfRule>
    <cfRule type="notContainsBlanks" dxfId="1183" priority="300">
      <formula>LEN(TRIM(W33))&gt;0</formula>
    </cfRule>
  </conditionalFormatting>
  <conditionalFormatting sqref="X20">
    <cfRule type="dataBar" priority="39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containsBlanks" dxfId="1182" priority="368">
      <formula>LEN(TRIM(X21))=0</formula>
    </cfRule>
    <cfRule type="notContainsBlanks" dxfId="1181" priority="369">
      <formula>LEN(TRIM(X21))&gt;0</formula>
    </cfRule>
    <cfRule type="containsBlanks" dxfId="1180" priority="370">
      <formula>LEN(TRIM(X21))=0</formula>
    </cfRule>
    <cfRule type="notContainsBlanks" dxfId="1179" priority="371">
      <formula>LEN(TRIM(X21))&gt;0</formula>
    </cfRule>
    <cfRule type="containsBlanks" dxfId="1178" priority="372">
      <formula>LEN(TRIM(X21))=0</formula>
    </cfRule>
    <cfRule type="notContainsBlanks" dxfId="1177" priority="373">
      <formula>LEN(TRIM(X21))&gt;0</formula>
    </cfRule>
    <cfRule type="containsBlanks" dxfId="1176" priority="374">
      <formula>LEN(TRIM(X21))=0</formula>
    </cfRule>
    <cfRule type="notContainsBlanks" dxfId="1175" priority="375">
      <formula>LEN(TRIM(X21))&gt;0</formula>
    </cfRule>
    <cfRule type="containsBlanks" dxfId="1174" priority="376">
      <formula>LEN(TRIM(X21))=0</formula>
    </cfRule>
    <cfRule type="notContainsBlanks" dxfId="1173" priority="377">
      <formula>LEN(TRIM(X21))&gt;0</formula>
    </cfRule>
  </conditionalFormatting>
  <conditionalFormatting sqref="Y24">
    <cfRule type="dataBar" priority="28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34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3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AA59:AB59">
    <cfRule type="containsBlanks" dxfId="1172" priority="153">
      <formula>LEN(TRIM(AA59))=0</formula>
    </cfRule>
    <cfRule type="notContainsBlanks" dxfId="1171" priority="154">
      <formula>LEN(TRIM(AA59))&gt;0</formula>
    </cfRule>
  </conditionalFormatting>
  <conditionalFormatting sqref="Z25:AI25">
    <cfRule type="containsBlanks" dxfId="1170" priority="207">
      <formula>LEN(TRIM(Z25))=0</formula>
    </cfRule>
    <cfRule type="notContainsBlanks" dxfId="1169" priority="208">
      <formula>LEN(TRIM(Z25))&gt;0</formula>
    </cfRule>
  </conditionalFormatting>
  <conditionalFormatting sqref="Z29:AG29">
    <cfRule type="containsBlanks" dxfId="1168" priority="93">
      <formula>LEN(TRIM(Z29))=0</formula>
    </cfRule>
    <cfRule type="notContainsBlanks" dxfId="1167" priority="94">
      <formula>LEN(TRIM(Z29))&gt;0</formula>
    </cfRule>
  </conditionalFormatting>
  <conditionalFormatting sqref="AA59:AB59">
    <cfRule type="containsBlanks" dxfId="1166" priority="233">
      <formula>LEN(TRIM(AA59))=0</formula>
    </cfRule>
    <cfRule type="notContainsBlanks" dxfId="1165" priority="234">
      <formula>LEN(TRIM(AA59))&gt;0</formula>
    </cfRule>
  </conditionalFormatting>
  <conditionalFormatting sqref="AA28:AI28 R28">
    <cfRule type="dataBar" priority="32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F20:AI20">
    <cfRule type="dataBar" priority="39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H21:AI21">
    <cfRule type="containsBlanks" dxfId="1164" priority="203">
      <formula>LEN(TRIM(AH21))=0</formula>
    </cfRule>
    <cfRule type="notContainsBlanks" dxfId="1163" priority="204">
      <formula>LEN(TRIM(AH21))&gt;0</formula>
    </cfRule>
  </conditionalFormatting>
  <conditionalFormatting sqref="AG32:AI32">
    <cfRule type="dataBar" priority="39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containsBlanks" dxfId="1162" priority="378">
      <formula>LEN(TRIM(AG33))=0</formula>
    </cfRule>
    <cfRule type="notContainsBlanks" dxfId="1161" priority="379">
      <formula>LEN(TRIM(AG33))&gt;0</formula>
    </cfRule>
    <cfRule type="containsBlanks" dxfId="1160" priority="380">
      <formula>LEN(TRIM(AG33))=0</formula>
    </cfRule>
    <cfRule type="notContainsBlanks" dxfId="1159" priority="381">
      <formula>LEN(TRIM(AG33))&gt;0</formula>
    </cfRule>
    <cfRule type="containsBlanks" dxfId="1158" priority="382">
      <formula>LEN(TRIM(AG33))=0</formula>
    </cfRule>
    <cfRule type="notContainsBlanks" dxfId="1157" priority="383">
      <formula>LEN(TRIM(AG33))&gt;0</formula>
    </cfRule>
    <cfRule type="containsBlanks" dxfId="1156" priority="384">
      <formula>LEN(TRIM(AG33))=0</formula>
    </cfRule>
    <cfRule type="notContainsBlanks" dxfId="1155" priority="385">
      <formula>LEN(TRIM(AG33))&gt;0</formula>
    </cfRule>
    <cfRule type="containsBlanks" dxfId="1154" priority="386">
      <formula>LEN(TRIM(AG33))=0</formula>
    </cfRule>
    <cfRule type="notContainsBlanks" dxfId="1153" priority="387">
      <formula>LEN(TRIM(AG33))&gt;0</formula>
    </cfRule>
    <cfRule type="containsBlanks" dxfId="1152" priority="388">
      <formula>LEN(TRIM(AG33))=0</formula>
    </cfRule>
    <cfRule type="notContainsBlanks" dxfId="1151" priority="389">
      <formula>LEN(TRIM(AG33))&gt;0</formula>
    </cfRule>
  </conditionalFormatting>
  <conditionalFormatting sqref="C6:F6">
    <cfRule type="dataBar" priority="8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{C036F0D9-554D-4844-A770-7AADC4033AA6}</x14:id>
        </ext>
      </extLst>
    </cfRule>
  </conditionalFormatting>
  <conditionalFormatting sqref="E6:H6 J6:P6">
    <cfRule type="dataBar" priority="8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{E455C695-BFF4-4CD2-A4E3-08340E78C171}</x14:id>
        </ext>
      </extLst>
    </cfRule>
  </conditionalFormatting>
  <conditionalFormatting sqref="G6:H6 J6:P6">
    <cfRule type="dataBar" priority="8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{E4F9FE42-AB01-470D-A37F-E67D2602D224}</x14:id>
        </ext>
      </extLst>
    </cfRule>
  </conditionalFormatting>
  <conditionalFormatting sqref="I6">
    <cfRule type="dataBar" priority="8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{1983A7A4-B9C3-402A-B00E-6FDBC8C43826}</x14:id>
        </ext>
      </extLst>
    </cfRule>
  </conditionalFormatting>
  <conditionalFormatting sqref="R6:X6">
    <cfRule type="dataBar" priority="8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{8BB7C500-83D3-4393-98C1-6C5F1BC16FAA}</x14:id>
        </ext>
      </extLst>
    </cfRule>
  </conditionalFormatting>
  <conditionalFormatting sqref="C14:F14">
    <cfRule type="dataBar" priority="7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{A9E08FAE-3F7D-4DAC-B9C7-895FCB5DC7AB}</x14:id>
        </ext>
      </extLst>
    </cfRule>
  </conditionalFormatting>
  <conditionalFormatting sqref="E14:H14 J14:P14">
    <cfRule type="dataBar" priority="8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{A02696F8-4F4A-40B2-AE82-2C2089E9AA6E}</x14:id>
        </ext>
      </extLst>
    </cfRule>
  </conditionalFormatting>
  <conditionalFormatting sqref="G14:H14 J14:P14">
    <cfRule type="dataBar" priority="7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{02D83114-9448-480F-9B0D-E7E7F25FCD6D}</x14:id>
        </ext>
      </extLst>
    </cfRule>
  </conditionalFormatting>
  <conditionalFormatting sqref="I14">
    <cfRule type="dataBar" priority="7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{A279F845-7F3A-4204-BD0F-74FBF3833FDD}</x14:id>
        </ext>
      </extLst>
    </cfRule>
  </conditionalFormatting>
  <conditionalFormatting sqref="R14:X14">
    <cfRule type="dataBar" priority="8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{DCF51B6B-A02F-4E86-B1B1-8E6162097A06}</x14:id>
        </ext>
      </extLst>
    </cfRule>
  </conditionalFormatting>
  <conditionalFormatting sqref="J15">
    <cfRule type="containsBlanks" dxfId="1150" priority="75">
      <formula>LEN(TRIM(J15))=0</formula>
    </cfRule>
    <cfRule type="notContainsBlanks" dxfId="1149" priority="76">
      <formula>LEN(TRIM(J15))&gt;0</formula>
    </cfRule>
  </conditionalFormatting>
  <conditionalFormatting sqref="J11">
    <cfRule type="containsBlanks" dxfId="1148" priority="73">
      <formula>LEN(TRIM(J11))=0</formula>
    </cfRule>
    <cfRule type="notContainsBlanks" dxfId="1147" priority="74">
      <formula>LEN(TRIM(J11))&gt;0</formula>
    </cfRule>
  </conditionalFormatting>
  <conditionalFormatting sqref="R15">
    <cfRule type="containsBlanks" dxfId="1146" priority="71">
      <formula>LEN(TRIM(R15))=0</formula>
    </cfRule>
    <cfRule type="notContainsBlanks" dxfId="1145" priority="72">
      <formula>LEN(TRIM(R15))&gt;0</formula>
    </cfRule>
  </conditionalFormatting>
  <conditionalFormatting sqref="R11">
    <cfRule type="containsBlanks" dxfId="1144" priority="67">
      <formula>LEN(TRIM(R11))=0</formula>
    </cfRule>
    <cfRule type="notContainsBlanks" dxfId="1143" priority="68">
      <formula>LEN(TRIM(R11))&gt;0</formula>
    </cfRule>
  </conditionalFormatting>
  <conditionalFormatting sqref="R11">
    <cfRule type="containsBlanks" dxfId="1142" priority="69">
      <formula>LEN(TRIM(R11))=0</formula>
    </cfRule>
    <cfRule type="notContainsBlanks" dxfId="1141" priority="70">
      <formula>LEN(TRIM(R11))&gt;0</formula>
    </cfRule>
  </conditionalFormatting>
  <conditionalFormatting sqref="S11:T11">
    <cfRule type="containsBlanks" dxfId="1140" priority="65">
      <formula>LEN(TRIM(S11))=0</formula>
    </cfRule>
    <cfRule type="notContainsBlanks" dxfId="1139" priority="66">
      <formula>LEN(TRIM(S11))&gt;0</formula>
    </cfRule>
  </conditionalFormatting>
  <conditionalFormatting sqref="V7:X7">
    <cfRule type="notContainsBlanks" dxfId="1138" priority="64">
      <formula>LEN(TRIM(V7))&gt;0</formula>
    </cfRule>
  </conditionalFormatting>
  <conditionalFormatting sqref="V7:X7">
    <cfRule type="containsBlanks" dxfId="1137" priority="63">
      <formula>LEN(TRIM(V7))=0</formula>
    </cfRule>
  </conditionalFormatting>
  <conditionalFormatting sqref="R7:U7">
    <cfRule type="containsBlanks" dxfId="1136" priority="61">
      <formula>LEN(TRIM(R7))=0</formula>
    </cfRule>
    <cfRule type="notContainsBlanks" dxfId="1135" priority="62">
      <formula>LEN(TRIM(R7))&gt;0</formula>
    </cfRule>
  </conditionalFormatting>
  <conditionalFormatting sqref="Z59">
    <cfRule type="containsBlanks" dxfId="1134" priority="57">
      <formula>LEN(TRIM(Z59))=0</formula>
    </cfRule>
    <cfRule type="notContainsBlanks" dxfId="1133" priority="58">
      <formula>LEN(TRIM(Z59))&gt;0</formula>
    </cfRule>
  </conditionalFormatting>
  <conditionalFormatting sqref="Z59">
    <cfRule type="containsBlanks" dxfId="1132" priority="59">
      <formula>LEN(TRIM(Z59))=0</formula>
    </cfRule>
    <cfRule type="notContainsBlanks" dxfId="1131" priority="60">
      <formula>LEN(TRIM(Z59))&gt;0</formula>
    </cfRule>
  </conditionalFormatting>
  <conditionalFormatting sqref="K59:P59">
    <cfRule type="containsBlanks" dxfId="1130" priority="51">
      <formula>LEN(TRIM(K59))=0</formula>
    </cfRule>
    <cfRule type="notContainsBlanks" dxfId="1129" priority="52">
      <formula>LEN(TRIM(K59))&gt;0</formula>
    </cfRule>
    <cfRule type="containsBlanks" dxfId="1128" priority="53">
      <formula>LEN(TRIM(K59))=0</formula>
    </cfRule>
    <cfRule type="notContainsBlanks" dxfId="1127" priority="54">
      <formula>LEN(TRIM(K59))&gt;0</formula>
    </cfRule>
  </conditionalFormatting>
  <conditionalFormatting sqref="K59:P59">
    <cfRule type="containsBlanks" dxfId="1126" priority="55">
      <formula>LEN(TRIM(K59))=0</formula>
    </cfRule>
    <cfRule type="notContainsBlanks" dxfId="1125" priority="56">
      <formula>LEN(TRIM(K59))&gt;0</formula>
    </cfRule>
  </conditionalFormatting>
  <conditionalFormatting sqref="C59:H59">
    <cfRule type="containsBlanks" dxfId="1124" priority="49">
      <formula>LEN(TRIM(C59))=0</formula>
    </cfRule>
    <cfRule type="notContainsBlanks" dxfId="1123" priority="50">
      <formula>LEN(TRIM(C59))&gt;0</formula>
    </cfRule>
  </conditionalFormatting>
  <conditionalFormatting sqref="J63:L63">
    <cfRule type="containsBlanks" dxfId="1122" priority="47">
      <formula>LEN(TRIM(J63))=0</formula>
    </cfRule>
    <cfRule type="notContainsBlanks" dxfId="1121" priority="48">
      <formula>LEN(TRIM(J63))&gt;0</formula>
    </cfRule>
  </conditionalFormatting>
  <conditionalFormatting sqref="J63:L63">
    <cfRule type="containsBlanks" dxfId="1120" priority="45">
      <formula>LEN(TRIM(J63))=0</formula>
    </cfRule>
    <cfRule type="notContainsBlanks" dxfId="1119" priority="46">
      <formula>LEN(TRIM(J63))&gt;0</formula>
    </cfRule>
  </conditionalFormatting>
  <conditionalFormatting sqref="R63:T63">
    <cfRule type="containsBlanks" dxfId="1118" priority="43">
      <formula>LEN(TRIM(R63))=0</formula>
    </cfRule>
    <cfRule type="notContainsBlanks" dxfId="1117" priority="44">
      <formula>LEN(TRIM(R63))&gt;0</formula>
    </cfRule>
  </conditionalFormatting>
  <conditionalFormatting sqref="R63:T63">
    <cfRule type="containsBlanks" dxfId="1116" priority="41">
      <formula>LEN(TRIM(R63))=0</formula>
    </cfRule>
    <cfRule type="notContainsBlanks" dxfId="1115" priority="42">
      <formula>LEN(TRIM(R63))&gt;0</formula>
    </cfRule>
  </conditionalFormatting>
  <conditionalFormatting sqref="Z63:AB63">
    <cfRule type="containsBlanks" dxfId="1114" priority="35">
      <formula>LEN(TRIM(Z63))=0</formula>
    </cfRule>
    <cfRule type="notContainsBlanks" dxfId="1113" priority="36">
      <formula>LEN(TRIM(Z63))&gt;0</formula>
    </cfRule>
    <cfRule type="containsBlanks" dxfId="1112" priority="37">
      <formula>LEN(TRIM(Z63))=0</formula>
    </cfRule>
    <cfRule type="notContainsBlanks" dxfId="1111" priority="38">
      <formula>LEN(TRIM(Z63))&gt;0</formula>
    </cfRule>
    <cfRule type="containsBlanks" dxfId="1110" priority="39">
      <formula>LEN(TRIM(Z63))=0</formula>
    </cfRule>
    <cfRule type="notContainsBlanks" dxfId="1109" priority="40">
      <formula>LEN(TRIM(Z63))&gt;0</formula>
    </cfRule>
  </conditionalFormatting>
  <conditionalFormatting sqref="J42:N42">
    <cfRule type="containsBlanks" dxfId="1108" priority="31">
      <formula>LEN(TRIM(J42))=0</formula>
    </cfRule>
    <cfRule type="notContainsBlanks" dxfId="1107" priority="32">
      <formula>LEN(TRIM(J42))&gt;0</formula>
    </cfRule>
  </conditionalFormatting>
  <conditionalFormatting sqref="J42:N42">
    <cfRule type="containsBlanks" dxfId="1106" priority="33">
      <formula>LEN(TRIM(J42))=0</formula>
    </cfRule>
    <cfRule type="notContainsBlanks" dxfId="1105" priority="34">
      <formula>LEN(TRIM(J42))&gt;0</formula>
    </cfRule>
  </conditionalFormatting>
  <conditionalFormatting sqref="N46:P46">
    <cfRule type="containsBlanks" dxfId="1104" priority="25">
      <formula>LEN(TRIM(N46))=0</formula>
    </cfRule>
    <cfRule type="notContainsBlanks" dxfId="1103" priority="26">
      <formula>LEN(TRIM(N46))&gt;0</formula>
    </cfRule>
    <cfRule type="containsBlanks" dxfId="1102" priority="27">
      <formula>LEN(TRIM(N46))=0</formula>
    </cfRule>
    <cfRule type="notContainsBlanks" dxfId="1101" priority="28">
      <formula>LEN(TRIM(N46))&gt;0</formula>
    </cfRule>
  </conditionalFormatting>
  <conditionalFormatting sqref="N46:P46">
    <cfRule type="containsBlanks" dxfId="1100" priority="29">
      <formula>LEN(TRIM(N46))=0</formula>
    </cfRule>
    <cfRule type="notContainsBlanks" dxfId="1099" priority="30">
      <formula>LEN(TRIM(N46))&gt;0</formula>
    </cfRule>
  </conditionalFormatting>
  <conditionalFormatting sqref="H46">
    <cfRule type="containsBlanks" dxfId="1098" priority="21">
      <formula>LEN(TRIM(H46))=0</formula>
    </cfRule>
    <cfRule type="notContainsBlanks" dxfId="1097" priority="22">
      <formula>LEN(TRIM(H46))&gt;0</formula>
    </cfRule>
  </conditionalFormatting>
  <conditionalFormatting sqref="H46">
    <cfRule type="containsBlanks" dxfId="1096" priority="23">
      <formula>LEN(TRIM(H46))=0</formula>
    </cfRule>
    <cfRule type="notContainsBlanks" dxfId="1095" priority="24">
      <formula>LEN(TRIM(H46))&gt;0</formula>
    </cfRule>
  </conditionalFormatting>
  <conditionalFormatting sqref="E46:F46">
    <cfRule type="containsBlanks" dxfId="1094" priority="17">
      <formula>LEN(TRIM(E46))=0</formula>
    </cfRule>
    <cfRule type="notContainsBlanks" dxfId="1093" priority="18">
      <formula>LEN(TRIM(E46))&gt;0</formula>
    </cfRule>
  </conditionalFormatting>
  <conditionalFormatting sqref="E46:F46">
    <cfRule type="containsBlanks" dxfId="1092" priority="19">
      <formula>LEN(TRIM(E46))=0</formula>
    </cfRule>
    <cfRule type="notContainsBlanks" dxfId="1091" priority="20">
      <formula>LEN(TRIM(E46))&gt;0</formula>
    </cfRule>
  </conditionalFormatting>
  <conditionalFormatting sqref="L50:P50">
    <cfRule type="containsBlanks" dxfId="1090" priority="15">
      <formula>LEN(TRIM(L50))=0</formula>
    </cfRule>
    <cfRule type="notContainsBlanks" dxfId="1089" priority="16">
      <formula>LEN(TRIM(L50))&gt;0</formula>
    </cfRule>
  </conditionalFormatting>
  <conditionalFormatting sqref="H50">
    <cfRule type="containsBlanks" dxfId="1088" priority="13">
      <formula>LEN(TRIM(H50))=0</formula>
    </cfRule>
    <cfRule type="notContainsBlanks" dxfId="1087" priority="14">
      <formula>LEN(TRIM(H50))&gt;0</formula>
    </cfRule>
  </conditionalFormatting>
  <conditionalFormatting sqref="C50:F50">
    <cfRule type="containsBlanks" dxfId="1086" priority="11">
      <formula>LEN(TRIM(C50))=0</formula>
    </cfRule>
    <cfRule type="notContainsBlanks" dxfId="1085" priority="12">
      <formula>LEN(TRIM(C50))&gt;0</formula>
    </cfRule>
  </conditionalFormatting>
  <conditionalFormatting sqref="AH29:AI29">
    <cfRule type="containsBlanks" dxfId="1084" priority="9">
      <formula>LEN(TRIM(AH29))=0</formula>
    </cfRule>
    <cfRule type="notContainsBlanks" dxfId="1083" priority="10">
      <formula>LEN(TRIM(AH29))&gt;0</formula>
    </cfRule>
  </conditionalFormatting>
  <conditionalFormatting sqref="AF21:AG21">
    <cfRule type="containsBlanks" dxfId="1082" priority="7">
      <formula>LEN(TRIM(AF21))=0</formula>
    </cfRule>
    <cfRule type="notContainsBlanks" dxfId="1081" priority="8">
      <formula>LEN(TRIM(AF21))&gt;0</formula>
    </cfRule>
  </conditionalFormatting>
  <conditionalFormatting sqref="J21:K21">
    <cfRule type="containsBlanks" dxfId="1080" priority="5">
      <formula>LEN(TRIM(J21))=0</formula>
    </cfRule>
    <cfRule type="notContainsBlanks" dxfId="1079" priority="6">
      <formula>LEN(TRIM(J21))&gt;0</formula>
    </cfRule>
  </conditionalFormatting>
  <conditionalFormatting sqref="S25:X25">
    <cfRule type="containsBlanks" dxfId="1078" priority="3">
      <formula>LEN(TRIM(S25))=0</formula>
    </cfRule>
    <cfRule type="notContainsBlanks" dxfId="1077" priority="4">
      <formula>LEN(TRIM(S25))&gt;0</formula>
    </cfRule>
  </conditionalFormatting>
  <conditionalFormatting sqref="S29:X29">
    <cfRule type="containsBlanks" dxfId="1076" priority="1">
      <formula>LEN(TRIM(S29))=0</formula>
    </cfRule>
    <cfRule type="notContainsBlanks" dxfId="1075" priority="2">
      <formula>LEN(TRIM(S29))&gt;0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R10:X10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  <x14:conditionalFormatting xmlns:xm="http://schemas.microsoft.com/office/excel/2006/main">
          <x14:cfRule type="dataBar" id="{C036F0D9-554D-4844-A770-7AADC4033AA6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C6:F6</xm:sqref>
        </x14:conditionalFormatting>
        <x14:conditionalFormatting xmlns:xm="http://schemas.microsoft.com/office/excel/2006/main">
          <x14:cfRule type="dataBar" id="{E455C695-BFF4-4CD2-A4E3-08340E78C17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E6:H6 J6:P6</xm:sqref>
        </x14:conditionalFormatting>
        <x14:conditionalFormatting xmlns:xm="http://schemas.microsoft.com/office/excel/2006/main">
          <x14:cfRule type="dataBar" id="{E4F9FE42-AB01-470D-A37F-E67D2602D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G6:H6 J6:P6</xm:sqref>
        </x14:conditionalFormatting>
        <x14:conditionalFormatting xmlns:xm="http://schemas.microsoft.com/office/excel/2006/main">
          <x14:cfRule type="dataBar" id="{1983A7A4-B9C3-402A-B00E-6FDBC8C43826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</xm:sqref>
        </x14:conditionalFormatting>
        <x14:conditionalFormatting xmlns:xm="http://schemas.microsoft.com/office/excel/2006/main">
          <x14:cfRule type="dataBar" id="{8BB7C500-83D3-4393-98C1-6C5F1BC16FA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R6:X6</xm:sqref>
        </x14:conditionalFormatting>
        <x14:conditionalFormatting xmlns:xm="http://schemas.microsoft.com/office/excel/2006/main">
          <x14:cfRule type="dataBar" id="{A9E08FAE-3F7D-4DAC-B9C7-895FCB5DC7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C14:F14</xm:sqref>
        </x14:conditionalFormatting>
        <x14:conditionalFormatting xmlns:xm="http://schemas.microsoft.com/office/excel/2006/main">
          <x14:cfRule type="dataBar" id="{A02696F8-4F4A-40B2-AE82-2C2089E9AA6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E14:H14 J14:P14</xm:sqref>
        </x14:conditionalFormatting>
        <x14:conditionalFormatting xmlns:xm="http://schemas.microsoft.com/office/excel/2006/main">
          <x14:cfRule type="dataBar" id="{02D83114-9448-480F-9B0D-E7E7F25FCD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G14:H14 J14:P14</xm:sqref>
        </x14:conditionalFormatting>
        <x14:conditionalFormatting xmlns:xm="http://schemas.microsoft.com/office/excel/2006/main">
          <x14:cfRule type="dataBar" id="{A279F845-7F3A-4204-BD0F-74FBF3833FD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DCF51B6B-A02F-4E86-B1B1-8E6162097A06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R14:X14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ADBCD-D864-4362-B60F-0D3B0E323A88}">
  <dimension ref="A1:CY234"/>
  <sheetViews>
    <sheetView zoomScale="75" zoomScaleNormal="92" workbookViewId="0">
      <pane xSplit="2" ySplit="13" topLeftCell="AT115" activePane="bottomRight" state="frozen"/>
      <selection pane="topRight" activeCell="C1" sqref="C1"/>
      <selection pane="bottomLeft" activeCell="A14" sqref="A14"/>
      <selection pane="bottomRight" activeCell="BR128" sqref="BR128"/>
    </sheetView>
  </sheetViews>
  <sheetFormatPr defaultRowHeight="15" x14ac:dyDescent="0.25"/>
  <cols>
    <col min="1" max="1" width="13.85546875" customWidth="1"/>
    <col min="5" max="5" width="19.7109375" customWidth="1"/>
    <col min="6" max="6" width="9.42578125" customWidth="1"/>
    <col min="7" max="7" width="16.7109375" bestFit="1" customWidth="1"/>
    <col min="8" max="8" width="8" customWidth="1"/>
    <col min="9" max="9" width="12.28515625" bestFit="1" customWidth="1"/>
    <col min="10" max="844" width="5.7109375" customWidth="1"/>
  </cols>
  <sheetData>
    <row r="1" spans="1:103" ht="18.75" x14ac:dyDescent="0.3">
      <c r="A1" s="126">
        <v>45695</v>
      </c>
      <c r="B1" s="126"/>
      <c r="C1" s="1"/>
      <c r="D1" s="1"/>
    </row>
    <row r="2" spans="1:103" ht="18.75" x14ac:dyDescent="0.3">
      <c r="A2">
        <v>2</v>
      </c>
      <c r="E2" s="2"/>
      <c r="F2" s="2"/>
      <c r="G2" s="2"/>
      <c r="H2" s="2"/>
      <c r="I2" s="2"/>
    </row>
    <row r="3" spans="1:103" ht="18.75" x14ac:dyDescent="0.3">
      <c r="E3" s="2"/>
      <c r="F3" s="2"/>
      <c r="G3" s="2"/>
      <c r="H3" s="2"/>
      <c r="I3" s="2"/>
      <c r="BP3" s="4"/>
      <c r="BQ3" s="4"/>
      <c r="BR3" s="4"/>
      <c r="BS3" s="4"/>
      <c r="BT3" s="4"/>
      <c r="BU3" s="4"/>
      <c r="BV3" s="4"/>
    </row>
    <row r="4" spans="1:103" x14ac:dyDescent="0.25">
      <c r="B4" s="5"/>
      <c r="C4" s="5"/>
      <c r="D4" s="5"/>
      <c r="E4" s="6"/>
      <c r="F4" s="6"/>
      <c r="G4" s="6"/>
      <c r="H4" s="6"/>
      <c r="I4" s="6"/>
      <c r="J4" s="8">
        <v>45962</v>
      </c>
      <c r="K4" s="8">
        <f>J4+1</f>
        <v>45963</v>
      </c>
      <c r="L4" s="7">
        <f t="shared" ref="L4:BV6" si="0">K4+1</f>
        <v>45964</v>
      </c>
      <c r="M4" s="7">
        <f t="shared" si="0"/>
        <v>45965</v>
      </c>
      <c r="N4" s="7">
        <f t="shared" si="0"/>
        <v>45966</v>
      </c>
      <c r="O4" s="7">
        <f t="shared" si="0"/>
        <v>45967</v>
      </c>
      <c r="P4" s="7">
        <f t="shared" si="0"/>
        <v>45968</v>
      </c>
      <c r="Q4" s="8">
        <f t="shared" si="0"/>
        <v>45969</v>
      </c>
      <c r="R4" s="8">
        <f t="shared" si="0"/>
        <v>45970</v>
      </c>
      <c r="S4" s="7">
        <f t="shared" si="0"/>
        <v>45971</v>
      </c>
      <c r="T4" s="7">
        <f t="shared" si="0"/>
        <v>45972</v>
      </c>
      <c r="U4" s="7">
        <f t="shared" si="0"/>
        <v>45973</v>
      </c>
      <c r="V4" s="7">
        <f t="shared" si="0"/>
        <v>45974</v>
      </c>
      <c r="W4" s="7">
        <f t="shared" si="0"/>
        <v>45975</v>
      </c>
      <c r="X4" s="8">
        <f t="shared" si="0"/>
        <v>45976</v>
      </c>
      <c r="Y4" s="8">
        <f t="shared" si="0"/>
        <v>45977</v>
      </c>
      <c r="Z4" s="7">
        <f t="shared" si="0"/>
        <v>45978</v>
      </c>
      <c r="AA4" s="7">
        <f t="shared" si="0"/>
        <v>45979</v>
      </c>
      <c r="AB4" s="7">
        <f t="shared" si="0"/>
        <v>45980</v>
      </c>
      <c r="AC4" s="7">
        <f t="shared" si="0"/>
        <v>45981</v>
      </c>
      <c r="AD4" s="7">
        <f t="shared" si="0"/>
        <v>45982</v>
      </c>
      <c r="AE4" s="8">
        <f t="shared" si="0"/>
        <v>45983</v>
      </c>
      <c r="AF4" s="8">
        <f t="shared" si="0"/>
        <v>45984</v>
      </c>
      <c r="AG4" s="7">
        <f t="shared" si="0"/>
        <v>45985</v>
      </c>
      <c r="AH4" s="7">
        <f t="shared" si="0"/>
        <v>45986</v>
      </c>
      <c r="AI4" s="7">
        <f t="shared" si="0"/>
        <v>45987</v>
      </c>
      <c r="AJ4" s="7">
        <f t="shared" si="0"/>
        <v>45988</v>
      </c>
      <c r="AK4" s="7">
        <f t="shared" si="0"/>
        <v>45989</v>
      </c>
      <c r="AL4" s="8">
        <f t="shared" si="0"/>
        <v>45990</v>
      </c>
      <c r="AM4" s="8">
        <f t="shared" si="0"/>
        <v>45991</v>
      </c>
      <c r="AN4" s="7">
        <f t="shared" si="0"/>
        <v>45992</v>
      </c>
      <c r="AO4" s="7">
        <f t="shared" si="0"/>
        <v>45993</v>
      </c>
      <c r="AP4" s="7">
        <f t="shared" si="0"/>
        <v>45994</v>
      </c>
      <c r="AQ4" s="7">
        <f t="shared" si="0"/>
        <v>45995</v>
      </c>
      <c r="AR4" s="7">
        <f t="shared" si="0"/>
        <v>45996</v>
      </c>
      <c r="AS4" s="8">
        <f t="shared" si="0"/>
        <v>45997</v>
      </c>
      <c r="AT4" s="8">
        <f t="shared" si="0"/>
        <v>45998</v>
      </c>
      <c r="AU4" s="7">
        <f t="shared" si="0"/>
        <v>45999</v>
      </c>
      <c r="AV4" s="7">
        <f t="shared" si="0"/>
        <v>46000</v>
      </c>
      <c r="AW4" s="7">
        <f t="shared" si="0"/>
        <v>46001</v>
      </c>
      <c r="AX4" s="7">
        <f t="shared" si="0"/>
        <v>46002</v>
      </c>
      <c r="AY4" s="7">
        <f t="shared" si="0"/>
        <v>46003</v>
      </c>
      <c r="AZ4" s="8">
        <f t="shared" si="0"/>
        <v>46004</v>
      </c>
      <c r="BA4" s="8">
        <f t="shared" si="0"/>
        <v>46005</v>
      </c>
      <c r="BB4" s="7">
        <f t="shared" si="0"/>
        <v>46006</v>
      </c>
      <c r="BC4" s="7">
        <f t="shared" si="0"/>
        <v>46007</v>
      </c>
      <c r="BD4" s="7">
        <f t="shared" si="0"/>
        <v>46008</v>
      </c>
      <c r="BE4" s="7">
        <f t="shared" si="0"/>
        <v>46009</v>
      </c>
      <c r="BF4" s="7">
        <f t="shared" si="0"/>
        <v>46010</v>
      </c>
      <c r="BG4" s="8">
        <f t="shared" si="0"/>
        <v>46011</v>
      </c>
      <c r="BH4" s="8">
        <f t="shared" si="0"/>
        <v>46012</v>
      </c>
      <c r="BI4" s="7">
        <f t="shared" si="0"/>
        <v>46013</v>
      </c>
      <c r="BJ4" s="7">
        <f t="shared" si="0"/>
        <v>46014</v>
      </c>
      <c r="BK4" s="7">
        <f t="shared" si="0"/>
        <v>46015</v>
      </c>
      <c r="BL4" s="7">
        <f t="shared" si="0"/>
        <v>46016</v>
      </c>
      <c r="BM4" s="7">
        <f t="shared" si="0"/>
        <v>46017</v>
      </c>
      <c r="BN4" s="8">
        <f t="shared" si="0"/>
        <v>46018</v>
      </c>
      <c r="BO4" s="8">
        <f t="shared" si="0"/>
        <v>46019</v>
      </c>
      <c r="BP4" s="7">
        <f t="shared" si="0"/>
        <v>46020</v>
      </c>
      <c r="BQ4" s="7">
        <f t="shared" si="0"/>
        <v>46021</v>
      </c>
      <c r="BR4" s="7">
        <f t="shared" si="0"/>
        <v>46022</v>
      </c>
      <c r="BS4" s="7">
        <f t="shared" si="0"/>
        <v>46023</v>
      </c>
      <c r="BT4" s="7">
        <f t="shared" si="0"/>
        <v>46024</v>
      </c>
      <c r="BU4" s="8">
        <f t="shared" si="0"/>
        <v>46025</v>
      </c>
      <c r="BV4" s="8">
        <f t="shared" si="0"/>
        <v>46026</v>
      </c>
      <c r="BW4" s="7">
        <f t="shared" ref="BW4:CY4" si="1">BV4+1</f>
        <v>46027</v>
      </c>
      <c r="BX4" s="7">
        <f t="shared" si="1"/>
        <v>46028</v>
      </c>
      <c r="BY4" s="7">
        <f t="shared" si="1"/>
        <v>46029</v>
      </c>
      <c r="BZ4" s="7">
        <f t="shared" si="1"/>
        <v>46030</v>
      </c>
      <c r="CA4" s="7">
        <f t="shared" si="1"/>
        <v>46031</v>
      </c>
      <c r="CB4" s="8">
        <f t="shared" si="1"/>
        <v>46032</v>
      </c>
      <c r="CC4" s="8">
        <f t="shared" si="1"/>
        <v>46033</v>
      </c>
      <c r="CD4" s="7">
        <f t="shared" si="1"/>
        <v>46034</v>
      </c>
      <c r="CE4" s="7">
        <f t="shared" si="1"/>
        <v>46035</v>
      </c>
      <c r="CF4" s="7">
        <f t="shared" si="1"/>
        <v>46036</v>
      </c>
      <c r="CG4" s="7">
        <f t="shared" si="1"/>
        <v>46037</v>
      </c>
      <c r="CH4" s="7">
        <f t="shared" si="1"/>
        <v>46038</v>
      </c>
      <c r="CI4" s="8">
        <f t="shared" si="1"/>
        <v>46039</v>
      </c>
      <c r="CJ4" s="8">
        <f t="shared" si="1"/>
        <v>46040</v>
      </c>
      <c r="CK4" s="7">
        <f t="shared" si="1"/>
        <v>46041</v>
      </c>
      <c r="CL4" s="7">
        <f t="shared" si="1"/>
        <v>46042</v>
      </c>
      <c r="CM4" s="7">
        <f t="shared" si="1"/>
        <v>46043</v>
      </c>
      <c r="CN4" s="7">
        <f t="shared" si="1"/>
        <v>46044</v>
      </c>
      <c r="CO4" s="7">
        <f t="shared" si="1"/>
        <v>46045</v>
      </c>
      <c r="CP4" s="8">
        <f t="shared" si="1"/>
        <v>46046</v>
      </c>
      <c r="CQ4" s="8">
        <f t="shared" si="1"/>
        <v>46047</v>
      </c>
      <c r="CR4" s="7">
        <f t="shared" si="1"/>
        <v>46048</v>
      </c>
      <c r="CS4" s="7">
        <f t="shared" si="1"/>
        <v>46049</v>
      </c>
      <c r="CT4" s="7">
        <f t="shared" si="1"/>
        <v>46050</v>
      </c>
      <c r="CU4" s="7">
        <f t="shared" si="1"/>
        <v>46051</v>
      </c>
      <c r="CV4" s="7">
        <f t="shared" si="1"/>
        <v>46052</v>
      </c>
      <c r="CW4" s="8">
        <f t="shared" si="1"/>
        <v>46053</v>
      </c>
      <c r="CX4" s="8">
        <f t="shared" si="1"/>
        <v>46054</v>
      </c>
      <c r="CY4" s="7">
        <f t="shared" si="1"/>
        <v>46055</v>
      </c>
    </row>
    <row r="5" spans="1:103" x14ac:dyDescent="0.25">
      <c r="B5" s="9" t="s">
        <v>0</v>
      </c>
      <c r="C5" s="9" t="s">
        <v>0</v>
      </c>
      <c r="D5" s="9"/>
      <c r="E5" s="9" t="s">
        <v>1</v>
      </c>
      <c r="F5" s="9"/>
      <c r="G5" s="10"/>
      <c r="H5" s="10" t="s">
        <v>546</v>
      </c>
      <c r="I5" s="10" t="s">
        <v>2</v>
      </c>
      <c r="J5" s="11">
        <v>45962</v>
      </c>
      <c r="K5" s="11">
        <f>J5+1</f>
        <v>45963</v>
      </c>
      <c r="L5" s="3">
        <f t="shared" si="0"/>
        <v>45964</v>
      </c>
      <c r="M5" s="3">
        <f t="shared" si="0"/>
        <v>45965</v>
      </c>
      <c r="N5" s="3">
        <f t="shared" si="0"/>
        <v>45966</v>
      </c>
      <c r="O5" s="3">
        <f t="shared" si="0"/>
        <v>45967</v>
      </c>
      <c r="P5" s="3">
        <f t="shared" si="0"/>
        <v>45968</v>
      </c>
      <c r="Q5" s="11">
        <f t="shared" si="0"/>
        <v>45969</v>
      </c>
      <c r="R5" s="11">
        <f t="shared" si="0"/>
        <v>45970</v>
      </c>
      <c r="S5" s="3">
        <f t="shared" si="0"/>
        <v>45971</v>
      </c>
      <c r="T5" s="3">
        <f t="shared" si="0"/>
        <v>45972</v>
      </c>
      <c r="U5" s="3">
        <f t="shared" si="0"/>
        <v>45973</v>
      </c>
      <c r="V5" s="3">
        <f t="shared" si="0"/>
        <v>45974</v>
      </c>
      <c r="W5" s="3">
        <f t="shared" si="0"/>
        <v>45975</v>
      </c>
      <c r="X5" s="11">
        <f t="shared" si="0"/>
        <v>45976</v>
      </c>
      <c r="Y5" s="11">
        <f t="shared" si="0"/>
        <v>45977</v>
      </c>
      <c r="Z5" s="3">
        <f t="shared" si="0"/>
        <v>45978</v>
      </c>
      <c r="AA5" s="3">
        <f t="shared" si="0"/>
        <v>45979</v>
      </c>
      <c r="AB5" s="3">
        <f t="shared" si="0"/>
        <v>45980</v>
      </c>
      <c r="AC5" s="3">
        <f t="shared" si="0"/>
        <v>45981</v>
      </c>
      <c r="AD5" s="3">
        <f t="shared" si="0"/>
        <v>45982</v>
      </c>
      <c r="AE5" s="11">
        <f t="shared" si="0"/>
        <v>45983</v>
      </c>
      <c r="AF5" s="11">
        <f t="shared" si="0"/>
        <v>45984</v>
      </c>
      <c r="AG5" s="3">
        <f t="shared" si="0"/>
        <v>45985</v>
      </c>
      <c r="AH5" s="3">
        <f t="shared" si="0"/>
        <v>45986</v>
      </c>
      <c r="AI5" s="3">
        <f t="shared" si="0"/>
        <v>45987</v>
      </c>
      <c r="AJ5" s="3">
        <f t="shared" si="0"/>
        <v>45988</v>
      </c>
      <c r="AK5" s="3">
        <f t="shared" si="0"/>
        <v>45989</v>
      </c>
      <c r="AL5" s="11">
        <f t="shared" si="0"/>
        <v>45990</v>
      </c>
      <c r="AM5" s="11">
        <f t="shared" si="0"/>
        <v>45991</v>
      </c>
      <c r="AN5" s="3">
        <f t="shared" si="0"/>
        <v>45992</v>
      </c>
      <c r="AO5" s="3">
        <f t="shared" si="0"/>
        <v>45993</v>
      </c>
      <c r="AP5" s="3">
        <f t="shared" si="0"/>
        <v>45994</v>
      </c>
      <c r="AQ5" s="3">
        <f t="shared" si="0"/>
        <v>45995</v>
      </c>
      <c r="AR5" s="3">
        <f t="shared" si="0"/>
        <v>45996</v>
      </c>
      <c r="AS5" s="11">
        <f t="shared" si="0"/>
        <v>45997</v>
      </c>
      <c r="AT5" s="11">
        <f t="shared" si="0"/>
        <v>45998</v>
      </c>
      <c r="AU5" s="3">
        <f t="shared" si="0"/>
        <v>45999</v>
      </c>
      <c r="AV5" s="3">
        <f t="shared" si="0"/>
        <v>46000</v>
      </c>
      <c r="AW5" s="3">
        <f t="shared" si="0"/>
        <v>46001</v>
      </c>
      <c r="AX5" s="3">
        <f t="shared" si="0"/>
        <v>46002</v>
      </c>
      <c r="AY5" s="3">
        <f t="shared" si="0"/>
        <v>46003</v>
      </c>
      <c r="AZ5" s="11">
        <f t="shared" si="0"/>
        <v>46004</v>
      </c>
      <c r="BA5" s="11">
        <f t="shared" si="0"/>
        <v>46005</v>
      </c>
      <c r="BB5" s="3">
        <f t="shared" si="0"/>
        <v>46006</v>
      </c>
      <c r="BC5" s="3">
        <f t="shared" si="0"/>
        <v>46007</v>
      </c>
      <c r="BD5" s="3">
        <f t="shared" si="0"/>
        <v>46008</v>
      </c>
      <c r="BE5" s="3">
        <f t="shared" si="0"/>
        <v>46009</v>
      </c>
      <c r="BF5" s="3">
        <f t="shared" si="0"/>
        <v>46010</v>
      </c>
      <c r="BG5" s="11">
        <f t="shared" si="0"/>
        <v>46011</v>
      </c>
      <c r="BH5" s="11">
        <f t="shared" si="0"/>
        <v>46012</v>
      </c>
      <c r="BI5" s="3">
        <f t="shared" si="0"/>
        <v>46013</v>
      </c>
      <c r="BJ5" s="3">
        <f t="shared" si="0"/>
        <v>46014</v>
      </c>
      <c r="BK5" s="3">
        <f t="shared" si="0"/>
        <v>46015</v>
      </c>
      <c r="BL5" s="3">
        <f t="shared" si="0"/>
        <v>46016</v>
      </c>
      <c r="BM5" s="3">
        <f t="shared" si="0"/>
        <v>46017</v>
      </c>
      <c r="BN5" s="11">
        <f t="shared" si="0"/>
        <v>46018</v>
      </c>
      <c r="BO5" s="11">
        <f t="shared" si="0"/>
        <v>46019</v>
      </c>
      <c r="BP5" s="3">
        <f t="shared" si="0"/>
        <v>46020</v>
      </c>
      <c r="BQ5" s="3">
        <f t="shared" si="0"/>
        <v>46021</v>
      </c>
      <c r="BR5" s="3">
        <f t="shared" si="0"/>
        <v>46022</v>
      </c>
      <c r="BS5" s="3">
        <f t="shared" si="0"/>
        <v>46023</v>
      </c>
      <c r="BT5" s="3">
        <f t="shared" si="0"/>
        <v>46024</v>
      </c>
      <c r="BU5" s="11">
        <f t="shared" ref="BU5:CY5" si="2">BT5+1</f>
        <v>46025</v>
      </c>
      <c r="BV5" s="11">
        <f t="shared" si="2"/>
        <v>46026</v>
      </c>
      <c r="BW5" s="3">
        <f t="shared" si="2"/>
        <v>46027</v>
      </c>
      <c r="BX5" s="3">
        <f t="shared" si="2"/>
        <v>46028</v>
      </c>
      <c r="BY5" s="3">
        <f t="shared" si="2"/>
        <v>46029</v>
      </c>
      <c r="BZ5" s="3">
        <f t="shared" si="2"/>
        <v>46030</v>
      </c>
      <c r="CA5" s="3">
        <f t="shared" si="2"/>
        <v>46031</v>
      </c>
      <c r="CB5" s="11">
        <f t="shared" si="2"/>
        <v>46032</v>
      </c>
      <c r="CC5" s="11">
        <f t="shared" si="2"/>
        <v>46033</v>
      </c>
      <c r="CD5" s="3">
        <f t="shared" si="2"/>
        <v>46034</v>
      </c>
      <c r="CE5" s="3">
        <f t="shared" si="2"/>
        <v>46035</v>
      </c>
      <c r="CF5" s="3">
        <f t="shared" si="2"/>
        <v>46036</v>
      </c>
      <c r="CG5" s="3">
        <f t="shared" si="2"/>
        <v>46037</v>
      </c>
      <c r="CH5" s="3">
        <f t="shared" si="2"/>
        <v>46038</v>
      </c>
      <c r="CI5" s="11">
        <f t="shared" si="2"/>
        <v>46039</v>
      </c>
      <c r="CJ5" s="11">
        <f t="shared" si="2"/>
        <v>46040</v>
      </c>
      <c r="CK5" s="3">
        <f t="shared" si="2"/>
        <v>46041</v>
      </c>
      <c r="CL5" s="3">
        <f t="shared" si="2"/>
        <v>46042</v>
      </c>
      <c r="CM5" s="3">
        <f t="shared" si="2"/>
        <v>46043</v>
      </c>
      <c r="CN5" s="3">
        <f t="shared" si="2"/>
        <v>46044</v>
      </c>
      <c r="CO5" s="3">
        <f t="shared" si="2"/>
        <v>46045</v>
      </c>
      <c r="CP5" s="11">
        <f t="shared" si="2"/>
        <v>46046</v>
      </c>
      <c r="CQ5" s="11">
        <f t="shared" si="2"/>
        <v>46047</v>
      </c>
      <c r="CR5" s="3">
        <f t="shared" si="2"/>
        <v>46048</v>
      </c>
      <c r="CS5" s="3">
        <f t="shared" si="2"/>
        <v>46049</v>
      </c>
      <c r="CT5" s="3">
        <f t="shared" si="2"/>
        <v>46050</v>
      </c>
      <c r="CU5" s="3">
        <f t="shared" si="2"/>
        <v>46051</v>
      </c>
      <c r="CV5" s="3">
        <f t="shared" si="2"/>
        <v>46052</v>
      </c>
      <c r="CW5" s="11">
        <f t="shared" si="2"/>
        <v>46053</v>
      </c>
      <c r="CX5" s="11">
        <f t="shared" si="2"/>
        <v>46054</v>
      </c>
      <c r="CY5" s="3">
        <f t="shared" si="2"/>
        <v>46055</v>
      </c>
    </row>
    <row r="6" spans="1:103" s="12" customFormat="1" x14ac:dyDescent="0.25">
      <c r="B6" s="9"/>
      <c r="C6" s="9"/>
      <c r="D6" s="9"/>
      <c r="E6" s="9"/>
      <c r="F6" s="9"/>
      <c r="G6" s="10"/>
      <c r="H6" s="10" t="s">
        <v>547</v>
      </c>
      <c r="I6" s="10"/>
      <c r="J6" s="14">
        <v>45962</v>
      </c>
      <c r="K6" s="14">
        <f>J6+1</f>
        <v>45963</v>
      </c>
      <c r="L6" s="13">
        <f t="shared" si="0"/>
        <v>45964</v>
      </c>
      <c r="M6" s="13">
        <f t="shared" si="0"/>
        <v>45965</v>
      </c>
      <c r="N6" s="13">
        <f t="shared" si="0"/>
        <v>45966</v>
      </c>
      <c r="O6" s="13">
        <f t="shared" si="0"/>
        <v>45967</v>
      </c>
      <c r="P6" s="13">
        <f t="shared" si="0"/>
        <v>45968</v>
      </c>
      <c r="Q6" s="14">
        <f t="shared" si="0"/>
        <v>45969</v>
      </c>
      <c r="R6" s="14">
        <f t="shared" si="0"/>
        <v>45970</v>
      </c>
      <c r="S6" s="13">
        <f t="shared" si="0"/>
        <v>45971</v>
      </c>
      <c r="T6" s="13">
        <f t="shared" si="0"/>
        <v>45972</v>
      </c>
      <c r="U6" s="13">
        <f t="shared" si="0"/>
        <v>45973</v>
      </c>
      <c r="V6" s="13">
        <f t="shared" si="0"/>
        <v>45974</v>
      </c>
      <c r="W6" s="13">
        <f t="shared" si="0"/>
        <v>45975</v>
      </c>
      <c r="X6" s="14">
        <f t="shared" si="0"/>
        <v>45976</v>
      </c>
      <c r="Y6" s="14">
        <f t="shared" si="0"/>
        <v>45977</v>
      </c>
      <c r="Z6" s="13">
        <f t="shared" si="0"/>
        <v>45978</v>
      </c>
      <c r="AA6" s="13">
        <f t="shared" si="0"/>
        <v>45979</v>
      </c>
      <c r="AB6" s="13">
        <f t="shared" si="0"/>
        <v>45980</v>
      </c>
      <c r="AC6" s="13">
        <f t="shared" si="0"/>
        <v>45981</v>
      </c>
      <c r="AD6" s="13">
        <f t="shared" si="0"/>
        <v>45982</v>
      </c>
      <c r="AE6" s="14">
        <f t="shared" si="0"/>
        <v>45983</v>
      </c>
      <c r="AF6" s="14">
        <f t="shared" si="0"/>
        <v>45984</v>
      </c>
      <c r="AG6" s="13">
        <f t="shared" si="0"/>
        <v>45985</v>
      </c>
      <c r="AH6" s="13">
        <f t="shared" si="0"/>
        <v>45986</v>
      </c>
      <c r="AI6" s="13">
        <f t="shared" si="0"/>
        <v>45987</v>
      </c>
      <c r="AJ6" s="13">
        <f t="shared" si="0"/>
        <v>45988</v>
      </c>
      <c r="AK6" s="13">
        <f t="shared" si="0"/>
        <v>45989</v>
      </c>
      <c r="AL6" s="14">
        <f t="shared" si="0"/>
        <v>45990</v>
      </c>
      <c r="AM6" s="14">
        <f t="shared" si="0"/>
        <v>45991</v>
      </c>
      <c r="AN6" s="13">
        <f t="shared" si="0"/>
        <v>45992</v>
      </c>
      <c r="AO6" s="13">
        <f t="shared" si="0"/>
        <v>45993</v>
      </c>
      <c r="AP6" s="13">
        <f t="shared" si="0"/>
        <v>45994</v>
      </c>
      <c r="AQ6" s="13">
        <f t="shared" si="0"/>
        <v>45995</v>
      </c>
      <c r="AR6" s="13">
        <f t="shared" si="0"/>
        <v>45996</v>
      </c>
      <c r="AS6" s="14">
        <f t="shared" si="0"/>
        <v>45997</v>
      </c>
      <c r="AT6" s="14">
        <f t="shared" si="0"/>
        <v>45998</v>
      </c>
      <c r="AU6" s="13">
        <f t="shared" si="0"/>
        <v>45999</v>
      </c>
      <c r="AV6" s="13">
        <f t="shared" si="0"/>
        <v>46000</v>
      </c>
      <c r="AW6" s="13">
        <f t="shared" si="0"/>
        <v>46001</v>
      </c>
      <c r="AX6" s="13">
        <f t="shared" si="0"/>
        <v>46002</v>
      </c>
      <c r="AY6" s="13">
        <f t="shared" si="0"/>
        <v>46003</v>
      </c>
      <c r="AZ6" s="14">
        <f t="shared" si="0"/>
        <v>46004</v>
      </c>
      <c r="BA6" s="14">
        <f t="shared" si="0"/>
        <v>46005</v>
      </c>
      <c r="BB6" s="13">
        <f t="shared" si="0"/>
        <v>46006</v>
      </c>
      <c r="BC6" s="13">
        <f t="shared" si="0"/>
        <v>46007</v>
      </c>
      <c r="BD6" s="13">
        <f t="shared" si="0"/>
        <v>46008</v>
      </c>
      <c r="BE6" s="13">
        <f t="shared" si="0"/>
        <v>46009</v>
      </c>
      <c r="BF6" s="13">
        <f t="shared" si="0"/>
        <v>46010</v>
      </c>
      <c r="BG6" s="14">
        <f t="shared" si="0"/>
        <v>46011</v>
      </c>
      <c r="BH6" s="14">
        <f t="shared" si="0"/>
        <v>46012</v>
      </c>
      <c r="BI6" s="13">
        <f t="shared" si="0"/>
        <v>46013</v>
      </c>
      <c r="BJ6" s="13">
        <f t="shared" si="0"/>
        <v>46014</v>
      </c>
      <c r="BK6" s="13">
        <f t="shared" si="0"/>
        <v>46015</v>
      </c>
      <c r="BL6" s="13">
        <f t="shared" si="0"/>
        <v>46016</v>
      </c>
      <c r="BM6" s="13">
        <f t="shared" si="0"/>
        <v>46017</v>
      </c>
      <c r="BN6" s="14">
        <f t="shared" si="0"/>
        <v>46018</v>
      </c>
      <c r="BO6" s="14">
        <f t="shared" si="0"/>
        <v>46019</v>
      </c>
      <c r="BP6" s="13">
        <f t="shared" si="0"/>
        <v>46020</v>
      </c>
      <c r="BQ6" s="13">
        <f t="shared" si="0"/>
        <v>46021</v>
      </c>
      <c r="BR6" s="13">
        <f t="shared" si="0"/>
        <v>46022</v>
      </c>
      <c r="BS6" s="13">
        <f t="shared" si="0"/>
        <v>46023</v>
      </c>
      <c r="BT6" s="13">
        <f t="shared" si="0"/>
        <v>46024</v>
      </c>
      <c r="BU6" s="14">
        <f t="shared" ref="BU6:CY6" si="3">BT6+1</f>
        <v>46025</v>
      </c>
      <c r="BV6" s="14">
        <f t="shared" si="3"/>
        <v>46026</v>
      </c>
      <c r="BW6" s="13">
        <f t="shared" si="3"/>
        <v>46027</v>
      </c>
      <c r="BX6" s="13">
        <f t="shared" si="3"/>
        <v>46028</v>
      </c>
      <c r="BY6" s="13">
        <f t="shared" si="3"/>
        <v>46029</v>
      </c>
      <c r="BZ6" s="13">
        <f t="shared" si="3"/>
        <v>46030</v>
      </c>
      <c r="CA6" s="13">
        <f t="shared" si="3"/>
        <v>46031</v>
      </c>
      <c r="CB6" s="14">
        <f t="shared" si="3"/>
        <v>46032</v>
      </c>
      <c r="CC6" s="14">
        <f t="shared" si="3"/>
        <v>46033</v>
      </c>
      <c r="CD6" s="13">
        <f t="shared" si="3"/>
        <v>46034</v>
      </c>
      <c r="CE6" s="13">
        <f t="shared" si="3"/>
        <v>46035</v>
      </c>
      <c r="CF6" s="13">
        <f t="shared" si="3"/>
        <v>46036</v>
      </c>
      <c r="CG6" s="13">
        <f t="shared" si="3"/>
        <v>46037</v>
      </c>
      <c r="CH6" s="13">
        <f t="shared" si="3"/>
        <v>46038</v>
      </c>
      <c r="CI6" s="14">
        <f t="shared" si="3"/>
        <v>46039</v>
      </c>
      <c r="CJ6" s="14">
        <f t="shared" si="3"/>
        <v>46040</v>
      </c>
      <c r="CK6" s="13">
        <f t="shared" si="3"/>
        <v>46041</v>
      </c>
      <c r="CL6" s="13">
        <f t="shared" si="3"/>
        <v>46042</v>
      </c>
      <c r="CM6" s="13">
        <f t="shared" si="3"/>
        <v>46043</v>
      </c>
      <c r="CN6" s="13">
        <f t="shared" si="3"/>
        <v>46044</v>
      </c>
      <c r="CO6" s="13">
        <f t="shared" si="3"/>
        <v>46045</v>
      </c>
      <c r="CP6" s="14">
        <f t="shared" si="3"/>
        <v>46046</v>
      </c>
      <c r="CQ6" s="14">
        <f t="shared" si="3"/>
        <v>46047</v>
      </c>
      <c r="CR6" s="13">
        <f t="shared" si="3"/>
        <v>46048</v>
      </c>
      <c r="CS6" s="13">
        <f t="shared" si="3"/>
        <v>46049</v>
      </c>
      <c r="CT6" s="13">
        <f t="shared" si="3"/>
        <v>46050</v>
      </c>
      <c r="CU6" s="13">
        <f t="shared" si="3"/>
        <v>46051</v>
      </c>
      <c r="CV6" s="13">
        <f t="shared" si="3"/>
        <v>46052</v>
      </c>
      <c r="CW6" s="14">
        <f t="shared" si="3"/>
        <v>46053</v>
      </c>
      <c r="CX6" s="14">
        <f t="shared" si="3"/>
        <v>46054</v>
      </c>
      <c r="CY6" s="13">
        <f t="shared" si="3"/>
        <v>46055</v>
      </c>
    </row>
    <row r="7" spans="1:103" s="12" customFormat="1" ht="16.5" hidden="1" customHeight="1" x14ac:dyDescent="0.25">
      <c r="B7" s="9"/>
      <c r="C7" s="9"/>
      <c r="D7" s="9"/>
      <c r="E7" s="9"/>
      <c r="F7" s="9"/>
      <c r="G7" s="10"/>
      <c r="H7" s="10"/>
      <c r="I7" s="10"/>
    </row>
    <row r="8" spans="1:103" s="16" customFormat="1" ht="16.5" customHeight="1" x14ac:dyDescent="0.25">
      <c r="A8" s="12"/>
      <c r="B8" s="127" t="s">
        <v>3</v>
      </c>
      <c r="C8" s="128"/>
      <c r="D8" s="128"/>
      <c r="E8" s="128"/>
      <c r="F8" s="128"/>
      <c r="G8" s="128"/>
      <c r="H8" s="128"/>
      <c r="I8" s="128"/>
      <c r="J8" s="15">
        <f t="shared" ref="J8:AO8" si="4">SUM(J14:J1972)</f>
        <v>0</v>
      </c>
      <c r="K8" s="15">
        <f t="shared" si="4"/>
        <v>0</v>
      </c>
      <c r="L8" s="15">
        <f t="shared" si="4"/>
        <v>0</v>
      </c>
      <c r="M8" s="15">
        <f t="shared" si="4"/>
        <v>0</v>
      </c>
      <c r="N8" s="15">
        <f t="shared" si="4"/>
        <v>0</v>
      </c>
      <c r="O8" s="15">
        <f t="shared" si="4"/>
        <v>0</v>
      </c>
      <c r="P8" s="15">
        <f t="shared" si="4"/>
        <v>0</v>
      </c>
      <c r="Q8" s="15">
        <f t="shared" si="4"/>
        <v>0</v>
      </c>
      <c r="R8" s="15">
        <f t="shared" si="4"/>
        <v>0</v>
      </c>
      <c r="S8" s="15">
        <f t="shared" si="4"/>
        <v>0</v>
      </c>
      <c r="T8" s="15">
        <f t="shared" si="4"/>
        <v>0</v>
      </c>
      <c r="U8" s="15">
        <f t="shared" si="4"/>
        <v>0</v>
      </c>
      <c r="V8" s="15">
        <f t="shared" si="4"/>
        <v>0</v>
      </c>
      <c r="W8" s="15">
        <f t="shared" si="4"/>
        <v>0</v>
      </c>
      <c r="X8" s="15">
        <f t="shared" si="4"/>
        <v>0</v>
      </c>
      <c r="Y8" s="15">
        <f t="shared" si="4"/>
        <v>0</v>
      </c>
      <c r="Z8" s="15">
        <f t="shared" si="4"/>
        <v>0</v>
      </c>
      <c r="AA8" s="15">
        <f t="shared" si="4"/>
        <v>0</v>
      </c>
      <c r="AB8" s="15">
        <f t="shared" si="4"/>
        <v>0</v>
      </c>
      <c r="AC8" s="15">
        <f t="shared" si="4"/>
        <v>0</v>
      </c>
      <c r="AD8" s="15">
        <f t="shared" si="4"/>
        <v>0</v>
      </c>
      <c r="AE8" s="15">
        <f t="shared" si="4"/>
        <v>0</v>
      </c>
      <c r="AF8" s="15">
        <f t="shared" si="4"/>
        <v>0</v>
      </c>
      <c r="AG8" s="15">
        <f t="shared" si="4"/>
        <v>119</v>
      </c>
      <c r="AH8" s="15">
        <f t="shared" si="4"/>
        <v>119</v>
      </c>
      <c r="AI8" s="15">
        <f t="shared" si="4"/>
        <v>119</v>
      </c>
      <c r="AJ8" s="15">
        <f t="shared" si="4"/>
        <v>119</v>
      </c>
      <c r="AK8" s="15">
        <f t="shared" si="4"/>
        <v>119</v>
      </c>
      <c r="AL8" s="15">
        <f t="shared" si="4"/>
        <v>119</v>
      </c>
      <c r="AM8" s="15">
        <f t="shared" si="4"/>
        <v>119</v>
      </c>
      <c r="AN8" s="15">
        <f t="shared" si="4"/>
        <v>119</v>
      </c>
      <c r="AO8" s="15">
        <f t="shared" si="4"/>
        <v>119</v>
      </c>
      <c r="AP8" s="15">
        <f t="shared" ref="AP8:BP8" si="5">SUM(AP14:AP1972)</f>
        <v>119</v>
      </c>
      <c r="AQ8" s="15">
        <f t="shared" si="5"/>
        <v>119</v>
      </c>
      <c r="AR8" s="15">
        <f t="shared" si="5"/>
        <v>119</v>
      </c>
      <c r="AS8" s="15">
        <f t="shared" si="5"/>
        <v>119</v>
      </c>
      <c r="AT8" s="15">
        <f t="shared" si="5"/>
        <v>119</v>
      </c>
      <c r="AU8" s="15">
        <f t="shared" si="5"/>
        <v>136</v>
      </c>
      <c r="AV8" s="15">
        <f t="shared" si="5"/>
        <v>119</v>
      </c>
      <c r="AW8" s="15">
        <f t="shared" si="5"/>
        <v>119</v>
      </c>
      <c r="AX8" s="15">
        <f t="shared" si="5"/>
        <v>153</v>
      </c>
      <c r="AY8" s="15">
        <f t="shared" si="5"/>
        <v>119</v>
      </c>
      <c r="AZ8" s="15">
        <f t="shared" si="5"/>
        <v>119</v>
      </c>
      <c r="BA8" s="15">
        <f t="shared" si="5"/>
        <v>119</v>
      </c>
      <c r="BB8" s="15">
        <f t="shared" si="5"/>
        <v>119</v>
      </c>
      <c r="BC8" s="15">
        <f t="shared" si="5"/>
        <v>119</v>
      </c>
      <c r="BD8" s="15">
        <f t="shared" si="5"/>
        <v>119</v>
      </c>
      <c r="BE8" s="15">
        <f t="shared" si="5"/>
        <v>119</v>
      </c>
      <c r="BF8" s="15">
        <f t="shared" si="5"/>
        <v>136</v>
      </c>
      <c r="BG8" s="15">
        <f t="shared" si="5"/>
        <v>119</v>
      </c>
      <c r="BH8" s="15">
        <f t="shared" si="5"/>
        <v>119</v>
      </c>
      <c r="BI8" s="15">
        <f t="shared" si="5"/>
        <v>119</v>
      </c>
      <c r="BJ8" s="15">
        <f t="shared" si="5"/>
        <v>119</v>
      </c>
      <c r="BK8" s="15">
        <f t="shared" si="5"/>
        <v>119</v>
      </c>
      <c r="BL8" s="15">
        <f t="shared" si="5"/>
        <v>0</v>
      </c>
      <c r="BM8" s="15">
        <f t="shared" si="5"/>
        <v>153</v>
      </c>
      <c r="BN8" s="15">
        <f t="shared" si="5"/>
        <v>170</v>
      </c>
      <c r="BO8" s="15">
        <f t="shared" si="5"/>
        <v>119</v>
      </c>
      <c r="BP8" s="15">
        <f t="shared" si="5"/>
        <v>119</v>
      </c>
      <c r="BQ8" s="15">
        <f t="shared" ref="BQ8:CS8" si="6">SUM(BQ14:BQ1972)</f>
        <v>153</v>
      </c>
      <c r="BR8" s="15">
        <f t="shared" si="6"/>
        <v>119</v>
      </c>
      <c r="BS8" s="15">
        <f t="shared" si="6"/>
        <v>119</v>
      </c>
      <c r="BT8" s="15">
        <f t="shared" si="6"/>
        <v>119</v>
      </c>
      <c r="BU8" s="15">
        <f t="shared" si="6"/>
        <v>119</v>
      </c>
      <c r="BV8" s="15">
        <f t="shared" si="6"/>
        <v>119</v>
      </c>
      <c r="BW8" s="15">
        <f t="shared" si="6"/>
        <v>119</v>
      </c>
      <c r="BX8" s="15">
        <f t="shared" si="6"/>
        <v>136</v>
      </c>
      <c r="BY8" s="15">
        <f t="shared" si="6"/>
        <v>119</v>
      </c>
      <c r="BZ8" s="15">
        <f t="shared" si="6"/>
        <v>119</v>
      </c>
      <c r="CA8" s="15">
        <f t="shared" si="6"/>
        <v>119</v>
      </c>
      <c r="CB8" s="15">
        <f t="shared" si="6"/>
        <v>119</v>
      </c>
      <c r="CC8" s="15">
        <f t="shared" si="6"/>
        <v>119</v>
      </c>
      <c r="CD8" s="15">
        <f t="shared" si="6"/>
        <v>119</v>
      </c>
      <c r="CE8" s="15">
        <f t="shared" si="6"/>
        <v>119</v>
      </c>
      <c r="CF8" s="15">
        <f t="shared" si="6"/>
        <v>119</v>
      </c>
      <c r="CG8" s="15">
        <f t="shared" si="6"/>
        <v>119</v>
      </c>
      <c r="CH8" s="15">
        <f t="shared" si="6"/>
        <v>119</v>
      </c>
      <c r="CI8" s="15">
        <f t="shared" si="6"/>
        <v>119</v>
      </c>
      <c r="CJ8" s="15">
        <f t="shared" si="6"/>
        <v>119</v>
      </c>
      <c r="CK8" s="15">
        <f t="shared" si="6"/>
        <v>119</v>
      </c>
      <c r="CL8" s="15">
        <f t="shared" si="6"/>
        <v>119</v>
      </c>
      <c r="CM8" s="15">
        <f t="shared" si="6"/>
        <v>119</v>
      </c>
      <c r="CN8" s="15">
        <f t="shared" si="6"/>
        <v>119</v>
      </c>
      <c r="CO8" s="15">
        <f t="shared" si="6"/>
        <v>0</v>
      </c>
      <c r="CP8" s="15">
        <f t="shared" si="6"/>
        <v>0</v>
      </c>
      <c r="CQ8" s="15">
        <f t="shared" si="6"/>
        <v>0</v>
      </c>
      <c r="CR8" s="15">
        <f t="shared" si="6"/>
        <v>0</v>
      </c>
      <c r="CS8" s="15">
        <f t="shared" si="6"/>
        <v>0</v>
      </c>
    </row>
    <row r="9" spans="1:103" s="18" customFormat="1" ht="16.5" customHeight="1" x14ac:dyDescent="0.25">
      <c r="A9" s="12"/>
      <c r="B9" s="129" t="s">
        <v>4</v>
      </c>
      <c r="C9" s="130"/>
      <c r="D9" s="130"/>
      <c r="E9" s="130"/>
      <c r="F9" s="130"/>
      <c r="G9" s="130"/>
      <c r="H9" s="130"/>
      <c r="I9" s="130"/>
      <c r="J9" s="17">
        <f t="shared" ref="J9:AO9" si="7">COUNTIF(J14:J1972,"T")</f>
        <v>7</v>
      </c>
      <c r="K9" s="17">
        <f t="shared" si="7"/>
        <v>7</v>
      </c>
      <c r="L9" s="17">
        <f t="shared" si="7"/>
        <v>7</v>
      </c>
      <c r="M9" s="17">
        <f t="shared" si="7"/>
        <v>7</v>
      </c>
      <c r="N9" s="17">
        <f t="shared" si="7"/>
        <v>7</v>
      </c>
      <c r="O9" s="17">
        <f t="shared" si="7"/>
        <v>7</v>
      </c>
      <c r="P9" s="17">
        <f t="shared" si="7"/>
        <v>7</v>
      </c>
      <c r="Q9" s="17">
        <f t="shared" si="7"/>
        <v>7</v>
      </c>
      <c r="R9" s="17">
        <f t="shared" si="7"/>
        <v>7</v>
      </c>
      <c r="S9" s="17">
        <f t="shared" si="7"/>
        <v>7</v>
      </c>
      <c r="T9" s="17">
        <f t="shared" si="7"/>
        <v>7</v>
      </c>
      <c r="U9" s="17">
        <f t="shared" si="7"/>
        <v>7</v>
      </c>
      <c r="V9" s="17">
        <f t="shared" si="7"/>
        <v>7</v>
      </c>
      <c r="W9" s="17">
        <f t="shared" si="7"/>
        <v>7</v>
      </c>
      <c r="X9" s="17">
        <f t="shared" si="7"/>
        <v>8</v>
      </c>
      <c r="Y9" s="17">
        <f t="shared" si="7"/>
        <v>7</v>
      </c>
      <c r="Z9" s="17">
        <f t="shared" si="7"/>
        <v>7</v>
      </c>
      <c r="AA9" s="17">
        <f t="shared" si="7"/>
        <v>9</v>
      </c>
      <c r="AB9" s="17">
        <f t="shared" si="7"/>
        <v>7</v>
      </c>
      <c r="AC9" s="17">
        <f t="shared" si="7"/>
        <v>7</v>
      </c>
      <c r="AD9" s="17">
        <f t="shared" si="7"/>
        <v>7</v>
      </c>
      <c r="AE9" s="17">
        <f t="shared" si="7"/>
        <v>7</v>
      </c>
      <c r="AF9" s="17">
        <f t="shared" si="7"/>
        <v>7</v>
      </c>
      <c r="AG9" s="17">
        <f t="shared" si="7"/>
        <v>7</v>
      </c>
      <c r="AH9" s="17">
        <f t="shared" si="7"/>
        <v>7</v>
      </c>
      <c r="AI9" s="17">
        <f t="shared" si="7"/>
        <v>8</v>
      </c>
      <c r="AJ9" s="17">
        <f t="shared" si="7"/>
        <v>7</v>
      </c>
      <c r="AK9" s="17">
        <f t="shared" si="7"/>
        <v>7</v>
      </c>
      <c r="AL9" s="17">
        <f t="shared" si="7"/>
        <v>7</v>
      </c>
      <c r="AM9" s="17">
        <f t="shared" si="7"/>
        <v>7</v>
      </c>
      <c r="AN9" s="17">
        <f t="shared" si="7"/>
        <v>7</v>
      </c>
      <c r="AO9" s="17">
        <f t="shared" si="7"/>
        <v>0</v>
      </c>
      <c r="AP9" s="17">
        <f t="shared" ref="AP9:BP9" si="8">COUNTIF(AP14:AP1972,"T")</f>
        <v>9</v>
      </c>
      <c r="AQ9" s="17">
        <f t="shared" si="8"/>
        <v>10</v>
      </c>
      <c r="AR9" s="17">
        <f t="shared" si="8"/>
        <v>7</v>
      </c>
      <c r="AS9" s="17">
        <f t="shared" si="8"/>
        <v>7</v>
      </c>
      <c r="AT9" s="17">
        <f t="shared" si="8"/>
        <v>9</v>
      </c>
      <c r="AU9" s="17">
        <f t="shared" si="8"/>
        <v>7</v>
      </c>
      <c r="AV9" s="17">
        <f t="shared" si="8"/>
        <v>7</v>
      </c>
      <c r="AW9" s="17">
        <f t="shared" si="8"/>
        <v>7</v>
      </c>
      <c r="AX9" s="17">
        <f t="shared" si="8"/>
        <v>7</v>
      </c>
      <c r="AY9" s="17">
        <f t="shared" si="8"/>
        <v>7</v>
      </c>
      <c r="AZ9" s="17">
        <f t="shared" si="8"/>
        <v>7</v>
      </c>
      <c r="BA9" s="17">
        <f t="shared" si="8"/>
        <v>8</v>
      </c>
      <c r="BB9" s="17">
        <f t="shared" si="8"/>
        <v>7</v>
      </c>
      <c r="BC9" s="17">
        <f t="shared" si="8"/>
        <v>7</v>
      </c>
      <c r="BD9" s="17">
        <f t="shared" si="8"/>
        <v>7</v>
      </c>
      <c r="BE9" s="17">
        <f t="shared" si="8"/>
        <v>7</v>
      </c>
      <c r="BF9" s="17">
        <f t="shared" si="8"/>
        <v>7</v>
      </c>
      <c r="BG9" s="17">
        <f t="shared" si="8"/>
        <v>7</v>
      </c>
      <c r="BH9" s="17">
        <f t="shared" si="8"/>
        <v>7</v>
      </c>
      <c r="BI9" s="17">
        <f t="shared" si="8"/>
        <v>7</v>
      </c>
      <c r="BJ9" s="17">
        <f t="shared" si="8"/>
        <v>7</v>
      </c>
      <c r="BK9" s="17">
        <f t="shared" si="8"/>
        <v>7</v>
      </c>
      <c r="BL9" s="17">
        <f t="shared" si="8"/>
        <v>7</v>
      </c>
      <c r="BM9" s="17">
        <f t="shared" si="8"/>
        <v>7</v>
      </c>
      <c r="BN9" s="17">
        <f t="shared" si="8"/>
        <v>7</v>
      </c>
      <c r="BO9" s="17">
        <f t="shared" si="8"/>
        <v>7</v>
      </c>
      <c r="BP9" s="17">
        <f t="shared" si="8"/>
        <v>7</v>
      </c>
      <c r="BQ9" s="17">
        <f t="shared" ref="BQ9:CS9" si="9">COUNTIF(BQ14:BQ1972,"T")</f>
        <v>7</v>
      </c>
      <c r="BR9" s="17">
        <f t="shared" si="9"/>
        <v>0</v>
      </c>
      <c r="BS9" s="17">
        <f t="shared" si="9"/>
        <v>0</v>
      </c>
      <c r="BT9" s="17">
        <f t="shared" si="9"/>
        <v>0</v>
      </c>
      <c r="BU9" s="17">
        <f t="shared" si="9"/>
        <v>0</v>
      </c>
      <c r="BV9" s="17">
        <f t="shared" si="9"/>
        <v>0</v>
      </c>
      <c r="BW9" s="17">
        <f t="shared" si="9"/>
        <v>0</v>
      </c>
      <c r="BX9" s="17">
        <f t="shared" si="9"/>
        <v>0</v>
      </c>
      <c r="BY9" s="17">
        <f t="shared" si="9"/>
        <v>0</v>
      </c>
      <c r="BZ9" s="17">
        <f t="shared" si="9"/>
        <v>0</v>
      </c>
      <c r="CA9" s="17">
        <f t="shared" si="9"/>
        <v>0</v>
      </c>
      <c r="CB9" s="17">
        <f t="shared" si="9"/>
        <v>0</v>
      </c>
      <c r="CC9" s="17">
        <f t="shared" si="9"/>
        <v>0</v>
      </c>
      <c r="CD9" s="17">
        <f t="shared" si="9"/>
        <v>0</v>
      </c>
      <c r="CE9" s="17">
        <f t="shared" si="9"/>
        <v>0</v>
      </c>
      <c r="CF9" s="17">
        <f t="shared" si="9"/>
        <v>0</v>
      </c>
      <c r="CG9" s="17">
        <f t="shared" si="9"/>
        <v>0</v>
      </c>
      <c r="CH9" s="17">
        <f t="shared" si="9"/>
        <v>0</v>
      </c>
      <c r="CI9" s="17">
        <f t="shared" si="9"/>
        <v>0</v>
      </c>
      <c r="CJ9" s="17">
        <f t="shared" si="9"/>
        <v>0</v>
      </c>
      <c r="CK9" s="17">
        <f t="shared" si="9"/>
        <v>0</v>
      </c>
      <c r="CL9" s="17">
        <f t="shared" si="9"/>
        <v>0</v>
      </c>
      <c r="CM9" s="17">
        <f t="shared" si="9"/>
        <v>0</v>
      </c>
      <c r="CN9" s="17">
        <f t="shared" si="9"/>
        <v>0</v>
      </c>
      <c r="CO9" s="17">
        <f t="shared" si="9"/>
        <v>0</v>
      </c>
      <c r="CP9" s="17">
        <f t="shared" si="9"/>
        <v>0</v>
      </c>
      <c r="CQ9" s="17">
        <f t="shared" si="9"/>
        <v>0</v>
      </c>
      <c r="CR9" s="17">
        <f t="shared" si="9"/>
        <v>0</v>
      </c>
      <c r="CS9" s="17">
        <f t="shared" si="9"/>
        <v>0</v>
      </c>
    </row>
    <row r="10" spans="1:103" s="20" customFormat="1" ht="16.5" customHeight="1" x14ac:dyDescent="0.25">
      <c r="A10" s="12"/>
      <c r="B10" s="131" t="s">
        <v>5</v>
      </c>
      <c r="C10" s="132"/>
      <c r="D10" s="132"/>
      <c r="E10" s="132"/>
      <c r="F10" s="132"/>
      <c r="G10" s="132"/>
      <c r="H10" s="132"/>
      <c r="I10" s="132"/>
      <c r="J10" s="19">
        <f t="shared" ref="J10:AO10" si="10">COUNTIF(J14:J1972,"P1")+COUNTIF(J14:J1972,"P2")+COUNTIF(J14:J1972,"P3")</f>
        <v>0</v>
      </c>
      <c r="K10" s="19">
        <f t="shared" si="10"/>
        <v>0</v>
      </c>
      <c r="L10" s="19">
        <f t="shared" si="10"/>
        <v>0</v>
      </c>
      <c r="M10" s="19">
        <f t="shared" si="10"/>
        <v>0</v>
      </c>
      <c r="N10" s="19">
        <f t="shared" si="10"/>
        <v>0</v>
      </c>
      <c r="O10" s="19">
        <f t="shared" si="10"/>
        <v>0</v>
      </c>
      <c r="P10" s="19">
        <f t="shared" si="10"/>
        <v>0</v>
      </c>
      <c r="Q10" s="19">
        <f t="shared" si="10"/>
        <v>7</v>
      </c>
      <c r="R10" s="19">
        <f t="shared" si="10"/>
        <v>7</v>
      </c>
      <c r="S10" s="19">
        <f t="shared" si="10"/>
        <v>7</v>
      </c>
      <c r="T10" s="19">
        <f t="shared" si="10"/>
        <v>7</v>
      </c>
      <c r="U10" s="19">
        <f t="shared" si="10"/>
        <v>7</v>
      </c>
      <c r="V10" s="19">
        <f t="shared" si="10"/>
        <v>7</v>
      </c>
      <c r="W10" s="19">
        <f t="shared" si="10"/>
        <v>7</v>
      </c>
      <c r="X10" s="19">
        <f t="shared" si="10"/>
        <v>14</v>
      </c>
      <c r="Y10" s="19">
        <f t="shared" si="10"/>
        <v>14</v>
      </c>
      <c r="Z10" s="19">
        <f t="shared" si="10"/>
        <v>14</v>
      </c>
      <c r="AA10" s="19">
        <f t="shared" si="10"/>
        <v>14</v>
      </c>
      <c r="AB10" s="19">
        <f t="shared" si="10"/>
        <v>14</v>
      </c>
      <c r="AC10" s="19">
        <f t="shared" si="10"/>
        <v>14</v>
      </c>
      <c r="AD10" s="19">
        <f t="shared" si="10"/>
        <v>21</v>
      </c>
      <c r="AE10" s="19">
        <f t="shared" si="10"/>
        <v>22</v>
      </c>
      <c r="AF10" s="19">
        <f t="shared" si="10"/>
        <v>21</v>
      </c>
      <c r="AG10" s="19">
        <f t="shared" si="10"/>
        <v>21</v>
      </c>
      <c r="AH10" s="19">
        <f t="shared" si="10"/>
        <v>23</v>
      </c>
      <c r="AI10" s="19">
        <f t="shared" si="10"/>
        <v>21</v>
      </c>
      <c r="AJ10" s="19">
        <f t="shared" si="10"/>
        <v>21</v>
      </c>
      <c r="AK10" s="19">
        <f t="shared" si="10"/>
        <v>21</v>
      </c>
      <c r="AL10" s="19">
        <f t="shared" si="10"/>
        <v>22</v>
      </c>
      <c r="AM10" s="19">
        <f t="shared" si="10"/>
        <v>21</v>
      </c>
      <c r="AN10" s="19">
        <f t="shared" si="10"/>
        <v>21</v>
      </c>
      <c r="AO10" s="19">
        <f t="shared" si="10"/>
        <v>23</v>
      </c>
      <c r="AP10" s="19">
        <f t="shared" ref="AP10:BP10" si="11">COUNTIF(AP14:AP1972,"P1")+COUNTIF(AP14:AP1972,"P2")+COUNTIF(AP14:AP1972,"P3")</f>
        <v>22</v>
      </c>
      <c r="AQ10" s="19">
        <f t="shared" si="11"/>
        <v>21</v>
      </c>
      <c r="AR10" s="19">
        <f t="shared" si="11"/>
        <v>22</v>
      </c>
      <c r="AS10" s="19">
        <f t="shared" si="11"/>
        <v>21</v>
      </c>
      <c r="AT10" s="19">
        <f t="shared" si="11"/>
        <v>21</v>
      </c>
      <c r="AU10" s="19">
        <f t="shared" si="11"/>
        <v>23</v>
      </c>
      <c r="AV10" s="19">
        <f t="shared" si="11"/>
        <v>14</v>
      </c>
      <c r="AW10" s="19">
        <f t="shared" si="11"/>
        <v>24</v>
      </c>
      <c r="AX10" s="19">
        <f t="shared" si="11"/>
        <v>24</v>
      </c>
      <c r="AY10" s="19">
        <f t="shared" si="11"/>
        <v>21</v>
      </c>
      <c r="AZ10" s="19">
        <f t="shared" si="11"/>
        <v>21</v>
      </c>
      <c r="BA10" s="19">
        <f t="shared" si="11"/>
        <v>23</v>
      </c>
      <c r="BB10" s="19">
        <f t="shared" si="11"/>
        <v>21</v>
      </c>
      <c r="BC10" s="19">
        <f t="shared" si="11"/>
        <v>15</v>
      </c>
      <c r="BD10" s="19">
        <f t="shared" si="11"/>
        <v>23</v>
      </c>
      <c r="BE10" s="19">
        <f t="shared" si="11"/>
        <v>24</v>
      </c>
      <c r="BF10" s="19">
        <f t="shared" si="11"/>
        <v>21</v>
      </c>
      <c r="BG10" s="19">
        <f t="shared" si="11"/>
        <v>21</v>
      </c>
      <c r="BH10" s="19">
        <f t="shared" si="11"/>
        <v>24</v>
      </c>
      <c r="BI10" s="19">
        <f t="shared" si="11"/>
        <v>14</v>
      </c>
      <c r="BJ10" s="19">
        <f t="shared" si="11"/>
        <v>23</v>
      </c>
      <c r="BK10" s="19">
        <f t="shared" si="11"/>
        <v>24</v>
      </c>
      <c r="BL10" s="19">
        <f t="shared" si="11"/>
        <v>21</v>
      </c>
      <c r="BM10" s="19">
        <f t="shared" si="11"/>
        <v>21</v>
      </c>
      <c r="BN10" s="19">
        <f t="shared" si="11"/>
        <v>23</v>
      </c>
      <c r="BO10" s="19">
        <f t="shared" si="11"/>
        <v>22</v>
      </c>
      <c r="BP10" s="19">
        <f t="shared" si="11"/>
        <v>21</v>
      </c>
      <c r="BQ10" s="19">
        <f t="shared" ref="BQ10:CS10" si="12">COUNTIF(BQ14:BQ1972,"P1")+COUNTIF(BQ14:BQ1972,"P2")+COUNTIF(BQ14:BQ1972,"P3")</f>
        <v>21</v>
      </c>
      <c r="BR10" s="19">
        <f t="shared" si="12"/>
        <v>21</v>
      </c>
      <c r="BS10" s="19">
        <f t="shared" si="12"/>
        <v>21</v>
      </c>
      <c r="BT10" s="19">
        <f t="shared" si="12"/>
        <v>21</v>
      </c>
      <c r="BU10" s="19">
        <f t="shared" si="12"/>
        <v>22</v>
      </c>
      <c r="BV10" s="19">
        <f t="shared" si="12"/>
        <v>21</v>
      </c>
      <c r="BW10" s="19">
        <f t="shared" si="12"/>
        <v>21</v>
      </c>
      <c r="BX10" s="19">
        <f t="shared" si="12"/>
        <v>21</v>
      </c>
      <c r="BY10" s="19">
        <f t="shared" si="12"/>
        <v>14</v>
      </c>
      <c r="BZ10" s="19">
        <f t="shared" si="12"/>
        <v>14</v>
      </c>
      <c r="CA10" s="19">
        <f t="shared" si="12"/>
        <v>14</v>
      </c>
      <c r="CB10" s="19">
        <f t="shared" si="12"/>
        <v>14</v>
      </c>
      <c r="CC10" s="19">
        <f t="shared" si="12"/>
        <v>14</v>
      </c>
      <c r="CD10" s="19">
        <f t="shared" si="12"/>
        <v>14</v>
      </c>
      <c r="CE10" s="19">
        <f t="shared" si="12"/>
        <v>14</v>
      </c>
      <c r="CF10" s="19">
        <f t="shared" si="12"/>
        <v>7</v>
      </c>
      <c r="CG10" s="19">
        <f t="shared" si="12"/>
        <v>7</v>
      </c>
      <c r="CH10" s="19">
        <f t="shared" si="12"/>
        <v>7</v>
      </c>
      <c r="CI10" s="19">
        <f t="shared" si="12"/>
        <v>7</v>
      </c>
      <c r="CJ10" s="19">
        <f t="shared" si="12"/>
        <v>7</v>
      </c>
      <c r="CK10" s="19">
        <f t="shared" si="12"/>
        <v>7</v>
      </c>
      <c r="CL10" s="19">
        <f t="shared" si="12"/>
        <v>0</v>
      </c>
      <c r="CM10" s="19">
        <f t="shared" si="12"/>
        <v>0</v>
      </c>
      <c r="CN10" s="19">
        <f t="shared" si="12"/>
        <v>0</v>
      </c>
      <c r="CO10" s="19">
        <f t="shared" si="12"/>
        <v>0</v>
      </c>
      <c r="CP10" s="19">
        <f t="shared" si="12"/>
        <v>0</v>
      </c>
      <c r="CQ10" s="19">
        <f t="shared" si="12"/>
        <v>0</v>
      </c>
      <c r="CR10" s="19">
        <f t="shared" si="12"/>
        <v>0</v>
      </c>
      <c r="CS10" s="19">
        <f t="shared" si="12"/>
        <v>0</v>
      </c>
    </row>
    <row r="11" spans="1:103" s="22" customFormat="1" ht="16.5" customHeight="1" x14ac:dyDescent="0.25">
      <c r="A11" s="12"/>
      <c r="B11" s="133" t="s">
        <v>6</v>
      </c>
      <c r="C11" s="134"/>
      <c r="D11" s="134"/>
      <c r="E11" s="134"/>
      <c r="F11" s="134"/>
      <c r="G11" s="134"/>
      <c r="H11" s="134"/>
      <c r="I11" s="134"/>
      <c r="J11" s="21">
        <f t="shared" ref="J11:AO11" si="13">COUNTIF(J14:J1972,"C1")+COUNTIF(J14:J1972,"C2")</f>
        <v>0</v>
      </c>
      <c r="K11" s="21">
        <f t="shared" si="13"/>
        <v>0</v>
      </c>
      <c r="L11" s="21">
        <f t="shared" si="13"/>
        <v>0</v>
      </c>
      <c r="M11" s="21">
        <f t="shared" si="13"/>
        <v>0</v>
      </c>
      <c r="N11" s="21">
        <f t="shared" si="13"/>
        <v>0</v>
      </c>
      <c r="O11" s="21">
        <f t="shared" si="13"/>
        <v>0</v>
      </c>
      <c r="P11" s="21">
        <f t="shared" si="13"/>
        <v>0</v>
      </c>
      <c r="Q11" s="21">
        <f t="shared" si="13"/>
        <v>0</v>
      </c>
      <c r="R11" s="21">
        <f t="shared" si="13"/>
        <v>7</v>
      </c>
      <c r="S11" s="21">
        <f t="shared" si="13"/>
        <v>7</v>
      </c>
      <c r="T11" s="21">
        <f t="shared" si="13"/>
        <v>7</v>
      </c>
      <c r="U11" s="21">
        <f t="shared" si="13"/>
        <v>7</v>
      </c>
      <c r="V11" s="21">
        <f t="shared" si="13"/>
        <v>7</v>
      </c>
      <c r="W11" s="21">
        <f t="shared" si="13"/>
        <v>7</v>
      </c>
      <c r="X11" s="21">
        <f t="shared" si="13"/>
        <v>7</v>
      </c>
      <c r="Y11" s="21">
        <f t="shared" si="13"/>
        <v>14</v>
      </c>
      <c r="Z11" s="21">
        <f t="shared" si="13"/>
        <v>14</v>
      </c>
      <c r="AA11" s="21">
        <f t="shared" si="13"/>
        <v>14</v>
      </c>
      <c r="AB11" s="21">
        <f t="shared" si="13"/>
        <v>14</v>
      </c>
      <c r="AC11" s="21">
        <f t="shared" si="13"/>
        <v>14</v>
      </c>
      <c r="AD11" s="21">
        <f t="shared" si="13"/>
        <v>14</v>
      </c>
      <c r="AE11" s="21">
        <f t="shared" si="13"/>
        <v>14</v>
      </c>
      <c r="AF11" s="21">
        <f t="shared" si="13"/>
        <v>15</v>
      </c>
      <c r="AG11" s="21">
        <f t="shared" si="13"/>
        <v>14</v>
      </c>
      <c r="AH11" s="21">
        <f t="shared" si="13"/>
        <v>14</v>
      </c>
      <c r="AI11" s="21">
        <f t="shared" si="13"/>
        <v>16</v>
      </c>
      <c r="AJ11" s="21">
        <f t="shared" si="13"/>
        <v>14</v>
      </c>
      <c r="AK11" s="21">
        <f t="shared" si="13"/>
        <v>14</v>
      </c>
      <c r="AL11" s="21">
        <f t="shared" si="13"/>
        <v>14</v>
      </c>
      <c r="AM11" s="21">
        <f t="shared" si="13"/>
        <v>15</v>
      </c>
      <c r="AN11" s="21">
        <f t="shared" si="13"/>
        <v>14</v>
      </c>
      <c r="AO11" s="21">
        <f t="shared" si="13"/>
        <v>14</v>
      </c>
      <c r="AP11" s="21">
        <f t="shared" ref="AP11:BP11" si="14">COUNTIF(AP14:AP1972,"C1")+COUNTIF(AP14:AP1972,"C2")</f>
        <v>16</v>
      </c>
      <c r="AQ11" s="21">
        <f t="shared" si="14"/>
        <v>15</v>
      </c>
      <c r="AR11" s="21">
        <f t="shared" si="14"/>
        <v>14</v>
      </c>
      <c r="AS11" s="21">
        <f t="shared" si="14"/>
        <v>14</v>
      </c>
      <c r="AT11" s="21">
        <f t="shared" si="14"/>
        <v>14</v>
      </c>
      <c r="AU11" s="21">
        <f t="shared" si="14"/>
        <v>14</v>
      </c>
      <c r="AV11" s="21">
        <f t="shared" si="14"/>
        <v>14</v>
      </c>
      <c r="AW11" s="21">
        <f t="shared" si="14"/>
        <v>7</v>
      </c>
      <c r="AX11" s="21">
        <f t="shared" si="14"/>
        <v>17</v>
      </c>
      <c r="AY11" s="21">
        <f t="shared" si="14"/>
        <v>17</v>
      </c>
      <c r="AZ11" s="21">
        <f t="shared" si="14"/>
        <v>14</v>
      </c>
      <c r="BA11" s="21">
        <f t="shared" si="14"/>
        <v>14</v>
      </c>
      <c r="BB11" s="21">
        <f t="shared" si="14"/>
        <v>16</v>
      </c>
      <c r="BC11" s="21">
        <f t="shared" si="14"/>
        <v>14</v>
      </c>
      <c r="BD11" s="21">
        <f t="shared" si="14"/>
        <v>7</v>
      </c>
      <c r="BE11" s="21">
        <f t="shared" si="14"/>
        <v>16</v>
      </c>
      <c r="BF11" s="21">
        <f t="shared" si="14"/>
        <v>17</v>
      </c>
      <c r="BG11" s="21">
        <f t="shared" si="14"/>
        <v>14</v>
      </c>
      <c r="BH11" s="21">
        <f t="shared" si="14"/>
        <v>14</v>
      </c>
      <c r="BI11" s="21">
        <f t="shared" si="14"/>
        <v>17</v>
      </c>
      <c r="BJ11" s="21">
        <f t="shared" si="14"/>
        <v>14</v>
      </c>
      <c r="BK11" s="21">
        <f t="shared" si="14"/>
        <v>14</v>
      </c>
      <c r="BL11" s="21">
        <f t="shared" si="14"/>
        <v>14</v>
      </c>
      <c r="BM11" s="21">
        <f t="shared" si="14"/>
        <v>14</v>
      </c>
      <c r="BN11" s="21">
        <f t="shared" si="14"/>
        <v>14</v>
      </c>
      <c r="BO11" s="21">
        <f t="shared" si="14"/>
        <v>14</v>
      </c>
      <c r="BP11" s="21">
        <f t="shared" si="14"/>
        <v>15</v>
      </c>
      <c r="BQ11" s="21">
        <f t="shared" ref="BQ11:CS11" si="15">COUNTIF(BQ14:BQ1972,"C1")+COUNTIF(BQ14:BQ1972,"C2")</f>
        <v>14</v>
      </c>
      <c r="BR11" s="21">
        <f t="shared" si="15"/>
        <v>14</v>
      </c>
      <c r="BS11" s="21">
        <f t="shared" si="15"/>
        <v>14</v>
      </c>
      <c r="BT11" s="21">
        <f t="shared" si="15"/>
        <v>14</v>
      </c>
      <c r="BU11" s="21">
        <f t="shared" si="15"/>
        <v>14</v>
      </c>
      <c r="BV11" s="21">
        <f t="shared" si="15"/>
        <v>14</v>
      </c>
      <c r="BW11" s="21">
        <f t="shared" si="15"/>
        <v>14</v>
      </c>
      <c r="BX11" s="21">
        <f t="shared" si="15"/>
        <v>14</v>
      </c>
      <c r="BY11" s="21">
        <f t="shared" si="15"/>
        <v>14</v>
      </c>
      <c r="BZ11" s="21">
        <f t="shared" si="15"/>
        <v>7</v>
      </c>
      <c r="CA11" s="21">
        <f t="shared" si="15"/>
        <v>7</v>
      </c>
      <c r="CB11" s="21">
        <f t="shared" si="15"/>
        <v>7</v>
      </c>
      <c r="CC11" s="21">
        <f t="shared" si="15"/>
        <v>7</v>
      </c>
      <c r="CD11" s="21">
        <f t="shared" si="15"/>
        <v>7</v>
      </c>
      <c r="CE11" s="21">
        <f t="shared" si="15"/>
        <v>7</v>
      </c>
      <c r="CF11" s="21">
        <f t="shared" si="15"/>
        <v>7</v>
      </c>
      <c r="CG11" s="21">
        <f t="shared" si="15"/>
        <v>0</v>
      </c>
      <c r="CH11" s="21">
        <f t="shared" si="15"/>
        <v>0</v>
      </c>
      <c r="CI11" s="21">
        <f t="shared" si="15"/>
        <v>0</v>
      </c>
      <c r="CJ11" s="21">
        <f t="shared" si="15"/>
        <v>0</v>
      </c>
      <c r="CK11" s="21">
        <f t="shared" si="15"/>
        <v>0</v>
      </c>
      <c r="CL11" s="21">
        <f t="shared" si="15"/>
        <v>0</v>
      </c>
      <c r="CM11" s="21">
        <f t="shared" si="15"/>
        <v>0</v>
      </c>
      <c r="CN11" s="21">
        <f t="shared" si="15"/>
        <v>0</v>
      </c>
      <c r="CO11" s="21">
        <f t="shared" si="15"/>
        <v>0</v>
      </c>
      <c r="CP11" s="21">
        <f t="shared" si="15"/>
        <v>0</v>
      </c>
      <c r="CQ11" s="21">
        <f t="shared" si="15"/>
        <v>0</v>
      </c>
      <c r="CR11" s="21">
        <f t="shared" si="15"/>
        <v>0</v>
      </c>
      <c r="CS11" s="21">
        <f t="shared" si="15"/>
        <v>0</v>
      </c>
    </row>
    <row r="12" spans="1:103" s="24" customFormat="1" ht="16.5" hidden="1" customHeight="1" x14ac:dyDescent="0.25">
      <c r="A12" s="12"/>
      <c r="B12" s="124" t="s">
        <v>7</v>
      </c>
      <c r="C12" s="125"/>
      <c r="D12" s="125"/>
      <c r="E12" s="125"/>
      <c r="F12" s="125"/>
      <c r="G12" s="125"/>
      <c r="H12" s="125"/>
      <c r="I12" s="125"/>
      <c r="J12" s="23">
        <f t="shared" ref="J12:AO12" si="16">COUNTIF(J15:J1972,"")</f>
        <v>1951</v>
      </c>
      <c r="K12" s="23">
        <f t="shared" si="16"/>
        <v>1951</v>
      </c>
      <c r="L12" s="23">
        <f t="shared" si="16"/>
        <v>1951</v>
      </c>
      <c r="M12" s="23">
        <f t="shared" si="16"/>
        <v>1951</v>
      </c>
      <c r="N12" s="23">
        <f t="shared" si="16"/>
        <v>1951</v>
      </c>
      <c r="O12" s="23">
        <f t="shared" si="16"/>
        <v>1951</v>
      </c>
      <c r="P12" s="23">
        <f t="shared" si="16"/>
        <v>1951</v>
      </c>
      <c r="Q12" s="23">
        <f t="shared" si="16"/>
        <v>1944</v>
      </c>
      <c r="R12" s="23">
        <f t="shared" si="16"/>
        <v>1937</v>
      </c>
      <c r="S12" s="23">
        <f t="shared" si="16"/>
        <v>1937</v>
      </c>
      <c r="T12" s="23">
        <f t="shared" si="16"/>
        <v>1937</v>
      </c>
      <c r="U12" s="23">
        <f t="shared" si="16"/>
        <v>1937</v>
      </c>
      <c r="V12" s="23">
        <f t="shared" si="16"/>
        <v>1937</v>
      </c>
      <c r="W12" s="23">
        <f t="shared" si="16"/>
        <v>1937</v>
      </c>
      <c r="X12" s="23">
        <f t="shared" si="16"/>
        <v>1929</v>
      </c>
      <c r="Y12" s="23">
        <f t="shared" si="16"/>
        <v>1923</v>
      </c>
      <c r="Z12" s="23">
        <f t="shared" si="16"/>
        <v>1923</v>
      </c>
      <c r="AA12" s="23">
        <f t="shared" si="16"/>
        <v>1921</v>
      </c>
      <c r="AB12" s="23">
        <f t="shared" si="16"/>
        <v>1923</v>
      </c>
      <c r="AC12" s="23">
        <f t="shared" si="16"/>
        <v>1924</v>
      </c>
      <c r="AD12" s="23">
        <f t="shared" si="16"/>
        <v>1916</v>
      </c>
      <c r="AE12" s="23">
        <f t="shared" si="16"/>
        <v>1915</v>
      </c>
      <c r="AF12" s="23">
        <f t="shared" si="16"/>
        <v>1915</v>
      </c>
      <c r="AG12" s="23">
        <f t="shared" si="16"/>
        <v>1909</v>
      </c>
      <c r="AH12" s="23">
        <f t="shared" si="16"/>
        <v>1907</v>
      </c>
      <c r="AI12" s="23">
        <f t="shared" si="16"/>
        <v>1906</v>
      </c>
      <c r="AJ12" s="23">
        <f t="shared" si="16"/>
        <v>1910</v>
      </c>
      <c r="AK12" s="23">
        <f t="shared" si="16"/>
        <v>1910</v>
      </c>
      <c r="AL12" s="23">
        <f t="shared" si="16"/>
        <v>1908</v>
      </c>
      <c r="AM12" s="23">
        <f t="shared" si="16"/>
        <v>1908</v>
      </c>
      <c r="AN12" s="23">
        <f t="shared" si="16"/>
        <v>1909</v>
      </c>
      <c r="AO12" s="23">
        <f t="shared" si="16"/>
        <v>1914</v>
      </c>
      <c r="AP12" s="23">
        <f t="shared" ref="AP12:BQ12" si="17">COUNTIF(AP15:AP1972,"")</f>
        <v>1904</v>
      </c>
      <c r="AQ12" s="23">
        <f t="shared" si="17"/>
        <v>1906</v>
      </c>
      <c r="AR12" s="23">
        <f t="shared" si="17"/>
        <v>1909</v>
      </c>
      <c r="AS12" s="23">
        <f t="shared" si="17"/>
        <v>1909</v>
      </c>
      <c r="AT12" s="23">
        <f t="shared" si="17"/>
        <v>1907</v>
      </c>
      <c r="AU12" s="23">
        <f t="shared" si="17"/>
        <v>1906</v>
      </c>
      <c r="AV12" s="23">
        <f t="shared" si="17"/>
        <v>1916</v>
      </c>
      <c r="AW12" s="23">
        <f t="shared" si="17"/>
        <v>1914</v>
      </c>
      <c r="AX12" s="23">
        <f t="shared" si="17"/>
        <v>1901</v>
      </c>
      <c r="AY12" s="23">
        <f t="shared" si="17"/>
        <v>1906</v>
      </c>
      <c r="AZ12" s="23">
        <f t="shared" si="17"/>
        <v>1910</v>
      </c>
      <c r="BA12" s="23">
        <f t="shared" si="17"/>
        <v>1906</v>
      </c>
      <c r="BB12" s="23">
        <f t="shared" si="17"/>
        <v>1907</v>
      </c>
      <c r="BC12" s="23">
        <f t="shared" si="17"/>
        <v>1915</v>
      </c>
      <c r="BD12" s="23">
        <f t="shared" si="17"/>
        <v>1914</v>
      </c>
      <c r="BE12" s="23">
        <f t="shared" si="17"/>
        <v>1905</v>
      </c>
      <c r="BF12" s="23">
        <f t="shared" si="17"/>
        <v>1905</v>
      </c>
      <c r="BG12" s="23">
        <f t="shared" si="17"/>
        <v>1909</v>
      </c>
      <c r="BH12" s="23">
        <f t="shared" si="17"/>
        <v>1906</v>
      </c>
      <c r="BI12" s="23">
        <f t="shared" si="17"/>
        <v>1913</v>
      </c>
      <c r="BJ12" s="23">
        <f t="shared" si="17"/>
        <v>1907</v>
      </c>
      <c r="BK12" s="23">
        <f t="shared" si="17"/>
        <v>1906</v>
      </c>
      <c r="BL12" s="23">
        <f t="shared" si="17"/>
        <v>1917</v>
      </c>
      <c r="BM12" s="23">
        <f t="shared" si="17"/>
        <v>1908</v>
      </c>
      <c r="BN12" s="23">
        <f t="shared" si="17"/>
        <v>1904</v>
      </c>
      <c r="BO12" s="23">
        <f t="shared" si="17"/>
        <v>1908</v>
      </c>
      <c r="BP12" s="23">
        <f t="shared" si="17"/>
        <v>1908</v>
      </c>
      <c r="BQ12" s="23">
        <f t="shared" si="17"/>
        <v>1907</v>
      </c>
      <c r="BR12" s="23">
        <f>COUNTIF(BR33:BR1972,"")</f>
        <v>1898</v>
      </c>
      <c r="BS12" s="23">
        <f>COUNTIF(BS28:BS1972,"")</f>
        <v>1910</v>
      </c>
    </row>
    <row r="13" spans="1:103" s="24" customFormat="1" ht="16.5" customHeight="1" x14ac:dyDescent="0.25">
      <c r="A13" s="12"/>
      <c r="B13" s="12"/>
      <c r="C13" s="12"/>
      <c r="D13" s="12"/>
      <c r="E13" s="12"/>
      <c r="F13" s="12"/>
      <c r="G13" s="12"/>
      <c r="H13" s="12"/>
      <c r="I13" s="12"/>
    </row>
    <row r="14" spans="1:103" s="34" customFormat="1" ht="16.5" customHeight="1" x14ac:dyDescent="0.25">
      <c r="A14" s="25" t="s">
        <v>8</v>
      </c>
      <c r="B14" s="25" t="s">
        <v>166</v>
      </c>
      <c r="C14" s="25" t="s">
        <v>311</v>
      </c>
      <c r="D14" s="25">
        <v>1</v>
      </c>
      <c r="E14" s="35" cm="1">
        <f t="array" ref="E14">IFERROR(INDEX($J$5:$AVX$5, _xlfn.AGGREGATE(15,6, COLUMN(J14:AVX14)-COLUMN(J14)+1 / (J14:AVX14="T"), F14)), "")</f>
        <v>46009</v>
      </c>
      <c r="F14" s="74">
        <f t="shared" ref="F14:F77" si="18">$A$2</f>
        <v>2</v>
      </c>
      <c r="G14" s="35" cm="1">
        <f t="array" ref="G14">IFERROR(INDEX($J$5:$AVW$5,_xlfn.AGGREGATE(14,6,(COLUMN($J14:$AVW14)-COLUMN($J14)+1)/($J14:$AVW14="T"),1)),"")</f>
        <v>46009</v>
      </c>
      <c r="H14" s="77">
        <f t="shared" ref="H14:H77" si="19">COUNTIF($J14:$AVV14,"T")</f>
        <v>2</v>
      </c>
      <c r="I14" s="26" t="s">
        <v>10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25" t="s">
        <v>12</v>
      </c>
      <c r="AD14" s="27"/>
      <c r="AE14" s="27"/>
      <c r="AF14" s="27"/>
      <c r="AG14" s="28"/>
      <c r="AH14" s="27"/>
      <c r="AI14" s="27"/>
      <c r="AJ14" s="29" t="s">
        <v>16</v>
      </c>
      <c r="AK14" s="30" t="s">
        <v>13</v>
      </c>
      <c r="AL14" s="27"/>
      <c r="AM14" s="27"/>
      <c r="AN14" s="28"/>
      <c r="AO14" s="27"/>
      <c r="AP14" s="27"/>
      <c r="AQ14" s="32" t="s">
        <v>14</v>
      </c>
      <c r="AR14" s="30" t="s">
        <v>11</v>
      </c>
      <c r="AS14" s="27"/>
      <c r="AT14" s="27"/>
      <c r="AU14" s="28"/>
      <c r="AV14" s="27"/>
      <c r="AW14" s="29" t="s">
        <v>15</v>
      </c>
      <c r="AX14" s="27"/>
      <c r="AY14" s="27"/>
      <c r="AZ14" s="25">
        <v>17</v>
      </c>
      <c r="BA14" s="33"/>
      <c r="BB14" s="33"/>
      <c r="BC14" s="33"/>
      <c r="BD14" s="33"/>
      <c r="BE14" s="25" t="s">
        <v>12</v>
      </c>
      <c r="BF14" s="27"/>
      <c r="BG14" s="27"/>
      <c r="BH14" s="27"/>
      <c r="BI14" s="28"/>
      <c r="BJ14" s="27"/>
      <c r="BK14" s="27"/>
      <c r="BL14" s="29" t="s">
        <v>16</v>
      </c>
      <c r="BM14" s="30" t="s">
        <v>13</v>
      </c>
      <c r="BN14" s="27"/>
      <c r="BO14" s="27"/>
      <c r="BP14" s="28"/>
      <c r="BQ14" s="27"/>
      <c r="BR14" s="27"/>
      <c r="BS14" s="32" t="s">
        <v>14</v>
      </c>
      <c r="BT14" s="30" t="s">
        <v>11</v>
      </c>
      <c r="BU14" s="27"/>
      <c r="BV14" s="27"/>
      <c r="BW14" s="28"/>
      <c r="BX14" s="27"/>
      <c r="BY14" s="29" t="s">
        <v>15</v>
      </c>
      <c r="BZ14" s="27"/>
      <c r="CA14" s="27"/>
      <c r="CB14" s="25">
        <v>17</v>
      </c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</row>
    <row r="15" spans="1:103" x14ac:dyDescent="0.25">
      <c r="A15" s="33" t="s">
        <v>8</v>
      </c>
      <c r="B15" s="33" t="s">
        <v>167</v>
      </c>
      <c r="C15" s="25" t="s">
        <v>312</v>
      </c>
      <c r="D15" s="25">
        <v>2</v>
      </c>
      <c r="E15" s="35" cm="1">
        <f t="array" ref="E15">IFERROR(INDEX($J$5:$AVX$5, _xlfn.AGGREGATE(15,6, COLUMN(J15:AVX15)-COLUMN(J15)+1 / (J15:AVX15="T"), F15)), "")</f>
        <v>46009</v>
      </c>
      <c r="F15" s="74">
        <f t="shared" si="18"/>
        <v>2</v>
      </c>
      <c r="G15" s="35" cm="1">
        <f t="array" ref="G15">IFERROR(INDEX($J$5:$AVW$5,_xlfn.AGGREGATE(14,6,(COLUMN($J15:$AVW15)-COLUMN($J15)+1)/($J15:$AVW15="T"),1)),"")</f>
        <v>46009</v>
      </c>
      <c r="H15" s="77">
        <f t="shared" si="19"/>
        <v>2</v>
      </c>
      <c r="I15" s="36" t="s">
        <v>10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25" t="s">
        <v>12</v>
      </c>
      <c r="AD15" s="27"/>
      <c r="AE15" s="27"/>
      <c r="AF15" s="27"/>
      <c r="AG15" s="28"/>
      <c r="AH15" s="27"/>
      <c r="AI15" s="27"/>
      <c r="AJ15" s="29" t="s">
        <v>16</v>
      </c>
      <c r="AK15" s="30" t="s">
        <v>13</v>
      </c>
      <c r="AL15" s="27"/>
      <c r="AM15" s="27"/>
      <c r="AN15" s="28"/>
      <c r="AO15" s="27"/>
      <c r="AP15" s="27"/>
      <c r="AQ15" s="29" t="s">
        <v>14</v>
      </c>
      <c r="AR15" s="30" t="s">
        <v>11</v>
      </c>
      <c r="AS15" s="37"/>
      <c r="AT15" s="27"/>
      <c r="AU15" s="28"/>
      <c r="AV15" s="27"/>
      <c r="AW15" s="29" t="s">
        <v>15</v>
      </c>
      <c r="AX15" s="27"/>
      <c r="AY15" s="27"/>
      <c r="AZ15" s="25">
        <v>17</v>
      </c>
      <c r="BA15" s="33"/>
      <c r="BB15" s="33"/>
      <c r="BC15" s="33"/>
      <c r="BD15" s="33"/>
      <c r="BE15" s="25" t="s">
        <v>12</v>
      </c>
      <c r="BF15" s="27"/>
      <c r="BG15" s="27"/>
      <c r="BH15" s="27"/>
      <c r="BI15" s="28"/>
      <c r="BJ15" s="27"/>
      <c r="BK15" s="27"/>
      <c r="BL15" s="29" t="s">
        <v>16</v>
      </c>
      <c r="BM15" s="30" t="s">
        <v>13</v>
      </c>
      <c r="BN15" s="27"/>
      <c r="BO15" s="27"/>
      <c r="BP15" s="28"/>
      <c r="BQ15" s="27"/>
      <c r="BR15" s="27"/>
      <c r="BS15" s="29" t="s">
        <v>14</v>
      </c>
      <c r="BT15" s="30" t="s">
        <v>11</v>
      </c>
      <c r="BU15" s="37"/>
      <c r="BV15" s="27"/>
      <c r="BW15" s="28"/>
      <c r="BX15" s="27"/>
      <c r="BY15" s="29" t="s">
        <v>15</v>
      </c>
      <c r="BZ15" s="27"/>
      <c r="CA15" s="27"/>
      <c r="CB15" s="25">
        <v>17</v>
      </c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</row>
    <row r="16" spans="1:103" x14ac:dyDescent="0.25">
      <c r="A16" s="25" t="s">
        <v>8</v>
      </c>
      <c r="B16" s="25" t="s">
        <v>168</v>
      </c>
      <c r="C16" s="25" t="s">
        <v>313</v>
      </c>
      <c r="D16" s="25">
        <v>3</v>
      </c>
      <c r="E16" s="35" cm="1">
        <f t="array" ref="E16">IFERROR(INDEX($J$5:$AVX$5, _xlfn.AGGREGATE(15,6, COLUMN(J16:AVX16)-COLUMN(J16)+1 / (J16:AVX16="T"), F16)), "")</f>
        <v>46009</v>
      </c>
      <c r="F16" s="74">
        <f t="shared" si="18"/>
        <v>2</v>
      </c>
      <c r="G16" s="35" cm="1">
        <f t="array" ref="G16">IFERROR(INDEX($J$5:$AVW$5,_xlfn.AGGREGATE(14,6,(COLUMN($J16:$AVW16)-COLUMN($J16)+1)/($J16:$AVW16="T"),1)),"")</f>
        <v>46009</v>
      </c>
      <c r="H16" s="77">
        <f t="shared" si="19"/>
        <v>2</v>
      </c>
      <c r="I16" s="38" t="s">
        <v>10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25" t="s">
        <v>12</v>
      </c>
      <c r="AD16" s="27"/>
      <c r="AE16" s="27"/>
      <c r="AF16" s="27"/>
      <c r="AG16" s="28"/>
      <c r="AH16" s="27"/>
      <c r="AI16" s="27"/>
      <c r="AJ16" s="29" t="s">
        <v>16</v>
      </c>
      <c r="AK16" s="30" t="s">
        <v>13</v>
      </c>
      <c r="AL16" s="27"/>
      <c r="AM16" s="27"/>
      <c r="AN16" s="28"/>
      <c r="AO16" s="27"/>
      <c r="AP16" s="27"/>
      <c r="AQ16" s="29" t="s">
        <v>14</v>
      </c>
      <c r="AR16" s="30" t="s">
        <v>11</v>
      </c>
      <c r="AS16" s="37"/>
      <c r="AT16" s="27"/>
      <c r="AU16" s="28"/>
      <c r="AV16" s="27"/>
      <c r="AW16" s="29" t="s">
        <v>15</v>
      </c>
      <c r="AX16" s="27"/>
      <c r="AY16" s="27"/>
      <c r="AZ16" s="25">
        <v>17</v>
      </c>
      <c r="BA16" s="33"/>
      <c r="BB16" s="33"/>
      <c r="BC16" s="33"/>
      <c r="BD16" s="33"/>
      <c r="BE16" s="25" t="s">
        <v>12</v>
      </c>
      <c r="BF16" s="27"/>
      <c r="BG16" s="27"/>
      <c r="BH16" s="27"/>
      <c r="BI16" s="28"/>
      <c r="BJ16" s="27"/>
      <c r="BK16" s="27"/>
      <c r="BL16" s="29" t="s">
        <v>16</v>
      </c>
      <c r="BM16" s="30" t="s">
        <v>13</v>
      </c>
      <c r="BN16" s="27"/>
      <c r="BO16" s="27"/>
      <c r="BP16" s="28"/>
      <c r="BQ16" s="27"/>
      <c r="BR16" s="27"/>
      <c r="BS16" s="29" t="s">
        <v>14</v>
      </c>
      <c r="BT16" s="30" t="s">
        <v>11</v>
      </c>
      <c r="BU16" s="37"/>
      <c r="BV16" s="27"/>
      <c r="BW16" s="28"/>
      <c r="BX16" s="27"/>
      <c r="BY16" s="29" t="s">
        <v>15</v>
      </c>
      <c r="BZ16" s="27"/>
      <c r="CA16" s="27"/>
      <c r="CB16" s="25">
        <v>17</v>
      </c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</row>
    <row r="17" spans="1:94" x14ac:dyDescent="0.25">
      <c r="A17" s="25" t="s">
        <v>8</v>
      </c>
      <c r="B17" s="25" t="s">
        <v>169</v>
      </c>
      <c r="C17" s="25" t="s">
        <v>314</v>
      </c>
      <c r="D17" s="25">
        <v>4</v>
      </c>
      <c r="E17" s="35" cm="1">
        <f t="array" ref="E17">IFERROR(INDEX($J$5:$AVX$5, _xlfn.AGGREGATE(15,6, COLUMN(J17:AVX17)-COLUMN(J17)+1 / (J17:AVX17="T"), F17)), "")</f>
        <v>46009</v>
      </c>
      <c r="F17" s="74">
        <f t="shared" si="18"/>
        <v>2</v>
      </c>
      <c r="G17" s="35" cm="1">
        <f t="array" ref="G17">IFERROR(INDEX($J$5:$AVW$5,_xlfn.AGGREGATE(14,6,(COLUMN($J17:$AVW17)-COLUMN($J17)+1)/($J17:$AVW17="T"),1)),"")</f>
        <v>46009</v>
      </c>
      <c r="H17" s="77">
        <f t="shared" si="19"/>
        <v>2</v>
      </c>
      <c r="I17" s="38" t="s">
        <v>10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25" t="s">
        <v>12</v>
      </c>
      <c r="AD17" s="27"/>
      <c r="AE17" s="27"/>
      <c r="AF17" s="27"/>
      <c r="AG17" s="28"/>
      <c r="AH17" s="27"/>
      <c r="AI17" s="27"/>
      <c r="AJ17" s="29" t="s">
        <v>16</v>
      </c>
      <c r="AK17" s="30" t="s">
        <v>13</v>
      </c>
      <c r="AL17" s="27"/>
      <c r="AM17" s="27"/>
      <c r="AN17" s="28"/>
      <c r="AO17" s="27"/>
      <c r="AP17" s="27"/>
      <c r="AQ17" s="29" t="s">
        <v>14</v>
      </c>
      <c r="AR17" s="30" t="s">
        <v>11</v>
      </c>
      <c r="AS17" s="37"/>
      <c r="AT17" s="27"/>
      <c r="AU17" s="28"/>
      <c r="AV17" s="27"/>
      <c r="AW17" s="29" t="s">
        <v>15</v>
      </c>
      <c r="AX17" s="27"/>
      <c r="AY17" s="27"/>
      <c r="AZ17" s="25">
        <v>17</v>
      </c>
      <c r="BA17" s="33"/>
      <c r="BB17" s="33"/>
      <c r="BC17" s="33"/>
      <c r="BD17" s="33"/>
      <c r="BE17" s="25" t="s">
        <v>12</v>
      </c>
      <c r="BF17" s="27"/>
      <c r="BG17" s="27"/>
      <c r="BH17" s="27"/>
      <c r="BI17" s="28"/>
      <c r="BJ17" s="27"/>
      <c r="BK17" s="27"/>
      <c r="BL17" s="29" t="s">
        <v>16</v>
      </c>
      <c r="BM17" s="30" t="s">
        <v>13</v>
      </c>
      <c r="BN17" s="27"/>
      <c r="BO17" s="27"/>
      <c r="BP17" s="28"/>
      <c r="BQ17" s="27"/>
      <c r="BR17" s="27"/>
      <c r="BS17" s="29" t="s">
        <v>14</v>
      </c>
      <c r="BT17" s="30" t="s">
        <v>11</v>
      </c>
      <c r="BU17" s="37"/>
      <c r="BV17" s="27"/>
      <c r="BW17" s="28"/>
      <c r="BX17" s="27"/>
      <c r="BY17" s="29" t="s">
        <v>15</v>
      </c>
      <c r="BZ17" s="27"/>
      <c r="CA17" s="27"/>
      <c r="CB17" s="25">
        <v>17</v>
      </c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</row>
    <row r="18" spans="1:94" x14ac:dyDescent="0.25">
      <c r="A18" s="25" t="s">
        <v>8</v>
      </c>
      <c r="B18" s="25" t="s">
        <v>170</v>
      </c>
      <c r="C18" s="25" t="s">
        <v>315</v>
      </c>
      <c r="D18" s="25">
        <v>5</v>
      </c>
      <c r="E18" s="35" cm="1">
        <f t="array" ref="E18">IFERROR(INDEX($J$5:$AVX$5, _xlfn.AGGREGATE(15,6, COLUMN(J18:AVX18)-COLUMN(J18)+1 / (J18:AVX18="T"), F18)), "")</f>
        <v>46009</v>
      </c>
      <c r="F18" s="74">
        <f t="shared" si="18"/>
        <v>2</v>
      </c>
      <c r="G18" s="35" cm="1">
        <f t="array" ref="G18">IFERROR(INDEX($J$5:$AVW$5,_xlfn.AGGREGATE(14,6,(COLUMN($J18:$AVW18)-COLUMN($J18)+1)/($J18:$AVW18="T"),1)),"")</f>
        <v>46009</v>
      </c>
      <c r="H18" s="77">
        <f t="shared" si="19"/>
        <v>2</v>
      </c>
      <c r="I18" s="38" t="s">
        <v>10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25" t="s">
        <v>12</v>
      </c>
      <c r="AD18" s="27"/>
      <c r="AE18" s="27"/>
      <c r="AF18" s="27"/>
      <c r="AG18" s="28"/>
      <c r="AH18" s="27"/>
      <c r="AI18" s="27"/>
      <c r="AJ18" s="29" t="s">
        <v>16</v>
      </c>
      <c r="AK18" s="30" t="s">
        <v>13</v>
      </c>
      <c r="AL18" s="27"/>
      <c r="AM18" s="27"/>
      <c r="AN18" s="28"/>
      <c r="AO18" s="27"/>
      <c r="AP18" s="27"/>
      <c r="AQ18" s="29" t="s">
        <v>14</v>
      </c>
      <c r="AR18" s="30" t="s">
        <v>11</v>
      </c>
      <c r="AS18" s="37"/>
      <c r="AT18" s="27"/>
      <c r="AU18" s="28"/>
      <c r="AV18" s="27"/>
      <c r="AW18" s="29" t="s">
        <v>15</v>
      </c>
      <c r="AX18" s="27"/>
      <c r="AY18" s="27"/>
      <c r="AZ18" s="25">
        <v>17</v>
      </c>
      <c r="BA18" s="33"/>
      <c r="BB18" s="33"/>
      <c r="BC18" s="33"/>
      <c r="BD18" s="33"/>
      <c r="BE18" s="25" t="s">
        <v>12</v>
      </c>
      <c r="BF18" s="27"/>
      <c r="BG18" s="27"/>
      <c r="BH18" s="27"/>
      <c r="BI18" s="28"/>
      <c r="BJ18" s="27"/>
      <c r="BK18" s="27"/>
      <c r="BL18" s="29" t="s">
        <v>16</v>
      </c>
      <c r="BM18" s="30" t="s">
        <v>13</v>
      </c>
      <c r="BN18" s="27"/>
      <c r="BO18" s="27"/>
      <c r="BP18" s="28"/>
      <c r="BQ18" s="27"/>
      <c r="BR18" s="27"/>
      <c r="BS18" s="29" t="s">
        <v>14</v>
      </c>
      <c r="BT18" s="30" t="s">
        <v>11</v>
      </c>
      <c r="BU18" s="37"/>
      <c r="BV18" s="27"/>
      <c r="BW18" s="28"/>
      <c r="BX18" s="27"/>
      <c r="BY18" s="29" t="s">
        <v>15</v>
      </c>
      <c r="BZ18" s="27"/>
      <c r="CA18" s="27"/>
      <c r="CB18" s="25">
        <v>17</v>
      </c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</row>
    <row r="19" spans="1:94" x14ac:dyDescent="0.25">
      <c r="A19" s="25" t="s">
        <v>8</v>
      </c>
      <c r="B19" s="25" t="s">
        <v>171</v>
      </c>
      <c r="C19" s="25" t="s">
        <v>316</v>
      </c>
      <c r="D19" s="25">
        <v>6</v>
      </c>
      <c r="E19" s="35" cm="1">
        <f t="array" ref="E19">IFERROR(INDEX($J$5:$AVX$5, _xlfn.AGGREGATE(15,6, COLUMN(J19:AVX19)-COLUMN(J19)+1 / (J19:AVX19="T"), F19)), "")</f>
        <v>46009</v>
      </c>
      <c r="F19" s="74">
        <f t="shared" si="18"/>
        <v>2</v>
      </c>
      <c r="G19" s="35" cm="1">
        <f t="array" ref="G19">IFERROR(INDEX($J$5:$AVW$5,_xlfn.AGGREGATE(14,6,(COLUMN($J19:$AVW19)-COLUMN($J19)+1)/($J19:$AVW19="T"),1)),"")</f>
        <v>46009</v>
      </c>
      <c r="H19" s="77">
        <f t="shared" si="19"/>
        <v>2</v>
      </c>
      <c r="I19" s="38" t="s">
        <v>10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25" t="s">
        <v>12</v>
      </c>
      <c r="AD19" s="27"/>
      <c r="AE19" s="27"/>
      <c r="AF19" s="27"/>
      <c r="AG19" s="28"/>
      <c r="AH19" s="27"/>
      <c r="AI19" s="27"/>
      <c r="AJ19" s="29" t="s">
        <v>16</v>
      </c>
      <c r="AK19" s="30" t="s">
        <v>13</v>
      </c>
      <c r="AL19" s="27"/>
      <c r="AM19" s="27"/>
      <c r="AN19" s="28"/>
      <c r="AO19" s="27"/>
      <c r="AP19" s="27"/>
      <c r="AQ19" s="29" t="s">
        <v>14</v>
      </c>
      <c r="AR19" s="30" t="s">
        <v>11</v>
      </c>
      <c r="AS19" s="37"/>
      <c r="AT19" s="27"/>
      <c r="AU19" s="28"/>
      <c r="AV19" s="27"/>
      <c r="AW19" s="29" t="s">
        <v>15</v>
      </c>
      <c r="AX19" s="27"/>
      <c r="AY19" s="27"/>
      <c r="AZ19" s="25">
        <v>17</v>
      </c>
      <c r="BA19" s="33"/>
      <c r="BB19" s="33"/>
      <c r="BC19" s="33"/>
      <c r="BD19" s="33"/>
      <c r="BE19" s="25" t="s">
        <v>12</v>
      </c>
      <c r="BF19" s="27"/>
      <c r="BG19" s="27"/>
      <c r="BH19" s="27"/>
      <c r="BI19" s="28"/>
      <c r="BJ19" s="27"/>
      <c r="BK19" s="27"/>
      <c r="BL19" s="29" t="s">
        <v>16</v>
      </c>
      <c r="BM19" s="30" t="s">
        <v>13</v>
      </c>
      <c r="BN19" s="27"/>
      <c r="BO19" s="27"/>
      <c r="BP19" s="28"/>
      <c r="BQ19" s="27"/>
      <c r="BR19" s="27"/>
      <c r="BS19" s="29" t="s">
        <v>14</v>
      </c>
      <c r="BT19" s="30" t="s">
        <v>11</v>
      </c>
      <c r="BU19" s="37"/>
      <c r="BV19" s="27"/>
      <c r="BW19" s="28"/>
      <c r="BX19" s="27"/>
      <c r="BY19" s="29" t="s">
        <v>15</v>
      </c>
      <c r="BZ19" s="27"/>
      <c r="CA19" s="27"/>
      <c r="CB19" s="25">
        <v>17</v>
      </c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</row>
    <row r="20" spans="1:94" x14ac:dyDescent="0.25">
      <c r="A20" s="25" t="s">
        <v>8</v>
      </c>
      <c r="B20" s="25" t="s">
        <v>172</v>
      </c>
      <c r="C20" s="25" t="s">
        <v>317</v>
      </c>
      <c r="D20" s="25">
        <v>7</v>
      </c>
      <c r="E20" s="35" cm="1">
        <f t="array" ref="E20">IFERROR(INDEX($J$5:$AVX$5, _xlfn.AGGREGATE(15,6, COLUMN(J20:AVX20)-COLUMN(J20)+1 / (J20:AVX20="T"), F20)), "")</f>
        <v>46009</v>
      </c>
      <c r="F20" s="74">
        <f t="shared" si="18"/>
        <v>2</v>
      </c>
      <c r="G20" s="35" cm="1">
        <f t="array" ref="G20">IFERROR(INDEX($J$5:$AVW$5,_xlfn.AGGREGATE(14,6,(COLUMN($J20:$AVW20)-COLUMN($J20)+1)/($J20:$AVW20="T"),1)),"")</f>
        <v>46009</v>
      </c>
      <c r="H20" s="77">
        <f t="shared" si="19"/>
        <v>2</v>
      </c>
      <c r="I20" s="38" t="s">
        <v>10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25" t="s">
        <v>12</v>
      </c>
      <c r="AD20" s="27"/>
      <c r="AE20" s="27"/>
      <c r="AF20" s="27"/>
      <c r="AG20" s="28"/>
      <c r="AH20" s="27"/>
      <c r="AI20" s="27"/>
      <c r="AJ20" s="29" t="s">
        <v>16</v>
      </c>
      <c r="AK20" s="30" t="s">
        <v>13</v>
      </c>
      <c r="AL20" s="27"/>
      <c r="AM20" s="27"/>
      <c r="AN20" s="28"/>
      <c r="AO20" s="27"/>
      <c r="AP20" s="27"/>
      <c r="AQ20" s="29" t="s">
        <v>14</v>
      </c>
      <c r="AR20" s="30" t="s">
        <v>11</v>
      </c>
      <c r="AS20" s="37"/>
      <c r="AT20" s="27"/>
      <c r="AU20" s="28"/>
      <c r="AV20" s="27"/>
      <c r="AW20" s="29" t="s">
        <v>15</v>
      </c>
      <c r="AX20" s="27"/>
      <c r="AY20" s="27"/>
      <c r="AZ20" s="25">
        <v>17</v>
      </c>
      <c r="BA20" s="33"/>
      <c r="BB20" s="33"/>
      <c r="BC20" s="33"/>
      <c r="BD20" s="33"/>
      <c r="BE20" s="25" t="s">
        <v>12</v>
      </c>
      <c r="BF20" s="27"/>
      <c r="BG20" s="27"/>
      <c r="BH20" s="27"/>
      <c r="BI20" s="28"/>
      <c r="BJ20" s="27"/>
      <c r="BK20" s="27"/>
      <c r="BL20" s="29" t="s">
        <v>16</v>
      </c>
      <c r="BM20" s="30" t="s">
        <v>13</v>
      </c>
      <c r="BN20" s="27"/>
      <c r="BO20" s="27"/>
      <c r="BP20" s="28"/>
      <c r="BQ20" s="27"/>
      <c r="BR20" s="27"/>
      <c r="BS20" s="29" t="s">
        <v>14</v>
      </c>
      <c r="BT20" s="30" t="s">
        <v>11</v>
      </c>
      <c r="BU20" s="37"/>
      <c r="BV20" s="27"/>
      <c r="BW20" s="28"/>
      <c r="BX20" s="27"/>
      <c r="BY20" s="29" t="s">
        <v>15</v>
      </c>
      <c r="BZ20" s="27"/>
      <c r="CA20" s="27"/>
      <c r="CB20" s="25">
        <v>17</v>
      </c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</row>
    <row r="21" spans="1:94" x14ac:dyDescent="0.25">
      <c r="A21" s="25" t="s">
        <v>8</v>
      </c>
      <c r="B21" s="25" t="s">
        <v>173</v>
      </c>
      <c r="C21" s="25" t="s">
        <v>318</v>
      </c>
      <c r="D21" s="25">
        <v>8</v>
      </c>
      <c r="E21" s="35" cm="1">
        <f t="array" ref="E21">IFERROR(INDEX($J$5:$AVX$5, _xlfn.AGGREGATE(15,6, COLUMN(J21:AVX21)-COLUMN(J21)+1 / (J21:AVX21="T"), F21)), "")</f>
        <v>46011</v>
      </c>
      <c r="F21" s="74">
        <f t="shared" si="18"/>
        <v>2</v>
      </c>
      <c r="G21" s="35" cm="1">
        <f t="array" ref="G21">IFERROR(INDEX($J$5:$AVW$5,_xlfn.AGGREGATE(14,6,(COLUMN($J21:$AVW21)-COLUMN($J21)+1)/($J21:$AVW21="T"),1)),"")</f>
        <v>46011</v>
      </c>
      <c r="H21" s="77">
        <f t="shared" si="19"/>
        <v>2</v>
      </c>
      <c r="I21" s="38" t="s">
        <v>10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25" t="s">
        <v>12</v>
      </c>
      <c r="AF21" s="27"/>
      <c r="AG21" s="27"/>
      <c r="AH21" s="27"/>
      <c r="AI21" s="28"/>
      <c r="AJ21" s="27"/>
      <c r="AK21" s="27"/>
      <c r="AL21" s="29" t="s">
        <v>16</v>
      </c>
      <c r="AM21" s="30" t="s">
        <v>13</v>
      </c>
      <c r="AN21" s="27"/>
      <c r="AO21" s="27"/>
      <c r="AP21" s="28"/>
      <c r="AQ21" s="27"/>
      <c r="AR21" s="27"/>
      <c r="AS21" s="32" t="s">
        <v>14</v>
      </c>
      <c r="AT21" s="30" t="s">
        <v>11</v>
      </c>
      <c r="AU21" s="27"/>
      <c r="AV21" s="27"/>
      <c r="AW21" s="28"/>
      <c r="AX21" s="27"/>
      <c r="AY21" s="29" t="s">
        <v>15</v>
      </c>
      <c r="AZ21" s="27"/>
      <c r="BA21" s="27"/>
      <c r="BB21" s="25">
        <v>17</v>
      </c>
      <c r="BC21" s="33"/>
      <c r="BD21" s="33"/>
      <c r="BE21" s="33"/>
      <c r="BF21" s="33"/>
      <c r="BG21" s="25" t="s">
        <v>12</v>
      </c>
      <c r="BH21" s="27"/>
      <c r="BI21" s="27"/>
      <c r="BJ21" s="27"/>
      <c r="BK21" s="28"/>
      <c r="BL21" s="27"/>
      <c r="BM21" s="27"/>
      <c r="BN21" s="29" t="s">
        <v>16</v>
      </c>
      <c r="BO21" s="30" t="s">
        <v>13</v>
      </c>
      <c r="BP21" s="27"/>
      <c r="BQ21" s="27"/>
      <c r="BR21" s="28"/>
      <c r="BS21" s="27"/>
      <c r="BT21" s="27"/>
      <c r="BU21" s="32" t="s">
        <v>14</v>
      </c>
      <c r="BV21" s="30" t="s">
        <v>11</v>
      </c>
      <c r="BW21" s="27"/>
      <c r="BX21" s="27"/>
      <c r="BY21" s="28"/>
      <c r="BZ21" s="27"/>
      <c r="CA21" s="29" t="s">
        <v>15</v>
      </c>
      <c r="CB21" s="27"/>
      <c r="CC21" s="27"/>
      <c r="CD21" s="25">
        <v>17</v>
      </c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</row>
    <row r="22" spans="1:94" x14ac:dyDescent="0.25">
      <c r="A22" s="25" t="s">
        <v>8</v>
      </c>
      <c r="B22" s="25" t="s">
        <v>174</v>
      </c>
      <c r="C22" s="25" t="s">
        <v>319</v>
      </c>
      <c r="D22" s="25">
        <v>9</v>
      </c>
      <c r="E22" s="35" cm="1">
        <f t="array" ref="E22">IFERROR(INDEX($J$5:$AVX$5, _xlfn.AGGREGATE(15,6, COLUMN(J22:AVX22)-COLUMN(J22)+1 / (J22:AVX22="T"), F22)), "")</f>
        <v>46011</v>
      </c>
      <c r="F22" s="74">
        <f t="shared" si="18"/>
        <v>2</v>
      </c>
      <c r="G22" s="35" cm="1">
        <f t="array" ref="G22">IFERROR(INDEX($J$5:$AVW$5,_xlfn.AGGREGATE(14,6,(COLUMN($J22:$AVW22)-COLUMN($J22)+1)/($J22:$AVW22="T"),1)),"")</f>
        <v>46011</v>
      </c>
      <c r="H22" s="77">
        <f t="shared" si="19"/>
        <v>2</v>
      </c>
      <c r="I22" s="38" t="s">
        <v>10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25" t="s">
        <v>12</v>
      </c>
      <c r="AF22" s="27"/>
      <c r="AG22" s="27"/>
      <c r="AH22" s="27"/>
      <c r="AI22" s="28"/>
      <c r="AJ22" s="27"/>
      <c r="AK22" s="27"/>
      <c r="AL22" s="29" t="s">
        <v>16</v>
      </c>
      <c r="AM22" s="30" t="s">
        <v>13</v>
      </c>
      <c r="AN22" s="27"/>
      <c r="AO22" s="27"/>
      <c r="AP22" s="28"/>
      <c r="AQ22" s="27"/>
      <c r="AR22" s="27"/>
      <c r="AS22" s="29" t="s">
        <v>14</v>
      </c>
      <c r="AT22" s="30" t="s">
        <v>11</v>
      </c>
      <c r="AU22" s="37"/>
      <c r="AV22" s="27"/>
      <c r="AW22" s="28"/>
      <c r="AX22" s="27"/>
      <c r="AY22" s="29" t="s">
        <v>15</v>
      </c>
      <c r="AZ22" s="27"/>
      <c r="BA22" s="27"/>
      <c r="BB22" s="25">
        <v>17</v>
      </c>
      <c r="BC22" s="33"/>
      <c r="BD22" s="33"/>
      <c r="BE22" s="33"/>
      <c r="BF22" s="33"/>
      <c r="BG22" s="25" t="s">
        <v>12</v>
      </c>
      <c r="BH22" s="27"/>
      <c r="BI22" s="27"/>
      <c r="BJ22" s="27"/>
      <c r="BK22" s="28"/>
      <c r="BL22" s="27"/>
      <c r="BM22" s="27"/>
      <c r="BN22" s="29" t="s">
        <v>16</v>
      </c>
      <c r="BO22" s="30" t="s">
        <v>13</v>
      </c>
      <c r="BP22" s="27"/>
      <c r="BQ22" s="27"/>
      <c r="BR22" s="28"/>
      <c r="BS22" s="27"/>
      <c r="BT22" s="27"/>
      <c r="BU22" s="29" t="s">
        <v>14</v>
      </c>
      <c r="BV22" s="30" t="s">
        <v>11</v>
      </c>
      <c r="BW22" s="37"/>
      <c r="BX22" s="27"/>
      <c r="BY22" s="28"/>
      <c r="BZ22" s="27"/>
      <c r="CA22" s="29" t="s">
        <v>15</v>
      </c>
      <c r="CB22" s="27"/>
      <c r="CC22" s="27"/>
      <c r="CD22" s="25">
        <v>17</v>
      </c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</row>
    <row r="23" spans="1:94" x14ac:dyDescent="0.25">
      <c r="A23" s="25" t="s">
        <v>8</v>
      </c>
      <c r="B23" s="25" t="s">
        <v>175</v>
      </c>
      <c r="C23" s="25" t="s">
        <v>320</v>
      </c>
      <c r="D23" s="25">
        <v>10</v>
      </c>
      <c r="E23" s="35" cm="1">
        <f t="array" ref="E23">IFERROR(INDEX($J$5:$AVX$5, _xlfn.AGGREGATE(15,6, COLUMN(J23:AVX23)-COLUMN(J23)+1 / (J23:AVX23="T"), F23)), "")</f>
        <v>46011</v>
      </c>
      <c r="F23" s="74">
        <f t="shared" si="18"/>
        <v>2</v>
      </c>
      <c r="G23" s="35" cm="1">
        <f t="array" ref="G23">IFERROR(INDEX($J$5:$AVW$5,_xlfn.AGGREGATE(14,6,(COLUMN($J23:$AVW23)-COLUMN($J23)+1)/($J23:$AVW23="T"),1)),"")</f>
        <v>46011</v>
      </c>
      <c r="H23" s="77">
        <f t="shared" si="19"/>
        <v>2</v>
      </c>
      <c r="I23" s="38" t="s">
        <v>10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25" t="s">
        <v>12</v>
      </c>
      <c r="AF23" s="27"/>
      <c r="AG23" s="27"/>
      <c r="AH23" s="27"/>
      <c r="AI23" s="28"/>
      <c r="AJ23" s="27"/>
      <c r="AK23" s="27"/>
      <c r="AL23" s="29" t="s">
        <v>16</v>
      </c>
      <c r="AM23" s="30" t="s">
        <v>13</v>
      </c>
      <c r="AN23" s="27"/>
      <c r="AO23" s="27"/>
      <c r="AP23" s="28"/>
      <c r="AQ23" s="27"/>
      <c r="AR23" s="27"/>
      <c r="AS23" s="29" t="s">
        <v>14</v>
      </c>
      <c r="AT23" s="30" t="s">
        <v>11</v>
      </c>
      <c r="AU23" s="37"/>
      <c r="AV23" s="27"/>
      <c r="AW23" s="28"/>
      <c r="AX23" s="27"/>
      <c r="AY23" s="29" t="s">
        <v>15</v>
      </c>
      <c r="AZ23" s="27"/>
      <c r="BA23" s="27"/>
      <c r="BB23" s="25">
        <v>17</v>
      </c>
      <c r="BC23" s="33"/>
      <c r="BD23" s="33"/>
      <c r="BE23" s="33"/>
      <c r="BF23" s="33"/>
      <c r="BG23" s="25" t="s">
        <v>12</v>
      </c>
      <c r="BH23" s="27"/>
      <c r="BI23" s="27"/>
      <c r="BJ23" s="27"/>
      <c r="BK23" s="28"/>
      <c r="BL23" s="27"/>
      <c r="BM23" s="27"/>
      <c r="BN23" s="29" t="s">
        <v>16</v>
      </c>
      <c r="BO23" s="30" t="s">
        <v>13</v>
      </c>
      <c r="BP23" s="27"/>
      <c r="BQ23" s="27"/>
      <c r="BR23" s="28"/>
      <c r="BS23" s="27"/>
      <c r="BT23" s="27"/>
      <c r="BU23" s="29" t="s">
        <v>14</v>
      </c>
      <c r="BV23" s="30" t="s">
        <v>11</v>
      </c>
      <c r="BW23" s="37"/>
      <c r="BX23" s="27"/>
      <c r="BY23" s="28"/>
      <c r="BZ23" s="27"/>
      <c r="CA23" s="29" t="s">
        <v>15</v>
      </c>
      <c r="CB23" s="27"/>
      <c r="CC23" s="27"/>
      <c r="CD23" s="25">
        <v>17</v>
      </c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</row>
    <row r="24" spans="1:94" x14ac:dyDescent="0.25">
      <c r="A24" s="25" t="s">
        <v>8</v>
      </c>
      <c r="B24" s="25" t="s">
        <v>176</v>
      </c>
      <c r="C24" s="25" t="s">
        <v>321</v>
      </c>
      <c r="D24" s="25">
        <v>11</v>
      </c>
      <c r="E24" s="35" cm="1">
        <f t="array" ref="E24">IFERROR(INDEX($J$5:$AVX$5, _xlfn.AGGREGATE(15,6, COLUMN(J24:AVX24)-COLUMN(J24)+1 / (J24:AVX24="T"), F24)), "")</f>
        <v>46011</v>
      </c>
      <c r="F24" s="74">
        <f t="shared" si="18"/>
        <v>2</v>
      </c>
      <c r="G24" s="35" cm="1">
        <f t="array" ref="G24">IFERROR(INDEX($J$5:$AVW$5,_xlfn.AGGREGATE(14,6,(COLUMN($J24:$AVW24)-COLUMN($J24)+1)/($J24:$AVW24="T"),1)),"")</f>
        <v>46011</v>
      </c>
      <c r="H24" s="77">
        <f t="shared" si="19"/>
        <v>2</v>
      </c>
      <c r="I24" s="38" t="s">
        <v>10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25" t="s">
        <v>12</v>
      </c>
      <c r="AF24" s="27"/>
      <c r="AG24" s="27"/>
      <c r="AH24" s="27"/>
      <c r="AI24" s="28"/>
      <c r="AJ24" s="27"/>
      <c r="AK24" s="27"/>
      <c r="AL24" s="29" t="s">
        <v>16</v>
      </c>
      <c r="AM24" s="30" t="s">
        <v>13</v>
      </c>
      <c r="AN24" s="27"/>
      <c r="AO24" s="27"/>
      <c r="AP24" s="28"/>
      <c r="AQ24" s="27"/>
      <c r="AR24" s="27"/>
      <c r="AS24" s="29" t="s">
        <v>14</v>
      </c>
      <c r="AT24" s="30" t="s">
        <v>11</v>
      </c>
      <c r="AU24" s="37"/>
      <c r="AV24" s="27"/>
      <c r="AW24" s="28"/>
      <c r="AX24" s="27"/>
      <c r="AY24" s="29" t="s">
        <v>15</v>
      </c>
      <c r="AZ24" s="27"/>
      <c r="BA24" s="27"/>
      <c r="BB24" s="25">
        <v>17</v>
      </c>
      <c r="BC24" s="33"/>
      <c r="BD24" s="33"/>
      <c r="BE24" s="33"/>
      <c r="BF24" s="33"/>
      <c r="BG24" s="25" t="s">
        <v>12</v>
      </c>
      <c r="BH24" s="27"/>
      <c r="BI24" s="27"/>
      <c r="BJ24" s="27"/>
      <c r="BK24" s="28"/>
      <c r="BL24" s="27"/>
      <c r="BM24" s="27"/>
      <c r="BN24" s="29" t="s">
        <v>16</v>
      </c>
      <c r="BO24" s="30" t="s">
        <v>13</v>
      </c>
      <c r="BP24" s="27"/>
      <c r="BQ24" s="27"/>
      <c r="BR24" s="28"/>
      <c r="BS24" s="27"/>
      <c r="BT24" s="27"/>
      <c r="BU24" s="29" t="s">
        <v>14</v>
      </c>
      <c r="BV24" s="30" t="s">
        <v>11</v>
      </c>
      <c r="BW24" s="37"/>
      <c r="BX24" s="27"/>
      <c r="BY24" s="28"/>
      <c r="BZ24" s="27"/>
      <c r="CA24" s="29" t="s">
        <v>15</v>
      </c>
      <c r="CB24" s="27"/>
      <c r="CC24" s="27"/>
      <c r="CD24" s="25">
        <v>17</v>
      </c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</row>
    <row r="25" spans="1:94" x14ac:dyDescent="0.25">
      <c r="A25" s="25" t="s">
        <v>8</v>
      </c>
      <c r="B25" s="25" t="s">
        <v>177</v>
      </c>
      <c r="C25" s="25" t="s">
        <v>322</v>
      </c>
      <c r="D25" s="25">
        <v>12</v>
      </c>
      <c r="E25" s="35" cm="1">
        <f t="array" ref="E25">IFERROR(INDEX($J$5:$AVX$5, _xlfn.AGGREGATE(15,6, COLUMN(J25:AVX25)-COLUMN(J25)+1 / (J25:AVX25="T"), F25)), "")</f>
        <v>46011</v>
      </c>
      <c r="F25" s="74">
        <f t="shared" si="18"/>
        <v>2</v>
      </c>
      <c r="G25" s="35" cm="1">
        <f t="array" ref="G25">IFERROR(INDEX($J$5:$AVW$5,_xlfn.AGGREGATE(14,6,(COLUMN($J25:$AVW25)-COLUMN($J25)+1)/($J25:$AVW25="T"),1)),"")</f>
        <v>46011</v>
      </c>
      <c r="H25" s="77">
        <f t="shared" si="19"/>
        <v>2</v>
      </c>
      <c r="I25" s="38" t="s">
        <v>10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25" t="s">
        <v>12</v>
      </c>
      <c r="AF25" s="27"/>
      <c r="AG25" s="27"/>
      <c r="AH25" s="27"/>
      <c r="AI25" s="28"/>
      <c r="AJ25" s="27"/>
      <c r="AK25" s="27"/>
      <c r="AL25" s="29" t="s">
        <v>16</v>
      </c>
      <c r="AM25" s="30" t="s">
        <v>13</v>
      </c>
      <c r="AN25" s="27"/>
      <c r="AO25" s="27"/>
      <c r="AP25" s="28"/>
      <c r="AQ25" s="27"/>
      <c r="AR25" s="27"/>
      <c r="AS25" s="29" t="s">
        <v>14</v>
      </c>
      <c r="AT25" s="30" t="s">
        <v>11</v>
      </c>
      <c r="AU25" s="37"/>
      <c r="AV25" s="27"/>
      <c r="AW25" s="28"/>
      <c r="AX25" s="27"/>
      <c r="AY25" s="29" t="s">
        <v>15</v>
      </c>
      <c r="AZ25" s="27"/>
      <c r="BA25" s="27"/>
      <c r="BB25" s="25">
        <v>17</v>
      </c>
      <c r="BC25" s="33"/>
      <c r="BD25" s="33"/>
      <c r="BE25" s="33"/>
      <c r="BF25" s="33"/>
      <c r="BG25" s="25" t="s">
        <v>12</v>
      </c>
      <c r="BH25" s="27"/>
      <c r="BI25" s="27"/>
      <c r="BJ25" s="27"/>
      <c r="BK25" s="28"/>
      <c r="BL25" s="27"/>
      <c r="BM25" s="27"/>
      <c r="BN25" s="29" t="s">
        <v>16</v>
      </c>
      <c r="BO25" s="30" t="s">
        <v>13</v>
      </c>
      <c r="BP25" s="27"/>
      <c r="BQ25" s="27"/>
      <c r="BR25" s="28"/>
      <c r="BS25" s="27"/>
      <c r="BT25" s="27"/>
      <c r="BU25" s="29" t="s">
        <v>14</v>
      </c>
      <c r="BV25" s="30" t="s">
        <v>11</v>
      </c>
      <c r="BW25" s="37"/>
      <c r="BX25" s="27"/>
      <c r="BY25" s="28"/>
      <c r="BZ25" s="27"/>
      <c r="CA25" s="29" t="s">
        <v>15</v>
      </c>
      <c r="CB25" s="27"/>
      <c r="CC25" s="27"/>
      <c r="CD25" s="25">
        <v>17</v>
      </c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</row>
    <row r="26" spans="1:94" x14ac:dyDescent="0.25">
      <c r="A26" s="25" t="s">
        <v>8</v>
      </c>
      <c r="B26" s="25" t="s">
        <v>178</v>
      </c>
      <c r="C26" s="25" t="s">
        <v>323</v>
      </c>
      <c r="D26" s="25">
        <v>13</v>
      </c>
      <c r="E26" s="35" cm="1">
        <f t="array" ref="E26">IFERROR(INDEX($J$5:$AVX$5, _xlfn.AGGREGATE(15,6, COLUMN(J26:AVX26)-COLUMN(J26)+1 / (J26:AVX26="T"), F26)), "")</f>
        <v>46011</v>
      </c>
      <c r="F26" s="74">
        <f t="shared" si="18"/>
        <v>2</v>
      </c>
      <c r="G26" s="35" cm="1">
        <f t="array" ref="G26">IFERROR(INDEX($J$5:$AVW$5,_xlfn.AGGREGATE(14,6,(COLUMN($J26:$AVW26)-COLUMN($J26)+1)/($J26:$AVW26="T"),1)),"")</f>
        <v>46011</v>
      </c>
      <c r="H26" s="77">
        <f t="shared" si="19"/>
        <v>2</v>
      </c>
      <c r="I26" s="38" t="s">
        <v>10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25" t="s">
        <v>12</v>
      </c>
      <c r="AF26" s="27"/>
      <c r="AG26" s="27"/>
      <c r="AH26" s="27"/>
      <c r="AI26" s="28"/>
      <c r="AJ26" s="27"/>
      <c r="AK26" s="27"/>
      <c r="AL26" s="29" t="s">
        <v>16</v>
      </c>
      <c r="AM26" s="30" t="s">
        <v>13</v>
      </c>
      <c r="AN26" s="27"/>
      <c r="AO26" s="27"/>
      <c r="AP26" s="28"/>
      <c r="AQ26" s="27"/>
      <c r="AR26" s="27"/>
      <c r="AS26" s="29" t="s">
        <v>14</v>
      </c>
      <c r="AT26" s="30" t="s">
        <v>11</v>
      </c>
      <c r="AU26" s="37"/>
      <c r="AV26" s="27"/>
      <c r="AW26" s="28"/>
      <c r="AX26" s="27"/>
      <c r="AY26" s="29" t="s">
        <v>15</v>
      </c>
      <c r="AZ26" s="27"/>
      <c r="BA26" s="27"/>
      <c r="BB26" s="25">
        <v>17</v>
      </c>
      <c r="BC26" s="33"/>
      <c r="BD26" s="33"/>
      <c r="BE26" s="33"/>
      <c r="BF26" s="33"/>
      <c r="BG26" s="25" t="s">
        <v>12</v>
      </c>
      <c r="BH26" s="27"/>
      <c r="BI26" s="27"/>
      <c r="BJ26" s="27"/>
      <c r="BK26" s="28"/>
      <c r="BL26" s="27"/>
      <c r="BM26" s="27"/>
      <c r="BN26" s="29" t="s">
        <v>16</v>
      </c>
      <c r="BO26" s="30" t="s">
        <v>13</v>
      </c>
      <c r="BP26" s="27"/>
      <c r="BQ26" s="27"/>
      <c r="BR26" s="28"/>
      <c r="BS26" s="27"/>
      <c r="BT26" s="27"/>
      <c r="BU26" s="29" t="s">
        <v>14</v>
      </c>
      <c r="BV26" s="30" t="s">
        <v>11</v>
      </c>
      <c r="BW26" s="37"/>
      <c r="BX26" s="27"/>
      <c r="BY26" s="28"/>
      <c r="BZ26" s="27"/>
      <c r="CA26" s="29" t="s">
        <v>15</v>
      </c>
      <c r="CB26" s="27"/>
      <c r="CC26" s="27"/>
      <c r="CD26" s="25">
        <v>17</v>
      </c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</row>
    <row r="27" spans="1:94" s="40" customFormat="1" x14ac:dyDescent="0.25">
      <c r="A27" s="25" t="s">
        <v>8</v>
      </c>
      <c r="B27" s="25" t="s">
        <v>179</v>
      </c>
      <c r="C27" s="25" t="s">
        <v>324</v>
      </c>
      <c r="D27" s="25">
        <v>14</v>
      </c>
      <c r="E27" s="35" cm="1">
        <f t="array" ref="E27">IFERROR(INDEX($J$5:$AVX$5, _xlfn.AGGREGATE(15,6, COLUMN(J27:AVX27)-COLUMN(J27)+1 / (J27:AVX27="T"), F27)), "")</f>
        <v>46011</v>
      </c>
      <c r="F27" s="74">
        <f t="shared" si="18"/>
        <v>2</v>
      </c>
      <c r="G27" s="35" cm="1">
        <f t="array" ref="G27">IFERROR(INDEX($J$5:$AVW$5,_xlfn.AGGREGATE(14,6,(COLUMN($J27:$AVW27)-COLUMN($J27)+1)/($J27:$AVW27="T"),1)),"")</f>
        <v>46011</v>
      </c>
      <c r="H27" s="77">
        <f t="shared" si="19"/>
        <v>2</v>
      </c>
      <c r="I27" s="38" t="s">
        <v>10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25" t="s">
        <v>12</v>
      </c>
      <c r="AF27" s="27"/>
      <c r="AG27" s="27"/>
      <c r="AH27" s="27"/>
      <c r="AI27" s="28"/>
      <c r="AJ27" s="27"/>
      <c r="AK27" s="27"/>
      <c r="AL27" s="29" t="s">
        <v>16</v>
      </c>
      <c r="AM27" s="30" t="s">
        <v>13</v>
      </c>
      <c r="AN27" s="27"/>
      <c r="AO27" s="27"/>
      <c r="AP27" s="28"/>
      <c r="AQ27" s="27"/>
      <c r="AR27" s="27"/>
      <c r="AS27" s="29" t="s">
        <v>14</v>
      </c>
      <c r="AT27" s="30" t="s">
        <v>11</v>
      </c>
      <c r="AU27" s="37"/>
      <c r="AV27" s="27"/>
      <c r="AW27" s="28"/>
      <c r="AX27" s="27"/>
      <c r="AY27" s="29" t="s">
        <v>15</v>
      </c>
      <c r="AZ27" s="27"/>
      <c r="BA27" s="27"/>
      <c r="BB27" s="25">
        <v>17</v>
      </c>
      <c r="BC27" s="33"/>
      <c r="BD27" s="33"/>
      <c r="BE27" s="33"/>
      <c r="BF27" s="33"/>
      <c r="BG27" s="25" t="s">
        <v>12</v>
      </c>
      <c r="BH27" s="27"/>
      <c r="BI27" s="27"/>
      <c r="BJ27" s="27"/>
      <c r="BK27" s="28"/>
      <c r="BL27" s="27"/>
      <c r="BM27" s="27"/>
      <c r="BN27" s="29" t="s">
        <v>16</v>
      </c>
      <c r="BO27" s="30" t="s">
        <v>13</v>
      </c>
      <c r="BP27" s="27"/>
      <c r="BQ27" s="27"/>
      <c r="BR27" s="28"/>
      <c r="BS27" s="27"/>
      <c r="BT27" s="27"/>
      <c r="BU27" s="29" t="s">
        <v>14</v>
      </c>
      <c r="BV27" s="30" t="s">
        <v>11</v>
      </c>
      <c r="BW27" s="37"/>
      <c r="BX27" s="27"/>
      <c r="BY27" s="28"/>
      <c r="BZ27" s="27"/>
      <c r="CA27" s="29" t="s">
        <v>15</v>
      </c>
      <c r="CB27" s="27"/>
      <c r="CC27" s="27"/>
      <c r="CD27" s="25">
        <v>17</v>
      </c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</row>
    <row r="28" spans="1:94" s="40" customFormat="1" x14ac:dyDescent="0.25">
      <c r="A28" s="25" t="s">
        <v>8</v>
      </c>
      <c r="B28" s="25" t="s">
        <v>180</v>
      </c>
      <c r="C28" s="25" t="s">
        <v>325</v>
      </c>
      <c r="D28" s="25">
        <v>15</v>
      </c>
      <c r="E28" s="35" cm="1">
        <f t="array" ref="E28">IFERROR(INDEX($J$5:$AVX$5, _xlfn.AGGREGATE(15,6, COLUMN(J28:AVX28)-COLUMN(J28)+1 / (J28:AVX28="T"), F28)), "")</f>
        <v>46013</v>
      </c>
      <c r="F28" s="74">
        <f t="shared" si="18"/>
        <v>2</v>
      </c>
      <c r="G28" s="35" cm="1">
        <f t="array" ref="G28">IFERROR(INDEX($J$5:$AVW$5,_xlfn.AGGREGATE(14,6,(COLUMN($J28:$AVW28)-COLUMN($J28)+1)/($J28:$AVW28="T"),1)),"")</f>
        <v>46013</v>
      </c>
      <c r="H28" s="77">
        <f t="shared" si="19"/>
        <v>2</v>
      </c>
      <c r="I28" s="38" t="s">
        <v>10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25" t="s">
        <v>12</v>
      </c>
      <c r="AH28" s="27"/>
      <c r="AI28" s="27"/>
      <c r="AJ28" s="27"/>
      <c r="AK28" s="28"/>
      <c r="AL28" s="27"/>
      <c r="AM28" s="27"/>
      <c r="AN28" s="29" t="s">
        <v>16</v>
      </c>
      <c r="AO28" s="30" t="s">
        <v>13</v>
      </c>
      <c r="AP28" s="27"/>
      <c r="AQ28" s="27"/>
      <c r="AR28" s="28"/>
      <c r="AS28" s="27"/>
      <c r="AT28" s="27"/>
      <c r="AU28" s="32" t="s">
        <v>14</v>
      </c>
      <c r="AV28" s="30" t="s">
        <v>11</v>
      </c>
      <c r="AW28" s="27"/>
      <c r="AX28" s="27"/>
      <c r="AY28" s="28"/>
      <c r="AZ28" s="27"/>
      <c r="BA28" s="29" t="s">
        <v>15</v>
      </c>
      <c r="BB28" s="27"/>
      <c r="BC28" s="27"/>
      <c r="BD28" s="25">
        <v>17</v>
      </c>
      <c r="BE28" s="33"/>
      <c r="BF28" s="33"/>
      <c r="BG28" s="33"/>
      <c r="BH28" s="33"/>
      <c r="BI28" s="25" t="s">
        <v>12</v>
      </c>
      <c r="BJ28" s="27"/>
      <c r="BK28" s="27"/>
      <c r="BL28" s="27"/>
      <c r="BM28" s="28"/>
      <c r="BN28" s="27"/>
      <c r="BO28" s="27"/>
      <c r="BP28" s="29" t="s">
        <v>16</v>
      </c>
      <c r="BQ28" s="30" t="s">
        <v>13</v>
      </c>
      <c r="BR28" s="27"/>
      <c r="BS28" s="27"/>
      <c r="BT28" s="28"/>
      <c r="BU28" s="27"/>
      <c r="BV28" s="27"/>
      <c r="BW28" s="29" t="s">
        <v>14</v>
      </c>
      <c r="BX28" s="30" t="s">
        <v>11</v>
      </c>
      <c r="BY28" s="37"/>
      <c r="BZ28" s="27"/>
      <c r="CA28" s="28"/>
      <c r="CB28" s="27"/>
      <c r="CC28" s="29" t="s">
        <v>15</v>
      </c>
      <c r="CD28" s="27"/>
      <c r="CE28" s="27"/>
      <c r="CF28" s="25">
        <v>17</v>
      </c>
      <c r="CG28" s="33"/>
      <c r="CH28" s="33"/>
      <c r="CI28" s="33"/>
      <c r="CJ28" s="33"/>
      <c r="CK28" s="33"/>
      <c r="CL28" s="33"/>
      <c r="CM28" s="33"/>
      <c r="CN28" s="33"/>
      <c r="CO28" s="33"/>
      <c r="CP28" s="33"/>
    </row>
    <row r="29" spans="1:94" x14ac:dyDescent="0.25">
      <c r="A29" s="25" t="s">
        <v>8</v>
      </c>
      <c r="B29" s="25" t="s">
        <v>181</v>
      </c>
      <c r="C29" s="25" t="s">
        <v>326</v>
      </c>
      <c r="D29" s="25">
        <v>16</v>
      </c>
      <c r="E29" s="35" cm="1">
        <f t="array" ref="E29">IFERROR(INDEX($J$5:$AVX$5, _xlfn.AGGREGATE(15,6, COLUMN(J29:AVX29)-COLUMN(J29)+1 / (J29:AVX29="T"), F29)), "")</f>
        <v>46013</v>
      </c>
      <c r="F29" s="74">
        <f t="shared" si="18"/>
        <v>2</v>
      </c>
      <c r="G29" s="35" cm="1">
        <f t="array" ref="G29">IFERROR(INDEX($J$5:$AVW$5,_xlfn.AGGREGATE(14,6,(COLUMN($J29:$AVW29)-COLUMN($J29)+1)/($J29:$AVW29="T"),1)),"")</f>
        <v>46013</v>
      </c>
      <c r="H29" s="77">
        <f t="shared" si="19"/>
        <v>2</v>
      </c>
      <c r="I29" s="38" t="s">
        <v>10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25" t="s">
        <v>12</v>
      </c>
      <c r="AH29" s="27"/>
      <c r="AI29" s="27"/>
      <c r="AJ29" s="27"/>
      <c r="AK29" s="28"/>
      <c r="AL29" s="27"/>
      <c r="AM29" s="27"/>
      <c r="AN29" s="29" t="s">
        <v>16</v>
      </c>
      <c r="AO29" s="30" t="s">
        <v>13</v>
      </c>
      <c r="AP29" s="27"/>
      <c r="AQ29" s="27"/>
      <c r="AR29" s="28"/>
      <c r="AS29" s="27"/>
      <c r="AT29" s="27"/>
      <c r="AU29" s="32" t="s">
        <v>14</v>
      </c>
      <c r="AV29" s="30" t="s">
        <v>11</v>
      </c>
      <c r="AW29" s="27"/>
      <c r="AX29" s="27"/>
      <c r="AY29" s="28"/>
      <c r="AZ29" s="27"/>
      <c r="BA29" s="29" t="s">
        <v>15</v>
      </c>
      <c r="BB29" s="27"/>
      <c r="BC29" s="27"/>
      <c r="BD29" s="25">
        <v>17</v>
      </c>
      <c r="BE29" s="33"/>
      <c r="BF29" s="33"/>
      <c r="BG29" s="33"/>
      <c r="BH29" s="33"/>
      <c r="BI29" s="25" t="s">
        <v>12</v>
      </c>
      <c r="BJ29" s="27"/>
      <c r="BK29" s="27"/>
      <c r="BL29" s="27"/>
      <c r="BM29" s="28"/>
      <c r="BN29" s="27"/>
      <c r="BO29" s="27"/>
      <c r="BP29" s="29" t="s">
        <v>16</v>
      </c>
      <c r="BQ29" s="30" t="s">
        <v>13</v>
      </c>
      <c r="BR29" s="27"/>
      <c r="BS29" s="27"/>
      <c r="BT29" s="28"/>
      <c r="BU29" s="27"/>
      <c r="BV29" s="27"/>
      <c r="BW29" s="29" t="s">
        <v>14</v>
      </c>
      <c r="BX29" s="30" t="s">
        <v>11</v>
      </c>
      <c r="BY29" s="37"/>
      <c r="BZ29" s="27"/>
      <c r="CA29" s="28"/>
      <c r="CB29" s="27"/>
      <c r="CC29" s="29" t="s">
        <v>15</v>
      </c>
      <c r="CD29" s="27"/>
      <c r="CE29" s="27"/>
      <c r="CF29" s="25">
        <v>17</v>
      </c>
      <c r="CG29" s="33"/>
      <c r="CH29" s="33"/>
      <c r="CI29" s="33"/>
      <c r="CJ29" s="33"/>
      <c r="CK29" s="33"/>
      <c r="CL29" s="33"/>
      <c r="CM29" s="33"/>
      <c r="CN29" s="33"/>
      <c r="CO29" s="33"/>
      <c r="CP29" s="33"/>
    </row>
    <row r="30" spans="1:94" x14ac:dyDescent="0.25">
      <c r="A30" s="25" t="s">
        <v>8</v>
      </c>
      <c r="B30" s="25" t="s">
        <v>182</v>
      </c>
      <c r="C30" s="25" t="s">
        <v>327</v>
      </c>
      <c r="D30" s="25">
        <v>17</v>
      </c>
      <c r="E30" s="35" cm="1">
        <f t="array" ref="E30">IFERROR(INDEX($J$5:$AVX$5, _xlfn.AGGREGATE(15,6, COLUMN(J30:AVX30)-COLUMN(J30)+1 / (J30:AVX30="T"), F30)), "")</f>
        <v>46013</v>
      </c>
      <c r="F30" s="74">
        <f t="shared" si="18"/>
        <v>2</v>
      </c>
      <c r="G30" s="35" cm="1">
        <f t="array" ref="G30">IFERROR(INDEX($J$5:$AVW$5,_xlfn.AGGREGATE(14,6,(COLUMN($J30:$AVW30)-COLUMN($J30)+1)/($J30:$AVW30="T"),1)),"")</f>
        <v>46013</v>
      </c>
      <c r="H30" s="77">
        <f t="shared" si="19"/>
        <v>2</v>
      </c>
      <c r="I30" s="38" t="s">
        <v>10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25" t="s">
        <v>12</v>
      </c>
      <c r="AH30" s="27"/>
      <c r="AI30" s="27"/>
      <c r="AJ30" s="27"/>
      <c r="AK30" s="28"/>
      <c r="AL30" s="27"/>
      <c r="AM30" s="27"/>
      <c r="AN30" s="29" t="s">
        <v>16</v>
      </c>
      <c r="AO30" s="30" t="s">
        <v>13</v>
      </c>
      <c r="AP30" s="27"/>
      <c r="AQ30" s="27"/>
      <c r="AR30" s="28"/>
      <c r="AS30" s="27"/>
      <c r="AT30" s="27"/>
      <c r="AU30" s="32" t="s">
        <v>14</v>
      </c>
      <c r="AV30" s="30" t="s">
        <v>11</v>
      </c>
      <c r="AW30" s="27"/>
      <c r="AX30" s="27"/>
      <c r="AY30" s="28"/>
      <c r="AZ30" s="27"/>
      <c r="BA30" s="29" t="s">
        <v>15</v>
      </c>
      <c r="BB30" s="27"/>
      <c r="BC30" s="27"/>
      <c r="BD30" s="25">
        <v>17</v>
      </c>
      <c r="BE30" s="33"/>
      <c r="BF30" s="33"/>
      <c r="BG30" s="33"/>
      <c r="BH30" s="33"/>
      <c r="BI30" s="25" t="s">
        <v>12</v>
      </c>
      <c r="BJ30" s="27"/>
      <c r="BK30" s="27"/>
      <c r="BL30" s="27"/>
      <c r="BM30" s="28"/>
      <c r="BN30" s="27"/>
      <c r="BO30" s="27"/>
      <c r="BP30" s="29" t="s">
        <v>16</v>
      </c>
      <c r="BQ30" s="30" t="s">
        <v>13</v>
      </c>
      <c r="BR30" s="27"/>
      <c r="BS30" s="27"/>
      <c r="BT30" s="28"/>
      <c r="BU30" s="27"/>
      <c r="BV30" s="27"/>
      <c r="BW30" s="29" t="s">
        <v>14</v>
      </c>
      <c r="BX30" s="30" t="s">
        <v>11</v>
      </c>
      <c r="BY30" s="37"/>
      <c r="BZ30" s="27"/>
      <c r="CA30" s="28"/>
      <c r="CB30" s="27"/>
      <c r="CC30" s="29" t="s">
        <v>15</v>
      </c>
      <c r="CD30" s="27"/>
      <c r="CE30" s="27"/>
      <c r="CF30" s="25">
        <v>17</v>
      </c>
      <c r="CG30" s="33"/>
      <c r="CH30" s="33"/>
      <c r="CI30" s="33"/>
      <c r="CJ30" s="33"/>
      <c r="CK30" s="33"/>
      <c r="CL30" s="33"/>
      <c r="CM30" s="33"/>
      <c r="CN30" s="33"/>
      <c r="CO30" s="33"/>
      <c r="CP30" s="33"/>
    </row>
    <row r="31" spans="1:94" x14ac:dyDescent="0.25">
      <c r="A31" s="25" t="s">
        <v>8</v>
      </c>
      <c r="B31" s="25" t="s">
        <v>183</v>
      </c>
      <c r="C31" s="25" t="s">
        <v>328</v>
      </c>
      <c r="D31" s="25">
        <v>18</v>
      </c>
      <c r="E31" s="35" cm="1">
        <f t="array" ref="E31">IFERROR(INDEX($J$5:$AVX$5, _xlfn.AGGREGATE(15,6, COLUMN(J31:AVX31)-COLUMN(J31)+1 / (J31:AVX31="T"), F31)), "")</f>
        <v>46013</v>
      </c>
      <c r="F31" s="74">
        <f t="shared" si="18"/>
        <v>2</v>
      </c>
      <c r="G31" s="35" cm="1">
        <f t="array" ref="G31">IFERROR(INDEX($J$5:$AVW$5,_xlfn.AGGREGATE(14,6,(COLUMN($J31:$AVW31)-COLUMN($J31)+1)/($J31:$AVW31="T"),1)),"")</f>
        <v>46013</v>
      </c>
      <c r="H31" s="77">
        <f t="shared" si="19"/>
        <v>2</v>
      </c>
      <c r="I31" s="38" t="s">
        <v>10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25" t="s">
        <v>12</v>
      </c>
      <c r="AH31" s="27"/>
      <c r="AI31" s="27"/>
      <c r="AJ31" s="27"/>
      <c r="AK31" s="28"/>
      <c r="AL31" s="27"/>
      <c r="AM31" s="27"/>
      <c r="AN31" s="29" t="s">
        <v>16</v>
      </c>
      <c r="AO31" s="30" t="s">
        <v>13</v>
      </c>
      <c r="AP31" s="27"/>
      <c r="AQ31" s="27"/>
      <c r="AR31" s="28"/>
      <c r="AS31" s="27"/>
      <c r="AT31" s="27"/>
      <c r="AU31" s="32" t="s">
        <v>14</v>
      </c>
      <c r="AV31" s="30" t="s">
        <v>11</v>
      </c>
      <c r="AW31" s="27"/>
      <c r="AX31" s="27"/>
      <c r="AY31" s="28"/>
      <c r="AZ31" s="27"/>
      <c r="BA31" s="29" t="s">
        <v>15</v>
      </c>
      <c r="BB31" s="27"/>
      <c r="BC31" s="27"/>
      <c r="BD31" s="25">
        <v>17</v>
      </c>
      <c r="BE31" s="33"/>
      <c r="BF31" s="33"/>
      <c r="BG31" s="33"/>
      <c r="BH31" s="33"/>
      <c r="BI31" s="25" t="s">
        <v>12</v>
      </c>
      <c r="BJ31" s="27"/>
      <c r="BK31" s="27"/>
      <c r="BL31" s="27"/>
      <c r="BM31" s="28"/>
      <c r="BN31" s="27"/>
      <c r="BO31" s="27"/>
      <c r="BP31" s="29" t="s">
        <v>16</v>
      </c>
      <c r="BQ31" s="30" t="s">
        <v>13</v>
      </c>
      <c r="BR31" s="27"/>
      <c r="BS31" s="27"/>
      <c r="BT31" s="28"/>
      <c r="BU31" s="27"/>
      <c r="BV31" s="27"/>
      <c r="BW31" s="29" t="s">
        <v>14</v>
      </c>
      <c r="BX31" s="30" t="s">
        <v>11</v>
      </c>
      <c r="BY31" s="37"/>
      <c r="BZ31" s="27"/>
      <c r="CA31" s="28"/>
      <c r="CB31" s="27"/>
      <c r="CC31" s="29" t="s">
        <v>15</v>
      </c>
      <c r="CD31" s="27"/>
      <c r="CE31" s="27"/>
      <c r="CF31" s="25">
        <v>17</v>
      </c>
      <c r="CG31" s="33"/>
      <c r="CH31" s="33"/>
      <c r="CI31" s="33"/>
      <c r="CJ31" s="33"/>
      <c r="CK31" s="33"/>
      <c r="CL31" s="33"/>
      <c r="CM31" s="33"/>
      <c r="CN31" s="33"/>
      <c r="CO31" s="33"/>
      <c r="CP31" s="33"/>
    </row>
    <row r="32" spans="1:94" x14ac:dyDescent="0.25">
      <c r="A32" s="25" t="s">
        <v>8</v>
      </c>
      <c r="B32" s="25" t="s">
        <v>184</v>
      </c>
      <c r="C32" s="25" t="s">
        <v>329</v>
      </c>
      <c r="D32" s="25">
        <v>19</v>
      </c>
      <c r="E32" s="35" cm="1">
        <f t="array" ref="E32">IFERROR(INDEX($J$5:$AVX$5, _xlfn.AGGREGATE(15,6, COLUMN(J32:AVX32)-COLUMN(J32)+1 / (J32:AVX32="T"), F32)), "")</f>
        <v>46013</v>
      </c>
      <c r="F32" s="74">
        <f t="shared" si="18"/>
        <v>2</v>
      </c>
      <c r="G32" s="35" cm="1">
        <f t="array" ref="G32">IFERROR(INDEX($J$5:$AVW$5,_xlfn.AGGREGATE(14,6,(COLUMN($J32:$AVW32)-COLUMN($J32)+1)/($J32:$AVW32="T"),1)),"")</f>
        <v>46013</v>
      </c>
      <c r="H32" s="77">
        <f t="shared" si="19"/>
        <v>2</v>
      </c>
      <c r="I32" s="38" t="s">
        <v>10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25" t="s">
        <v>12</v>
      </c>
      <c r="AH32" s="27"/>
      <c r="AI32" s="27"/>
      <c r="AJ32" s="27"/>
      <c r="AK32" s="28"/>
      <c r="AL32" s="27"/>
      <c r="AM32" s="27"/>
      <c r="AN32" s="29" t="s">
        <v>16</v>
      </c>
      <c r="AO32" s="30" t="s">
        <v>13</v>
      </c>
      <c r="AP32" s="27"/>
      <c r="AQ32" s="27"/>
      <c r="AR32" s="28"/>
      <c r="AS32" s="27"/>
      <c r="AT32" s="27"/>
      <c r="AU32" s="32" t="s">
        <v>14</v>
      </c>
      <c r="AV32" s="30" t="s">
        <v>11</v>
      </c>
      <c r="AW32" s="27"/>
      <c r="AX32" s="27"/>
      <c r="AY32" s="28"/>
      <c r="AZ32" s="27"/>
      <c r="BA32" s="29" t="s">
        <v>15</v>
      </c>
      <c r="BB32" s="27"/>
      <c r="BC32" s="27"/>
      <c r="BD32" s="25">
        <v>17</v>
      </c>
      <c r="BE32" s="33"/>
      <c r="BF32" s="33"/>
      <c r="BG32" s="33"/>
      <c r="BH32" s="33"/>
      <c r="BI32" s="25" t="s">
        <v>12</v>
      </c>
      <c r="BJ32" s="27"/>
      <c r="BK32" s="27"/>
      <c r="BL32" s="27"/>
      <c r="BM32" s="28"/>
      <c r="BN32" s="27"/>
      <c r="BO32" s="27"/>
      <c r="BP32" s="29" t="s">
        <v>16</v>
      </c>
      <c r="BQ32" s="30" t="s">
        <v>13</v>
      </c>
      <c r="BR32" s="27"/>
      <c r="BS32" s="27"/>
      <c r="BT32" s="28"/>
      <c r="BU32" s="27"/>
      <c r="BV32" s="27"/>
      <c r="BW32" s="29" t="s">
        <v>14</v>
      </c>
      <c r="BX32" s="30" t="s">
        <v>11</v>
      </c>
      <c r="BY32" s="37"/>
      <c r="BZ32" s="27"/>
      <c r="CA32" s="28"/>
      <c r="CB32" s="27"/>
      <c r="CC32" s="29" t="s">
        <v>15</v>
      </c>
      <c r="CD32" s="27"/>
      <c r="CE32" s="27"/>
      <c r="CF32" s="25">
        <v>17</v>
      </c>
      <c r="CG32" s="33"/>
      <c r="CH32" s="33"/>
      <c r="CI32" s="33"/>
      <c r="CJ32" s="33"/>
      <c r="CK32" s="33"/>
      <c r="CL32" s="33"/>
      <c r="CM32" s="33"/>
      <c r="CN32" s="33"/>
      <c r="CO32" s="33"/>
      <c r="CP32" s="33"/>
    </row>
    <row r="33" spans="1:94" s="43" customFormat="1" x14ac:dyDescent="0.25">
      <c r="A33" s="41" t="s">
        <v>8</v>
      </c>
      <c r="B33" s="41" t="s">
        <v>185</v>
      </c>
      <c r="C33" s="25" t="s">
        <v>330</v>
      </c>
      <c r="D33" s="25">
        <v>20</v>
      </c>
      <c r="E33" s="35" t="str" cm="1">
        <f t="array" ref="E33">IFERROR(INDEX($J$5:$AVX$5, _xlfn.AGGREGATE(15,6, COLUMN(J33:AVX33)-COLUMN(J33)+1 / (J33:AVX33="T"), F33)), "")</f>
        <v/>
      </c>
      <c r="F33" s="74">
        <f t="shared" si="18"/>
        <v>2</v>
      </c>
      <c r="G33" s="35" t="str" cm="1">
        <f t="array" ref="G33">IFERROR(INDEX($J$5:$AVW$5,_xlfn.AGGREGATE(14,6,(COLUMN($J33:$AVW33)-COLUMN($J33)+1)/($J33:$AVW33="T"),1)),"")</f>
        <v/>
      </c>
      <c r="H33" s="77">
        <f t="shared" si="19"/>
        <v>0</v>
      </c>
      <c r="I33" s="42" t="s">
        <v>10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</row>
    <row r="34" spans="1:94" x14ac:dyDescent="0.25">
      <c r="A34" s="25" t="s">
        <v>8</v>
      </c>
      <c r="B34" s="25" t="s">
        <v>186</v>
      </c>
      <c r="C34" s="25" t="s">
        <v>331</v>
      </c>
      <c r="D34" s="25">
        <v>21</v>
      </c>
      <c r="E34" s="35" cm="1">
        <f t="array" ref="E34">IFERROR(INDEX($J$5:$AVX$5, _xlfn.AGGREGATE(15,6, COLUMN(J34:AVX34)-COLUMN(J34)+1 / (J34:AVX34="T"), F34)), "")</f>
        <v>46010</v>
      </c>
      <c r="F34" s="74">
        <f t="shared" si="18"/>
        <v>2</v>
      </c>
      <c r="G34" s="35" cm="1">
        <f t="array" ref="G34">IFERROR(INDEX($J$5:$AVW$5,_xlfn.AGGREGATE(14,6,(COLUMN($J34:$AVW34)-COLUMN($J34)+1)/($J34:$AVW34="T"),1)),"")</f>
        <v>46010</v>
      </c>
      <c r="H34" s="77">
        <f t="shared" si="19"/>
        <v>2</v>
      </c>
      <c r="I34" s="38" t="s">
        <v>10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25" t="s">
        <v>12</v>
      </c>
      <c r="AE34" s="27"/>
      <c r="AF34" s="27"/>
      <c r="AG34" s="27"/>
      <c r="AH34" s="28"/>
      <c r="AI34" s="27"/>
      <c r="AJ34" s="27"/>
      <c r="AK34" s="29" t="s">
        <v>16</v>
      </c>
      <c r="AL34" s="30" t="s">
        <v>13</v>
      </c>
      <c r="AM34" s="27"/>
      <c r="AN34" s="27"/>
      <c r="AO34" s="28"/>
      <c r="AP34" s="27"/>
      <c r="AQ34" s="27"/>
      <c r="AR34" s="32" t="s">
        <v>14</v>
      </c>
      <c r="AS34" s="30" t="s">
        <v>11</v>
      </c>
      <c r="AT34" s="27"/>
      <c r="AU34" s="27"/>
      <c r="AV34" s="28"/>
      <c r="AW34" s="27"/>
      <c r="AX34" s="29" t="s">
        <v>15</v>
      </c>
      <c r="AY34" s="27"/>
      <c r="AZ34" s="27"/>
      <c r="BA34" s="25">
        <v>17</v>
      </c>
      <c r="BB34" s="33"/>
      <c r="BC34" s="33"/>
      <c r="BD34" s="33"/>
      <c r="BE34" s="33"/>
      <c r="BF34" s="25" t="s">
        <v>12</v>
      </c>
      <c r="BG34" s="27"/>
      <c r="BH34" s="27"/>
      <c r="BI34" s="27"/>
      <c r="BJ34" s="28"/>
      <c r="BK34" s="27"/>
      <c r="BL34" s="27"/>
      <c r="BM34" s="29" t="s">
        <v>16</v>
      </c>
      <c r="BN34" s="30" t="s">
        <v>13</v>
      </c>
      <c r="BO34" s="27"/>
      <c r="BP34" s="27"/>
      <c r="BQ34" s="28"/>
      <c r="BR34" s="27"/>
      <c r="BS34" s="27"/>
      <c r="BT34" s="32" t="s">
        <v>14</v>
      </c>
      <c r="BU34" s="30" t="s">
        <v>11</v>
      </c>
      <c r="BV34" s="27"/>
      <c r="BW34" s="27"/>
      <c r="BX34" s="28"/>
      <c r="BY34" s="27"/>
      <c r="BZ34" s="29" t="s">
        <v>15</v>
      </c>
      <c r="CA34" s="27"/>
      <c r="CB34" s="27"/>
      <c r="CC34" s="25">
        <v>17</v>
      </c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</row>
    <row r="35" spans="1:94" x14ac:dyDescent="0.25">
      <c r="A35" s="25" t="s">
        <v>8</v>
      </c>
      <c r="B35" s="25" t="s">
        <v>187</v>
      </c>
      <c r="C35" s="25" t="s">
        <v>332</v>
      </c>
      <c r="D35" s="25">
        <v>22</v>
      </c>
      <c r="E35" s="35" cm="1">
        <f t="array" ref="E35">IFERROR(INDEX($J$5:$AVX$5, _xlfn.AGGREGATE(15,6, COLUMN(J35:AVX35)-COLUMN(J35)+1 / (J35:AVX35="T"), F35)), "")</f>
        <v>46010</v>
      </c>
      <c r="F35" s="74">
        <f t="shared" si="18"/>
        <v>2</v>
      </c>
      <c r="G35" s="35" cm="1">
        <f t="array" ref="G35">IFERROR(INDEX($J$5:$AVW$5,_xlfn.AGGREGATE(14,6,(COLUMN($J35:$AVW35)-COLUMN($J35)+1)/($J35:$AVW35="T"),1)),"")</f>
        <v>46010</v>
      </c>
      <c r="H35" s="77">
        <f t="shared" si="19"/>
        <v>2</v>
      </c>
      <c r="I35" s="38" t="s">
        <v>10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25" t="s">
        <v>12</v>
      </c>
      <c r="AE35" s="27"/>
      <c r="AF35" s="27"/>
      <c r="AG35" s="27"/>
      <c r="AH35" s="28"/>
      <c r="AI35" s="27"/>
      <c r="AJ35" s="27"/>
      <c r="AK35" s="29" t="s">
        <v>16</v>
      </c>
      <c r="AL35" s="30" t="s">
        <v>13</v>
      </c>
      <c r="AM35" s="27"/>
      <c r="AN35" s="27"/>
      <c r="AO35" s="28"/>
      <c r="AP35" s="27"/>
      <c r="AQ35" s="27"/>
      <c r="AR35" s="29" t="s">
        <v>14</v>
      </c>
      <c r="AS35" s="30" t="s">
        <v>11</v>
      </c>
      <c r="AT35" s="37"/>
      <c r="AU35" s="27"/>
      <c r="AV35" s="28"/>
      <c r="AW35" s="27"/>
      <c r="AX35" s="29" t="s">
        <v>15</v>
      </c>
      <c r="AY35" s="27"/>
      <c r="AZ35" s="27"/>
      <c r="BA35" s="25">
        <v>17</v>
      </c>
      <c r="BB35" s="33"/>
      <c r="BC35" s="33"/>
      <c r="BD35" s="33"/>
      <c r="BE35" s="33"/>
      <c r="BF35" s="25" t="s">
        <v>12</v>
      </c>
      <c r="BG35" s="27"/>
      <c r="BH35" s="27"/>
      <c r="BI35" s="27"/>
      <c r="BJ35" s="28"/>
      <c r="BK35" s="27"/>
      <c r="BL35" s="27"/>
      <c r="BM35" s="29" t="s">
        <v>16</v>
      </c>
      <c r="BN35" s="30" t="s">
        <v>13</v>
      </c>
      <c r="BO35" s="27"/>
      <c r="BP35" s="27"/>
      <c r="BQ35" s="28"/>
      <c r="BR35" s="27"/>
      <c r="BS35" s="27"/>
      <c r="BT35" s="29" t="s">
        <v>14</v>
      </c>
      <c r="BU35" s="30" t="s">
        <v>11</v>
      </c>
      <c r="BV35" s="37"/>
      <c r="BW35" s="27"/>
      <c r="BX35" s="28"/>
      <c r="BY35" s="27"/>
      <c r="BZ35" s="29" t="s">
        <v>15</v>
      </c>
      <c r="CA35" s="27"/>
      <c r="CB35" s="27"/>
      <c r="CC35" s="25">
        <v>17</v>
      </c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</row>
    <row r="36" spans="1:94" x14ac:dyDescent="0.25">
      <c r="A36" s="25" t="s">
        <v>8</v>
      </c>
      <c r="B36" s="25" t="s">
        <v>188</v>
      </c>
      <c r="C36" s="25" t="s">
        <v>333</v>
      </c>
      <c r="D36" s="25">
        <v>23</v>
      </c>
      <c r="E36" s="35" cm="1">
        <f t="array" ref="E36">IFERROR(INDEX($J$5:$AVX$5, _xlfn.AGGREGATE(15,6, COLUMN(J36:AVX36)-COLUMN(J36)+1 / (J36:AVX36="T"), F36)), "")</f>
        <v>46010</v>
      </c>
      <c r="F36" s="74">
        <f t="shared" si="18"/>
        <v>2</v>
      </c>
      <c r="G36" s="35" cm="1">
        <f t="array" ref="G36">IFERROR(INDEX($J$5:$AVW$5,_xlfn.AGGREGATE(14,6,(COLUMN($J36:$AVW36)-COLUMN($J36)+1)/($J36:$AVW36="T"),1)),"")</f>
        <v>46010</v>
      </c>
      <c r="H36" s="77">
        <f t="shared" si="19"/>
        <v>2</v>
      </c>
      <c r="I36" s="38" t="s">
        <v>10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25" t="s">
        <v>12</v>
      </c>
      <c r="AE36" s="27"/>
      <c r="AF36" s="27"/>
      <c r="AG36" s="27"/>
      <c r="AH36" s="28"/>
      <c r="AI36" s="27"/>
      <c r="AJ36" s="27"/>
      <c r="AK36" s="29" t="s">
        <v>16</v>
      </c>
      <c r="AL36" s="30" t="s">
        <v>13</v>
      </c>
      <c r="AM36" s="27"/>
      <c r="AN36" s="27"/>
      <c r="AO36" s="28"/>
      <c r="AP36" s="27"/>
      <c r="AQ36" s="27"/>
      <c r="AR36" s="29" t="s">
        <v>14</v>
      </c>
      <c r="AS36" s="30" t="s">
        <v>11</v>
      </c>
      <c r="AT36" s="37"/>
      <c r="AU36" s="27"/>
      <c r="AV36" s="28"/>
      <c r="AW36" s="27"/>
      <c r="AX36" s="29" t="s">
        <v>15</v>
      </c>
      <c r="AY36" s="27"/>
      <c r="AZ36" s="27"/>
      <c r="BA36" s="25">
        <v>17</v>
      </c>
      <c r="BB36" s="33"/>
      <c r="BC36" s="33"/>
      <c r="BD36" s="33"/>
      <c r="BE36" s="33"/>
      <c r="BF36" s="25" t="s">
        <v>12</v>
      </c>
      <c r="BG36" s="27"/>
      <c r="BH36" s="27"/>
      <c r="BI36" s="27"/>
      <c r="BJ36" s="28"/>
      <c r="BK36" s="27"/>
      <c r="BL36" s="27"/>
      <c r="BM36" s="29" t="s">
        <v>16</v>
      </c>
      <c r="BN36" s="30" t="s">
        <v>13</v>
      </c>
      <c r="BO36" s="27"/>
      <c r="BP36" s="27"/>
      <c r="BQ36" s="28"/>
      <c r="BR36" s="27"/>
      <c r="BS36" s="27"/>
      <c r="BT36" s="29" t="s">
        <v>14</v>
      </c>
      <c r="BU36" s="30" t="s">
        <v>11</v>
      </c>
      <c r="BV36" s="37"/>
      <c r="BW36" s="27"/>
      <c r="BX36" s="28"/>
      <c r="BY36" s="27"/>
      <c r="BZ36" s="29" t="s">
        <v>15</v>
      </c>
      <c r="CA36" s="27"/>
      <c r="CB36" s="27"/>
      <c r="CC36" s="25">
        <v>17</v>
      </c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</row>
    <row r="37" spans="1:94" x14ac:dyDescent="0.25">
      <c r="A37" s="25" t="s">
        <v>8</v>
      </c>
      <c r="B37" s="25" t="s">
        <v>189</v>
      </c>
      <c r="C37" s="25" t="s">
        <v>334</v>
      </c>
      <c r="D37" s="25">
        <v>24</v>
      </c>
      <c r="E37" s="35" cm="1">
        <f t="array" ref="E37">IFERROR(INDEX($J$5:$AVX$5, _xlfn.AGGREGATE(15,6, COLUMN(J37:AVX37)-COLUMN(J37)+1 / (J37:AVX37="T"), F37)), "")</f>
        <v>46010</v>
      </c>
      <c r="F37" s="74">
        <f t="shared" si="18"/>
        <v>2</v>
      </c>
      <c r="G37" s="35" cm="1">
        <f t="array" ref="G37">IFERROR(INDEX($J$5:$AVW$5,_xlfn.AGGREGATE(14,6,(COLUMN($J37:$AVW37)-COLUMN($J37)+1)/($J37:$AVW37="T"),1)),"")</f>
        <v>46010</v>
      </c>
      <c r="H37" s="77">
        <f t="shared" si="19"/>
        <v>2</v>
      </c>
      <c r="I37" s="38" t="s">
        <v>10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25" t="s">
        <v>12</v>
      </c>
      <c r="AE37" s="27"/>
      <c r="AF37" s="27"/>
      <c r="AG37" s="27"/>
      <c r="AH37" s="28"/>
      <c r="AI37" s="27"/>
      <c r="AJ37" s="27"/>
      <c r="AK37" s="29" t="s">
        <v>16</v>
      </c>
      <c r="AL37" s="30" t="s">
        <v>13</v>
      </c>
      <c r="AM37" s="27"/>
      <c r="AN37" s="27"/>
      <c r="AO37" s="28"/>
      <c r="AP37" s="27"/>
      <c r="AQ37" s="27"/>
      <c r="AR37" s="29" t="s">
        <v>14</v>
      </c>
      <c r="AS37" s="30" t="s">
        <v>11</v>
      </c>
      <c r="AT37" s="37"/>
      <c r="AU37" s="27"/>
      <c r="AV37" s="28"/>
      <c r="AW37" s="27"/>
      <c r="AX37" s="29" t="s">
        <v>15</v>
      </c>
      <c r="AY37" s="27"/>
      <c r="AZ37" s="27"/>
      <c r="BA37" s="25">
        <v>17</v>
      </c>
      <c r="BB37" s="33"/>
      <c r="BC37" s="33"/>
      <c r="BD37" s="33"/>
      <c r="BE37" s="33"/>
      <c r="BF37" s="25" t="s">
        <v>12</v>
      </c>
      <c r="BG37" s="27"/>
      <c r="BH37" s="27"/>
      <c r="BI37" s="27"/>
      <c r="BJ37" s="28"/>
      <c r="BK37" s="27"/>
      <c r="BL37" s="27"/>
      <c r="BM37" s="29" t="s">
        <v>16</v>
      </c>
      <c r="BN37" s="30" t="s">
        <v>13</v>
      </c>
      <c r="BO37" s="27"/>
      <c r="BP37" s="27"/>
      <c r="BQ37" s="28"/>
      <c r="BR37" s="27"/>
      <c r="BS37" s="27"/>
      <c r="BT37" s="29" t="s">
        <v>14</v>
      </c>
      <c r="BU37" s="30" t="s">
        <v>11</v>
      </c>
      <c r="BV37" s="37"/>
      <c r="BW37" s="27"/>
      <c r="BX37" s="28"/>
      <c r="BY37" s="27"/>
      <c r="BZ37" s="29" t="s">
        <v>15</v>
      </c>
      <c r="CA37" s="27"/>
      <c r="CB37" s="27"/>
      <c r="CC37" s="25">
        <v>17</v>
      </c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</row>
    <row r="38" spans="1:94" x14ac:dyDescent="0.25">
      <c r="A38" s="25" t="s">
        <v>8</v>
      </c>
      <c r="B38" s="25" t="s">
        <v>190</v>
      </c>
      <c r="C38" s="25" t="s">
        <v>335</v>
      </c>
      <c r="D38" s="25">
        <v>25</v>
      </c>
      <c r="E38" s="35" cm="1">
        <f t="array" ref="E38">IFERROR(INDEX($J$5:$AVX$5, _xlfn.AGGREGATE(15,6, COLUMN(J38:AVX38)-COLUMN(J38)+1 / (J38:AVX38="T"), F38)), "")</f>
        <v>46010</v>
      </c>
      <c r="F38" s="74">
        <f t="shared" si="18"/>
        <v>2</v>
      </c>
      <c r="G38" s="35" cm="1">
        <f t="array" ref="G38">IFERROR(INDEX($J$5:$AVW$5,_xlfn.AGGREGATE(14,6,(COLUMN($J38:$AVW38)-COLUMN($J38)+1)/($J38:$AVW38="T"),1)),"")</f>
        <v>46010</v>
      </c>
      <c r="H38" s="77">
        <f t="shared" si="19"/>
        <v>2</v>
      </c>
      <c r="I38" s="38" t="s">
        <v>10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25" t="s">
        <v>12</v>
      </c>
      <c r="AE38" s="27"/>
      <c r="AF38" s="27"/>
      <c r="AG38" s="27"/>
      <c r="AH38" s="28"/>
      <c r="AI38" s="27"/>
      <c r="AJ38" s="27"/>
      <c r="AK38" s="29" t="s">
        <v>16</v>
      </c>
      <c r="AL38" s="30" t="s">
        <v>13</v>
      </c>
      <c r="AM38" s="27"/>
      <c r="AN38" s="27"/>
      <c r="AO38" s="28"/>
      <c r="AP38" s="27"/>
      <c r="AQ38" s="27"/>
      <c r="AR38" s="29" t="s">
        <v>14</v>
      </c>
      <c r="AS38" s="30" t="s">
        <v>11</v>
      </c>
      <c r="AT38" s="37"/>
      <c r="AU38" s="27"/>
      <c r="AV38" s="28"/>
      <c r="AW38" s="27"/>
      <c r="AX38" s="29" t="s">
        <v>15</v>
      </c>
      <c r="AY38" s="27"/>
      <c r="AZ38" s="27"/>
      <c r="BA38" s="25">
        <v>17</v>
      </c>
      <c r="BB38" s="33"/>
      <c r="BC38" s="33"/>
      <c r="BD38" s="33"/>
      <c r="BE38" s="33"/>
      <c r="BF38" s="25" t="s">
        <v>12</v>
      </c>
      <c r="BG38" s="27"/>
      <c r="BH38" s="27"/>
      <c r="BI38" s="27"/>
      <c r="BJ38" s="28"/>
      <c r="BK38" s="27"/>
      <c r="BL38" s="27"/>
      <c r="BM38" s="29" t="s">
        <v>16</v>
      </c>
      <c r="BN38" s="30" t="s">
        <v>13</v>
      </c>
      <c r="BO38" s="27"/>
      <c r="BP38" s="27"/>
      <c r="BQ38" s="28"/>
      <c r="BR38" s="27"/>
      <c r="BS38" s="27"/>
      <c r="BT38" s="29" t="s">
        <v>14</v>
      </c>
      <c r="BU38" s="30" t="s">
        <v>11</v>
      </c>
      <c r="BV38" s="37"/>
      <c r="BW38" s="27"/>
      <c r="BX38" s="28"/>
      <c r="BY38" s="27"/>
      <c r="BZ38" s="29" t="s">
        <v>15</v>
      </c>
      <c r="CA38" s="27"/>
      <c r="CB38" s="27"/>
      <c r="CC38" s="25">
        <v>17</v>
      </c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</row>
    <row r="39" spans="1:94" x14ac:dyDescent="0.25">
      <c r="A39" s="25" t="s">
        <v>8</v>
      </c>
      <c r="B39" s="25" t="s">
        <v>191</v>
      </c>
      <c r="C39" s="25" t="s">
        <v>336</v>
      </c>
      <c r="D39" s="25">
        <v>26</v>
      </c>
      <c r="E39" s="35" cm="1">
        <f t="array" ref="E39">IFERROR(INDEX($J$5:$AVX$5, _xlfn.AGGREGATE(15,6, COLUMN(J39:AVX39)-COLUMN(J39)+1 / (J39:AVX39="T"), F39)), "")</f>
        <v>46010</v>
      </c>
      <c r="F39" s="74">
        <f t="shared" si="18"/>
        <v>2</v>
      </c>
      <c r="G39" s="35" cm="1">
        <f t="array" ref="G39">IFERROR(INDEX($J$5:$AVW$5,_xlfn.AGGREGATE(14,6,(COLUMN($J39:$AVW39)-COLUMN($J39)+1)/($J39:$AVW39="T"),1)),"")</f>
        <v>46010</v>
      </c>
      <c r="H39" s="77">
        <f t="shared" si="19"/>
        <v>2</v>
      </c>
      <c r="I39" s="38" t="s">
        <v>10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25" t="s">
        <v>12</v>
      </c>
      <c r="AE39" s="27"/>
      <c r="AF39" s="27"/>
      <c r="AG39" s="27"/>
      <c r="AH39" s="28"/>
      <c r="AI39" s="27"/>
      <c r="AJ39" s="27"/>
      <c r="AK39" s="29" t="s">
        <v>16</v>
      </c>
      <c r="AL39" s="30" t="s">
        <v>13</v>
      </c>
      <c r="AM39" s="27"/>
      <c r="AN39" s="27"/>
      <c r="AO39" s="28"/>
      <c r="AP39" s="27"/>
      <c r="AQ39" s="27"/>
      <c r="AR39" s="29" t="s">
        <v>14</v>
      </c>
      <c r="AS39" s="30" t="s">
        <v>11</v>
      </c>
      <c r="AT39" s="37"/>
      <c r="AU39" s="27"/>
      <c r="AV39" s="28"/>
      <c r="AW39" s="27"/>
      <c r="AX39" s="29" t="s">
        <v>15</v>
      </c>
      <c r="AY39" s="27"/>
      <c r="AZ39" s="27"/>
      <c r="BA39" s="25">
        <v>17</v>
      </c>
      <c r="BB39" s="33"/>
      <c r="BC39" s="33"/>
      <c r="BD39" s="33"/>
      <c r="BE39" s="33"/>
      <c r="BF39" s="25" t="s">
        <v>12</v>
      </c>
      <c r="BG39" s="27"/>
      <c r="BH39" s="27"/>
      <c r="BI39" s="27"/>
      <c r="BJ39" s="28"/>
      <c r="BK39" s="27"/>
      <c r="BL39" s="27"/>
      <c r="BM39" s="29" t="s">
        <v>16</v>
      </c>
      <c r="BN39" s="30" t="s">
        <v>13</v>
      </c>
      <c r="BO39" s="27"/>
      <c r="BP39" s="27"/>
      <c r="BQ39" s="28"/>
      <c r="BR39" s="27"/>
      <c r="BS39" s="27"/>
      <c r="BT39" s="29" t="s">
        <v>14</v>
      </c>
      <c r="BU39" s="30" t="s">
        <v>11</v>
      </c>
      <c r="BV39" s="37"/>
      <c r="BW39" s="27"/>
      <c r="BX39" s="28"/>
      <c r="BY39" s="27"/>
      <c r="BZ39" s="29" t="s">
        <v>15</v>
      </c>
      <c r="CA39" s="27"/>
      <c r="CB39" s="27"/>
      <c r="CC39" s="25">
        <v>17</v>
      </c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</row>
    <row r="40" spans="1:94" x14ac:dyDescent="0.25">
      <c r="A40" s="25" t="s">
        <v>8</v>
      </c>
      <c r="B40" s="25" t="s">
        <v>192</v>
      </c>
      <c r="C40" s="25" t="s">
        <v>337</v>
      </c>
      <c r="D40" s="25">
        <v>27</v>
      </c>
      <c r="E40" s="35" cm="1">
        <f t="array" ref="E40">IFERROR(INDEX($J$5:$AVX$5, _xlfn.AGGREGATE(15,6, COLUMN(J40:AVX40)-COLUMN(J40)+1 / (J40:AVX40="T"), F40)), "")</f>
        <v>46010</v>
      </c>
      <c r="F40" s="74">
        <f t="shared" si="18"/>
        <v>2</v>
      </c>
      <c r="G40" s="35" cm="1">
        <f t="array" ref="G40">IFERROR(INDEX($J$5:$AVW$5,_xlfn.AGGREGATE(14,6,(COLUMN($J40:$AVW40)-COLUMN($J40)+1)/($J40:$AVW40="T"),1)),"")</f>
        <v>46010</v>
      </c>
      <c r="H40" s="77">
        <f t="shared" si="19"/>
        <v>2</v>
      </c>
      <c r="I40" s="38" t="s">
        <v>10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25" t="s">
        <v>12</v>
      </c>
      <c r="AE40" s="27"/>
      <c r="AF40" s="27"/>
      <c r="AG40" s="27"/>
      <c r="AH40" s="28"/>
      <c r="AI40" s="27"/>
      <c r="AJ40" s="27"/>
      <c r="AK40" s="29" t="s">
        <v>16</v>
      </c>
      <c r="AL40" s="30" t="s">
        <v>13</v>
      </c>
      <c r="AM40" s="27"/>
      <c r="AN40" s="27"/>
      <c r="AO40" s="28"/>
      <c r="AP40" s="27"/>
      <c r="AQ40" s="27"/>
      <c r="AR40" s="29" t="s">
        <v>14</v>
      </c>
      <c r="AS40" s="30" t="s">
        <v>11</v>
      </c>
      <c r="AT40" s="37"/>
      <c r="AU40" s="27"/>
      <c r="AV40" s="28"/>
      <c r="AW40" s="27"/>
      <c r="AX40" s="29" t="s">
        <v>15</v>
      </c>
      <c r="AY40" s="27"/>
      <c r="AZ40" s="27"/>
      <c r="BA40" s="25">
        <v>17</v>
      </c>
      <c r="BB40" s="33"/>
      <c r="BC40" s="33"/>
      <c r="BD40" s="33"/>
      <c r="BE40" s="33"/>
      <c r="BF40" s="25" t="s">
        <v>12</v>
      </c>
      <c r="BG40" s="27"/>
      <c r="BH40" s="27"/>
      <c r="BI40" s="27"/>
      <c r="BJ40" s="28"/>
      <c r="BK40" s="27"/>
      <c r="BL40" s="27"/>
      <c r="BM40" s="29" t="s">
        <v>16</v>
      </c>
      <c r="BN40" s="30" t="s">
        <v>13</v>
      </c>
      <c r="BO40" s="27"/>
      <c r="BP40" s="27"/>
      <c r="BQ40" s="28"/>
      <c r="BR40" s="27"/>
      <c r="BS40" s="27"/>
      <c r="BT40" s="29" t="s">
        <v>14</v>
      </c>
      <c r="BU40" s="30" t="s">
        <v>11</v>
      </c>
      <c r="BV40" s="37"/>
      <c r="BW40" s="27"/>
      <c r="BX40" s="28"/>
      <c r="BY40" s="27"/>
      <c r="BZ40" s="29" t="s">
        <v>15</v>
      </c>
      <c r="CA40" s="27"/>
      <c r="CB40" s="27"/>
      <c r="CC40" s="25">
        <v>17</v>
      </c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</row>
    <row r="41" spans="1:94" x14ac:dyDescent="0.25">
      <c r="A41" s="25" t="s">
        <v>8</v>
      </c>
      <c r="B41" s="25" t="s">
        <v>193</v>
      </c>
      <c r="C41" s="25" t="s">
        <v>338</v>
      </c>
      <c r="D41" s="25">
        <v>28</v>
      </c>
      <c r="E41" s="35" cm="1">
        <f t="array" ref="E41">IFERROR(INDEX($J$5:$AVX$5, _xlfn.AGGREGATE(15,6, COLUMN(J41:AVX41)-COLUMN(J41)+1 / (J41:AVX41="T"), F41)), "")</f>
        <v>46012</v>
      </c>
      <c r="F41" s="74">
        <f t="shared" si="18"/>
        <v>2</v>
      </c>
      <c r="G41" s="35" cm="1">
        <f t="array" ref="G41">IFERROR(INDEX($J$5:$AVW$5,_xlfn.AGGREGATE(14,6,(COLUMN($J41:$AVW41)-COLUMN($J41)+1)/($J41:$AVW41="T"),1)),"")</f>
        <v>46012</v>
      </c>
      <c r="H41" s="77">
        <f t="shared" si="19"/>
        <v>2</v>
      </c>
      <c r="I41" s="38" t="s">
        <v>10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25" t="s">
        <v>12</v>
      </c>
      <c r="AG41" s="27"/>
      <c r="AH41" s="27"/>
      <c r="AI41" s="27"/>
      <c r="AJ41" s="28"/>
      <c r="AK41" s="27"/>
      <c r="AL41" s="27"/>
      <c r="AM41" s="29" t="s">
        <v>16</v>
      </c>
      <c r="AN41" s="30" t="s">
        <v>13</v>
      </c>
      <c r="AO41" s="27"/>
      <c r="AP41" s="27"/>
      <c r="AQ41" s="28"/>
      <c r="AR41" s="27"/>
      <c r="AS41" s="27"/>
      <c r="AT41" s="32" t="s">
        <v>14</v>
      </c>
      <c r="AU41" s="30" t="s">
        <v>11</v>
      </c>
      <c r="AV41" s="27"/>
      <c r="AW41" s="27"/>
      <c r="AX41" s="28"/>
      <c r="AY41" s="27"/>
      <c r="AZ41" s="29" t="s">
        <v>15</v>
      </c>
      <c r="BA41" s="27"/>
      <c r="BB41" s="27"/>
      <c r="BC41" s="25">
        <v>17</v>
      </c>
      <c r="BD41" s="33"/>
      <c r="BE41" s="33"/>
      <c r="BF41" s="33"/>
      <c r="BG41" s="33"/>
      <c r="BH41" s="25" t="s">
        <v>12</v>
      </c>
      <c r="BI41" s="27"/>
      <c r="BJ41" s="27"/>
      <c r="BK41" s="27"/>
      <c r="BL41" s="28"/>
      <c r="BM41" s="27"/>
      <c r="BN41" s="27"/>
      <c r="BO41" s="29" t="s">
        <v>16</v>
      </c>
      <c r="BP41" s="30" t="s">
        <v>13</v>
      </c>
      <c r="BQ41" s="27"/>
      <c r="BR41" s="27"/>
      <c r="BS41" s="28"/>
      <c r="BT41" s="27"/>
      <c r="BU41" s="27"/>
      <c r="BV41" s="32" t="s">
        <v>14</v>
      </c>
      <c r="BW41" s="30" t="s">
        <v>11</v>
      </c>
      <c r="BX41" s="27"/>
      <c r="BY41" s="27"/>
      <c r="BZ41" s="28"/>
      <c r="CA41" s="27"/>
      <c r="CB41" s="29" t="s">
        <v>15</v>
      </c>
      <c r="CC41" s="27"/>
      <c r="CD41" s="27"/>
      <c r="CE41" s="25">
        <v>17</v>
      </c>
      <c r="CF41" s="33"/>
      <c r="CG41" s="33"/>
      <c r="CH41" s="33"/>
      <c r="CI41" s="33"/>
      <c r="CJ41" s="33"/>
      <c r="CK41" s="33"/>
      <c r="CL41" s="33"/>
      <c r="CM41" s="33"/>
      <c r="CN41" s="33"/>
      <c r="CO41" s="33"/>
      <c r="CP41" s="33"/>
    </row>
    <row r="42" spans="1:94" x14ac:dyDescent="0.25">
      <c r="A42" s="25" t="s">
        <v>8</v>
      </c>
      <c r="B42" s="25" t="s">
        <v>194</v>
      </c>
      <c r="C42" s="25" t="s">
        <v>339</v>
      </c>
      <c r="D42" s="25">
        <v>29</v>
      </c>
      <c r="E42" s="35" cm="1">
        <f t="array" ref="E42">IFERROR(INDEX($J$5:$AVX$5, _xlfn.AGGREGATE(15,6, COLUMN(J42:AVX42)-COLUMN(J42)+1 / (J42:AVX42="T"), F42)), "")</f>
        <v>46012</v>
      </c>
      <c r="F42" s="74">
        <f t="shared" si="18"/>
        <v>2</v>
      </c>
      <c r="G42" s="35" cm="1">
        <f t="array" ref="G42">IFERROR(INDEX($J$5:$AVW$5,_xlfn.AGGREGATE(14,6,(COLUMN($J42:$AVW42)-COLUMN($J42)+1)/($J42:$AVW42="T"),1)),"")</f>
        <v>46012</v>
      </c>
      <c r="H42" s="77">
        <f t="shared" si="19"/>
        <v>2</v>
      </c>
      <c r="I42" s="38" t="s">
        <v>10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25" t="s">
        <v>12</v>
      </c>
      <c r="AG42" s="27"/>
      <c r="AH42" s="27"/>
      <c r="AI42" s="27"/>
      <c r="AJ42" s="28"/>
      <c r="AK42" s="27"/>
      <c r="AL42" s="27"/>
      <c r="AM42" s="29" t="s">
        <v>16</v>
      </c>
      <c r="AN42" s="30" t="s">
        <v>13</v>
      </c>
      <c r="AO42" s="27"/>
      <c r="AP42" s="27"/>
      <c r="AQ42" s="28"/>
      <c r="AR42" s="27"/>
      <c r="AS42" s="27"/>
      <c r="AT42" s="29" t="s">
        <v>14</v>
      </c>
      <c r="AU42" s="30" t="s">
        <v>11</v>
      </c>
      <c r="AV42" s="37"/>
      <c r="AW42" s="27"/>
      <c r="AX42" s="28"/>
      <c r="AY42" s="27"/>
      <c r="AZ42" s="29" t="s">
        <v>15</v>
      </c>
      <c r="BA42" s="27"/>
      <c r="BB42" s="27"/>
      <c r="BC42" s="25">
        <v>17</v>
      </c>
      <c r="BD42" s="33"/>
      <c r="BE42" s="33"/>
      <c r="BF42" s="33"/>
      <c r="BG42" s="33"/>
      <c r="BH42" s="25" t="s">
        <v>12</v>
      </c>
      <c r="BI42" s="27"/>
      <c r="BJ42" s="27"/>
      <c r="BK42" s="27"/>
      <c r="BL42" s="28"/>
      <c r="BM42" s="27"/>
      <c r="BN42" s="27"/>
      <c r="BO42" s="29" t="s">
        <v>16</v>
      </c>
      <c r="BP42" s="30" t="s">
        <v>13</v>
      </c>
      <c r="BQ42" s="27"/>
      <c r="BR42" s="27"/>
      <c r="BS42" s="28"/>
      <c r="BT42" s="27"/>
      <c r="BU42" s="27"/>
      <c r="BV42" s="29" t="s">
        <v>14</v>
      </c>
      <c r="BW42" s="30" t="s">
        <v>11</v>
      </c>
      <c r="BX42" s="37"/>
      <c r="BY42" s="27"/>
      <c r="BZ42" s="28"/>
      <c r="CA42" s="27"/>
      <c r="CB42" s="29" t="s">
        <v>15</v>
      </c>
      <c r="CC42" s="27"/>
      <c r="CD42" s="27"/>
      <c r="CE42" s="25">
        <v>17</v>
      </c>
      <c r="CF42" s="33"/>
      <c r="CG42" s="33"/>
      <c r="CH42" s="33"/>
      <c r="CI42" s="33"/>
      <c r="CJ42" s="33"/>
      <c r="CK42" s="33"/>
      <c r="CL42" s="33"/>
      <c r="CM42" s="33"/>
      <c r="CN42" s="33"/>
      <c r="CO42" s="33"/>
      <c r="CP42" s="33"/>
    </row>
    <row r="43" spans="1:94" x14ac:dyDescent="0.25">
      <c r="A43" s="25" t="s">
        <v>8</v>
      </c>
      <c r="B43" s="25" t="s">
        <v>195</v>
      </c>
      <c r="C43" s="25" t="s">
        <v>340</v>
      </c>
      <c r="D43" s="25">
        <v>30</v>
      </c>
      <c r="E43" s="35" cm="1">
        <f t="array" ref="E43">IFERROR(INDEX($J$5:$AVX$5, _xlfn.AGGREGATE(15,6, COLUMN(J43:AVX43)-COLUMN(J43)+1 / (J43:AVX43="T"), F43)), "")</f>
        <v>46012</v>
      </c>
      <c r="F43" s="74">
        <f t="shared" si="18"/>
        <v>2</v>
      </c>
      <c r="G43" s="35" cm="1">
        <f t="array" ref="G43">IFERROR(INDEX($J$5:$AVW$5,_xlfn.AGGREGATE(14,6,(COLUMN($J43:$AVW43)-COLUMN($J43)+1)/($J43:$AVW43="T"),1)),"")</f>
        <v>46012</v>
      </c>
      <c r="H43" s="77">
        <f t="shared" si="19"/>
        <v>2</v>
      </c>
      <c r="I43" s="38" t="s">
        <v>10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25" t="s">
        <v>12</v>
      </c>
      <c r="AG43" s="27"/>
      <c r="AH43" s="27"/>
      <c r="AI43" s="27"/>
      <c r="AJ43" s="28"/>
      <c r="AK43" s="27"/>
      <c r="AL43" s="27"/>
      <c r="AM43" s="29" t="s">
        <v>16</v>
      </c>
      <c r="AN43" s="30" t="s">
        <v>13</v>
      </c>
      <c r="AO43" s="27"/>
      <c r="AP43" s="27"/>
      <c r="AQ43" s="28"/>
      <c r="AR43" s="27"/>
      <c r="AS43" s="27"/>
      <c r="AT43" s="29" t="s">
        <v>14</v>
      </c>
      <c r="AU43" s="30" t="s">
        <v>11</v>
      </c>
      <c r="AV43" s="37"/>
      <c r="AW43" s="27"/>
      <c r="AX43" s="28"/>
      <c r="AY43" s="27"/>
      <c r="AZ43" s="29" t="s">
        <v>15</v>
      </c>
      <c r="BA43" s="27"/>
      <c r="BB43" s="27"/>
      <c r="BC43" s="25">
        <v>17</v>
      </c>
      <c r="BD43" s="33"/>
      <c r="BE43" s="33"/>
      <c r="BF43" s="33"/>
      <c r="BG43" s="33"/>
      <c r="BH43" s="25" t="s">
        <v>12</v>
      </c>
      <c r="BI43" s="27"/>
      <c r="BJ43" s="27"/>
      <c r="BK43" s="27"/>
      <c r="BL43" s="28"/>
      <c r="BM43" s="27"/>
      <c r="BN43" s="27"/>
      <c r="BO43" s="29" t="s">
        <v>16</v>
      </c>
      <c r="BP43" s="30" t="s">
        <v>13</v>
      </c>
      <c r="BQ43" s="27"/>
      <c r="BR43" s="27"/>
      <c r="BS43" s="28"/>
      <c r="BT43" s="27"/>
      <c r="BU43" s="27"/>
      <c r="BV43" s="29" t="s">
        <v>14</v>
      </c>
      <c r="BW43" s="30" t="s">
        <v>11</v>
      </c>
      <c r="BX43" s="37"/>
      <c r="BY43" s="27"/>
      <c r="BZ43" s="28"/>
      <c r="CA43" s="27"/>
      <c r="CB43" s="29" t="s">
        <v>15</v>
      </c>
      <c r="CC43" s="27"/>
      <c r="CD43" s="27"/>
      <c r="CE43" s="25">
        <v>17</v>
      </c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</row>
    <row r="44" spans="1:94" x14ac:dyDescent="0.25">
      <c r="A44" s="25" t="s">
        <v>8</v>
      </c>
      <c r="B44" s="25" t="s">
        <v>196</v>
      </c>
      <c r="C44" s="25" t="s">
        <v>341</v>
      </c>
      <c r="D44" s="25">
        <v>31</v>
      </c>
      <c r="E44" s="35" cm="1">
        <f t="array" ref="E44">IFERROR(INDEX($J$5:$AVX$5, _xlfn.AGGREGATE(15,6, COLUMN(J44:AVX44)-COLUMN(J44)+1 / (J44:AVX44="T"), F44)), "")</f>
        <v>46012</v>
      </c>
      <c r="F44" s="74">
        <f t="shared" si="18"/>
        <v>2</v>
      </c>
      <c r="G44" s="35" cm="1">
        <f t="array" ref="G44">IFERROR(INDEX($J$5:$AVW$5,_xlfn.AGGREGATE(14,6,(COLUMN($J44:$AVW44)-COLUMN($J44)+1)/($J44:$AVW44="T"),1)),"")</f>
        <v>46012</v>
      </c>
      <c r="H44" s="77">
        <f t="shared" si="19"/>
        <v>2</v>
      </c>
      <c r="I44" s="38" t="s">
        <v>10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25" t="s">
        <v>12</v>
      </c>
      <c r="AG44" s="27"/>
      <c r="AH44" s="27"/>
      <c r="AI44" s="27"/>
      <c r="AJ44" s="28"/>
      <c r="AK44" s="27"/>
      <c r="AL44" s="27"/>
      <c r="AM44" s="29" t="s">
        <v>16</v>
      </c>
      <c r="AN44" s="30" t="s">
        <v>13</v>
      </c>
      <c r="AO44" s="27"/>
      <c r="AP44" s="27"/>
      <c r="AQ44" s="28"/>
      <c r="AR44" s="27"/>
      <c r="AS44" s="27"/>
      <c r="AT44" s="29" t="s">
        <v>14</v>
      </c>
      <c r="AU44" s="30" t="s">
        <v>11</v>
      </c>
      <c r="AV44" s="37"/>
      <c r="AW44" s="27"/>
      <c r="AX44" s="28"/>
      <c r="AY44" s="27"/>
      <c r="AZ44" s="29" t="s">
        <v>15</v>
      </c>
      <c r="BA44" s="27"/>
      <c r="BB44" s="27"/>
      <c r="BC44" s="25">
        <v>17</v>
      </c>
      <c r="BD44" s="33"/>
      <c r="BE44" s="33"/>
      <c r="BF44" s="33"/>
      <c r="BG44" s="33"/>
      <c r="BH44" s="25" t="s">
        <v>12</v>
      </c>
      <c r="BI44" s="27"/>
      <c r="BJ44" s="27"/>
      <c r="BK44" s="27"/>
      <c r="BL44" s="28"/>
      <c r="BM44" s="27"/>
      <c r="BN44" s="27"/>
      <c r="BO44" s="29" t="s">
        <v>16</v>
      </c>
      <c r="BP44" s="30" t="s">
        <v>13</v>
      </c>
      <c r="BQ44" s="27"/>
      <c r="BR44" s="27"/>
      <c r="BS44" s="28"/>
      <c r="BT44" s="27"/>
      <c r="BU44" s="27"/>
      <c r="BV44" s="29" t="s">
        <v>14</v>
      </c>
      <c r="BW44" s="30" t="s">
        <v>11</v>
      </c>
      <c r="BX44" s="37"/>
      <c r="BY44" s="27"/>
      <c r="BZ44" s="28"/>
      <c r="CA44" s="27"/>
      <c r="CB44" s="29" t="s">
        <v>15</v>
      </c>
      <c r="CC44" s="27"/>
      <c r="CD44" s="27"/>
      <c r="CE44" s="25">
        <v>17</v>
      </c>
      <c r="CF44" s="33"/>
      <c r="CG44" s="33"/>
      <c r="CH44" s="33"/>
      <c r="CI44" s="33"/>
      <c r="CJ44" s="33"/>
      <c r="CK44" s="33"/>
      <c r="CL44" s="33"/>
      <c r="CM44" s="33"/>
      <c r="CN44" s="33"/>
      <c r="CO44" s="33"/>
      <c r="CP44" s="33"/>
    </row>
    <row r="45" spans="1:94" x14ac:dyDescent="0.25">
      <c r="A45" s="25" t="s">
        <v>8</v>
      </c>
      <c r="B45" s="25" t="s">
        <v>197</v>
      </c>
      <c r="C45" s="25" t="s">
        <v>342</v>
      </c>
      <c r="D45" s="25">
        <v>32</v>
      </c>
      <c r="E45" s="35" cm="1">
        <f t="array" ref="E45">IFERROR(INDEX($J$5:$AVX$5, _xlfn.AGGREGATE(15,6, COLUMN(J45:AVX45)-COLUMN(J45)+1 / (J45:AVX45="T"), F45)), "")</f>
        <v>46012</v>
      </c>
      <c r="F45" s="74">
        <f t="shared" si="18"/>
        <v>2</v>
      </c>
      <c r="G45" s="35" cm="1">
        <f t="array" ref="G45">IFERROR(INDEX($J$5:$AVW$5,_xlfn.AGGREGATE(14,6,(COLUMN($J45:$AVW45)-COLUMN($J45)+1)/($J45:$AVW45="T"),1)),"")</f>
        <v>46012</v>
      </c>
      <c r="H45" s="77">
        <f t="shared" si="19"/>
        <v>2</v>
      </c>
      <c r="I45" s="38" t="s">
        <v>10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25" t="s">
        <v>12</v>
      </c>
      <c r="AG45" s="27"/>
      <c r="AH45" s="27"/>
      <c r="AI45" s="27"/>
      <c r="AJ45" s="28"/>
      <c r="AK45" s="27"/>
      <c r="AL45" s="27"/>
      <c r="AM45" s="29" t="s">
        <v>16</v>
      </c>
      <c r="AN45" s="30" t="s">
        <v>13</v>
      </c>
      <c r="AO45" s="27"/>
      <c r="AP45" s="27"/>
      <c r="AQ45" s="28"/>
      <c r="AR45" s="27"/>
      <c r="AS45" s="27"/>
      <c r="AT45" s="29" t="s">
        <v>14</v>
      </c>
      <c r="AU45" s="30" t="s">
        <v>11</v>
      </c>
      <c r="AV45" s="37"/>
      <c r="AW45" s="27"/>
      <c r="AX45" s="28"/>
      <c r="AY45" s="27"/>
      <c r="AZ45" s="29" t="s">
        <v>15</v>
      </c>
      <c r="BA45" s="27"/>
      <c r="BB45" s="27"/>
      <c r="BC45" s="25">
        <v>17</v>
      </c>
      <c r="BD45" s="33"/>
      <c r="BE45" s="33"/>
      <c r="BF45" s="33"/>
      <c r="BG45" s="33"/>
      <c r="BH45" s="25" t="s">
        <v>12</v>
      </c>
      <c r="BI45" s="27"/>
      <c r="BJ45" s="27"/>
      <c r="BK45" s="27"/>
      <c r="BL45" s="28"/>
      <c r="BM45" s="27"/>
      <c r="BN45" s="27"/>
      <c r="BO45" s="29" t="s">
        <v>16</v>
      </c>
      <c r="BP45" s="30" t="s">
        <v>13</v>
      </c>
      <c r="BQ45" s="27"/>
      <c r="BR45" s="27"/>
      <c r="BS45" s="28"/>
      <c r="BT45" s="27"/>
      <c r="BU45" s="27"/>
      <c r="BV45" s="29" t="s">
        <v>14</v>
      </c>
      <c r="BW45" s="30" t="s">
        <v>11</v>
      </c>
      <c r="BX45" s="37"/>
      <c r="BY45" s="27"/>
      <c r="BZ45" s="28"/>
      <c r="CA45" s="27"/>
      <c r="CB45" s="29" t="s">
        <v>15</v>
      </c>
      <c r="CC45" s="27"/>
      <c r="CD45" s="27"/>
      <c r="CE45" s="25">
        <v>17</v>
      </c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</row>
    <row r="46" spans="1:94" x14ac:dyDescent="0.25">
      <c r="A46" s="25" t="s">
        <v>8</v>
      </c>
      <c r="B46" s="25" t="s">
        <v>198</v>
      </c>
      <c r="C46" s="25" t="s">
        <v>343</v>
      </c>
      <c r="D46" s="25">
        <v>33</v>
      </c>
      <c r="E46" s="35" cm="1">
        <f t="array" ref="E46">IFERROR(INDEX($J$5:$AVX$5, _xlfn.AGGREGATE(15,6, COLUMN(J46:AVX46)-COLUMN(J46)+1 / (J46:AVX46="T"), F46)), "")</f>
        <v>46012</v>
      </c>
      <c r="F46" s="74">
        <f t="shared" si="18"/>
        <v>2</v>
      </c>
      <c r="G46" s="35" cm="1">
        <f t="array" ref="G46">IFERROR(INDEX($J$5:$AVW$5,_xlfn.AGGREGATE(14,6,(COLUMN($J46:$AVW46)-COLUMN($J46)+1)/($J46:$AVW46="T"),1)),"")</f>
        <v>46012</v>
      </c>
      <c r="H46" s="77">
        <f t="shared" si="19"/>
        <v>2</v>
      </c>
      <c r="I46" s="38" t="s">
        <v>10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25" t="s">
        <v>12</v>
      </c>
      <c r="AG46" s="27"/>
      <c r="AH46" s="27"/>
      <c r="AI46" s="27"/>
      <c r="AJ46" s="28"/>
      <c r="AK46" s="27"/>
      <c r="AL46" s="27"/>
      <c r="AM46" s="29" t="s">
        <v>16</v>
      </c>
      <c r="AN46" s="30" t="s">
        <v>13</v>
      </c>
      <c r="AO46" s="27"/>
      <c r="AP46" s="27"/>
      <c r="AQ46" s="28"/>
      <c r="AR46" s="27"/>
      <c r="AS46" s="27"/>
      <c r="AT46" s="29" t="s">
        <v>14</v>
      </c>
      <c r="AU46" s="30" t="s">
        <v>11</v>
      </c>
      <c r="AV46" s="37"/>
      <c r="AW46" s="27"/>
      <c r="AX46" s="28"/>
      <c r="AY46" s="27"/>
      <c r="AZ46" s="29" t="s">
        <v>15</v>
      </c>
      <c r="BA46" s="27"/>
      <c r="BB46" s="27"/>
      <c r="BC46" s="25">
        <v>17</v>
      </c>
      <c r="BD46" s="33"/>
      <c r="BE46" s="33"/>
      <c r="BF46" s="33"/>
      <c r="BG46" s="33"/>
      <c r="BH46" s="25" t="s">
        <v>12</v>
      </c>
      <c r="BI46" s="27"/>
      <c r="BJ46" s="27"/>
      <c r="BK46" s="27"/>
      <c r="BL46" s="28"/>
      <c r="BM46" s="27"/>
      <c r="BN46" s="27"/>
      <c r="BO46" s="29" t="s">
        <v>16</v>
      </c>
      <c r="BP46" s="30" t="s">
        <v>13</v>
      </c>
      <c r="BQ46" s="27"/>
      <c r="BR46" s="27"/>
      <c r="BS46" s="28"/>
      <c r="BT46" s="27"/>
      <c r="BU46" s="27"/>
      <c r="BV46" s="29" t="s">
        <v>14</v>
      </c>
      <c r="BW46" s="30" t="s">
        <v>11</v>
      </c>
      <c r="BX46" s="37"/>
      <c r="BY46" s="27"/>
      <c r="BZ46" s="28"/>
      <c r="CA46" s="27"/>
      <c r="CB46" s="29" t="s">
        <v>15</v>
      </c>
      <c r="CC46" s="27"/>
      <c r="CD46" s="27"/>
      <c r="CE46" s="25">
        <v>17</v>
      </c>
      <c r="CF46" s="33"/>
      <c r="CG46" s="33"/>
      <c r="CH46" s="33"/>
      <c r="CI46" s="33"/>
      <c r="CJ46" s="33"/>
      <c r="CK46" s="33"/>
      <c r="CL46" s="33"/>
      <c r="CM46" s="33"/>
      <c r="CN46" s="33"/>
      <c r="CO46" s="33"/>
      <c r="CP46" s="33"/>
    </row>
    <row r="47" spans="1:94" x14ac:dyDescent="0.25">
      <c r="A47" s="25" t="s">
        <v>8</v>
      </c>
      <c r="B47" s="25" t="s">
        <v>199</v>
      </c>
      <c r="C47" s="25" t="s">
        <v>344</v>
      </c>
      <c r="D47" s="25">
        <v>34</v>
      </c>
      <c r="E47" s="35" cm="1">
        <f t="array" ref="E47">IFERROR(INDEX($J$5:$AVX$5, _xlfn.AGGREGATE(15,6, COLUMN(J47:AVX47)-COLUMN(J47)+1 / (J47:AVX47="T"), F47)), "")</f>
        <v>46012</v>
      </c>
      <c r="F47" s="74">
        <f t="shared" si="18"/>
        <v>2</v>
      </c>
      <c r="G47" s="35" cm="1">
        <f t="array" ref="G47">IFERROR(INDEX($J$5:$AVW$5,_xlfn.AGGREGATE(14,6,(COLUMN($J47:$AVW47)-COLUMN($J47)+1)/($J47:$AVW47="T"),1)),"")</f>
        <v>46012</v>
      </c>
      <c r="H47" s="77">
        <f t="shared" si="19"/>
        <v>2</v>
      </c>
      <c r="I47" s="38" t="s">
        <v>10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25" t="s">
        <v>12</v>
      </c>
      <c r="AG47" s="27"/>
      <c r="AH47" s="27"/>
      <c r="AI47" s="27"/>
      <c r="AJ47" s="28"/>
      <c r="AK47" s="27"/>
      <c r="AL47" s="27"/>
      <c r="AM47" s="29" t="s">
        <v>16</v>
      </c>
      <c r="AN47" s="30" t="s">
        <v>13</v>
      </c>
      <c r="AO47" s="27"/>
      <c r="AP47" s="27"/>
      <c r="AQ47" s="28"/>
      <c r="AR47" s="27"/>
      <c r="AS47" s="27"/>
      <c r="AT47" s="29" t="s">
        <v>14</v>
      </c>
      <c r="AU47" s="30" t="s">
        <v>11</v>
      </c>
      <c r="AV47" s="37"/>
      <c r="AW47" s="27"/>
      <c r="AX47" s="28"/>
      <c r="AY47" s="27"/>
      <c r="AZ47" s="29" t="s">
        <v>15</v>
      </c>
      <c r="BA47" s="27"/>
      <c r="BB47" s="27"/>
      <c r="BC47" s="25">
        <v>17</v>
      </c>
      <c r="BD47" s="33"/>
      <c r="BE47" s="33"/>
      <c r="BF47" s="33"/>
      <c r="BG47" s="33"/>
      <c r="BH47" s="25" t="s">
        <v>12</v>
      </c>
      <c r="BI47" s="27"/>
      <c r="BJ47" s="27"/>
      <c r="BK47" s="27"/>
      <c r="BL47" s="28"/>
      <c r="BM47" s="27"/>
      <c r="BN47" s="27"/>
      <c r="BO47" s="29" t="s">
        <v>16</v>
      </c>
      <c r="BP47" s="30" t="s">
        <v>13</v>
      </c>
      <c r="BQ47" s="27"/>
      <c r="BR47" s="27"/>
      <c r="BS47" s="28"/>
      <c r="BT47" s="27"/>
      <c r="BU47" s="27"/>
      <c r="BV47" s="29" t="s">
        <v>14</v>
      </c>
      <c r="BW47" s="30" t="s">
        <v>11</v>
      </c>
      <c r="BX47" s="37"/>
      <c r="BY47" s="27"/>
      <c r="BZ47" s="28"/>
      <c r="CA47" s="27"/>
      <c r="CB47" s="29" t="s">
        <v>15</v>
      </c>
      <c r="CC47" s="27"/>
      <c r="CD47" s="27"/>
      <c r="CE47" s="25">
        <v>17</v>
      </c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</row>
    <row r="48" spans="1:94" x14ac:dyDescent="0.25">
      <c r="A48" s="25" t="s">
        <v>8</v>
      </c>
      <c r="B48" s="25" t="s">
        <v>200</v>
      </c>
      <c r="C48" s="25" t="s">
        <v>345</v>
      </c>
      <c r="D48" s="25">
        <v>35</v>
      </c>
      <c r="E48" s="35" cm="1">
        <f t="array" ref="E48">IFERROR(INDEX($J$5:$AVX$5, _xlfn.AGGREGATE(15,6, COLUMN(J48:AVX48)-COLUMN(J48)+1 / (J48:AVX48="T"), F48)), "")</f>
        <v>46013</v>
      </c>
      <c r="F48" s="74">
        <f t="shared" si="18"/>
        <v>2</v>
      </c>
      <c r="G48" s="35" cm="1">
        <f t="array" ref="G48">IFERROR(INDEX($J$5:$AVW$5,_xlfn.AGGREGATE(14,6,(COLUMN($J48:$AVW48)-COLUMN($J48)+1)/($J48:$AVW48="T"),1)),"")</f>
        <v>46013</v>
      </c>
      <c r="H48" s="77">
        <f t="shared" si="19"/>
        <v>2</v>
      </c>
      <c r="I48" s="38" t="s">
        <v>10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25" t="s">
        <v>12</v>
      </c>
      <c r="AH48" s="27"/>
      <c r="AI48" s="27"/>
      <c r="AJ48" s="27"/>
      <c r="AK48" s="28"/>
      <c r="AL48" s="27"/>
      <c r="AM48" s="27"/>
      <c r="AN48" s="29" t="s">
        <v>16</v>
      </c>
      <c r="AO48" s="30" t="s">
        <v>13</v>
      </c>
      <c r="AP48" s="27"/>
      <c r="AQ48" s="27"/>
      <c r="AR48" s="28"/>
      <c r="AS48" s="27"/>
      <c r="AT48" s="27"/>
      <c r="AU48" s="32" t="s">
        <v>14</v>
      </c>
      <c r="AV48" s="30" t="s">
        <v>11</v>
      </c>
      <c r="AW48" s="27"/>
      <c r="AX48" s="27"/>
      <c r="AY48" s="28"/>
      <c r="AZ48" s="27"/>
      <c r="BA48" s="29" t="s">
        <v>15</v>
      </c>
      <c r="BB48" s="27"/>
      <c r="BC48" s="27"/>
      <c r="BD48" s="25">
        <v>17</v>
      </c>
      <c r="BE48" s="33"/>
      <c r="BF48" s="33"/>
      <c r="BG48" s="33"/>
      <c r="BH48" s="33"/>
      <c r="BI48" s="25" t="s">
        <v>12</v>
      </c>
      <c r="BJ48" s="27"/>
      <c r="BK48" s="27"/>
      <c r="BL48" s="27"/>
      <c r="BM48" s="28"/>
      <c r="BN48" s="27"/>
      <c r="BO48" s="27"/>
      <c r="BP48" s="29" t="s">
        <v>16</v>
      </c>
      <c r="BQ48" s="30" t="s">
        <v>13</v>
      </c>
      <c r="BR48" s="27"/>
      <c r="BS48" s="27"/>
      <c r="BT48" s="28"/>
      <c r="BU48" s="27"/>
      <c r="BV48" s="27"/>
      <c r="BW48" s="29" t="s">
        <v>14</v>
      </c>
      <c r="BX48" s="30" t="s">
        <v>11</v>
      </c>
      <c r="BY48" s="37"/>
      <c r="BZ48" s="27"/>
      <c r="CA48" s="28"/>
      <c r="CB48" s="27"/>
      <c r="CC48" s="29" t="s">
        <v>15</v>
      </c>
      <c r="CD48" s="27"/>
      <c r="CE48" s="27"/>
      <c r="CF48" s="25">
        <v>17</v>
      </c>
      <c r="CG48" s="33"/>
      <c r="CH48" s="33"/>
      <c r="CI48" s="33"/>
      <c r="CJ48" s="33"/>
      <c r="CK48" s="33"/>
      <c r="CL48" s="33"/>
      <c r="CM48" s="33"/>
      <c r="CN48" s="33"/>
      <c r="CO48" s="33"/>
      <c r="CP48" s="33"/>
    </row>
    <row r="49" spans="1:94" x14ac:dyDescent="0.25">
      <c r="A49" s="25" t="s">
        <v>8</v>
      </c>
      <c r="B49" s="25" t="s">
        <v>201</v>
      </c>
      <c r="C49" s="25" t="s">
        <v>346</v>
      </c>
      <c r="D49" s="25">
        <v>36</v>
      </c>
      <c r="E49" s="35" cm="1">
        <f t="array" ref="E49">IFERROR(INDEX($J$5:$AVX$5, _xlfn.AGGREGATE(15,6, COLUMN(J49:AVX49)-COLUMN(J49)+1 / (J49:AVX49="T"), F49)), "")</f>
        <v>46013</v>
      </c>
      <c r="F49" s="74">
        <f t="shared" si="18"/>
        <v>2</v>
      </c>
      <c r="G49" s="35" cm="1">
        <f t="array" ref="G49">IFERROR(INDEX($J$5:$AVW$5,_xlfn.AGGREGATE(14,6,(COLUMN($J49:$AVW49)-COLUMN($J49)+1)/($J49:$AVW49="T"),1)),"")</f>
        <v>46013</v>
      </c>
      <c r="H49" s="77">
        <f t="shared" si="19"/>
        <v>2</v>
      </c>
      <c r="I49" s="38" t="s">
        <v>10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25" t="s">
        <v>12</v>
      </c>
      <c r="AH49" s="27"/>
      <c r="AI49" s="27"/>
      <c r="AJ49" s="27"/>
      <c r="AK49" s="28"/>
      <c r="AL49" s="27"/>
      <c r="AM49" s="27"/>
      <c r="AN49" s="29" t="s">
        <v>16</v>
      </c>
      <c r="AO49" s="30" t="s">
        <v>13</v>
      </c>
      <c r="AP49" s="27"/>
      <c r="AQ49" s="27"/>
      <c r="AR49" s="28"/>
      <c r="AS49" s="27"/>
      <c r="AT49" s="27"/>
      <c r="AU49" s="32" t="s">
        <v>14</v>
      </c>
      <c r="AV49" s="30" t="s">
        <v>11</v>
      </c>
      <c r="AW49" s="27"/>
      <c r="AX49" s="27"/>
      <c r="AY49" s="28"/>
      <c r="AZ49" s="27"/>
      <c r="BA49" s="29" t="s">
        <v>15</v>
      </c>
      <c r="BB49" s="27"/>
      <c r="BC49" s="27"/>
      <c r="BD49" s="25">
        <v>17</v>
      </c>
      <c r="BE49" s="33"/>
      <c r="BF49" s="33"/>
      <c r="BG49" s="33"/>
      <c r="BH49" s="33"/>
      <c r="BI49" s="25" t="s">
        <v>12</v>
      </c>
      <c r="BJ49" s="27"/>
      <c r="BK49" s="27"/>
      <c r="BL49" s="27"/>
      <c r="BM49" s="28"/>
      <c r="BN49" s="27"/>
      <c r="BO49" s="27"/>
      <c r="BP49" s="29" t="s">
        <v>16</v>
      </c>
      <c r="BQ49" s="30" t="s">
        <v>13</v>
      </c>
      <c r="BR49" s="27"/>
      <c r="BS49" s="27"/>
      <c r="BT49" s="28"/>
      <c r="BU49" s="27"/>
      <c r="BV49" s="27"/>
      <c r="BW49" s="29" t="s">
        <v>14</v>
      </c>
      <c r="BX49" s="30" t="s">
        <v>11</v>
      </c>
      <c r="BY49" s="37"/>
      <c r="BZ49" s="27"/>
      <c r="CA49" s="28"/>
      <c r="CB49" s="27"/>
      <c r="CC49" s="29" t="s">
        <v>15</v>
      </c>
      <c r="CD49" s="27"/>
      <c r="CE49" s="27"/>
      <c r="CF49" s="25">
        <v>17</v>
      </c>
      <c r="CG49" s="33"/>
      <c r="CH49" s="33"/>
      <c r="CI49" s="33"/>
      <c r="CJ49" s="33"/>
      <c r="CK49" s="33"/>
      <c r="CL49" s="33"/>
      <c r="CM49" s="33"/>
      <c r="CN49" s="33"/>
      <c r="CO49" s="33"/>
      <c r="CP49" s="33"/>
    </row>
    <row r="50" spans="1:94" x14ac:dyDescent="0.25">
      <c r="A50" s="25" t="s">
        <v>8</v>
      </c>
      <c r="B50" s="25" t="s">
        <v>202</v>
      </c>
      <c r="C50" s="25" t="s">
        <v>347</v>
      </c>
      <c r="D50" s="25">
        <v>37</v>
      </c>
      <c r="E50" s="35" t="str" cm="1">
        <f t="array" ref="E50">IFERROR(INDEX($J$5:$AVX$5, _xlfn.AGGREGATE(15,6, COLUMN(J50:AVX50)-COLUMN(J50)+1 / (J50:AVX50="T"), F50)), "")</f>
        <v/>
      </c>
      <c r="F50" s="74">
        <f t="shared" si="18"/>
        <v>2</v>
      </c>
      <c r="G50" s="35" cm="1">
        <f t="array" ref="G50">IFERROR(INDEX($J$5:$AVW$5,_xlfn.AGGREGATE(14,6,(COLUMN($J50:$AVW50)-COLUMN($J50)+1)/($J50:$AVW50="T"),1)),"")</f>
        <v>45986</v>
      </c>
      <c r="H50" s="77">
        <f t="shared" si="19"/>
        <v>1</v>
      </c>
      <c r="I50" s="38" t="s">
        <v>10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25" t="s">
        <v>12</v>
      </c>
      <c r="AI50" s="27"/>
      <c r="AJ50" s="27"/>
      <c r="AK50" s="27"/>
      <c r="AL50" s="28"/>
      <c r="AM50" s="27"/>
      <c r="AN50" s="27"/>
      <c r="AO50" s="29" t="s">
        <v>16</v>
      </c>
      <c r="AP50" s="30" t="s">
        <v>13</v>
      </c>
      <c r="AQ50" s="27"/>
      <c r="AR50" s="27"/>
      <c r="AS50" s="28"/>
      <c r="AT50" s="27"/>
      <c r="AU50" s="27"/>
      <c r="AV50" s="32" t="s">
        <v>14</v>
      </c>
      <c r="AW50" s="30" t="s">
        <v>11</v>
      </c>
      <c r="AX50" s="27"/>
      <c r="AY50" s="27"/>
      <c r="AZ50" s="28"/>
      <c r="BA50" s="27"/>
      <c r="BB50" s="29" t="s">
        <v>15</v>
      </c>
      <c r="BC50" s="27"/>
      <c r="BD50" s="27"/>
      <c r="BE50" s="25">
        <v>17</v>
      </c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</row>
    <row r="51" spans="1:94" s="40" customFormat="1" x14ac:dyDescent="0.25">
      <c r="A51" s="39" t="s">
        <v>8</v>
      </c>
      <c r="B51" s="39" t="s">
        <v>203</v>
      </c>
      <c r="C51" s="25" t="s">
        <v>348</v>
      </c>
      <c r="D51" s="25">
        <v>38</v>
      </c>
      <c r="E51" s="35" t="str" cm="1">
        <f t="array" ref="E51">IFERROR(INDEX($J$5:$AVX$5, _xlfn.AGGREGATE(15,6, COLUMN(J51:AVX51)-COLUMN(J51)+1 / (J51:AVX51="T"), F51)), "")</f>
        <v/>
      </c>
      <c r="F51" s="74">
        <f t="shared" si="18"/>
        <v>2</v>
      </c>
      <c r="G51" s="35" cm="1">
        <f t="array" ref="G51">IFERROR(INDEX($J$5:$AVW$5,_xlfn.AGGREGATE(14,6,(COLUMN($J51:$AVW51)-COLUMN($J51)+1)/($J51:$AVW51="T"),1)),"")</f>
        <v>45986</v>
      </c>
      <c r="H51" s="77">
        <f t="shared" si="19"/>
        <v>1</v>
      </c>
      <c r="I51" s="44" t="s">
        <v>10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25" t="s">
        <v>12</v>
      </c>
      <c r="AI51" s="27"/>
      <c r="AJ51" s="27"/>
      <c r="AK51" s="27"/>
      <c r="AL51" s="28"/>
      <c r="AM51" s="27"/>
      <c r="AN51" s="27"/>
      <c r="AO51" s="29" t="s">
        <v>16</v>
      </c>
      <c r="AP51" s="30" t="s">
        <v>13</v>
      </c>
      <c r="AQ51" s="27"/>
      <c r="AR51" s="27"/>
      <c r="AS51" s="28"/>
      <c r="AT51" s="27"/>
      <c r="AU51" s="27"/>
      <c r="AV51" s="32" t="s">
        <v>14</v>
      </c>
      <c r="AW51" s="30" t="s">
        <v>11</v>
      </c>
      <c r="AX51" s="27"/>
      <c r="AY51" s="27"/>
      <c r="AZ51" s="28"/>
      <c r="BA51" s="27"/>
      <c r="BB51" s="29" t="s">
        <v>15</v>
      </c>
      <c r="BC51" s="27"/>
      <c r="BD51" s="27"/>
      <c r="BE51" s="25">
        <v>17</v>
      </c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</row>
    <row r="52" spans="1:94" s="40" customFormat="1" x14ac:dyDescent="0.25">
      <c r="A52" s="45" t="s">
        <v>8</v>
      </c>
      <c r="B52" s="45" t="s">
        <v>204</v>
      </c>
      <c r="C52" s="25" t="s">
        <v>349</v>
      </c>
      <c r="D52" s="25">
        <v>39</v>
      </c>
      <c r="E52" s="35" t="str" cm="1">
        <f t="array" ref="E52">IFERROR(INDEX($J$5:$AVX$5, _xlfn.AGGREGATE(15,6, COLUMN(J52:AVX52)-COLUMN(J52)+1 / (J52:AVX52="T"), F52)), "")</f>
        <v/>
      </c>
      <c r="F52" s="74">
        <f t="shared" si="18"/>
        <v>2</v>
      </c>
      <c r="G52" s="35" cm="1">
        <f t="array" ref="G52">IFERROR(INDEX($J$5:$AVW$5,_xlfn.AGGREGATE(14,6,(COLUMN($J52:$AVW52)-COLUMN($J52)+1)/($J52:$AVW52="T"),1)),"")</f>
        <v>45986</v>
      </c>
      <c r="H52" s="77">
        <f t="shared" si="19"/>
        <v>1</v>
      </c>
      <c r="I52" s="46" t="s">
        <v>10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25" t="s">
        <v>12</v>
      </c>
      <c r="AI52" s="27"/>
      <c r="AJ52" s="27"/>
      <c r="AK52" s="27"/>
      <c r="AL52" s="28"/>
      <c r="AM52" s="27"/>
      <c r="AN52" s="27"/>
      <c r="AO52" s="29" t="s">
        <v>16</v>
      </c>
      <c r="AP52" s="30" t="s">
        <v>13</v>
      </c>
      <c r="AQ52" s="27"/>
      <c r="AR52" s="27"/>
      <c r="AS52" s="28"/>
      <c r="AT52" s="27"/>
      <c r="AU52" s="27"/>
      <c r="AV52" s="32" t="s">
        <v>14</v>
      </c>
      <c r="AW52" s="30" t="s">
        <v>11</v>
      </c>
      <c r="AX52" s="27"/>
      <c r="AY52" s="27"/>
      <c r="AZ52" s="28"/>
      <c r="BA52" s="27"/>
      <c r="BB52" s="29" t="s">
        <v>15</v>
      </c>
      <c r="BC52" s="27"/>
      <c r="BD52" s="27"/>
      <c r="BE52" s="25">
        <v>17</v>
      </c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</row>
    <row r="53" spans="1:94" s="40" customFormat="1" x14ac:dyDescent="0.25">
      <c r="A53" s="39" t="s">
        <v>8</v>
      </c>
      <c r="B53" s="39" t="s">
        <v>205</v>
      </c>
      <c r="C53" s="25" t="s">
        <v>350</v>
      </c>
      <c r="D53" s="25">
        <v>40</v>
      </c>
      <c r="E53" s="35" t="str" cm="1">
        <f t="array" ref="E53">IFERROR(INDEX($J$5:$AVX$5, _xlfn.AGGREGATE(15,6, COLUMN(J53:AVX53)-COLUMN(J53)+1 / (J53:AVX53="T"), F53)), "")</f>
        <v/>
      </c>
      <c r="F53" s="74">
        <f t="shared" si="18"/>
        <v>2</v>
      </c>
      <c r="G53" s="35" t="str" cm="1">
        <f t="array" ref="G53">IFERROR(INDEX($J$5:$AVW$5,_xlfn.AGGREGATE(14,6,(COLUMN($J53:$AVW53)-COLUMN($J53)+1)/($J53:$AVW53="T"),1)),"")</f>
        <v/>
      </c>
      <c r="H53" s="77">
        <f t="shared" si="19"/>
        <v>0</v>
      </c>
      <c r="I53" s="44" t="s">
        <v>10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</row>
    <row r="54" spans="1:94" x14ac:dyDescent="0.25">
      <c r="A54" s="45" t="s">
        <v>8</v>
      </c>
      <c r="B54" s="45" t="s">
        <v>206</v>
      </c>
      <c r="C54" s="25" t="s">
        <v>351</v>
      </c>
      <c r="D54" s="25">
        <v>41</v>
      </c>
      <c r="E54" s="35" t="str" cm="1">
        <f t="array" ref="E54">IFERROR(INDEX($J$5:$AVX$5, _xlfn.AGGREGATE(15,6, COLUMN(J54:AVX54)-COLUMN(J54)+1 / (J54:AVX54="T"), F54)), "")</f>
        <v/>
      </c>
      <c r="F54" s="74">
        <f t="shared" si="18"/>
        <v>2</v>
      </c>
      <c r="G54" s="35" t="str" cm="1">
        <f t="array" ref="G54">IFERROR(INDEX($J$5:$AVW$5,_xlfn.AGGREGATE(14,6,(COLUMN($J54:$AVW54)-COLUMN($J54)+1)/($J54:$AVW54="T"),1)),"")</f>
        <v/>
      </c>
      <c r="H54" s="77">
        <f t="shared" si="19"/>
        <v>0</v>
      </c>
      <c r="I54" s="44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</row>
    <row r="55" spans="1:94" x14ac:dyDescent="0.25">
      <c r="A55" s="45" t="s">
        <v>8</v>
      </c>
      <c r="B55" s="45" t="s">
        <v>207</v>
      </c>
      <c r="C55" s="25" t="s">
        <v>352</v>
      </c>
      <c r="D55" s="25">
        <v>42</v>
      </c>
      <c r="E55" s="35" t="str" cm="1">
        <f t="array" ref="E55">IFERROR(INDEX($J$5:$AVX$5, _xlfn.AGGREGATE(15,6, COLUMN(J55:AVX55)-COLUMN(J55)+1 / (J55:AVX55="T"), F55)), "")</f>
        <v/>
      </c>
      <c r="F55" s="74">
        <f t="shared" si="18"/>
        <v>2</v>
      </c>
      <c r="G55" s="35" t="str" cm="1">
        <f t="array" ref="G55">IFERROR(INDEX($J$5:$AVW$5,_xlfn.AGGREGATE(14,6,(COLUMN($J55:$AVW55)-COLUMN($J55)+1)/($J55:$AVW55="T"),1)),"")</f>
        <v/>
      </c>
      <c r="H55" s="77">
        <f t="shared" si="19"/>
        <v>0</v>
      </c>
      <c r="I55" s="44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</row>
    <row r="56" spans="1:94" x14ac:dyDescent="0.25">
      <c r="A56" s="45" t="s">
        <v>8</v>
      </c>
      <c r="B56" s="45" t="s">
        <v>208</v>
      </c>
      <c r="C56" s="25" t="s">
        <v>353</v>
      </c>
      <c r="D56" s="25">
        <v>43</v>
      </c>
      <c r="E56" s="35" t="str" cm="1">
        <f t="array" ref="E56">IFERROR(INDEX($J$5:$AVX$5, _xlfn.AGGREGATE(15,6, COLUMN(J56:AVX56)-COLUMN(J56)+1 / (J56:AVX56="T"), F56)), "")</f>
        <v/>
      </c>
      <c r="F56" s="74">
        <f t="shared" si="18"/>
        <v>2</v>
      </c>
      <c r="G56" s="35" t="str" cm="1">
        <f t="array" ref="G56">IFERROR(INDEX($J$5:$AVW$5,_xlfn.AGGREGATE(14,6,(COLUMN($J56:$AVW56)-COLUMN($J56)+1)/($J56:$AVW56="T"),1)),"")</f>
        <v/>
      </c>
      <c r="H56" s="77">
        <f t="shared" si="19"/>
        <v>0</v>
      </c>
      <c r="I56" s="44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</row>
    <row r="57" spans="1:94" x14ac:dyDescent="0.25">
      <c r="A57" s="45" t="s">
        <v>8</v>
      </c>
      <c r="B57" s="45" t="s">
        <v>209</v>
      </c>
      <c r="C57" s="25" t="s">
        <v>354</v>
      </c>
      <c r="D57" s="25">
        <v>44</v>
      </c>
      <c r="E57" s="35" t="str" cm="1">
        <f t="array" ref="E57">IFERROR(INDEX($J$5:$AVX$5, _xlfn.AGGREGATE(15,6, COLUMN(J57:AVX57)-COLUMN(J57)+1 / (J57:AVX57="T"), F57)), "")</f>
        <v/>
      </c>
      <c r="F57" s="74">
        <f t="shared" si="18"/>
        <v>2</v>
      </c>
      <c r="G57" s="35" t="str" cm="1">
        <f t="array" ref="G57">IFERROR(INDEX($J$5:$AVW$5,_xlfn.AGGREGATE(14,6,(COLUMN($J57:$AVW57)-COLUMN($J57)+1)/($J57:$AVW57="T"),1)),"")</f>
        <v/>
      </c>
      <c r="H57" s="77">
        <f t="shared" si="19"/>
        <v>0</v>
      </c>
      <c r="I57" s="44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</row>
    <row r="58" spans="1:94" x14ac:dyDescent="0.25">
      <c r="A58" s="45" t="s">
        <v>8</v>
      </c>
      <c r="B58" s="45" t="s">
        <v>210</v>
      </c>
      <c r="C58" s="25" t="s">
        <v>355</v>
      </c>
      <c r="D58" s="25">
        <v>45</v>
      </c>
      <c r="E58" s="35" t="str" cm="1">
        <f t="array" ref="E58">IFERROR(INDEX($J$5:$AVX$5, _xlfn.AGGREGATE(15,6, COLUMN(J58:AVX58)-COLUMN(J58)+1 / (J58:AVX58="T"), F58)), "")</f>
        <v/>
      </c>
      <c r="F58" s="74">
        <f t="shared" si="18"/>
        <v>2</v>
      </c>
      <c r="G58" s="35" t="str" cm="1">
        <f t="array" ref="G58">IFERROR(INDEX($J$5:$AVW$5,_xlfn.AGGREGATE(14,6,(COLUMN($J58:$AVW58)-COLUMN($J58)+1)/($J58:$AVW58="T"),1)),"")</f>
        <v/>
      </c>
      <c r="H58" s="77">
        <f t="shared" si="19"/>
        <v>0</v>
      </c>
      <c r="I58" s="44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</row>
    <row r="59" spans="1:94" x14ac:dyDescent="0.25">
      <c r="A59" s="45" t="s">
        <v>8</v>
      </c>
      <c r="B59" s="45" t="s">
        <v>211</v>
      </c>
      <c r="C59" s="25" t="s">
        <v>356</v>
      </c>
      <c r="D59" s="25">
        <v>46</v>
      </c>
      <c r="E59" s="35" t="str" cm="1">
        <f t="array" ref="E59">IFERROR(INDEX($J$5:$AVX$5, _xlfn.AGGREGATE(15,6, COLUMN(J59:AVX59)-COLUMN(J59)+1 / (J59:AVX59="T"), F59)), "")</f>
        <v/>
      </c>
      <c r="F59" s="74">
        <f t="shared" si="18"/>
        <v>2</v>
      </c>
      <c r="G59" s="35" cm="1">
        <f t="array" ref="G59">IFERROR(INDEX($J$5:$AVW$5,_xlfn.AGGREGATE(14,6,(COLUMN($J59:$AVW59)-COLUMN($J59)+1)/($J59:$AVW59="T"),1)),"")</f>
        <v>45987</v>
      </c>
      <c r="H59" s="77">
        <f t="shared" si="19"/>
        <v>1</v>
      </c>
      <c r="I59" s="44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25" t="s">
        <v>12</v>
      </c>
      <c r="AJ59" s="27"/>
      <c r="AK59" s="27"/>
      <c r="AL59" s="27"/>
      <c r="AM59" s="28"/>
      <c r="AN59" s="27"/>
      <c r="AO59" s="27"/>
      <c r="AP59" s="29" t="s">
        <v>16</v>
      </c>
      <c r="AQ59" s="30" t="s">
        <v>13</v>
      </c>
      <c r="AR59" s="27"/>
      <c r="AS59" s="27"/>
      <c r="AT59" s="28"/>
      <c r="AU59" s="27"/>
      <c r="AV59" s="27"/>
      <c r="AW59" s="32" t="s">
        <v>14</v>
      </c>
      <c r="AX59" s="30" t="s">
        <v>11</v>
      </c>
      <c r="AY59" s="27"/>
      <c r="AZ59" s="27"/>
      <c r="BA59" s="28"/>
      <c r="BB59" s="27"/>
      <c r="BC59" s="29" t="s">
        <v>15</v>
      </c>
      <c r="BD59" s="27"/>
      <c r="BE59" s="27"/>
      <c r="BF59" s="25">
        <v>17</v>
      </c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</row>
    <row r="60" spans="1:94" x14ac:dyDescent="0.25">
      <c r="A60" s="45" t="s">
        <v>8</v>
      </c>
      <c r="B60" s="45" t="s">
        <v>212</v>
      </c>
      <c r="C60" s="25" t="s">
        <v>357</v>
      </c>
      <c r="D60" s="25">
        <v>47</v>
      </c>
      <c r="E60" s="35" cm="1">
        <f t="array" ref="E60">IFERROR(INDEX($J$5:$AVX$5, _xlfn.AGGREGATE(15,6, COLUMN(J60:AVX60)-COLUMN(J60)+1 / (J60:AVX60="T"), F60)), "")</f>
        <v>46014</v>
      </c>
      <c r="F60" s="74">
        <f t="shared" si="18"/>
        <v>2</v>
      </c>
      <c r="G60" s="35" cm="1">
        <f t="array" ref="G60">IFERROR(INDEX($J$5:$AVW$5,_xlfn.AGGREGATE(14,6,(COLUMN($J60:$AVW60)-COLUMN($J60)+1)/($J60:$AVW60="T"),1)),"")</f>
        <v>46014</v>
      </c>
      <c r="H60" s="77">
        <f t="shared" si="19"/>
        <v>2</v>
      </c>
      <c r="I60" s="44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25" t="s">
        <v>12</v>
      </c>
      <c r="AJ60" s="27"/>
      <c r="AK60" s="27"/>
      <c r="AL60" s="27"/>
      <c r="AM60" s="28"/>
      <c r="AN60" s="27"/>
      <c r="AO60" s="27"/>
      <c r="AP60" s="29" t="s">
        <v>16</v>
      </c>
      <c r="AQ60" s="30" t="s">
        <v>13</v>
      </c>
      <c r="AR60" s="27"/>
      <c r="AS60" s="27"/>
      <c r="AT60" s="28"/>
      <c r="AU60" s="27"/>
      <c r="AV60" s="27"/>
      <c r="AW60" s="32" t="s">
        <v>14</v>
      </c>
      <c r="AX60" s="30" t="s">
        <v>11</v>
      </c>
      <c r="AY60" s="27"/>
      <c r="AZ60" s="27"/>
      <c r="BA60" s="28"/>
      <c r="BB60" s="27"/>
      <c r="BC60" s="29" t="s">
        <v>15</v>
      </c>
      <c r="BD60" s="27"/>
      <c r="BE60" s="27"/>
      <c r="BF60" s="25">
        <v>17</v>
      </c>
      <c r="BG60" s="33"/>
      <c r="BH60" s="33"/>
      <c r="BI60" s="33"/>
      <c r="BJ60" s="25" t="s">
        <v>12</v>
      </c>
      <c r="BK60" s="27"/>
      <c r="BL60" s="27"/>
      <c r="BM60" s="27"/>
      <c r="BN60" s="28"/>
      <c r="BO60" s="27"/>
      <c r="BP60" s="27"/>
      <c r="BQ60" s="29" t="s">
        <v>16</v>
      </c>
      <c r="BR60" s="30" t="s">
        <v>13</v>
      </c>
      <c r="BS60" s="27"/>
      <c r="BT60" s="27"/>
      <c r="BU60" s="28"/>
      <c r="BV60" s="27"/>
      <c r="BW60" s="27"/>
      <c r="BX60" s="29" t="s">
        <v>14</v>
      </c>
      <c r="BY60" s="30" t="s">
        <v>11</v>
      </c>
      <c r="BZ60" s="37"/>
      <c r="CA60" s="27"/>
      <c r="CB60" s="28"/>
      <c r="CC60" s="27"/>
      <c r="CD60" s="29" t="s">
        <v>15</v>
      </c>
      <c r="CE60" s="27"/>
      <c r="CF60" s="27"/>
      <c r="CG60" s="25">
        <v>17</v>
      </c>
      <c r="CH60" s="33"/>
      <c r="CI60" s="33"/>
      <c r="CJ60" s="33"/>
      <c r="CK60" s="33"/>
      <c r="CL60" s="33"/>
      <c r="CM60" s="33"/>
      <c r="CN60" s="33"/>
      <c r="CO60" s="33"/>
      <c r="CP60" s="33"/>
    </row>
    <row r="61" spans="1:94" x14ac:dyDescent="0.25">
      <c r="A61" s="45" t="s">
        <v>8</v>
      </c>
      <c r="B61" s="45" t="s">
        <v>213</v>
      </c>
      <c r="C61" s="25" t="s">
        <v>358</v>
      </c>
      <c r="D61" s="25">
        <v>48</v>
      </c>
      <c r="E61" s="35" cm="1">
        <f t="array" ref="E61">IFERROR(INDEX($J$5:$AVX$5, _xlfn.AGGREGATE(15,6, COLUMN(J61:AVX61)-COLUMN(J61)+1 / (J61:AVX61="T"), F61)), "")</f>
        <v>46014</v>
      </c>
      <c r="F61" s="74">
        <f t="shared" si="18"/>
        <v>2</v>
      </c>
      <c r="G61" s="35" cm="1">
        <f t="array" ref="G61">IFERROR(INDEX($J$5:$AVW$5,_xlfn.AGGREGATE(14,6,(COLUMN($J61:$AVW61)-COLUMN($J61)+1)/($J61:$AVW61="T"),1)),"")</f>
        <v>46014</v>
      </c>
      <c r="H61" s="77">
        <f t="shared" si="19"/>
        <v>2</v>
      </c>
      <c r="I61" s="44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25" t="s">
        <v>12</v>
      </c>
      <c r="AJ61" s="27"/>
      <c r="AK61" s="27"/>
      <c r="AL61" s="27"/>
      <c r="AM61" s="28"/>
      <c r="AN61" s="27"/>
      <c r="AO61" s="27"/>
      <c r="AP61" s="29" t="s">
        <v>16</v>
      </c>
      <c r="AQ61" s="30" t="s">
        <v>13</v>
      </c>
      <c r="AR61" s="27"/>
      <c r="AS61" s="27"/>
      <c r="AT61" s="28"/>
      <c r="AU61" s="27"/>
      <c r="AV61" s="27"/>
      <c r="AW61" s="32" t="s">
        <v>14</v>
      </c>
      <c r="AX61" s="30" t="s">
        <v>11</v>
      </c>
      <c r="AY61" s="27"/>
      <c r="AZ61" s="27"/>
      <c r="BA61" s="28"/>
      <c r="BB61" s="27"/>
      <c r="BC61" s="29" t="s">
        <v>15</v>
      </c>
      <c r="BD61" s="27"/>
      <c r="BE61" s="27"/>
      <c r="BF61" s="25">
        <v>17</v>
      </c>
      <c r="BG61" s="33"/>
      <c r="BH61" s="33"/>
      <c r="BI61" s="33"/>
      <c r="BJ61" s="25" t="s">
        <v>12</v>
      </c>
      <c r="BK61" s="27"/>
      <c r="BL61" s="27"/>
      <c r="BM61" s="27"/>
      <c r="BN61" s="28"/>
      <c r="BO61" s="27"/>
      <c r="BP61" s="27"/>
      <c r="BQ61" s="29" t="s">
        <v>16</v>
      </c>
      <c r="BR61" s="30" t="s">
        <v>13</v>
      </c>
      <c r="BS61" s="27"/>
      <c r="BT61" s="27"/>
      <c r="BU61" s="28"/>
      <c r="BV61" s="27"/>
      <c r="BW61" s="27"/>
      <c r="BX61" s="29" t="s">
        <v>14</v>
      </c>
      <c r="BY61" s="30" t="s">
        <v>11</v>
      </c>
      <c r="BZ61" s="37"/>
      <c r="CA61" s="27"/>
      <c r="CB61" s="28"/>
      <c r="CC61" s="27"/>
      <c r="CD61" s="29" t="s">
        <v>15</v>
      </c>
      <c r="CE61" s="27"/>
      <c r="CF61" s="27"/>
      <c r="CG61" s="25">
        <v>17</v>
      </c>
      <c r="CH61" s="33"/>
      <c r="CI61" s="33"/>
      <c r="CJ61" s="33"/>
      <c r="CK61" s="33"/>
      <c r="CL61" s="33"/>
      <c r="CM61" s="33"/>
      <c r="CN61" s="33"/>
      <c r="CO61" s="33"/>
      <c r="CP61" s="33"/>
    </row>
    <row r="62" spans="1:94" x14ac:dyDescent="0.25">
      <c r="A62" s="45" t="s">
        <v>8</v>
      </c>
      <c r="B62" s="45" t="s">
        <v>214</v>
      </c>
      <c r="C62" s="25" t="s">
        <v>359</v>
      </c>
      <c r="D62" s="25">
        <v>49</v>
      </c>
      <c r="E62" s="35" cm="1">
        <f t="array" ref="E62">IFERROR(INDEX($J$5:$AVX$5, _xlfn.AGGREGATE(15,6, COLUMN(J62:AVX62)-COLUMN(J62)+1 / (J62:AVX62="T"), F62)), "")</f>
        <v>46014</v>
      </c>
      <c r="F62" s="74">
        <f t="shared" si="18"/>
        <v>2</v>
      </c>
      <c r="G62" s="35" cm="1">
        <f t="array" ref="G62">IFERROR(INDEX($J$5:$AVW$5,_xlfn.AGGREGATE(14,6,(COLUMN($J62:$AVW62)-COLUMN($J62)+1)/($J62:$AVW62="T"),1)),"")</f>
        <v>46014</v>
      </c>
      <c r="H62" s="77">
        <f t="shared" si="19"/>
        <v>2</v>
      </c>
      <c r="I62" s="44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25" t="s">
        <v>12</v>
      </c>
      <c r="AJ62" s="27"/>
      <c r="AK62" s="27"/>
      <c r="AL62" s="27"/>
      <c r="AM62" s="28"/>
      <c r="AN62" s="27"/>
      <c r="AO62" s="27"/>
      <c r="AP62" s="29" t="s">
        <v>16</v>
      </c>
      <c r="AQ62" s="30" t="s">
        <v>13</v>
      </c>
      <c r="AR62" s="27"/>
      <c r="AS62" s="27"/>
      <c r="AT62" s="28"/>
      <c r="AU62" s="27"/>
      <c r="AV62" s="27"/>
      <c r="AW62" s="32" t="s">
        <v>14</v>
      </c>
      <c r="AX62" s="30" t="s">
        <v>11</v>
      </c>
      <c r="AY62" s="27"/>
      <c r="AZ62" s="27"/>
      <c r="BA62" s="28"/>
      <c r="BB62" s="27"/>
      <c r="BC62" s="29" t="s">
        <v>15</v>
      </c>
      <c r="BD62" s="27"/>
      <c r="BE62" s="27"/>
      <c r="BF62" s="25">
        <v>17</v>
      </c>
      <c r="BG62" s="33"/>
      <c r="BH62" s="33"/>
      <c r="BI62" s="33"/>
      <c r="BJ62" s="25" t="s">
        <v>12</v>
      </c>
      <c r="BK62" s="27"/>
      <c r="BL62" s="27"/>
      <c r="BM62" s="27"/>
      <c r="BN62" s="28"/>
      <c r="BO62" s="27"/>
      <c r="BP62" s="27"/>
      <c r="BQ62" s="29" t="s">
        <v>16</v>
      </c>
      <c r="BR62" s="30" t="s">
        <v>13</v>
      </c>
      <c r="BS62" s="27"/>
      <c r="BT62" s="27"/>
      <c r="BU62" s="28"/>
      <c r="BV62" s="27"/>
      <c r="BW62" s="27"/>
      <c r="BX62" s="29" t="s">
        <v>14</v>
      </c>
      <c r="BY62" s="30" t="s">
        <v>11</v>
      </c>
      <c r="BZ62" s="37"/>
      <c r="CA62" s="27"/>
      <c r="CB62" s="28"/>
      <c r="CC62" s="27"/>
      <c r="CD62" s="29" t="s">
        <v>15</v>
      </c>
      <c r="CE62" s="27"/>
      <c r="CF62" s="27"/>
      <c r="CG62" s="25">
        <v>17</v>
      </c>
      <c r="CH62" s="33"/>
      <c r="CI62" s="33"/>
      <c r="CJ62" s="33"/>
      <c r="CK62" s="33"/>
      <c r="CL62" s="33"/>
      <c r="CM62" s="33"/>
      <c r="CN62" s="33"/>
      <c r="CO62" s="33"/>
      <c r="CP62" s="33"/>
    </row>
    <row r="63" spans="1:94" x14ac:dyDescent="0.25">
      <c r="A63" s="45" t="s">
        <v>8</v>
      </c>
      <c r="B63" s="45" t="s">
        <v>215</v>
      </c>
      <c r="C63" s="25" t="s">
        <v>360</v>
      </c>
      <c r="D63" s="25">
        <v>50</v>
      </c>
      <c r="E63" s="35" cm="1">
        <f t="array" ref="E63">IFERROR(INDEX($J$5:$AVX$5, _xlfn.AGGREGATE(15,6, COLUMN(J63:AVX63)-COLUMN(J63)+1 / (J63:AVX63="T"), F63)), "")</f>
        <v>46014</v>
      </c>
      <c r="F63" s="74">
        <f t="shared" si="18"/>
        <v>2</v>
      </c>
      <c r="G63" s="35" cm="1">
        <f t="array" ref="G63">IFERROR(INDEX($J$5:$AVW$5,_xlfn.AGGREGATE(14,6,(COLUMN($J63:$AVW63)-COLUMN($J63)+1)/($J63:$AVW63="T"),1)),"")</f>
        <v>46014</v>
      </c>
      <c r="H63" s="77">
        <f t="shared" si="19"/>
        <v>2</v>
      </c>
      <c r="I63" s="44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25" t="s">
        <v>12</v>
      </c>
      <c r="AI63" s="27"/>
      <c r="AJ63" s="27"/>
      <c r="AK63" s="27"/>
      <c r="AL63" s="28"/>
      <c r="AM63" s="27"/>
      <c r="AN63" s="27"/>
      <c r="AO63" s="29" t="s">
        <v>16</v>
      </c>
      <c r="AP63" s="30" t="s">
        <v>13</v>
      </c>
      <c r="AQ63" s="27"/>
      <c r="AR63" s="27"/>
      <c r="AS63" s="28"/>
      <c r="AT63" s="27"/>
      <c r="AU63" s="27"/>
      <c r="AV63" s="32" t="s">
        <v>14</v>
      </c>
      <c r="AW63" s="30" t="s">
        <v>11</v>
      </c>
      <c r="AX63" s="27"/>
      <c r="AY63" s="27"/>
      <c r="AZ63" s="28"/>
      <c r="BA63" s="27"/>
      <c r="BB63" s="29" t="s">
        <v>15</v>
      </c>
      <c r="BC63" s="27"/>
      <c r="BD63" s="27"/>
      <c r="BE63" s="25">
        <v>17</v>
      </c>
      <c r="BF63" s="33"/>
      <c r="BG63" s="33"/>
      <c r="BH63" s="33"/>
      <c r="BI63" s="33"/>
      <c r="BJ63" s="25" t="s">
        <v>12</v>
      </c>
      <c r="BK63" s="27"/>
      <c r="BL63" s="27"/>
      <c r="BM63" s="27"/>
      <c r="BN63" s="28"/>
      <c r="BO63" s="27"/>
      <c r="BP63" s="27"/>
      <c r="BQ63" s="29" t="s">
        <v>16</v>
      </c>
      <c r="BR63" s="30" t="s">
        <v>13</v>
      </c>
      <c r="BS63" s="27"/>
      <c r="BT63" s="27"/>
      <c r="BU63" s="28"/>
      <c r="BV63" s="27"/>
      <c r="BW63" s="27"/>
      <c r="BX63" s="29" t="s">
        <v>14</v>
      </c>
      <c r="BY63" s="30" t="s">
        <v>11</v>
      </c>
      <c r="BZ63" s="37"/>
      <c r="CA63" s="27"/>
      <c r="CB63" s="28"/>
      <c r="CC63" s="27"/>
      <c r="CD63" s="29" t="s">
        <v>15</v>
      </c>
      <c r="CE63" s="27"/>
      <c r="CF63" s="27"/>
      <c r="CG63" s="25">
        <v>17</v>
      </c>
      <c r="CH63" s="33"/>
      <c r="CI63" s="33"/>
      <c r="CJ63" s="33"/>
      <c r="CK63" s="33"/>
      <c r="CL63" s="33"/>
      <c r="CM63" s="33"/>
      <c r="CN63" s="33"/>
      <c r="CO63" s="33"/>
      <c r="CP63" s="33"/>
    </row>
    <row r="64" spans="1:94" x14ac:dyDescent="0.25">
      <c r="A64" s="45" t="s">
        <v>8</v>
      </c>
      <c r="B64" s="45" t="s">
        <v>216</v>
      </c>
      <c r="C64" s="25" t="s">
        <v>361</v>
      </c>
      <c r="D64" s="25">
        <v>51</v>
      </c>
      <c r="E64" s="35" cm="1">
        <f t="array" ref="E64">IFERROR(INDEX($J$5:$AVX$5, _xlfn.AGGREGATE(15,6, COLUMN(J64:AVX64)-COLUMN(J64)+1 / (J64:AVX64="T"), F64)), "")</f>
        <v>46014</v>
      </c>
      <c r="F64" s="74">
        <f t="shared" si="18"/>
        <v>2</v>
      </c>
      <c r="G64" s="35" cm="1">
        <f t="array" ref="G64">IFERROR(INDEX($J$5:$AVW$5,_xlfn.AGGREGATE(14,6,(COLUMN($J64:$AVW64)-COLUMN($J64)+1)/($J64:$AVW64="T"),1)),"")</f>
        <v>46014</v>
      </c>
      <c r="H64" s="77">
        <f t="shared" si="19"/>
        <v>2</v>
      </c>
      <c r="I64" s="44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25" t="s">
        <v>12</v>
      </c>
      <c r="AI64" s="27"/>
      <c r="AJ64" s="27"/>
      <c r="AK64" s="27"/>
      <c r="AL64" s="28"/>
      <c r="AM64" s="27"/>
      <c r="AN64" s="27"/>
      <c r="AO64" s="29" t="s">
        <v>16</v>
      </c>
      <c r="AP64" s="30" t="s">
        <v>13</v>
      </c>
      <c r="AQ64" s="27"/>
      <c r="AR64" s="27"/>
      <c r="AS64" s="28"/>
      <c r="AT64" s="27"/>
      <c r="AU64" s="27"/>
      <c r="AV64" s="32" t="s">
        <v>14</v>
      </c>
      <c r="AW64" s="30" t="s">
        <v>11</v>
      </c>
      <c r="AX64" s="27"/>
      <c r="AY64" s="27"/>
      <c r="AZ64" s="28"/>
      <c r="BA64" s="27"/>
      <c r="BB64" s="29" t="s">
        <v>15</v>
      </c>
      <c r="BC64" s="27"/>
      <c r="BD64" s="27"/>
      <c r="BE64" s="25">
        <v>17</v>
      </c>
      <c r="BF64" s="33"/>
      <c r="BG64" s="33"/>
      <c r="BH64" s="33"/>
      <c r="BI64" s="33"/>
      <c r="BJ64" s="25" t="s">
        <v>12</v>
      </c>
      <c r="BK64" s="27"/>
      <c r="BL64" s="27"/>
      <c r="BM64" s="27"/>
      <c r="BN64" s="28"/>
      <c r="BO64" s="27"/>
      <c r="BP64" s="27"/>
      <c r="BQ64" s="29" t="s">
        <v>16</v>
      </c>
      <c r="BR64" s="30" t="s">
        <v>13</v>
      </c>
      <c r="BS64" s="27"/>
      <c r="BT64" s="27"/>
      <c r="BU64" s="28"/>
      <c r="BV64" s="27"/>
      <c r="BW64" s="27"/>
      <c r="BX64" s="29" t="s">
        <v>14</v>
      </c>
      <c r="BY64" s="30" t="s">
        <v>11</v>
      </c>
      <c r="BZ64" s="37"/>
      <c r="CA64" s="27"/>
      <c r="CB64" s="28"/>
      <c r="CC64" s="27"/>
      <c r="CD64" s="29" t="s">
        <v>15</v>
      </c>
      <c r="CE64" s="27"/>
      <c r="CF64" s="27"/>
      <c r="CG64" s="25">
        <v>17</v>
      </c>
      <c r="CH64" s="33"/>
      <c r="CI64" s="33"/>
      <c r="CJ64" s="33"/>
      <c r="CK64" s="33"/>
      <c r="CL64" s="33"/>
      <c r="CM64" s="33"/>
      <c r="CN64" s="33"/>
      <c r="CO64" s="33"/>
      <c r="CP64" s="33"/>
    </row>
    <row r="65" spans="1:94" x14ac:dyDescent="0.25">
      <c r="A65" s="45" t="s">
        <v>8</v>
      </c>
      <c r="B65" s="45" t="s">
        <v>217</v>
      </c>
      <c r="C65" s="25" t="s">
        <v>362</v>
      </c>
      <c r="D65" s="25">
        <v>52</v>
      </c>
      <c r="E65" s="35" cm="1">
        <f t="array" ref="E65">IFERROR(INDEX($J$5:$AVX$5, _xlfn.AGGREGATE(15,6, COLUMN(J65:AVX65)-COLUMN(J65)+1 / (J65:AVX65="T"), F65)), "")</f>
        <v>46014</v>
      </c>
      <c r="F65" s="74">
        <f t="shared" si="18"/>
        <v>2</v>
      </c>
      <c r="G65" s="35" cm="1">
        <f t="array" ref="G65">IFERROR(INDEX($J$5:$AVW$5,_xlfn.AGGREGATE(14,6,(COLUMN($J65:$AVW65)-COLUMN($J65)+1)/($J65:$AVW65="T"),1)),"")</f>
        <v>46014</v>
      </c>
      <c r="H65" s="77">
        <f t="shared" si="19"/>
        <v>2</v>
      </c>
      <c r="I65" s="44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25" t="s">
        <v>12</v>
      </c>
      <c r="AI65" s="27"/>
      <c r="AJ65" s="27"/>
      <c r="AK65" s="27"/>
      <c r="AL65" s="28"/>
      <c r="AM65" s="27"/>
      <c r="AN65" s="27"/>
      <c r="AO65" s="29" t="s">
        <v>16</v>
      </c>
      <c r="AP65" s="30" t="s">
        <v>13</v>
      </c>
      <c r="AQ65" s="27"/>
      <c r="AR65" s="27"/>
      <c r="AS65" s="28"/>
      <c r="AT65" s="27"/>
      <c r="AU65" s="27"/>
      <c r="AV65" s="32" t="s">
        <v>14</v>
      </c>
      <c r="AW65" s="30" t="s">
        <v>11</v>
      </c>
      <c r="AX65" s="27"/>
      <c r="AY65" s="27"/>
      <c r="AZ65" s="28"/>
      <c r="BA65" s="27"/>
      <c r="BB65" s="29" t="s">
        <v>15</v>
      </c>
      <c r="BC65" s="27"/>
      <c r="BD65" s="27"/>
      <c r="BE65" s="25">
        <v>17</v>
      </c>
      <c r="BF65" s="33"/>
      <c r="BG65" s="33"/>
      <c r="BH65" s="33"/>
      <c r="BI65" s="33"/>
      <c r="BJ65" s="25" t="s">
        <v>12</v>
      </c>
      <c r="BK65" s="27"/>
      <c r="BL65" s="27"/>
      <c r="BM65" s="27"/>
      <c r="BN65" s="28"/>
      <c r="BO65" s="27"/>
      <c r="BP65" s="27"/>
      <c r="BQ65" s="29" t="s">
        <v>16</v>
      </c>
      <c r="BR65" s="30" t="s">
        <v>13</v>
      </c>
      <c r="BS65" s="27"/>
      <c r="BT65" s="27"/>
      <c r="BU65" s="28"/>
      <c r="BV65" s="27"/>
      <c r="BW65" s="27"/>
      <c r="BX65" s="29" t="s">
        <v>14</v>
      </c>
      <c r="BY65" s="30" t="s">
        <v>11</v>
      </c>
      <c r="BZ65" s="37"/>
      <c r="CA65" s="27"/>
      <c r="CB65" s="28"/>
      <c r="CC65" s="27"/>
      <c r="CD65" s="29" t="s">
        <v>15</v>
      </c>
      <c r="CE65" s="27"/>
      <c r="CF65" s="27"/>
      <c r="CG65" s="25">
        <v>17</v>
      </c>
      <c r="CH65" s="33"/>
      <c r="CI65" s="33"/>
      <c r="CJ65" s="33"/>
      <c r="CK65" s="33"/>
      <c r="CL65" s="33"/>
      <c r="CM65" s="33"/>
      <c r="CN65" s="33"/>
      <c r="CO65" s="33"/>
      <c r="CP65" s="33"/>
    </row>
    <row r="66" spans="1:94" x14ac:dyDescent="0.25">
      <c r="A66" s="45" t="s">
        <v>8</v>
      </c>
      <c r="B66" s="45" t="s">
        <v>218</v>
      </c>
      <c r="C66" s="25" t="s">
        <v>363</v>
      </c>
      <c r="D66" s="25">
        <v>53</v>
      </c>
      <c r="E66" s="35" cm="1">
        <f t="array" ref="E66">IFERROR(INDEX($J$5:$AVX$5, _xlfn.AGGREGATE(15,6, COLUMN(J66:AVX66)-COLUMN(J66)+1 / (J66:AVX66="T"), F66)), "")</f>
        <v>46014</v>
      </c>
      <c r="F66" s="74">
        <f t="shared" si="18"/>
        <v>2</v>
      </c>
      <c r="G66" s="35" cm="1">
        <f t="array" ref="G66">IFERROR(INDEX($J$5:$AVW$5,_xlfn.AGGREGATE(14,6,(COLUMN($J66:$AVW66)-COLUMN($J66)+1)/($J66:$AVW66="T"),1)),"")</f>
        <v>46014</v>
      </c>
      <c r="H66" s="77">
        <f t="shared" si="19"/>
        <v>2</v>
      </c>
      <c r="I66" s="44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25" t="s">
        <v>12</v>
      </c>
      <c r="AI66" s="27"/>
      <c r="AJ66" s="27"/>
      <c r="AK66" s="27"/>
      <c r="AL66" s="28"/>
      <c r="AM66" s="27"/>
      <c r="AN66" s="27"/>
      <c r="AO66" s="29" t="s">
        <v>16</v>
      </c>
      <c r="AP66" s="30" t="s">
        <v>13</v>
      </c>
      <c r="AQ66" s="27"/>
      <c r="AR66" s="27"/>
      <c r="AS66" s="28"/>
      <c r="AT66" s="27"/>
      <c r="AU66" s="27"/>
      <c r="AV66" s="32" t="s">
        <v>14</v>
      </c>
      <c r="AW66" s="30" t="s">
        <v>11</v>
      </c>
      <c r="AX66" s="27"/>
      <c r="AY66" s="27"/>
      <c r="AZ66" s="28"/>
      <c r="BA66" s="27"/>
      <c r="BB66" s="29" t="s">
        <v>15</v>
      </c>
      <c r="BC66" s="27"/>
      <c r="BD66" s="27"/>
      <c r="BE66" s="25">
        <v>17</v>
      </c>
      <c r="BF66" s="33"/>
      <c r="BG66" s="33"/>
      <c r="BH66" s="33"/>
      <c r="BI66" s="33"/>
      <c r="BJ66" s="25" t="s">
        <v>12</v>
      </c>
      <c r="BK66" s="27"/>
      <c r="BL66" s="27"/>
      <c r="BM66" s="27"/>
      <c r="BN66" s="28"/>
      <c r="BO66" s="27"/>
      <c r="BP66" s="27"/>
      <c r="BQ66" s="29" t="s">
        <v>16</v>
      </c>
      <c r="BR66" s="30" t="s">
        <v>13</v>
      </c>
      <c r="BS66" s="27"/>
      <c r="BT66" s="27"/>
      <c r="BU66" s="28"/>
      <c r="BV66" s="27"/>
      <c r="BW66" s="27"/>
      <c r="BX66" s="29" t="s">
        <v>14</v>
      </c>
      <c r="BY66" s="30" t="s">
        <v>11</v>
      </c>
      <c r="BZ66" s="37"/>
      <c r="CA66" s="27"/>
      <c r="CB66" s="28"/>
      <c r="CC66" s="27"/>
      <c r="CD66" s="29" t="s">
        <v>15</v>
      </c>
      <c r="CE66" s="27"/>
      <c r="CF66" s="27"/>
      <c r="CG66" s="25">
        <v>17</v>
      </c>
      <c r="CH66" s="33"/>
      <c r="CI66" s="33"/>
      <c r="CJ66" s="33"/>
      <c r="CK66" s="33"/>
      <c r="CL66" s="33"/>
      <c r="CM66" s="33"/>
      <c r="CN66" s="33"/>
      <c r="CO66" s="33"/>
      <c r="CP66" s="33"/>
    </row>
    <row r="67" spans="1:94" s="40" customFormat="1" x14ac:dyDescent="0.25">
      <c r="A67" s="25" t="s">
        <v>56</v>
      </c>
      <c r="B67" s="25" t="s">
        <v>219</v>
      </c>
      <c r="C67" s="25" t="s">
        <v>364</v>
      </c>
      <c r="D67" s="25">
        <v>54</v>
      </c>
      <c r="E67" s="35" cm="1">
        <f t="array" ref="E67">IFERROR(INDEX($J$5:$AVX$5, _xlfn.AGGREGATE(15,6, COLUMN(J67:AVX67)-COLUMN(J67)+1 / (J67:AVX67="T"), F67)), "")</f>
        <v>45997</v>
      </c>
      <c r="F67" s="74">
        <f t="shared" si="18"/>
        <v>2</v>
      </c>
      <c r="G67" s="35" cm="1">
        <f t="array" ref="G67">IFERROR(INDEX($J$5:$AVW$5,_xlfn.AGGREGATE(14,6,(COLUMN($J67:$AVW67)-COLUMN($J67)+1)/($J67:$AVW67="T"),1)),"")</f>
        <v>45997</v>
      </c>
      <c r="H67" s="77">
        <f t="shared" si="19"/>
        <v>2</v>
      </c>
      <c r="I67" s="38" t="s">
        <v>10</v>
      </c>
      <c r="J67" s="33"/>
      <c r="K67" s="33"/>
      <c r="L67" s="33"/>
      <c r="M67" s="33"/>
      <c r="N67" s="33"/>
      <c r="O67" s="33"/>
      <c r="P67" s="25" t="s">
        <v>12</v>
      </c>
      <c r="Q67" s="27"/>
      <c r="R67" s="27"/>
      <c r="S67" s="27"/>
      <c r="T67" s="28"/>
      <c r="U67" s="27"/>
      <c r="V67" s="27"/>
      <c r="W67" s="29" t="s">
        <v>16</v>
      </c>
      <c r="X67" s="30" t="s">
        <v>13</v>
      </c>
      <c r="Y67" s="27"/>
      <c r="Z67" s="27"/>
      <c r="AA67" s="28"/>
      <c r="AB67" s="27"/>
      <c r="AC67" s="27"/>
      <c r="AD67" s="32" t="s">
        <v>14</v>
      </c>
      <c r="AE67" s="30" t="s">
        <v>11</v>
      </c>
      <c r="AF67" s="27"/>
      <c r="AG67" s="27"/>
      <c r="AH67" s="28"/>
      <c r="AI67" s="27"/>
      <c r="AJ67" s="29" t="s">
        <v>15</v>
      </c>
      <c r="AK67" s="27"/>
      <c r="AL67" s="27"/>
      <c r="AM67" s="25">
        <v>17</v>
      </c>
      <c r="AN67" s="33"/>
      <c r="AO67" s="33"/>
      <c r="AP67" s="33"/>
      <c r="AQ67" s="33"/>
      <c r="AR67" s="33"/>
      <c r="AS67" s="25" t="s">
        <v>12</v>
      </c>
      <c r="AT67" s="27"/>
      <c r="AU67" s="27"/>
      <c r="AV67" s="27"/>
      <c r="AW67" s="28"/>
      <c r="AX67" s="27"/>
      <c r="AY67" s="27"/>
      <c r="AZ67" s="29" t="s">
        <v>16</v>
      </c>
      <c r="BA67" s="30" t="s">
        <v>13</v>
      </c>
      <c r="BB67" s="27"/>
      <c r="BC67" s="27"/>
      <c r="BD67" s="28"/>
      <c r="BE67" s="27"/>
      <c r="BF67" s="27"/>
      <c r="BG67" s="32" t="s">
        <v>14</v>
      </c>
      <c r="BH67" s="30" t="s">
        <v>11</v>
      </c>
      <c r="BI67" s="27"/>
      <c r="BJ67" s="27"/>
      <c r="BK67" s="28"/>
      <c r="BL67" s="27"/>
      <c r="BM67" s="29" t="s">
        <v>15</v>
      </c>
      <c r="BN67" s="27"/>
      <c r="BO67" s="27"/>
      <c r="BP67" s="25">
        <v>17</v>
      </c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</row>
    <row r="68" spans="1:94" s="40" customFormat="1" x14ac:dyDescent="0.25">
      <c r="A68" s="25" t="s">
        <v>56</v>
      </c>
      <c r="B68" s="25" t="s">
        <v>220</v>
      </c>
      <c r="C68" s="25" t="s">
        <v>365</v>
      </c>
      <c r="D68" s="25">
        <v>55</v>
      </c>
      <c r="E68" s="35" cm="1">
        <f t="array" ref="E68">IFERROR(INDEX($J$5:$AVX$5, _xlfn.AGGREGATE(15,6, COLUMN(J68:AVX68)-COLUMN(J68)+1 / (J68:AVX68="T"), F68)), "")</f>
        <v>45997</v>
      </c>
      <c r="F68" s="74">
        <f t="shared" si="18"/>
        <v>2</v>
      </c>
      <c r="G68" s="35" cm="1">
        <f t="array" ref="G68">IFERROR(INDEX($J$5:$AVW$5,_xlfn.AGGREGATE(14,6,(COLUMN($J68:$AVW68)-COLUMN($J68)+1)/($J68:$AVW68="T"),1)),"")</f>
        <v>45997</v>
      </c>
      <c r="H68" s="77">
        <f t="shared" si="19"/>
        <v>2</v>
      </c>
      <c r="I68" s="38" t="s">
        <v>10</v>
      </c>
      <c r="J68" s="33"/>
      <c r="K68" s="33"/>
      <c r="L68" s="33"/>
      <c r="M68" s="33"/>
      <c r="N68" s="33"/>
      <c r="O68" s="33"/>
      <c r="P68" s="25" t="s">
        <v>12</v>
      </c>
      <c r="Q68" s="27"/>
      <c r="R68" s="27"/>
      <c r="S68" s="27"/>
      <c r="T68" s="28"/>
      <c r="U68" s="27"/>
      <c r="V68" s="27"/>
      <c r="W68" s="29" t="s">
        <v>16</v>
      </c>
      <c r="X68" s="30" t="s">
        <v>13</v>
      </c>
      <c r="Y68" s="27"/>
      <c r="Z68" s="27"/>
      <c r="AA68" s="28"/>
      <c r="AB68" s="27"/>
      <c r="AC68" s="27"/>
      <c r="AD68" s="32" t="s">
        <v>14</v>
      </c>
      <c r="AE68" s="30" t="s">
        <v>11</v>
      </c>
      <c r="AF68" s="27"/>
      <c r="AG68" s="27"/>
      <c r="AH68" s="28"/>
      <c r="AI68" s="27"/>
      <c r="AJ68" s="29" t="s">
        <v>15</v>
      </c>
      <c r="AK68" s="27"/>
      <c r="AL68" s="27"/>
      <c r="AM68" s="25">
        <v>17</v>
      </c>
      <c r="AN68" s="33"/>
      <c r="AO68" s="33"/>
      <c r="AP68" s="33"/>
      <c r="AQ68" s="33"/>
      <c r="AR68" s="33"/>
      <c r="AS68" s="25" t="s">
        <v>12</v>
      </c>
      <c r="AT68" s="27"/>
      <c r="AU68" s="27"/>
      <c r="AV68" s="27"/>
      <c r="AW68" s="28"/>
      <c r="AX68" s="27"/>
      <c r="AY68" s="27"/>
      <c r="AZ68" s="29" t="s">
        <v>16</v>
      </c>
      <c r="BA68" s="30" t="s">
        <v>13</v>
      </c>
      <c r="BB68" s="27"/>
      <c r="BC68" s="27"/>
      <c r="BD68" s="28"/>
      <c r="BE68" s="27"/>
      <c r="BF68" s="27"/>
      <c r="BG68" s="32" t="s">
        <v>14</v>
      </c>
      <c r="BH68" s="30" t="s">
        <v>11</v>
      </c>
      <c r="BI68" s="27"/>
      <c r="BJ68" s="27"/>
      <c r="BK68" s="28"/>
      <c r="BL68" s="27"/>
      <c r="BM68" s="29" t="s">
        <v>15</v>
      </c>
      <c r="BN68" s="27"/>
      <c r="BO68" s="27"/>
      <c r="BP68" s="25">
        <v>17</v>
      </c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</row>
    <row r="69" spans="1:94" s="40" customFormat="1" x14ac:dyDescent="0.25">
      <c r="A69" s="25" t="s">
        <v>56</v>
      </c>
      <c r="B69" s="25" t="s">
        <v>221</v>
      </c>
      <c r="C69" s="25" t="s">
        <v>366</v>
      </c>
      <c r="D69" s="25">
        <v>56</v>
      </c>
      <c r="E69" s="35" cm="1">
        <f t="array" ref="E69">IFERROR(INDEX($J$5:$AVX$5, _xlfn.AGGREGATE(15,6, COLUMN(J69:AVX69)-COLUMN(J69)+1 / (J69:AVX69="T"), F69)), "")</f>
        <v>45996</v>
      </c>
      <c r="F69" s="74">
        <f t="shared" si="18"/>
        <v>2</v>
      </c>
      <c r="G69" s="35" cm="1">
        <f t="array" ref="G69">IFERROR(INDEX($J$5:$AVW$5,_xlfn.AGGREGATE(14,6,(COLUMN($J69:$AVW69)-COLUMN($J69)+1)/($J69:$AVW69="T"),1)),"")</f>
        <v>45996</v>
      </c>
      <c r="H69" s="77">
        <f t="shared" si="19"/>
        <v>2</v>
      </c>
      <c r="I69" s="38" t="s">
        <v>10</v>
      </c>
      <c r="J69" s="33"/>
      <c r="K69" s="33"/>
      <c r="L69" s="33"/>
      <c r="M69" s="33"/>
      <c r="N69" s="25" t="s">
        <v>12</v>
      </c>
      <c r="O69" s="27"/>
      <c r="P69" s="27"/>
      <c r="Q69" s="27"/>
      <c r="R69" s="28"/>
      <c r="S69" s="27"/>
      <c r="T69" s="27"/>
      <c r="U69" s="29" t="s">
        <v>16</v>
      </c>
      <c r="V69" s="30" t="s">
        <v>13</v>
      </c>
      <c r="W69" s="27"/>
      <c r="X69" s="27"/>
      <c r="Y69" s="28"/>
      <c r="Z69" s="27"/>
      <c r="AA69" s="27"/>
      <c r="AB69" s="32" t="s">
        <v>14</v>
      </c>
      <c r="AC69" s="30" t="s">
        <v>11</v>
      </c>
      <c r="AD69" s="27"/>
      <c r="AE69" s="27"/>
      <c r="AF69" s="28"/>
      <c r="AG69" s="27"/>
      <c r="AH69" s="29" t="s">
        <v>15</v>
      </c>
      <c r="AI69" s="27"/>
      <c r="AJ69" s="27"/>
      <c r="AK69" s="25">
        <v>17</v>
      </c>
      <c r="AL69" s="33"/>
      <c r="AM69" s="33"/>
      <c r="AN69" s="33"/>
      <c r="AO69" s="33"/>
      <c r="AP69" s="33"/>
      <c r="AQ69" s="33"/>
      <c r="AR69" s="25" t="s">
        <v>12</v>
      </c>
      <c r="AS69" s="27"/>
      <c r="AT69" s="27"/>
      <c r="AU69" s="27"/>
      <c r="AV69" s="28"/>
      <c r="AW69" s="27"/>
      <c r="AX69" s="27"/>
      <c r="AY69" s="29" t="s">
        <v>16</v>
      </c>
      <c r="AZ69" s="30" t="s">
        <v>13</v>
      </c>
      <c r="BA69" s="27"/>
      <c r="BB69" s="27"/>
      <c r="BC69" s="28"/>
      <c r="BD69" s="27"/>
      <c r="BE69" s="27"/>
      <c r="BF69" s="32" t="s">
        <v>14</v>
      </c>
      <c r="BG69" s="30" t="s">
        <v>11</v>
      </c>
      <c r="BH69" s="27"/>
      <c r="BI69" s="27"/>
      <c r="BJ69" s="28"/>
      <c r="BK69" s="27"/>
      <c r="BL69" s="29" t="s">
        <v>15</v>
      </c>
      <c r="BM69" s="27"/>
      <c r="BN69" s="27"/>
      <c r="BO69" s="25">
        <v>17</v>
      </c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</row>
    <row r="70" spans="1:94" s="40" customFormat="1" x14ac:dyDescent="0.25">
      <c r="A70" s="25" t="s">
        <v>56</v>
      </c>
      <c r="B70" s="25" t="s">
        <v>222</v>
      </c>
      <c r="C70" s="25" t="s">
        <v>367</v>
      </c>
      <c r="D70" s="25">
        <v>57</v>
      </c>
      <c r="E70" s="35" cm="1">
        <f t="array" ref="E70">IFERROR(INDEX($J$5:$AVX$5, _xlfn.AGGREGATE(15,6, COLUMN(J70:AVX70)-COLUMN(J70)+1 / (J70:AVX70="T"), F70)), "")</f>
        <v>45996</v>
      </c>
      <c r="F70" s="74">
        <f t="shared" si="18"/>
        <v>2</v>
      </c>
      <c r="G70" s="35" cm="1">
        <f t="array" ref="G70">IFERROR(INDEX($J$5:$AVW$5,_xlfn.AGGREGATE(14,6,(COLUMN($J70:$AVW70)-COLUMN($J70)+1)/($J70:$AVW70="T"),1)),"")</f>
        <v>45996</v>
      </c>
      <c r="H70" s="77">
        <f t="shared" si="19"/>
        <v>2</v>
      </c>
      <c r="I70" s="38" t="s">
        <v>10</v>
      </c>
      <c r="J70" s="33"/>
      <c r="K70" s="33"/>
      <c r="L70" s="33"/>
      <c r="M70" s="33"/>
      <c r="N70" s="25" t="s">
        <v>12</v>
      </c>
      <c r="O70" s="27"/>
      <c r="P70" s="27"/>
      <c r="Q70" s="27"/>
      <c r="R70" s="28"/>
      <c r="S70" s="27"/>
      <c r="T70" s="27"/>
      <c r="U70" s="29" t="s">
        <v>16</v>
      </c>
      <c r="V70" s="30" t="s">
        <v>13</v>
      </c>
      <c r="W70" s="27"/>
      <c r="X70" s="27"/>
      <c r="Y70" s="28"/>
      <c r="Z70" s="27"/>
      <c r="AA70" s="27"/>
      <c r="AB70" s="29" t="s">
        <v>14</v>
      </c>
      <c r="AC70" s="30" t="s">
        <v>11</v>
      </c>
      <c r="AD70" s="37"/>
      <c r="AE70" s="27"/>
      <c r="AF70" s="28"/>
      <c r="AG70" s="27"/>
      <c r="AH70" s="29" t="s">
        <v>15</v>
      </c>
      <c r="AI70" s="27"/>
      <c r="AJ70" s="27"/>
      <c r="AK70" s="25">
        <v>17</v>
      </c>
      <c r="AL70" s="33"/>
      <c r="AM70" s="33"/>
      <c r="AN70" s="33"/>
      <c r="AO70" s="33"/>
      <c r="AP70" s="33"/>
      <c r="AQ70" s="33"/>
      <c r="AR70" s="25" t="s">
        <v>12</v>
      </c>
      <c r="AS70" s="27"/>
      <c r="AT70" s="27"/>
      <c r="AU70" s="27"/>
      <c r="AV70" s="28"/>
      <c r="AW70" s="27"/>
      <c r="AX70" s="27"/>
      <c r="AY70" s="29" t="s">
        <v>16</v>
      </c>
      <c r="AZ70" s="30" t="s">
        <v>13</v>
      </c>
      <c r="BA70" s="27"/>
      <c r="BB70" s="27"/>
      <c r="BC70" s="28"/>
      <c r="BD70" s="27"/>
      <c r="BE70" s="27"/>
      <c r="BF70" s="32" t="s">
        <v>14</v>
      </c>
      <c r="BG70" s="30" t="s">
        <v>11</v>
      </c>
      <c r="BH70" s="27"/>
      <c r="BI70" s="27"/>
      <c r="BJ70" s="28"/>
      <c r="BK70" s="27"/>
      <c r="BL70" s="29" t="s">
        <v>15</v>
      </c>
      <c r="BM70" s="27"/>
      <c r="BN70" s="27"/>
      <c r="BO70" s="25">
        <v>17</v>
      </c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</row>
    <row r="71" spans="1:94" x14ac:dyDescent="0.25">
      <c r="A71" s="25" t="s">
        <v>56</v>
      </c>
      <c r="B71" s="25" t="s">
        <v>223</v>
      </c>
      <c r="C71" s="25" t="s">
        <v>368</v>
      </c>
      <c r="D71" s="25">
        <v>58</v>
      </c>
      <c r="E71" s="35" cm="1">
        <f t="array" ref="E71">IFERROR(INDEX($J$5:$AVX$5, _xlfn.AGGREGATE(15,6, COLUMN(J71:AVX71)-COLUMN(J71)+1 / (J71:AVX71="T"), F71)), "")</f>
        <v>45996</v>
      </c>
      <c r="F71" s="74">
        <f t="shared" si="18"/>
        <v>2</v>
      </c>
      <c r="G71" s="35" cm="1">
        <f t="array" ref="G71">IFERROR(INDEX($J$5:$AVW$5,_xlfn.AGGREGATE(14,6,(COLUMN($J71:$AVW71)-COLUMN($J71)+1)/($J71:$AVW71="T"),1)),"")</f>
        <v>45996</v>
      </c>
      <c r="H71" s="77">
        <f t="shared" si="19"/>
        <v>2</v>
      </c>
      <c r="I71" s="38" t="s">
        <v>10</v>
      </c>
      <c r="J71" s="33"/>
      <c r="K71" s="33"/>
      <c r="L71" s="33"/>
      <c r="M71" s="33"/>
      <c r="N71" s="25" t="s">
        <v>12</v>
      </c>
      <c r="O71" s="27"/>
      <c r="P71" s="27"/>
      <c r="Q71" s="27"/>
      <c r="R71" s="28"/>
      <c r="S71" s="27"/>
      <c r="T71" s="27"/>
      <c r="U71" s="29" t="s">
        <v>16</v>
      </c>
      <c r="V71" s="30" t="s">
        <v>13</v>
      </c>
      <c r="W71" s="27"/>
      <c r="X71" s="27"/>
      <c r="Y71" s="28"/>
      <c r="Z71" s="27"/>
      <c r="AA71" s="27"/>
      <c r="AB71" s="29" t="s">
        <v>14</v>
      </c>
      <c r="AC71" s="30" t="s">
        <v>11</v>
      </c>
      <c r="AD71" s="37"/>
      <c r="AE71" s="27"/>
      <c r="AF71" s="28"/>
      <c r="AG71" s="27"/>
      <c r="AH71" s="29" t="s">
        <v>15</v>
      </c>
      <c r="AI71" s="27"/>
      <c r="AJ71" s="27"/>
      <c r="AK71" s="25">
        <v>17</v>
      </c>
      <c r="AL71" s="33"/>
      <c r="AM71" s="33"/>
      <c r="AN71" s="33"/>
      <c r="AO71" s="33"/>
      <c r="AP71" s="33"/>
      <c r="AQ71" s="33"/>
      <c r="AR71" s="25" t="s">
        <v>12</v>
      </c>
      <c r="AS71" s="27"/>
      <c r="AT71" s="27"/>
      <c r="AU71" s="27"/>
      <c r="AV71" s="28"/>
      <c r="AW71" s="27"/>
      <c r="AX71" s="27"/>
      <c r="AY71" s="29" t="s">
        <v>16</v>
      </c>
      <c r="AZ71" s="30" t="s">
        <v>13</v>
      </c>
      <c r="BA71" s="27"/>
      <c r="BB71" s="27"/>
      <c r="BC71" s="28"/>
      <c r="BD71" s="27"/>
      <c r="BE71" s="27"/>
      <c r="BF71" s="32" t="s">
        <v>14</v>
      </c>
      <c r="BG71" s="30" t="s">
        <v>11</v>
      </c>
      <c r="BH71" s="27"/>
      <c r="BI71" s="27"/>
      <c r="BJ71" s="28"/>
      <c r="BK71" s="27"/>
      <c r="BL71" s="29" t="s">
        <v>15</v>
      </c>
      <c r="BM71" s="27"/>
      <c r="BN71" s="27"/>
      <c r="BO71" s="25">
        <v>17</v>
      </c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</row>
    <row r="72" spans="1:94" x14ac:dyDescent="0.25">
      <c r="A72" s="25" t="s">
        <v>56</v>
      </c>
      <c r="B72" s="25" t="s">
        <v>224</v>
      </c>
      <c r="C72" s="25" t="s">
        <v>369</v>
      </c>
      <c r="D72" s="25">
        <v>59</v>
      </c>
      <c r="E72" s="35" cm="1">
        <f t="array" ref="E72">IFERROR(INDEX($J$5:$AVX$5, _xlfn.AGGREGATE(15,6, COLUMN(J72:AVX72)-COLUMN(J72)+1 / (J72:AVX72="T"), F72)), "")</f>
        <v>45995</v>
      </c>
      <c r="F72" s="74">
        <f t="shared" si="18"/>
        <v>2</v>
      </c>
      <c r="G72" s="35" cm="1">
        <f t="array" ref="G72">IFERROR(INDEX($J$5:$AVW$5,_xlfn.AGGREGATE(14,6,(COLUMN($J72:$AVW72)-COLUMN($J72)+1)/($J72:$AVW72="T"),1)),"")</f>
        <v>45995</v>
      </c>
      <c r="H72" s="77">
        <f t="shared" si="19"/>
        <v>2</v>
      </c>
      <c r="I72" s="38" t="s">
        <v>10</v>
      </c>
      <c r="J72" s="33"/>
      <c r="K72" s="33"/>
      <c r="L72" s="33"/>
      <c r="M72" s="33"/>
      <c r="N72" s="25" t="s">
        <v>12</v>
      </c>
      <c r="O72" s="27"/>
      <c r="P72" s="27"/>
      <c r="Q72" s="27"/>
      <c r="R72" s="28"/>
      <c r="S72" s="27"/>
      <c r="T72" s="27"/>
      <c r="U72" s="29" t="s">
        <v>16</v>
      </c>
      <c r="V72" s="30" t="s">
        <v>13</v>
      </c>
      <c r="W72" s="27"/>
      <c r="X72" s="27"/>
      <c r="Y72" s="28"/>
      <c r="Z72" s="27"/>
      <c r="AA72" s="27"/>
      <c r="AB72" s="29" t="s">
        <v>14</v>
      </c>
      <c r="AC72" s="30" t="s">
        <v>11</v>
      </c>
      <c r="AD72" s="37"/>
      <c r="AE72" s="27"/>
      <c r="AF72" s="28"/>
      <c r="AG72" s="27"/>
      <c r="AH72" s="29" t="s">
        <v>15</v>
      </c>
      <c r="AI72" s="27"/>
      <c r="AJ72" s="27"/>
      <c r="AK72" s="25">
        <v>17</v>
      </c>
      <c r="AL72" s="33"/>
      <c r="AM72" s="33"/>
      <c r="AN72" s="33"/>
      <c r="AO72" s="33"/>
      <c r="AP72" s="33"/>
      <c r="AQ72" s="25" t="s">
        <v>12</v>
      </c>
      <c r="AR72" s="27"/>
      <c r="AS72" s="27"/>
      <c r="AT72" s="27"/>
      <c r="AU72" s="28"/>
      <c r="AV72" s="27"/>
      <c r="AW72" s="27"/>
      <c r="AX72" s="29" t="s">
        <v>16</v>
      </c>
      <c r="AY72" s="30" t="s">
        <v>13</v>
      </c>
      <c r="AZ72" s="27"/>
      <c r="BA72" s="27"/>
      <c r="BB72" s="28"/>
      <c r="BC72" s="27"/>
      <c r="BD72" s="27"/>
      <c r="BE72" s="32" t="s">
        <v>14</v>
      </c>
      <c r="BF72" s="30" t="s">
        <v>11</v>
      </c>
      <c r="BG72" s="27"/>
      <c r="BH72" s="27"/>
      <c r="BI72" s="28"/>
      <c r="BJ72" s="27"/>
      <c r="BK72" s="29" t="s">
        <v>15</v>
      </c>
      <c r="BL72" s="27"/>
      <c r="BM72" s="27"/>
      <c r="BN72" s="25">
        <v>17</v>
      </c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  <c r="CO72" s="33"/>
      <c r="CP72" s="33"/>
    </row>
    <row r="73" spans="1:94" x14ac:dyDescent="0.25">
      <c r="A73" s="25" t="s">
        <v>56</v>
      </c>
      <c r="B73" s="25" t="s">
        <v>225</v>
      </c>
      <c r="C73" s="25" t="s">
        <v>370</v>
      </c>
      <c r="D73" s="25">
        <v>60</v>
      </c>
      <c r="E73" s="35" cm="1">
        <f t="array" ref="E73">IFERROR(INDEX($J$5:$AVX$5, _xlfn.AGGREGATE(15,6, COLUMN(J73:AVX73)-COLUMN(J73)+1 / (J73:AVX73="T"), F73)), "")</f>
        <v>45995</v>
      </c>
      <c r="F73" s="74">
        <f t="shared" si="18"/>
        <v>2</v>
      </c>
      <c r="G73" s="35" cm="1">
        <f t="array" ref="G73">IFERROR(INDEX($J$5:$AVW$5,_xlfn.AGGREGATE(14,6,(COLUMN($J73:$AVW73)-COLUMN($J73)+1)/($J73:$AVW73="T"),1)),"")</f>
        <v>45995</v>
      </c>
      <c r="H73" s="77">
        <f t="shared" si="19"/>
        <v>2</v>
      </c>
      <c r="I73" s="38" t="s">
        <v>10</v>
      </c>
      <c r="J73" s="33"/>
      <c r="K73" s="33"/>
      <c r="L73" s="33"/>
      <c r="M73" s="33"/>
      <c r="N73" s="25" t="s">
        <v>12</v>
      </c>
      <c r="O73" s="27"/>
      <c r="P73" s="27"/>
      <c r="Q73" s="27"/>
      <c r="R73" s="28"/>
      <c r="S73" s="27"/>
      <c r="T73" s="27"/>
      <c r="U73" s="29" t="s">
        <v>16</v>
      </c>
      <c r="V73" s="30" t="s">
        <v>13</v>
      </c>
      <c r="W73" s="27"/>
      <c r="X73" s="27"/>
      <c r="Y73" s="28"/>
      <c r="Z73" s="27"/>
      <c r="AA73" s="27"/>
      <c r="AB73" s="29" t="s">
        <v>14</v>
      </c>
      <c r="AC73" s="30" t="s">
        <v>11</v>
      </c>
      <c r="AD73" s="37"/>
      <c r="AE73" s="27"/>
      <c r="AF73" s="28"/>
      <c r="AG73" s="27"/>
      <c r="AH73" s="29" t="s">
        <v>15</v>
      </c>
      <c r="AI73" s="27"/>
      <c r="AJ73" s="27"/>
      <c r="AK73" s="25">
        <v>17</v>
      </c>
      <c r="AL73" s="33"/>
      <c r="AM73" s="33"/>
      <c r="AN73" s="33"/>
      <c r="AO73" s="33"/>
      <c r="AP73" s="33"/>
      <c r="AQ73" s="25" t="s">
        <v>12</v>
      </c>
      <c r="AR73" s="27"/>
      <c r="AS73" s="27"/>
      <c r="AT73" s="27"/>
      <c r="AU73" s="28"/>
      <c r="AV73" s="27"/>
      <c r="AW73" s="27"/>
      <c r="AX73" s="29" t="s">
        <v>16</v>
      </c>
      <c r="AY73" s="30" t="s">
        <v>13</v>
      </c>
      <c r="AZ73" s="27"/>
      <c r="BA73" s="27"/>
      <c r="BB73" s="28"/>
      <c r="BC73" s="27"/>
      <c r="BD73" s="27"/>
      <c r="BE73" s="32" t="s">
        <v>14</v>
      </c>
      <c r="BF73" s="30" t="s">
        <v>11</v>
      </c>
      <c r="BG73" s="27"/>
      <c r="BH73" s="27"/>
      <c r="BI73" s="28"/>
      <c r="BJ73" s="27"/>
      <c r="BK73" s="29" t="s">
        <v>15</v>
      </c>
      <c r="BL73" s="27"/>
      <c r="BM73" s="27"/>
      <c r="BN73" s="25">
        <v>17</v>
      </c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</row>
    <row r="74" spans="1:94" x14ac:dyDescent="0.25">
      <c r="A74" s="25" t="s">
        <v>56</v>
      </c>
      <c r="B74" s="25" t="s">
        <v>226</v>
      </c>
      <c r="C74" s="25" t="s">
        <v>371</v>
      </c>
      <c r="D74" s="25">
        <v>61</v>
      </c>
      <c r="E74" s="35" cm="1">
        <f t="array" ref="E74">IFERROR(INDEX($J$5:$AVX$5, _xlfn.AGGREGATE(15,6, COLUMN(J74:AVX74)-COLUMN(J74)+1 / (J74:AVX74="T"), F74)), "")</f>
        <v>45995</v>
      </c>
      <c r="F74" s="74">
        <f t="shared" si="18"/>
        <v>2</v>
      </c>
      <c r="G74" s="35" cm="1">
        <f t="array" ref="G74">IFERROR(INDEX($J$5:$AVW$5,_xlfn.AGGREGATE(14,6,(COLUMN($J74:$AVW74)-COLUMN($J74)+1)/($J74:$AVW74="T"),1)),"")</f>
        <v>45995</v>
      </c>
      <c r="H74" s="77">
        <f t="shared" si="19"/>
        <v>2</v>
      </c>
      <c r="I74" s="38" t="s">
        <v>10</v>
      </c>
      <c r="J74" s="33"/>
      <c r="K74" s="33"/>
      <c r="L74" s="33"/>
      <c r="M74" s="33"/>
      <c r="N74" s="25" t="s">
        <v>12</v>
      </c>
      <c r="O74" s="27"/>
      <c r="P74" s="27"/>
      <c r="Q74" s="27"/>
      <c r="R74" s="28"/>
      <c r="S74" s="27"/>
      <c r="T74" s="27"/>
      <c r="U74" s="29" t="s">
        <v>16</v>
      </c>
      <c r="V74" s="30" t="s">
        <v>13</v>
      </c>
      <c r="W74" s="27"/>
      <c r="X74" s="27"/>
      <c r="Y74" s="28"/>
      <c r="Z74" s="27"/>
      <c r="AA74" s="27"/>
      <c r="AB74" s="29" t="s">
        <v>14</v>
      </c>
      <c r="AC74" s="30" t="s">
        <v>11</v>
      </c>
      <c r="AD74" s="37"/>
      <c r="AE74" s="27"/>
      <c r="AF74" s="28"/>
      <c r="AG74" s="27"/>
      <c r="AH74" s="29" t="s">
        <v>15</v>
      </c>
      <c r="AI74" s="27"/>
      <c r="AJ74" s="27"/>
      <c r="AK74" s="25">
        <v>17</v>
      </c>
      <c r="AL74" s="33"/>
      <c r="AM74" s="33"/>
      <c r="AN74" s="33"/>
      <c r="AO74" s="33"/>
      <c r="AP74" s="33"/>
      <c r="AQ74" s="25" t="s">
        <v>12</v>
      </c>
      <c r="AR74" s="27"/>
      <c r="AS74" s="27"/>
      <c r="AT74" s="27"/>
      <c r="AU74" s="28"/>
      <c r="AV74" s="27"/>
      <c r="AW74" s="27"/>
      <c r="AX74" s="29" t="s">
        <v>16</v>
      </c>
      <c r="AY74" s="30" t="s">
        <v>13</v>
      </c>
      <c r="AZ74" s="27"/>
      <c r="BA74" s="27"/>
      <c r="BB74" s="28"/>
      <c r="BC74" s="27"/>
      <c r="BD74" s="27"/>
      <c r="BE74" s="32" t="s">
        <v>14</v>
      </c>
      <c r="BF74" s="30" t="s">
        <v>11</v>
      </c>
      <c r="BG74" s="27"/>
      <c r="BH74" s="27"/>
      <c r="BI74" s="28"/>
      <c r="BJ74" s="27"/>
      <c r="BK74" s="29" t="s">
        <v>15</v>
      </c>
      <c r="BL74" s="27"/>
      <c r="BM74" s="27"/>
      <c r="BN74" s="25">
        <v>17</v>
      </c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  <c r="CP74" s="33"/>
    </row>
    <row r="75" spans="1:94" x14ac:dyDescent="0.25">
      <c r="A75" s="25" t="s">
        <v>56</v>
      </c>
      <c r="B75" s="25" t="s">
        <v>227</v>
      </c>
      <c r="C75" s="25" t="s">
        <v>372</v>
      </c>
      <c r="D75" s="25">
        <v>62</v>
      </c>
      <c r="E75" s="35" cm="1">
        <f t="array" ref="E75">IFERROR(INDEX($J$5:$AVX$5, _xlfn.AGGREGATE(15,6, COLUMN(J75:AVX75)-COLUMN(J75)+1 / (J75:AVX75="T"), F75)), "")</f>
        <v>45995</v>
      </c>
      <c r="F75" s="74">
        <f t="shared" si="18"/>
        <v>2</v>
      </c>
      <c r="G75" s="35" cm="1">
        <f t="array" ref="G75">IFERROR(INDEX($J$5:$AVW$5,_xlfn.AGGREGATE(14,6,(COLUMN($J75:$AVW75)-COLUMN($J75)+1)/($J75:$AVW75="T"),1)),"")</f>
        <v>45995</v>
      </c>
      <c r="H75" s="77">
        <f t="shared" si="19"/>
        <v>2</v>
      </c>
      <c r="I75" s="38" t="s">
        <v>10</v>
      </c>
      <c r="J75" s="33"/>
      <c r="K75" s="33"/>
      <c r="L75" s="33"/>
      <c r="M75" s="33"/>
      <c r="N75" s="25" t="s">
        <v>12</v>
      </c>
      <c r="O75" s="27"/>
      <c r="P75" s="27"/>
      <c r="Q75" s="27"/>
      <c r="R75" s="28"/>
      <c r="S75" s="27"/>
      <c r="T75" s="27"/>
      <c r="U75" s="29" t="s">
        <v>16</v>
      </c>
      <c r="V75" s="30" t="s">
        <v>13</v>
      </c>
      <c r="W75" s="27"/>
      <c r="X75" s="27"/>
      <c r="Y75" s="28"/>
      <c r="Z75" s="27"/>
      <c r="AA75" s="27"/>
      <c r="AB75" s="29" t="s">
        <v>14</v>
      </c>
      <c r="AC75" s="30" t="s">
        <v>11</v>
      </c>
      <c r="AD75" s="37"/>
      <c r="AE75" s="27"/>
      <c r="AF75" s="28"/>
      <c r="AG75" s="27"/>
      <c r="AH75" s="29" t="s">
        <v>15</v>
      </c>
      <c r="AI75" s="27"/>
      <c r="AJ75" s="27"/>
      <c r="AK75" s="25">
        <v>17</v>
      </c>
      <c r="AL75" s="33"/>
      <c r="AM75" s="33"/>
      <c r="AN75" s="33"/>
      <c r="AO75" s="33"/>
      <c r="AP75" s="33"/>
      <c r="AQ75" s="25" t="s">
        <v>12</v>
      </c>
      <c r="AR75" s="27"/>
      <c r="AS75" s="27"/>
      <c r="AT75" s="27"/>
      <c r="AU75" s="28"/>
      <c r="AV75" s="27"/>
      <c r="AW75" s="27"/>
      <c r="AX75" s="29" t="s">
        <v>16</v>
      </c>
      <c r="AY75" s="30" t="s">
        <v>13</v>
      </c>
      <c r="AZ75" s="27"/>
      <c r="BA75" s="27"/>
      <c r="BB75" s="28"/>
      <c r="BC75" s="27"/>
      <c r="BD75" s="27"/>
      <c r="BE75" s="32" t="s">
        <v>14</v>
      </c>
      <c r="BF75" s="30" t="s">
        <v>11</v>
      </c>
      <c r="BG75" s="27"/>
      <c r="BH75" s="27"/>
      <c r="BI75" s="28"/>
      <c r="BJ75" s="27"/>
      <c r="BK75" s="29" t="s">
        <v>15</v>
      </c>
      <c r="BL75" s="27"/>
      <c r="BM75" s="27"/>
      <c r="BN75" s="25">
        <v>17</v>
      </c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</row>
    <row r="76" spans="1:94" x14ac:dyDescent="0.25">
      <c r="A76" s="25" t="s">
        <v>56</v>
      </c>
      <c r="B76" s="25" t="s">
        <v>228</v>
      </c>
      <c r="C76" s="25" t="s">
        <v>373</v>
      </c>
      <c r="D76" s="25">
        <v>63</v>
      </c>
      <c r="E76" s="35" cm="1">
        <f t="array" ref="E76">IFERROR(INDEX($J$5:$AVX$5, _xlfn.AGGREGATE(15,6, COLUMN(J76:AVX76)-COLUMN(J76)+1 / (J76:AVX76="T"), F76)), "")</f>
        <v>45994</v>
      </c>
      <c r="F76" s="74">
        <f t="shared" si="18"/>
        <v>2</v>
      </c>
      <c r="G76" s="35" cm="1">
        <f t="array" ref="G76">IFERROR(INDEX($J$5:$AVW$5,_xlfn.AGGREGATE(14,6,(COLUMN($J76:$AVW76)-COLUMN($J76)+1)/($J76:$AVW76="T"),1)),"")</f>
        <v>45994</v>
      </c>
      <c r="H76" s="77">
        <f t="shared" si="19"/>
        <v>2</v>
      </c>
      <c r="I76" s="38" t="s">
        <v>10</v>
      </c>
      <c r="J76" s="33"/>
      <c r="K76" s="25" t="s">
        <v>12</v>
      </c>
      <c r="L76" s="27"/>
      <c r="M76" s="27"/>
      <c r="N76" s="27"/>
      <c r="O76" s="28"/>
      <c r="P76" s="27"/>
      <c r="Q76" s="27"/>
      <c r="R76" s="29" t="s">
        <v>16</v>
      </c>
      <c r="S76" s="30" t="s">
        <v>13</v>
      </c>
      <c r="T76" s="27"/>
      <c r="U76" s="27"/>
      <c r="V76" s="28"/>
      <c r="W76" s="27"/>
      <c r="X76" s="27"/>
      <c r="Y76" s="32" t="s">
        <v>14</v>
      </c>
      <c r="Z76" s="30" t="s">
        <v>11</v>
      </c>
      <c r="AA76" s="27"/>
      <c r="AB76" s="27"/>
      <c r="AC76" s="28"/>
      <c r="AD76" s="27"/>
      <c r="AE76" s="29" t="s">
        <v>15</v>
      </c>
      <c r="AF76" s="27"/>
      <c r="AG76" s="27"/>
      <c r="AH76" s="25">
        <v>17</v>
      </c>
      <c r="AI76" s="33"/>
      <c r="AJ76" s="33"/>
      <c r="AK76" s="33"/>
      <c r="AL76" s="33"/>
      <c r="AM76" s="33"/>
      <c r="AN76" s="33"/>
      <c r="AO76" s="33"/>
      <c r="AP76" s="25" t="s">
        <v>12</v>
      </c>
      <c r="AQ76" s="27"/>
      <c r="AR76" s="27"/>
      <c r="AS76" s="27"/>
      <c r="AT76" s="28"/>
      <c r="AU76" s="27"/>
      <c r="AV76" s="27"/>
      <c r="AW76" s="29" t="s">
        <v>16</v>
      </c>
      <c r="AX76" s="30" t="s">
        <v>13</v>
      </c>
      <c r="AY76" s="27"/>
      <c r="AZ76" s="27"/>
      <c r="BA76" s="28"/>
      <c r="BB76" s="27"/>
      <c r="BC76" s="27"/>
      <c r="BD76" s="32" t="s">
        <v>14</v>
      </c>
      <c r="BE76" s="30" t="s">
        <v>11</v>
      </c>
      <c r="BF76" s="27"/>
      <c r="BG76" s="27"/>
      <c r="BH76" s="28"/>
      <c r="BI76" s="27"/>
      <c r="BJ76" s="29" t="s">
        <v>15</v>
      </c>
      <c r="BK76" s="27"/>
      <c r="BL76" s="27"/>
      <c r="BM76" s="25">
        <v>17</v>
      </c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  <c r="CO76" s="33"/>
      <c r="CP76" s="33"/>
    </row>
    <row r="77" spans="1:94" x14ac:dyDescent="0.25">
      <c r="A77" s="25" t="s">
        <v>56</v>
      </c>
      <c r="B77" s="25" t="s">
        <v>229</v>
      </c>
      <c r="C77" s="25" t="s">
        <v>374</v>
      </c>
      <c r="D77" s="25">
        <v>64</v>
      </c>
      <c r="E77" s="35" cm="1">
        <f t="array" ref="E77">IFERROR(INDEX($J$5:$AVX$5, _xlfn.AGGREGATE(15,6, COLUMN(J77:AVX77)-COLUMN(J77)+1 / (J77:AVX77="T"), F77)), "")</f>
        <v>45994</v>
      </c>
      <c r="F77" s="74">
        <f t="shared" si="18"/>
        <v>2</v>
      </c>
      <c r="G77" s="35" cm="1">
        <f t="array" ref="G77">IFERROR(INDEX($J$5:$AVW$5,_xlfn.AGGREGATE(14,6,(COLUMN($J77:$AVW77)-COLUMN($J77)+1)/($J77:$AVW77="T"),1)),"")</f>
        <v>45994</v>
      </c>
      <c r="H77" s="77">
        <f t="shared" si="19"/>
        <v>2</v>
      </c>
      <c r="I77" s="38" t="s">
        <v>10</v>
      </c>
      <c r="J77" s="33"/>
      <c r="K77" s="25" t="s">
        <v>12</v>
      </c>
      <c r="L77" s="27"/>
      <c r="M77" s="27"/>
      <c r="N77" s="27"/>
      <c r="O77" s="28"/>
      <c r="P77" s="27"/>
      <c r="Q77" s="27"/>
      <c r="R77" s="29" t="s">
        <v>16</v>
      </c>
      <c r="S77" s="30" t="s">
        <v>13</v>
      </c>
      <c r="T77" s="27"/>
      <c r="U77" s="27"/>
      <c r="V77" s="28"/>
      <c r="W77" s="27"/>
      <c r="X77" s="27"/>
      <c r="Y77" s="29" t="s">
        <v>14</v>
      </c>
      <c r="Z77" s="30" t="s">
        <v>11</v>
      </c>
      <c r="AA77" s="37"/>
      <c r="AB77" s="27"/>
      <c r="AC77" s="28"/>
      <c r="AD77" s="27"/>
      <c r="AE77" s="29" t="s">
        <v>15</v>
      </c>
      <c r="AF77" s="27"/>
      <c r="AG77" s="27"/>
      <c r="AH77" s="25">
        <v>17</v>
      </c>
      <c r="AI77" s="33"/>
      <c r="AJ77" s="33"/>
      <c r="AK77" s="33"/>
      <c r="AL77" s="33"/>
      <c r="AM77" s="33"/>
      <c r="AN77" s="33"/>
      <c r="AO77" s="33"/>
      <c r="AP77" s="25" t="s">
        <v>12</v>
      </c>
      <c r="AQ77" s="27"/>
      <c r="AR77" s="27"/>
      <c r="AS77" s="27"/>
      <c r="AT77" s="28"/>
      <c r="AU77" s="27"/>
      <c r="AV77" s="27"/>
      <c r="AW77" s="29" t="s">
        <v>16</v>
      </c>
      <c r="AX77" s="30" t="s">
        <v>13</v>
      </c>
      <c r="AY77" s="27"/>
      <c r="AZ77" s="27"/>
      <c r="BA77" s="28"/>
      <c r="BB77" s="27"/>
      <c r="BC77" s="27"/>
      <c r="BD77" s="32" t="s">
        <v>14</v>
      </c>
      <c r="BE77" s="30" t="s">
        <v>11</v>
      </c>
      <c r="BF77" s="27"/>
      <c r="BG77" s="27"/>
      <c r="BH77" s="28"/>
      <c r="BI77" s="27"/>
      <c r="BJ77" s="29" t="s">
        <v>15</v>
      </c>
      <c r="BK77" s="27"/>
      <c r="BL77" s="27"/>
      <c r="BM77" s="25">
        <v>17</v>
      </c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</row>
    <row r="78" spans="1:94" x14ac:dyDescent="0.25">
      <c r="A78" s="25" t="s">
        <v>56</v>
      </c>
      <c r="B78" s="25" t="s">
        <v>230</v>
      </c>
      <c r="C78" s="25" t="s">
        <v>375</v>
      </c>
      <c r="D78" s="25">
        <v>65</v>
      </c>
      <c r="E78" s="35" cm="1">
        <f t="array" ref="E78">IFERROR(INDEX($J$5:$AVX$5, _xlfn.AGGREGATE(15,6, COLUMN(J78:AVX78)-COLUMN(J78)+1 / (J78:AVX78="T"), F78)), "")</f>
        <v>45994</v>
      </c>
      <c r="F78" s="74">
        <f t="shared" ref="F78:F141" si="20">$A$2</f>
        <v>2</v>
      </c>
      <c r="G78" s="35" cm="1">
        <f t="array" ref="G78">IFERROR(INDEX($J$5:$AVW$5,_xlfn.AGGREGATE(14,6,(COLUMN($J78:$AVW78)-COLUMN($J78)+1)/($J78:$AVW78="T"),1)),"")</f>
        <v>45994</v>
      </c>
      <c r="H78" s="77">
        <f t="shared" ref="H78:H141" si="21">COUNTIF($J78:$AVV78,"T")</f>
        <v>2</v>
      </c>
      <c r="I78" s="38" t="s">
        <v>10</v>
      </c>
      <c r="J78" s="33"/>
      <c r="K78" s="25" t="s">
        <v>12</v>
      </c>
      <c r="L78" s="27"/>
      <c r="M78" s="27"/>
      <c r="N78" s="27"/>
      <c r="O78" s="28"/>
      <c r="P78" s="27"/>
      <c r="Q78" s="27"/>
      <c r="R78" s="29" t="s">
        <v>16</v>
      </c>
      <c r="S78" s="30" t="s">
        <v>13</v>
      </c>
      <c r="T78" s="27"/>
      <c r="U78" s="27"/>
      <c r="V78" s="28"/>
      <c r="W78" s="27"/>
      <c r="X78" s="27"/>
      <c r="Y78" s="29" t="s">
        <v>14</v>
      </c>
      <c r="Z78" s="30" t="s">
        <v>11</v>
      </c>
      <c r="AA78" s="37"/>
      <c r="AB78" s="27"/>
      <c r="AC78" s="28"/>
      <c r="AD78" s="27"/>
      <c r="AE78" s="29" t="s">
        <v>15</v>
      </c>
      <c r="AF78" s="27"/>
      <c r="AG78" s="27"/>
      <c r="AH78" s="25">
        <v>17</v>
      </c>
      <c r="AI78" s="33"/>
      <c r="AJ78" s="33"/>
      <c r="AK78" s="33"/>
      <c r="AL78" s="33"/>
      <c r="AM78" s="33"/>
      <c r="AN78" s="33"/>
      <c r="AO78" s="33"/>
      <c r="AP78" s="25" t="s">
        <v>12</v>
      </c>
      <c r="AQ78" s="27"/>
      <c r="AR78" s="27"/>
      <c r="AS78" s="27"/>
      <c r="AT78" s="28"/>
      <c r="AU78" s="27"/>
      <c r="AV78" s="27"/>
      <c r="AW78" s="29" t="s">
        <v>16</v>
      </c>
      <c r="AX78" s="30" t="s">
        <v>13</v>
      </c>
      <c r="AY78" s="27"/>
      <c r="AZ78" s="27"/>
      <c r="BA78" s="28"/>
      <c r="BB78" s="27"/>
      <c r="BC78" s="27"/>
      <c r="BD78" s="32" t="s">
        <v>14</v>
      </c>
      <c r="BE78" s="30" t="s">
        <v>11</v>
      </c>
      <c r="BF78" s="27"/>
      <c r="BG78" s="27"/>
      <c r="BH78" s="28"/>
      <c r="BI78" s="27"/>
      <c r="BJ78" s="29" t="s">
        <v>15</v>
      </c>
      <c r="BK78" s="27"/>
      <c r="BL78" s="27"/>
      <c r="BM78" s="25">
        <v>17</v>
      </c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  <c r="CO78" s="33"/>
      <c r="CP78" s="33"/>
    </row>
    <row r="79" spans="1:94" x14ac:dyDescent="0.25">
      <c r="A79" s="25" t="s">
        <v>56</v>
      </c>
      <c r="B79" s="25" t="s">
        <v>231</v>
      </c>
      <c r="C79" s="25" t="s">
        <v>376</v>
      </c>
      <c r="D79" s="25">
        <v>66</v>
      </c>
      <c r="E79" s="35" cm="1">
        <f t="array" ref="E79">IFERROR(INDEX($J$5:$AVX$5, _xlfn.AGGREGATE(15,6, COLUMN(J79:AVX79)-COLUMN(J79)+1 / (J79:AVX79="T"), F79)), "")</f>
        <v>45992</v>
      </c>
      <c r="F79" s="74">
        <f t="shared" si="20"/>
        <v>2</v>
      </c>
      <c r="G79" s="35" cm="1">
        <f t="array" ref="G79">IFERROR(INDEX($J$5:$AVW$5,_xlfn.AGGREGATE(14,6,(COLUMN($J79:$AVW79)-COLUMN($J79)+1)/($J79:$AVW79="T"),1)),"")</f>
        <v>45992</v>
      </c>
      <c r="H79" s="77">
        <f t="shared" si="21"/>
        <v>2</v>
      </c>
      <c r="I79" s="38" t="s">
        <v>10</v>
      </c>
      <c r="J79" s="33"/>
      <c r="K79" s="25" t="s">
        <v>12</v>
      </c>
      <c r="L79" s="27"/>
      <c r="M79" s="27"/>
      <c r="N79" s="27"/>
      <c r="O79" s="28"/>
      <c r="P79" s="27"/>
      <c r="Q79" s="27"/>
      <c r="R79" s="29" t="s">
        <v>16</v>
      </c>
      <c r="S79" s="30" t="s">
        <v>13</v>
      </c>
      <c r="T79" s="27"/>
      <c r="U79" s="27"/>
      <c r="V79" s="28"/>
      <c r="W79" s="27"/>
      <c r="X79" s="27"/>
      <c r="Y79" s="29" t="s">
        <v>14</v>
      </c>
      <c r="Z79" s="30" t="s">
        <v>11</v>
      </c>
      <c r="AA79" s="37"/>
      <c r="AB79" s="27"/>
      <c r="AC79" s="28"/>
      <c r="AD79" s="27"/>
      <c r="AE79" s="29" t="s">
        <v>15</v>
      </c>
      <c r="AF79" s="27"/>
      <c r="AG79" s="27"/>
      <c r="AH79" s="25">
        <v>17</v>
      </c>
      <c r="AI79" s="33"/>
      <c r="AJ79" s="33"/>
      <c r="AK79" s="33"/>
      <c r="AL79" s="33"/>
      <c r="AM79" s="33"/>
      <c r="AN79" s="25" t="s">
        <v>12</v>
      </c>
      <c r="AO79" s="27"/>
      <c r="AP79" s="27"/>
      <c r="AQ79" s="27"/>
      <c r="AR79" s="28"/>
      <c r="AS79" s="27"/>
      <c r="AT79" s="27"/>
      <c r="AU79" s="29" t="s">
        <v>16</v>
      </c>
      <c r="AV79" s="30" t="s">
        <v>13</v>
      </c>
      <c r="AW79" s="27"/>
      <c r="AX79" s="27"/>
      <c r="AY79" s="28"/>
      <c r="AZ79" s="27"/>
      <c r="BA79" s="27"/>
      <c r="BB79" s="32" t="s">
        <v>14</v>
      </c>
      <c r="BC79" s="30" t="s">
        <v>11</v>
      </c>
      <c r="BD79" s="27"/>
      <c r="BE79" s="27"/>
      <c r="BF79" s="28"/>
      <c r="BG79" s="27"/>
      <c r="BH79" s="29" t="s">
        <v>15</v>
      </c>
      <c r="BI79" s="27"/>
      <c r="BJ79" s="27"/>
      <c r="BK79" s="25">
        <v>17</v>
      </c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</row>
    <row r="80" spans="1:94" x14ac:dyDescent="0.25">
      <c r="A80" s="25" t="s">
        <v>56</v>
      </c>
      <c r="B80" s="25" t="s">
        <v>232</v>
      </c>
      <c r="C80" s="25" t="s">
        <v>377</v>
      </c>
      <c r="D80" s="25">
        <v>67</v>
      </c>
      <c r="E80" s="35" cm="1">
        <f t="array" ref="E80">IFERROR(INDEX($J$5:$AVX$5, _xlfn.AGGREGATE(15,6, COLUMN(J80:AVX80)-COLUMN(J80)+1 / (J80:AVX80="T"), F80)), "")</f>
        <v>45992</v>
      </c>
      <c r="F80" s="74">
        <f t="shared" si="20"/>
        <v>2</v>
      </c>
      <c r="G80" s="35" cm="1">
        <f t="array" ref="G80">IFERROR(INDEX($J$5:$AVW$5,_xlfn.AGGREGATE(14,6,(COLUMN($J80:$AVW80)-COLUMN($J80)+1)/($J80:$AVW80="T"),1)),"")</f>
        <v>45992</v>
      </c>
      <c r="H80" s="77">
        <f t="shared" si="21"/>
        <v>2</v>
      </c>
      <c r="I80" s="38" t="s">
        <v>10</v>
      </c>
      <c r="J80" s="33"/>
      <c r="K80" s="25" t="s">
        <v>12</v>
      </c>
      <c r="L80" s="27"/>
      <c r="M80" s="27"/>
      <c r="N80" s="27"/>
      <c r="O80" s="28"/>
      <c r="P80" s="27"/>
      <c r="Q80" s="27"/>
      <c r="R80" s="29" t="s">
        <v>16</v>
      </c>
      <c r="S80" s="30" t="s">
        <v>13</v>
      </c>
      <c r="T80" s="27"/>
      <c r="U80" s="27"/>
      <c r="V80" s="28"/>
      <c r="W80" s="27"/>
      <c r="X80" s="27"/>
      <c r="Y80" s="29" t="s">
        <v>14</v>
      </c>
      <c r="Z80" s="30" t="s">
        <v>11</v>
      </c>
      <c r="AA80" s="37"/>
      <c r="AB80" s="27"/>
      <c r="AC80" s="28"/>
      <c r="AD80" s="27"/>
      <c r="AE80" s="29" t="s">
        <v>15</v>
      </c>
      <c r="AF80" s="27"/>
      <c r="AG80" s="27"/>
      <c r="AH80" s="25">
        <v>17</v>
      </c>
      <c r="AI80" s="33"/>
      <c r="AJ80" s="33"/>
      <c r="AK80" s="33"/>
      <c r="AL80" s="33"/>
      <c r="AM80" s="33"/>
      <c r="AN80" s="25" t="s">
        <v>12</v>
      </c>
      <c r="AO80" s="27"/>
      <c r="AP80" s="27"/>
      <c r="AQ80" s="27"/>
      <c r="AR80" s="28"/>
      <c r="AS80" s="27"/>
      <c r="AT80" s="27"/>
      <c r="AU80" s="29" t="s">
        <v>16</v>
      </c>
      <c r="AV80" s="30" t="s">
        <v>13</v>
      </c>
      <c r="AW80" s="27"/>
      <c r="AX80" s="27"/>
      <c r="AY80" s="28"/>
      <c r="AZ80" s="27"/>
      <c r="BA80" s="27"/>
      <c r="BB80" s="32" t="s">
        <v>14</v>
      </c>
      <c r="BC80" s="30" t="s">
        <v>11</v>
      </c>
      <c r="BD80" s="27"/>
      <c r="BE80" s="27"/>
      <c r="BF80" s="28"/>
      <c r="BG80" s="27"/>
      <c r="BH80" s="29" t="s">
        <v>15</v>
      </c>
      <c r="BI80" s="27"/>
      <c r="BJ80" s="27"/>
      <c r="BK80" s="25">
        <v>17</v>
      </c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  <c r="CO80" s="33"/>
      <c r="CP80" s="33"/>
    </row>
    <row r="81" spans="1:94" x14ac:dyDescent="0.25">
      <c r="A81" s="25" t="s">
        <v>56</v>
      </c>
      <c r="B81" s="25" t="s">
        <v>233</v>
      </c>
      <c r="C81" s="25" t="s">
        <v>378</v>
      </c>
      <c r="D81" s="25">
        <v>68</v>
      </c>
      <c r="E81" s="35" cm="1">
        <f t="array" ref="E81">IFERROR(INDEX($J$5:$AVX$5, _xlfn.AGGREGATE(15,6, COLUMN(J81:AVX81)-COLUMN(J81)+1 / (J81:AVX81="T"), F81)), "")</f>
        <v>45992</v>
      </c>
      <c r="F81" s="74">
        <f t="shared" si="20"/>
        <v>2</v>
      </c>
      <c r="G81" s="35" cm="1">
        <f t="array" ref="G81">IFERROR(INDEX($J$5:$AVW$5,_xlfn.AGGREGATE(14,6,(COLUMN($J81:$AVW81)-COLUMN($J81)+1)/($J81:$AVW81="T"),1)),"")</f>
        <v>45992</v>
      </c>
      <c r="H81" s="77">
        <f t="shared" si="21"/>
        <v>2</v>
      </c>
      <c r="I81" s="38" t="s">
        <v>10</v>
      </c>
      <c r="J81" s="33"/>
      <c r="K81" s="25" t="s">
        <v>12</v>
      </c>
      <c r="L81" s="27"/>
      <c r="M81" s="27"/>
      <c r="N81" s="27"/>
      <c r="O81" s="28"/>
      <c r="P81" s="27"/>
      <c r="Q81" s="27"/>
      <c r="R81" s="29" t="s">
        <v>16</v>
      </c>
      <c r="S81" s="30" t="s">
        <v>13</v>
      </c>
      <c r="T81" s="27"/>
      <c r="U81" s="27"/>
      <c r="V81" s="28"/>
      <c r="W81" s="27"/>
      <c r="X81" s="27"/>
      <c r="Y81" s="29" t="s">
        <v>14</v>
      </c>
      <c r="Z81" s="30" t="s">
        <v>11</v>
      </c>
      <c r="AA81" s="37"/>
      <c r="AB81" s="27"/>
      <c r="AC81" s="28"/>
      <c r="AD81" s="27"/>
      <c r="AE81" s="29" t="s">
        <v>15</v>
      </c>
      <c r="AF81" s="27"/>
      <c r="AG81" s="27"/>
      <c r="AH81" s="25">
        <v>17</v>
      </c>
      <c r="AI81" s="33"/>
      <c r="AJ81" s="33"/>
      <c r="AK81" s="33"/>
      <c r="AL81" s="33"/>
      <c r="AM81" s="33"/>
      <c r="AN81" s="25" t="s">
        <v>12</v>
      </c>
      <c r="AO81" s="27"/>
      <c r="AP81" s="27"/>
      <c r="AQ81" s="27"/>
      <c r="AR81" s="28"/>
      <c r="AS81" s="27"/>
      <c r="AT81" s="27"/>
      <c r="AU81" s="29" t="s">
        <v>16</v>
      </c>
      <c r="AV81" s="30" t="s">
        <v>13</v>
      </c>
      <c r="AW81" s="27"/>
      <c r="AX81" s="27"/>
      <c r="AY81" s="28"/>
      <c r="AZ81" s="27"/>
      <c r="BA81" s="27"/>
      <c r="BB81" s="32" t="s">
        <v>14</v>
      </c>
      <c r="BC81" s="30" t="s">
        <v>11</v>
      </c>
      <c r="BD81" s="27"/>
      <c r="BE81" s="27"/>
      <c r="BF81" s="28"/>
      <c r="BG81" s="27"/>
      <c r="BH81" s="29" t="s">
        <v>15</v>
      </c>
      <c r="BI81" s="27"/>
      <c r="BJ81" s="27"/>
      <c r="BK81" s="25">
        <v>17</v>
      </c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</row>
    <row r="82" spans="1:94" x14ac:dyDescent="0.25">
      <c r="A82" s="25" t="s">
        <v>56</v>
      </c>
      <c r="B82" s="25" t="s">
        <v>234</v>
      </c>
      <c r="C82" s="25" t="s">
        <v>379</v>
      </c>
      <c r="D82" s="25">
        <v>69</v>
      </c>
      <c r="E82" s="35" cm="1">
        <f t="array" ref="E82">IFERROR(INDEX($J$5:$AVX$5, _xlfn.AGGREGATE(15,6, COLUMN(J82:AVX82)-COLUMN(J82)+1 / (J82:AVX82="T"), F82)), "")</f>
        <v>45992</v>
      </c>
      <c r="F82" s="74">
        <f t="shared" si="20"/>
        <v>2</v>
      </c>
      <c r="G82" s="35" cm="1">
        <f t="array" ref="G82">IFERROR(INDEX($J$5:$AVW$5,_xlfn.AGGREGATE(14,6,(COLUMN($J82:$AVW82)-COLUMN($J82)+1)/($J82:$AVW82="T"),1)),"")</f>
        <v>45992</v>
      </c>
      <c r="H82" s="77">
        <f t="shared" si="21"/>
        <v>2</v>
      </c>
      <c r="I82" s="38" t="s">
        <v>10</v>
      </c>
      <c r="J82" s="33"/>
      <c r="K82" s="25" t="s">
        <v>12</v>
      </c>
      <c r="L82" s="27"/>
      <c r="M82" s="27"/>
      <c r="N82" s="27"/>
      <c r="O82" s="28"/>
      <c r="P82" s="27"/>
      <c r="Q82" s="27"/>
      <c r="R82" s="29" t="s">
        <v>16</v>
      </c>
      <c r="S82" s="30" t="s">
        <v>13</v>
      </c>
      <c r="T82" s="27"/>
      <c r="U82" s="27"/>
      <c r="V82" s="28"/>
      <c r="W82" s="27"/>
      <c r="X82" s="27"/>
      <c r="Y82" s="29" t="s">
        <v>14</v>
      </c>
      <c r="Z82" s="30" t="s">
        <v>11</v>
      </c>
      <c r="AA82" s="37"/>
      <c r="AB82" s="27"/>
      <c r="AC82" s="28"/>
      <c r="AD82" s="27"/>
      <c r="AE82" s="29" t="s">
        <v>15</v>
      </c>
      <c r="AF82" s="27"/>
      <c r="AG82" s="27"/>
      <c r="AH82" s="25">
        <v>17</v>
      </c>
      <c r="AI82" s="33"/>
      <c r="AJ82" s="33"/>
      <c r="AK82" s="33"/>
      <c r="AL82" s="33"/>
      <c r="AM82" s="33"/>
      <c r="AN82" s="25" t="s">
        <v>12</v>
      </c>
      <c r="AO82" s="27"/>
      <c r="AP82" s="27"/>
      <c r="AQ82" s="27"/>
      <c r="AR82" s="28"/>
      <c r="AS82" s="27"/>
      <c r="AT82" s="27"/>
      <c r="AU82" s="29" t="s">
        <v>16</v>
      </c>
      <c r="AV82" s="30" t="s">
        <v>13</v>
      </c>
      <c r="AW82" s="27"/>
      <c r="AX82" s="27"/>
      <c r="AY82" s="28"/>
      <c r="AZ82" s="27"/>
      <c r="BA82" s="27"/>
      <c r="BB82" s="32" t="s">
        <v>14</v>
      </c>
      <c r="BC82" s="30" t="s">
        <v>11</v>
      </c>
      <c r="BD82" s="27"/>
      <c r="BE82" s="27"/>
      <c r="BF82" s="28"/>
      <c r="BG82" s="27"/>
      <c r="BH82" s="29" t="s">
        <v>15</v>
      </c>
      <c r="BI82" s="27"/>
      <c r="BJ82" s="27"/>
      <c r="BK82" s="25">
        <v>17</v>
      </c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  <c r="CO82" s="33"/>
      <c r="CP82" s="33"/>
    </row>
    <row r="83" spans="1:94" x14ac:dyDescent="0.25">
      <c r="A83" s="25" t="s">
        <v>56</v>
      </c>
      <c r="B83" s="25" t="s">
        <v>235</v>
      </c>
      <c r="C83" s="25" t="s">
        <v>380</v>
      </c>
      <c r="D83" s="25">
        <v>70</v>
      </c>
      <c r="E83" s="35" cm="1">
        <f t="array" ref="E83">IFERROR(INDEX($J$5:$AVX$5, _xlfn.AGGREGATE(15,6, COLUMN(J83:AVX83)-COLUMN(J83)+1 / (J83:AVX83="T"), F83)), "")</f>
        <v>46016</v>
      </c>
      <c r="F83" s="74">
        <f t="shared" si="20"/>
        <v>2</v>
      </c>
      <c r="G83" s="35" cm="1">
        <f t="array" ref="G83">IFERROR(INDEX($J$5:$AVW$5,_xlfn.AGGREGATE(14,6,(COLUMN($J83:$AVW83)-COLUMN($J83)+1)/($J83:$AVW83="T"),1)),"")</f>
        <v>46016</v>
      </c>
      <c r="H83" s="77">
        <f t="shared" si="21"/>
        <v>2</v>
      </c>
      <c r="I83" s="38" t="s">
        <v>10</v>
      </c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25" t="s">
        <v>12</v>
      </c>
      <c r="AK83" s="27"/>
      <c r="AL83" s="27"/>
      <c r="AM83" s="27"/>
      <c r="AN83" s="28"/>
      <c r="AO83" s="27"/>
      <c r="AP83" s="27"/>
      <c r="AQ83" s="29" t="s">
        <v>16</v>
      </c>
      <c r="AR83" s="30" t="s">
        <v>13</v>
      </c>
      <c r="AS83" s="27"/>
      <c r="AT83" s="27"/>
      <c r="AU83" s="28"/>
      <c r="AV83" s="27"/>
      <c r="AW83" s="27"/>
      <c r="AX83" s="32" t="s">
        <v>14</v>
      </c>
      <c r="AY83" s="30" t="s">
        <v>11</v>
      </c>
      <c r="AZ83" s="27"/>
      <c r="BA83" s="27"/>
      <c r="BB83" s="28"/>
      <c r="BC83" s="27"/>
      <c r="BD83" s="29" t="s">
        <v>15</v>
      </c>
      <c r="BE83" s="27"/>
      <c r="BF83" s="27"/>
      <c r="BG83" s="25">
        <v>17</v>
      </c>
      <c r="BH83" s="33"/>
      <c r="BI83" s="33"/>
      <c r="BJ83" s="33"/>
      <c r="BK83" s="33"/>
      <c r="BL83" s="25" t="s">
        <v>12</v>
      </c>
      <c r="BM83" s="27"/>
      <c r="BN83" s="27"/>
      <c r="BO83" s="27"/>
      <c r="BP83" s="28"/>
      <c r="BQ83" s="27"/>
      <c r="BR83" s="27"/>
      <c r="BS83" s="29" t="s">
        <v>16</v>
      </c>
      <c r="BT83" s="30" t="s">
        <v>13</v>
      </c>
      <c r="BU83" s="27"/>
      <c r="BV83" s="27"/>
      <c r="BW83" s="28"/>
      <c r="BX83" s="27"/>
      <c r="BY83" s="27"/>
      <c r="BZ83" s="29" t="s">
        <v>14</v>
      </c>
      <c r="CA83" s="30" t="s">
        <v>11</v>
      </c>
      <c r="CB83" s="37"/>
      <c r="CC83" s="27"/>
      <c r="CD83" s="28"/>
      <c r="CE83" s="27"/>
      <c r="CF83" s="29" t="s">
        <v>15</v>
      </c>
      <c r="CG83" s="27"/>
      <c r="CH83" s="27"/>
      <c r="CI83" s="25">
        <v>17</v>
      </c>
      <c r="CJ83" s="33"/>
      <c r="CK83" s="33"/>
      <c r="CL83" s="33"/>
      <c r="CM83" s="33"/>
      <c r="CN83" s="33"/>
      <c r="CO83" s="33"/>
      <c r="CP83" s="33"/>
    </row>
    <row r="84" spans="1:94" x14ac:dyDescent="0.25">
      <c r="A84" s="25" t="s">
        <v>56</v>
      </c>
      <c r="B84" s="25" t="s">
        <v>236</v>
      </c>
      <c r="C84" s="25" t="s">
        <v>381</v>
      </c>
      <c r="D84" s="25">
        <v>71</v>
      </c>
      <c r="E84" s="35" cm="1">
        <f t="array" ref="E84">IFERROR(INDEX($J$5:$AVX$5, _xlfn.AGGREGATE(15,6, COLUMN(J84:AVX84)-COLUMN(J84)+1 / (J84:AVX84="T"), F84)), "")</f>
        <v>46016</v>
      </c>
      <c r="F84" s="74">
        <f t="shared" si="20"/>
        <v>2</v>
      </c>
      <c r="G84" s="35" cm="1">
        <f t="array" ref="G84">IFERROR(INDEX($J$5:$AVW$5,_xlfn.AGGREGATE(14,6,(COLUMN($J84:$AVW84)-COLUMN($J84)+1)/($J84:$AVW84="T"),1)),"")</f>
        <v>46016</v>
      </c>
      <c r="H84" s="77">
        <f t="shared" si="21"/>
        <v>2</v>
      </c>
      <c r="I84" s="38" t="s">
        <v>10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25" t="s">
        <v>12</v>
      </c>
      <c r="AK84" s="27"/>
      <c r="AL84" s="27"/>
      <c r="AM84" s="27"/>
      <c r="AN84" s="28"/>
      <c r="AO84" s="27"/>
      <c r="AP84" s="27"/>
      <c r="AQ84" s="29" t="s">
        <v>16</v>
      </c>
      <c r="AR84" s="30" t="s">
        <v>13</v>
      </c>
      <c r="AS84" s="27"/>
      <c r="AT84" s="27"/>
      <c r="AU84" s="28"/>
      <c r="AV84" s="27"/>
      <c r="AW84" s="27"/>
      <c r="AX84" s="32" t="s">
        <v>14</v>
      </c>
      <c r="AY84" s="30" t="s">
        <v>11</v>
      </c>
      <c r="AZ84" s="27"/>
      <c r="BA84" s="27"/>
      <c r="BB84" s="28"/>
      <c r="BC84" s="27"/>
      <c r="BD84" s="29" t="s">
        <v>15</v>
      </c>
      <c r="BE84" s="27"/>
      <c r="BF84" s="27"/>
      <c r="BG84" s="25">
        <v>17</v>
      </c>
      <c r="BH84" s="33"/>
      <c r="BI84" s="33"/>
      <c r="BJ84" s="33"/>
      <c r="BK84" s="33"/>
      <c r="BL84" s="25" t="s">
        <v>12</v>
      </c>
      <c r="BM84" s="27"/>
      <c r="BN84" s="27"/>
      <c r="BO84" s="27"/>
      <c r="BP84" s="28"/>
      <c r="BQ84" s="27"/>
      <c r="BR84" s="27"/>
      <c r="BS84" s="29" t="s">
        <v>16</v>
      </c>
      <c r="BT84" s="30" t="s">
        <v>13</v>
      </c>
      <c r="BU84" s="27"/>
      <c r="BV84" s="27"/>
      <c r="BW84" s="28"/>
      <c r="BX84" s="27"/>
      <c r="BY84" s="27"/>
      <c r="BZ84" s="29" t="s">
        <v>14</v>
      </c>
      <c r="CA84" s="30" t="s">
        <v>11</v>
      </c>
      <c r="CB84" s="37"/>
      <c r="CC84" s="27"/>
      <c r="CD84" s="28"/>
      <c r="CE84" s="27"/>
      <c r="CF84" s="29" t="s">
        <v>15</v>
      </c>
      <c r="CG84" s="27"/>
      <c r="CH84" s="27"/>
      <c r="CI84" s="25">
        <v>17</v>
      </c>
      <c r="CJ84" s="33"/>
      <c r="CK84" s="33"/>
      <c r="CL84" s="33"/>
      <c r="CM84" s="33"/>
      <c r="CN84" s="33"/>
      <c r="CO84" s="33"/>
      <c r="CP84" s="33"/>
    </row>
    <row r="85" spans="1:94" ht="15" customHeight="1" x14ac:dyDescent="0.25">
      <c r="A85" s="25" t="s">
        <v>56</v>
      </c>
      <c r="B85" s="25" t="s">
        <v>237</v>
      </c>
      <c r="C85" s="25" t="s">
        <v>382</v>
      </c>
      <c r="D85" s="25">
        <v>72</v>
      </c>
      <c r="E85" s="35" cm="1">
        <f t="array" ref="E85">IFERROR(INDEX($J$5:$AVX$5, _xlfn.AGGREGATE(15,6, COLUMN(J85:AVX85)-COLUMN(J85)+1 / (J85:AVX85="T"), F85)), "")</f>
        <v>46016</v>
      </c>
      <c r="F85" s="74">
        <f t="shared" si="20"/>
        <v>2</v>
      </c>
      <c r="G85" s="35" cm="1">
        <f t="array" ref="G85">IFERROR(INDEX($J$5:$AVW$5,_xlfn.AGGREGATE(14,6,(COLUMN($J85:$AVW85)-COLUMN($J85)+1)/($J85:$AVW85="T"),1)),"")</f>
        <v>46016</v>
      </c>
      <c r="H85" s="77">
        <f t="shared" si="21"/>
        <v>2</v>
      </c>
      <c r="I85" s="38" t="s">
        <v>10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25" t="s">
        <v>12</v>
      </c>
      <c r="AK85" s="27"/>
      <c r="AL85" s="27"/>
      <c r="AM85" s="27"/>
      <c r="AN85" s="28"/>
      <c r="AO85" s="27"/>
      <c r="AP85" s="27"/>
      <c r="AQ85" s="29" t="s">
        <v>16</v>
      </c>
      <c r="AR85" s="30" t="s">
        <v>13</v>
      </c>
      <c r="AS85" s="27"/>
      <c r="AT85" s="27"/>
      <c r="AU85" s="28"/>
      <c r="AV85" s="27"/>
      <c r="AW85" s="27"/>
      <c r="AX85" s="32" t="s">
        <v>14</v>
      </c>
      <c r="AY85" s="30" t="s">
        <v>11</v>
      </c>
      <c r="AZ85" s="27"/>
      <c r="BA85" s="27"/>
      <c r="BB85" s="28"/>
      <c r="BC85" s="27"/>
      <c r="BD85" s="29" t="s">
        <v>15</v>
      </c>
      <c r="BE85" s="27"/>
      <c r="BF85" s="27"/>
      <c r="BG85" s="25">
        <v>17</v>
      </c>
      <c r="BH85" s="33"/>
      <c r="BI85" s="33"/>
      <c r="BJ85" s="33"/>
      <c r="BK85" s="33"/>
      <c r="BL85" s="25" t="s">
        <v>12</v>
      </c>
      <c r="BM85" s="27"/>
      <c r="BN85" s="27"/>
      <c r="BO85" s="27"/>
      <c r="BP85" s="28"/>
      <c r="BQ85" s="27"/>
      <c r="BR85" s="27"/>
      <c r="BS85" s="29" t="s">
        <v>16</v>
      </c>
      <c r="BT85" s="30" t="s">
        <v>13</v>
      </c>
      <c r="BU85" s="27"/>
      <c r="BV85" s="27"/>
      <c r="BW85" s="28"/>
      <c r="BX85" s="27"/>
      <c r="BY85" s="27"/>
      <c r="BZ85" s="29" t="s">
        <v>14</v>
      </c>
      <c r="CA85" s="30" t="s">
        <v>11</v>
      </c>
      <c r="CB85" s="37"/>
      <c r="CC85" s="27"/>
      <c r="CD85" s="28"/>
      <c r="CE85" s="27"/>
      <c r="CF85" s="29" t="s">
        <v>15</v>
      </c>
      <c r="CG85" s="27"/>
      <c r="CH85" s="27"/>
      <c r="CI85" s="25">
        <v>17</v>
      </c>
      <c r="CJ85" s="33"/>
      <c r="CK85" s="33"/>
      <c r="CL85" s="33"/>
      <c r="CM85" s="33"/>
      <c r="CN85" s="33"/>
      <c r="CO85" s="33"/>
      <c r="CP85" s="33"/>
    </row>
    <row r="86" spans="1:94" x14ac:dyDescent="0.25">
      <c r="A86" s="25" t="s">
        <v>56</v>
      </c>
      <c r="B86" s="25" t="s">
        <v>238</v>
      </c>
      <c r="C86" s="25" t="s">
        <v>383</v>
      </c>
      <c r="D86" s="25">
        <v>73</v>
      </c>
      <c r="E86" s="35" cm="1">
        <f t="array" ref="E86">IFERROR(INDEX($J$5:$AVX$5, _xlfn.AGGREGATE(15,6, COLUMN(J86:AVX86)-COLUMN(J86)+1 / (J86:AVX86="T"), F86)), "")</f>
        <v>46016</v>
      </c>
      <c r="F86" s="74">
        <f t="shared" si="20"/>
        <v>2</v>
      </c>
      <c r="G86" s="35" cm="1">
        <f t="array" ref="G86">IFERROR(INDEX($J$5:$AVW$5,_xlfn.AGGREGATE(14,6,(COLUMN($J86:$AVW86)-COLUMN($J86)+1)/($J86:$AVW86="T"),1)),"")</f>
        <v>46016</v>
      </c>
      <c r="H86" s="77">
        <f t="shared" si="21"/>
        <v>2</v>
      </c>
      <c r="I86" s="38" t="s">
        <v>10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25" t="s">
        <v>12</v>
      </c>
      <c r="AJ86" s="27"/>
      <c r="AK86" s="27"/>
      <c r="AL86" s="27"/>
      <c r="AM86" s="28"/>
      <c r="AN86" s="27"/>
      <c r="AO86" s="27"/>
      <c r="AP86" s="29" t="s">
        <v>16</v>
      </c>
      <c r="AQ86" s="30" t="s">
        <v>13</v>
      </c>
      <c r="AR86" s="27"/>
      <c r="AS86" s="27"/>
      <c r="AT86" s="28"/>
      <c r="AU86" s="27"/>
      <c r="AV86" s="27"/>
      <c r="AW86" s="32" t="s">
        <v>14</v>
      </c>
      <c r="AX86" s="30" t="s">
        <v>11</v>
      </c>
      <c r="AY86" s="27"/>
      <c r="AZ86" s="27"/>
      <c r="BA86" s="28"/>
      <c r="BB86" s="27"/>
      <c r="BC86" s="29" t="s">
        <v>15</v>
      </c>
      <c r="BD86" s="27"/>
      <c r="BE86" s="27"/>
      <c r="BF86" s="25">
        <v>17</v>
      </c>
      <c r="BG86" s="33"/>
      <c r="BH86" s="33"/>
      <c r="BI86" s="33"/>
      <c r="BJ86" s="33"/>
      <c r="BK86" s="33"/>
      <c r="BL86" s="25" t="s">
        <v>12</v>
      </c>
      <c r="BM86" s="27"/>
      <c r="BN86" s="27"/>
      <c r="BO86" s="27"/>
      <c r="BP86" s="28"/>
      <c r="BQ86" s="27"/>
      <c r="BR86" s="27"/>
      <c r="BS86" s="29" t="s">
        <v>16</v>
      </c>
      <c r="BT86" s="30" t="s">
        <v>13</v>
      </c>
      <c r="BU86" s="27"/>
      <c r="BV86" s="27"/>
      <c r="BW86" s="28"/>
      <c r="BX86" s="27"/>
      <c r="BY86" s="27"/>
      <c r="BZ86" s="29" t="s">
        <v>14</v>
      </c>
      <c r="CA86" s="30" t="s">
        <v>11</v>
      </c>
      <c r="CB86" s="37"/>
      <c r="CC86" s="27"/>
      <c r="CD86" s="28"/>
      <c r="CE86" s="27"/>
      <c r="CF86" s="29" t="s">
        <v>15</v>
      </c>
      <c r="CG86" s="27"/>
      <c r="CH86" s="27"/>
      <c r="CI86" s="25">
        <v>17</v>
      </c>
      <c r="CJ86" s="33"/>
      <c r="CK86" s="33"/>
      <c r="CL86" s="33"/>
      <c r="CM86" s="33"/>
      <c r="CN86" s="33"/>
      <c r="CO86" s="33"/>
      <c r="CP86" s="33"/>
    </row>
    <row r="87" spans="1:94" ht="15" customHeight="1" x14ac:dyDescent="0.25">
      <c r="A87" s="25" t="s">
        <v>56</v>
      </c>
      <c r="B87" s="25" t="s">
        <v>239</v>
      </c>
      <c r="C87" s="25" t="s">
        <v>384</v>
      </c>
      <c r="D87" s="25">
        <v>74</v>
      </c>
      <c r="E87" s="35" cm="1">
        <f t="array" ref="E87">IFERROR(INDEX($J$5:$AVX$5, _xlfn.AGGREGATE(15,6, COLUMN(J87:AVX87)-COLUMN(J87)+1 / (J87:AVX87="T"), F87)), "")</f>
        <v>46016</v>
      </c>
      <c r="F87" s="74">
        <f t="shared" si="20"/>
        <v>2</v>
      </c>
      <c r="G87" s="35" cm="1">
        <f t="array" ref="G87">IFERROR(INDEX($J$5:$AVW$5,_xlfn.AGGREGATE(14,6,(COLUMN($J87:$AVW87)-COLUMN($J87)+1)/($J87:$AVW87="T"),1)),"")</f>
        <v>46016</v>
      </c>
      <c r="H87" s="77">
        <f t="shared" si="21"/>
        <v>2</v>
      </c>
      <c r="I87" s="38" t="s">
        <v>10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25" t="s">
        <v>12</v>
      </c>
      <c r="AJ87" s="27"/>
      <c r="AK87" s="27"/>
      <c r="AL87" s="27"/>
      <c r="AM87" s="28"/>
      <c r="AN87" s="27"/>
      <c r="AO87" s="27"/>
      <c r="AP87" s="29" t="s">
        <v>16</v>
      </c>
      <c r="AQ87" s="30" t="s">
        <v>13</v>
      </c>
      <c r="AR87" s="27"/>
      <c r="AS87" s="27"/>
      <c r="AT87" s="28"/>
      <c r="AU87" s="27"/>
      <c r="AV87" s="27"/>
      <c r="AW87" s="32" t="s">
        <v>14</v>
      </c>
      <c r="AX87" s="30" t="s">
        <v>11</v>
      </c>
      <c r="AY87" s="27"/>
      <c r="AZ87" s="27"/>
      <c r="BA87" s="28"/>
      <c r="BB87" s="27"/>
      <c r="BC87" s="29" t="s">
        <v>15</v>
      </c>
      <c r="BD87" s="27"/>
      <c r="BE87" s="27"/>
      <c r="BF87" s="25">
        <v>17</v>
      </c>
      <c r="BG87" s="33"/>
      <c r="BH87" s="33"/>
      <c r="BI87" s="33"/>
      <c r="BJ87" s="33"/>
      <c r="BK87" s="33"/>
      <c r="BL87" s="25" t="s">
        <v>12</v>
      </c>
      <c r="BM87" s="27"/>
      <c r="BN87" s="27"/>
      <c r="BO87" s="27"/>
      <c r="BP87" s="28"/>
      <c r="BQ87" s="27"/>
      <c r="BR87" s="27"/>
      <c r="BS87" s="29" t="s">
        <v>16</v>
      </c>
      <c r="BT87" s="30" t="s">
        <v>13</v>
      </c>
      <c r="BU87" s="27"/>
      <c r="BV87" s="27"/>
      <c r="BW87" s="28"/>
      <c r="BX87" s="27"/>
      <c r="BY87" s="27"/>
      <c r="BZ87" s="29" t="s">
        <v>14</v>
      </c>
      <c r="CA87" s="30" t="s">
        <v>11</v>
      </c>
      <c r="CB87" s="37"/>
      <c r="CC87" s="27"/>
      <c r="CD87" s="28"/>
      <c r="CE87" s="27"/>
      <c r="CF87" s="29" t="s">
        <v>15</v>
      </c>
      <c r="CG87" s="27"/>
      <c r="CH87" s="27"/>
      <c r="CI87" s="25">
        <v>17</v>
      </c>
      <c r="CJ87" s="33"/>
      <c r="CK87" s="33"/>
      <c r="CL87" s="33"/>
      <c r="CM87" s="33"/>
      <c r="CN87" s="33"/>
      <c r="CO87" s="33"/>
      <c r="CP87" s="33"/>
    </row>
    <row r="88" spans="1:94" x14ac:dyDescent="0.25">
      <c r="A88" s="25" t="s">
        <v>56</v>
      </c>
      <c r="B88" s="25" t="s">
        <v>240</v>
      </c>
      <c r="C88" s="25" t="s">
        <v>385</v>
      </c>
      <c r="D88" s="25">
        <v>75</v>
      </c>
      <c r="E88" s="35" cm="1">
        <f t="array" ref="E88">IFERROR(INDEX($J$5:$AVX$5, _xlfn.AGGREGATE(15,6, COLUMN(J88:AVX88)-COLUMN(J88)+1 / (J88:AVX88="T"), F88)), "")</f>
        <v>46016</v>
      </c>
      <c r="F88" s="74">
        <f t="shared" si="20"/>
        <v>2</v>
      </c>
      <c r="G88" s="35" cm="1">
        <f t="array" ref="G88">IFERROR(INDEX($J$5:$AVW$5,_xlfn.AGGREGATE(14,6,(COLUMN($J88:$AVW88)-COLUMN($J88)+1)/($J88:$AVW88="T"),1)),"")</f>
        <v>46016</v>
      </c>
      <c r="H88" s="77">
        <f t="shared" si="21"/>
        <v>2</v>
      </c>
      <c r="I88" s="38" t="s">
        <v>10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25" t="s">
        <v>12</v>
      </c>
      <c r="AJ88" s="27"/>
      <c r="AK88" s="27"/>
      <c r="AL88" s="27"/>
      <c r="AM88" s="28"/>
      <c r="AN88" s="27"/>
      <c r="AO88" s="27"/>
      <c r="AP88" s="29" t="s">
        <v>16</v>
      </c>
      <c r="AQ88" s="30" t="s">
        <v>13</v>
      </c>
      <c r="AR88" s="27"/>
      <c r="AS88" s="27"/>
      <c r="AT88" s="28"/>
      <c r="AU88" s="27"/>
      <c r="AV88" s="27"/>
      <c r="AW88" s="32" t="s">
        <v>14</v>
      </c>
      <c r="AX88" s="30" t="s">
        <v>11</v>
      </c>
      <c r="AY88" s="27"/>
      <c r="AZ88" s="27"/>
      <c r="BA88" s="28"/>
      <c r="BB88" s="27"/>
      <c r="BC88" s="29" t="s">
        <v>15</v>
      </c>
      <c r="BD88" s="27"/>
      <c r="BE88" s="27"/>
      <c r="BF88" s="25">
        <v>17</v>
      </c>
      <c r="BG88" s="33"/>
      <c r="BH88" s="33"/>
      <c r="BI88" s="33"/>
      <c r="BJ88" s="33"/>
      <c r="BK88" s="33"/>
      <c r="BL88" s="25" t="s">
        <v>12</v>
      </c>
      <c r="BM88" s="27"/>
      <c r="BN88" s="27"/>
      <c r="BO88" s="27"/>
      <c r="BP88" s="28"/>
      <c r="BQ88" s="27"/>
      <c r="BR88" s="27"/>
      <c r="BS88" s="29" t="s">
        <v>16</v>
      </c>
      <c r="BT88" s="30" t="s">
        <v>13</v>
      </c>
      <c r="BU88" s="27"/>
      <c r="BV88" s="27"/>
      <c r="BW88" s="28"/>
      <c r="BX88" s="27"/>
      <c r="BY88" s="27"/>
      <c r="BZ88" s="29" t="s">
        <v>14</v>
      </c>
      <c r="CA88" s="30" t="s">
        <v>11</v>
      </c>
      <c r="CB88" s="37"/>
      <c r="CC88" s="27"/>
      <c r="CD88" s="28"/>
      <c r="CE88" s="27"/>
      <c r="CF88" s="29" t="s">
        <v>15</v>
      </c>
      <c r="CG88" s="27"/>
      <c r="CH88" s="27"/>
      <c r="CI88" s="25">
        <v>17</v>
      </c>
      <c r="CJ88" s="33"/>
      <c r="CK88" s="33"/>
      <c r="CL88" s="33"/>
      <c r="CM88" s="33"/>
      <c r="CN88" s="33"/>
      <c r="CO88" s="33"/>
      <c r="CP88" s="33"/>
    </row>
    <row r="89" spans="1:94" x14ac:dyDescent="0.25">
      <c r="A89" s="25" t="s">
        <v>56</v>
      </c>
      <c r="B89" s="25" t="s">
        <v>241</v>
      </c>
      <c r="C89" s="25" t="s">
        <v>386</v>
      </c>
      <c r="D89" s="25">
        <v>76</v>
      </c>
      <c r="E89" s="35" cm="1">
        <f t="array" ref="E89">IFERROR(INDEX($J$5:$AVX$5, _xlfn.AGGREGATE(15,6, COLUMN(J89:AVX89)-COLUMN(J89)+1 / (J89:AVX89="T"), F89)), "")</f>
        <v>46016</v>
      </c>
      <c r="F89" s="74">
        <f t="shared" si="20"/>
        <v>2</v>
      </c>
      <c r="G89" s="35" cm="1">
        <f t="array" ref="G89">IFERROR(INDEX($J$5:$AVW$5,_xlfn.AGGREGATE(14,6,(COLUMN($J89:$AVW89)-COLUMN($J89)+1)/($J89:$AVW89="T"),1)),"")</f>
        <v>46016</v>
      </c>
      <c r="H89" s="77">
        <f t="shared" si="21"/>
        <v>2</v>
      </c>
      <c r="I89" s="38" t="s">
        <v>10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25" t="s">
        <v>12</v>
      </c>
      <c r="AJ89" s="27"/>
      <c r="AK89" s="27"/>
      <c r="AL89" s="27"/>
      <c r="AM89" s="28"/>
      <c r="AN89" s="27"/>
      <c r="AO89" s="27"/>
      <c r="AP89" s="29" t="s">
        <v>16</v>
      </c>
      <c r="AQ89" s="30" t="s">
        <v>13</v>
      </c>
      <c r="AR89" s="27"/>
      <c r="AS89" s="27"/>
      <c r="AT89" s="28"/>
      <c r="AU89" s="27"/>
      <c r="AV89" s="27"/>
      <c r="AW89" s="32" t="s">
        <v>14</v>
      </c>
      <c r="AX89" s="30" t="s">
        <v>11</v>
      </c>
      <c r="AY89" s="27"/>
      <c r="AZ89" s="27"/>
      <c r="BA89" s="28"/>
      <c r="BB89" s="27"/>
      <c r="BC89" s="29" t="s">
        <v>15</v>
      </c>
      <c r="BD89" s="27"/>
      <c r="BE89" s="27"/>
      <c r="BF89" s="25">
        <v>17</v>
      </c>
      <c r="BG89" s="33"/>
      <c r="BH89" s="33"/>
      <c r="BI89" s="33"/>
      <c r="BJ89" s="33"/>
      <c r="BK89" s="33"/>
      <c r="BL89" s="25" t="s">
        <v>12</v>
      </c>
      <c r="BM89" s="27"/>
      <c r="BN89" s="27"/>
      <c r="BO89" s="27"/>
      <c r="BP89" s="28"/>
      <c r="BQ89" s="27"/>
      <c r="BR89" s="27"/>
      <c r="BS89" s="29" t="s">
        <v>16</v>
      </c>
      <c r="BT89" s="30" t="s">
        <v>13</v>
      </c>
      <c r="BU89" s="27"/>
      <c r="BV89" s="27"/>
      <c r="BW89" s="28"/>
      <c r="BX89" s="27"/>
      <c r="BY89" s="27"/>
      <c r="BZ89" s="29" t="s">
        <v>14</v>
      </c>
      <c r="CA89" s="30" t="s">
        <v>11</v>
      </c>
      <c r="CB89" s="37"/>
      <c r="CC89" s="27"/>
      <c r="CD89" s="28"/>
      <c r="CE89" s="27"/>
      <c r="CF89" s="29" t="s">
        <v>15</v>
      </c>
      <c r="CG89" s="27"/>
      <c r="CH89" s="27"/>
      <c r="CI89" s="25">
        <v>17</v>
      </c>
      <c r="CJ89" s="33"/>
      <c r="CK89" s="33"/>
      <c r="CL89" s="33"/>
      <c r="CM89" s="33"/>
      <c r="CN89" s="33"/>
      <c r="CO89" s="33"/>
      <c r="CP89" s="33"/>
    </row>
    <row r="90" spans="1:94" x14ac:dyDescent="0.25">
      <c r="A90" s="25" t="s">
        <v>56</v>
      </c>
      <c r="B90" s="25" t="s">
        <v>242</v>
      </c>
      <c r="C90" s="25" t="s">
        <v>387</v>
      </c>
      <c r="D90" s="25">
        <v>77</v>
      </c>
      <c r="E90" s="35" cm="1">
        <f t="array" ref="E90">IFERROR(INDEX($J$5:$AVX$5, _xlfn.AGGREGATE(15,6, COLUMN(J90:AVX90)-COLUMN(J90)+1 / (J90:AVX90="T"), F90)), "")</f>
        <v>46015</v>
      </c>
      <c r="F90" s="74">
        <f t="shared" si="20"/>
        <v>2</v>
      </c>
      <c r="G90" s="35" cm="1">
        <f t="array" ref="G90">IFERROR(INDEX($J$5:$AVW$5,_xlfn.AGGREGATE(14,6,(COLUMN($J90:$AVW90)-COLUMN($J90)+1)/($J90:$AVW90="T"),1)),"")</f>
        <v>46015</v>
      </c>
      <c r="H90" s="77">
        <f t="shared" si="21"/>
        <v>2</v>
      </c>
      <c r="I90" s="38" t="s">
        <v>10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25" t="s">
        <v>12</v>
      </c>
      <c r="AC90" s="27"/>
      <c r="AD90" s="27"/>
      <c r="AE90" s="27"/>
      <c r="AF90" s="28"/>
      <c r="AG90" s="27"/>
      <c r="AH90" s="27"/>
      <c r="AI90" s="29" t="s">
        <v>16</v>
      </c>
      <c r="AJ90" s="30" t="s">
        <v>13</v>
      </c>
      <c r="AK90" s="27"/>
      <c r="AL90" s="27"/>
      <c r="AM90" s="28"/>
      <c r="AN90" s="27"/>
      <c r="AO90" s="27"/>
      <c r="AP90" s="32" t="s">
        <v>14</v>
      </c>
      <c r="AQ90" s="30" t="s">
        <v>11</v>
      </c>
      <c r="AR90" s="27"/>
      <c r="AS90" s="27"/>
      <c r="AT90" s="28"/>
      <c r="AU90" s="27"/>
      <c r="AV90" s="29" t="s">
        <v>15</v>
      </c>
      <c r="AW90" s="27"/>
      <c r="AX90" s="27"/>
      <c r="AY90" s="25">
        <v>17</v>
      </c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25" t="s">
        <v>12</v>
      </c>
      <c r="BL90" s="27"/>
      <c r="BM90" s="27"/>
      <c r="BN90" s="27"/>
      <c r="BO90" s="28"/>
      <c r="BP90" s="27"/>
      <c r="BQ90" s="27"/>
      <c r="BR90" s="29" t="s">
        <v>16</v>
      </c>
      <c r="BS90" s="30" t="s">
        <v>13</v>
      </c>
      <c r="BT90" s="27"/>
      <c r="BU90" s="27"/>
      <c r="BV90" s="28"/>
      <c r="BW90" s="27"/>
      <c r="BX90" s="27"/>
      <c r="BY90" s="29" t="s">
        <v>14</v>
      </c>
      <c r="BZ90" s="30" t="s">
        <v>11</v>
      </c>
      <c r="CA90" s="37"/>
      <c r="CB90" s="27"/>
      <c r="CC90" s="28"/>
      <c r="CD90" s="27"/>
      <c r="CE90" s="29" t="s">
        <v>15</v>
      </c>
      <c r="CF90" s="27"/>
      <c r="CG90" s="27"/>
      <c r="CH90" s="25">
        <v>17</v>
      </c>
      <c r="CI90" s="33"/>
      <c r="CJ90" s="33"/>
      <c r="CK90" s="33"/>
      <c r="CL90" s="33"/>
      <c r="CM90" s="33"/>
      <c r="CN90" s="33"/>
      <c r="CO90" s="33"/>
      <c r="CP90" s="33"/>
    </row>
    <row r="91" spans="1:94" x14ac:dyDescent="0.25">
      <c r="A91" s="25" t="s">
        <v>56</v>
      </c>
      <c r="B91" s="25" t="s">
        <v>243</v>
      </c>
      <c r="C91" s="25" t="s">
        <v>388</v>
      </c>
      <c r="D91" s="25">
        <v>78</v>
      </c>
      <c r="E91" s="35" cm="1">
        <f t="array" ref="E91">IFERROR(INDEX($J$5:$AVX$5, _xlfn.AGGREGATE(15,6, COLUMN(J91:AVX91)-COLUMN(J91)+1 / (J91:AVX91="T"), F91)), "")</f>
        <v>46015</v>
      </c>
      <c r="F91" s="74">
        <f t="shared" si="20"/>
        <v>2</v>
      </c>
      <c r="G91" s="35" cm="1">
        <f t="array" ref="G91">IFERROR(INDEX($J$5:$AVW$5,_xlfn.AGGREGATE(14,6,(COLUMN($J91:$AVW91)-COLUMN($J91)+1)/($J91:$AVW91="T"),1)),"")</f>
        <v>46015</v>
      </c>
      <c r="H91" s="77">
        <f t="shared" si="21"/>
        <v>2</v>
      </c>
      <c r="I91" s="38" t="s">
        <v>10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25" t="s">
        <v>12</v>
      </c>
      <c r="AC91" s="27"/>
      <c r="AD91" s="27"/>
      <c r="AE91" s="27"/>
      <c r="AF91" s="28"/>
      <c r="AG91" s="27"/>
      <c r="AH91" s="27"/>
      <c r="AI91" s="29" t="s">
        <v>16</v>
      </c>
      <c r="AJ91" s="30" t="s">
        <v>13</v>
      </c>
      <c r="AK91" s="27"/>
      <c r="AL91" s="27"/>
      <c r="AM91" s="28"/>
      <c r="AN91" s="27"/>
      <c r="AO91" s="27"/>
      <c r="AP91" s="29" t="s">
        <v>14</v>
      </c>
      <c r="AQ91" s="30" t="s">
        <v>11</v>
      </c>
      <c r="AR91" s="37"/>
      <c r="AS91" s="27"/>
      <c r="AT91" s="28"/>
      <c r="AU91" s="27"/>
      <c r="AV91" s="29" t="s">
        <v>15</v>
      </c>
      <c r="AW91" s="27"/>
      <c r="AX91" s="27"/>
      <c r="AY91" s="25">
        <v>17</v>
      </c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25" t="s">
        <v>12</v>
      </c>
      <c r="BL91" s="27"/>
      <c r="BM91" s="27"/>
      <c r="BN91" s="27"/>
      <c r="BO91" s="28"/>
      <c r="BP91" s="27"/>
      <c r="BQ91" s="27"/>
      <c r="BR91" s="29" t="s">
        <v>16</v>
      </c>
      <c r="BS91" s="30" t="s">
        <v>13</v>
      </c>
      <c r="BT91" s="27"/>
      <c r="BU91" s="27"/>
      <c r="BV91" s="28"/>
      <c r="BW91" s="27"/>
      <c r="BX91" s="27"/>
      <c r="BY91" s="29" t="s">
        <v>14</v>
      </c>
      <c r="BZ91" s="30" t="s">
        <v>11</v>
      </c>
      <c r="CA91" s="37"/>
      <c r="CB91" s="27"/>
      <c r="CC91" s="28"/>
      <c r="CD91" s="27"/>
      <c r="CE91" s="29" t="s">
        <v>15</v>
      </c>
      <c r="CF91" s="27"/>
      <c r="CG91" s="27"/>
      <c r="CH91" s="25">
        <v>17</v>
      </c>
      <c r="CI91" s="33"/>
      <c r="CJ91" s="33"/>
      <c r="CK91" s="33"/>
      <c r="CL91" s="33"/>
      <c r="CM91" s="33"/>
      <c r="CN91" s="33"/>
      <c r="CO91" s="33"/>
      <c r="CP91" s="33"/>
    </row>
    <row r="92" spans="1:94" x14ac:dyDescent="0.25">
      <c r="A92" s="25" t="s">
        <v>56</v>
      </c>
      <c r="B92" s="25" t="s">
        <v>244</v>
      </c>
      <c r="C92" s="25" t="s">
        <v>389</v>
      </c>
      <c r="D92" s="25">
        <v>79</v>
      </c>
      <c r="E92" s="35" cm="1">
        <f t="array" ref="E92">IFERROR(INDEX($J$5:$AVX$5, _xlfn.AGGREGATE(15,6, COLUMN(J92:AVX92)-COLUMN(J92)+1 / (J92:AVX92="T"), F92)), "")</f>
        <v>46015</v>
      </c>
      <c r="F92" s="74">
        <f t="shared" si="20"/>
        <v>2</v>
      </c>
      <c r="G92" s="35" cm="1">
        <f t="array" ref="G92">IFERROR(INDEX($J$5:$AVW$5,_xlfn.AGGREGATE(14,6,(COLUMN($J92:$AVW92)-COLUMN($J92)+1)/($J92:$AVW92="T"),1)),"")</f>
        <v>46015</v>
      </c>
      <c r="H92" s="77">
        <f t="shared" si="21"/>
        <v>2</v>
      </c>
      <c r="I92" s="38" t="s">
        <v>10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25" t="s">
        <v>12</v>
      </c>
      <c r="AC92" s="27"/>
      <c r="AD92" s="27"/>
      <c r="AE92" s="27"/>
      <c r="AF92" s="28"/>
      <c r="AG92" s="27"/>
      <c r="AH92" s="27"/>
      <c r="AI92" s="29" t="s">
        <v>16</v>
      </c>
      <c r="AJ92" s="30" t="s">
        <v>13</v>
      </c>
      <c r="AK92" s="27"/>
      <c r="AL92" s="27"/>
      <c r="AM92" s="28"/>
      <c r="AN92" s="27"/>
      <c r="AO92" s="27"/>
      <c r="AP92" s="29" t="s">
        <v>14</v>
      </c>
      <c r="AQ92" s="30" t="s">
        <v>11</v>
      </c>
      <c r="AR92" s="37"/>
      <c r="AS92" s="27"/>
      <c r="AT92" s="28"/>
      <c r="AU92" s="27"/>
      <c r="AV92" s="29" t="s">
        <v>15</v>
      </c>
      <c r="AW92" s="27"/>
      <c r="AX92" s="27"/>
      <c r="AY92" s="25">
        <v>17</v>
      </c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25" t="s">
        <v>12</v>
      </c>
      <c r="BL92" s="27"/>
      <c r="BM92" s="27"/>
      <c r="BN92" s="27"/>
      <c r="BO92" s="28"/>
      <c r="BP92" s="27"/>
      <c r="BQ92" s="27"/>
      <c r="BR92" s="29" t="s">
        <v>16</v>
      </c>
      <c r="BS92" s="30" t="s">
        <v>13</v>
      </c>
      <c r="BT92" s="27"/>
      <c r="BU92" s="27"/>
      <c r="BV92" s="28"/>
      <c r="BW92" s="27"/>
      <c r="BX92" s="27"/>
      <c r="BY92" s="29" t="s">
        <v>14</v>
      </c>
      <c r="BZ92" s="30" t="s">
        <v>11</v>
      </c>
      <c r="CA92" s="37"/>
      <c r="CB92" s="27"/>
      <c r="CC92" s="28"/>
      <c r="CD92" s="27"/>
      <c r="CE92" s="29" t="s">
        <v>15</v>
      </c>
      <c r="CF92" s="27"/>
      <c r="CG92" s="27"/>
      <c r="CH92" s="25">
        <v>17</v>
      </c>
      <c r="CI92" s="33"/>
      <c r="CJ92" s="33"/>
      <c r="CK92" s="33"/>
      <c r="CL92" s="33"/>
      <c r="CM92" s="33"/>
      <c r="CN92" s="33"/>
      <c r="CO92" s="33"/>
      <c r="CP92" s="33"/>
    </row>
    <row r="93" spans="1:94" x14ac:dyDescent="0.25">
      <c r="A93" s="25" t="s">
        <v>56</v>
      </c>
      <c r="B93" s="25" t="s">
        <v>245</v>
      </c>
      <c r="C93" s="25" t="s">
        <v>390</v>
      </c>
      <c r="D93" s="25">
        <v>80</v>
      </c>
      <c r="E93" s="35" cm="1">
        <f t="array" ref="E93">IFERROR(INDEX($J$5:$AVX$5, _xlfn.AGGREGATE(15,6, COLUMN(J93:AVX93)-COLUMN(J93)+1 / (J93:AVX93="T"), F93)), "")</f>
        <v>46015</v>
      </c>
      <c r="F93" s="74">
        <f t="shared" si="20"/>
        <v>2</v>
      </c>
      <c r="G93" s="35" cm="1">
        <f t="array" ref="G93">IFERROR(INDEX($J$5:$AVW$5,_xlfn.AGGREGATE(14,6,(COLUMN($J93:$AVW93)-COLUMN($J93)+1)/($J93:$AVW93="T"),1)),"")</f>
        <v>46015</v>
      </c>
      <c r="H93" s="77">
        <f t="shared" si="21"/>
        <v>2</v>
      </c>
      <c r="I93" s="38" t="s">
        <v>10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25" t="s">
        <v>12</v>
      </c>
      <c r="AC93" s="27"/>
      <c r="AD93" s="27"/>
      <c r="AE93" s="27"/>
      <c r="AF93" s="28"/>
      <c r="AG93" s="27"/>
      <c r="AH93" s="27"/>
      <c r="AI93" s="29" t="s">
        <v>16</v>
      </c>
      <c r="AJ93" s="30" t="s">
        <v>13</v>
      </c>
      <c r="AK93" s="27"/>
      <c r="AL93" s="27"/>
      <c r="AM93" s="28"/>
      <c r="AN93" s="27"/>
      <c r="AO93" s="27"/>
      <c r="AP93" s="29" t="s">
        <v>14</v>
      </c>
      <c r="AQ93" s="30" t="s">
        <v>11</v>
      </c>
      <c r="AR93" s="37"/>
      <c r="AS93" s="27"/>
      <c r="AT93" s="28"/>
      <c r="AU93" s="27"/>
      <c r="AV93" s="29" t="s">
        <v>15</v>
      </c>
      <c r="AW93" s="27"/>
      <c r="AX93" s="27"/>
      <c r="AY93" s="25">
        <v>17</v>
      </c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25" t="s">
        <v>12</v>
      </c>
      <c r="BL93" s="27"/>
      <c r="BM93" s="27"/>
      <c r="BN93" s="27"/>
      <c r="BO93" s="28"/>
      <c r="BP93" s="27"/>
      <c r="BQ93" s="27"/>
      <c r="BR93" s="29" t="s">
        <v>16</v>
      </c>
      <c r="BS93" s="30" t="s">
        <v>13</v>
      </c>
      <c r="BT93" s="27"/>
      <c r="BU93" s="27"/>
      <c r="BV93" s="28"/>
      <c r="BW93" s="27"/>
      <c r="BX93" s="27"/>
      <c r="BY93" s="29" t="s">
        <v>14</v>
      </c>
      <c r="BZ93" s="30" t="s">
        <v>11</v>
      </c>
      <c r="CA93" s="37"/>
      <c r="CB93" s="27"/>
      <c r="CC93" s="28"/>
      <c r="CD93" s="27"/>
      <c r="CE93" s="29" t="s">
        <v>15</v>
      </c>
      <c r="CF93" s="27"/>
      <c r="CG93" s="27"/>
      <c r="CH93" s="25">
        <v>17</v>
      </c>
      <c r="CI93" s="33"/>
      <c r="CJ93" s="33"/>
      <c r="CK93" s="33"/>
      <c r="CL93" s="33"/>
      <c r="CM93" s="33"/>
      <c r="CN93" s="33"/>
      <c r="CO93" s="33"/>
      <c r="CP93" s="33"/>
    </row>
    <row r="94" spans="1:94" x14ac:dyDescent="0.25">
      <c r="A94" s="25" t="s">
        <v>56</v>
      </c>
      <c r="B94" s="25" t="s">
        <v>246</v>
      </c>
      <c r="C94" s="25" t="s">
        <v>391</v>
      </c>
      <c r="D94" s="25">
        <v>81</v>
      </c>
      <c r="E94" s="35" cm="1">
        <f t="array" ref="E94">IFERROR(INDEX($J$5:$AVX$5, _xlfn.AGGREGATE(15,6, COLUMN(J94:AVX94)-COLUMN(J94)+1 / (J94:AVX94="T"), F94)), "")</f>
        <v>46015</v>
      </c>
      <c r="F94" s="74">
        <f t="shared" si="20"/>
        <v>2</v>
      </c>
      <c r="G94" s="35" cm="1">
        <f t="array" ref="G94">IFERROR(INDEX($J$5:$AVW$5,_xlfn.AGGREGATE(14,6,(COLUMN($J94:$AVW94)-COLUMN($J94)+1)/($J94:$AVW94="T"),1)),"")</f>
        <v>46015</v>
      </c>
      <c r="H94" s="77">
        <f t="shared" si="21"/>
        <v>2</v>
      </c>
      <c r="I94" s="38" t="s">
        <v>10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25" t="s">
        <v>12</v>
      </c>
      <c r="AC94" s="27"/>
      <c r="AD94" s="27"/>
      <c r="AE94" s="27"/>
      <c r="AF94" s="28"/>
      <c r="AG94" s="27"/>
      <c r="AH94" s="27"/>
      <c r="AI94" s="29" t="s">
        <v>16</v>
      </c>
      <c r="AJ94" s="30" t="s">
        <v>13</v>
      </c>
      <c r="AK94" s="27"/>
      <c r="AL94" s="27"/>
      <c r="AM94" s="28"/>
      <c r="AN94" s="27"/>
      <c r="AO94" s="27"/>
      <c r="AP94" s="29" t="s">
        <v>14</v>
      </c>
      <c r="AQ94" s="30" t="s">
        <v>11</v>
      </c>
      <c r="AR94" s="37"/>
      <c r="AS94" s="27"/>
      <c r="AT94" s="28"/>
      <c r="AU94" s="27"/>
      <c r="AV94" s="29" t="s">
        <v>15</v>
      </c>
      <c r="AW94" s="27"/>
      <c r="AX94" s="27"/>
      <c r="AY94" s="25">
        <v>17</v>
      </c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25" t="s">
        <v>12</v>
      </c>
      <c r="BL94" s="27"/>
      <c r="BM94" s="27"/>
      <c r="BN94" s="27"/>
      <c r="BO94" s="28"/>
      <c r="BP94" s="27"/>
      <c r="BQ94" s="27"/>
      <c r="BR94" s="29" t="s">
        <v>16</v>
      </c>
      <c r="BS94" s="30" t="s">
        <v>13</v>
      </c>
      <c r="BT94" s="27"/>
      <c r="BU94" s="27"/>
      <c r="BV94" s="28"/>
      <c r="BW94" s="27"/>
      <c r="BX94" s="27"/>
      <c r="BY94" s="29" t="s">
        <v>14</v>
      </c>
      <c r="BZ94" s="30" t="s">
        <v>11</v>
      </c>
      <c r="CA94" s="37"/>
      <c r="CB94" s="27"/>
      <c r="CC94" s="28"/>
      <c r="CD94" s="27"/>
      <c r="CE94" s="29" t="s">
        <v>15</v>
      </c>
      <c r="CF94" s="27"/>
      <c r="CG94" s="27"/>
      <c r="CH94" s="25">
        <v>17</v>
      </c>
      <c r="CI94" s="33"/>
      <c r="CJ94" s="33"/>
      <c r="CK94" s="33"/>
      <c r="CL94" s="33"/>
      <c r="CM94" s="33"/>
      <c r="CN94" s="33"/>
      <c r="CO94" s="33"/>
      <c r="CP94" s="33"/>
    </row>
    <row r="95" spans="1:94" x14ac:dyDescent="0.25">
      <c r="A95" s="25" t="s">
        <v>56</v>
      </c>
      <c r="B95" s="25" t="s">
        <v>247</v>
      </c>
      <c r="C95" s="25" t="s">
        <v>392</v>
      </c>
      <c r="D95" s="25">
        <v>82</v>
      </c>
      <c r="E95" s="35" cm="1">
        <f t="array" ref="E95">IFERROR(INDEX($J$5:$AVX$5, _xlfn.AGGREGATE(15,6, COLUMN(J95:AVX95)-COLUMN(J95)+1 / (J95:AVX95="T"), F95)), "")</f>
        <v>46015</v>
      </c>
      <c r="F95" s="74">
        <f t="shared" si="20"/>
        <v>2</v>
      </c>
      <c r="G95" s="35" cm="1">
        <f t="array" ref="G95">IFERROR(INDEX($J$5:$AVW$5,_xlfn.AGGREGATE(14,6,(COLUMN($J95:$AVW95)-COLUMN($J95)+1)/($J95:$AVW95="T"),1)),"")</f>
        <v>46015</v>
      </c>
      <c r="H95" s="77">
        <f t="shared" si="21"/>
        <v>2</v>
      </c>
      <c r="I95" s="38" t="s">
        <v>10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25" t="s">
        <v>12</v>
      </c>
      <c r="AC95" s="27"/>
      <c r="AD95" s="27"/>
      <c r="AE95" s="27"/>
      <c r="AF95" s="28"/>
      <c r="AG95" s="27"/>
      <c r="AH95" s="27"/>
      <c r="AI95" s="29" t="s">
        <v>16</v>
      </c>
      <c r="AJ95" s="30" t="s">
        <v>13</v>
      </c>
      <c r="AK95" s="27"/>
      <c r="AL95" s="27"/>
      <c r="AM95" s="28"/>
      <c r="AN95" s="27"/>
      <c r="AO95" s="27"/>
      <c r="AP95" s="29" t="s">
        <v>14</v>
      </c>
      <c r="AQ95" s="30" t="s">
        <v>11</v>
      </c>
      <c r="AR95" s="37"/>
      <c r="AS95" s="27"/>
      <c r="AT95" s="28"/>
      <c r="AU95" s="27"/>
      <c r="AV95" s="29" t="s">
        <v>15</v>
      </c>
      <c r="AW95" s="27"/>
      <c r="AX95" s="27"/>
      <c r="AY95" s="25">
        <v>17</v>
      </c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25" t="s">
        <v>12</v>
      </c>
      <c r="BL95" s="27"/>
      <c r="BM95" s="27"/>
      <c r="BN95" s="27"/>
      <c r="BO95" s="28"/>
      <c r="BP95" s="27"/>
      <c r="BQ95" s="27"/>
      <c r="BR95" s="29" t="s">
        <v>16</v>
      </c>
      <c r="BS95" s="30" t="s">
        <v>13</v>
      </c>
      <c r="BT95" s="27"/>
      <c r="BU95" s="27"/>
      <c r="BV95" s="28"/>
      <c r="BW95" s="27"/>
      <c r="BX95" s="27"/>
      <c r="BY95" s="29" t="s">
        <v>14</v>
      </c>
      <c r="BZ95" s="30" t="s">
        <v>11</v>
      </c>
      <c r="CA95" s="37"/>
      <c r="CB95" s="27"/>
      <c r="CC95" s="28"/>
      <c r="CD95" s="27"/>
      <c r="CE95" s="29" t="s">
        <v>15</v>
      </c>
      <c r="CF95" s="27"/>
      <c r="CG95" s="27"/>
      <c r="CH95" s="25">
        <v>17</v>
      </c>
      <c r="CI95" s="33"/>
      <c r="CJ95" s="33"/>
      <c r="CK95" s="33"/>
      <c r="CL95" s="33"/>
      <c r="CM95" s="33"/>
      <c r="CN95" s="33"/>
      <c r="CO95" s="33"/>
      <c r="CP95" s="33"/>
    </row>
    <row r="96" spans="1:94" x14ac:dyDescent="0.25">
      <c r="A96" s="25" t="s">
        <v>56</v>
      </c>
      <c r="B96" s="25" t="s">
        <v>248</v>
      </c>
      <c r="C96" s="25" t="s">
        <v>393</v>
      </c>
      <c r="D96" s="25">
        <v>83</v>
      </c>
      <c r="E96" s="35" cm="1">
        <f t="array" ref="E96">IFERROR(INDEX($J$5:$AVX$5, _xlfn.AGGREGATE(15,6, COLUMN(J96:AVX96)-COLUMN(J96)+1 / (J96:AVX96="T"), F96)), "")</f>
        <v>46015</v>
      </c>
      <c r="F96" s="74">
        <f t="shared" si="20"/>
        <v>2</v>
      </c>
      <c r="G96" s="35" cm="1">
        <f t="array" ref="G96">IFERROR(INDEX($J$5:$AVW$5,_xlfn.AGGREGATE(14,6,(COLUMN($J96:$AVW96)-COLUMN($J96)+1)/($J96:$AVW96="T"),1)),"")</f>
        <v>46015</v>
      </c>
      <c r="H96" s="77">
        <f t="shared" si="21"/>
        <v>2</v>
      </c>
      <c r="I96" s="38" t="s">
        <v>10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25" t="s">
        <v>12</v>
      </c>
      <c r="AC96" s="27"/>
      <c r="AD96" s="27"/>
      <c r="AE96" s="27"/>
      <c r="AF96" s="28"/>
      <c r="AG96" s="27"/>
      <c r="AH96" s="27"/>
      <c r="AI96" s="29" t="s">
        <v>16</v>
      </c>
      <c r="AJ96" s="30" t="s">
        <v>13</v>
      </c>
      <c r="AK96" s="27"/>
      <c r="AL96" s="27"/>
      <c r="AM96" s="28"/>
      <c r="AN96" s="27"/>
      <c r="AO96" s="27"/>
      <c r="AP96" s="29" t="s">
        <v>14</v>
      </c>
      <c r="AQ96" s="30" t="s">
        <v>11</v>
      </c>
      <c r="AR96" s="37"/>
      <c r="AS96" s="27"/>
      <c r="AT96" s="28"/>
      <c r="AU96" s="27"/>
      <c r="AV96" s="29" t="s">
        <v>15</v>
      </c>
      <c r="AW96" s="27"/>
      <c r="AX96" s="27"/>
      <c r="AY96" s="25">
        <v>17</v>
      </c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25" t="s">
        <v>12</v>
      </c>
      <c r="BL96" s="27"/>
      <c r="BM96" s="27"/>
      <c r="BN96" s="27"/>
      <c r="BO96" s="28"/>
      <c r="BP96" s="27"/>
      <c r="BQ96" s="27"/>
      <c r="BR96" s="29" t="s">
        <v>16</v>
      </c>
      <c r="BS96" s="30" t="s">
        <v>13</v>
      </c>
      <c r="BT96" s="27"/>
      <c r="BU96" s="27"/>
      <c r="BV96" s="28"/>
      <c r="BW96" s="27"/>
      <c r="BX96" s="27"/>
      <c r="BY96" s="29" t="s">
        <v>14</v>
      </c>
      <c r="BZ96" s="30" t="s">
        <v>11</v>
      </c>
      <c r="CA96" s="37"/>
      <c r="CB96" s="27"/>
      <c r="CC96" s="28"/>
      <c r="CD96" s="27"/>
      <c r="CE96" s="29" t="s">
        <v>15</v>
      </c>
      <c r="CF96" s="27"/>
      <c r="CG96" s="27"/>
      <c r="CH96" s="25">
        <v>17</v>
      </c>
      <c r="CI96" s="33"/>
      <c r="CJ96" s="33"/>
      <c r="CK96" s="33"/>
      <c r="CL96" s="33"/>
      <c r="CM96" s="33"/>
      <c r="CN96" s="33"/>
      <c r="CO96" s="33"/>
      <c r="CP96" s="33"/>
    </row>
    <row r="97" spans="1:94" ht="15" customHeight="1" x14ac:dyDescent="0.25">
      <c r="A97" s="25" t="s">
        <v>56</v>
      </c>
      <c r="B97" s="25" t="s">
        <v>249</v>
      </c>
      <c r="C97" s="25" t="s">
        <v>394</v>
      </c>
      <c r="D97" s="25">
        <v>84</v>
      </c>
      <c r="E97" s="35" cm="1">
        <f t="array" ref="E97">IFERROR(INDEX($J$5:$AVX$5, _xlfn.AGGREGATE(15,6, COLUMN(J97:AVX97)-COLUMN(J97)+1 / (J97:AVX97="T"), F97)), "")</f>
        <v>45998</v>
      </c>
      <c r="F97" s="74">
        <f t="shared" si="20"/>
        <v>2</v>
      </c>
      <c r="G97" s="35" cm="1">
        <f t="array" ref="G97">IFERROR(INDEX($J$5:$AVW$5,_xlfn.AGGREGATE(14,6,(COLUMN($J97:$AVW97)-COLUMN($J97)+1)/($J97:$AVW97="T"),1)),"")</f>
        <v>45998</v>
      </c>
      <c r="H97" s="77">
        <f t="shared" si="21"/>
        <v>2</v>
      </c>
      <c r="I97" s="38" t="s">
        <v>10</v>
      </c>
      <c r="J97" s="33"/>
      <c r="K97" s="33"/>
      <c r="L97" s="33"/>
      <c r="M97" s="33"/>
      <c r="N97" s="33"/>
      <c r="O97" s="33"/>
      <c r="P97" s="25" t="s">
        <v>12</v>
      </c>
      <c r="Q97" s="27"/>
      <c r="R97" s="27"/>
      <c r="S97" s="27"/>
      <c r="T97" s="28"/>
      <c r="U97" s="27"/>
      <c r="V97" s="27"/>
      <c r="W97" s="29" t="s">
        <v>16</v>
      </c>
      <c r="X97" s="30" t="s">
        <v>13</v>
      </c>
      <c r="Y97" s="27"/>
      <c r="Z97" s="27"/>
      <c r="AA97" s="28"/>
      <c r="AB97" s="27"/>
      <c r="AC97" s="27"/>
      <c r="AD97" s="32" t="s">
        <v>14</v>
      </c>
      <c r="AE97" s="30" t="s">
        <v>11</v>
      </c>
      <c r="AF97" s="27"/>
      <c r="AG97" s="27"/>
      <c r="AH97" s="28"/>
      <c r="AI97" s="27"/>
      <c r="AJ97" s="29" t="s">
        <v>15</v>
      </c>
      <c r="AK97" s="27"/>
      <c r="AL97" s="27"/>
      <c r="AM97" s="25">
        <v>17</v>
      </c>
      <c r="AN97" s="33"/>
      <c r="AO97" s="33"/>
      <c r="AP97" s="33"/>
      <c r="AQ97" s="33"/>
      <c r="AR97" s="33"/>
      <c r="AS97" s="33"/>
      <c r="AT97" s="25" t="s">
        <v>12</v>
      </c>
      <c r="AU97" s="27"/>
      <c r="AV97" s="27"/>
      <c r="AW97" s="27"/>
      <c r="AX97" s="28"/>
      <c r="AY97" s="27"/>
      <c r="AZ97" s="27"/>
      <c r="BA97" s="29" t="s">
        <v>16</v>
      </c>
      <c r="BB97" s="30" t="s">
        <v>13</v>
      </c>
      <c r="BC97" s="27"/>
      <c r="BD97" s="27"/>
      <c r="BE97" s="28"/>
      <c r="BF97" s="27"/>
      <c r="BG97" s="27"/>
      <c r="BH97" s="32" t="s">
        <v>14</v>
      </c>
      <c r="BI97" s="30" t="s">
        <v>11</v>
      </c>
      <c r="BJ97" s="27"/>
      <c r="BK97" s="27"/>
      <c r="BL97" s="28"/>
      <c r="BM97" s="27"/>
      <c r="BN97" s="29" t="s">
        <v>15</v>
      </c>
      <c r="BO97" s="27"/>
      <c r="BP97" s="27"/>
      <c r="BQ97" s="25">
        <v>17</v>
      </c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3"/>
      <c r="CG97" s="33"/>
      <c r="CH97" s="33"/>
      <c r="CI97" s="33"/>
      <c r="CJ97" s="33"/>
      <c r="CK97" s="33"/>
      <c r="CL97" s="33"/>
      <c r="CM97" s="33"/>
      <c r="CN97" s="33"/>
      <c r="CO97" s="33"/>
      <c r="CP97" s="33"/>
    </row>
    <row r="98" spans="1:94" x14ac:dyDescent="0.25">
      <c r="A98" s="25" t="s">
        <v>56</v>
      </c>
      <c r="B98" s="25" t="s">
        <v>250</v>
      </c>
      <c r="C98" s="25" t="s">
        <v>395</v>
      </c>
      <c r="D98" s="25">
        <v>85</v>
      </c>
      <c r="E98" s="35" cm="1">
        <f t="array" ref="E98">IFERROR(INDEX($J$5:$AVX$5, _xlfn.AGGREGATE(15,6, COLUMN(J98:AVX98)-COLUMN(J98)+1 / (J98:AVX98="T"), F98)), "")</f>
        <v>45998</v>
      </c>
      <c r="F98" s="74">
        <f t="shared" si="20"/>
        <v>2</v>
      </c>
      <c r="G98" s="35" cm="1">
        <f t="array" ref="G98">IFERROR(INDEX($J$5:$AVW$5,_xlfn.AGGREGATE(14,6,(COLUMN($J98:$AVW98)-COLUMN($J98)+1)/($J98:$AVW98="T"),1)),"")</f>
        <v>45998</v>
      </c>
      <c r="H98" s="77">
        <f t="shared" si="21"/>
        <v>2</v>
      </c>
      <c r="I98" s="38" t="s">
        <v>10</v>
      </c>
      <c r="J98" s="33"/>
      <c r="K98" s="33"/>
      <c r="L98" s="33"/>
      <c r="M98" s="33"/>
      <c r="N98" s="33"/>
      <c r="O98" s="33"/>
      <c r="P98" s="25" t="s">
        <v>12</v>
      </c>
      <c r="Q98" s="27"/>
      <c r="R98" s="27"/>
      <c r="S98" s="27"/>
      <c r="T98" s="28"/>
      <c r="U98" s="27"/>
      <c r="V98" s="27"/>
      <c r="W98" s="29" t="s">
        <v>16</v>
      </c>
      <c r="X98" s="30" t="s">
        <v>13</v>
      </c>
      <c r="Y98" s="27"/>
      <c r="Z98" s="27"/>
      <c r="AA98" s="28"/>
      <c r="AB98" s="27"/>
      <c r="AC98" s="27"/>
      <c r="AD98" s="32" t="s">
        <v>14</v>
      </c>
      <c r="AE98" s="30" t="s">
        <v>11</v>
      </c>
      <c r="AF98" s="27"/>
      <c r="AG98" s="27"/>
      <c r="AH98" s="28"/>
      <c r="AI98" s="27"/>
      <c r="AJ98" s="29" t="s">
        <v>15</v>
      </c>
      <c r="AK98" s="27"/>
      <c r="AL98" s="27"/>
      <c r="AM98" s="25">
        <v>17</v>
      </c>
      <c r="AN98" s="33"/>
      <c r="AO98" s="33"/>
      <c r="AP98" s="33"/>
      <c r="AQ98" s="33"/>
      <c r="AR98" s="33"/>
      <c r="AS98" s="33"/>
      <c r="AT98" s="25" t="s">
        <v>12</v>
      </c>
      <c r="AU98" s="27"/>
      <c r="AV98" s="27"/>
      <c r="AW98" s="27"/>
      <c r="AX98" s="28"/>
      <c r="AY98" s="27"/>
      <c r="AZ98" s="27"/>
      <c r="BA98" s="29" t="s">
        <v>16</v>
      </c>
      <c r="BB98" s="30" t="s">
        <v>13</v>
      </c>
      <c r="BC98" s="27"/>
      <c r="BD98" s="27"/>
      <c r="BE98" s="28"/>
      <c r="BF98" s="27"/>
      <c r="BG98" s="27"/>
      <c r="BH98" s="32" t="s">
        <v>14</v>
      </c>
      <c r="BI98" s="30" t="s">
        <v>11</v>
      </c>
      <c r="BJ98" s="27"/>
      <c r="BK98" s="27"/>
      <c r="BL98" s="28"/>
      <c r="BM98" s="27"/>
      <c r="BN98" s="29" t="s">
        <v>15</v>
      </c>
      <c r="BO98" s="27"/>
      <c r="BP98" s="27"/>
      <c r="BQ98" s="25">
        <v>17</v>
      </c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3"/>
      <c r="CG98" s="33"/>
      <c r="CH98" s="33"/>
      <c r="CI98" s="33"/>
      <c r="CJ98" s="33"/>
      <c r="CK98" s="33"/>
      <c r="CL98" s="33"/>
      <c r="CM98" s="33"/>
      <c r="CN98" s="33"/>
      <c r="CO98" s="33"/>
      <c r="CP98" s="33"/>
    </row>
    <row r="99" spans="1:94" x14ac:dyDescent="0.25">
      <c r="A99" s="25" t="s">
        <v>56</v>
      </c>
      <c r="B99" s="25" t="s">
        <v>251</v>
      </c>
      <c r="C99" s="25" t="s">
        <v>396</v>
      </c>
      <c r="D99" s="25">
        <v>86</v>
      </c>
      <c r="E99" s="35" cm="1">
        <f t="array" ref="E99">IFERROR(INDEX($J$5:$AVX$5, _xlfn.AGGREGATE(15,6, COLUMN(J99:AVX99)-COLUMN(J99)+1 / (J99:AVX99="T"), F99)), "")</f>
        <v>45997</v>
      </c>
      <c r="F99" s="74">
        <f t="shared" si="20"/>
        <v>2</v>
      </c>
      <c r="G99" s="35" cm="1">
        <f t="array" ref="G99">IFERROR(INDEX($J$5:$AVW$5,_xlfn.AGGREGATE(14,6,(COLUMN($J99:$AVW99)-COLUMN($J99)+1)/($J99:$AVW99="T"),1)),"")</f>
        <v>45997</v>
      </c>
      <c r="H99" s="77">
        <f t="shared" si="21"/>
        <v>2</v>
      </c>
      <c r="I99" s="38" t="s">
        <v>10</v>
      </c>
      <c r="J99" s="33"/>
      <c r="K99" s="33"/>
      <c r="L99" s="33"/>
      <c r="M99" s="33"/>
      <c r="N99" s="33"/>
      <c r="O99" s="25" t="s">
        <v>12</v>
      </c>
      <c r="P99" s="27"/>
      <c r="Q99" s="27"/>
      <c r="R99" s="27"/>
      <c r="S99" s="28"/>
      <c r="T99" s="27"/>
      <c r="U99" s="27"/>
      <c r="V99" s="29" t="s">
        <v>16</v>
      </c>
      <c r="W99" s="30" t="s">
        <v>13</v>
      </c>
      <c r="X99" s="27"/>
      <c r="Y99" s="27"/>
      <c r="Z99" s="28"/>
      <c r="AA99" s="27"/>
      <c r="AB99" s="27"/>
      <c r="AC99" s="32" t="s">
        <v>14</v>
      </c>
      <c r="AD99" s="30" t="s">
        <v>11</v>
      </c>
      <c r="AE99" s="27"/>
      <c r="AF99" s="27"/>
      <c r="AG99" s="28"/>
      <c r="AH99" s="27"/>
      <c r="AI99" s="29" t="s">
        <v>15</v>
      </c>
      <c r="AJ99" s="27"/>
      <c r="AK99" s="27"/>
      <c r="AL99" s="25">
        <v>17</v>
      </c>
      <c r="AM99" s="33"/>
      <c r="AN99" s="33"/>
      <c r="AO99" s="33"/>
      <c r="AP99" s="33"/>
      <c r="AQ99" s="33"/>
      <c r="AR99" s="33"/>
      <c r="AS99" s="25" t="s">
        <v>12</v>
      </c>
      <c r="AT99" s="27"/>
      <c r="AU99" s="27"/>
      <c r="AV99" s="27"/>
      <c r="AW99" s="28"/>
      <c r="AX99" s="27"/>
      <c r="AY99" s="27"/>
      <c r="AZ99" s="29" t="s">
        <v>16</v>
      </c>
      <c r="BA99" s="30" t="s">
        <v>13</v>
      </c>
      <c r="BB99" s="27"/>
      <c r="BC99" s="27"/>
      <c r="BD99" s="28"/>
      <c r="BE99" s="27"/>
      <c r="BF99" s="27"/>
      <c r="BG99" s="32" t="s">
        <v>14</v>
      </c>
      <c r="BH99" s="30" t="s">
        <v>11</v>
      </c>
      <c r="BI99" s="27"/>
      <c r="BJ99" s="27"/>
      <c r="BK99" s="28"/>
      <c r="BL99" s="27"/>
      <c r="BM99" s="29" t="s">
        <v>15</v>
      </c>
      <c r="BN99" s="27"/>
      <c r="BO99" s="27"/>
      <c r="BP99" s="25">
        <v>17</v>
      </c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3"/>
      <c r="CG99" s="33"/>
      <c r="CH99" s="33"/>
      <c r="CI99" s="33"/>
      <c r="CJ99" s="33"/>
      <c r="CK99" s="33"/>
      <c r="CL99" s="33"/>
      <c r="CM99" s="33"/>
      <c r="CN99" s="33"/>
      <c r="CO99" s="33"/>
      <c r="CP99" s="33"/>
    </row>
    <row r="100" spans="1:94" x14ac:dyDescent="0.25">
      <c r="A100" s="25" t="s">
        <v>56</v>
      </c>
      <c r="B100" s="25" t="s">
        <v>252</v>
      </c>
      <c r="C100" s="25" t="s">
        <v>397</v>
      </c>
      <c r="D100" s="25">
        <v>87</v>
      </c>
      <c r="E100" s="35" cm="1">
        <f t="array" ref="E100">IFERROR(INDEX($J$5:$AVX$5, _xlfn.AGGREGATE(15,6, COLUMN(J100:AVX100)-COLUMN(J100)+1 / (J100:AVX100="T"), F100)), "")</f>
        <v>45997</v>
      </c>
      <c r="F100" s="74">
        <f t="shared" si="20"/>
        <v>2</v>
      </c>
      <c r="G100" s="35" cm="1">
        <f t="array" ref="G100">IFERROR(INDEX($J$5:$AVW$5,_xlfn.AGGREGATE(14,6,(COLUMN($J100:$AVW100)-COLUMN($J100)+1)/($J100:$AVW100="T"),1)),"")</f>
        <v>45997</v>
      </c>
      <c r="H100" s="77">
        <f t="shared" si="21"/>
        <v>2</v>
      </c>
      <c r="I100" s="38" t="s">
        <v>10</v>
      </c>
      <c r="J100" s="33"/>
      <c r="K100" s="33"/>
      <c r="L100" s="33"/>
      <c r="M100" s="33"/>
      <c r="N100" s="33"/>
      <c r="O100" s="25" t="s">
        <v>12</v>
      </c>
      <c r="P100" s="27"/>
      <c r="Q100" s="27"/>
      <c r="R100" s="27"/>
      <c r="S100" s="28"/>
      <c r="T100" s="27"/>
      <c r="U100" s="27"/>
      <c r="V100" s="29" t="s">
        <v>16</v>
      </c>
      <c r="W100" s="30" t="s">
        <v>13</v>
      </c>
      <c r="X100" s="27"/>
      <c r="Y100" s="27"/>
      <c r="Z100" s="28"/>
      <c r="AA100" s="27"/>
      <c r="AB100" s="27"/>
      <c r="AC100" s="29" t="s">
        <v>14</v>
      </c>
      <c r="AD100" s="30" t="s">
        <v>11</v>
      </c>
      <c r="AE100" s="37"/>
      <c r="AF100" s="27"/>
      <c r="AG100" s="28"/>
      <c r="AH100" s="27"/>
      <c r="AI100" s="29" t="s">
        <v>15</v>
      </c>
      <c r="AJ100" s="27"/>
      <c r="AK100" s="27"/>
      <c r="AL100" s="25">
        <v>17</v>
      </c>
      <c r="AM100" s="33"/>
      <c r="AN100" s="33"/>
      <c r="AO100" s="33"/>
      <c r="AP100" s="33"/>
      <c r="AQ100" s="33"/>
      <c r="AR100" s="33"/>
      <c r="AS100" s="25" t="s">
        <v>12</v>
      </c>
      <c r="AT100" s="27"/>
      <c r="AU100" s="27"/>
      <c r="AV100" s="27"/>
      <c r="AW100" s="28"/>
      <c r="AX100" s="27"/>
      <c r="AY100" s="27"/>
      <c r="AZ100" s="29" t="s">
        <v>16</v>
      </c>
      <c r="BA100" s="30" t="s">
        <v>13</v>
      </c>
      <c r="BB100" s="27"/>
      <c r="BC100" s="27"/>
      <c r="BD100" s="28"/>
      <c r="BE100" s="27"/>
      <c r="BF100" s="27"/>
      <c r="BG100" s="32" t="s">
        <v>14</v>
      </c>
      <c r="BH100" s="30" t="s">
        <v>11</v>
      </c>
      <c r="BI100" s="27"/>
      <c r="BJ100" s="27"/>
      <c r="BK100" s="28"/>
      <c r="BL100" s="27"/>
      <c r="BM100" s="29" t="s">
        <v>15</v>
      </c>
      <c r="BN100" s="27"/>
      <c r="BO100" s="27"/>
      <c r="BP100" s="25">
        <v>17</v>
      </c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3"/>
      <c r="CG100" s="33"/>
      <c r="CH100" s="33"/>
      <c r="CI100" s="33"/>
      <c r="CJ100" s="33"/>
      <c r="CK100" s="33"/>
      <c r="CL100" s="33"/>
      <c r="CM100" s="33"/>
      <c r="CN100" s="33"/>
      <c r="CO100" s="33"/>
      <c r="CP100" s="33"/>
    </row>
    <row r="101" spans="1:94" x14ac:dyDescent="0.25">
      <c r="A101" s="25" t="s">
        <v>56</v>
      </c>
      <c r="B101" s="25" t="s">
        <v>253</v>
      </c>
      <c r="C101" s="25" t="s">
        <v>398</v>
      </c>
      <c r="D101" s="25">
        <v>88</v>
      </c>
      <c r="E101" s="35" cm="1">
        <f t="array" ref="E101">IFERROR(INDEX($J$5:$AVX$5, _xlfn.AGGREGATE(15,6, COLUMN(J101:AVX101)-COLUMN(J101)+1 / (J101:AVX101="T"), F101)), "")</f>
        <v>45997</v>
      </c>
      <c r="F101" s="74">
        <f t="shared" si="20"/>
        <v>2</v>
      </c>
      <c r="G101" s="35" cm="1">
        <f t="array" ref="G101">IFERROR(INDEX($J$5:$AVW$5,_xlfn.AGGREGATE(14,6,(COLUMN($J101:$AVW101)-COLUMN($J101)+1)/($J101:$AVW101="T"),1)),"")</f>
        <v>45997</v>
      </c>
      <c r="H101" s="77">
        <f t="shared" si="21"/>
        <v>2</v>
      </c>
      <c r="I101" s="38" t="s">
        <v>10</v>
      </c>
      <c r="J101" s="33"/>
      <c r="K101" s="33"/>
      <c r="L101" s="33"/>
      <c r="M101" s="33"/>
      <c r="N101" s="33"/>
      <c r="O101" s="25" t="s">
        <v>12</v>
      </c>
      <c r="P101" s="27"/>
      <c r="Q101" s="27"/>
      <c r="R101" s="27"/>
      <c r="S101" s="28"/>
      <c r="T101" s="27"/>
      <c r="U101" s="27"/>
      <c r="V101" s="29" t="s">
        <v>16</v>
      </c>
      <c r="W101" s="30" t="s">
        <v>13</v>
      </c>
      <c r="X101" s="27"/>
      <c r="Y101" s="27"/>
      <c r="Z101" s="28"/>
      <c r="AA101" s="27"/>
      <c r="AB101" s="27"/>
      <c r="AC101" s="29" t="s">
        <v>14</v>
      </c>
      <c r="AD101" s="30" t="s">
        <v>11</v>
      </c>
      <c r="AE101" s="37"/>
      <c r="AF101" s="27"/>
      <c r="AG101" s="28"/>
      <c r="AH101" s="27"/>
      <c r="AI101" s="29" t="s">
        <v>15</v>
      </c>
      <c r="AJ101" s="27"/>
      <c r="AK101" s="27"/>
      <c r="AL101" s="25">
        <v>17</v>
      </c>
      <c r="AM101" s="33"/>
      <c r="AN101" s="33"/>
      <c r="AO101" s="33"/>
      <c r="AP101" s="33"/>
      <c r="AQ101" s="33"/>
      <c r="AR101" s="33"/>
      <c r="AS101" s="25" t="s">
        <v>12</v>
      </c>
      <c r="AT101" s="27"/>
      <c r="AU101" s="27"/>
      <c r="AV101" s="27"/>
      <c r="AW101" s="28"/>
      <c r="AX101" s="27"/>
      <c r="AY101" s="27"/>
      <c r="AZ101" s="29" t="s">
        <v>16</v>
      </c>
      <c r="BA101" s="30" t="s">
        <v>13</v>
      </c>
      <c r="BB101" s="27"/>
      <c r="BC101" s="27"/>
      <c r="BD101" s="28"/>
      <c r="BE101" s="27"/>
      <c r="BF101" s="27"/>
      <c r="BG101" s="32" t="s">
        <v>14</v>
      </c>
      <c r="BH101" s="30" t="s">
        <v>11</v>
      </c>
      <c r="BI101" s="27"/>
      <c r="BJ101" s="27"/>
      <c r="BK101" s="28"/>
      <c r="BL101" s="27"/>
      <c r="BM101" s="29" t="s">
        <v>15</v>
      </c>
      <c r="BN101" s="27"/>
      <c r="BO101" s="27"/>
      <c r="BP101" s="25">
        <v>17</v>
      </c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  <c r="CF101" s="33"/>
      <c r="CG101" s="33"/>
      <c r="CH101" s="33"/>
      <c r="CI101" s="33"/>
      <c r="CJ101" s="33"/>
      <c r="CK101" s="33"/>
      <c r="CL101" s="33"/>
      <c r="CM101" s="33"/>
      <c r="CN101" s="33"/>
      <c r="CO101" s="33"/>
      <c r="CP101" s="33"/>
    </row>
    <row r="102" spans="1:94" x14ac:dyDescent="0.25">
      <c r="A102" s="25" t="s">
        <v>56</v>
      </c>
      <c r="B102" s="25" t="s">
        <v>254</v>
      </c>
      <c r="C102" s="25" t="s">
        <v>399</v>
      </c>
      <c r="D102" s="25">
        <v>89</v>
      </c>
      <c r="E102" s="35" cm="1">
        <f t="array" ref="E102">IFERROR(INDEX($J$5:$AVX$5, _xlfn.AGGREGATE(15,6, COLUMN(J102:AVX102)-COLUMN(J102)+1 / (J102:AVX102="T"), F102)), "")</f>
        <v>45997</v>
      </c>
      <c r="F102" s="74">
        <f t="shared" si="20"/>
        <v>2</v>
      </c>
      <c r="G102" s="35" cm="1">
        <f t="array" ref="G102">IFERROR(INDEX($J$5:$AVW$5,_xlfn.AGGREGATE(14,6,(COLUMN($J102:$AVW102)-COLUMN($J102)+1)/($J102:$AVW102="T"),1)),"")</f>
        <v>45997</v>
      </c>
      <c r="H102" s="77">
        <f t="shared" si="21"/>
        <v>2</v>
      </c>
      <c r="I102" s="38" t="s">
        <v>10</v>
      </c>
      <c r="J102" s="33"/>
      <c r="K102" s="33"/>
      <c r="L102" s="33"/>
      <c r="M102" s="33"/>
      <c r="N102" s="33"/>
      <c r="O102" s="25" t="s">
        <v>12</v>
      </c>
      <c r="P102" s="27"/>
      <c r="Q102" s="27"/>
      <c r="R102" s="27"/>
      <c r="S102" s="28"/>
      <c r="T102" s="27"/>
      <c r="U102" s="27"/>
      <c r="V102" s="29" t="s">
        <v>16</v>
      </c>
      <c r="W102" s="30" t="s">
        <v>13</v>
      </c>
      <c r="X102" s="27"/>
      <c r="Y102" s="27"/>
      <c r="Z102" s="28"/>
      <c r="AA102" s="27"/>
      <c r="AB102" s="27"/>
      <c r="AC102" s="29" t="s">
        <v>14</v>
      </c>
      <c r="AD102" s="30" t="s">
        <v>11</v>
      </c>
      <c r="AE102" s="37"/>
      <c r="AF102" s="27"/>
      <c r="AG102" s="28"/>
      <c r="AH102" s="27"/>
      <c r="AI102" s="29" t="s">
        <v>15</v>
      </c>
      <c r="AJ102" s="27"/>
      <c r="AK102" s="27"/>
      <c r="AL102" s="25">
        <v>17</v>
      </c>
      <c r="AM102" s="33"/>
      <c r="AN102" s="33"/>
      <c r="AO102" s="33"/>
      <c r="AP102" s="33"/>
      <c r="AQ102" s="33"/>
      <c r="AR102" s="33"/>
      <c r="AS102" s="25" t="s">
        <v>12</v>
      </c>
      <c r="AT102" s="27"/>
      <c r="AU102" s="27"/>
      <c r="AV102" s="27"/>
      <c r="AW102" s="28"/>
      <c r="AX102" s="27"/>
      <c r="AY102" s="27"/>
      <c r="AZ102" s="29" t="s">
        <v>16</v>
      </c>
      <c r="BA102" s="30" t="s">
        <v>13</v>
      </c>
      <c r="BB102" s="27"/>
      <c r="BC102" s="27"/>
      <c r="BD102" s="28"/>
      <c r="BE102" s="27"/>
      <c r="BF102" s="27"/>
      <c r="BG102" s="32" t="s">
        <v>14</v>
      </c>
      <c r="BH102" s="30" t="s">
        <v>11</v>
      </c>
      <c r="BI102" s="27"/>
      <c r="BJ102" s="27"/>
      <c r="BK102" s="28"/>
      <c r="BL102" s="27"/>
      <c r="BM102" s="29" t="s">
        <v>15</v>
      </c>
      <c r="BN102" s="27"/>
      <c r="BO102" s="27"/>
      <c r="BP102" s="25">
        <v>17</v>
      </c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3"/>
      <c r="CG102" s="33"/>
      <c r="CH102" s="33"/>
      <c r="CI102" s="33"/>
      <c r="CJ102" s="33"/>
      <c r="CK102" s="33"/>
      <c r="CL102" s="33"/>
      <c r="CM102" s="33"/>
      <c r="CN102" s="33"/>
      <c r="CO102" s="33"/>
      <c r="CP102" s="33"/>
    </row>
    <row r="103" spans="1:94" x14ac:dyDescent="0.25">
      <c r="A103" s="25" t="s">
        <v>56</v>
      </c>
      <c r="B103" s="25" t="s">
        <v>255</v>
      </c>
      <c r="C103" s="25" t="s">
        <v>400</v>
      </c>
      <c r="D103" s="25">
        <v>90</v>
      </c>
      <c r="E103" s="35" cm="1">
        <f t="array" ref="E103">IFERROR(INDEX($J$5:$AVX$5, _xlfn.AGGREGATE(15,6, COLUMN(J103:AVX103)-COLUMN(J103)+1 / (J103:AVX103="T"), F103)), "")</f>
        <v>45996</v>
      </c>
      <c r="F103" s="74">
        <f t="shared" si="20"/>
        <v>2</v>
      </c>
      <c r="G103" s="35" cm="1">
        <f t="array" ref="G103">IFERROR(INDEX($J$5:$AVW$5,_xlfn.AGGREGATE(14,6,(COLUMN($J103:$AVW103)-COLUMN($J103)+1)/($J103:$AVW103="T"),1)),"")</f>
        <v>45996</v>
      </c>
      <c r="H103" s="77">
        <f t="shared" si="21"/>
        <v>2</v>
      </c>
      <c r="I103" s="38" t="s">
        <v>10</v>
      </c>
      <c r="J103" s="33"/>
      <c r="K103" s="33"/>
      <c r="L103" s="33"/>
      <c r="M103" s="33"/>
      <c r="N103" s="33"/>
      <c r="O103" s="25" t="s">
        <v>12</v>
      </c>
      <c r="P103" s="27"/>
      <c r="Q103" s="27"/>
      <c r="R103" s="27"/>
      <c r="S103" s="28"/>
      <c r="T103" s="27"/>
      <c r="U103" s="27"/>
      <c r="V103" s="29" t="s">
        <v>16</v>
      </c>
      <c r="W103" s="30" t="s">
        <v>13</v>
      </c>
      <c r="X103" s="27"/>
      <c r="Y103" s="27"/>
      <c r="Z103" s="28"/>
      <c r="AA103" s="27"/>
      <c r="AB103" s="27"/>
      <c r="AC103" s="29" t="s">
        <v>14</v>
      </c>
      <c r="AD103" s="30" t="s">
        <v>11</v>
      </c>
      <c r="AE103" s="37"/>
      <c r="AF103" s="27"/>
      <c r="AG103" s="28"/>
      <c r="AH103" s="27"/>
      <c r="AI103" s="29" t="s">
        <v>15</v>
      </c>
      <c r="AJ103" s="27"/>
      <c r="AK103" s="27"/>
      <c r="AL103" s="25">
        <v>17</v>
      </c>
      <c r="AM103" s="33"/>
      <c r="AN103" s="33"/>
      <c r="AO103" s="33"/>
      <c r="AP103" s="33"/>
      <c r="AQ103" s="33"/>
      <c r="AR103" s="25" t="s">
        <v>12</v>
      </c>
      <c r="AS103" s="27"/>
      <c r="AT103" s="27"/>
      <c r="AU103" s="27"/>
      <c r="AV103" s="28"/>
      <c r="AW103" s="27"/>
      <c r="AX103" s="27"/>
      <c r="AY103" s="29" t="s">
        <v>16</v>
      </c>
      <c r="AZ103" s="30" t="s">
        <v>13</v>
      </c>
      <c r="BA103" s="27"/>
      <c r="BB103" s="27"/>
      <c r="BC103" s="28"/>
      <c r="BD103" s="27"/>
      <c r="BE103" s="27"/>
      <c r="BF103" s="32" t="s">
        <v>14</v>
      </c>
      <c r="BG103" s="30" t="s">
        <v>11</v>
      </c>
      <c r="BH103" s="27"/>
      <c r="BI103" s="27"/>
      <c r="BJ103" s="28"/>
      <c r="BK103" s="27"/>
      <c r="BL103" s="29" t="s">
        <v>15</v>
      </c>
      <c r="BM103" s="27"/>
      <c r="BN103" s="27"/>
      <c r="BO103" s="25">
        <v>17</v>
      </c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3"/>
      <c r="CG103" s="33"/>
      <c r="CH103" s="33"/>
      <c r="CI103" s="33"/>
      <c r="CJ103" s="33"/>
      <c r="CK103" s="33"/>
      <c r="CL103" s="33"/>
      <c r="CM103" s="33"/>
      <c r="CN103" s="33"/>
      <c r="CO103" s="33"/>
      <c r="CP103" s="33"/>
    </row>
    <row r="104" spans="1:94" x14ac:dyDescent="0.25">
      <c r="A104" s="25" t="s">
        <v>56</v>
      </c>
      <c r="B104" s="25" t="s">
        <v>256</v>
      </c>
      <c r="C104" s="25" t="s">
        <v>401</v>
      </c>
      <c r="D104" s="25">
        <v>91</v>
      </c>
      <c r="E104" s="35" cm="1">
        <f t="array" ref="E104">IFERROR(INDEX($J$5:$AVX$5, _xlfn.AGGREGATE(15,6, COLUMN(J104:AVX104)-COLUMN(J104)+1 / (J104:AVX104="T"), F104)), "")</f>
        <v>45996</v>
      </c>
      <c r="F104" s="74">
        <f t="shared" si="20"/>
        <v>2</v>
      </c>
      <c r="G104" s="35" cm="1">
        <f t="array" ref="G104">IFERROR(INDEX($J$5:$AVW$5,_xlfn.AGGREGATE(14,6,(COLUMN($J104:$AVW104)-COLUMN($J104)+1)/($J104:$AVW104="T"),1)),"")</f>
        <v>45996</v>
      </c>
      <c r="H104" s="77">
        <f t="shared" si="21"/>
        <v>2</v>
      </c>
      <c r="I104" s="38" t="s">
        <v>10</v>
      </c>
      <c r="J104" s="33"/>
      <c r="K104" s="33"/>
      <c r="L104" s="33"/>
      <c r="M104" s="33"/>
      <c r="N104" s="33"/>
      <c r="O104" s="25" t="s">
        <v>12</v>
      </c>
      <c r="P104" s="27"/>
      <c r="Q104" s="27"/>
      <c r="R104" s="27"/>
      <c r="S104" s="28"/>
      <c r="T104" s="27"/>
      <c r="U104" s="27"/>
      <c r="V104" s="29" t="s">
        <v>16</v>
      </c>
      <c r="W104" s="30" t="s">
        <v>13</v>
      </c>
      <c r="X104" s="27"/>
      <c r="Y104" s="27"/>
      <c r="Z104" s="28"/>
      <c r="AA104" s="27"/>
      <c r="AB104" s="27"/>
      <c r="AC104" s="29" t="s">
        <v>14</v>
      </c>
      <c r="AD104" s="30" t="s">
        <v>11</v>
      </c>
      <c r="AE104" s="37"/>
      <c r="AF104" s="27"/>
      <c r="AG104" s="28"/>
      <c r="AH104" s="27"/>
      <c r="AI104" s="29" t="s">
        <v>15</v>
      </c>
      <c r="AJ104" s="27"/>
      <c r="AK104" s="27"/>
      <c r="AL104" s="25">
        <v>17</v>
      </c>
      <c r="AM104" s="33"/>
      <c r="AN104" s="33"/>
      <c r="AO104" s="33"/>
      <c r="AP104" s="33"/>
      <c r="AQ104" s="33"/>
      <c r="AR104" s="25" t="s">
        <v>12</v>
      </c>
      <c r="AS104" s="27"/>
      <c r="AT104" s="27"/>
      <c r="AU104" s="27"/>
      <c r="AV104" s="28"/>
      <c r="AW104" s="27"/>
      <c r="AX104" s="27"/>
      <c r="AY104" s="29" t="s">
        <v>16</v>
      </c>
      <c r="AZ104" s="30" t="s">
        <v>13</v>
      </c>
      <c r="BA104" s="27"/>
      <c r="BB104" s="27"/>
      <c r="BC104" s="28"/>
      <c r="BD104" s="27"/>
      <c r="BE104" s="27"/>
      <c r="BF104" s="32" t="s">
        <v>14</v>
      </c>
      <c r="BG104" s="30" t="s">
        <v>11</v>
      </c>
      <c r="BH104" s="27"/>
      <c r="BI104" s="27"/>
      <c r="BJ104" s="28"/>
      <c r="BK104" s="27"/>
      <c r="BL104" s="29" t="s">
        <v>15</v>
      </c>
      <c r="BM104" s="27"/>
      <c r="BN104" s="27"/>
      <c r="BO104" s="25">
        <v>17</v>
      </c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3"/>
      <c r="CG104" s="33"/>
      <c r="CH104" s="33"/>
      <c r="CI104" s="33"/>
      <c r="CJ104" s="33"/>
      <c r="CK104" s="33"/>
      <c r="CL104" s="33"/>
      <c r="CM104" s="33"/>
      <c r="CN104" s="33"/>
      <c r="CO104" s="33"/>
      <c r="CP104" s="33"/>
    </row>
    <row r="105" spans="1:94" x14ac:dyDescent="0.25">
      <c r="A105" s="25" t="s">
        <v>56</v>
      </c>
      <c r="B105" s="25" t="s">
        <v>257</v>
      </c>
      <c r="C105" s="25" t="s">
        <v>402</v>
      </c>
      <c r="D105" s="25">
        <v>92</v>
      </c>
      <c r="E105" s="35" cm="1">
        <f t="array" ref="E105">IFERROR(INDEX($J$5:$AVX$5, _xlfn.AGGREGATE(15,6, COLUMN(J105:AVX105)-COLUMN(J105)+1 / (J105:AVX105="T"), F105)), "")</f>
        <v>45997</v>
      </c>
      <c r="F105" s="74">
        <f t="shared" si="20"/>
        <v>2</v>
      </c>
      <c r="G105" s="35" cm="1">
        <f t="array" ref="G105">IFERROR(INDEX($J$5:$AVW$5,_xlfn.AGGREGATE(14,6,(COLUMN($J105:$AVW105)-COLUMN($J105)+1)/($J105:$AVW105="T"),1)),"")</f>
        <v>45997</v>
      </c>
      <c r="H105" s="77">
        <f t="shared" si="21"/>
        <v>2</v>
      </c>
      <c r="I105" s="38" t="s">
        <v>10</v>
      </c>
      <c r="J105" s="33"/>
      <c r="K105" s="33"/>
      <c r="L105" s="33"/>
      <c r="M105" s="33"/>
      <c r="N105" s="33"/>
      <c r="O105" s="25" t="s">
        <v>12</v>
      </c>
      <c r="P105" s="27"/>
      <c r="Q105" s="27"/>
      <c r="R105" s="27"/>
      <c r="S105" s="28"/>
      <c r="T105" s="27"/>
      <c r="U105" s="27"/>
      <c r="V105" s="29" t="s">
        <v>16</v>
      </c>
      <c r="W105" s="30" t="s">
        <v>13</v>
      </c>
      <c r="X105" s="27"/>
      <c r="Y105" s="27"/>
      <c r="Z105" s="28"/>
      <c r="AA105" s="27"/>
      <c r="AB105" s="27"/>
      <c r="AC105" s="29" t="s">
        <v>14</v>
      </c>
      <c r="AD105" s="30" t="s">
        <v>11</v>
      </c>
      <c r="AE105" s="37"/>
      <c r="AF105" s="27"/>
      <c r="AG105" s="28"/>
      <c r="AH105" s="27"/>
      <c r="AI105" s="29" t="s">
        <v>15</v>
      </c>
      <c r="AJ105" s="27"/>
      <c r="AK105" s="27"/>
      <c r="AL105" s="25">
        <v>17</v>
      </c>
      <c r="AM105" s="33"/>
      <c r="AN105" s="33"/>
      <c r="AO105" s="33"/>
      <c r="AP105" s="33"/>
      <c r="AQ105" s="33"/>
      <c r="AR105" s="33"/>
      <c r="AS105" s="25" t="s">
        <v>12</v>
      </c>
      <c r="AT105" s="27"/>
      <c r="AU105" s="27"/>
      <c r="AV105" s="27"/>
      <c r="AW105" s="28"/>
      <c r="AX105" s="27"/>
      <c r="AY105" s="27"/>
      <c r="AZ105" s="29" t="s">
        <v>16</v>
      </c>
      <c r="BA105" s="30" t="s">
        <v>13</v>
      </c>
      <c r="BB105" s="27"/>
      <c r="BC105" s="27"/>
      <c r="BD105" s="28"/>
      <c r="BE105" s="27"/>
      <c r="BF105" s="27"/>
      <c r="BG105" s="32" t="s">
        <v>14</v>
      </c>
      <c r="BH105" s="30" t="s">
        <v>11</v>
      </c>
      <c r="BI105" s="27"/>
      <c r="BJ105" s="27"/>
      <c r="BK105" s="28"/>
      <c r="BL105" s="27"/>
      <c r="BM105" s="29" t="s">
        <v>15</v>
      </c>
      <c r="BN105" s="27"/>
      <c r="BO105" s="27"/>
      <c r="BP105" s="25">
        <v>17</v>
      </c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  <c r="CF105" s="33"/>
      <c r="CG105" s="33"/>
      <c r="CH105" s="33"/>
      <c r="CI105" s="33"/>
      <c r="CJ105" s="33"/>
      <c r="CK105" s="33"/>
      <c r="CL105" s="33"/>
      <c r="CM105" s="33"/>
      <c r="CN105" s="33"/>
      <c r="CO105" s="33"/>
      <c r="CP105" s="33"/>
    </row>
    <row r="106" spans="1:94" x14ac:dyDescent="0.25">
      <c r="A106" s="25" t="s">
        <v>56</v>
      </c>
      <c r="B106" s="25" t="s">
        <v>258</v>
      </c>
      <c r="C106" s="25" t="s">
        <v>403</v>
      </c>
      <c r="D106" s="25">
        <v>93</v>
      </c>
      <c r="E106" s="35" cm="1">
        <f t="array" ref="E106">IFERROR(INDEX($J$5:$AVX$5, _xlfn.AGGREGATE(15,6, COLUMN(J106:AVX106)-COLUMN(J106)+1 / (J106:AVX106="T"), F106)), "")</f>
        <v>45995</v>
      </c>
      <c r="F106" s="74">
        <f t="shared" si="20"/>
        <v>2</v>
      </c>
      <c r="G106" s="35" cm="1">
        <f t="array" ref="G106">IFERROR(INDEX($J$5:$AVW$5,_xlfn.AGGREGATE(14,6,(COLUMN($J106:$AVW106)-COLUMN($J106)+1)/($J106:$AVW106="T"),1)),"")</f>
        <v>45995</v>
      </c>
      <c r="H106" s="77">
        <f t="shared" si="21"/>
        <v>2</v>
      </c>
      <c r="I106" s="38" t="s">
        <v>10</v>
      </c>
      <c r="J106" s="33"/>
      <c r="K106" s="33"/>
      <c r="L106" s="25" t="s">
        <v>12</v>
      </c>
      <c r="M106" s="27"/>
      <c r="N106" s="27"/>
      <c r="O106" s="27"/>
      <c r="P106" s="28"/>
      <c r="Q106" s="27"/>
      <c r="R106" s="27"/>
      <c r="S106" s="29" t="s">
        <v>16</v>
      </c>
      <c r="T106" s="30" t="s">
        <v>13</v>
      </c>
      <c r="U106" s="27"/>
      <c r="V106" s="27"/>
      <c r="W106" s="28"/>
      <c r="X106" s="27"/>
      <c r="Y106" s="27"/>
      <c r="Z106" s="32" t="s">
        <v>14</v>
      </c>
      <c r="AA106" s="30" t="s">
        <v>11</v>
      </c>
      <c r="AB106" s="27"/>
      <c r="AC106" s="27"/>
      <c r="AD106" s="28"/>
      <c r="AE106" s="27"/>
      <c r="AF106" s="29" t="s">
        <v>15</v>
      </c>
      <c r="AG106" s="27"/>
      <c r="AH106" s="27"/>
      <c r="AI106" s="25">
        <v>17</v>
      </c>
      <c r="AJ106" s="33"/>
      <c r="AK106" s="33"/>
      <c r="AL106" s="33"/>
      <c r="AM106" s="33"/>
      <c r="AN106" s="33"/>
      <c r="AO106" s="33"/>
      <c r="AP106" s="33"/>
      <c r="AQ106" s="25" t="s">
        <v>12</v>
      </c>
      <c r="AR106" s="27"/>
      <c r="AS106" s="27"/>
      <c r="AT106" s="27"/>
      <c r="AU106" s="28"/>
      <c r="AV106" s="27"/>
      <c r="AW106" s="27"/>
      <c r="AX106" s="29" t="s">
        <v>16</v>
      </c>
      <c r="AY106" s="30" t="s">
        <v>13</v>
      </c>
      <c r="AZ106" s="27"/>
      <c r="BA106" s="27"/>
      <c r="BB106" s="28"/>
      <c r="BC106" s="27"/>
      <c r="BD106" s="27"/>
      <c r="BE106" s="32" t="s">
        <v>14</v>
      </c>
      <c r="BF106" s="30" t="s">
        <v>11</v>
      </c>
      <c r="BG106" s="27"/>
      <c r="BH106" s="27"/>
      <c r="BI106" s="28"/>
      <c r="BJ106" s="27"/>
      <c r="BK106" s="29" t="s">
        <v>15</v>
      </c>
      <c r="BL106" s="27"/>
      <c r="BM106" s="27"/>
      <c r="BN106" s="25">
        <v>17</v>
      </c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3"/>
      <c r="CG106" s="33"/>
      <c r="CH106" s="33"/>
      <c r="CI106" s="33"/>
      <c r="CJ106" s="33"/>
      <c r="CK106" s="33"/>
      <c r="CL106" s="33"/>
      <c r="CM106" s="33"/>
      <c r="CN106" s="33"/>
      <c r="CO106" s="33"/>
      <c r="CP106" s="33"/>
    </row>
    <row r="107" spans="1:94" s="48" customFormat="1" x14ac:dyDescent="0.25">
      <c r="A107" s="25" t="s">
        <v>56</v>
      </c>
      <c r="B107" s="25" t="s">
        <v>259</v>
      </c>
      <c r="C107" s="25" t="s">
        <v>404</v>
      </c>
      <c r="D107" s="25">
        <v>94</v>
      </c>
      <c r="E107" s="35" cm="1">
        <f t="array" ref="E107">IFERROR(INDEX($J$5:$AVX$5, _xlfn.AGGREGATE(15,6, COLUMN(J107:AVX107)-COLUMN(J107)+1 / (J107:AVX107="T"), F107)), "")</f>
        <v>45994</v>
      </c>
      <c r="F107" s="74">
        <f t="shared" si="20"/>
        <v>2</v>
      </c>
      <c r="G107" s="35" cm="1">
        <f t="array" ref="G107">IFERROR(INDEX($J$5:$AVW$5,_xlfn.AGGREGATE(14,6,(COLUMN($J107:$AVW107)-COLUMN($J107)+1)/($J107:$AVW107="T"),1)),"")</f>
        <v>45994</v>
      </c>
      <c r="H107" s="77">
        <f t="shared" si="21"/>
        <v>2</v>
      </c>
      <c r="I107" s="38" t="s">
        <v>10</v>
      </c>
      <c r="J107" s="33"/>
      <c r="K107" s="33"/>
      <c r="L107" s="25" t="s">
        <v>12</v>
      </c>
      <c r="M107" s="27"/>
      <c r="N107" s="27"/>
      <c r="O107" s="27"/>
      <c r="P107" s="28"/>
      <c r="Q107" s="27"/>
      <c r="R107" s="27"/>
      <c r="S107" s="29" t="s">
        <v>16</v>
      </c>
      <c r="T107" s="30" t="s">
        <v>13</v>
      </c>
      <c r="U107" s="27"/>
      <c r="V107" s="27"/>
      <c r="W107" s="28"/>
      <c r="X107" s="27"/>
      <c r="Y107" s="27"/>
      <c r="Z107" s="29" t="s">
        <v>14</v>
      </c>
      <c r="AA107" s="30" t="s">
        <v>11</v>
      </c>
      <c r="AB107" s="37"/>
      <c r="AC107" s="27"/>
      <c r="AD107" s="28"/>
      <c r="AE107" s="27"/>
      <c r="AF107" s="29" t="s">
        <v>15</v>
      </c>
      <c r="AG107" s="27"/>
      <c r="AH107" s="27"/>
      <c r="AI107" s="25">
        <v>17</v>
      </c>
      <c r="AJ107" s="33"/>
      <c r="AK107" s="33"/>
      <c r="AL107" s="33"/>
      <c r="AM107" s="33"/>
      <c r="AN107" s="33"/>
      <c r="AO107" s="33"/>
      <c r="AP107" s="25" t="s">
        <v>12</v>
      </c>
      <c r="AQ107" s="27"/>
      <c r="AR107" s="27"/>
      <c r="AS107" s="27"/>
      <c r="AT107" s="28"/>
      <c r="AU107" s="27"/>
      <c r="AV107" s="27"/>
      <c r="AW107" s="29" t="s">
        <v>16</v>
      </c>
      <c r="AX107" s="30" t="s">
        <v>13</v>
      </c>
      <c r="AY107" s="27"/>
      <c r="AZ107" s="27"/>
      <c r="BA107" s="28"/>
      <c r="BB107" s="27"/>
      <c r="BC107" s="27"/>
      <c r="BD107" s="32" t="s">
        <v>14</v>
      </c>
      <c r="BE107" s="30" t="s">
        <v>11</v>
      </c>
      <c r="BF107" s="27"/>
      <c r="BG107" s="27"/>
      <c r="BH107" s="28"/>
      <c r="BI107" s="27"/>
      <c r="BJ107" s="29" t="s">
        <v>15</v>
      </c>
      <c r="BK107" s="27"/>
      <c r="BL107" s="27"/>
      <c r="BM107" s="25">
        <v>17</v>
      </c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  <c r="CI107" s="33"/>
      <c r="CJ107" s="33"/>
      <c r="CK107" s="33"/>
      <c r="CL107" s="33"/>
      <c r="CM107" s="33"/>
      <c r="CN107" s="33"/>
      <c r="CO107" s="33"/>
      <c r="CP107" s="33"/>
    </row>
    <row r="108" spans="1:94" s="48" customFormat="1" x14ac:dyDescent="0.25">
      <c r="A108" s="25" t="s">
        <v>56</v>
      </c>
      <c r="B108" s="25" t="s">
        <v>260</v>
      </c>
      <c r="C108" s="25" t="s">
        <v>405</v>
      </c>
      <c r="D108" s="25">
        <v>95</v>
      </c>
      <c r="E108" s="35" cm="1">
        <f t="array" ref="E108">IFERROR(INDEX($J$5:$AVX$5, _xlfn.AGGREGATE(15,6, COLUMN(J108:AVX108)-COLUMN(J108)+1 / (J108:AVX108="T"), F108)), "")</f>
        <v>45994</v>
      </c>
      <c r="F108" s="74">
        <f t="shared" si="20"/>
        <v>2</v>
      </c>
      <c r="G108" s="35" cm="1">
        <f t="array" ref="G108">IFERROR(INDEX($J$5:$AVW$5,_xlfn.AGGREGATE(14,6,(COLUMN($J108:$AVW108)-COLUMN($J108)+1)/($J108:$AVW108="T"),1)),"")</f>
        <v>45994</v>
      </c>
      <c r="H108" s="77">
        <f t="shared" si="21"/>
        <v>2</v>
      </c>
      <c r="I108" s="38" t="s">
        <v>10</v>
      </c>
      <c r="J108" s="33"/>
      <c r="K108" s="33"/>
      <c r="L108" s="25" t="s">
        <v>12</v>
      </c>
      <c r="M108" s="27"/>
      <c r="N108" s="27"/>
      <c r="O108" s="27"/>
      <c r="P108" s="28"/>
      <c r="Q108" s="27"/>
      <c r="R108" s="27"/>
      <c r="S108" s="29" t="s">
        <v>16</v>
      </c>
      <c r="T108" s="30" t="s">
        <v>13</v>
      </c>
      <c r="U108" s="27"/>
      <c r="V108" s="27"/>
      <c r="W108" s="28"/>
      <c r="X108" s="27"/>
      <c r="Y108" s="27"/>
      <c r="Z108" s="29" t="s">
        <v>14</v>
      </c>
      <c r="AA108" s="30" t="s">
        <v>11</v>
      </c>
      <c r="AB108" s="37"/>
      <c r="AC108" s="27"/>
      <c r="AD108" s="28"/>
      <c r="AE108" s="27"/>
      <c r="AF108" s="29" t="s">
        <v>15</v>
      </c>
      <c r="AG108" s="27"/>
      <c r="AH108" s="27"/>
      <c r="AI108" s="25">
        <v>17</v>
      </c>
      <c r="AJ108" s="33"/>
      <c r="AK108" s="33"/>
      <c r="AL108" s="33"/>
      <c r="AM108" s="33"/>
      <c r="AN108" s="33"/>
      <c r="AO108" s="33"/>
      <c r="AP108" s="25" t="s">
        <v>12</v>
      </c>
      <c r="AQ108" s="27"/>
      <c r="AR108" s="27"/>
      <c r="AS108" s="27"/>
      <c r="AT108" s="28"/>
      <c r="AU108" s="27"/>
      <c r="AV108" s="27"/>
      <c r="AW108" s="29" t="s">
        <v>16</v>
      </c>
      <c r="AX108" s="30" t="s">
        <v>13</v>
      </c>
      <c r="AY108" s="27"/>
      <c r="AZ108" s="27"/>
      <c r="BA108" s="28"/>
      <c r="BB108" s="27"/>
      <c r="BC108" s="27"/>
      <c r="BD108" s="32" t="s">
        <v>14</v>
      </c>
      <c r="BE108" s="30" t="s">
        <v>11</v>
      </c>
      <c r="BF108" s="27"/>
      <c r="BG108" s="27"/>
      <c r="BH108" s="28"/>
      <c r="BI108" s="27"/>
      <c r="BJ108" s="29" t="s">
        <v>15</v>
      </c>
      <c r="BK108" s="27"/>
      <c r="BL108" s="27"/>
      <c r="BM108" s="25">
        <v>17</v>
      </c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3"/>
      <c r="CG108" s="33"/>
      <c r="CH108" s="33"/>
      <c r="CI108" s="33"/>
      <c r="CJ108" s="33"/>
      <c r="CK108" s="33"/>
      <c r="CL108" s="33"/>
      <c r="CM108" s="33"/>
      <c r="CN108" s="33"/>
      <c r="CO108" s="33"/>
      <c r="CP108" s="33"/>
    </row>
    <row r="109" spans="1:94" s="48" customFormat="1" ht="15" customHeight="1" x14ac:dyDescent="0.25">
      <c r="A109" s="25" t="s">
        <v>56</v>
      </c>
      <c r="B109" s="25" t="s">
        <v>261</v>
      </c>
      <c r="C109" s="25" t="s">
        <v>406</v>
      </c>
      <c r="D109" s="25">
        <v>96</v>
      </c>
      <c r="E109" s="35" cm="1">
        <f t="array" ref="E109">IFERROR(INDEX($J$5:$AVX$5, _xlfn.AGGREGATE(15,6, COLUMN(J109:AVX109)-COLUMN(J109)+1 / (J109:AVX109="T"), F109)), "")</f>
        <v>45994</v>
      </c>
      <c r="F109" s="74">
        <f t="shared" si="20"/>
        <v>2</v>
      </c>
      <c r="G109" s="35" cm="1">
        <f t="array" ref="G109">IFERROR(INDEX($J$5:$AVW$5,_xlfn.AGGREGATE(14,6,(COLUMN($J109:$AVW109)-COLUMN($J109)+1)/($J109:$AVW109="T"),1)),"")</f>
        <v>45994</v>
      </c>
      <c r="H109" s="77">
        <f t="shared" si="21"/>
        <v>2</v>
      </c>
      <c r="I109" s="38" t="s">
        <v>10</v>
      </c>
      <c r="J109" s="33"/>
      <c r="K109" s="33"/>
      <c r="L109" s="25" t="s">
        <v>12</v>
      </c>
      <c r="M109" s="27"/>
      <c r="N109" s="27"/>
      <c r="O109" s="27"/>
      <c r="P109" s="28"/>
      <c r="Q109" s="27"/>
      <c r="R109" s="27"/>
      <c r="S109" s="29" t="s">
        <v>16</v>
      </c>
      <c r="T109" s="30" t="s">
        <v>13</v>
      </c>
      <c r="U109" s="27"/>
      <c r="V109" s="27"/>
      <c r="W109" s="28"/>
      <c r="X109" s="27"/>
      <c r="Y109" s="27"/>
      <c r="Z109" s="29" t="s">
        <v>14</v>
      </c>
      <c r="AA109" s="30" t="s">
        <v>11</v>
      </c>
      <c r="AB109" s="37"/>
      <c r="AC109" s="27"/>
      <c r="AD109" s="28"/>
      <c r="AE109" s="27"/>
      <c r="AF109" s="29" t="s">
        <v>15</v>
      </c>
      <c r="AG109" s="27"/>
      <c r="AH109" s="27"/>
      <c r="AI109" s="25">
        <v>17</v>
      </c>
      <c r="AJ109" s="33"/>
      <c r="AK109" s="33"/>
      <c r="AL109" s="33"/>
      <c r="AM109" s="33"/>
      <c r="AN109" s="33"/>
      <c r="AO109" s="33"/>
      <c r="AP109" s="25" t="s">
        <v>12</v>
      </c>
      <c r="AQ109" s="27"/>
      <c r="AR109" s="27"/>
      <c r="AS109" s="27"/>
      <c r="AT109" s="28"/>
      <c r="AU109" s="27"/>
      <c r="AV109" s="27"/>
      <c r="AW109" s="29" t="s">
        <v>16</v>
      </c>
      <c r="AX109" s="30" t="s">
        <v>13</v>
      </c>
      <c r="AY109" s="27"/>
      <c r="AZ109" s="27"/>
      <c r="BA109" s="28"/>
      <c r="BB109" s="27"/>
      <c r="BC109" s="27"/>
      <c r="BD109" s="32" t="s">
        <v>14</v>
      </c>
      <c r="BE109" s="30" t="s">
        <v>11</v>
      </c>
      <c r="BF109" s="27"/>
      <c r="BG109" s="27"/>
      <c r="BH109" s="28"/>
      <c r="BI109" s="27"/>
      <c r="BJ109" s="29" t="s">
        <v>15</v>
      </c>
      <c r="BK109" s="27"/>
      <c r="BL109" s="27"/>
      <c r="BM109" s="25">
        <v>17</v>
      </c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3"/>
      <c r="CH109" s="33"/>
      <c r="CI109" s="33"/>
      <c r="CJ109" s="33"/>
      <c r="CK109" s="33"/>
      <c r="CL109" s="33"/>
      <c r="CM109" s="33"/>
      <c r="CN109" s="33"/>
      <c r="CO109" s="33"/>
      <c r="CP109" s="33"/>
    </row>
    <row r="110" spans="1:94" x14ac:dyDescent="0.25">
      <c r="A110" s="25" t="s">
        <v>56</v>
      </c>
      <c r="B110" s="25" t="s">
        <v>262</v>
      </c>
      <c r="C110" s="25" t="s">
        <v>407</v>
      </c>
      <c r="D110" s="25">
        <v>97</v>
      </c>
      <c r="E110" s="35" cm="1">
        <f t="array" ref="E110">IFERROR(INDEX($J$5:$AVX$5, _xlfn.AGGREGATE(15,6, COLUMN(J110:AVX110)-COLUMN(J110)+1 / (J110:AVX110="T"), F110)), "")</f>
        <v>45994</v>
      </c>
      <c r="F110" s="74">
        <f t="shared" si="20"/>
        <v>2</v>
      </c>
      <c r="G110" s="35" cm="1">
        <f t="array" ref="G110">IFERROR(INDEX($J$5:$AVW$5,_xlfn.AGGREGATE(14,6,(COLUMN($J110:$AVW110)-COLUMN($J110)+1)/($J110:$AVW110="T"),1)),"")</f>
        <v>45994</v>
      </c>
      <c r="H110" s="77">
        <f t="shared" si="21"/>
        <v>2</v>
      </c>
      <c r="I110" s="38" t="s">
        <v>10</v>
      </c>
      <c r="J110" s="33"/>
      <c r="K110" s="33"/>
      <c r="L110" s="25" t="s">
        <v>12</v>
      </c>
      <c r="M110" s="27"/>
      <c r="N110" s="27"/>
      <c r="O110" s="27"/>
      <c r="P110" s="28"/>
      <c r="Q110" s="27"/>
      <c r="R110" s="27"/>
      <c r="S110" s="29" t="s">
        <v>16</v>
      </c>
      <c r="T110" s="30" t="s">
        <v>13</v>
      </c>
      <c r="U110" s="27"/>
      <c r="V110" s="27"/>
      <c r="W110" s="28"/>
      <c r="X110" s="27"/>
      <c r="Y110" s="27"/>
      <c r="Z110" s="29" t="s">
        <v>14</v>
      </c>
      <c r="AA110" s="30" t="s">
        <v>11</v>
      </c>
      <c r="AB110" s="37"/>
      <c r="AC110" s="27"/>
      <c r="AD110" s="28"/>
      <c r="AE110" s="27"/>
      <c r="AF110" s="29" t="s">
        <v>15</v>
      </c>
      <c r="AG110" s="27"/>
      <c r="AH110" s="27"/>
      <c r="AI110" s="25">
        <v>17</v>
      </c>
      <c r="AJ110" s="33"/>
      <c r="AK110" s="33"/>
      <c r="AL110" s="33"/>
      <c r="AM110" s="33"/>
      <c r="AN110" s="33"/>
      <c r="AO110" s="33"/>
      <c r="AP110" s="25" t="s">
        <v>12</v>
      </c>
      <c r="AQ110" s="27"/>
      <c r="AR110" s="27"/>
      <c r="AS110" s="27"/>
      <c r="AT110" s="28"/>
      <c r="AU110" s="27"/>
      <c r="AV110" s="27"/>
      <c r="AW110" s="29" t="s">
        <v>16</v>
      </c>
      <c r="AX110" s="30" t="s">
        <v>13</v>
      </c>
      <c r="AY110" s="27"/>
      <c r="AZ110" s="27"/>
      <c r="BA110" s="28"/>
      <c r="BB110" s="27"/>
      <c r="BC110" s="27"/>
      <c r="BD110" s="32" t="s">
        <v>14</v>
      </c>
      <c r="BE110" s="30" t="s">
        <v>11</v>
      </c>
      <c r="BF110" s="27"/>
      <c r="BG110" s="27"/>
      <c r="BH110" s="28"/>
      <c r="BI110" s="27"/>
      <c r="BJ110" s="29" t="s">
        <v>15</v>
      </c>
      <c r="BK110" s="27"/>
      <c r="BL110" s="27"/>
      <c r="BM110" s="25">
        <v>17</v>
      </c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  <c r="CF110" s="33"/>
      <c r="CG110" s="33"/>
      <c r="CH110" s="33"/>
      <c r="CI110" s="33"/>
      <c r="CJ110" s="33"/>
      <c r="CK110" s="33"/>
      <c r="CL110" s="33"/>
      <c r="CM110" s="33"/>
      <c r="CN110" s="33"/>
      <c r="CO110" s="33"/>
      <c r="CP110" s="33"/>
    </row>
    <row r="111" spans="1:94" x14ac:dyDescent="0.25">
      <c r="A111" s="25" t="s">
        <v>56</v>
      </c>
      <c r="B111" s="25" t="s">
        <v>263</v>
      </c>
      <c r="C111" s="25" t="s">
        <v>408</v>
      </c>
      <c r="D111" s="25">
        <v>98</v>
      </c>
      <c r="E111" s="35" cm="1">
        <f t="array" ref="E111">IFERROR(INDEX($J$5:$AVX$5, _xlfn.AGGREGATE(15,6, COLUMN(J111:AVX111)-COLUMN(J111)+1 / (J111:AVX111="T"), F111)), "")</f>
        <v>45994</v>
      </c>
      <c r="F111" s="74">
        <f t="shared" si="20"/>
        <v>2</v>
      </c>
      <c r="G111" s="35" cm="1">
        <f t="array" ref="G111">IFERROR(INDEX($J$5:$AVW$5,_xlfn.AGGREGATE(14,6,(COLUMN($J111:$AVW111)-COLUMN($J111)+1)/($J111:$AVW111="T"),1)),"")</f>
        <v>45994</v>
      </c>
      <c r="H111" s="77">
        <f t="shared" si="21"/>
        <v>2</v>
      </c>
      <c r="I111" s="38" t="s">
        <v>10</v>
      </c>
      <c r="J111" s="33"/>
      <c r="K111" s="33"/>
      <c r="L111" s="25" t="s">
        <v>12</v>
      </c>
      <c r="M111" s="27"/>
      <c r="N111" s="27"/>
      <c r="O111" s="27"/>
      <c r="P111" s="28"/>
      <c r="Q111" s="27"/>
      <c r="R111" s="27"/>
      <c r="S111" s="29" t="s">
        <v>16</v>
      </c>
      <c r="T111" s="30" t="s">
        <v>13</v>
      </c>
      <c r="U111" s="27"/>
      <c r="V111" s="27"/>
      <c r="W111" s="28"/>
      <c r="X111" s="27"/>
      <c r="Y111" s="27"/>
      <c r="Z111" s="29" t="s">
        <v>14</v>
      </c>
      <c r="AA111" s="30" t="s">
        <v>11</v>
      </c>
      <c r="AB111" s="37"/>
      <c r="AC111" s="27"/>
      <c r="AD111" s="28"/>
      <c r="AE111" s="27"/>
      <c r="AF111" s="29" t="s">
        <v>15</v>
      </c>
      <c r="AG111" s="27"/>
      <c r="AH111" s="27"/>
      <c r="AI111" s="25">
        <v>17</v>
      </c>
      <c r="AJ111" s="33"/>
      <c r="AK111" s="33"/>
      <c r="AL111" s="33"/>
      <c r="AM111" s="33"/>
      <c r="AN111" s="33"/>
      <c r="AO111" s="33"/>
      <c r="AP111" s="25" t="s">
        <v>12</v>
      </c>
      <c r="AQ111" s="27"/>
      <c r="AR111" s="27"/>
      <c r="AS111" s="27"/>
      <c r="AT111" s="28"/>
      <c r="AU111" s="27"/>
      <c r="AV111" s="27"/>
      <c r="AW111" s="29" t="s">
        <v>16</v>
      </c>
      <c r="AX111" s="30" t="s">
        <v>13</v>
      </c>
      <c r="AY111" s="27"/>
      <c r="AZ111" s="27"/>
      <c r="BA111" s="28"/>
      <c r="BB111" s="27"/>
      <c r="BC111" s="27"/>
      <c r="BD111" s="32" t="s">
        <v>14</v>
      </c>
      <c r="BE111" s="30" t="s">
        <v>11</v>
      </c>
      <c r="BF111" s="27"/>
      <c r="BG111" s="27"/>
      <c r="BH111" s="28"/>
      <c r="BI111" s="27"/>
      <c r="BJ111" s="29" t="s">
        <v>15</v>
      </c>
      <c r="BK111" s="27"/>
      <c r="BL111" s="27"/>
      <c r="BM111" s="25">
        <v>17</v>
      </c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3"/>
      <c r="CH111" s="33"/>
      <c r="CI111" s="33"/>
      <c r="CJ111" s="33"/>
      <c r="CK111" s="33"/>
      <c r="CL111" s="33"/>
      <c r="CM111" s="33"/>
      <c r="CN111" s="33"/>
      <c r="CO111" s="33"/>
      <c r="CP111" s="33"/>
    </row>
    <row r="112" spans="1:94" s="48" customFormat="1" x14ac:dyDescent="0.25">
      <c r="A112" s="25" t="s">
        <v>56</v>
      </c>
      <c r="B112" s="25" t="s">
        <v>264</v>
      </c>
      <c r="C112" s="25" t="s">
        <v>409</v>
      </c>
      <c r="D112" s="25">
        <v>99</v>
      </c>
      <c r="E112" s="35" cm="1">
        <f t="array" ref="E112">IFERROR(INDEX($J$5:$AVX$5, _xlfn.AGGREGATE(15,6, COLUMN(J112:AVX112)-COLUMN(J112)+1 / (J112:AVX112="T"), F112)), "")</f>
        <v>45994</v>
      </c>
      <c r="F112" s="74">
        <f t="shared" si="20"/>
        <v>2</v>
      </c>
      <c r="G112" s="35" cm="1">
        <f t="array" ref="G112">IFERROR(INDEX($J$5:$AVW$5,_xlfn.AGGREGATE(14,6,(COLUMN($J112:$AVW112)-COLUMN($J112)+1)/($J112:$AVW112="T"),1)),"")</f>
        <v>45994</v>
      </c>
      <c r="H112" s="77">
        <f t="shared" si="21"/>
        <v>2</v>
      </c>
      <c r="I112" s="38" t="s">
        <v>10</v>
      </c>
      <c r="J112" s="33"/>
      <c r="K112" s="33"/>
      <c r="L112" s="25" t="s">
        <v>12</v>
      </c>
      <c r="M112" s="27"/>
      <c r="N112" s="27"/>
      <c r="O112" s="27"/>
      <c r="P112" s="28"/>
      <c r="Q112" s="27"/>
      <c r="R112" s="27"/>
      <c r="S112" s="29" t="s">
        <v>16</v>
      </c>
      <c r="T112" s="30" t="s">
        <v>13</v>
      </c>
      <c r="U112" s="27"/>
      <c r="V112" s="27"/>
      <c r="W112" s="28"/>
      <c r="X112" s="27"/>
      <c r="Y112" s="27"/>
      <c r="Z112" s="29" t="s">
        <v>14</v>
      </c>
      <c r="AA112" s="30" t="s">
        <v>11</v>
      </c>
      <c r="AB112" s="37"/>
      <c r="AC112" s="27"/>
      <c r="AD112" s="28"/>
      <c r="AE112" s="27"/>
      <c r="AF112" s="29" t="s">
        <v>15</v>
      </c>
      <c r="AG112" s="27"/>
      <c r="AH112" s="27"/>
      <c r="AI112" s="25">
        <v>17</v>
      </c>
      <c r="AJ112" s="33"/>
      <c r="AK112" s="33"/>
      <c r="AL112" s="33"/>
      <c r="AM112" s="33"/>
      <c r="AN112" s="33"/>
      <c r="AO112" s="33"/>
      <c r="AP112" s="25" t="s">
        <v>12</v>
      </c>
      <c r="AQ112" s="27"/>
      <c r="AR112" s="27"/>
      <c r="AS112" s="27"/>
      <c r="AT112" s="28"/>
      <c r="AU112" s="27"/>
      <c r="AV112" s="27"/>
      <c r="AW112" s="29" t="s">
        <v>16</v>
      </c>
      <c r="AX112" s="30" t="s">
        <v>13</v>
      </c>
      <c r="AY112" s="27"/>
      <c r="AZ112" s="27"/>
      <c r="BA112" s="28"/>
      <c r="BB112" s="27"/>
      <c r="BC112" s="27"/>
      <c r="BD112" s="32" t="s">
        <v>14</v>
      </c>
      <c r="BE112" s="30" t="s">
        <v>11</v>
      </c>
      <c r="BF112" s="27"/>
      <c r="BG112" s="27"/>
      <c r="BH112" s="28"/>
      <c r="BI112" s="27"/>
      <c r="BJ112" s="29" t="s">
        <v>15</v>
      </c>
      <c r="BK112" s="27"/>
      <c r="BL112" s="27"/>
      <c r="BM112" s="25">
        <v>17</v>
      </c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3"/>
      <c r="CG112" s="33"/>
      <c r="CH112" s="33"/>
      <c r="CI112" s="33"/>
      <c r="CJ112" s="33"/>
      <c r="CK112" s="33"/>
      <c r="CL112" s="33"/>
      <c r="CM112" s="33"/>
      <c r="CN112" s="33"/>
      <c r="CO112" s="33"/>
      <c r="CP112" s="33"/>
    </row>
    <row r="113" spans="1:94" s="48" customFormat="1" x14ac:dyDescent="0.25">
      <c r="A113" s="25" t="s">
        <v>56</v>
      </c>
      <c r="B113" s="25" t="s">
        <v>265</v>
      </c>
      <c r="C113" s="25" t="s">
        <v>410</v>
      </c>
      <c r="D113" s="25">
        <v>100</v>
      </c>
      <c r="E113" s="35" cm="1">
        <f t="array" ref="E113">IFERROR(INDEX($J$5:$AVX$5, _xlfn.AGGREGATE(15,6, COLUMN(J113:AVX113)-COLUMN(J113)+1 / (J113:AVX113="T"), F113)), "")</f>
        <v>45991</v>
      </c>
      <c r="F113" s="74">
        <f t="shared" si="20"/>
        <v>2</v>
      </c>
      <c r="G113" s="35" cm="1">
        <f t="array" ref="G113">IFERROR(INDEX($J$5:$AVW$5,_xlfn.AGGREGATE(14,6,(COLUMN($J113:$AVW113)-COLUMN($J113)+1)/($J113:$AVW113="T"),1)),"")</f>
        <v>46021</v>
      </c>
      <c r="H113" s="77">
        <f t="shared" si="21"/>
        <v>3</v>
      </c>
      <c r="I113" s="38" t="s">
        <v>10</v>
      </c>
      <c r="J113" s="25" t="s">
        <v>12</v>
      </c>
      <c r="K113" s="27"/>
      <c r="L113" s="27"/>
      <c r="M113" s="27"/>
      <c r="N113" s="28"/>
      <c r="O113" s="27"/>
      <c r="P113" s="27"/>
      <c r="Q113" s="29" t="s">
        <v>16</v>
      </c>
      <c r="R113" s="30" t="s">
        <v>13</v>
      </c>
      <c r="S113" s="27"/>
      <c r="T113" s="27"/>
      <c r="U113" s="28"/>
      <c r="V113" s="27"/>
      <c r="W113" s="27"/>
      <c r="X113" s="32" t="s">
        <v>14</v>
      </c>
      <c r="Y113" s="30" t="s">
        <v>11</v>
      </c>
      <c r="Z113" s="27"/>
      <c r="AA113" s="27"/>
      <c r="AB113" s="28"/>
      <c r="AC113" s="27"/>
      <c r="AD113" s="29" t="s">
        <v>15</v>
      </c>
      <c r="AE113" s="27"/>
      <c r="AF113" s="27"/>
      <c r="AG113" s="25">
        <v>17</v>
      </c>
      <c r="AH113" s="33"/>
      <c r="AI113" s="33"/>
      <c r="AJ113" s="33"/>
      <c r="AK113" s="33"/>
      <c r="AL113" s="33"/>
      <c r="AM113" s="25" t="s">
        <v>12</v>
      </c>
      <c r="AN113" s="27"/>
      <c r="AO113" s="27"/>
      <c r="AP113" s="27"/>
      <c r="AQ113" s="28"/>
      <c r="AR113" s="27"/>
      <c r="AS113" s="27"/>
      <c r="AT113" s="29" t="s">
        <v>16</v>
      </c>
      <c r="AU113" s="30" t="s">
        <v>13</v>
      </c>
      <c r="AV113" s="27"/>
      <c r="AW113" s="27"/>
      <c r="AX113" s="28"/>
      <c r="AY113" s="27"/>
      <c r="AZ113" s="27"/>
      <c r="BA113" s="32" t="s">
        <v>14</v>
      </c>
      <c r="BB113" s="30" t="s">
        <v>11</v>
      </c>
      <c r="BC113" s="27"/>
      <c r="BD113" s="27"/>
      <c r="BE113" s="28"/>
      <c r="BF113" s="27"/>
      <c r="BG113" s="29" t="s">
        <v>15</v>
      </c>
      <c r="BH113" s="27"/>
      <c r="BI113" s="27"/>
      <c r="BJ113" s="25">
        <v>17</v>
      </c>
      <c r="BK113" s="33"/>
      <c r="BL113" s="33"/>
      <c r="BM113" s="33"/>
      <c r="BN113" s="33"/>
      <c r="BO113" s="33"/>
      <c r="BP113" s="33"/>
      <c r="BQ113" s="25" t="s">
        <v>12</v>
      </c>
      <c r="BR113" s="27"/>
      <c r="BS113" s="27"/>
      <c r="BT113" s="27"/>
      <c r="BU113" s="28"/>
      <c r="BV113" s="27"/>
      <c r="BW113" s="27"/>
      <c r="BX113" s="29" t="s">
        <v>16</v>
      </c>
      <c r="BY113" s="30" t="s">
        <v>13</v>
      </c>
      <c r="BZ113" s="27"/>
      <c r="CA113" s="27"/>
      <c r="CB113" s="28"/>
      <c r="CC113" s="27"/>
      <c r="CD113" s="27"/>
      <c r="CE113" s="32" t="s">
        <v>14</v>
      </c>
      <c r="CF113" s="30" t="s">
        <v>11</v>
      </c>
      <c r="CG113" s="27"/>
      <c r="CH113" s="27"/>
      <c r="CI113" s="28"/>
      <c r="CJ113" s="27"/>
      <c r="CK113" s="29" t="s">
        <v>15</v>
      </c>
      <c r="CL113" s="27"/>
      <c r="CM113" s="27"/>
      <c r="CN113" s="25">
        <v>17</v>
      </c>
      <c r="CO113" s="33"/>
      <c r="CP113" s="33"/>
    </row>
    <row r="114" spans="1:94" s="48" customFormat="1" x14ac:dyDescent="0.25">
      <c r="A114" s="25" t="s">
        <v>56</v>
      </c>
      <c r="B114" s="25" t="s">
        <v>266</v>
      </c>
      <c r="C114" s="25" t="s">
        <v>411</v>
      </c>
      <c r="D114" s="25">
        <v>101</v>
      </c>
      <c r="E114" s="35" cm="1">
        <f t="array" ref="E114">IFERROR(INDEX($J$5:$AVX$5, _xlfn.AGGREGATE(15,6, COLUMN(J114:AVX114)-COLUMN(J114)+1 / (J114:AVX114="T"), F114)), "")</f>
        <v>45991</v>
      </c>
      <c r="F114" s="74">
        <f t="shared" si="20"/>
        <v>2</v>
      </c>
      <c r="G114" s="35" cm="1">
        <f t="array" ref="G114">IFERROR(INDEX($J$5:$AVW$5,_xlfn.AGGREGATE(14,6,(COLUMN($J114:$AVW114)-COLUMN($J114)+1)/($J114:$AVW114="T"),1)),"")</f>
        <v>46021</v>
      </c>
      <c r="H114" s="77">
        <f t="shared" si="21"/>
        <v>3</v>
      </c>
      <c r="I114" s="38" t="s">
        <v>10</v>
      </c>
      <c r="J114" s="25" t="s">
        <v>12</v>
      </c>
      <c r="K114" s="27"/>
      <c r="L114" s="27"/>
      <c r="M114" s="27"/>
      <c r="N114" s="28"/>
      <c r="O114" s="27"/>
      <c r="P114" s="27"/>
      <c r="Q114" s="29" t="s">
        <v>16</v>
      </c>
      <c r="R114" s="30" t="s">
        <v>13</v>
      </c>
      <c r="S114" s="27"/>
      <c r="T114" s="27"/>
      <c r="U114" s="28"/>
      <c r="V114" s="27"/>
      <c r="W114" s="27"/>
      <c r="X114" s="29" t="s">
        <v>14</v>
      </c>
      <c r="Y114" s="30" t="s">
        <v>11</v>
      </c>
      <c r="Z114" s="37"/>
      <c r="AA114" s="27"/>
      <c r="AB114" s="28"/>
      <c r="AC114" s="27"/>
      <c r="AD114" s="29" t="s">
        <v>15</v>
      </c>
      <c r="AE114" s="27"/>
      <c r="AF114" s="27"/>
      <c r="AG114" s="25">
        <v>17</v>
      </c>
      <c r="AH114" s="33"/>
      <c r="AI114" s="33"/>
      <c r="AJ114" s="33"/>
      <c r="AK114" s="33"/>
      <c r="AL114" s="33"/>
      <c r="AM114" s="25" t="s">
        <v>12</v>
      </c>
      <c r="AN114" s="27"/>
      <c r="AO114" s="27"/>
      <c r="AP114" s="27"/>
      <c r="AQ114" s="28"/>
      <c r="AR114" s="27"/>
      <c r="AS114" s="27"/>
      <c r="AT114" s="29" t="s">
        <v>16</v>
      </c>
      <c r="AU114" s="30" t="s">
        <v>13</v>
      </c>
      <c r="AV114" s="27"/>
      <c r="AW114" s="27"/>
      <c r="AX114" s="28"/>
      <c r="AY114" s="27"/>
      <c r="AZ114" s="27"/>
      <c r="BA114" s="32" t="s">
        <v>14</v>
      </c>
      <c r="BB114" s="30" t="s">
        <v>11</v>
      </c>
      <c r="BC114" s="27"/>
      <c r="BD114" s="27"/>
      <c r="BE114" s="28"/>
      <c r="BF114" s="27"/>
      <c r="BG114" s="29" t="s">
        <v>15</v>
      </c>
      <c r="BH114" s="27"/>
      <c r="BI114" s="27"/>
      <c r="BJ114" s="25">
        <v>17</v>
      </c>
      <c r="BK114" s="33"/>
      <c r="BL114" s="33"/>
      <c r="BM114" s="33"/>
      <c r="BN114" s="33"/>
      <c r="BO114" s="33"/>
      <c r="BP114" s="33"/>
      <c r="BQ114" s="25" t="s">
        <v>12</v>
      </c>
      <c r="BR114" s="27"/>
      <c r="BS114" s="27"/>
      <c r="BT114" s="27"/>
      <c r="BU114" s="28"/>
      <c r="BV114" s="27"/>
      <c r="BW114" s="27"/>
      <c r="BX114" s="29" t="s">
        <v>16</v>
      </c>
      <c r="BY114" s="30" t="s">
        <v>13</v>
      </c>
      <c r="BZ114" s="27"/>
      <c r="CA114" s="27"/>
      <c r="CB114" s="28"/>
      <c r="CC114" s="27"/>
      <c r="CD114" s="27"/>
      <c r="CE114" s="32" t="s">
        <v>14</v>
      </c>
      <c r="CF114" s="30" t="s">
        <v>11</v>
      </c>
      <c r="CG114" s="27"/>
      <c r="CH114" s="27"/>
      <c r="CI114" s="28"/>
      <c r="CJ114" s="27"/>
      <c r="CK114" s="29" t="s">
        <v>15</v>
      </c>
      <c r="CL114" s="27"/>
      <c r="CM114" s="27"/>
      <c r="CN114" s="25">
        <v>17</v>
      </c>
      <c r="CO114" s="33"/>
      <c r="CP114" s="33"/>
    </row>
    <row r="115" spans="1:94" x14ac:dyDescent="0.25">
      <c r="A115" s="25" t="s">
        <v>56</v>
      </c>
      <c r="B115" s="25" t="s">
        <v>267</v>
      </c>
      <c r="C115" s="25" t="s">
        <v>412</v>
      </c>
      <c r="D115" s="25">
        <v>102</v>
      </c>
      <c r="E115" s="35" cm="1">
        <f t="array" ref="E115">IFERROR(INDEX($J$5:$AVX$5, _xlfn.AGGREGATE(15,6, COLUMN(J115:AVX115)-COLUMN(J115)+1 / (J115:AVX115="T"), F115)), "")</f>
        <v>45991</v>
      </c>
      <c r="F115" s="74">
        <f t="shared" si="20"/>
        <v>2</v>
      </c>
      <c r="G115" s="35" cm="1">
        <f t="array" ref="G115">IFERROR(INDEX($J$5:$AVW$5,_xlfn.AGGREGATE(14,6,(COLUMN($J115:$AVW115)-COLUMN($J115)+1)/($J115:$AVW115="T"),1)),"")</f>
        <v>46021</v>
      </c>
      <c r="H115" s="77">
        <f t="shared" si="21"/>
        <v>3</v>
      </c>
      <c r="I115" s="38" t="s">
        <v>10</v>
      </c>
      <c r="J115" s="25" t="s">
        <v>12</v>
      </c>
      <c r="K115" s="27"/>
      <c r="L115" s="27"/>
      <c r="M115" s="27"/>
      <c r="N115" s="28"/>
      <c r="O115" s="27"/>
      <c r="P115" s="27"/>
      <c r="Q115" s="29" t="s">
        <v>16</v>
      </c>
      <c r="R115" s="30" t="s">
        <v>13</v>
      </c>
      <c r="S115" s="27"/>
      <c r="T115" s="27"/>
      <c r="U115" s="28"/>
      <c r="V115" s="27"/>
      <c r="W115" s="27"/>
      <c r="X115" s="29" t="s">
        <v>14</v>
      </c>
      <c r="Y115" s="30" t="s">
        <v>11</v>
      </c>
      <c r="Z115" s="37"/>
      <c r="AA115" s="27"/>
      <c r="AB115" s="28"/>
      <c r="AC115" s="27"/>
      <c r="AD115" s="29" t="s">
        <v>15</v>
      </c>
      <c r="AE115" s="27"/>
      <c r="AF115" s="27"/>
      <c r="AG115" s="25">
        <v>17</v>
      </c>
      <c r="AH115" s="33"/>
      <c r="AI115" s="33"/>
      <c r="AJ115" s="33"/>
      <c r="AK115" s="33"/>
      <c r="AL115" s="33"/>
      <c r="AM115" s="25" t="s">
        <v>12</v>
      </c>
      <c r="AN115" s="27"/>
      <c r="AO115" s="27"/>
      <c r="AP115" s="27"/>
      <c r="AQ115" s="28"/>
      <c r="AR115" s="27"/>
      <c r="AS115" s="27"/>
      <c r="AT115" s="29" t="s">
        <v>16</v>
      </c>
      <c r="AU115" s="30" t="s">
        <v>13</v>
      </c>
      <c r="AV115" s="27"/>
      <c r="AW115" s="27"/>
      <c r="AX115" s="28"/>
      <c r="AY115" s="27"/>
      <c r="AZ115" s="27"/>
      <c r="BA115" s="32" t="s">
        <v>14</v>
      </c>
      <c r="BB115" s="30" t="s">
        <v>11</v>
      </c>
      <c r="BC115" s="27"/>
      <c r="BD115" s="27"/>
      <c r="BE115" s="28"/>
      <c r="BF115" s="27"/>
      <c r="BG115" s="29" t="s">
        <v>15</v>
      </c>
      <c r="BH115" s="27"/>
      <c r="BI115" s="27"/>
      <c r="BJ115" s="25">
        <v>17</v>
      </c>
      <c r="BK115" s="33"/>
      <c r="BL115" s="33"/>
      <c r="BM115" s="33"/>
      <c r="BN115" s="33"/>
      <c r="BO115" s="33"/>
      <c r="BP115" s="33"/>
      <c r="BQ115" s="25" t="s">
        <v>12</v>
      </c>
      <c r="BR115" s="27"/>
      <c r="BS115" s="27"/>
      <c r="BT115" s="27"/>
      <c r="BU115" s="28"/>
      <c r="BV115" s="27"/>
      <c r="BW115" s="27"/>
      <c r="BX115" s="29" t="s">
        <v>16</v>
      </c>
      <c r="BY115" s="30" t="s">
        <v>13</v>
      </c>
      <c r="BZ115" s="27"/>
      <c r="CA115" s="27"/>
      <c r="CB115" s="28"/>
      <c r="CC115" s="27"/>
      <c r="CD115" s="27"/>
      <c r="CE115" s="32" t="s">
        <v>14</v>
      </c>
      <c r="CF115" s="30" t="s">
        <v>11</v>
      </c>
      <c r="CG115" s="27"/>
      <c r="CH115" s="27"/>
      <c r="CI115" s="28"/>
      <c r="CJ115" s="27"/>
      <c r="CK115" s="29" t="s">
        <v>15</v>
      </c>
      <c r="CL115" s="27"/>
      <c r="CM115" s="27"/>
      <c r="CN115" s="25">
        <v>17</v>
      </c>
      <c r="CO115" s="33"/>
      <c r="CP115" s="33"/>
    </row>
    <row r="116" spans="1:94" x14ac:dyDescent="0.25">
      <c r="A116" s="25" t="s">
        <v>56</v>
      </c>
      <c r="B116" s="25" t="s">
        <v>268</v>
      </c>
      <c r="C116" s="25" t="s">
        <v>413</v>
      </c>
      <c r="D116" s="25">
        <v>103</v>
      </c>
      <c r="E116" s="35" cm="1">
        <f t="array" ref="E116">IFERROR(INDEX($J$5:$AVX$5, _xlfn.AGGREGATE(15,6, COLUMN(J116:AVX116)-COLUMN(J116)+1 / (J116:AVX116="T"), F116)), "")</f>
        <v>45991</v>
      </c>
      <c r="F116" s="74">
        <f t="shared" si="20"/>
        <v>2</v>
      </c>
      <c r="G116" s="35" cm="1">
        <f t="array" ref="G116">IFERROR(INDEX($J$5:$AVW$5,_xlfn.AGGREGATE(14,6,(COLUMN($J116:$AVW116)-COLUMN($J116)+1)/($J116:$AVW116="T"),1)),"")</f>
        <v>46021</v>
      </c>
      <c r="H116" s="77">
        <f t="shared" si="21"/>
        <v>3</v>
      </c>
      <c r="I116" s="38" t="s">
        <v>10</v>
      </c>
      <c r="J116" s="25" t="s">
        <v>12</v>
      </c>
      <c r="K116" s="27"/>
      <c r="L116" s="27"/>
      <c r="M116" s="27"/>
      <c r="N116" s="28"/>
      <c r="O116" s="27"/>
      <c r="P116" s="27"/>
      <c r="Q116" s="29" t="s">
        <v>16</v>
      </c>
      <c r="R116" s="30" t="s">
        <v>13</v>
      </c>
      <c r="S116" s="27"/>
      <c r="T116" s="27"/>
      <c r="U116" s="28"/>
      <c r="V116" s="27"/>
      <c r="W116" s="27"/>
      <c r="X116" s="29" t="s">
        <v>14</v>
      </c>
      <c r="Y116" s="30" t="s">
        <v>11</v>
      </c>
      <c r="Z116" s="37"/>
      <c r="AA116" s="27"/>
      <c r="AB116" s="28"/>
      <c r="AC116" s="27"/>
      <c r="AD116" s="29" t="s">
        <v>15</v>
      </c>
      <c r="AE116" s="27"/>
      <c r="AF116" s="27"/>
      <c r="AG116" s="25">
        <v>17</v>
      </c>
      <c r="AH116" s="33"/>
      <c r="AI116" s="33"/>
      <c r="AJ116" s="33"/>
      <c r="AK116" s="33"/>
      <c r="AL116" s="33"/>
      <c r="AM116" s="25" t="s">
        <v>12</v>
      </c>
      <c r="AN116" s="27"/>
      <c r="AO116" s="27"/>
      <c r="AP116" s="27"/>
      <c r="AQ116" s="28"/>
      <c r="AR116" s="27"/>
      <c r="AS116" s="27"/>
      <c r="AT116" s="29" t="s">
        <v>16</v>
      </c>
      <c r="AU116" s="30" t="s">
        <v>13</v>
      </c>
      <c r="AV116" s="27"/>
      <c r="AW116" s="27"/>
      <c r="AX116" s="28"/>
      <c r="AY116" s="27"/>
      <c r="AZ116" s="27"/>
      <c r="BA116" s="32" t="s">
        <v>14</v>
      </c>
      <c r="BB116" s="30" t="s">
        <v>11</v>
      </c>
      <c r="BC116" s="27"/>
      <c r="BD116" s="27"/>
      <c r="BE116" s="28"/>
      <c r="BF116" s="27"/>
      <c r="BG116" s="29" t="s">
        <v>15</v>
      </c>
      <c r="BH116" s="27"/>
      <c r="BI116" s="27"/>
      <c r="BJ116" s="25">
        <v>17</v>
      </c>
      <c r="BK116" s="33"/>
      <c r="BL116" s="33"/>
      <c r="BM116" s="33"/>
      <c r="BN116" s="33"/>
      <c r="BO116" s="33"/>
      <c r="BP116" s="33"/>
      <c r="BQ116" s="25" t="s">
        <v>12</v>
      </c>
      <c r="BR116" s="27"/>
      <c r="BS116" s="27"/>
      <c r="BT116" s="27"/>
      <c r="BU116" s="28"/>
      <c r="BV116" s="27"/>
      <c r="BW116" s="27"/>
      <c r="BX116" s="29" t="s">
        <v>16</v>
      </c>
      <c r="BY116" s="30" t="s">
        <v>13</v>
      </c>
      <c r="BZ116" s="27"/>
      <c r="CA116" s="27"/>
      <c r="CB116" s="28"/>
      <c r="CC116" s="27"/>
      <c r="CD116" s="27"/>
      <c r="CE116" s="32" t="s">
        <v>14</v>
      </c>
      <c r="CF116" s="30" t="s">
        <v>11</v>
      </c>
      <c r="CG116" s="27"/>
      <c r="CH116" s="27"/>
      <c r="CI116" s="28"/>
      <c r="CJ116" s="27"/>
      <c r="CK116" s="29" t="s">
        <v>15</v>
      </c>
      <c r="CL116" s="27"/>
      <c r="CM116" s="27"/>
      <c r="CN116" s="25">
        <v>17</v>
      </c>
      <c r="CO116" s="33"/>
      <c r="CP116" s="33"/>
    </row>
    <row r="117" spans="1:94" s="48" customFormat="1" x14ac:dyDescent="0.25">
      <c r="A117" s="25" t="s">
        <v>56</v>
      </c>
      <c r="B117" s="25" t="s">
        <v>269</v>
      </c>
      <c r="C117" s="25" t="s">
        <v>414</v>
      </c>
      <c r="D117" s="25">
        <v>104</v>
      </c>
      <c r="E117" s="35" cm="1">
        <f t="array" ref="E117">IFERROR(INDEX($J$5:$AVX$5, _xlfn.AGGREGATE(15,6, COLUMN(J117:AVX117)-COLUMN(J117)+1 / (J117:AVX117="T"), F117)), "")</f>
        <v>45992</v>
      </c>
      <c r="F117" s="74">
        <f t="shared" si="20"/>
        <v>2</v>
      </c>
      <c r="G117" s="35" cm="1">
        <f t="array" ref="G117">IFERROR(INDEX($J$5:$AVW$5,_xlfn.AGGREGATE(14,6,(COLUMN($J117:$AVW117)-COLUMN($J117)+1)/($J117:$AVW117="T"),1)),"")</f>
        <v>46021</v>
      </c>
      <c r="H117" s="77">
        <f t="shared" si="21"/>
        <v>3</v>
      </c>
      <c r="I117" s="38" t="s">
        <v>10</v>
      </c>
      <c r="J117" s="25" t="s">
        <v>12</v>
      </c>
      <c r="K117" s="27"/>
      <c r="L117" s="27"/>
      <c r="M117" s="27"/>
      <c r="N117" s="28"/>
      <c r="O117" s="27"/>
      <c r="P117" s="27"/>
      <c r="Q117" s="29" t="s">
        <v>16</v>
      </c>
      <c r="R117" s="30" t="s">
        <v>13</v>
      </c>
      <c r="S117" s="27"/>
      <c r="T117" s="27"/>
      <c r="U117" s="28"/>
      <c r="V117" s="27"/>
      <c r="W117" s="27"/>
      <c r="X117" s="29" t="s">
        <v>14</v>
      </c>
      <c r="Y117" s="30" t="s">
        <v>11</v>
      </c>
      <c r="Z117" s="37"/>
      <c r="AA117" s="27"/>
      <c r="AB117" s="28"/>
      <c r="AC117" s="27"/>
      <c r="AD117" s="29" t="s">
        <v>15</v>
      </c>
      <c r="AE117" s="27"/>
      <c r="AF117" s="27"/>
      <c r="AG117" s="25">
        <v>17</v>
      </c>
      <c r="AH117" s="33"/>
      <c r="AI117" s="33"/>
      <c r="AJ117" s="33"/>
      <c r="AK117" s="33"/>
      <c r="AL117" s="33"/>
      <c r="AM117" s="33"/>
      <c r="AN117" s="25" t="s">
        <v>12</v>
      </c>
      <c r="AO117" s="27"/>
      <c r="AP117" s="27"/>
      <c r="AQ117" s="27"/>
      <c r="AR117" s="28"/>
      <c r="AS117" s="27"/>
      <c r="AT117" s="27"/>
      <c r="AU117" s="29" t="s">
        <v>16</v>
      </c>
      <c r="AV117" s="30" t="s">
        <v>13</v>
      </c>
      <c r="AW117" s="27"/>
      <c r="AX117" s="27"/>
      <c r="AY117" s="28"/>
      <c r="AZ117" s="27"/>
      <c r="BA117" s="27"/>
      <c r="BB117" s="32" t="s">
        <v>14</v>
      </c>
      <c r="BC117" s="30" t="s">
        <v>11</v>
      </c>
      <c r="BD117" s="27"/>
      <c r="BE117" s="27"/>
      <c r="BF117" s="28"/>
      <c r="BG117" s="27"/>
      <c r="BH117" s="29" t="s">
        <v>15</v>
      </c>
      <c r="BI117" s="27"/>
      <c r="BJ117" s="27"/>
      <c r="BK117" s="25">
        <v>17</v>
      </c>
      <c r="BL117" s="33"/>
      <c r="BM117" s="33"/>
      <c r="BN117" s="33"/>
      <c r="BO117" s="33"/>
      <c r="BP117" s="33"/>
      <c r="BQ117" s="25" t="s">
        <v>12</v>
      </c>
      <c r="BR117" s="27"/>
      <c r="BS117" s="27"/>
      <c r="BT117" s="27"/>
      <c r="BU117" s="28"/>
      <c r="BV117" s="27"/>
      <c r="BW117" s="27"/>
      <c r="BX117" s="29" t="s">
        <v>16</v>
      </c>
      <c r="BY117" s="30" t="s">
        <v>13</v>
      </c>
      <c r="BZ117" s="27"/>
      <c r="CA117" s="27"/>
      <c r="CB117" s="28"/>
      <c r="CC117" s="27"/>
      <c r="CD117" s="27"/>
      <c r="CE117" s="32" t="s">
        <v>14</v>
      </c>
      <c r="CF117" s="30" t="s">
        <v>11</v>
      </c>
      <c r="CG117" s="27"/>
      <c r="CH117" s="27"/>
      <c r="CI117" s="28"/>
      <c r="CJ117" s="27"/>
      <c r="CK117" s="29" t="s">
        <v>15</v>
      </c>
      <c r="CL117" s="27"/>
      <c r="CM117" s="27"/>
      <c r="CN117" s="25">
        <v>17</v>
      </c>
      <c r="CO117" s="33"/>
      <c r="CP117" s="33"/>
    </row>
    <row r="118" spans="1:94" s="48" customFormat="1" x14ac:dyDescent="0.25">
      <c r="A118" s="25" t="s">
        <v>56</v>
      </c>
      <c r="B118" s="25" t="s">
        <v>270</v>
      </c>
      <c r="C118" s="25" t="s">
        <v>415</v>
      </c>
      <c r="D118" s="25">
        <v>105</v>
      </c>
      <c r="E118" s="35" cm="1">
        <f t="array" ref="E118">IFERROR(INDEX($J$5:$AVX$5, _xlfn.AGGREGATE(15,6, COLUMN(J118:AVX118)-COLUMN(J118)+1 / (J118:AVX118="T"), F118)), "")</f>
        <v>45992</v>
      </c>
      <c r="F118" s="74">
        <f t="shared" si="20"/>
        <v>2</v>
      </c>
      <c r="G118" s="35" cm="1">
        <f t="array" ref="G118">IFERROR(INDEX($J$5:$AVW$5,_xlfn.AGGREGATE(14,6,(COLUMN($J118:$AVW118)-COLUMN($J118)+1)/($J118:$AVW118="T"),1)),"")</f>
        <v>46021</v>
      </c>
      <c r="H118" s="77">
        <f t="shared" si="21"/>
        <v>3</v>
      </c>
      <c r="I118" s="38" t="s">
        <v>10</v>
      </c>
      <c r="J118" s="25" t="s">
        <v>12</v>
      </c>
      <c r="K118" s="27"/>
      <c r="L118" s="27"/>
      <c r="M118" s="27"/>
      <c r="N118" s="28"/>
      <c r="O118" s="27"/>
      <c r="P118" s="27"/>
      <c r="Q118" s="29" t="s">
        <v>16</v>
      </c>
      <c r="R118" s="30" t="s">
        <v>13</v>
      </c>
      <c r="S118" s="27"/>
      <c r="T118" s="27"/>
      <c r="U118" s="28"/>
      <c r="V118" s="27"/>
      <c r="W118" s="27"/>
      <c r="X118" s="29" t="s">
        <v>14</v>
      </c>
      <c r="Y118" s="30" t="s">
        <v>11</v>
      </c>
      <c r="Z118" s="37"/>
      <c r="AA118" s="27"/>
      <c r="AB118" s="28"/>
      <c r="AC118" s="27"/>
      <c r="AD118" s="29" t="s">
        <v>15</v>
      </c>
      <c r="AE118" s="27"/>
      <c r="AF118" s="27"/>
      <c r="AG118" s="25">
        <v>17</v>
      </c>
      <c r="AH118" s="33"/>
      <c r="AI118" s="33"/>
      <c r="AJ118" s="33"/>
      <c r="AK118" s="33"/>
      <c r="AL118" s="33"/>
      <c r="AM118" s="33"/>
      <c r="AN118" s="25" t="s">
        <v>12</v>
      </c>
      <c r="AO118" s="27"/>
      <c r="AP118" s="27"/>
      <c r="AQ118" s="27"/>
      <c r="AR118" s="28"/>
      <c r="AS118" s="27"/>
      <c r="AT118" s="27"/>
      <c r="AU118" s="29" t="s">
        <v>16</v>
      </c>
      <c r="AV118" s="30" t="s">
        <v>13</v>
      </c>
      <c r="AW118" s="27"/>
      <c r="AX118" s="27"/>
      <c r="AY118" s="28"/>
      <c r="AZ118" s="27"/>
      <c r="BA118" s="27"/>
      <c r="BB118" s="32" t="s">
        <v>14</v>
      </c>
      <c r="BC118" s="30" t="s">
        <v>11</v>
      </c>
      <c r="BD118" s="27"/>
      <c r="BE118" s="27"/>
      <c r="BF118" s="28"/>
      <c r="BG118" s="27"/>
      <c r="BH118" s="29" t="s">
        <v>15</v>
      </c>
      <c r="BI118" s="27"/>
      <c r="BJ118" s="27"/>
      <c r="BK118" s="25">
        <v>17</v>
      </c>
      <c r="BL118" s="33"/>
      <c r="BM118" s="33"/>
      <c r="BN118" s="33"/>
      <c r="BO118" s="33"/>
      <c r="BP118" s="33"/>
      <c r="BQ118" s="25" t="s">
        <v>12</v>
      </c>
      <c r="BR118" s="27"/>
      <c r="BS118" s="27"/>
      <c r="BT118" s="27"/>
      <c r="BU118" s="28"/>
      <c r="BV118" s="27"/>
      <c r="BW118" s="27"/>
      <c r="BX118" s="29" t="s">
        <v>16</v>
      </c>
      <c r="BY118" s="30" t="s">
        <v>13</v>
      </c>
      <c r="BZ118" s="27"/>
      <c r="CA118" s="27"/>
      <c r="CB118" s="28"/>
      <c r="CC118" s="27"/>
      <c r="CD118" s="27"/>
      <c r="CE118" s="32" t="s">
        <v>14</v>
      </c>
      <c r="CF118" s="30" t="s">
        <v>11</v>
      </c>
      <c r="CG118" s="27"/>
      <c r="CH118" s="27"/>
      <c r="CI118" s="28"/>
      <c r="CJ118" s="27"/>
      <c r="CK118" s="29" t="s">
        <v>15</v>
      </c>
      <c r="CL118" s="27"/>
      <c r="CM118" s="27"/>
      <c r="CN118" s="25">
        <v>17</v>
      </c>
      <c r="CO118" s="33"/>
      <c r="CP118" s="33"/>
    </row>
    <row r="119" spans="1:94" s="48" customFormat="1" x14ac:dyDescent="0.25">
      <c r="A119" s="25" t="s">
        <v>56</v>
      </c>
      <c r="B119" s="25" t="s">
        <v>271</v>
      </c>
      <c r="C119" s="25" t="s">
        <v>416</v>
      </c>
      <c r="D119" s="25">
        <v>106</v>
      </c>
      <c r="E119" s="35" cm="1">
        <f t="array" ref="E119">IFERROR(INDEX($J$5:$AVX$5, _xlfn.AGGREGATE(15,6, COLUMN(J119:AVX119)-COLUMN(J119)+1 / (J119:AVX119="T"), F119)), "")</f>
        <v>45992</v>
      </c>
      <c r="F119" s="74">
        <f t="shared" si="20"/>
        <v>2</v>
      </c>
      <c r="G119" s="35" cm="1">
        <f t="array" ref="G119">IFERROR(INDEX($J$5:$AVW$5,_xlfn.AGGREGATE(14,6,(COLUMN($J119:$AVW119)-COLUMN($J119)+1)/($J119:$AVW119="T"),1)),"")</f>
        <v>46021</v>
      </c>
      <c r="H119" s="77">
        <f t="shared" si="21"/>
        <v>3</v>
      </c>
      <c r="I119" s="38" t="s">
        <v>10</v>
      </c>
      <c r="J119" s="25" t="s">
        <v>12</v>
      </c>
      <c r="K119" s="27"/>
      <c r="L119" s="27"/>
      <c r="M119" s="27"/>
      <c r="N119" s="28"/>
      <c r="O119" s="27"/>
      <c r="P119" s="27"/>
      <c r="Q119" s="29" t="s">
        <v>16</v>
      </c>
      <c r="R119" s="30" t="s">
        <v>13</v>
      </c>
      <c r="S119" s="27"/>
      <c r="T119" s="27"/>
      <c r="U119" s="28"/>
      <c r="V119" s="27"/>
      <c r="W119" s="27"/>
      <c r="X119" s="29" t="s">
        <v>14</v>
      </c>
      <c r="Y119" s="30" t="s">
        <v>11</v>
      </c>
      <c r="Z119" s="37"/>
      <c r="AA119" s="27"/>
      <c r="AB119" s="28"/>
      <c r="AC119" s="27"/>
      <c r="AD119" s="29" t="s">
        <v>15</v>
      </c>
      <c r="AE119" s="27"/>
      <c r="AF119" s="27"/>
      <c r="AG119" s="25">
        <v>17</v>
      </c>
      <c r="AH119" s="33"/>
      <c r="AI119" s="33"/>
      <c r="AJ119" s="33"/>
      <c r="AK119" s="33"/>
      <c r="AL119" s="33"/>
      <c r="AM119" s="33"/>
      <c r="AN119" s="25" t="s">
        <v>12</v>
      </c>
      <c r="AO119" s="27"/>
      <c r="AP119" s="27"/>
      <c r="AQ119" s="27"/>
      <c r="AR119" s="28"/>
      <c r="AS119" s="27"/>
      <c r="AT119" s="27"/>
      <c r="AU119" s="29" t="s">
        <v>16</v>
      </c>
      <c r="AV119" s="30" t="s">
        <v>13</v>
      </c>
      <c r="AW119" s="27"/>
      <c r="AX119" s="27"/>
      <c r="AY119" s="28"/>
      <c r="AZ119" s="27"/>
      <c r="BA119" s="27"/>
      <c r="BB119" s="32" t="s">
        <v>14</v>
      </c>
      <c r="BC119" s="30" t="s">
        <v>11</v>
      </c>
      <c r="BD119" s="27"/>
      <c r="BE119" s="27"/>
      <c r="BF119" s="28"/>
      <c r="BG119" s="27"/>
      <c r="BH119" s="29" t="s">
        <v>15</v>
      </c>
      <c r="BI119" s="27"/>
      <c r="BJ119" s="27"/>
      <c r="BK119" s="25">
        <v>17</v>
      </c>
      <c r="BL119" s="33"/>
      <c r="BM119" s="33"/>
      <c r="BN119" s="33"/>
      <c r="BO119" s="33"/>
      <c r="BP119" s="33"/>
      <c r="BQ119" s="25" t="s">
        <v>12</v>
      </c>
      <c r="BR119" s="27"/>
      <c r="BS119" s="27"/>
      <c r="BT119" s="27"/>
      <c r="BU119" s="28"/>
      <c r="BV119" s="27"/>
      <c r="BW119" s="27"/>
      <c r="BX119" s="29" t="s">
        <v>16</v>
      </c>
      <c r="BY119" s="30" t="s">
        <v>13</v>
      </c>
      <c r="BZ119" s="27"/>
      <c r="CA119" s="27"/>
      <c r="CB119" s="28"/>
      <c r="CC119" s="27"/>
      <c r="CD119" s="27"/>
      <c r="CE119" s="32" t="s">
        <v>14</v>
      </c>
      <c r="CF119" s="30" t="s">
        <v>11</v>
      </c>
      <c r="CG119" s="27"/>
      <c r="CH119" s="27"/>
      <c r="CI119" s="28"/>
      <c r="CJ119" s="27"/>
      <c r="CK119" s="29" t="s">
        <v>15</v>
      </c>
      <c r="CL119" s="27"/>
      <c r="CM119" s="27"/>
      <c r="CN119" s="25">
        <v>17</v>
      </c>
      <c r="CO119" s="33"/>
      <c r="CP119" s="33"/>
    </row>
    <row r="120" spans="1:94" ht="15" customHeight="1" x14ac:dyDescent="0.25">
      <c r="A120" s="25" t="s">
        <v>56</v>
      </c>
      <c r="B120" s="25" t="s">
        <v>272</v>
      </c>
      <c r="C120" s="25" t="s">
        <v>417</v>
      </c>
      <c r="D120" s="25">
        <v>107</v>
      </c>
      <c r="E120" s="35" cm="1">
        <f t="array" ref="E120">IFERROR(INDEX($J$5:$AVX$5, _xlfn.AGGREGATE(15,6, COLUMN(J120:AVX120)-COLUMN(J120)+1 / (J120:AVX120="T"), F120)), "")</f>
        <v>45995</v>
      </c>
      <c r="F120" s="74">
        <f t="shared" si="20"/>
        <v>2</v>
      </c>
      <c r="G120" s="35" cm="1">
        <f t="array" ref="G120">IFERROR(INDEX($J$5:$AVW$5,_xlfn.AGGREGATE(14,6,(COLUMN($J120:$AVW120)-COLUMN($J120)+1)/($J120:$AVW120="T"),1)),"")</f>
        <v>46020</v>
      </c>
      <c r="H120" s="77">
        <f t="shared" si="21"/>
        <v>3</v>
      </c>
      <c r="I120" s="38" t="s">
        <v>10</v>
      </c>
      <c r="J120" s="33"/>
      <c r="K120" s="33"/>
      <c r="L120" s="33"/>
      <c r="M120" s="25" t="s">
        <v>12</v>
      </c>
      <c r="N120" s="27"/>
      <c r="O120" s="27"/>
      <c r="P120" s="27"/>
      <c r="Q120" s="28"/>
      <c r="R120" s="27"/>
      <c r="S120" s="27"/>
      <c r="T120" s="29" t="s">
        <v>16</v>
      </c>
      <c r="U120" s="30" t="s">
        <v>13</v>
      </c>
      <c r="V120" s="27"/>
      <c r="W120" s="27"/>
      <c r="X120" s="28"/>
      <c r="Y120" s="27"/>
      <c r="Z120" s="27"/>
      <c r="AA120" s="29" t="s">
        <v>14</v>
      </c>
      <c r="AB120" s="30" t="s">
        <v>11</v>
      </c>
      <c r="AC120" s="37"/>
      <c r="AD120" s="27"/>
      <c r="AE120" s="28"/>
      <c r="AF120" s="27"/>
      <c r="AG120" s="29" t="s">
        <v>15</v>
      </c>
      <c r="AH120" s="27"/>
      <c r="AI120" s="27"/>
      <c r="AJ120" s="25">
        <v>17</v>
      </c>
      <c r="AK120" s="33"/>
      <c r="AL120" s="33"/>
      <c r="AM120" s="33"/>
      <c r="AN120" s="33"/>
      <c r="AO120" s="33"/>
      <c r="AP120" s="33"/>
      <c r="AQ120" s="25" t="s">
        <v>12</v>
      </c>
      <c r="AR120" s="27"/>
      <c r="AS120" s="27"/>
      <c r="AT120" s="27"/>
      <c r="AU120" s="28"/>
      <c r="AV120" s="27"/>
      <c r="AW120" s="27"/>
      <c r="AX120" s="29" t="s">
        <v>16</v>
      </c>
      <c r="AY120" s="30" t="s">
        <v>13</v>
      </c>
      <c r="AZ120" s="27"/>
      <c r="BA120" s="27"/>
      <c r="BB120" s="28"/>
      <c r="BC120" s="27"/>
      <c r="BD120" s="27"/>
      <c r="BE120" s="32" t="s">
        <v>14</v>
      </c>
      <c r="BF120" s="30" t="s">
        <v>11</v>
      </c>
      <c r="BG120" s="27"/>
      <c r="BH120" s="27"/>
      <c r="BI120" s="28"/>
      <c r="BJ120" s="27"/>
      <c r="BK120" s="29" t="s">
        <v>15</v>
      </c>
      <c r="BL120" s="27"/>
      <c r="BM120" s="27"/>
      <c r="BN120" s="25">
        <v>17</v>
      </c>
      <c r="BO120" s="33"/>
      <c r="BP120" s="25" t="s">
        <v>12</v>
      </c>
      <c r="BQ120" s="27"/>
      <c r="BR120" s="27"/>
      <c r="BS120" s="27"/>
      <c r="BT120" s="28"/>
      <c r="BU120" s="27"/>
      <c r="BV120" s="27"/>
      <c r="BW120" s="29" t="s">
        <v>16</v>
      </c>
      <c r="BX120" s="30" t="s">
        <v>13</v>
      </c>
      <c r="BY120" s="27"/>
      <c r="BZ120" s="27"/>
      <c r="CA120" s="28"/>
      <c r="CB120" s="27"/>
      <c r="CC120" s="27"/>
      <c r="CD120" s="32" t="s">
        <v>14</v>
      </c>
      <c r="CE120" s="30" t="s">
        <v>11</v>
      </c>
      <c r="CF120" s="27"/>
      <c r="CG120" s="27"/>
      <c r="CH120" s="28"/>
      <c r="CI120" s="27"/>
      <c r="CJ120" s="29" t="s">
        <v>15</v>
      </c>
      <c r="CK120" s="27"/>
      <c r="CL120" s="27"/>
      <c r="CM120" s="25">
        <v>17</v>
      </c>
      <c r="CN120" s="33"/>
      <c r="CO120" s="33"/>
      <c r="CP120" s="33"/>
    </row>
    <row r="121" spans="1:94" x14ac:dyDescent="0.25">
      <c r="A121" s="25" t="s">
        <v>56</v>
      </c>
      <c r="B121" s="25" t="s">
        <v>273</v>
      </c>
      <c r="C121" s="25" t="s">
        <v>418</v>
      </c>
      <c r="D121" s="25">
        <v>108</v>
      </c>
      <c r="E121" s="35" cm="1">
        <f t="array" ref="E121">IFERROR(INDEX($J$5:$AVX$5, _xlfn.AGGREGATE(15,6, COLUMN(J121:AVX121)-COLUMN(J121)+1 / (J121:AVX121="T"), F121)), "")</f>
        <v>45996</v>
      </c>
      <c r="F121" s="74">
        <f t="shared" si="20"/>
        <v>2</v>
      </c>
      <c r="G121" s="35" cm="1">
        <f t="array" ref="G121">IFERROR(INDEX($J$5:$AVW$5,_xlfn.AGGREGATE(14,6,(COLUMN($J121:$AVW121)-COLUMN($J121)+1)/($J121:$AVW121="T"),1)),"")</f>
        <v>46020</v>
      </c>
      <c r="H121" s="77">
        <f t="shared" si="21"/>
        <v>3</v>
      </c>
      <c r="I121" s="38" t="s">
        <v>10</v>
      </c>
      <c r="J121" s="33"/>
      <c r="K121" s="33"/>
      <c r="L121" s="33"/>
      <c r="M121" s="25" t="s">
        <v>12</v>
      </c>
      <c r="N121" s="27"/>
      <c r="O121" s="27"/>
      <c r="P121" s="27"/>
      <c r="Q121" s="28"/>
      <c r="R121" s="27"/>
      <c r="S121" s="27"/>
      <c r="T121" s="29" t="s">
        <v>16</v>
      </c>
      <c r="U121" s="30" t="s">
        <v>13</v>
      </c>
      <c r="V121" s="27"/>
      <c r="W121" s="27"/>
      <c r="X121" s="28"/>
      <c r="Y121" s="27"/>
      <c r="Z121" s="27"/>
      <c r="AA121" s="29" t="s">
        <v>14</v>
      </c>
      <c r="AB121" s="30" t="s">
        <v>11</v>
      </c>
      <c r="AC121" s="37"/>
      <c r="AD121" s="27"/>
      <c r="AE121" s="28"/>
      <c r="AF121" s="27"/>
      <c r="AG121" s="29" t="s">
        <v>15</v>
      </c>
      <c r="AH121" s="27"/>
      <c r="AI121" s="27"/>
      <c r="AJ121" s="25">
        <v>17</v>
      </c>
      <c r="AK121" s="33"/>
      <c r="AL121" s="33"/>
      <c r="AM121" s="33"/>
      <c r="AN121" s="33"/>
      <c r="AO121" s="33"/>
      <c r="AP121" s="33"/>
      <c r="AQ121" s="33"/>
      <c r="AR121" s="25" t="s">
        <v>12</v>
      </c>
      <c r="AS121" s="27"/>
      <c r="AT121" s="27"/>
      <c r="AU121" s="27"/>
      <c r="AV121" s="28"/>
      <c r="AW121" s="27"/>
      <c r="AX121" s="27"/>
      <c r="AY121" s="29" t="s">
        <v>16</v>
      </c>
      <c r="AZ121" s="30" t="s">
        <v>13</v>
      </c>
      <c r="BA121" s="27"/>
      <c r="BB121" s="27"/>
      <c r="BC121" s="28"/>
      <c r="BD121" s="27"/>
      <c r="BE121" s="27"/>
      <c r="BF121" s="32" t="s">
        <v>14</v>
      </c>
      <c r="BG121" s="30" t="s">
        <v>11</v>
      </c>
      <c r="BH121" s="27"/>
      <c r="BI121" s="27"/>
      <c r="BJ121" s="28"/>
      <c r="BK121" s="27"/>
      <c r="BL121" s="29" t="s">
        <v>15</v>
      </c>
      <c r="BM121" s="27"/>
      <c r="BN121" s="27"/>
      <c r="BO121" s="25">
        <v>17</v>
      </c>
      <c r="BP121" s="25" t="s">
        <v>12</v>
      </c>
      <c r="BQ121" s="27"/>
      <c r="BR121" s="27"/>
      <c r="BS121" s="27"/>
      <c r="BT121" s="28"/>
      <c r="BU121" s="27"/>
      <c r="BV121" s="27"/>
      <c r="BW121" s="29" t="s">
        <v>16</v>
      </c>
      <c r="BX121" s="30" t="s">
        <v>13</v>
      </c>
      <c r="BY121" s="27"/>
      <c r="BZ121" s="27"/>
      <c r="CA121" s="28"/>
      <c r="CB121" s="27"/>
      <c r="CC121" s="27"/>
      <c r="CD121" s="32" t="s">
        <v>14</v>
      </c>
      <c r="CE121" s="30" t="s">
        <v>11</v>
      </c>
      <c r="CF121" s="27"/>
      <c r="CG121" s="27"/>
      <c r="CH121" s="28"/>
      <c r="CI121" s="27"/>
      <c r="CJ121" s="29" t="s">
        <v>15</v>
      </c>
      <c r="CK121" s="27"/>
      <c r="CL121" s="27"/>
      <c r="CM121" s="25">
        <v>17</v>
      </c>
      <c r="CN121" s="33"/>
      <c r="CO121" s="33"/>
      <c r="CP121" s="33"/>
    </row>
    <row r="122" spans="1:94" x14ac:dyDescent="0.25">
      <c r="A122" s="25" t="s">
        <v>56</v>
      </c>
      <c r="B122" s="25" t="s">
        <v>274</v>
      </c>
      <c r="C122" s="25" t="s">
        <v>419</v>
      </c>
      <c r="D122" s="25">
        <v>109</v>
      </c>
      <c r="E122" s="35" cm="1">
        <f t="array" ref="E122">IFERROR(INDEX($J$5:$AVX$5, _xlfn.AGGREGATE(15,6, COLUMN(J122:AVX122)-COLUMN(J122)+1 / (J122:AVX122="T"), F122)), "")</f>
        <v>45995</v>
      </c>
      <c r="F122" s="74">
        <f t="shared" si="20"/>
        <v>2</v>
      </c>
      <c r="G122" s="35" cm="1">
        <f t="array" ref="G122">IFERROR(INDEX($J$5:$AVW$5,_xlfn.AGGREGATE(14,6,(COLUMN($J122:$AVW122)-COLUMN($J122)+1)/($J122:$AVW122="T"),1)),"")</f>
        <v>46020</v>
      </c>
      <c r="H122" s="77">
        <f t="shared" si="21"/>
        <v>3</v>
      </c>
      <c r="I122" s="38" t="s">
        <v>10</v>
      </c>
      <c r="J122" s="33"/>
      <c r="K122" s="33"/>
      <c r="L122" s="33"/>
      <c r="M122" s="25" t="s">
        <v>12</v>
      </c>
      <c r="N122" s="27"/>
      <c r="O122" s="27"/>
      <c r="P122" s="27"/>
      <c r="Q122" s="28"/>
      <c r="R122" s="27"/>
      <c r="S122" s="27"/>
      <c r="T122" s="29" t="s">
        <v>16</v>
      </c>
      <c r="U122" s="30" t="s">
        <v>13</v>
      </c>
      <c r="V122" s="27"/>
      <c r="W122" s="27"/>
      <c r="X122" s="28"/>
      <c r="Y122" s="27"/>
      <c r="Z122" s="27"/>
      <c r="AA122" s="29" t="s">
        <v>14</v>
      </c>
      <c r="AB122" s="30" t="s">
        <v>11</v>
      </c>
      <c r="AC122" s="37"/>
      <c r="AD122" s="27"/>
      <c r="AE122" s="28"/>
      <c r="AF122" s="27"/>
      <c r="AG122" s="29" t="s">
        <v>15</v>
      </c>
      <c r="AH122" s="27"/>
      <c r="AI122" s="27"/>
      <c r="AJ122" s="25">
        <v>17</v>
      </c>
      <c r="AK122" s="33"/>
      <c r="AL122" s="33"/>
      <c r="AM122" s="33"/>
      <c r="AN122" s="33"/>
      <c r="AO122" s="33"/>
      <c r="AP122" s="33"/>
      <c r="AQ122" s="25" t="s">
        <v>12</v>
      </c>
      <c r="AR122" s="27"/>
      <c r="AS122" s="27"/>
      <c r="AT122" s="27"/>
      <c r="AU122" s="28"/>
      <c r="AV122" s="27"/>
      <c r="AW122" s="27"/>
      <c r="AX122" s="29" t="s">
        <v>16</v>
      </c>
      <c r="AY122" s="30" t="s">
        <v>13</v>
      </c>
      <c r="AZ122" s="27"/>
      <c r="BA122" s="27"/>
      <c r="BB122" s="28"/>
      <c r="BC122" s="27"/>
      <c r="BD122" s="27"/>
      <c r="BE122" s="32" t="s">
        <v>14</v>
      </c>
      <c r="BF122" s="30" t="s">
        <v>11</v>
      </c>
      <c r="BG122" s="27"/>
      <c r="BH122" s="27"/>
      <c r="BI122" s="28"/>
      <c r="BJ122" s="27"/>
      <c r="BK122" s="29" t="s">
        <v>15</v>
      </c>
      <c r="BL122" s="27"/>
      <c r="BM122" s="27"/>
      <c r="BN122" s="25">
        <v>17</v>
      </c>
      <c r="BO122" s="33"/>
      <c r="BP122" s="25" t="s">
        <v>12</v>
      </c>
      <c r="BQ122" s="27"/>
      <c r="BR122" s="27"/>
      <c r="BS122" s="27"/>
      <c r="BT122" s="28"/>
      <c r="BU122" s="27"/>
      <c r="BV122" s="27"/>
      <c r="BW122" s="29" t="s">
        <v>16</v>
      </c>
      <c r="BX122" s="30" t="s">
        <v>13</v>
      </c>
      <c r="BY122" s="27"/>
      <c r="BZ122" s="27"/>
      <c r="CA122" s="28"/>
      <c r="CB122" s="27"/>
      <c r="CC122" s="27"/>
      <c r="CD122" s="32" t="s">
        <v>14</v>
      </c>
      <c r="CE122" s="30" t="s">
        <v>11</v>
      </c>
      <c r="CF122" s="27"/>
      <c r="CG122" s="27"/>
      <c r="CH122" s="28"/>
      <c r="CI122" s="27"/>
      <c r="CJ122" s="29" t="s">
        <v>15</v>
      </c>
      <c r="CK122" s="27"/>
      <c r="CL122" s="27"/>
      <c r="CM122" s="25">
        <v>17</v>
      </c>
      <c r="CN122" s="33"/>
      <c r="CO122" s="33"/>
      <c r="CP122" s="33"/>
    </row>
    <row r="123" spans="1:94" x14ac:dyDescent="0.25">
      <c r="A123" s="25" t="s">
        <v>56</v>
      </c>
      <c r="B123" s="25" t="s">
        <v>275</v>
      </c>
      <c r="C123" s="25" t="s">
        <v>420</v>
      </c>
      <c r="D123" s="25">
        <v>110</v>
      </c>
      <c r="E123" s="35" cm="1">
        <f t="array" ref="E123">IFERROR(INDEX($J$5:$AVX$5, _xlfn.AGGREGATE(15,6, COLUMN(J123:AVX123)-COLUMN(J123)+1 / (J123:AVX123="T"), F123)), "")</f>
        <v>45996</v>
      </c>
      <c r="F123" s="74">
        <f t="shared" si="20"/>
        <v>2</v>
      </c>
      <c r="G123" s="35" cm="1">
        <f t="array" ref="G123">IFERROR(INDEX($J$5:$AVW$5,_xlfn.AGGREGATE(14,6,(COLUMN($J123:$AVW123)-COLUMN($J123)+1)/($J123:$AVW123="T"),1)),"")</f>
        <v>46020</v>
      </c>
      <c r="H123" s="77">
        <f t="shared" si="21"/>
        <v>3</v>
      </c>
      <c r="I123" s="38" t="s">
        <v>10</v>
      </c>
      <c r="J123" s="33"/>
      <c r="K123" s="33"/>
      <c r="L123" s="33"/>
      <c r="M123" s="25" t="s">
        <v>12</v>
      </c>
      <c r="N123" s="27"/>
      <c r="O123" s="27"/>
      <c r="P123" s="27"/>
      <c r="Q123" s="28"/>
      <c r="R123" s="27"/>
      <c r="S123" s="27"/>
      <c r="T123" s="29" t="s">
        <v>16</v>
      </c>
      <c r="U123" s="30" t="s">
        <v>13</v>
      </c>
      <c r="V123" s="27"/>
      <c r="W123" s="27"/>
      <c r="X123" s="28"/>
      <c r="Y123" s="27"/>
      <c r="Z123" s="27"/>
      <c r="AA123" s="29" t="s">
        <v>14</v>
      </c>
      <c r="AB123" s="30" t="s">
        <v>11</v>
      </c>
      <c r="AC123" s="37"/>
      <c r="AD123" s="27"/>
      <c r="AE123" s="28"/>
      <c r="AF123" s="27"/>
      <c r="AG123" s="29" t="s">
        <v>15</v>
      </c>
      <c r="AH123" s="27"/>
      <c r="AI123" s="27"/>
      <c r="AJ123" s="25">
        <v>17</v>
      </c>
      <c r="AK123" s="33"/>
      <c r="AL123" s="33"/>
      <c r="AM123" s="33"/>
      <c r="AN123" s="33"/>
      <c r="AO123" s="33"/>
      <c r="AP123" s="33"/>
      <c r="AQ123" s="33"/>
      <c r="AR123" s="25" t="s">
        <v>12</v>
      </c>
      <c r="AS123" s="27"/>
      <c r="AT123" s="27"/>
      <c r="AU123" s="27"/>
      <c r="AV123" s="28"/>
      <c r="AW123" s="27"/>
      <c r="AX123" s="27"/>
      <c r="AY123" s="29" t="s">
        <v>16</v>
      </c>
      <c r="AZ123" s="30" t="s">
        <v>13</v>
      </c>
      <c r="BA123" s="27"/>
      <c r="BB123" s="27"/>
      <c r="BC123" s="28"/>
      <c r="BD123" s="27"/>
      <c r="BE123" s="27"/>
      <c r="BF123" s="32" t="s">
        <v>14</v>
      </c>
      <c r="BG123" s="30" t="s">
        <v>11</v>
      </c>
      <c r="BH123" s="27"/>
      <c r="BI123" s="27"/>
      <c r="BJ123" s="28"/>
      <c r="BK123" s="27"/>
      <c r="BL123" s="29" t="s">
        <v>15</v>
      </c>
      <c r="BM123" s="27"/>
      <c r="BN123" s="27"/>
      <c r="BO123" s="25">
        <v>17</v>
      </c>
      <c r="BP123" s="25" t="s">
        <v>12</v>
      </c>
      <c r="BQ123" s="27"/>
      <c r="BR123" s="27"/>
      <c r="BS123" s="27"/>
      <c r="BT123" s="28"/>
      <c r="BU123" s="27"/>
      <c r="BV123" s="27"/>
      <c r="BW123" s="29" t="s">
        <v>16</v>
      </c>
      <c r="BX123" s="30" t="s">
        <v>13</v>
      </c>
      <c r="BY123" s="27"/>
      <c r="BZ123" s="27"/>
      <c r="CA123" s="28"/>
      <c r="CB123" s="27"/>
      <c r="CC123" s="27"/>
      <c r="CD123" s="32" t="s">
        <v>14</v>
      </c>
      <c r="CE123" s="30" t="s">
        <v>11</v>
      </c>
      <c r="CF123" s="27"/>
      <c r="CG123" s="27"/>
      <c r="CH123" s="28"/>
      <c r="CI123" s="27"/>
      <c r="CJ123" s="29" t="s">
        <v>15</v>
      </c>
      <c r="CK123" s="27"/>
      <c r="CL123" s="27"/>
      <c r="CM123" s="25">
        <v>17</v>
      </c>
      <c r="CN123" s="33"/>
      <c r="CO123" s="33"/>
      <c r="CP123" s="33"/>
    </row>
    <row r="124" spans="1:94" x14ac:dyDescent="0.25">
      <c r="A124" s="25" t="s">
        <v>56</v>
      </c>
      <c r="B124" s="25" t="s">
        <v>276</v>
      </c>
      <c r="C124" s="25" t="s">
        <v>421</v>
      </c>
      <c r="D124" s="25">
        <v>111</v>
      </c>
      <c r="E124" s="35" cm="1">
        <f t="array" ref="E124">IFERROR(INDEX($J$5:$AVX$5, _xlfn.AGGREGATE(15,6, COLUMN(J124:AVX124)-COLUMN(J124)+1 / (J124:AVX124="T"), F124)), "")</f>
        <v>45995</v>
      </c>
      <c r="F124" s="74">
        <f t="shared" si="20"/>
        <v>2</v>
      </c>
      <c r="G124" s="35" cm="1">
        <f t="array" ref="G124">IFERROR(INDEX($J$5:$AVW$5,_xlfn.AGGREGATE(14,6,(COLUMN($J124:$AVW124)-COLUMN($J124)+1)/($J124:$AVW124="T"),1)),"")</f>
        <v>46020</v>
      </c>
      <c r="H124" s="77">
        <f t="shared" si="21"/>
        <v>3</v>
      </c>
      <c r="I124" s="38" t="s">
        <v>10</v>
      </c>
      <c r="J124" s="33"/>
      <c r="K124" s="33"/>
      <c r="L124" s="33"/>
      <c r="M124" s="25" t="s">
        <v>12</v>
      </c>
      <c r="N124" s="27"/>
      <c r="O124" s="27"/>
      <c r="P124" s="27"/>
      <c r="Q124" s="28"/>
      <c r="R124" s="27"/>
      <c r="S124" s="27"/>
      <c r="T124" s="29" t="s">
        <v>16</v>
      </c>
      <c r="U124" s="30" t="s">
        <v>13</v>
      </c>
      <c r="V124" s="27"/>
      <c r="W124" s="27"/>
      <c r="X124" s="28"/>
      <c r="Y124" s="27"/>
      <c r="Z124" s="27"/>
      <c r="AA124" s="29" t="s">
        <v>14</v>
      </c>
      <c r="AB124" s="30" t="s">
        <v>11</v>
      </c>
      <c r="AC124" s="37"/>
      <c r="AD124" s="27"/>
      <c r="AE124" s="28"/>
      <c r="AF124" s="27"/>
      <c r="AG124" s="29" t="s">
        <v>15</v>
      </c>
      <c r="AH124" s="27"/>
      <c r="AI124" s="27"/>
      <c r="AJ124" s="25">
        <v>17</v>
      </c>
      <c r="AK124" s="33"/>
      <c r="AL124" s="33"/>
      <c r="AM124" s="33"/>
      <c r="AN124" s="33"/>
      <c r="AO124" s="33"/>
      <c r="AP124" s="33"/>
      <c r="AQ124" s="25" t="s">
        <v>12</v>
      </c>
      <c r="AR124" s="27"/>
      <c r="AS124" s="27"/>
      <c r="AT124" s="27"/>
      <c r="AU124" s="28"/>
      <c r="AV124" s="27"/>
      <c r="AW124" s="27"/>
      <c r="AX124" s="29" t="s">
        <v>16</v>
      </c>
      <c r="AY124" s="30" t="s">
        <v>13</v>
      </c>
      <c r="AZ124" s="27"/>
      <c r="BA124" s="27"/>
      <c r="BB124" s="28"/>
      <c r="BC124" s="27"/>
      <c r="BD124" s="27"/>
      <c r="BE124" s="32" t="s">
        <v>14</v>
      </c>
      <c r="BF124" s="30" t="s">
        <v>11</v>
      </c>
      <c r="BG124" s="27"/>
      <c r="BH124" s="27"/>
      <c r="BI124" s="28"/>
      <c r="BJ124" s="27"/>
      <c r="BK124" s="29" t="s">
        <v>15</v>
      </c>
      <c r="BL124" s="27"/>
      <c r="BM124" s="27"/>
      <c r="BN124" s="25">
        <v>17</v>
      </c>
      <c r="BO124" s="33"/>
      <c r="BP124" s="25" t="s">
        <v>12</v>
      </c>
      <c r="BQ124" s="27"/>
      <c r="BR124" s="27"/>
      <c r="BS124" s="27"/>
      <c r="BT124" s="28"/>
      <c r="BU124" s="27"/>
      <c r="BV124" s="27"/>
      <c r="BW124" s="29" t="s">
        <v>16</v>
      </c>
      <c r="BX124" s="30" t="s">
        <v>13</v>
      </c>
      <c r="BY124" s="27"/>
      <c r="BZ124" s="27"/>
      <c r="CA124" s="28"/>
      <c r="CB124" s="27"/>
      <c r="CC124" s="27"/>
      <c r="CD124" s="32" t="s">
        <v>14</v>
      </c>
      <c r="CE124" s="30" t="s">
        <v>11</v>
      </c>
      <c r="CF124" s="27"/>
      <c r="CG124" s="27"/>
      <c r="CH124" s="28"/>
      <c r="CI124" s="27"/>
      <c r="CJ124" s="29" t="s">
        <v>15</v>
      </c>
      <c r="CK124" s="27"/>
      <c r="CL124" s="27"/>
      <c r="CM124" s="25">
        <v>17</v>
      </c>
      <c r="CN124" s="33"/>
      <c r="CO124" s="33"/>
      <c r="CP124" s="33"/>
    </row>
    <row r="125" spans="1:94" x14ac:dyDescent="0.25">
      <c r="A125" s="25" t="s">
        <v>56</v>
      </c>
      <c r="B125" s="25" t="s">
        <v>277</v>
      </c>
      <c r="C125" s="25" t="s">
        <v>422</v>
      </c>
      <c r="D125" s="25">
        <v>112</v>
      </c>
      <c r="E125" s="35" cm="1">
        <f t="array" ref="E125">IFERROR(INDEX($J$5:$AVX$5, _xlfn.AGGREGATE(15,6, COLUMN(J125:AVX125)-COLUMN(J125)+1 / (J125:AVX125="T"), F125)), "")</f>
        <v>45995</v>
      </c>
      <c r="F125" s="74">
        <f t="shared" si="20"/>
        <v>2</v>
      </c>
      <c r="G125" s="35" cm="1">
        <f t="array" ref="G125">IFERROR(INDEX($J$5:$AVW$5,_xlfn.AGGREGATE(14,6,(COLUMN($J125:$AVW125)-COLUMN($J125)+1)/($J125:$AVW125="T"),1)),"")</f>
        <v>46020</v>
      </c>
      <c r="H125" s="77">
        <f t="shared" si="21"/>
        <v>3</v>
      </c>
      <c r="I125" s="38" t="s">
        <v>10</v>
      </c>
      <c r="J125" s="33"/>
      <c r="K125" s="33"/>
      <c r="L125" s="33"/>
      <c r="M125" s="25" t="s">
        <v>12</v>
      </c>
      <c r="N125" s="27"/>
      <c r="O125" s="27"/>
      <c r="P125" s="27"/>
      <c r="Q125" s="28"/>
      <c r="R125" s="27"/>
      <c r="S125" s="27"/>
      <c r="T125" s="29" t="s">
        <v>16</v>
      </c>
      <c r="U125" s="30" t="s">
        <v>13</v>
      </c>
      <c r="V125" s="27"/>
      <c r="W125" s="27"/>
      <c r="X125" s="28"/>
      <c r="Y125" s="27"/>
      <c r="Z125" s="27"/>
      <c r="AA125" s="29" t="s">
        <v>14</v>
      </c>
      <c r="AB125" s="30" t="s">
        <v>11</v>
      </c>
      <c r="AC125" s="37"/>
      <c r="AD125" s="27"/>
      <c r="AE125" s="28"/>
      <c r="AF125" s="27"/>
      <c r="AG125" s="29" t="s">
        <v>15</v>
      </c>
      <c r="AH125" s="27"/>
      <c r="AI125" s="27"/>
      <c r="AJ125" s="25">
        <v>17</v>
      </c>
      <c r="AK125" s="33"/>
      <c r="AL125" s="33"/>
      <c r="AM125" s="33"/>
      <c r="AN125" s="33"/>
      <c r="AO125" s="33"/>
      <c r="AP125" s="33"/>
      <c r="AQ125" s="25" t="s">
        <v>12</v>
      </c>
      <c r="AR125" s="27"/>
      <c r="AS125" s="27"/>
      <c r="AT125" s="27"/>
      <c r="AU125" s="28"/>
      <c r="AV125" s="27"/>
      <c r="AW125" s="27"/>
      <c r="AX125" s="29" t="s">
        <v>16</v>
      </c>
      <c r="AY125" s="30" t="s">
        <v>13</v>
      </c>
      <c r="AZ125" s="27"/>
      <c r="BA125" s="27"/>
      <c r="BB125" s="28"/>
      <c r="BC125" s="27"/>
      <c r="BD125" s="27"/>
      <c r="BE125" s="32" t="s">
        <v>14</v>
      </c>
      <c r="BF125" s="30" t="s">
        <v>11</v>
      </c>
      <c r="BG125" s="27"/>
      <c r="BH125" s="27"/>
      <c r="BI125" s="28"/>
      <c r="BJ125" s="27"/>
      <c r="BK125" s="29" t="s">
        <v>15</v>
      </c>
      <c r="BL125" s="27"/>
      <c r="BM125" s="27"/>
      <c r="BN125" s="25">
        <v>17</v>
      </c>
      <c r="BO125" s="33"/>
      <c r="BP125" s="25" t="s">
        <v>12</v>
      </c>
      <c r="BQ125" s="27"/>
      <c r="BR125" s="27"/>
      <c r="BS125" s="27"/>
      <c r="BT125" s="28"/>
      <c r="BU125" s="27"/>
      <c r="BV125" s="27"/>
      <c r="BW125" s="29" t="s">
        <v>16</v>
      </c>
      <c r="BX125" s="30" t="s">
        <v>13</v>
      </c>
      <c r="BY125" s="27"/>
      <c r="BZ125" s="27"/>
      <c r="CA125" s="28"/>
      <c r="CB125" s="27"/>
      <c r="CC125" s="27"/>
      <c r="CD125" s="32" t="s">
        <v>14</v>
      </c>
      <c r="CE125" s="30" t="s">
        <v>11</v>
      </c>
      <c r="CF125" s="27"/>
      <c r="CG125" s="27"/>
      <c r="CH125" s="28"/>
      <c r="CI125" s="27"/>
      <c r="CJ125" s="29" t="s">
        <v>15</v>
      </c>
      <c r="CK125" s="27"/>
      <c r="CL125" s="27"/>
      <c r="CM125" s="25">
        <v>17</v>
      </c>
      <c r="CN125" s="33"/>
      <c r="CO125" s="33"/>
      <c r="CP125" s="33"/>
    </row>
    <row r="126" spans="1:94" x14ac:dyDescent="0.25">
      <c r="A126" s="25" t="s">
        <v>56</v>
      </c>
      <c r="B126" s="25" t="s">
        <v>278</v>
      </c>
      <c r="C126" s="25" t="s">
        <v>423</v>
      </c>
      <c r="D126" s="25">
        <v>113</v>
      </c>
      <c r="E126" s="35" cm="1">
        <f t="array" ref="E126">IFERROR(INDEX($J$5:$AVX$5, _xlfn.AGGREGATE(15,6, COLUMN(J126:AVX126)-COLUMN(J126)+1 / (J126:AVX126="T"), F126)), "")</f>
        <v>45995</v>
      </c>
      <c r="F126" s="74">
        <f t="shared" si="20"/>
        <v>2</v>
      </c>
      <c r="G126" s="35" cm="1">
        <f t="array" ref="G126">IFERROR(INDEX($J$5:$AVW$5,_xlfn.AGGREGATE(14,6,(COLUMN($J126:$AVW126)-COLUMN($J126)+1)/($J126:$AVW126="T"),1)),"")</f>
        <v>46020</v>
      </c>
      <c r="H126" s="77">
        <f t="shared" si="21"/>
        <v>3</v>
      </c>
      <c r="I126" s="38" t="s">
        <v>10</v>
      </c>
      <c r="J126" s="33"/>
      <c r="K126" s="33"/>
      <c r="L126" s="33"/>
      <c r="M126" s="25" t="s">
        <v>12</v>
      </c>
      <c r="N126" s="27"/>
      <c r="O126" s="27"/>
      <c r="P126" s="27"/>
      <c r="Q126" s="28"/>
      <c r="R126" s="27"/>
      <c r="S126" s="27"/>
      <c r="T126" s="29" t="s">
        <v>16</v>
      </c>
      <c r="U126" s="30" t="s">
        <v>13</v>
      </c>
      <c r="V126" s="27"/>
      <c r="W126" s="27"/>
      <c r="X126" s="28"/>
      <c r="Y126" s="27"/>
      <c r="Z126" s="27"/>
      <c r="AA126" s="29" t="s">
        <v>14</v>
      </c>
      <c r="AB126" s="30" t="s">
        <v>11</v>
      </c>
      <c r="AC126" s="37"/>
      <c r="AD126" s="27"/>
      <c r="AE126" s="28"/>
      <c r="AF126" s="27"/>
      <c r="AG126" s="29" t="s">
        <v>15</v>
      </c>
      <c r="AH126" s="27"/>
      <c r="AI126" s="27"/>
      <c r="AJ126" s="25">
        <v>17</v>
      </c>
      <c r="AK126" s="33"/>
      <c r="AL126" s="33"/>
      <c r="AM126" s="33"/>
      <c r="AN126" s="33"/>
      <c r="AO126" s="33"/>
      <c r="AP126" s="33"/>
      <c r="AQ126" s="25" t="s">
        <v>12</v>
      </c>
      <c r="AR126" s="27"/>
      <c r="AS126" s="27"/>
      <c r="AT126" s="27"/>
      <c r="AU126" s="28"/>
      <c r="AV126" s="27"/>
      <c r="AW126" s="27"/>
      <c r="AX126" s="29" t="s">
        <v>16</v>
      </c>
      <c r="AY126" s="30" t="s">
        <v>13</v>
      </c>
      <c r="AZ126" s="27"/>
      <c r="BA126" s="27"/>
      <c r="BB126" s="28"/>
      <c r="BC126" s="27"/>
      <c r="BD126" s="27"/>
      <c r="BE126" s="32" t="s">
        <v>14</v>
      </c>
      <c r="BF126" s="30" t="s">
        <v>11</v>
      </c>
      <c r="BG126" s="27"/>
      <c r="BH126" s="27"/>
      <c r="BI126" s="28"/>
      <c r="BJ126" s="27"/>
      <c r="BK126" s="29" t="s">
        <v>15</v>
      </c>
      <c r="BL126" s="27"/>
      <c r="BM126" s="27"/>
      <c r="BN126" s="25">
        <v>17</v>
      </c>
      <c r="BO126" s="33"/>
      <c r="BP126" s="25" t="s">
        <v>12</v>
      </c>
      <c r="BQ126" s="27"/>
      <c r="BR126" s="27"/>
      <c r="BS126" s="27"/>
      <c r="BT126" s="28"/>
      <c r="BU126" s="27"/>
      <c r="BV126" s="27"/>
      <c r="BW126" s="29" t="s">
        <v>16</v>
      </c>
      <c r="BX126" s="30" t="s">
        <v>13</v>
      </c>
      <c r="BY126" s="27"/>
      <c r="BZ126" s="27"/>
      <c r="CA126" s="28"/>
      <c r="CB126" s="27"/>
      <c r="CC126" s="27"/>
      <c r="CD126" s="32" t="s">
        <v>14</v>
      </c>
      <c r="CE126" s="30" t="s">
        <v>11</v>
      </c>
      <c r="CF126" s="27"/>
      <c r="CG126" s="27"/>
      <c r="CH126" s="28"/>
      <c r="CI126" s="27"/>
      <c r="CJ126" s="29" t="s">
        <v>15</v>
      </c>
      <c r="CK126" s="27"/>
      <c r="CL126" s="27"/>
      <c r="CM126" s="25">
        <v>17</v>
      </c>
      <c r="CN126" s="33"/>
      <c r="CO126" s="33"/>
      <c r="CP126" s="33"/>
    </row>
    <row r="127" spans="1:94" x14ac:dyDescent="0.25">
      <c r="A127" s="39" t="s">
        <v>56</v>
      </c>
      <c r="B127" s="39" t="s">
        <v>279</v>
      </c>
      <c r="C127" s="25" t="s">
        <v>424</v>
      </c>
      <c r="D127" s="25">
        <v>114</v>
      </c>
      <c r="E127" s="35" t="str" cm="1">
        <f t="array" ref="E127">IFERROR(INDEX($J$5:$AVX$5, _xlfn.AGGREGATE(15,6, COLUMN(J127:AVX127)-COLUMN(J127)+1 / (J127:AVX127="T"), F127)), "")</f>
        <v/>
      </c>
      <c r="F127" s="74">
        <f t="shared" si="20"/>
        <v>2</v>
      </c>
      <c r="G127" s="35" cm="1">
        <f t="array" ref="G127">IFERROR(INDEX($J$5:$AVW$5,_xlfn.AGGREGATE(14,6,(COLUMN($J127:$AVW127)-COLUMN($J127)+1)/($J127:$AVW127="T"),1)),"")</f>
        <v>45968</v>
      </c>
      <c r="H127" s="77">
        <f t="shared" si="21"/>
        <v>1</v>
      </c>
      <c r="I127" s="44" t="s">
        <v>10</v>
      </c>
      <c r="J127" s="33"/>
      <c r="K127" s="33"/>
      <c r="L127" s="33"/>
      <c r="M127" s="33"/>
      <c r="N127" s="33"/>
      <c r="O127" s="33"/>
      <c r="P127" s="25" t="s">
        <v>12</v>
      </c>
      <c r="Q127" s="27"/>
      <c r="R127" s="27"/>
      <c r="S127" s="27"/>
      <c r="T127" s="28"/>
      <c r="U127" s="27"/>
      <c r="V127" s="27"/>
      <c r="W127" s="29" t="s">
        <v>16</v>
      </c>
      <c r="X127" s="30" t="s">
        <v>13</v>
      </c>
      <c r="Y127" s="27"/>
      <c r="Z127" s="27"/>
      <c r="AA127" s="28"/>
      <c r="AB127" s="27"/>
      <c r="AC127" s="27"/>
      <c r="AD127" s="32" t="s">
        <v>14</v>
      </c>
      <c r="AE127" s="30" t="s">
        <v>11</v>
      </c>
      <c r="AF127" s="27"/>
      <c r="AG127" s="27"/>
      <c r="AH127" s="28"/>
      <c r="AI127" s="27"/>
      <c r="AJ127" s="29" t="s">
        <v>15</v>
      </c>
      <c r="AK127" s="27"/>
      <c r="AL127" s="27"/>
      <c r="AM127" s="25">
        <v>17</v>
      </c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3"/>
      <c r="CG127" s="33"/>
      <c r="CH127" s="33"/>
      <c r="CI127" s="33"/>
      <c r="CJ127" s="33"/>
      <c r="CK127" s="33"/>
      <c r="CL127" s="33"/>
      <c r="CM127" s="33"/>
      <c r="CN127" s="33"/>
      <c r="CO127" s="33"/>
      <c r="CP127" s="33"/>
    </row>
    <row r="128" spans="1:94" s="40" customFormat="1" x14ac:dyDescent="0.25">
      <c r="A128" s="39" t="s">
        <v>56</v>
      </c>
      <c r="B128" s="39" t="s">
        <v>280</v>
      </c>
      <c r="C128" s="25" t="s">
        <v>425</v>
      </c>
      <c r="D128" s="25">
        <v>115</v>
      </c>
      <c r="E128" s="35" t="str" cm="1">
        <f t="array" ref="E128">IFERROR(INDEX($J$5:$AVX$5, _xlfn.AGGREGATE(15,6, COLUMN(J128:AVX128)-COLUMN(J128)+1 / (J128:AVX128="T"), F128)), "")</f>
        <v/>
      </c>
      <c r="F128" s="74">
        <f t="shared" si="20"/>
        <v>2</v>
      </c>
      <c r="G128" s="35" cm="1">
        <f t="array" ref="G128">IFERROR(INDEX($J$5:$AVW$5,_xlfn.AGGREGATE(14,6,(COLUMN($J128:$AVW128)-COLUMN($J128)+1)/($J128:$AVW128="T"),1)),"")</f>
        <v>45968</v>
      </c>
      <c r="H128" s="77">
        <f t="shared" si="21"/>
        <v>1</v>
      </c>
      <c r="I128" s="44" t="s">
        <v>10</v>
      </c>
      <c r="J128" s="33"/>
      <c r="K128" s="33"/>
      <c r="L128" s="33"/>
      <c r="M128" s="33"/>
      <c r="N128" s="33"/>
      <c r="O128" s="33"/>
      <c r="P128" s="25" t="s">
        <v>12</v>
      </c>
      <c r="Q128" s="27"/>
      <c r="R128" s="27"/>
      <c r="S128" s="27"/>
      <c r="T128" s="28"/>
      <c r="U128" s="27"/>
      <c r="V128" s="27"/>
      <c r="W128" s="29" t="s">
        <v>16</v>
      </c>
      <c r="X128" s="30" t="s">
        <v>13</v>
      </c>
      <c r="Y128" s="27"/>
      <c r="Z128" s="27"/>
      <c r="AA128" s="28"/>
      <c r="AB128" s="27"/>
      <c r="AC128" s="27"/>
      <c r="AD128" s="32" t="s">
        <v>14</v>
      </c>
      <c r="AE128" s="30" t="s">
        <v>11</v>
      </c>
      <c r="AF128" s="27"/>
      <c r="AG128" s="27"/>
      <c r="AH128" s="28"/>
      <c r="AI128" s="27"/>
      <c r="AJ128" s="29" t="s">
        <v>15</v>
      </c>
      <c r="AK128" s="27"/>
      <c r="AL128" s="27"/>
      <c r="AM128" s="25">
        <v>17</v>
      </c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</row>
    <row r="129" spans="1:95" s="40" customFormat="1" x14ac:dyDescent="0.25">
      <c r="A129" s="49" t="s">
        <v>56</v>
      </c>
      <c r="B129" s="49" t="s">
        <v>281</v>
      </c>
      <c r="C129" s="25" t="s">
        <v>426</v>
      </c>
      <c r="D129" s="25">
        <v>116</v>
      </c>
      <c r="E129" s="35" t="str" cm="1">
        <f t="array" ref="E129">IFERROR(INDEX($J$5:$AVX$5, _xlfn.AGGREGATE(15,6, COLUMN(J129:AVX129)-COLUMN(J129)+1 / (J129:AVX129="T"), F129)), "")</f>
        <v/>
      </c>
      <c r="F129" s="74">
        <f t="shared" si="20"/>
        <v>2</v>
      </c>
      <c r="G129" s="35" cm="1">
        <f t="array" ref="G129">IFERROR(INDEX($J$5:$AVW$5,_xlfn.AGGREGATE(14,6,(COLUMN($J129:$AVW129)-COLUMN($J129)+1)/($J129:$AVW129="T"),1)),"")</f>
        <v>45968</v>
      </c>
      <c r="H129" s="77">
        <f t="shared" si="21"/>
        <v>1</v>
      </c>
      <c r="I129" s="50" t="s">
        <v>10</v>
      </c>
      <c r="J129" s="33"/>
      <c r="K129" s="33"/>
      <c r="L129" s="33"/>
      <c r="M129" s="33"/>
      <c r="N129" s="33"/>
      <c r="O129" s="33"/>
      <c r="P129" s="25" t="s">
        <v>12</v>
      </c>
      <c r="Q129" s="27"/>
      <c r="R129" s="27"/>
      <c r="S129" s="27"/>
      <c r="T129" s="28"/>
      <c r="U129" s="27"/>
      <c r="V129" s="27"/>
      <c r="W129" s="29" t="s">
        <v>16</v>
      </c>
      <c r="X129" s="30" t="s">
        <v>13</v>
      </c>
      <c r="Y129" s="27"/>
      <c r="Z129" s="27"/>
      <c r="AA129" s="28"/>
      <c r="AB129" s="27"/>
      <c r="AC129" s="27"/>
      <c r="AD129" s="32" t="s">
        <v>14</v>
      </c>
      <c r="AE129" s="30" t="s">
        <v>11</v>
      </c>
      <c r="AF129" s="27"/>
      <c r="AG129" s="27"/>
      <c r="AH129" s="28"/>
      <c r="AI129" s="27"/>
      <c r="AJ129" s="29" t="s">
        <v>15</v>
      </c>
      <c r="AK129" s="27"/>
      <c r="AL129" s="27"/>
      <c r="AM129" s="25">
        <v>17</v>
      </c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  <c r="CF129" s="33"/>
      <c r="CG129" s="33"/>
      <c r="CH129" s="33"/>
      <c r="CI129" s="33"/>
      <c r="CJ129" s="33"/>
      <c r="CK129" s="33"/>
      <c r="CL129" s="33"/>
      <c r="CM129" s="33"/>
      <c r="CN129" s="33"/>
      <c r="CO129" s="33"/>
      <c r="CP129" s="33"/>
    </row>
    <row r="130" spans="1:95" s="40" customFormat="1" x14ac:dyDescent="0.25">
      <c r="A130" s="49" t="s">
        <v>56</v>
      </c>
      <c r="B130" s="49" t="s">
        <v>282</v>
      </c>
      <c r="C130" s="25" t="s">
        <v>427</v>
      </c>
      <c r="D130" s="25">
        <v>117</v>
      </c>
      <c r="E130" s="35" t="str" cm="1">
        <f t="array" ref="E130">IFERROR(INDEX($J$5:$AVX$5, _xlfn.AGGREGATE(15,6, COLUMN(J130:AVX130)-COLUMN(J130)+1 / (J130:AVX130="T"), F130)), "")</f>
        <v/>
      </c>
      <c r="F130" s="74">
        <f t="shared" si="20"/>
        <v>2</v>
      </c>
      <c r="G130" s="35" t="str" cm="1">
        <f t="array" ref="G130">IFERROR(INDEX($J$5:$AVW$5,_xlfn.AGGREGATE(14,6,(COLUMN($J130:$AVW130)-COLUMN($J130)+1)/($J130:$AVW130="T"),1)),"")</f>
        <v/>
      </c>
      <c r="H130" s="77">
        <f t="shared" si="21"/>
        <v>0</v>
      </c>
      <c r="I130" s="50" t="s">
        <v>10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3"/>
      <c r="CH130" s="33"/>
      <c r="CI130" s="33"/>
      <c r="CJ130" s="33"/>
      <c r="CK130" s="33"/>
      <c r="CL130" s="33"/>
      <c r="CM130" s="33"/>
      <c r="CN130" s="33"/>
      <c r="CO130" s="33"/>
      <c r="CP130" s="33"/>
    </row>
    <row r="131" spans="1:95" s="40" customFormat="1" x14ac:dyDescent="0.25">
      <c r="A131" s="25" t="s">
        <v>130</v>
      </c>
      <c r="B131" s="25" t="s">
        <v>166</v>
      </c>
      <c r="C131" s="25" t="s">
        <v>428</v>
      </c>
      <c r="D131" s="25">
        <v>118</v>
      </c>
      <c r="E131" s="35" cm="1">
        <f t="array" ref="E131">IFERROR(INDEX($J$5:$AVX$5, _xlfn.AGGREGATE(15,6, COLUMN(J131:AVX131)-COLUMN(J131)+1 / (J131:AVX131="T"), F131)), "")</f>
        <v>45998</v>
      </c>
      <c r="F131" s="74">
        <f t="shared" si="20"/>
        <v>2</v>
      </c>
      <c r="G131" s="35" cm="1">
        <f t="array" ref="G131">IFERROR(INDEX($J$5:$AVW$5,_xlfn.AGGREGATE(14,6,(COLUMN($J131:$AVW131)-COLUMN($J131)+1)/($J131:$AVW131="T"),1)),"")</f>
        <v>45998</v>
      </c>
      <c r="H131" s="77">
        <f t="shared" si="21"/>
        <v>2</v>
      </c>
      <c r="I131" s="38" t="s">
        <v>10</v>
      </c>
      <c r="J131" s="33"/>
      <c r="K131" s="33"/>
      <c r="L131" s="33"/>
      <c r="M131" s="33"/>
      <c r="N131" s="33"/>
      <c r="O131" s="33"/>
      <c r="P131" s="33"/>
      <c r="Q131" s="25" t="s">
        <v>12</v>
      </c>
      <c r="R131" s="27"/>
      <c r="S131" s="27"/>
      <c r="T131" s="27"/>
      <c r="U131" s="28"/>
      <c r="V131" s="27"/>
      <c r="W131" s="27"/>
      <c r="X131" s="29" t="s">
        <v>16</v>
      </c>
      <c r="Y131" s="30" t="s">
        <v>13</v>
      </c>
      <c r="Z131" s="27"/>
      <c r="AA131" s="27"/>
      <c r="AB131" s="28"/>
      <c r="AC131" s="27"/>
      <c r="AD131" s="27"/>
      <c r="AE131" s="32" t="s">
        <v>14</v>
      </c>
      <c r="AF131" s="30" t="s">
        <v>11</v>
      </c>
      <c r="AG131" s="27"/>
      <c r="AH131" s="27"/>
      <c r="AI131" s="28"/>
      <c r="AJ131" s="27"/>
      <c r="AK131" s="29" t="s">
        <v>15</v>
      </c>
      <c r="AL131" s="27"/>
      <c r="AM131" s="27"/>
      <c r="AN131" s="25">
        <v>17</v>
      </c>
      <c r="AO131" s="33"/>
      <c r="AP131" s="33"/>
      <c r="AQ131" s="33"/>
      <c r="AR131" s="33"/>
      <c r="AS131" s="33"/>
      <c r="AT131" s="25" t="s">
        <v>12</v>
      </c>
      <c r="AU131" s="27"/>
      <c r="AV131" s="27"/>
      <c r="AW131" s="27"/>
      <c r="AX131" s="28"/>
      <c r="AY131" s="27"/>
      <c r="AZ131" s="27"/>
      <c r="BA131" s="29" t="s">
        <v>16</v>
      </c>
      <c r="BB131" s="30" t="s">
        <v>13</v>
      </c>
      <c r="BC131" s="27"/>
      <c r="BD131" s="27"/>
      <c r="BE131" s="28"/>
      <c r="BF131" s="27"/>
      <c r="BG131" s="27"/>
      <c r="BH131" s="32" t="s">
        <v>14</v>
      </c>
      <c r="BI131" s="30" t="s">
        <v>11</v>
      </c>
      <c r="BJ131" s="27"/>
      <c r="BK131" s="27"/>
      <c r="BL131" s="28"/>
      <c r="BM131" s="27"/>
      <c r="BN131" s="29" t="s">
        <v>15</v>
      </c>
      <c r="BO131" s="27"/>
      <c r="BP131" s="27"/>
      <c r="BQ131" s="25">
        <v>17</v>
      </c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  <c r="CF131" s="33"/>
      <c r="CG131" s="33"/>
      <c r="CH131" s="33"/>
      <c r="CI131" s="33"/>
      <c r="CJ131" s="33"/>
      <c r="CK131" s="33"/>
      <c r="CL131" s="33"/>
      <c r="CM131" s="33"/>
      <c r="CN131" s="33"/>
      <c r="CO131" s="33"/>
      <c r="CP131" s="33"/>
    </row>
    <row r="132" spans="1:95" s="40" customFormat="1" x14ac:dyDescent="0.25">
      <c r="A132" s="25" t="s">
        <v>130</v>
      </c>
      <c r="B132" s="25" t="s">
        <v>167</v>
      </c>
      <c r="C132" s="25" t="s">
        <v>429</v>
      </c>
      <c r="D132" s="25">
        <v>119</v>
      </c>
      <c r="E132" s="35" cm="1">
        <f t="array" ref="E132">IFERROR(INDEX($J$5:$AVX$5, _xlfn.AGGREGATE(15,6, COLUMN(J132:AVX132)-COLUMN(J132)+1 / (J132:AVX132="T"), F132)), "")</f>
        <v>45998</v>
      </c>
      <c r="F132" s="74">
        <f t="shared" si="20"/>
        <v>2</v>
      </c>
      <c r="G132" s="35" cm="1">
        <f t="array" ref="G132">IFERROR(INDEX($J$5:$AVW$5,_xlfn.AGGREGATE(14,6,(COLUMN($J132:$AVW132)-COLUMN($J132)+1)/($J132:$AVW132="T"),1)),"")</f>
        <v>45998</v>
      </c>
      <c r="H132" s="77">
        <f t="shared" si="21"/>
        <v>2</v>
      </c>
      <c r="I132" s="38" t="s">
        <v>10</v>
      </c>
      <c r="J132" s="33"/>
      <c r="K132" s="33"/>
      <c r="L132" s="33"/>
      <c r="M132" s="33"/>
      <c r="N132" s="33"/>
      <c r="O132" s="33"/>
      <c r="P132" s="33"/>
      <c r="Q132" s="25" t="s">
        <v>12</v>
      </c>
      <c r="R132" s="27"/>
      <c r="S132" s="27"/>
      <c r="T132" s="27"/>
      <c r="U132" s="28"/>
      <c r="V132" s="27"/>
      <c r="W132" s="27"/>
      <c r="X132" s="29" t="s">
        <v>16</v>
      </c>
      <c r="Y132" s="30" t="s">
        <v>13</v>
      </c>
      <c r="Z132" s="27"/>
      <c r="AA132" s="27"/>
      <c r="AB132" s="28"/>
      <c r="AC132" s="27"/>
      <c r="AD132" s="27"/>
      <c r="AE132" s="29" t="s">
        <v>14</v>
      </c>
      <c r="AF132" s="30" t="s">
        <v>11</v>
      </c>
      <c r="AG132" s="37"/>
      <c r="AH132" s="27"/>
      <c r="AI132" s="28"/>
      <c r="AJ132" s="27"/>
      <c r="AK132" s="29" t="s">
        <v>15</v>
      </c>
      <c r="AL132" s="27"/>
      <c r="AM132" s="27"/>
      <c r="AN132" s="25">
        <v>17</v>
      </c>
      <c r="AO132" s="33"/>
      <c r="AP132" s="33"/>
      <c r="AQ132" s="33"/>
      <c r="AR132" s="33"/>
      <c r="AS132" s="33"/>
      <c r="AT132" s="25" t="s">
        <v>12</v>
      </c>
      <c r="AU132" s="27"/>
      <c r="AV132" s="27"/>
      <c r="AW132" s="27"/>
      <c r="AX132" s="28"/>
      <c r="AY132" s="27"/>
      <c r="AZ132" s="27"/>
      <c r="BA132" s="29" t="s">
        <v>16</v>
      </c>
      <c r="BB132" s="30" t="s">
        <v>13</v>
      </c>
      <c r="BC132" s="27"/>
      <c r="BD132" s="27"/>
      <c r="BE132" s="28"/>
      <c r="BF132" s="27"/>
      <c r="BG132" s="27"/>
      <c r="BH132" s="32" t="s">
        <v>14</v>
      </c>
      <c r="BI132" s="30" t="s">
        <v>11</v>
      </c>
      <c r="BJ132" s="27"/>
      <c r="BK132" s="27"/>
      <c r="BL132" s="28"/>
      <c r="BM132" s="27"/>
      <c r="BN132" s="29" t="s">
        <v>15</v>
      </c>
      <c r="BO132" s="27"/>
      <c r="BP132" s="27"/>
      <c r="BQ132" s="25">
        <v>17</v>
      </c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  <c r="CF132" s="33"/>
      <c r="CG132" s="33"/>
      <c r="CH132" s="33"/>
      <c r="CI132" s="33"/>
      <c r="CJ132" s="33"/>
      <c r="CK132" s="33"/>
      <c r="CL132" s="33"/>
      <c r="CM132" s="33"/>
      <c r="CN132" s="33"/>
      <c r="CO132" s="33"/>
      <c r="CP132" s="33"/>
    </row>
    <row r="133" spans="1:95" s="40" customFormat="1" x14ac:dyDescent="0.25">
      <c r="A133" s="25" t="s">
        <v>130</v>
      </c>
      <c r="B133" s="25" t="s">
        <v>168</v>
      </c>
      <c r="C133" s="25" t="s">
        <v>430</v>
      </c>
      <c r="D133" s="25">
        <v>120</v>
      </c>
      <c r="E133" s="35" cm="1">
        <f t="array" ref="E133">IFERROR(INDEX($J$5:$AVX$5, _xlfn.AGGREGATE(15,6, COLUMN(J133:AVX133)-COLUMN(J133)+1 / (J133:AVX133="T"), F133)), "")</f>
        <v>45998</v>
      </c>
      <c r="F133" s="74">
        <f t="shared" si="20"/>
        <v>2</v>
      </c>
      <c r="G133" s="35" cm="1">
        <f t="array" ref="G133">IFERROR(INDEX($J$5:$AVW$5,_xlfn.AGGREGATE(14,6,(COLUMN($J133:$AVW133)-COLUMN($J133)+1)/($J133:$AVW133="T"),1)),"")</f>
        <v>45998</v>
      </c>
      <c r="H133" s="77">
        <f t="shared" si="21"/>
        <v>2</v>
      </c>
      <c r="I133" s="38" t="s">
        <v>10</v>
      </c>
      <c r="J133" s="33"/>
      <c r="K133" s="33"/>
      <c r="L133" s="33"/>
      <c r="M133" s="33"/>
      <c r="N133" s="33"/>
      <c r="O133" s="33"/>
      <c r="P133" s="33"/>
      <c r="Q133" s="25" t="s">
        <v>12</v>
      </c>
      <c r="R133" s="27"/>
      <c r="S133" s="27"/>
      <c r="T133" s="27"/>
      <c r="U133" s="28"/>
      <c r="V133" s="27"/>
      <c r="W133" s="27"/>
      <c r="X133" s="29" t="s">
        <v>16</v>
      </c>
      <c r="Y133" s="30" t="s">
        <v>13</v>
      </c>
      <c r="Z133" s="27"/>
      <c r="AA133" s="27"/>
      <c r="AB133" s="28"/>
      <c r="AC133" s="27"/>
      <c r="AD133" s="27"/>
      <c r="AE133" s="29" t="s">
        <v>14</v>
      </c>
      <c r="AF133" s="30" t="s">
        <v>11</v>
      </c>
      <c r="AG133" s="37"/>
      <c r="AH133" s="27"/>
      <c r="AI133" s="28"/>
      <c r="AJ133" s="27"/>
      <c r="AK133" s="29" t="s">
        <v>15</v>
      </c>
      <c r="AL133" s="27"/>
      <c r="AM133" s="27"/>
      <c r="AN133" s="25">
        <v>17</v>
      </c>
      <c r="AO133" s="33"/>
      <c r="AP133" s="33"/>
      <c r="AQ133" s="33"/>
      <c r="AR133" s="33"/>
      <c r="AS133" s="33"/>
      <c r="AT133" s="25" t="s">
        <v>12</v>
      </c>
      <c r="AU133" s="27"/>
      <c r="AV133" s="27"/>
      <c r="AW133" s="27"/>
      <c r="AX133" s="28"/>
      <c r="AY133" s="27"/>
      <c r="AZ133" s="27"/>
      <c r="BA133" s="29" t="s">
        <v>16</v>
      </c>
      <c r="BB133" s="30" t="s">
        <v>13</v>
      </c>
      <c r="BC133" s="27"/>
      <c r="BD133" s="27"/>
      <c r="BE133" s="28"/>
      <c r="BF133" s="27"/>
      <c r="BG133" s="27"/>
      <c r="BH133" s="32" t="s">
        <v>14</v>
      </c>
      <c r="BI133" s="30" t="s">
        <v>11</v>
      </c>
      <c r="BJ133" s="27"/>
      <c r="BK133" s="27"/>
      <c r="BL133" s="28"/>
      <c r="BM133" s="27"/>
      <c r="BN133" s="29" t="s">
        <v>15</v>
      </c>
      <c r="BO133" s="27"/>
      <c r="BP133" s="27"/>
      <c r="BQ133" s="25">
        <v>17</v>
      </c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  <c r="CF133" s="33"/>
      <c r="CG133" s="33"/>
      <c r="CH133" s="33"/>
      <c r="CI133" s="33"/>
      <c r="CJ133" s="33"/>
      <c r="CK133" s="33"/>
      <c r="CL133" s="33"/>
      <c r="CM133" s="33"/>
      <c r="CN133" s="33"/>
      <c r="CO133" s="33"/>
      <c r="CP133" s="33"/>
    </row>
    <row r="134" spans="1:95" s="40" customFormat="1" x14ac:dyDescent="0.25">
      <c r="A134" s="25" t="s">
        <v>130</v>
      </c>
      <c r="B134" s="25" t="s">
        <v>169</v>
      </c>
      <c r="C134" s="25" t="s">
        <v>431</v>
      </c>
      <c r="D134" s="25">
        <v>121</v>
      </c>
      <c r="E134" s="35" cm="1">
        <f t="array" ref="E134">IFERROR(INDEX($J$5:$AVX$5, _xlfn.AGGREGATE(15,6, COLUMN(J134:AVX134)-COLUMN(J134)+1 / (J134:AVX134="T"), F134)), "")</f>
        <v>45998</v>
      </c>
      <c r="F134" s="74">
        <f t="shared" si="20"/>
        <v>2</v>
      </c>
      <c r="G134" s="35" cm="1">
        <f t="array" ref="G134">IFERROR(INDEX($J$5:$AVW$5,_xlfn.AGGREGATE(14,6,(COLUMN($J134:$AVW134)-COLUMN($J134)+1)/($J134:$AVW134="T"),1)),"")</f>
        <v>45998</v>
      </c>
      <c r="H134" s="77">
        <f t="shared" si="21"/>
        <v>2</v>
      </c>
      <c r="I134" s="38" t="s">
        <v>10</v>
      </c>
      <c r="J134" s="33"/>
      <c r="K134" s="33"/>
      <c r="L134" s="33"/>
      <c r="M134" s="33"/>
      <c r="N134" s="33"/>
      <c r="O134" s="33"/>
      <c r="P134" s="33"/>
      <c r="Q134" s="25" t="s">
        <v>12</v>
      </c>
      <c r="R134" s="27"/>
      <c r="S134" s="27"/>
      <c r="T134" s="27"/>
      <c r="U134" s="28"/>
      <c r="V134" s="27"/>
      <c r="W134" s="27"/>
      <c r="X134" s="29" t="s">
        <v>16</v>
      </c>
      <c r="Y134" s="30" t="s">
        <v>13</v>
      </c>
      <c r="Z134" s="27"/>
      <c r="AA134" s="27"/>
      <c r="AB134" s="28"/>
      <c r="AC134" s="27"/>
      <c r="AD134" s="27"/>
      <c r="AE134" s="29" t="s">
        <v>14</v>
      </c>
      <c r="AF134" s="30" t="s">
        <v>11</v>
      </c>
      <c r="AG134" s="37"/>
      <c r="AH134" s="27"/>
      <c r="AI134" s="28"/>
      <c r="AJ134" s="27"/>
      <c r="AK134" s="29" t="s">
        <v>15</v>
      </c>
      <c r="AL134" s="27"/>
      <c r="AM134" s="27"/>
      <c r="AN134" s="25">
        <v>17</v>
      </c>
      <c r="AO134" s="33"/>
      <c r="AP134" s="33"/>
      <c r="AQ134" s="33"/>
      <c r="AR134" s="33"/>
      <c r="AS134" s="33"/>
      <c r="AT134" s="25" t="s">
        <v>12</v>
      </c>
      <c r="AU134" s="27"/>
      <c r="AV134" s="27"/>
      <c r="AW134" s="27"/>
      <c r="AX134" s="28"/>
      <c r="AY134" s="27"/>
      <c r="AZ134" s="27"/>
      <c r="BA134" s="29" t="s">
        <v>16</v>
      </c>
      <c r="BB134" s="30" t="s">
        <v>13</v>
      </c>
      <c r="BC134" s="27"/>
      <c r="BD134" s="27"/>
      <c r="BE134" s="28"/>
      <c r="BF134" s="27"/>
      <c r="BG134" s="27"/>
      <c r="BH134" s="32" t="s">
        <v>14</v>
      </c>
      <c r="BI134" s="30" t="s">
        <v>11</v>
      </c>
      <c r="BJ134" s="27"/>
      <c r="BK134" s="27"/>
      <c r="BL134" s="28"/>
      <c r="BM134" s="27"/>
      <c r="BN134" s="29" t="s">
        <v>15</v>
      </c>
      <c r="BO134" s="27"/>
      <c r="BP134" s="27"/>
      <c r="BQ134" s="25">
        <v>17</v>
      </c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  <c r="CF134" s="33"/>
      <c r="CG134" s="33"/>
      <c r="CH134" s="33"/>
      <c r="CI134" s="33"/>
      <c r="CJ134" s="33"/>
      <c r="CK134" s="33"/>
      <c r="CL134" s="33"/>
      <c r="CM134" s="33"/>
      <c r="CN134" s="33"/>
      <c r="CO134" s="33"/>
      <c r="CP134" s="33"/>
    </row>
    <row r="135" spans="1:95" x14ac:dyDescent="0.25">
      <c r="A135" s="25" t="s">
        <v>130</v>
      </c>
      <c r="B135" s="25" t="s">
        <v>170</v>
      </c>
      <c r="C135" s="25" t="s">
        <v>432</v>
      </c>
      <c r="D135" s="25">
        <v>122</v>
      </c>
      <c r="E135" s="35" cm="1">
        <f t="array" ref="E135">IFERROR(INDEX($J$5:$AVX$5, _xlfn.AGGREGATE(15,6, COLUMN(J135:AVX135)-COLUMN(J135)+1 / (J135:AVX135="T"), F135)), "")</f>
        <v>45998</v>
      </c>
      <c r="F135" s="74">
        <f t="shared" si="20"/>
        <v>2</v>
      </c>
      <c r="G135" s="35" cm="1">
        <f t="array" ref="G135">IFERROR(INDEX($J$5:$AVW$5,_xlfn.AGGREGATE(14,6,(COLUMN($J135:$AVW135)-COLUMN($J135)+1)/($J135:$AVW135="T"),1)),"")</f>
        <v>45998</v>
      </c>
      <c r="H135" s="77">
        <f t="shared" si="21"/>
        <v>2</v>
      </c>
      <c r="I135" s="38" t="s">
        <v>10</v>
      </c>
      <c r="J135" s="33"/>
      <c r="K135" s="33"/>
      <c r="L135" s="33"/>
      <c r="M135" s="33"/>
      <c r="N135" s="33"/>
      <c r="O135" s="33"/>
      <c r="P135" s="33"/>
      <c r="Q135" s="25" t="s">
        <v>12</v>
      </c>
      <c r="R135" s="27"/>
      <c r="S135" s="27"/>
      <c r="T135" s="27"/>
      <c r="U135" s="28"/>
      <c r="V135" s="27"/>
      <c r="W135" s="27"/>
      <c r="X135" s="29" t="s">
        <v>16</v>
      </c>
      <c r="Y135" s="30" t="s">
        <v>13</v>
      </c>
      <c r="Z135" s="27"/>
      <c r="AA135" s="27"/>
      <c r="AB135" s="28"/>
      <c r="AC135" s="27"/>
      <c r="AD135" s="27"/>
      <c r="AE135" s="29" t="s">
        <v>14</v>
      </c>
      <c r="AF135" s="30" t="s">
        <v>11</v>
      </c>
      <c r="AG135" s="37"/>
      <c r="AH135" s="27"/>
      <c r="AI135" s="28"/>
      <c r="AJ135" s="27"/>
      <c r="AK135" s="29" t="s">
        <v>15</v>
      </c>
      <c r="AL135" s="27"/>
      <c r="AM135" s="27"/>
      <c r="AN135" s="25">
        <v>17</v>
      </c>
      <c r="AO135" s="33"/>
      <c r="AP135" s="33"/>
      <c r="AQ135" s="33"/>
      <c r="AR135" s="33"/>
      <c r="AS135" s="33"/>
      <c r="AT135" s="25" t="s">
        <v>12</v>
      </c>
      <c r="AU135" s="27"/>
      <c r="AV135" s="27"/>
      <c r="AW135" s="27"/>
      <c r="AX135" s="28"/>
      <c r="AY135" s="27"/>
      <c r="AZ135" s="27"/>
      <c r="BA135" s="29" t="s">
        <v>16</v>
      </c>
      <c r="BB135" s="30" t="s">
        <v>13</v>
      </c>
      <c r="BC135" s="27"/>
      <c r="BD135" s="27"/>
      <c r="BE135" s="28"/>
      <c r="BF135" s="27"/>
      <c r="BG135" s="27"/>
      <c r="BH135" s="32" t="s">
        <v>14</v>
      </c>
      <c r="BI135" s="30" t="s">
        <v>11</v>
      </c>
      <c r="BJ135" s="27"/>
      <c r="BK135" s="27"/>
      <c r="BL135" s="28"/>
      <c r="BM135" s="27"/>
      <c r="BN135" s="29" t="s">
        <v>15</v>
      </c>
      <c r="BO135" s="27"/>
      <c r="BP135" s="27"/>
      <c r="BQ135" s="25">
        <v>17</v>
      </c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  <c r="CF135" s="33"/>
      <c r="CG135" s="33"/>
      <c r="CH135" s="33"/>
      <c r="CI135" s="33"/>
      <c r="CJ135" s="33"/>
      <c r="CK135" s="33"/>
      <c r="CL135" s="33"/>
      <c r="CM135" s="33"/>
      <c r="CN135" s="33"/>
      <c r="CO135" s="33"/>
      <c r="CP135" s="33"/>
    </row>
    <row r="136" spans="1:95" x14ac:dyDescent="0.25">
      <c r="A136" s="25" t="s">
        <v>130</v>
      </c>
      <c r="B136" s="25" t="s">
        <v>171</v>
      </c>
      <c r="C136" s="25" t="s">
        <v>433</v>
      </c>
      <c r="D136" s="25">
        <v>123</v>
      </c>
      <c r="E136" s="35" cm="1">
        <f t="array" ref="E136">IFERROR(INDEX($J$5:$AVX$5, _xlfn.AGGREGATE(15,6, COLUMN(J136:AVX136)-COLUMN(J136)+1 / (J136:AVX136="T"), F136)), "")</f>
        <v>45998</v>
      </c>
      <c r="F136" s="74">
        <f t="shared" si="20"/>
        <v>2</v>
      </c>
      <c r="G136" s="35" cm="1">
        <f t="array" ref="G136">IFERROR(INDEX($J$5:$AVW$5,_xlfn.AGGREGATE(14,6,(COLUMN($J136:$AVW136)-COLUMN($J136)+1)/($J136:$AVW136="T"),1)),"")</f>
        <v>45998</v>
      </c>
      <c r="H136" s="77">
        <f t="shared" si="21"/>
        <v>2</v>
      </c>
      <c r="I136" s="38" t="s">
        <v>10</v>
      </c>
      <c r="J136" s="33"/>
      <c r="K136" s="33"/>
      <c r="L136" s="33"/>
      <c r="M136" s="33"/>
      <c r="N136" s="33"/>
      <c r="O136" s="33"/>
      <c r="P136" s="33"/>
      <c r="Q136" s="25" t="s">
        <v>12</v>
      </c>
      <c r="R136" s="27"/>
      <c r="S136" s="27"/>
      <c r="T136" s="27"/>
      <c r="U136" s="28"/>
      <c r="V136" s="27"/>
      <c r="W136" s="27"/>
      <c r="X136" s="29" t="s">
        <v>16</v>
      </c>
      <c r="Y136" s="30" t="s">
        <v>13</v>
      </c>
      <c r="Z136" s="27"/>
      <c r="AA136" s="27"/>
      <c r="AB136" s="28"/>
      <c r="AC136" s="27"/>
      <c r="AD136" s="27"/>
      <c r="AE136" s="29" t="s">
        <v>14</v>
      </c>
      <c r="AF136" s="30" t="s">
        <v>11</v>
      </c>
      <c r="AG136" s="37"/>
      <c r="AH136" s="27"/>
      <c r="AI136" s="28"/>
      <c r="AJ136" s="27"/>
      <c r="AK136" s="29" t="s">
        <v>15</v>
      </c>
      <c r="AL136" s="27"/>
      <c r="AM136" s="27"/>
      <c r="AN136" s="25">
        <v>17</v>
      </c>
      <c r="AO136" s="33"/>
      <c r="AP136" s="33"/>
      <c r="AQ136" s="33"/>
      <c r="AR136" s="33"/>
      <c r="AS136" s="33"/>
      <c r="AT136" s="25" t="s">
        <v>12</v>
      </c>
      <c r="AU136" s="27"/>
      <c r="AV136" s="27"/>
      <c r="AW136" s="27"/>
      <c r="AX136" s="28"/>
      <c r="AY136" s="27"/>
      <c r="AZ136" s="27"/>
      <c r="BA136" s="29" t="s">
        <v>16</v>
      </c>
      <c r="BB136" s="30" t="s">
        <v>13</v>
      </c>
      <c r="BC136" s="27"/>
      <c r="BD136" s="27"/>
      <c r="BE136" s="28"/>
      <c r="BF136" s="27"/>
      <c r="BG136" s="27"/>
      <c r="BH136" s="32" t="s">
        <v>14</v>
      </c>
      <c r="BI136" s="30" t="s">
        <v>11</v>
      </c>
      <c r="BJ136" s="27"/>
      <c r="BK136" s="27"/>
      <c r="BL136" s="28"/>
      <c r="BM136" s="27"/>
      <c r="BN136" s="29" t="s">
        <v>15</v>
      </c>
      <c r="BO136" s="27"/>
      <c r="BP136" s="27"/>
      <c r="BQ136" s="25">
        <v>17</v>
      </c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  <c r="CF136" s="33"/>
      <c r="CG136" s="33"/>
      <c r="CH136" s="33"/>
      <c r="CI136" s="33"/>
      <c r="CJ136" s="33"/>
      <c r="CK136" s="33"/>
      <c r="CL136" s="33"/>
      <c r="CM136" s="33"/>
      <c r="CN136" s="33"/>
      <c r="CO136" s="33"/>
      <c r="CP136" s="33"/>
    </row>
    <row r="137" spans="1:95" x14ac:dyDescent="0.25">
      <c r="A137" s="25" t="s">
        <v>130</v>
      </c>
      <c r="B137" s="25" t="s">
        <v>172</v>
      </c>
      <c r="C137" s="25" t="s">
        <v>434</v>
      </c>
      <c r="D137" s="25">
        <v>124</v>
      </c>
      <c r="E137" s="35" cm="1">
        <f t="array" ref="E137">IFERROR(INDEX($J$5:$AVX$5, _xlfn.AGGREGATE(15,6, COLUMN(J137:AVX137)-COLUMN(J137)+1 / (J137:AVX137="T"), F137)), "")</f>
        <v>45998</v>
      </c>
      <c r="F137" s="74">
        <f t="shared" si="20"/>
        <v>2</v>
      </c>
      <c r="G137" s="35" cm="1">
        <f t="array" ref="G137">IFERROR(INDEX($J$5:$AVW$5,_xlfn.AGGREGATE(14,6,(COLUMN($J137:$AVW137)-COLUMN($J137)+1)/($J137:$AVW137="T"),1)),"")</f>
        <v>45998</v>
      </c>
      <c r="H137" s="77">
        <f t="shared" si="21"/>
        <v>2</v>
      </c>
      <c r="I137" s="38" t="s">
        <v>10</v>
      </c>
      <c r="J137" s="33"/>
      <c r="K137" s="33"/>
      <c r="L137" s="33"/>
      <c r="M137" s="33"/>
      <c r="N137" s="33"/>
      <c r="O137" s="33"/>
      <c r="P137" s="33"/>
      <c r="Q137" s="25" t="s">
        <v>12</v>
      </c>
      <c r="R137" s="27"/>
      <c r="S137" s="27"/>
      <c r="T137" s="27"/>
      <c r="U137" s="28"/>
      <c r="V137" s="27"/>
      <c r="W137" s="27"/>
      <c r="X137" s="29" t="s">
        <v>16</v>
      </c>
      <c r="Y137" s="30" t="s">
        <v>13</v>
      </c>
      <c r="Z137" s="27"/>
      <c r="AA137" s="27"/>
      <c r="AB137" s="28"/>
      <c r="AC137" s="27"/>
      <c r="AD137" s="27"/>
      <c r="AE137" s="29" t="s">
        <v>14</v>
      </c>
      <c r="AF137" s="30" t="s">
        <v>11</v>
      </c>
      <c r="AG137" s="37"/>
      <c r="AH137" s="27"/>
      <c r="AI137" s="28"/>
      <c r="AJ137" s="27"/>
      <c r="AK137" s="29" t="s">
        <v>15</v>
      </c>
      <c r="AL137" s="27"/>
      <c r="AM137" s="27"/>
      <c r="AN137" s="25">
        <v>17</v>
      </c>
      <c r="AO137" s="33"/>
      <c r="AP137" s="33"/>
      <c r="AQ137" s="33"/>
      <c r="AR137" s="33"/>
      <c r="AS137" s="33"/>
      <c r="AT137" s="25" t="s">
        <v>12</v>
      </c>
      <c r="AU137" s="27"/>
      <c r="AV137" s="27"/>
      <c r="AW137" s="27"/>
      <c r="AX137" s="28"/>
      <c r="AY137" s="27"/>
      <c r="AZ137" s="27"/>
      <c r="BA137" s="29" t="s">
        <v>16</v>
      </c>
      <c r="BB137" s="30" t="s">
        <v>13</v>
      </c>
      <c r="BC137" s="27"/>
      <c r="BD137" s="27"/>
      <c r="BE137" s="28"/>
      <c r="BF137" s="27"/>
      <c r="BG137" s="27"/>
      <c r="BH137" s="32" t="s">
        <v>14</v>
      </c>
      <c r="BI137" s="30" t="s">
        <v>11</v>
      </c>
      <c r="BJ137" s="27"/>
      <c r="BK137" s="27"/>
      <c r="BL137" s="28"/>
      <c r="BM137" s="27"/>
      <c r="BN137" s="29" t="s">
        <v>15</v>
      </c>
      <c r="BO137" s="27"/>
      <c r="BP137" s="27"/>
      <c r="BQ137" s="25">
        <v>17</v>
      </c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</row>
    <row r="138" spans="1:95" x14ac:dyDescent="0.25">
      <c r="A138" s="25" t="s">
        <v>130</v>
      </c>
      <c r="B138" s="25" t="s">
        <v>173</v>
      </c>
      <c r="C138" s="25" t="s">
        <v>435</v>
      </c>
      <c r="D138" s="25">
        <v>125</v>
      </c>
      <c r="E138" s="35" cm="1">
        <f t="array" ref="E138">IFERROR(INDEX($J$5:$AVX$5, _xlfn.AGGREGATE(15,6, COLUMN(J138:AVX138)-COLUMN(J138)+1 / (J138:AVX138="T"), F138)), "")</f>
        <v>45999</v>
      </c>
      <c r="F138" s="74">
        <f t="shared" si="20"/>
        <v>2</v>
      </c>
      <c r="G138" s="35" cm="1">
        <f t="array" ref="G138">IFERROR(INDEX($J$5:$AVW$5,_xlfn.AGGREGATE(14,6,(COLUMN($J138:$AVW138)-COLUMN($J138)+1)/($J138:$AVW138="T"),1)),"")</f>
        <v>45999</v>
      </c>
      <c r="H138" s="77">
        <f t="shared" si="21"/>
        <v>2</v>
      </c>
      <c r="I138" s="38" t="s">
        <v>10</v>
      </c>
      <c r="J138" s="33"/>
      <c r="K138" s="33"/>
      <c r="L138" s="33"/>
      <c r="M138" s="33"/>
      <c r="N138" s="33"/>
      <c r="O138" s="33"/>
      <c r="P138" s="33"/>
      <c r="Q138" s="33"/>
      <c r="R138" s="25" t="s">
        <v>12</v>
      </c>
      <c r="S138" s="27"/>
      <c r="T138" s="27"/>
      <c r="U138" s="27"/>
      <c r="V138" s="28"/>
      <c r="W138" s="27"/>
      <c r="X138" s="27"/>
      <c r="Y138" s="29" t="s">
        <v>16</v>
      </c>
      <c r="Z138" s="30" t="s">
        <v>13</v>
      </c>
      <c r="AA138" s="27"/>
      <c r="AB138" s="27"/>
      <c r="AC138" s="28"/>
      <c r="AD138" s="27"/>
      <c r="AE138" s="27"/>
      <c r="AF138" s="32" t="s">
        <v>14</v>
      </c>
      <c r="AG138" s="30" t="s">
        <v>11</v>
      </c>
      <c r="AH138" s="27"/>
      <c r="AI138" s="27"/>
      <c r="AJ138" s="28"/>
      <c r="AK138" s="27"/>
      <c r="AL138" s="29" t="s">
        <v>15</v>
      </c>
      <c r="AM138" s="27"/>
      <c r="AN138" s="27"/>
      <c r="AO138" s="25">
        <v>17</v>
      </c>
      <c r="AP138" s="33"/>
      <c r="AQ138" s="33"/>
      <c r="AR138" s="33"/>
      <c r="AS138" s="33"/>
      <c r="AT138" s="33"/>
      <c r="AU138" s="25" t="s">
        <v>12</v>
      </c>
      <c r="AV138" s="27"/>
      <c r="AW138" s="27"/>
      <c r="AX138" s="27"/>
      <c r="AY138" s="28"/>
      <c r="AZ138" s="27"/>
      <c r="BA138" s="27"/>
      <c r="BB138" s="29" t="s">
        <v>16</v>
      </c>
      <c r="BC138" s="30" t="s">
        <v>13</v>
      </c>
      <c r="BD138" s="27"/>
      <c r="BE138" s="27"/>
      <c r="BF138" s="28"/>
      <c r="BG138" s="27"/>
      <c r="BH138" s="27"/>
      <c r="BI138" s="32" t="s">
        <v>14</v>
      </c>
      <c r="BJ138" s="30" t="s">
        <v>11</v>
      </c>
      <c r="BK138" s="27"/>
      <c r="BL138" s="27"/>
      <c r="BM138" s="28"/>
      <c r="BN138" s="27"/>
      <c r="BO138" s="29" t="s">
        <v>15</v>
      </c>
      <c r="BP138" s="27"/>
      <c r="BQ138" s="27"/>
      <c r="BR138" s="25">
        <v>17</v>
      </c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  <c r="CF138" s="33"/>
      <c r="CG138" s="33"/>
      <c r="CH138" s="33"/>
      <c r="CI138" s="33"/>
      <c r="CJ138" s="33"/>
      <c r="CK138" s="33"/>
      <c r="CL138" s="33"/>
      <c r="CM138" s="33"/>
      <c r="CN138" s="33"/>
      <c r="CO138" s="33"/>
      <c r="CP138" s="33"/>
      <c r="CQ138" s="25"/>
    </row>
    <row r="139" spans="1:95" x14ac:dyDescent="0.25">
      <c r="A139" s="25" t="s">
        <v>130</v>
      </c>
      <c r="B139" s="25" t="s">
        <v>174</v>
      </c>
      <c r="C139" s="25" t="s">
        <v>436</v>
      </c>
      <c r="D139" s="25">
        <v>126</v>
      </c>
      <c r="E139" s="35" cm="1">
        <f t="array" ref="E139">IFERROR(INDEX($J$5:$AVX$5, _xlfn.AGGREGATE(15,6, COLUMN(J139:AVX139)-COLUMN(J139)+1 / (J139:AVX139="T"), F139)), "")</f>
        <v>45999</v>
      </c>
      <c r="F139" s="74">
        <f t="shared" si="20"/>
        <v>2</v>
      </c>
      <c r="G139" s="35" cm="1">
        <f t="array" ref="G139">IFERROR(INDEX($J$5:$AVW$5,_xlfn.AGGREGATE(14,6,(COLUMN($J139:$AVW139)-COLUMN($J139)+1)/($J139:$AVW139="T"),1)),"")</f>
        <v>45999</v>
      </c>
      <c r="H139" s="77">
        <f t="shared" si="21"/>
        <v>2</v>
      </c>
      <c r="I139" s="38" t="s">
        <v>10</v>
      </c>
      <c r="J139" s="33"/>
      <c r="K139" s="33"/>
      <c r="L139" s="33"/>
      <c r="M139" s="33"/>
      <c r="N139" s="33"/>
      <c r="O139" s="33"/>
      <c r="P139" s="33"/>
      <c r="Q139" s="33"/>
      <c r="R139" s="25" t="s">
        <v>12</v>
      </c>
      <c r="S139" s="27"/>
      <c r="T139" s="27"/>
      <c r="U139" s="27"/>
      <c r="V139" s="28"/>
      <c r="W139" s="27"/>
      <c r="X139" s="27"/>
      <c r="Y139" s="29" t="s">
        <v>16</v>
      </c>
      <c r="Z139" s="30" t="s">
        <v>13</v>
      </c>
      <c r="AA139" s="27"/>
      <c r="AB139" s="27"/>
      <c r="AC139" s="28"/>
      <c r="AD139" s="27"/>
      <c r="AE139" s="27"/>
      <c r="AF139" s="29" t="s">
        <v>14</v>
      </c>
      <c r="AG139" s="30" t="s">
        <v>11</v>
      </c>
      <c r="AH139" s="37"/>
      <c r="AI139" s="27"/>
      <c r="AJ139" s="28"/>
      <c r="AK139" s="27"/>
      <c r="AL139" s="29" t="s">
        <v>15</v>
      </c>
      <c r="AM139" s="27"/>
      <c r="AN139" s="27"/>
      <c r="AO139" s="25">
        <v>17</v>
      </c>
      <c r="AP139" s="33"/>
      <c r="AQ139" s="33"/>
      <c r="AR139" s="33"/>
      <c r="AS139" s="33"/>
      <c r="AT139" s="33"/>
      <c r="AU139" s="25" t="s">
        <v>12</v>
      </c>
      <c r="AV139" s="27"/>
      <c r="AW139" s="27"/>
      <c r="AX139" s="27"/>
      <c r="AY139" s="28"/>
      <c r="AZ139" s="27"/>
      <c r="BA139" s="27"/>
      <c r="BB139" s="29" t="s">
        <v>16</v>
      </c>
      <c r="BC139" s="30" t="s">
        <v>13</v>
      </c>
      <c r="BD139" s="27"/>
      <c r="BE139" s="27"/>
      <c r="BF139" s="28"/>
      <c r="BG139" s="27"/>
      <c r="BH139" s="27"/>
      <c r="BI139" s="32" t="s">
        <v>14</v>
      </c>
      <c r="BJ139" s="30" t="s">
        <v>11</v>
      </c>
      <c r="BK139" s="27"/>
      <c r="BL139" s="27"/>
      <c r="BM139" s="28"/>
      <c r="BN139" s="27"/>
      <c r="BO139" s="29" t="s">
        <v>15</v>
      </c>
      <c r="BP139" s="27"/>
      <c r="BQ139" s="27"/>
      <c r="BR139" s="25">
        <v>17</v>
      </c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  <c r="CF139" s="33"/>
      <c r="CG139" s="33"/>
      <c r="CH139" s="33"/>
      <c r="CI139" s="33"/>
      <c r="CJ139" s="33"/>
      <c r="CK139" s="33"/>
      <c r="CL139" s="33"/>
      <c r="CM139" s="33"/>
      <c r="CN139" s="33"/>
      <c r="CO139" s="33"/>
      <c r="CP139" s="33"/>
      <c r="CQ139" s="33"/>
    </row>
    <row r="140" spans="1:95" x14ac:dyDescent="0.25">
      <c r="A140" s="25" t="s">
        <v>130</v>
      </c>
      <c r="B140" s="25" t="s">
        <v>175</v>
      </c>
      <c r="C140" s="25" t="s">
        <v>437</v>
      </c>
      <c r="D140" s="25">
        <v>127</v>
      </c>
      <c r="E140" s="35" cm="1">
        <f t="array" ref="E140">IFERROR(INDEX($J$5:$AVX$5, _xlfn.AGGREGATE(15,6, COLUMN(J140:AVX140)-COLUMN(J140)+1 / (J140:AVX140="T"), F140)), "")</f>
        <v>45999</v>
      </c>
      <c r="F140" s="74">
        <f t="shared" si="20"/>
        <v>2</v>
      </c>
      <c r="G140" s="35" cm="1">
        <f t="array" ref="G140">IFERROR(INDEX($J$5:$AVW$5,_xlfn.AGGREGATE(14,6,(COLUMN($J140:$AVW140)-COLUMN($J140)+1)/($J140:$AVW140="T"),1)),"")</f>
        <v>45999</v>
      </c>
      <c r="H140" s="77">
        <f t="shared" si="21"/>
        <v>2</v>
      </c>
      <c r="I140" s="38" t="s">
        <v>10</v>
      </c>
      <c r="J140" s="33"/>
      <c r="K140" s="33"/>
      <c r="L140" s="33"/>
      <c r="M140" s="33"/>
      <c r="N140" s="33"/>
      <c r="O140" s="33"/>
      <c r="P140" s="33"/>
      <c r="Q140" s="33"/>
      <c r="R140" s="25" t="s">
        <v>12</v>
      </c>
      <c r="S140" s="27"/>
      <c r="T140" s="27"/>
      <c r="U140" s="27"/>
      <c r="V140" s="28"/>
      <c r="W140" s="27"/>
      <c r="X140" s="27"/>
      <c r="Y140" s="29" t="s">
        <v>16</v>
      </c>
      <c r="Z140" s="30" t="s">
        <v>13</v>
      </c>
      <c r="AA140" s="27"/>
      <c r="AB140" s="27"/>
      <c r="AC140" s="28"/>
      <c r="AD140" s="27"/>
      <c r="AE140" s="27"/>
      <c r="AF140" s="29" t="s">
        <v>14</v>
      </c>
      <c r="AG140" s="30" t="s">
        <v>11</v>
      </c>
      <c r="AH140" s="37"/>
      <c r="AI140" s="27"/>
      <c r="AJ140" s="28"/>
      <c r="AK140" s="27"/>
      <c r="AL140" s="29" t="s">
        <v>15</v>
      </c>
      <c r="AM140" s="27"/>
      <c r="AN140" s="27"/>
      <c r="AO140" s="25">
        <v>17</v>
      </c>
      <c r="AP140" s="33"/>
      <c r="AQ140" s="33"/>
      <c r="AR140" s="33"/>
      <c r="AS140" s="33"/>
      <c r="AT140" s="33"/>
      <c r="AU140" s="25" t="s">
        <v>12</v>
      </c>
      <c r="AV140" s="27"/>
      <c r="AW140" s="27"/>
      <c r="AX140" s="27"/>
      <c r="AY140" s="28"/>
      <c r="AZ140" s="27"/>
      <c r="BA140" s="27"/>
      <c r="BB140" s="29" t="s">
        <v>16</v>
      </c>
      <c r="BC140" s="30" t="s">
        <v>13</v>
      </c>
      <c r="BD140" s="27"/>
      <c r="BE140" s="27"/>
      <c r="BF140" s="28"/>
      <c r="BG140" s="27"/>
      <c r="BH140" s="27"/>
      <c r="BI140" s="32" t="s">
        <v>14</v>
      </c>
      <c r="BJ140" s="30" t="s">
        <v>11</v>
      </c>
      <c r="BK140" s="27"/>
      <c r="BL140" s="27"/>
      <c r="BM140" s="28"/>
      <c r="BN140" s="27"/>
      <c r="BO140" s="29" t="s">
        <v>15</v>
      </c>
      <c r="BP140" s="27"/>
      <c r="BQ140" s="27"/>
      <c r="BR140" s="25">
        <v>17</v>
      </c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  <c r="CF140" s="33"/>
      <c r="CG140" s="33"/>
      <c r="CH140" s="33"/>
      <c r="CI140" s="33"/>
      <c r="CJ140" s="33"/>
      <c r="CK140" s="33"/>
      <c r="CL140" s="33"/>
      <c r="CM140" s="33"/>
      <c r="CN140" s="33"/>
      <c r="CO140" s="33"/>
      <c r="CP140" s="33"/>
      <c r="CQ140" s="25"/>
    </row>
    <row r="141" spans="1:95" x14ac:dyDescent="0.25">
      <c r="A141" s="25" t="s">
        <v>130</v>
      </c>
      <c r="B141" s="25" t="s">
        <v>176</v>
      </c>
      <c r="C141" s="25" t="s">
        <v>438</v>
      </c>
      <c r="D141" s="25">
        <v>128</v>
      </c>
      <c r="E141" s="35" cm="1">
        <f t="array" ref="E141">IFERROR(INDEX($J$5:$AVX$5, _xlfn.AGGREGATE(15,6, COLUMN(J141:AVX141)-COLUMN(J141)+1 / (J141:AVX141="T"), F141)), "")</f>
        <v>45999</v>
      </c>
      <c r="F141" s="74">
        <f t="shared" si="20"/>
        <v>2</v>
      </c>
      <c r="G141" s="35" cm="1">
        <f t="array" ref="G141">IFERROR(INDEX($J$5:$AVW$5,_xlfn.AGGREGATE(14,6,(COLUMN($J141:$AVW141)-COLUMN($J141)+1)/($J141:$AVW141="T"),1)),"")</f>
        <v>45999</v>
      </c>
      <c r="H141" s="77">
        <f t="shared" si="21"/>
        <v>2</v>
      </c>
      <c r="I141" s="38" t="s">
        <v>10</v>
      </c>
      <c r="J141" s="33"/>
      <c r="K141" s="33"/>
      <c r="L141" s="33"/>
      <c r="M141" s="33"/>
      <c r="N141" s="33"/>
      <c r="O141" s="33"/>
      <c r="P141" s="33"/>
      <c r="Q141" s="33"/>
      <c r="R141" s="25" t="s">
        <v>12</v>
      </c>
      <c r="S141" s="27"/>
      <c r="T141" s="27"/>
      <c r="U141" s="27"/>
      <c r="V141" s="28"/>
      <c r="W141" s="27"/>
      <c r="X141" s="27"/>
      <c r="Y141" s="29" t="s">
        <v>16</v>
      </c>
      <c r="Z141" s="30" t="s">
        <v>13</v>
      </c>
      <c r="AA141" s="27"/>
      <c r="AB141" s="27"/>
      <c r="AC141" s="28"/>
      <c r="AD141" s="27"/>
      <c r="AE141" s="27"/>
      <c r="AF141" s="29" t="s">
        <v>14</v>
      </c>
      <c r="AG141" s="30" t="s">
        <v>11</v>
      </c>
      <c r="AH141" s="37"/>
      <c r="AI141" s="27"/>
      <c r="AJ141" s="28"/>
      <c r="AK141" s="27"/>
      <c r="AL141" s="29" t="s">
        <v>15</v>
      </c>
      <c r="AM141" s="27"/>
      <c r="AN141" s="27"/>
      <c r="AO141" s="25">
        <v>17</v>
      </c>
      <c r="AP141" s="33"/>
      <c r="AQ141" s="33"/>
      <c r="AR141" s="33"/>
      <c r="AS141" s="33"/>
      <c r="AT141" s="33"/>
      <c r="AU141" s="25" t="s">
        <v>12</v>
      </c>
      <c r="AV141" s="27"/>
      <c r="AW141" s="27"/>
      <c r="AX141" s="27"/>
      <c r="AY141" s="28"/>
      <c r="AZ141" s="27"/>
      <c r="BA141" s="27"/>
      <c r="BB141" s="29" t="s">
        <v>16</v>
      </c>
      <c r="BC141" s="30" t="s">
        <v>13</v>
      </c>
      <c r="BD141" s="27"/>
      <c r="BE141" s="27"/>
      <c r="BF141" s="28"/>
      <c r="BG141" s="27"/>
      <c r="BH141" s="27"/>
      <c r="BI141" s="32" t="s">
        <v>14</v>
      </c>
      <c r="BJ141" s="30" t="s">
        <v>11</v>
      </c>
      <c r="BK141" s="27"/>
      <c r="BL141" s="27"/>
      <c r="BM141" s="28"/>
      <c r="BN141" s="27"/>
      <c r="BO141" s="29" t="s">
        <v>15</v>
      </c>
      <c r="BP141" s="27"/>
      <c r="BQ141" s="27"/>
      <c r="BR141" s="25">
        <v>17</v>
      </c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  <c r="CF141" s="33"/>
      <c r="CG141" s="33"/>
      <c r="CH141" s="33"/>
      <c r="CI141" s="33"/>
      <c r="CJ141" s="33"/>
      <c r="CK141" s="33"/>
      <c r="CL141" s="33"/>
      <c r="CM141" s="33"/>
      <c r="CN141" s="33"/>
      <c r="CO141" s="33"/>
      <c r="CP141" s="33"/>
      <c r="CQ141" s="25"/>
    </row>
    <row r="142" spans="1:95" x14ac:dyDescent="0.25">
      <c r="A142" s="25" t="s">
        <v>130</v>
      </c>
      <c r="B142" s="25" t="s">
        <v>177</v>
      </c>
      <c r="C142" s="25" t="s">
        <v>439</v>
      </c>
      <c r="D142" s="25">
        <v>129</v>
      </c>
      <c r="E142" s="35" cm="1">
        <f t="array" ref="E142">IFERROR(INDEX($J$5:$AVX$5, _xlfn.AGGREGATE(15,6, COLUMN(J142:AVX142)-COLUMN(J142)+1 / (J142:AVX142="T"), F142)), "")</f>
        <v>45999</v>
      </c>
      <c r="F142" s="74">
        <f t="shared" ref="F142:F205" si="22">$A$2</f>
        <v>2</v>
      </c>
      <c r="G142" s="35" cm="1">
        <f t="array" ref="G142">IFERROR(INDEX($J$5:$AVW$5,_xlfn.AGGREGATE(14,6,(COLUMN($J142:$AVW142)-COLUMN($J142)+1)/($J142:$AVW142="T"),1)),"")</f>
        <v>45999</v>
      </c>
      <c r="H142" s="77">
        <f t="shared" ref="H142:H205" si="23">COUNTIF($J142:$AVV142,"T")</f>
        <v>2</v>
      </c>
      <c r="I142" s="38" t="s">
        <v>10</v>
      </c>
      <c r="J142" s="33"/>
      <c r="K142" s="33"/>
      <c r="L142" s="33"/>
      <c r="M142" s="33"/>
      <c r="N142" s="33"/>
      <c r="O142" s="33"/>
      <c r="P142" s="33"/>
      <c r="Q142" s="33"/>
      <c r="R142" s="25" t="s">
        <v>12</v>
      </c>
      <c r="S142" s="27"/>
      <c r="T142" s="27"/>
      <c r="U142" s="27"/>
      <c r="V142" s="28"/>
      <c r="W142" s="27"/>
      <c r="X142" s="27"/>
      <c r="Y142" s="29" t="s">
        <v>16</v>
      </c>
      <c r="Z142" s="30" t="s">
        <v>13</v>
      </c>
      <c r="AA142" s="27"/>
      <c r="AB142" s="27"/>
      <c r="AC142" s="28"/>
      <c r="AD142" s="27"/>
      <c r="AE142" s="27"/>
      <c r="AF142" s="29" t="s">
        <v>14</v>
      </c>
      <c r="AG142" s="30" t="s">
        <v>11</v>
      </c>
      <c r="AH142" s="37"/>
      <c r="AI142" s="27"/>
      <c r="AJ142" s="28"/>
      <c r="AK142" s="27"/>
      <c r="AL142" s="29" t="s">
        <v>15</v>
      </c>
      <c r="AM142" s="27"/>
      <c r="AN142" s="27"/>
      <c r="AO142" s="25">
        <v>17</v>
      </c>
      <c r="AP142" s="33"/>
      <c r="AQ142" s="33"/>
      <c r="AR142" s="33"/>
      <c r="AS142" s="33"/>
      <c r="AT142" s="33"/>
      <c r="AU142" s="25" t="s">
        <v>12</v>
      </c>
      <c r="AV142" s="27"/>
      <c r="AW142" s="27"/>
      <c r="AX142" s="27"/>
      <c r="AY142" s="28"/>
      <c r="AZ142" s="27"/>
      <c r="BA142" s="27"/>
      <c r="BB142" s="29" t="s">
        <v>16</v>
      </c>
      <c r="BC142" s="30" t="s">
        <v>13</v>
      </c>
      <c r="BD142" s="27"/>
      <c r="BE142" s="27"/>
      <c r="BF142" s="28"/>
      <c r="BG142" s="27"/>
      <c r="BH142" s="27"/>
      <c r="BI142" s="32" t="s">
        <v>14</v>
      </c>
      <c r="BJ142" s="30" t="s">
        <v>11</v>
      </c>
      <c r="BK142" s="27"/>
      <c r="BL142" s="27"/>
      <c r="BM142" s="28"/>
      <c r="BN142" s="27"/>
      <c r="BO142" s="29" t="s">
        <v>15</v>
      </c>
      <c r="BP142" s="27"/>
      <c r="BQ142" s="27"/>
      <c r="BR142" s="25">
        <v>17</v>
      </c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  <c r="CF142" s="33"/>
      <c r="CG142" s="33"/>
      <c r="CH142" s="33"/>
      <c r="CI142" s="33"/>
      <c r="CJ142" s="33"/>
      <c r="CK142" s="33"/>
      <c r="CL142" s="33"/>
      <c r="CM142" s="33"/>
      <c r="CN142" s="33"/>
      <c r="CO142" s="33"/>
      <c r="CP142" s="33"/>
      <c r="CQ142" s="25"/>
    </row>
    <row r="143" spans="1:95" x14ac:dyDescent="0.25">
      <c r="A143" s="25" t="s">
        <v>130</v>
      </c>
      <c r="B143" s="25" t="s">
        <v>186</v>
      </c>
      <c r="C143" s="25" t="s">
        <v>440</v>
      </c>
      <c r="D143" s="25">
        <v>130</v>
      </c>
      <c r="E143" s="35" cm="1">
        <f t="array" ref="E143">IFERROR(INDEX($J$5:$AVX$5, _xlfn.AGGREGATE(15,6, COLUMN(J143:AVX143)-COLUMN(J143)+1 / (J143:AVX143="T"), F143)), "")</f>
        <v>45999</v>
      </c>
      <c r="F143" s="74">
        <f t="shared" si="22"/>
        <v>2</v>
      </c>
      <c r="G143" s="35" cm="1">
        <f t="array" ref="G143">IFERROR(INDEX($J$5:$AVW$5,_xlfn.AGGREGATE(14,6,(COLUMN($J143:$AVW143)-COLUMN($J143)+1)/($J143:$AVW143="T"),1)),"")</f>
        <v>45999</v>
      </c>
      <c r="H143" s="77">
        <f t="shared" si="23"/>
        <v>2</v>
      </c>
      <c r="I143" s="38" t="s">
        <v>10</v>
      </c>
      <c r="J143" s="33"/>
      <c r="K143" s="33"/>
      <c r="L143" s="33"/>
      <c r="M143" s="33"/>
      <c r="N143" s="33"/>
      <c r="O143" s="33"/>
      <c r="P143" s="33"/>
      <c r="Q143" s="33"/>
      <c r="R143" s="25" t="s">
        <v>12</v>
      </c>
      <c r="S143" s="27"/>
      <c r="T143" s="27"/>
      <c r="U143" s="27"/>
      <c r="V143" s="28"/>
      <c r="W143" s="27"/>
      <c r="X143" s="27"/>
      <c r="Y143" s="29" t="s">
        <v>16</v>
      </c>
      <c r="Z143" s="30" t="s">
        <v>13</v>
      </c>
      <c r="AA143" s="27"/>
      <c r="AB143" s="27"/>
      <c r="AC143" s="28"/>
      <c r="AD143" s="27"/>
      <c r="AE143" s="27"/>
      <c r="AF143" s="29" t="s">
        <v>14</v>
      </c>
      <c r="AG143" s="30" t="s">
        <v>11</v>
      </c>
      <c r="AH143" s="37"/>
      <c r="AI143" s="27"/>
      <c r="AJ143" s="28"/>
      <c r="AK143" s="27"/>
      <c r="AL143" s="29" t="s">
        <v>15</v>
      </c>
      <c r="AM143" s="27"/>
      <c r="AN143" s="27"/>
      <c r="AO143" s="25">
        <v>17</v>
      </c>
      <c r="AP143" s="33"/>
      <c r="AQ143" s="33"/>
      <c r="AR143" s="33"/>
      <c r="AS143" s="33"/>
      <c r="AT143" s="33"/>
      <c r="AU143" s="25" t="s">
        <v>12</v>
      </c>
      <c r="AV143" s="27"/>
      <c r="AW143" s="27"/>
      <c r="AX143" s="27"/>
      <c r="AY143" s="28"/>
      <c r="AZ143" s="27"/>
      <c r="BA143" s="27"/>
      <c r="BB143" s="29" t="s">
        <v>16</v>
      </c>
      <c r="BC143" s="30" t="s">
        <v>13</v>
      </c>
      <c r="BD143" s="27"/>
      <c r="BE143" s="27"/>
      <c r="BF143" s="28"/>
      <c r="BG143" s="27"/>
      <c r="BH143" s="27"/>
      <c r="BI143" s="32" t="s">
        <v>14</v>
      </c>
      <c r="BJ143" s="30" t="s">
        <v>11</v>
      </c>
      <c r="BK143" s="27"/>
      <c r="BL143" s="27"/>
      <c r="BM143" s="28"/>
      <c r="BN143" s="27"/>
      <c r="BO143" s="29" t="s">
        <v>15</v>
      </c>
      <c r="BP143" s="27"/>
      <c r="BQ143" s="27"/>
      <c r="BR143" s="25">
        <v>17</v>
      </c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  <c r="CF143" s="33"/>
      <c r="CG143" s="33"/>
      <c r="CH143" s="33"/>
      <c r="CI143" s="33"/>
      <c r="CJ143" s="33"/>
      <c r="CK143" s="33"/>
      <c r="CL143" s="33"/>
      <c r="CM143" s="33"/>
      <c r="CN143" s="33"/>
      <c r="CO143" s="33"/>
      <c r="CP143" s="33"/>
      <c r="CQ143" s="25"/>
    </row>
    <row r="144" spans="1:95" x14ac:dyDescent="0.25">
      <c r="A144" s="25" t="s">
        <v>130</v>
      </c>
      <c r="B144" s="25" t="s">
        <v>187</v>
      </c>
      <c r="C144" s="25" t="s">
        <v>441</v>
      </c>
      <c r="D144" s="25">
        <v>131</v>
      </c>
      <c r="E144" s="35" cm="1">
        <f t="array" ref="E144">IFERROR(INDEX($J$5:$AVX$5, _xlfn.AGGREGATE(15,6, COLUMN(J144:AVX144)-COLUMN(J144)+1 / (J144:AVX144="T"), F144)), "")</f>
        <v>45999</v>
      </c>
      <c r="F144" s="74">
        <f t="shared" si="22"/>
        <v>2</v>
      </c>
      <c r="G144" s="35" cm="1">
        <f t="array" ref="G144">IFERROR(INDEX($J$5:$AVW$5,_xlfn.AGGREGATE(14,6,(COLUMN($J144:$AVW144)-COLUMN($J144)+1)/($J144:$AVW144="T"),1)),"")</f>
        <v>45999</v>
      </c>
      <c r="H144" s="77">
        <f t="shared" si="23"/>
        <v>2</v>
      </c>
      <c r="I144" s="38" t="s">
        <v>10</v>
      </c>
      <c r="J144" s="33"/>
      <c r="K144" s="33"/>
      <c r="L144" s="33"/>
      <c r="M144" s="33"/>
      <c r="N144" s="33"/>
      <c r="O144" s="33"/>
      <c r="P144" s="33"/>
      <c r="Q144" s="33"/>
      <c r="R144" s="25" t="s">
        <v>12</v>
      </c>
      <c r="S144" s="27"/>
      <c r="T144" s="27"/>
      <c r="U144" s="27"/>
      <c r="V144" s="28"/>
      <c r="W144" s="27"/>
      <c r="X144" s="27"/>
      <c r="Y144" s="29" t="s">
        <v>16</v>
      </c>
      <c r="Z144" s="30" t="s">
        <v>13</v>
      </c>
      <c r="AA144" s="27"/>
      <c r="AB144" s="27"/>
      <c r="AC144" s="28"/>
      <c r="AD144" s="27"/>
      <c r="AE144" s="27"/>
      <c r="AF144" s="29" t="s">
        <v>14</v>
      </c>
      <c r="AG144" s="30" t="s">
        <v>11</v>
      </c>
      <c r="AH144" s="37"/>
      <c r="AI144" s="27"/>
      <c r="AJ144" s="28"/>
      <c r="AK144" s="27"/>
      <c r="AL144" s="29" t="s">
        <v>15</v>
      </c>
      <c r="AM144" s="27"/>
      <c r="AN144" s="27"/>
      <c r="AO144" s="25">
        <v>17</v>
      </c>
      <c r="AP144" s="33"/>
      <c r="AQ144" s="33"/>
      <c r="AR144" s="33"/>
      <c r="AS144" s="33"/>
      <c r="AT144" s="33"/>
      <c r="AU144" s="25" t="s">
        <v>12</v>
      </c>
      <c r="AV144" s="27"/>
      <c r="AW144" s="27"/>
      <c r="AX144" s="27"/>
      <c r="AY144" s="28"/>
      <c r="AZ144" s="27"/>
      <c r="BA144" s="27"/>
      <c r="BB144" s="29" t="s">
        <v>16</v>
      </c>
      <c r="BC144" s="30" t="s">
        <v>13</v>
      </c>
      <c r="BD144" s="27"/>
      <c r="BE144" s="27"/>
      <c r="BF144" s="28"/>
      <c r="BG144" s="27"/>
      <c r="BH144" s="27"/>
      <c r="BI144" s="32" t="s">
        <v>14</v>
      </c>
      <c r="BJ144" s="30" t="s">
        <v>11</v>
      </c>
      <c r="BK144" s="27"/>
      <c r="BL144" s="27"/>
      <c r="BM144" s="28"/>
      <c r="BN144" s="27"/>
      <c r="BO144" s="29" t="s">
        <v>15</v>
      </c>
      <c r="BP144" s="27"/>
      <c r="BQ144" s="27"/>
      <c r="BR144" s="25">
        <v>17</v>
      </c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3"/>
      <c r="CH144" s="33"/>
      <c r="CI144" s="33"/>
      <c r="CJ144" s="33"/>
      <c r="CK144" s="33"/>
      <c r="CL144" s="33"/>
      <c r="CM144" s="33"/>
      <c r="CN144" s="33"/>
      <c r="CO144" s="33"/>
      <c r="CP144" s="33"/>
      <c r="CQ144" s="25"/>
    </row>
    <row r="145" spans="1:96" x14ac:dyDescent="0.25">
      <c r="A145" s="25" t="s">
        <v>130</v>
      </c>
      <c r="B145" s="25" t="s">
        <v>188</v>
      </c>
      <c r="C145" s="25" t="s">
        <v>442</v>
      </c>
      <c r="D145" s="25">
        <v>132</v>
      </c>
      <c r="E145" s="35" cm="1">
        <f t="array" ref="E145">IFERROR(INDEX($J$5:$AVX$5, _xlfn.AGGREGATE(15,6, COLUMN(J145:AVX145)-COLUMN(J145)+1 / (J145:AVX145="T"), F145)), "")</f>
        <v>46000</v>
      </c>
      <c r="F145" s="74">
        <f t="shared" si="22"/>
        <v>2</v>
      </c>
      <c r="G145" s="35" cm="1">
        <f t="array" ref="G145">IFERROR(INDEX($J$5:$AVW$5,_xlfn.AGGREGATE(14,6,(COLUMN($J145:$AVW145)-COLUMN($J145)+1)/($J145:$AVW145="T"),1)),"")</f>
        <v>46000</v>
      </c>
      <c r="H145" s="77">
        <f t="shared" si="23"/>
        <v>2</v>
      </c>
      <c r="I145" s="38" t="s">
        <v>10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25" t="s">
        <v>12</v>
      </c>
      <c r="T145" s="27"/>
      <c r="U145" s="27"/>
      <c r="V145" s="27"/>
      <c r="W145" s="28"/>
      <c r="X145" s="27"/>
      <c r="Y145" s="27"/>
      <c r="Z145" s="29" t="s">
        <v>16</v>
      </c>
      <c r="AA145" s="30" t="s">
        <v>13</v>
      </c>
      <c r="AB145" s="27"/>
      <c r="AC145" s="27"/>
      <c r="AD145" s="28"/>
      <c r="AE145" s="27"/>
      <c r="AF145" s="27"/>
      <c r="AG145" s="32" t="s">
        <v>14</v>
      </c>
      <c r="AH145" s="30" t="s">
        <v>11</v>
      </c>
      <c r="AI145" s="27"/>
      <c r="AJ145" s="27"/>
      <c r="AK145" s="28"/>
      <c r="AL145" s="27"/>
      <c r="AM145" s="29" t="s">
        <v>15</v>
      </c>
      <c r="AN145" s="27"/>
      <c r="AO145" s="27"/>
      <c r="AP145" s="25">
        <v>17</v>
      </c>
      <c r="AQ145" s="33"/>
      <c r="AR145" s="33"/>
      <c r="AS145" s="33"/>
      <c r="AT145" s="33"/>
      <c r="AU145" s="33"/>
      <c r="AV145" s="25" t="s">
        <v>12</v>
      </c>
      <c r="AW145" s="27"/>
      <c r="AX145" s="27"/>
      <c r="AY145" s="27"/>
      <c r="AZ145" s="28"/>
      <c r="BA145" s="27"/>
      <c r="BB145" s="27"/>
      <c r="BC145" s="29" t="s">
        <v>16</v>
      </c>
      <c r="BD145" s="30" t="s">
        <v>13</v>
      </c>
      <c r="BE145" s="27"/>
      <c r="BF145" s="27"/>
      <c r="BG145" s="28"/>
      <c r="BH145" s="27"/>
      <c r="BI145" s="27"/>
      <c r="BJ145" s="32" t="s">
        <v>14</v>
      </c>
      <c r="BK145" s="30" t="s">
        <v>11</v>
      </c>
      <c r="BL145" s="27"/>
      <c r="BM145" s="27"/>
      <c r="BN145" s="28"/>
      <c r="BO145" s="27"/>
      <c r="BP145" s="29" t="s">
        <v>15</v>
      </c>
      <c r="BQ145" s="27"/>
      <c r="BR145" s="27"/>
      <c r="BS145" s="25">
        <v>17</v>
      </c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3"/>
      <c r="CH145" s="33"/>
      <c r="CI145" s="33"/>
      <c r="CJ145" s="33"/>
      <c r="CK145" s="33"/>
      <c r="CL145" s="33"/>
      <c r="CM145" s="33"/>
      <c r="CN145" s="33"/>
      <c r="CO145" s="33"/>
      <c r="CP145" s="33"/>
      <c r="CQ145" s="25"/>
      <c r="CR145" s="25"/>
    </row>
    <row r="146" spans="1:96" x14ac:dyDescent="0.25">
      <c r="A146" s="25" t="s">
        <v>130</v>
      </c>
      <c r="B146" s="25" t="s">
        <v>189</v>
      </c>
      <c r="C146" s="25" t="s">
        <v>443</v>
      </c>
      <c r="D146" s="25">
        <v>133</v>
      </c>
      <c r="E146" s="35" cm="1">
        <f t="array" ref="E146">IFERROR(INDEX($J$5:$AVX$5, _xlfn.AGGREGATE(15,6, COLUMN(J146:AVX146)-COLUMN(J146)+1 / (J146:AVX146="T"), F146)), "")</f>
        <v>46000</v>
      </c>
      <c r="F146" s="74">
        <f t="shared" si="22"/>
        <v>2</v>
      </c>
      <c r="G146" s="35" cm="1">
        <f t="array" ref="G146">IFERROR(INDEX($J$5:$AVW$5,_xlfn.AGGREGATE(14,6,(COLUMN($J146:$AVW146)-COLUMN($J146)+1)/($J146:$AVW146="T"),1)),"")</f>
        <v>46000</v>
      </c>
      <c r="H146" s="77">
        <f t="shared" si="23"/>
        <v>2</v>
      </c>
      <c r="I146" s="38" t="s">
        <v>10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25" t="s">
        <v>12</v>
      </c>
      <c r="T146" s="27"/>
      <c r="U146" s="27"/>
      <c r="V146" s="27"/>
      <c r="W146" s="28"/>
      <c r="X146" s="27"/>
      <c r="Y146" s="27"/>
      <c r="Z146" s="29" t="s">
        <v>16</v>
      </c>
      <c r="AA146" s="30" t="s">
        <v>13</v>
      </c>
      <c r="AB146" s="27"/>
      <c r="AC146" s="27"/>
      <c r="AD146" s="28"/>
      <c r="AE146" s="27"/>
      <c r="AF146" s="27"/>
      <c r="AG146" s="29" t="s">
        <v>14</v>
      </c>
      <c r="AH146" s="30" t="s">
        <v>11</v>
      </c>
      <c r="AI146" s="37"/>
      <c r="AJ146" s="27"/>
      <c r="AK146" s="28"/>
      <c r="AL146" s="27"/>
      <c r="AM146" s="29" t="s">
        <v>15</v>
      </c>
      <c r="AN146" s="27"/>
      <c r="AO146" s="27"/>
      <c r="AP146" s="25">
        <v>17</v>
      </c>
      <c r="AQ146" s="33"/>
      <c r="AR146" s="33"/>
      <c r="AS146" s="33"/>
      <c r="AT146" s="33"/>
      <c r="AU146" s="33"/>
      <c r="AV146" s="25" t="s">
        <v>12</v>
      </c>
      <c r="AW146" s="27"/>
      <c r="AX146" s="27"/>
      <c r="AY146" s="27"/>
      <c r="AZ146" s="28"/>
      <c r="BA146" s="27"/>
      <c r="BB146" s="27"/>
      <c r="BC146" s="29" t="s">
        <v>16</v>
      </c>
      <c r="BD146" s="30" t="s">
        <v>13</v>
      </c>
      <c r="BE146" s="27"/>
      <c r="BF146" s="27"/>
      <c r="BG146" s="28"/>
      <c r="BH146" s="27"/>
      <c r="BI146" s="27"/>
      <c r="BJ146" s="32" t="s">
        <v>14</v>
      </c>
      <c r="BK146" s="30" t="s">
        <v>11</v>
      </c>
      <c r="BL146" s="27"/>
      <c r="BM146" s="27"/>
      <c r="BN146" s="28"/>
      <c r="BO146" s="27"/>
      <c r="BP146" s="29" t="s">
        <v>15</v>
      </c>
      <c r="BQ146" s="27"/>
      <c r="BR146" s="27"/>
      <c r="BS146" s="25">
        <v>17</v>
      </c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  <c r="CQ146" s="33"/>
      <c r="CR146" s="33"/>
    </row>
    <row r="147" spans="1:96" x14ac:dyDescent="0.25">
      <c r="A147" s="25" t="s">
        <v>130</v>
      </c>
      <c r="B147" s="25" t="s">
        <v>190</v>
      </c>
      <c r="C147" s="25" t="s">
        <v>444</v>
      </c>
      <c r="D147" s="25">
        <v>134</v>
      </c>
      <c r="E147" s="35" cm="1">
        <f t="array" ref="E147">IFERROR(INDEX($J$5:$AVX$5, _xlfn.AGGREGATE(15,6, COLUMN(J147:AVX147)-COLUMN(J147)+1 / (J147:AVX147="T"), F147)), "")</f>
        <v>46000</v>
      </c>
      <c r="F147" s="74">
        <f t="shared" si="22"/>
        <v>2</v>
      </c>
      <c r="G147" s="35" cm="1">
        <f t="array" ref="G147">IFERROR(INDEX($J$5:$AVW$5,_xlfn.AGGREGATE(14,6,(COLUMN($J147:$AVW147)-COLUMN($J147)+1)/($J147:$AVW147="T"),1)),"")</f>
        <v>46000</v>
      </c>
      <c r="H147" s="77">
        <f t="shared" si="23"/>
        <v>2</v>
      </c>
      <c r="I147" s="38" t="s">
        <v>10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25" t="s">
        <v>12</v>
      </c>
      <c r="T147" s="27"/>
      <c r="U147" s="27"/>
      <c r="V147" s="27"/>
      <c r="W147" s="28"/>
      <c r="X147" s="27"/>
      <c r="Y147" s="27"/>
      <c r="Z147" s="29" t="s">
        <v>16</v>
      </c>
      <c r="AA147" s="30" t="s">
        <v>13</v>
      </c>
      <c r="AB147" s="27"/>
      <c r="AC147" s="27"/>
      <c r="AD147" s="28"/>
      <c r="AE147" s="27"/>
      <c r="AF147" s="27"/>
      <c r="AG147" s="29" t="s">
        <v>14</v>
      </c>
      <c r="AH147" s="30" t="s">
        <v>11</v>
      </c>
      <c r="AI147" s="37"/>
      <c r="AJ147" s="27"/>
      <c r="AK147" s="28"/>
      <c r="AL147" s="27"/>
      <c r="AM147" s="29" t="s">
        <v>15</v>
      </c>
      <c r="AN147" s="27"/>
      <c r="AO147" s="27"/>
      <c r="AP147" s="25">
        <v>17</v>
      </c>
      <c r="AQ147" s="33"/>
      <c r="AR147" s="33"/>
      <c r="AS147" s="33"/>
      <c r="AT147" s="33"/>
      <c r="AU147" s="33"/>
      <c r="AV147" s="25" t="s">
        <v>12</v>
      </c>
      <c r="AW147" s="27"/>
      <c r="AX147" s="27"/>
      <c r="AY147" s="27"/>
      <c r="AZ147" s="28"/>
      <c r="BA147" s="27"/>
      <c r="BB147" s="27"/>
      <c r="BC147" s="29" t="s">
        <v>16</v>
      </c>
      <c r="BD147" s="30" t="s">
        <v>13</v>
      </c>
      <c r="BE147" s="27"/>
      <c r="BF147" s="27"/>
      <c r="BG147" s="28"/>
      <c r="BH147" s="27"/>
      <c r="BI147" s="27"/>
      <c r="BJ147" s="32" t="s">
        <v>14</v>
      </c>
      <c r="BK147" s="30" t="s">
        <v>11</v>
      </c>
      <c r="BL147" s="27"/>
      <c r="BM147" s="27"/>
      <c r="BN147" s="28"/>
      <c r="BO147" s="27"/>
      <c r="BP147" s="29" t="s">
        <v>15</v>
      </c>
      <c r="BQ147" s="27"/>
      <c r="BR147" s="27"/>
      <c r="BS147" s="25">
        <v>17</v>
      </c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25"/>
      <c r="CR147" s="25"/>
    </row>
    <row r="148" spans="1:96" s="40" customFormat="1" x14ac:dyDescent="0.25">
      <c r="A148" s="25" t="s">
        <v>130</v>
      </c>
      <c r="B148" s="25" t="s">
        <v>191</v>
      </c>
      <c r="C148" s="25" t="s">
        <v>445</v>
      </c>
      <c r="D148" s="25">
        <v>135</v>
      </c>
      <c r="E148" s="35" cm="1">
        <f t="array" ref="E148">IFERROR(INDEX($J$5:$AVX$5, _xlfn.AGGREGATE(15,6, COLUMN(J148:AVX148)-COLUMN(J148)+1 / (J148:AVX148="T"), F148)), "")</f>
        <v>46000</v>
      </c>
      <c r="F148" s="74">
        <f t="shared" si="22"/>
        <v>2</v>
      </c>
      <c r="G148" s="35" cm="1">
        <f t="array" ref="G148">IFERROR(INDEX($J$5:$AVW$5,_xlfn.AGGREGATE(14,6,(COLUMN($J148:$AVW148)-COLUMN($J148)+1)/($J148:$AVW148="T"),1)),"")</f>
        <v>46000</v>
      </c>
      <c r="H148" s="77">
        <f t="shared" si="23"/>
        <v>2</v>
      </c>
      <c r="I148" s="38" t="s">
        <v>10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25" t="s">
        <v>12</v>
      </c>
      <c r="T148" s="27"/>
      <c r="U148" s="27"/>
      <c r="V148" s="27"/>
      <c r="W148" s="28"/>
      <c r="X148" s="27"/>
      <c r="Y148" s="27"/>
      <c r="Z148" s="29" t="s">
        <v>16</v>
      </c>
      <c r="AA148" s="30" t="s">
        <v>13</v>
      </c>
      <c r="AB148" s="27"/>
      <c r="AC148" s="27"/>
      <c r="AD148" s="28"/>
      <c r="AE148" s="27"/>
      <c r="AF148" s="27"/>
      <c r="AG148" s="29" t="s">
        <v>14</v>
      </c>
      <c r="AH148" s="30" t="s">
        <v>11</v>
      </c>
      <c r="AI148" s="37"/>
      <c r="AJ148" s="27"/>
      <c r="AK148" s="28"/>
      <c r="AL148" s="27"/>
      <c r="AM148" s="29" t="s">
        <v>15</v>
      </c>
      <c r="AN148" s="27"/>
      <c r="AO148" s="27"/>
      <c r="AP148" s="25">
        <v>17</v>
      </c>
      <c r="AQ148" s="33"/>
      <c r="AR148" s="33"/>
      <c r="AS148" s="33"/>
      <c r="AT148" s="33"/>
      <c r="AU148" s="33"/>
      <c r="AV148" s="25" t="s">
        <v>12</v>
      </c>
      <c r="AW148" s="27"/>
      <c r="AX148" s="27"/>
      <c r="AY148" s="27"/>
      <c r="AZ148" s="28"/>
      <c r="BA148" s="27"/>
      <c r="BB148" s="27"/>
      <c r="BC148" s="29" t="s">
        <v>16</v>
      </c>
      <c r="BD148" s="30" t="s">
        <v>13</v>
      </c>
      <c r="BE148" s="27"/>
      <c r="BF148" s="27"/>
      <c r="BG148" s="28"/>
      <c r="BH148" s="27"/>
      <c r="BI148" s="27"/>
      <c r="BJ148" s="32" t="s">
        <v>14</v>
      </c>
      <c r="BK148" s="30" t="s">
        <v>11</v>
      </c>
      <c r="BL148" s="27"/>
      <c r="BM148" s="27"/>
      <c r="BN148" s="28"/>
      <c r="BO148" s="27"/>
      <c r="BP148" s="29" t="s">
        <v>15</v>
      </c>
      <c r="BQ148" s="27"/>
      <c r="BR148" s="27"/>
      <c r="BS148" s="25">
        <v>17</v>
      </c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3"/>
      <c r="CH148" s="33"/>
      <c r="CI148" s="33"/>
      <c r="CJ148" s="33"/>
      <c r="CK148" s="33"/>
      <c r="CL148" s="33"/>
      <c r="CM148" s="33"/>
      <c r="CN148" s="33"/>
      <c r="CO148" s="33"/>
      <c r="CP148" s="33"/>
      <c r="CQ148" s="25"/>
      <c r="CR148" s="25"/>
    </row>
    <row r="149" spans="1:96" x14ac:dyDescent="0.25">
      <c r="A149" s="25" t="s">
        <v>130</v>
      </c>
      <c r="B149" s="25" t="s">
        <v>192</v>
      </c>
      <c r="C149" s="25" t="s">
        <v>446</v>
      </c>
      <c r="D149" s="25">
        <v>136</v>
      </c>
      <c r="E149" s="35" cm="1">
        <f t="array" ref="E149">IFERROR(INDEX($J$5:$AVX$5, _xlfn.AGGREGATE(15,6, COLUMN(J149:AVX149)-COLUMN(J149)+1 / (J149:AVX149="T"), F149)), "")</f>
        <v>46000</v>
      </c>
      <c r="F149" s="74">
        <f t="shared" si="22"/>
        <v>2</v>
      </c>
      <c r="G149" s="35" cm="1">
        <f t="array" ref="G149">IFERROR(INDEX($J$5:$AVW$5,_xlfn.AGGREGATE(14,6,(COLUMN($J149:$AVW149)-COLUMN($J149)+1)/($J149:$AVW149="T"),1)),"")</f>
        <v>46000</v>
      </c>
      <c r="H149" s="77">
        <f t="shared" si="23"/>
        <v>2</v>
      </c>
      <c r="I149" s="38" t="s">
        <v>10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25" t="s">
        <v>12</v>
      </c>
      <c r="T149" s="27"/>
      <c r="U149" s="27"/>
      <c r="V149" s="27"/>
      <c r="W149" s="28"/>
      <c r="X149" s="27"/>
      <c r="Y149" s="27"/>
      <c r="Z149" s="29" t="s">
        <v>16</v>
      </c>
      <c r="AA149" s="30" t="s">
        <v>13</v>
      </c>
      <c r="AB149" s="27"/>
      <c r="AC149" s="27"/>
      <c r="AD149" s="28"/>
      <c r="AE149" s="27"/>
      <c r="AF149" s="27"/>
      <c r="AG149" s="29" t="s">
        <v>14</v>
      </c>
      <c r="AH149" s="30" t="s">
        <v>11</v>
      </c>
      <c r="AI149" s="37"/>
      <c r="AJ149" s="27"/>
      <c r="AK149" s="28"/>
      <c r="AL149" s="27"/>
      <c r="AM149" s="29" t="s">
        <v>15</v>
      </c>
      <c r="AN149" s="27"/>
      <c r="AO149" s="27"/>
      <c r="AP149" s="25">
        <v>17</v>
      </c>
      <c r="AQ149" s="33"/>
      <c r="AR149" s="33"/>
      <c r="AS149" s="33"/>
      <c r="AT149" s="33"/>
      <c r="AU149" s="33"/>
      <c r="AV149" s="25" t="s">
        <v>12</v>
      </c>
      <c r="AW149" s="27"/>
      <c r="AX149" s="27"/>
      <c r="AY149" s="27"/>
      <c r="AZ149" s="28"/>
      <c r="BA149" s="27"/>
      <c r="BB149" s="27"/>
      <c r="BC149" s="29" t="s">
        <v>16</v>
      </c>
      <c r="BD149" s="30" t="s">
        <v>13</v>
      </c>
      <c r="BE149" s="27"/>
      <c r="BF149" s="27"/>
      <c r="BG149" s="28"/>
      <c r="BH149" s="27"/>
      <c r="BI149" s="27"/>
      <c r="BJ149" s="32" t="s">
        <v>14</v>
      </c>
      <c r="BK149" s="30" t="s">
        <v>11</v>
      </c>
      <c r="BL149" s="27"/>
      <c r="BM149" s="27"/>
      <c r="BN149" s="28"/>
      <c r="BO149" s="27"/>
      <c r="BP149" s="29" t="s">
        <v>15</v>
      </c>
      <c r="BQ149" s="27"/>
      <c r="BR149" s="27"/>
      <c r="BS149" s="25">
        <v>17</v>
      </c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3"/>
      <c r="CH149" s="33"/>
      <c r="CI149" s="33"/>
      <c r="CJ149" s="33"/>
      <c r="CK149" s="33"/>
      <c r="CL149" s="33"/>
      <c r="CM149" s="33"/>
      <c r="CN149" s="33"/>
      <c r="CO149" s="33"/>
      <c r="CP149" s="33"/>
      <c r="CQ149" s="25"/>
      <c r="CR149" s="25"/>
    </row>
    <row r="150" spans="1:96" x14ac:dyDescent="0.25">
      <c r="A150" s="25" t="s">
        <v>130</v>
      </c>
      <c r="B150" s="25" t="s">
        <v>193</v>
      </c>
      <c r="C150" s="25" t="s">
        <v>447</v>
      </c>
      <c r="D150" s="25">
        <v>137</v>
      </c>
      <c r="E150" s="35" cm="1">
        <f t="array" ref="E150">IFERROR(INDEX($J$5:$AVX$5, _xlfn.AGGREGATE(15,6, COLUMN(J150:AVX150)-COLUMN(J150)+1 / (J150:AVX150="T"), F150)), "")</f>
        <v>46000</v>
      </c>
      <c r="F150" s="74">
        <f t="shared" si="22"/>
        <v>2</v>
      </c>
      <c r="G150" s="35" cm="1">
        <f t="array" ref="G150">IFERROR(INDEX($J$5:$AVW$5,_xlfn.AGGREGATE(14,6,(COLUMN($J150:$AVW150)-COLUMN($J150)+1)/($J150:$AVW150="T"),1)),"")</f>
        <v>46000</v>
      </c>
      <c r="H150" s="77">
        <f t="shared" si="23"/>
        <v>2</v>
      </c>
      <c r="I150" s="38" t="s">
        <v>10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25" t="s">
        <v>12</v>
      </c>
      <c r="T150" s="27"/>
      <c r="U150" s="27"/>
      <c r="V150" s="27"/>
      <c r="W150" s="28"/>
      <c r="X150" s="27"/>
      <c r="Y150" s="27"/>
      <c r="Z150" s="29" t="s">
        <v>16</v>
      </c>
      <c r="AA150" s="30" t="s">
        <v>13</v>
      </c>
      <c r="AB150" s="27"/>
      <c r="AC150" s="27"/>
      <c r="AD150" s="28"/>
      <c r="AE150" s="27"/>
      <c r="AF150" s="27"/>
      <c r="AG150" s="29" t="s">
        <v>14</v>
      </c>
      <c r="AH150" s="30" t="s">
        <v>11</v>
      </c>
      <c r="AI150" s="37"/>
      <c r="AJ150" s="27"/>
      <c r="AK150" s="28"/>
      <c r="AL150" s="27"/>
      <c r="AM150" s="29" t="s">
        <v>15</v>
      </c>
      <c r="AN150" s="27"/>
      <c r="AO150" s="27"/>
      <c r="AP150" s="25">
        <v>17</v>
      </c>
      <c r="AQ150" s="33"/>
      <c r="AR150" s="33"/>
      <c r="AS150" s="33"/>
      <c r="AT150" s="33"/>
      <c r="AU150" s="33"/>
      <c r="AV150" s="25" t="s">
        <v>12</v>
      </c>
      <c r="AW150" s="27"/>
      <c r="AX150" s="27"/>
      <c r="AY150" s="27"/>
      <c r="AZ150" s="28"/>
      <c r="BA150" s="27"/>
      <c r="BB150" s="27"/>
      <c r="BC150" s="29" t="s">
        <v>16</v>
      </c>
      <c r="BD150" s="30" t="s">
        <v>13</v>
      </c>
      <c r="BE150" s="27"/>
      <c r="BF150" s="27"/>
      <c r="BG150" s="28"/>
      <c r="BH150" s="27"/>
      <c r="BI150" s="27"/>
      <c r="BJ150" s="32" t="s">
        <v>14</v>
      </c>
      <c r="BK150" s="30" t="s">
        <v>11</v>
      </c>
      <c r="BL150" s="27"/>
      <c r="BM150" s="27"/>
      <c r="BN150" s="28"/>
      <c r="BO150" s="27"/>
      <c r="BP150" s="29" t="s">
        <v>15</v>
      </c>
      <c r="BQ150" s="27"/>
      <c r="BR150" s="27"/>
      <c r="BS150" s="25">
        <v>17</v>
      </c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3"/>
      <c r="CH150" s="33"/>
      <c r="CI150" s="33"/>
      <c r="CJ150" s="33"/>
      <c r="CK150" s="33"/>
      <c r="CL150" s="33"/>
      <c r="CM150" s="33"/>
      <c r="CN150" s="33"/>
      <c r="CO150" s="33"/>
      <c r="CP150" s="33"/>
      <c r="CQ150" s="25"/>
      <c r="CR150" s="25"/>
    </row>
    <row r="151" spans="1:96" x14ac:dyDescent="0.25">
      <c r="A151" s="25" t="s">
        <v>130</v>
      </c>
      <c r="B151" s="25" t="s">
        <v>194</v>
      </c>
      <c r="C151" s="25" t="s">
        <v>448</v>
      </c>
      <c r="D151" s="25">
        <v>138</v>
      </c>
      <c r="E151" s="35" cm="1">
        <f t="array" ref="E151">IFERROR(INDEX($J$5:$AVX$5, _xlfn.AGGREGATE(15,6, COLUMN(J151:AVX151)-COLUMN(J151)+1 / (J151:AVX151="T"), F151)), "")</f>
        <v>46000</v>
      </c>
      <c r="F151" s="74">
        <f t="shared" si="22"/>
        <v>2</v>
      </c>
      <c r="G151" s="35" cm="1">
        <f t="array" ref="G151">IFERROR(INDEX($J$5:$AVW$5,_xlfn.AGGREGATE(14,6,(COLUMN($J151:$AVW151)-COLUMN($J151)+1)/($J151:$AVW151="T"),1)),"")</f>
        <v>46000</v>
      </c>
      <c r="H151" s="77">
        <f t="shared" si="23"/>
        <v>2</v>
      </c>
      <c r="I151" s="38" t="s">
        <v>10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25" t="s">
        <v>12</v>
      </c>
      <c r="T151" s="27"/>
      <c r="U151" s="27"/>
      <c r="V151" s="27"/>
      <c r="W151" s="28"/>
      <c r="X151" s="27"/>
      <c r="Y151" s="27"/>
      <c r="Z151" s="29" t="s">
        <v>16</v>
      </c>
      <c r="AA151" s="30" t="s">
        <v>13</v>
      </c>
      <c r="AB151" s="27"/>
      <c r="AC151" s="27"/>
      <c r="AD151" s="28"/>
      <c r="AE151" s="27"/>
      <c r="AF151" s="27"/>
      <c r="AG151" s="29" t="s">
        <v>14</v>
      </c>
      <c r="AH151" s="30" t="s">
        <v>11</v>
      </c>
      <c r="AI151" s="37"/>
      <c r="AJ151" s="27"/>
      <c r="AK151" s="28"/>
      <c r="AL151" s="27"/>
      <c r="AM151" s="29" t="s">
        <v>15</v>
      </c>
      <c r="AN151" s="27"/>
      <c r="AO151" s="27"/>
      <c r="AP151" s="25">
        <v>17</v>
      </c>
      <c r="AQ151" s="33"/>
      <c r="AR151" s="33"/>
      <c r="AS151" s="33"/>
      <c r="AT151" s="33"/>
      <c r="AU151" s="33"/>
      <c r="AV151" s="25" t="s">
        <v>12</v>
      </c>
      <c r="AW151" s="27"/>
      <c r="AX151" s="27"/>
      <c r="AY151" s="27"/>
      <c r="AZ151" s="28"/>
      <c r="BA151" s="27"/>
      <c r="BB151" s="27"/>
      <c r="BC151" s="29" t="s">
        <v>16</v>
      </c>
      <c r="BD151" s="30" t="s">
        <v>13</v>
      </c>
      <c r="BE151" s="27"/>
      <c r="BF151" s="27"/>
      <c r="BG151" s="28"/>
      <c r="BH151" s="27"/>
      <c r="BI151" s="27"/>
      <c r="BJ151" s="32" t="s">
        <v>14</v>
      </c>
      <c r="BK151" s="30" t="s">
        <v>11</v>
      </c>
      <c r="BL151" s="27"/>
      <c r="BM151" s="27"/>
      <c r="BN151" s="28"/>
      <c r="BO151" s="27"/>
      <c r="BP151" s="29" t="s">
        <v>15</v>
      </c>
      <c r="BQ151" s="27"/>
      <c r="BR151" s="27"/>
      <c r="BS151" s="25">
        <v>17</v>
      </c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  <c r="CF151" s="33"/>
      <c r="CG151" s="33"/>
      <c r="CH151" s="33"/>
      <c r="CI151" s="33"/>
      <c r="CJ151" s="33"/>
      <c r="CK151" s="33"/>
      <c r="CL151" s="33"/>
      <c r="CM151" s="33"/>
      <c r="CN151" s="33"/>
      <c r="CO151" s="33"/>
      <c r="CP151" s="33"/>
      <c r="CQ151" s="25"/>
      <c r="CR151" s="25"/>
    </row>
    <row r="152" spans="1:96" x14ac:dyDescent="0.25">
      <c r="A152" s="25" t="s">
        <v>130</v>
      </c>
      <c r="B152" s="25" t="s">
        <v>195</v>
      </c>
      <c r="C152" s="25" t="s">
        <v>449</v>
      </c>
      <c r="D152" s="25">
        <v>139</v>
      </c>
      <c r="E152" s="35" cm="1">
        <f t="array" ref="E152">IFERROR(INDEX($J$5:$AVX$5, _xlfn.AGGREGATE(15,6, COLUMN(J152:AVX152)-COLUMN(J152)+1 / (J152:AVX152="T"), F152)), "")</f>
        <v>46001</v>
      </c>
      <c r="F152" s="74">
        <f t="shared" si="22"/>
        <v>2</v>
      </c>
      <c r="G152" s="35" cm="1">
        <f t="array" ref="G152">IFERROR(INDEX($J$5:$AVW$5,_xlfn.AGGREGATE(14,6,(COLUMN($J152:$AVW152)-COLUMN($J152)+1)/($J152:$AVW152="T"),1)),"")</f>
        <v>46001</v>
      </c>
      <c r="H152" s="77">
        <f t="shared" si="23"/>
        <v>2</v>
      </c>
      <c r="I152" s="38" t="s">
        <v>10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25" t="s">
        <v>12</v>
      </c>
      <c r="U152" s="27"/>
      <c r="V152" s="27"/>
      <c r="W152" s="27"/>
      <c r="X152" s="28"/>
      <c r="Y152" s="27"/>
      <c r="Z152" s="27"/>
      <c r="AA152" s="29" t="s">
        <v>16</v>
      </c>
      <c r="AB152" s="30" t="s">
        <v>13</v>
      </c>
      <c r="AC152" s="27"/>
      <c r="AD152" s="27"/>
      <c r="AE152" s="28"/>
      <c r="AF152" s="27"/>
      <c r="AG152" s="27"/>
      <c r="AH152" s="32" t="s">
        <v>14</v>
      </c>
      <c r="AI152" s="30" t="s">
        <v>11</v>
      </c>
      <c r="AJ152" s="27"/>
      <c r="AK152" s="27"/>
      <c r="AL152" s="28"/>
      <c r="AM152" s="27"/>
      <c r="AN152" s="29" t="s">
        <v>15</v>
      </c>
      <c r="AO152" s="27"/>
      <c r="AP152" s="27"/>
      <c r="AQ152" s="25">
        <v>17</v>
      </c>
      <c r="AR152" s="33"/>
      <c r="AS152" s="33"/>
      <c r="AT152" s="33"/>
      <c r="AU152" s="33"/>
      <c r="AV152" s="33"/>
      <c r="AW152" s="25" t="s">
        <v>12</v>
      </c>
      <c r="AX152" s="27"/>
      <c r="AY152" s="27"/>
      <c r="AZ152" s="27"/>
      <c r="BA152" s="28"/>
      <c r="BB152" s="27"/>
      <c r="BC152" s="27"/>
      <c r="BD152" s="29" t="s">
        <v>16</v>
      </c>
      <c r="BE152" s="30" t="s">
        <v>13</v>
      </c>
      <c r="BF152" s="27"/>
      <c r="BG152" s="27"/>
      <c r="BH152" s="28"/>
      <c r="BI152" s="27"/>
      <c r="BJ152" s="27"/>
      <c r="BK152" s="32" t="s">
        <v>14</v>
      </c>
      <c r="BL152" s="30" t="s">
        <v>11</v>
      </c>
      <c r="BM152" s="27"/>
      <c r="BN152" s="27"/>
      <c r="BO152" s="28"/>
      <c r="BP152" s="27"/>
      <c r="BQ152" s="29" t="s">
        <v>15</v>
      </c>
      <c r="BR152" s="27"/>
      <c r="BS152" s="27"/>
      <c r="BT152" s="25">
        <v>17</v>
      </c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  <c r="CF152" s="33"/>
      <c r="CG152" s="33"/>
      <c r="CH152" s="33"/>
      <c r="CI152" s="33"/>
      <c r="CJ152" s="33"/>
      <c r="CK152" s="33"/>
      <c r="CL152" s="33"/>
      <c r="CM152" s="33"/>
      <c r="CN152" s="33"/>
      <c r="CO152" s="33"/>
      <c r="CP152" s="33"/>
      <c r="CQ152" s="25"/>
    </row>
    <row r="153" spans="1:96" x14ac:dyDescent="0.25">
      <c r="A153" s="25" t="s">
        <v>130</v>
      </c>
      <c r="B153" s="25" t="s">
        <v>196</v>
      </c>
      <c r="C153" s="25" t="s">
        <v>450</v>
      </c>
      <c r="D153" s="25">
        <v>140</v>
      </c>
      <c r="E153" s="35" cm="1">
        <f t="array" ref="E153">IFERROR(INDEX($J$5:$AVX$5, _xlfn.AGGREGATE(15,6, COLUMN(J153:AVX153)-COLUMN(J153)+1 / (J153:AVX153="T"), F153)), "")</f>
        <v>46001</v>
      </c>
      <c r="F153" s="74">
        <f t="shared" si="22"/>
        <v>2</v>
      </c>
      <c r="G153" s="35" cm="1">
        <f t="array" ref="G153">IFERROR(INDEX($J$5:$AVW$5,_xlfn.AGGREGATE(14,6,(COLUMN($J153:$AVW153)-COLUMN($J153)+1)/($J153:$AVW153="T"),1)),"")</f>
        <v>46001</v>
      </c>
      <c r="H153" s="77">
        <f t="shared" si="23"/>
        <v>2</v>
      </c>
      <c r="I153" s="38" t="s">
        <v>10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25" t="s">
        <v>12</v>
      </c>
      <c r="U153" s="27"/>
      <c r="V153" s="27"/>
      <c r="W153" s="27"/>
      <c r="X153" s="28"/>
      <c r="Y153" s="27"/>
      <c r="Z153" s="27"/>
      <c r="AA153" s="29" t="s">
        <v>16</v>
      </c>
      <c r="AB153" s="30" t="s">
        <v>13</v>
      </c>
      <c r="AC153" s="27"/>
      <c r="AD153" s="27"/>
      <c r="AE153" s="28"/>
      <c r="AF153" s="27"/>
      <c r="AG153" s="27"/>
      <c r="AH153" s="29" t="s">
        <v>14</v>
      </c>
      <c r="AI153" s="30" t="s">
        <v>11</v>
      </c>
      <c r="AJ153" s="37"/>
      <c r="AK153" s="27"/>
      <c r="AL153" s="28"/>
      <c r="AM153" s="27"/>
      <c r="AN153" s="29" t="s">
        <v>15</v>
      </c>
      <c r="AO153" s="27"/>
      <c r="AP153" s="27"/>
      <c r="AQ153" s="25">
        <v>17</v>
      </c>
      <c r="AR153" s="33"/>
      <c r="AS153" s="33"/>
      <c r="AT153" s="33"/>
      <c r="AU153" s="33"/>
      <c r="AV153" s="33"/>
      <c r="AW153" s="25" t="s">
        <v>12</v>
      </c>
      <c r="AX153" s="27"/>
      <c r="AY153" s="27"/>
      <c r="AZ153" s="27"/>
      <c r="BA153" s="28"/>
      <c r="BB153" s="27"/>
      <c r="BC153" s="27"/>
      <c r="BD153" s="29" t="s">
        <v>16</v>
      </c>
      <c r="BE153" s="30" t="s">
        <v>13</v>
      </c>
      <c r="BF153" s="27"/>
      <c r="BG153" s="27"/>
      <c r="BH153" s="28"/>
      <c r="BI153" s="27"/>
      <c r="BJ153" s="27"/>
      <c r="BK153" s="32" t="s">
        <v>14</v>
      </c>
      <c r="BL153" s="30" t="s">
        <v>11</v>
      </c>
      <c r="BM153" s="27"/>
      <c r="BN153" s="27"/>
      <c r="BO153" s="28"/>
      <c r="BP153" s="27"/>
      <c r="BQ153" s="29" t="s">
        <v>15</v>
      </c>
      <c r="BR153" s="27"/>
      <c r="BS153" s="27"/>
      <c r="BT153" s="25">
        <v>17</v>
      </c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  <c r="CF153" s="33"/>
      <c r="CG153" s="33"/>
      <c r="CH153" s="33"/>
      <c r="CI153" s="33"/>
      <c r="CJ153" s="33"/>
      <c r="CK153" s="33"/>
      <c r="CL153" s="33"/>
      <c r="CM153" s="33"/>
      <c r="CN153" s="33"/>
      <c r="CO153" s="33"/>
      <c r="CP153" s="33"/>
      <c r="CQ153" s="33"/>
    </row>
    <row r="154" spans="1:96" x14ac:dyDescent="0.25">
      <c r="A154" s="25" t="s">
        <v>130</v>
      </c>
      <c r="B154" s="25" t="s">
        <v>197</v>
      </c>
      <c r="C154" s="25" t="s">
        <v>451</v>
      </c>
      <c r="D154" s="25">
        <v>141</v>
      </c>
      <c r="E154" s="35" cm="1">
        <f t="array" ref="E154">IFERROR(INDEX($J$5:$AVX$5, _xlfn.AGGREGATE(15,6, COLUMN(J154:AVX154)-COLUMN(J154)+1 / (J154:AVX154="T"), F154)), "")</f>
        <v>46001</v>
      </c>
      <c r="F154" s="74">
        <f t="shared" si="22"/>
        <v>2</v>
      </c>
      <c r="G154" s="35" cm="1">
        <f t="array" ref="G154">IFERROR(INDEX($J$5:$AVW$5,_xlfn.AGGREGATE(14,6,(COLUMN($J154:$AVW154)-COLUMN($J154)+1)/($J154:$AVW154="T"),1)),"")</f>
        <v>46001</v>
      </c>
      <c r="H154" s="77">
        <f t="shared" si="23"/>
        <v>2</v>
      </c>
      <c r="I154" s="38" t="s">
        <v>10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25" t="s">
        <v>12</v>
      </c>
      <c r="U154" s="27"/>
      <c r="V154" s="27"/>
      <c r="W154" s="27"/>
      <c r="X154" s="28"/>
      <c r="Y154" s="27"/>
      <c r="Z154" s="27"/>
      <c r="AA154" s="29" t="s">
        <v>16</v>
      </c>
      <c r="AB154" s="30" t="s">
        <v>13</v>
      </c>
      <c r="AC154" s="27"/>
      <c r="AD154" s="27"/>
      <c r="AE154" s="28"/>
      <c r="AF154" s="27"/>
      <c r="AG154" s="27"/>
      <c r="AH154" s="29" t="s">
        <v>14</v>
      </c>
      <c r="AI154" s="30" t="s">
        <v>11</v>
      </c>
      <c r="AJ154" s="37"/>
      <c r="AK154" s="27"/>
      <c r="AL154" s="28"/>
      <c r="AM154" s="27"/>
      <c r="AN154" s="29" t="s">
        <v>15</v>
      </c>
      <c r="AO154" s="27"/>
      <c r="AP154" s="27"/>
      <c r="AQ154" s="25">
        <v>17</v>
      </c>
      <c r="AR154" s="33"/>
      <c r="AS154" s="33"/>
      <c r="AT154" s="33"/>
      <c r="AU154" s="33"/>
      <c r="AV154" s="33"/>
      <c r="AW154" s="25" t="s">
        <v>12</v>
      </c>
      <c r="AX154" s="27"/>
      <c r="AY154" s="27"/>
      <c r="AZ154" s="27"/>
      <c r="BA154" s="28"/>
      <c r="BB154" s="27"/>
      <c r="BC154" s="27"/>
      <c r="BD154" s="29" t="s">
        <v>16</v>
      </c>
      <c r="BE154" s="30" t="s">
        <v>13</v>
      </c>
      <c r="BF154" s="27"/>
      <c r="BG154" s="27"/>
      <c r="BH154" s="28"/>
      <c r="BI154" s="27"/>
      <c r="BJ154" s="27"/>
      <c r="BK154" s="32" t="s">
        <v>14</v>
      </c>
      <c r="BL154" s="30" t="s">
        <v>11</v>
      </c>
      <c r="BM154" s="27"/>
      <c r="BN154" s="27"/>
      <c r="BO154" s="28"/>
      <c r="BP154" s="27"/>
      <c r="BQ154" s="29" t="s">
        <v>15</v>
      </c>
      <c r="BR154" s="27"/>
      <c r="BS154" s="27"/>
      <c r="BT154" s="25">
        <v>17</v>
      </c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3"/>
      <c r="CH154" s="33"/>
      <c r="CI154" s="33"/>
      <c r="CJ154" s="33"/>
      <c r="CK154" s="33"/>
      <c r="CL154" s="33"/>
      <c r="CM154" s="33"/>
      <c r="CN154" s="33"/>
      <c r="CO154" s="33"/>
      <c r="CP154" s="33"/>
      <c r="CQ154" s="25"/>
    </row>
    <row r="155" spans="1:96" x14ac:dyDescent="0.25">
      <c r="A155" s="25" t="s">
        <v>130</v>
      </c>
      <c r="B155" s="25" t="s">
        <v>283</v>
      </c>
      <c r="C155" s="25" t="s">
        <v>452</v>
      </c>
      <c r="D155" s="25">
        <v>142</v>
      </c>
      <c r="E155" s="35" cm="1">
        <f t="array" ref="E155">IFERROR(INDEX($J$5:$AVX$5, _xlfn.AGGREGATE(15,6, COLUMN(J155:AVX155)-COLUMN(J155)+1 / (J155:AVX155="T"), F155)), "")</f>
        <v>46001</v>
      </c>
      <c r="F155" s="74">
        <f t="shared" si="22"/>
        <v>2</v>
      </c>
      <c r="G155" s="35" cm="1">
        <f t="array" ref="G155">IFERROR(INDEX($J$5:$AVW$5,_xlfn.AGGREGATE(14,6,(COLUMN($J155:$AVW155)-COLUMN($J155)+1)/($J155:$AVW155="T"),1)),"")</f>
        <v>46001</v>
      </c>
      <c r="H155" s="77">
        <f t="shared" si="23"/>
        <v>2</v>
      </c>
      <c r="I155" s="38" t="s">
        <v>10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25" t="s">
        <v>12</v>
      </c>
      <c r="U155" s="27"/>
      <c r="V155" s="27"/>
      <c r="W155" s="27"/>
      <c r="X155" s="28"/>
      <c r="Y155" s="27"/>
      <c r="Z155" s="27"/>
      <c r="AA155" s="29" t="s">
        <v>16</v>
      </c>
      <c r="AB155" s="30" t="s">
        <v>13</v>
      </c>
      <c r="AC155" s="27"/>
      <c r="AD155" s="27"/>
      <c r="AE155" s="28"/>
      <c r="AF155" s="27"/>
      <c r="AG155" s="27"/>
      <c r="AH155" s="29" t="s">
        <v>14</v>
      </c>
      <c r="AI155" s="30" t="s">
        <v>11</v>
      </c>
      <c r="AJ155" s="37"/>
      <c r="AK155" s="27"/>
      <c r="AL155" s="28"/>
      <c r="AM155" s="27"/>
      <c r="AN155" s="29" t="s">
        <v>15</v>
      </c>
      <c r="AO155" s="27"/>
      <c r="AP155" s="27"/>
      <c r="AQ155" s="25">
        <v>17</v>
      </c>
      <c r="AR155" s="33"/>
      <c r="AS155" s="33"/>
      <c r="AT155" s="33"/>
      <c r="AU155" s="33"/>
      <c r="AV155" s="33"/>
      <c r="AW155" s="25" t="s">
        <v>12</v>
      </c>
      <c r="AX155" s="27"/>
      <c r="AY155" s="27"/>
      <c r="AZ155" s="27"/>
      <c r="BA155" s="28"/>
      <c r="BB155" s="27"/>
      <c r="BC155" s="27"/>
      <c r="BD155" s="29" t="s">
        <v>16</v>
      </c>
      <c r="BE155" s="30" t="s">
        <v>13</v>
      </c>
      <c r="BF155" s="27"/>
      <c r="BG155" s="27"/>
      <c r="BH155" s="28"/>
      <c r="BI155" s="27"/>
      <c r="BJ155" s="27"/>
      <c r="BK155" s="32" t="s">
        <v>14</v>
      </c>
      <c r="BL155" s="30" t="s">
        <v>11</v>
      </c>
      <c r="BM155" s="27"/>
      <c r="BN155" s="27"/>
      <c r="BO155" s="28"/>
      <c r="BP155" s="27"/>
      <c r="BQ155" s="29" t="s">
        <v>15</v>
      </c>
      <c r="BR155" s="27"/>
      <c r="BS155" s="27"/>
      <c r="BT155" s="25">
        <v>17</v>
      </c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3"/>
      <c r="CH155" s="33"/>
      <c r="CI155" s="33"/>
      <c r="CJ155" s="33"/>
      <c r="CK155" s="33"/>
      <c r="CL155" s="33"/>
      <c r="CM155" s="33"/>
      <c r="CN155" s="33"/>
      <c r="CO155" s="33"/>
      <c r="CP155" s="33"/>
      <c r="CQ155" s="25"/>
    </row>
    <row r="156" spans="1:96" x14ac:dyDescent="0.25">
      <c r="A156" s="25" t="s">
        <v>130</v>
      </c>
      <c r="B156" s="25" t="s">
        <v>284</v>
      </c>
      <c r="C156" s="25" t="s">
        <v>453</v>
      </c>
      <c r="D156" s="25">
        <v>143</v>
      </c>
      <c r="E156" s="35" cm="1">
        <f t="array" ref="E156">IFERROR(INDEX($J$5:$AVX$5, _xlfn.AGGREGATE(15,6, COLUMN(J156:AVX156)-COLUMN(J156)+1 / (J156:AVX156="T"), F156)), "")</f>
        <v>46001</v>
      </c>
      <c r="F156" s="74">
        <f t="shared" si="22"/>
        <v>2</v>
      </c>
      <c r="G156" s="35" cm="1">
        <f t="array" ref="G156">IFERROR(INDEX($J$5:$AVW$5,_xlfn.AGGREGATE(14,6,(COLUMN($J156:$AVW156)-COLUMN($J156)+1)/($J156:$AVW156="T"),1)),"")</f>
        <v>46001</v>
      </c>
      <c r="H156" s="77">
        <f t="shared" si="23"/>
        <v>2</v>
      </c>
      <c r="I156" s="38" t="s">
        <v>10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25" t="s">
        <v>12</v>
      </c>
      <c r="U156" s="27"/>
      <c r="V156" s="27"/>
      <c r="W156" s="27"/>
      <c r="X156" s="28"/>
      <c r="Y156" s="27"/>
      <c r="Z156" s="27"/>
      <c r="AA156" s="29" t="s">
        <v>16</v>
      </c>
      <c r="AB156" s="30" t="s">
        <v>13</v>
      </c>
      <c r="AC156" s="27"/>
      <c r="AD156" s="27"/>
      <c r="AE156" s="28"/>
      <c r="AF156" s="27"/>
      <c r="AG156" s="27"/>
      <c r="AH156" s="29" t="s">
        <v>14</v>
      </c>
      <c r="AI156" s="30" t="s">
        <v>11</v>
      </c>
      <c r="AJ156" s="37"/>
      <c r="AK156" s="27"/>
      <c r="AL156" s="28"/>
      <c r="AM156" s="27"/>
      <c r="AN156" s="29" t="s">
        <v>15</v>
      </c>
      <c r="AO156" s="27"/>
      <c r="AP156" s="27"/>
      <c r="AQ156" s="25">
        <v>17</v>
      </c>
      <c r="AR156" s="33"/>
      <c r="AS156" s="33"/>
      <c r="AT156" s="33"/>
      <c r="AU156" s="33"/>
      <c r="AV156" s="33"/>
      <c r="AW156" s="25" t="s">
        <v>12</v>
      </c>
      <c r="AX156" s="27"/>
      <c r="AY156" s="27"/>
      <c r="AZ156" s="27"/>
      <c r="BA156" s="28"/>
      <c r="BB156" s="27"/>
      <c r="BC156" s="27"/>
      <c r="BD156" s="29" t="s">
        <v>16</v>
      </c>
      <c r="BE156" s="30" t="s">
        <v>13</v>
      </c>
      <c r="BF156" s="27"/>
      <c r="BG156" s="27"/>
      <c r="BH156" s="28"/>
      <c r="BI156" s="27"/>
      <c r="BJ156" s="27"/>
      <c r="BK156" s="32" t="s">
        <v>14</v>
      </c>
      <c r="BL156" s="30" t="s">
        <v>11</v>
      </c>
      <c r="BM156" s="27"/>
      <c r="BN156" s="27"/>
      <c r="BO156" s="28"/>
      <c r="BP156" s="27"/>
      <c r="BQ156" s="29" t="s">
        <v>15</v>
      </c>
      <c r="BR156" s="27"/>
      <c r="BS156" s="27"/>
      <c r="BT156" s="25">
        <v>17</v>
      </c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3"/>
      <c r="CH156" s="33"/>
      <c r="CI156" s="33"/>
      <c r="CJ156" s="33"/>
      <c r="CK156" s="33"/>
      <c r="CL156" s="33"/>
      <c r="CM156" s="33"/>
      <c r="CN156" s="33"/>
      <c r="CO156" s="33"/>
      <c r="CP156" s="33"/>
      <c r="CQ156" s="25"/>
    </row>
    <row r="157" spans="1:96" x14ac:dyDescent="0.25">
      <c r="A157" s="25" t="s">
        <v>130</v>
      </c>
      <c r="B157" s="25" t="s">
        <v>285</v>
      </c>
      <c r="C157" s="25" t="s">
        <v>454</v>
      </c>
      <c r="D157" s="25">
        <v>144</v>
      </c>
      <c r="E157" s="35" cm="1">
        <f t="array" ref="E157">IFERROR(INDEX($J$5:$AVX$5, _xlfn.AGGREGATE(15,6, COLUMN(J157:AVX157)-COLUMN(J157)+1 / (J157:AVX157="T"), F157)), "")</f>
        <v>46001</v>
      </c>
      <c r="F157" s="74">
        <f t="shared" si="22"/>
        <v>2</v>
      </c>
      <c r="G157" s="35" cm="1">
        <f t="array" ref="G157">IFERROR(INDEX($J$5:$AVW$5,_xlfn.AGGREGATE(14,6,(COLUMN($J157:$AVW157)-COLUMN($J157)+1)/($J157:$AVW157="T"),1)),"")</f>
        <v>46001</v>
      </c>
      <c r="H157" s="77">
        <f t="shared" si="23"/>
        <v>2</v>
      </c>
      <c r="I157" s="38" t="s">
        <v>10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25" t="s">
        <v>12</v>
      </c>
      <c r="U157" s="27"/>
      <c r="V157" s="27"/>
      <c r="W157" s="27"/>
      <c r="X157" s="28"/>
      <c r="Y157" s="27"/>
      <c r="Z157" s="27"/>
      <c r="AA157" s="29" t="s">
        <v>16</v>
      </c>
      <c r="AB157" s="30" t="s">
        <v>13</v>
      </c>
      <c r="AC157" s="27"/>
      <c r="AD157" s="27"/>
      <c r="AE157" s="28"/>
      <c r="AF157" s="27"/>
      <c r="AG157" s="27"/>
      <c r="AH157" s="29" t="s">
        <v>14</v>
      </c>
      <c r="AI157" s="30" t="s">
        <v>11</v>
      </c>
      <c r="AJ157" s="37"/>
      <c r="AK157" s="27"/>
      <c r="AL157" s="28"/>
      <c r="AM157" s="27"/>
      <c r="AN157" s="29" t="s">
        <v>15</v>
      </c>
      <c r="AO157" s="27"/>
      <c r="AP157" s="27"/>
      <c r="AQ157" s="25">
        <v>17</v>
      </c>
      <c r="AR157" s="33"/>
      <c r="AS157" s="33"/>
      <c r="AT157" s="33"/>
      <c r="AU157" s="33"/>
      <c r="AV157" s="33"/>
      <c r="AW157" s="25" t="s">
        <v>12</v>
      </c>
      <c r="AX157" s="27"/>
      <c r="AY157" s="27"/>
      <c r="AZ157" s="27"/>
      <c r="BA157" s="28"/>
      <c r="BB157" s="27"/>
      <c r="BC157" s="27"/>
      <c r="BD157" s="29" t="s">
        <v>16</v>
      </c>
      <c r="BE157" s="30" t="s">
        <v>13</v>
      </c>
      <c r="BF157" s="27"/>
      <c r="BG157" s="27"/>
      <c r="BH157" s="28"/>
      <c r="BI157" s="27"/>
      <c r="BJ157" s="27"/>
      <c r="BK157" s="32" t="s">
        <v>14</v>
      </c>
      <c r="BL157" s="30" t="s">
        <v>11</v>
      </c>
      <c r="BM157" s="27"/>
      <c r="BN157" s="27"/>
      <c r="BO157" s="28"/>
      <c r="BP157" s="27"/>
      <c r="BQ157" s="29" t="s">
        <v>15</v>
      </c>
      <c r="BR157" s="27"/>
      <c r="BS157" s="27"/>
      <c r="BT157" s="25">
        <v>17</v>
      </c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  <c r="CF157" s="33"/>
      <c r="CG157" s="33"/>
      <c r="CH157" s="33"/>
      <c r="CI157" s="33"/>
      <c r="CJ157" s="33"/>
      <c r="CK157" s="33"/>
      <c r="CL157" s="33"/>
      <c r="CM157" s="33"/>
      <c r="CN157" s="33"/>
      <c r="CO157" s="33"/>
      <c r="CP157" s="33"/>
      <c r="CQ157" s="25"/>
    </row>
    <row r="158" spans="1:96" x14ac:dyDescent="0.25">
      <c r="A158" s="25" t="s">
        <v>130</v>
      </c>
      <c r="B158" s="25" t="s">
        <v>286</v>
      </c>
      <c r="C158" s="25" t="s">
        <v>455</v>
      </c>
      <c r="D158" s="25">
        <v>145</v>
      </c>
      <c r="E158" s="35" cm="1">
        <f t="array" ref="E158">IFERROR(INDEX($J$5:$AVX$5, _xlfn.AGGREGATE(15,6, COLUMN(J158:AVX158)-COLUMN(J158)+1 / (J158:AVX158="T"), F158)), "")</f>
        <v>46001</v>
      </c>
      <c r="F158" s="74">
        <f t="shared" si="22"/>
        <v>2</v>
      </c>
      <c r="G158" s="35" cm="1">
        <f t="array" ref="G158">IFERROR(INDEX($J$5:$AVW$5,_xlfn.AGGREGATE(14,6,(COLUMN($J158:$AVW158)-COLUMN($J158)+1)/($J158:$AVW158="T"),1)),"")</f>
        <v>46001</v>
      </c>
      <c r="H158" s="77">
        <f t="shared" si="23"/>
        <v>2</v>
      </c>
      <c r="I158" s="38" t="s">
        <v>10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25" t="s">
        <v>12</v>
      </c>
      <c r="U158" s="27"/>
      <c r="V158" s="27"/>
      <c r="W158" s="27"/>
      <c r="X158" s="28"/>
      <c r="Y158" s="27"/>
      <c r="Z158" s="27"/>
      <c r="AA158" s="29" t="s">
        <v>16</v>
      </c>
      <c r="AB158" s="30" t="s">
        <v>13</v>
      </c>
      <c r="AC158" s="27"/>
      <c r="AD158" s="27"/>
      <c r="AE158" s="28"/>
      <c r="AF158" s="27"/>
      <c r="AG158" s="27"/>
      <c r="AH158" s="29" t="s">
        <v>14</v>
      </c>
      <c r="AI158" s="30" t="s">
        <v>11</v>
      </c>
      <c r="AJ158" s="37"/>
      <c r="AK158" s="27"/>
      <c r="AL158" s="28"/>
      <c r="AM158" s="27"/>
      <c r="AN158" s="29" t="s">
        <v>15</v>
      </c>
      <c r="AO158" s="27"/>
      <c r="AP158" s="27"/>
      <c r="AQ158" s="25">
        <v>17</v>
      </c>
      <c r="AR158" s="33"/>
      <c r="AS158" s="33"/>
      <c r="AT158" s="33"/>
      <c r="AU158" s="33"/>
      <c r="AV158" s="33"/>
      <c r="AW158" s="25" t="s">
        <v>12</v>
      </c>
      <c r="AX158" s="27"/>
      <c r="AY158" s="27"/>
      <c r="AZ158" s="27"/>
      <c r="BA158" s="28"/>
      <c r="BB158" s="27"/>
      <c r="BC158" s="27"/>
      <c r="BD158" s="29" t="s">
        <v>16</v>
      </c>
      <c r="BE158" s="30" t="s">
        <v>13</v>
      </c>
      <c r="BF158" s="27"/>
      <c r="BG158" s="27"/>
      <c r="BH158" s="28"/>
      <c r="BI158" s="27"/>
      <c r="BJ158" s="27"/>
      <c r="BK158" s="32" t="s">
        <v>14</v>
      </c>
      <c r="BL158" s="30" t="s">
        <v>11</v>
      </c>
      <c r="BM158" s="27"/>
      <c r="BN158" s="27"/>
      <c r="BO158" s="28"/>
      <c r="BP158" s="27"/>
      <c r="BQ158" s="29" t="s">
        <v>15</v>
      </c>
      <c r="BR158" s="27"/>
      <c r="BS158" s="27"/>
      <c r="BT158" s="25">
        <v>17</v>
      </c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  <c r="CF158" s="33"/>
      <c r="CG158" s="33"/>
      <c r="CH158" s="33"/>
      <c r="CI158" s="33"/>
      <c r="CJ158" s="33"/>
      <c r="CK158" s="33"/>
      <c r="CL158" s="33"/>
      <c r="CM158" s="33"/>
      <c r="CN158" s="33"/>
      <c r="CO158" s="33"/>
      <c r="CP158" s="33"/>
      <c r="CQ158" s="25"/>
    </row>
    <row r="159" spans="1:96" x14ac:dyDescent="0.25">
      <c r="A159" s="25" t="s">
        <v>130</v>
      </c>
      <c r="B159" s="25" t="s">
        <v>287</v>
      </c>
      <c r="C159" s="25" t="s">
        <v>456</v>
      </c>
      <c r="D159" s="25">
        <v>146</v>
      </c>
      <c r="E159" s="35" cm="1">
        <f t="array" ref="E159">IFERROR(INDEX($J$5:$AVX$5, _xlfn.AGGREGATE(15,6, COLUMN(J159:AVX159)-COLUMN(J159)+1 / (J159:AVX159="T"), F159)), "")</f>
        <v>46002</v>
      </c>
      <c r="F159" s="74">
        <f t="shared" si="22"/>
        <v>2</v>
      </c>
      <c r="G159" s="35" cm="1">
        <f t="array" ref="G159">IFERROR(INDEX($J$5:$AVW$5,_xlfn.AGGREGATE(14,6,(COLUMN($J159:$AVW159)-COLUMN($J159)+1)/($J159:$AVW159="T"),1)),"")</f>
        <v>46002</v>
      </c>
      <c r="H159" s="77">
        <f t="shared" si="23"/>
        <v>2</v>
      </c>
      <c r="I159" s="38" t="s">
        <v>10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25" t="s">
        <v>12</v>
      </c>
      <c r="V159" s="27"/>
      <c r="W159" s="27"/>
      <c r="X159" s="27"/>
      <c r="Y159" s="28"/>
      <c r="Z159" s="27"/>
      <c r="AA159" s="27"/>
      <c r="AB159" s="29" t="s">
        <v>16</v>
      </c>
      <c r="AC159" s="30" t="s">
        <v>13</v>
      </c>
      <c r="AD159" s="27"/>
      <c r="AE159" s="27"/>
      <c r="AF159" s="28"/>
      <c r="AG159" s="27"/>
      <c r="AH159" s="27"/>
      <c r="AI159" s="32" t="s">
        <v>14</v>
      </c>
      <c r="AJ159" s="30" t="s">
        <v>11</v>
      </c>
      <c r="AK159" s="27"/>
      <c r="AL159" s="27"/>
      <c r="AM159" s="28"/>
      <c r="AN159" s="27"/>
      <c r="AO159" s="29" t="s">
        <v>15</v>
      </c>
      <c r="AP159" s="27"/>
      <c r="AQ159" s="27"/>
      <c r="AR159" s="25">
        <v>17</v>
      </c>
      <c r="AS159" s="33"/>
      <c r="AT159" s="33"/>
      <c r="AU159" s="33"/>
      <c r="AV159" s="33"/>
      <c r="AW159" s="33"/>
      <c r="AX159" s="25" t="s">
        <v>12</v>
      </c>
      <c r="AY159" s="27"/>
      <c r="AZ159" s="27"/>
      <c r="BA159" s="27"/>
      <c r="BB159" s="28"/>
      <c r="BC159" s="27"/>
      <c r="BD159" s="27"/>
      <c r="BE159" s="29" t="s">
        <v>16</v>
      </c>
      <c r="BF159" s="30" t="s">
        <v>13</v>
      </c>
      <c r="BG159" s="27"/>
      <c r="BH159" s="27"/>
      <c r="BI159" s="28"/>
      <c r="BJ159" s="27"/>
      <c r="BK159" s="27"/>
      <c r="BL159" s="32" t="s">
        <v>14</v>
      </c>
      <c r="BM159" s="30" t="s">
        <v>11</v>
      </c>
      <c r="BN159" s="27"/>
      <c r="BO159" s="27"/>
      <c r="BP159" s="28"/>
      <c r="BQ159" s="27"/>
      <c r="BR159" s="29" t="s">
        <v>15</v>
      </c>
      <c r="BS159" s="27"/>
      <c r="BT159" s="27"/>
      <c r="BU159" s="25">
        <v>17</v>
      </c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  <c r="CF159" s="33"/>
      <c r="CG159" s="33"/>
      <c r="CH159" s="33"/>
      <c r="CI159" s="33"/>
      <c r="CJ159" s="33"/>
      <c r="CK159" s="33"/>
      <c r="CL159" s="33"/>
      <c r="CM159" s="33"/>
      <c r="CN159" s="33"/>
      <c r="CO159" s="33"/>
      <c r="CP159" s="33"/>
      <c r="CQ159" s="25"/>
    </row>
    <row r="160" spans="1:96" x14ac:dyDescent="0.25">
      <c r="A160" s="25" t="s">
        <v>130</v>
      </c>
      <c r="B160" s="25" t="s">
        <v>206</v>
      </c>
      <c r="C160" s="25" t="s">
        <v>457</v>
      </c>
      <c r="D160" s="25">
        <v>147</v>
      </c>
      <c r="E160" s="35" cm="1">
        <f t="array" ref="E160">IFERROR(INDEX($J$5:$AVX$5, _xlfn.AGGREGATE(15,6, COLUMN(J160:AVX160)-COLUMN(J160)+1 / (J160:AVX160="T"), F160)), "")</f>
        <v>46002</v>
      </c>
      <c r="F160" s="74">
        <f t="shared" si="22"/>
        <v>2</v>
      </c>
      <c r="G160" s="35" cm="1">
        <f t="array" ref="G160">IFERROR(INDEX($J$5:$AVW$5,_xlfn.AGGREGATE(14,6,(COLUMN($J160:$AVW160)-COLUMN($J160)+1)/($J160:$AVW160="T"),1)),"")</f>
        <v>46002</v>
      </c>
      <c r="H160" s="77">
        <f t="shared" si="23"/>
        <v>2</v>
      </c>
      <c r="I160" s="38" t="s">
        <v>10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25" t="s">
        <v>12</v>
      </c>
      <c r="V160" s="27"/>
      <c r="W160" s="27"/>
      <c r="X160" s="27"/>
      <c r="Y160" s="28"/>
      <c r="Z160" s="27"/>
      <c r="AA160" s="27"/>
      <c r="AB160" s="29" t="s">
        <v>16</v>
      </c>
      <c r="AC160" s="30" t="s">
        <v>13</v>
      </c>
      <c r="AD160" s="27"/>
      <c r="AE160" s="27"/>
      <c r="AF160" s="28"/>
      <c r="AG160" s="27"/>
      <c r="AH160" s="27"/>
      <c r="AI160" s="29" t="s">
        <v>14</v>
      </c>
      <c r="AJ160" s="30" t="s">
        <v>11</v>
      </c>
      <c r="AK160" s="37"/>
      <c r="AL160" s="27"/>
      <c r="AM160" s="28"/>
      <c r="AN160" s="27"/>
      <c r="AO160" s="29" t="s">
        <v>15</v>
      </c>
      <c r="AP160" s="27"/>
      <c r="AQ160" s="27"/>
      <c r="AR160" s="25">
        <v>17</v>
      </c>
      <c r="AS160" s="33"/>
      <c r="AT160" s="33"/>
      <c r="AU160" s="33"/>
      <c r="AV160" s="33"/>
      <c r="AW160" s="33"/>
      <c r="AX160" s="25" t="s">
        <v>12</v>
      </c>
      <c r="AY160" s="27"/>
      <c r="AZ160" s="27"/>
      <c r="BA160" s="27"/>
      <c r="BB160" s="28"/>
      <c r="BC160" s="27"/>
      <c r="BD160" s="27"/>
      <c r="BE160" s="29" t="s">
        <v>16</v>
      </c>
      <c r="BF160" s="30" t="s">
        <v>13</v>
      </c>
      <c r="BG160" s="27"/>
      <c r="BH160" s="27"/>
      <c r="BI160" s="28"/>
      <c r="BJ160" s="27"/>
      <c r="BK160" s="27"/>
      <c r="BL160" s="32" t="s">
        <v>14</v>
      </c>
      <c r="BM160" s="30" t="s">
        <v>11</v>
      </c>
      <c r="BN160" s="27"/>
      <c r="BO160" s="27"/>
      <c r="BP160" s="28"/>
      <c r="BQ160" s="27"/>
      <c r="BR160" s="29" t="s">
        <v>15</v>
      </c>
      <c r="BS160" s="27"/>
      <c r="BT160" s="27"/>
      <c r="BU160" s="25">
        <v>17</v>
      </c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</row>
    <row r="161" spans="1:95" x14ac:dyDescent="0.25">
      <c r="A161" s="25" t="s">
        <v>130</v>
      </c>
      <c r="B161" s="25" t="s">
        <v>207</v>
      </c>
      <c r="C161" s="25" t="s">
        <v>458</v>
      </c>
      <c r="D161" s="25">
        <v>148</v>
      </c>
      <c r="E161" s="35" cm="1">
        <f t="array" ref="E161">IFERROR(INDEX($J$5:$AVX$5, _xlfn.AGGREGATE(15,6, COLUMN(J161:AVX161)-COLUMN(J161)+1 / (J161:AVX161="T"), F161)), "")</f>
        <v>46002</v>
      </c>
      <c r="F161" s="74">
        <f t="shared" si="22"/>
        <v>2</v>
      </c>
      <c r="G161" s="35" cm="1">
        <f t="array" ref="G161">IFERROR(INDEX($J$5:$AVW$5,_xlfn.AGGREGATE(14,6,(COLUMN($J161:$AVW161)-COLUMN($J161)+1)/($J161:$AVW161="T"),1)),"")</f>
        <v>46002</v>
      </c>
      <c r="H161" s="77">
        <f t="shared" si="23"/>
        <v>2</v>
      </c>
      <c r="I161" s="38" t="s">
        <v>10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25" t="s">
        <v>12</v>
      </c>
      <c r="V161" s="27"/>
      <c r="W161" s="27"/>
      <c r="X161" s="27"/>
      <c r="Y161" s="28"/>
      <c r="Z161" s="27"/>
      <c r="AA161" s="27"/>
      <c r="AB161" s="29" t="s">
        <v>16</v>
      </c>
      <c r="AC161" s="30" t="s">
        <v>13</v>
      </c>
      <c r="AD161" s="27"/>
      <c r="AE161" s="27"/>
      <c r="AF161" s="28"/>
      <c r="AG161" s="27"/>
      <c r="AH161" s="27"/>
      <c r="AI161" s="29" t="s">
        <v>14</v>
      </c>
      <c r="AJ161" s="30" t="s">
        <v>11</v>
      </c>
      <c r="AK161" s="37"/>
      <c r="AL161" s="27"/>
      <c r="AM161" s="28"/>
      <c r="AN161" s="27"/>
      <c r="AO161" s="29" t="s">
        <v>15</v>
      </c>
      <c r="AP161" s="27"/>
      <c r="AQ161" s="27"/>
      <c r="AR161" s="25">
        <v>17</v>
      </c>
      <c r="AS161" s="33"/>
      <c r="AT161" s="33"/>
      <c r="AU161" s="33"/>
      <c r="AV161" s="33"/>
      <c r="AW161" s="33"/>
      <c r="AX161" s="25" t="s">
        <v>12</v>
      </c>
      <c r="AY161" s="27"/>
      <c r="AZ161" s="27"/>
      <c r="BA161" s="27"/>
      <c r="BB161" s="28"/>
      <c r="BC161" s="27"/>
      <c r="BD161" s="27"/>
      <c r="BE161" s="29" t="s">
        <v>16</v>
      </c>
      <c r="BF161" s="30" t="s">
        <v>13</v>
      </c>
      <c r="BG161" s="27"/>
      <c r="BH161" s="27"/>
      <c r="BI161" s="28"/>
      <c r="BJ161" s="27"/>
      <c r="BK161" s="27"/>
      <c r="BL161" s="32" t="s">
        <v>14</v>
      </c>
      <c r="BM161" s="30" t="s">
        <v>11</v>
      </c>
      <c r="BN161" s="27"/>
      <c r="BO161" s="27"/>
      <c r="BP161" s="28"/>
      <c r="BQ161" s="27"/>
      <c r="BR161" s="29" t="s">
        <v>15</v>
      </c>
      <c r="BS161" s="27"/>
      <c r="BT161" s="27"/>
      <c r="BU161" s="25">
        <v>17</v>
      </c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  <c r="CF161" s="33"/>
      <c r="CG161" s="33"/>
      <c r="CH161" s="33"/>
      <c r="CI161" s="33"/>
      <c r="CJ161" s="33"/>
      <c r="CK161" s="33"/>
      <c r="CL161" s="33"/>
      <c r="CM161" s="33"/>
      <c r="CN161" s="33"/>
      <c r="CO161" s="33"/>
      <c r="CP161" s="33"/>
      <c r="CQ161" s="25"/>
    </row>
    <row r="162" spans="1:95" x14ac:dyDescent="0.25">
      <c r="A162" s="25" t="s">
        <v>130</v>
      </c>
      <c r="B162" s="25" t="s">
        <v>288</v>
      </c>
      <c r="C162" s="25" t="s">
        <v>459</v>
      </c>
      <c r="D162" s="25">
        <v>149</v>
      </c>
      <c r="E162" s="35" cm="1">
        <f t="array" ref="E162">IFERROR(INDEX($J$5:$AVX$5, _xlfn.AGGREGATE(15,6, COLUMN(J162:AVX162)-COLUMN(J162)+1 / (J162:AVX162="T"), F162)), "")</f>
        <v>46002</v>
      </c>
      <c r="F162" s="74">
        <f t="shared" si="22"/>
        <v>2</v>
      </c>
      <c r="G162" s="35" cm="1">
        <f t="array" ref="G162">IFERROR(INDEX($J$5:$AVW$5,_xlfn.AGGREGATE(14,6,(COLUMN($J162:$AVW162)-COLUMN($J162)+1)/($J162:$AVW162="T"),1)),"")</f>
        <v>46002</v>
      </c>
      <c r="H162" s="77">
        <f t="shared" si="23"/>
        <v>2</v>
      </c>
      <c r="I162" s="38" t="s">
        <v>10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25" t="s">
        <v>12</v>
      </c>
      <c r="V162" s="27"/>
      <c r="W162" s="27"/>
      <c r="X162" s="27"/>
      <c r="Y162" s="28"/>
      <c r="Z162" s="27"/>
      <c r="AA162" s="27"/>
      <c r="AB162" s="29" t="s">
        <v>16</v>
      </c>
      <c r="AC162" s="30" t="s">
        <v>13</v>
      </c>
      <c r="AD162" s="27"/>
      <c r="AE162" s="27"/>
      <c r="AF162" s="28"/>
      <c r="AG162" s="27"/>
      <c r="AH162" s="27"/>
      <c r="AI162" s="29" t="s">
        <v>14</v>
      </c>
      <c r="AJ162" s="30" t="s">
        <v>11</v>
      </c>
      <c r="AK162" s="37"/>
      <c r="AL162" s="27"/>
      <c r="AM162" s="28"/>
      <c r="AN162" s="27"/>
      <c r="AO162" s="29" t="s">
        <v>15</v>
      </c>
      <c r="AP162" s="27"/>
      <c r="AQ162" s="27"/>
      <c r="AR162" s="25">
        <v>17</v>
      </c>
      <c r="AS162" s="33"/>
      <c r="AT162" s="33"/>
      <c r="AU162" s="33"/>
      <c r="AV162" s="33"/>
      <c r="AW162" s="33"/>
      <c r="AX162" s="25" t="s">
        <v>12</v>
      </c>
      <c r="AY162" s="27"/>
      <c r="AZ162" s="27"/>
      <c r="BA162" s="27"/>
      <c r="BB162" s="28"/>
      <c r="BC162" s="27"/>
      <c r="BD162" s="27"/>
      <c r="BE162" s="29" t="s">
        <v>16</v>
      </c>
      <c r="BF162" s="30" t="s">
        <v>13</v>
      </c>
      <c r="BG162" s="27"/>
      <c r="BH162" s="27"/>
      <c r="BI162" s="28"/>
      <c r="BJ162" s="27"/>
      <c r="BK162" s="27"/>
      <c r="BL162" s="32" t="s">
        <v>14</v>
      </c>
      <c r="BM162" s="30" t="s">
        <v>11</v>
      </c>
      <c r="BN162" s="27"/>
      <c r="BO162" s="27"/>
      <c r="BP162" s="28"/>
      <c r="BQ162" s="27"/>
      <c r="BR162" s="29" t="s">
        <v>15</v>
      </c>
      <c r="BS162" s="27"/>
      <c r="BT162" s="27"/>
      <c r="BU162" s="25">
        <v>17</v>
      </c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  <c r="CF162" s="33"/>
      <c r="CG162" s="33"/>
      <c r="CH162" s="33"/>
      <c r="CI162" s="33"/>
      <c r="CJ162" s="33"/>
      <c r="CK162" s="33"/>
      <c r="CL162" s="33"/>
      <c r="CM162" s="33"/>
      <c r="CN162" s="33"/>
      <c r="CO162" s="33"/>
      <c r="CP162" s="33"/>
      <c r="CQ162" s="25"/>
    </row>
    <row r="163" spans="1:95" x14ac:dyDescent="0.25">
      <c r="A163" s="25" t="s">
        <v>130</v>
      </c>
      <c r="B163" s="25" t="s">
        <v>289</v>
      </c>
      <c r="C163" s="25" t="s">
        <v>460</v>
      </c>
      <c r="D163" s="25">
        <v>150</v>
      </c>
      <c r="E163" s="35" cm="1">
        <f t="array" ref="E163">IFERROR(INDEX($J$5:$AVX$5, _xlfn.AGGREGATE(15,6, COLUMN(J163:AVX163)-COLUMN(J163)+1 / (J163:AVX163="T"), F163)), "")</f>
        <v>46002</v>
      </c>
      <c r="F163" s="74">
        <f t="shared" si="22"/>
        <v>2</v>
      </c>
      <c r="G163" s="35" cm="1">
        <f t="array" ref="G163">IFERROR(INDEX($J$5:$AVW$5,_xlfn.AGGREGATE(14,6,(COLUMN($J163:$AVW163)-COLUMN($J163)+1)/($J163:$AVW163="T"),1)),"")</f>
        <v>46002</v>
      </c>
      <c r="H163" s="77">
        <f t="shared" si="23"/>
        <v>2</v>
      </c>
      <c r="I163" s="38" t="s">
        <v>10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25" t="s">
        <v>12</v>
      </c>
      <c r="V163" s="27"/>
      <c r="W163" s="27"/>
      <c r="X163" s="27"/>
      <c r="Y163" s="28"/>
      <c r="Z163" s="27"/>
      <c r="AA163" s="27"/>
      <c r="AB163" s="29" t="s">
        <v>16</v>
      </c>
      <c r="AC163" s="30" t="s">
        <v>13</v>
      </c>
      <c r="AD163" s="27"/>
      <c r="AE163" s="27"/>
      <c r="AF163" s="28"/>
      <c r="AG163" s="27"/>
      <c r="AH163" s="27"/>
      <c r="AI163" s="29" t="s">
        <v>14</v>
      </c>
      <c r="AJ163" s="30" t="s">
        <v>11</v>
      </c>
      <c r="AK163" s="37"/>
      <c r="AL163" s="27"/>
      <c r="AM163" s="28"/>
      <c r="AN163" s="27"/>
      <c r="AO163" s="29" t="s">
        <v>15</v>
      </c>
      <c r="AP163" s="27"/>
      <c r="AQ163" s="27"/>
      <c r="AR163" s="25">
        <v>17</v>
      </c>
      <c r="AS163" s="33"/>
      <c r="AT163" s="33"/>
      <c r="AU163" s="33"/>
      <c r="AV163" s="33"/>
      <c r="AW163" s="33"/>
      <c r="AX163" s="25" t="s">
        <v>12</v>
      </c>
      <c r="AY163" s="27"/>
      <c r="AZ163" s="27"/>
      <c r="BA163" s="27"/>
      <c r="BB163" s="28"/>
      <c r="BC163" s="27"/>
      <c r="BD163" s="27"/>
      <c r="BE163" s="29" t="s">
        <v>16</v>
      </c>
      <c r="BF163" s="30" t="s">
        <v>13</v>
      </c>
      <c r="BG163" s="27"/>
      <c r="BH163" s="27"/>
      <c r="BI163" s="28"/>
      <c r="BJ163" s="27"/>
      <c r="BK163" s="27"/>
      <c r="BL163" s="32" t="s">
        <v>14</v>
      </c>
      <c r="BM163" s="30" t="s">
        <v>11</v>
      </c>
      <c r="BN163" s="27"/>
      <c r="BO163" s="27"/>
      <c r="BP163" s="28"/>
      <c r="BQ163" s="27"/>
      <c r="BR163" s="29" t="s">
        <v>15</v>
      </c>
      <c r="BS163" s="27"/>
      <c r="BT163" s="27"/>
      <c r="BU163" s="25">
        <v>17</v>
      </c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  <c r="CI163" s="33"/>
      <c r="CJ163" s="33"/>
      <c r="CK163" s="33"/>
      <c r="CL163" s="33"/>
      <c r="CM163" s="33"/>
      <c r="CN163" s="33"/>
      <c r="CO163" s="33"/>
      <c r="CP163" s="33"/>
      <c r="CQ163" s="25"/>
    </row>
    <row r="164" spans="1:95" x14ac:dyDescent="0.25">
      <c r="A164" s="25" t="s">
        <v>130</v>
      </c>
      <c r="B164" s="25" t="s">
        <v>208</v>
      </c>
      <c r="C164" s="25" t="s">
        <v>461</v>
      </c>
      <c r="D164" s="25">
        <v>151</v>
      </c>
      <c r="E164" s="35" cm="1">
        <f t="array" ref="E164">IFERROR(INDEX($J$5:$AVX$5, _xlfn.AGGREGATE(15,6, COLUMN(J164:AVX164)-COLUMN(J164)+1 / (J164:AVX164="T"), F164)), "")</f>
        <v>46002</v>
      </c>
      <c r="F164" s="74">
        <f t="shared" si="22"/>
        <v>2</v>
      </c>
      <c r="G164" s="35" cm="1">
        <f t="array" ref="G164">IFERROR(INDEX($J$5:$AVW$5,_xlfn.AGGREGATE(14,6,(COLUMN($J164:$AVW164)-COLUMN($J164)+1)/($J164:$AVW164="T"),1)),"")</f>
        <v>46002</v>
      </c>
      <c r="H164" s="77">
        <f t="shared" si="23"/>
        <v>2</v>
      </c>
      <c r="I164" s="38" t="s">
        <v>10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25" t="s">
        <v>12</v>
      </c>
      <c r="V164" s="27"/>
      <c r="W164" s="27"/>
      <c r="X164" s="27"/>
      <c r="Y164" s="28"/>
      <c r="Z164" s="27"/>
      <c r="AA164" s="27"/>
      <c r="AB164" s="29" t="s">
        <v>16</v>
      </c>
      <c r="AC164" s="30" t="s">
        <v>13</v>
      </c>
      <c r="AD164" s="27"/>
      <c r="AE164" s="27"/>
      <c r="AF164" s="28"/>
      <c r="AG164" s="27"/>
      <c r="AH164" s="27"/>
      <c r="AI164" s="29" t="s">
        <v>14</v>
      </c>
      <c r="AJ164" s="30" t="s">
        <v>11</v>
      </c>
      <c r="AK164" s="37"/>
      <c r="AL164" s="27"/>
      <c r="AM164" s="28"/>
      <c r="AN164" s="27"/>
      <c r="AO164" s="29" t="s">
        <v>15</v>
      </c>
      <c r="AP164" s="27"/>
      <c r="AQ164" s="27"/>
      <c r="AR164" s="25">
        <v>17</v>
      </c>
      <c r="AS164" s="33"/>
      <c r="AT164" s="33"/>
      <c r="AU164" s="33"/>
      <c r="AV164" s="33"/>
      <c r="AW164" s="33"/>
      <c r="AX164" s="25" t="s">
        <v>12</v>
      </c>
      <c r="AY164" s="27"/>
      <c r="AZ164" s="27"/>
      <c r="BA164" s="27"/>
      <c r="BB164" s="28"/>
      <c r="BC164" s="27"/>
      <c r="BD164" s="27"/>
      <c r="BE164" s="29" t="s">
        <v>16</v>
      </c>
      <c r="BF164" s="30" t="s">
        <v>13</v>
      </c>
      <c r="BG164" s="27"/>
      <c r="BH164" s="27"/>
      <c r="BI164" s="28"/>
      <c r="BJ164" s="27"/>
      <c r="BK164" s="27"/>
      <c r="BL164" s="32" t="s">
        <v>14</v>
      </c>
      <c r="BM164" s="30" t="s">
        <v>11</v>
      </c>
      <c r="BN164" s="27"/>
      <c r="BO164" s="27"/>
      <c r="BP164" s="28"/>
      <c r="BQ164" s="27"/>
      <c r="BR164" s="29" t="s">
        <v>15</v>
      </c>
      <c r="BS164" s="27"/>
      <c r="BT164" s="27"/>
      <c r="BU164" s="25">
        <v>17</v>
      </c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  <c r="CF164" s="33"/>
      <c r="CG164" s="33"/>
      <c r="CH164" s="33"/>
      <c r="CI164" s="33"/>
      <c r="CJ164" s="33"/>
      <c r="CK164" s="33"/>
      <c r="CL164" s="33"/>
      <c r="CM164" s="33"/>
      <c r="CN164" s="33"/>
      <c r="CO164" s="33"/>
      <c r="CP164" s="33"/>
      <c r="CQ164" s="25"/>
    </row>
    <row r="165" spans="1:95" x14ac:dyDescent="0.25">
      <c r="A165" s="25" t="s">
        <v>130</v>
      </c>
      <c r="B165" s="25" t="s">
        <v>209</v>
      </c>
      <c r="C165" s="25" t="s">
        <v>462</v>
      </c>
      <c r="D165" s="25">
        <v>152</v>
      </c>
      <c r="E165" s="35" cm="1">
        <f t="array" ref="E165">IFERROR(INDEX($J$5:$AVX$5, _xlfn.AGGREGATE(15,6, COLUMN(J165:AVX165)-COLUMN(J165)+1 / (J165:AVX165="T"), F165)), "")</f>
        <v>46002</v>
      </c>
      <c r="F165" s="74">
        <f t="shared" si="22"/>
        <v>2</v>
      </c>
      <c r="G165" s="35" cm="1">
        <f t="array" ref="G165">IFERROR(INDEX($J$5:$AVW$5,_xlfn.AGGREGATE(14,6,(COLUMN($J165:$AVW165)-COLUMN($J165)+1)/($J165:$AVW165="T"),1)),"")</f>
        <v>46002</v>
      </c>
      <c r="H165" s="77">
        <f t="shared" si="23"/>
        <v>2</v>
      </c>
      <c r="I165" s="38" t="s">
        <v>10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25" t="s">
        <v>12</v>
      </c>
      <c r="V165" s="27"/>
      <c r="W165" s="27"/>
      <c r="X165" s="27"/>
      <c r="Y165" s="28"/>
      <c r="Z165" s="27"/>
      <c r="AA165" s="27"/>
      <c r="AB165" s="29" t="s">
        <v>16</v>
      </c>
      <c r="AC165" s="30" t="s">
        <v>13</v>
      </c>
      <c r="AD165" s="27"/>
      <c r="AE165" s="27"/>
      <c r="AF165" s="28"/>
      <c r="AG165" s="27"/>
      <c r="AH165" s="27"/>
      <c r="AI165" s="29" t="s">
        <v>14</v>
      </c>
      <c r="AJ165" s="30" t="s">
        <v>11</v>
      </c>
      <c r="AK165" s="37"/>
      <c r="AL165" s="27"/>
      <c r="AM165" s="28"/>
      <c r="AN165" s="27"/>
      <c r="AO165" s="29" t="s">
        <v>15</v>
      </c>
      <c r="AP165" s="27"/>
      <c r="AQ165" s="27"/>
      <c r="AR165" s="25">
        <v>17</v>
      </c>
      <c r="AS165" s="33"/>
      <c r="AT165" s="33"/>
      <c r="AU165" s="33"/>
      <c r="AV165" s="33"/>
      <c r="AW165" s="33"/>
      <c r="AX165" s="25" t="s">
        <v>12</v>
      </c>
      <c r="AY165" s="27"/>
      <c r="AZ165" s="27"/>
      <c r="BA165" s="27"/>
      <c r="BB165" s="28"/>
      <c r="BC165" s="27"/>
      <c r="BD165" s="27"/>
      <c r="BE165" s="29" t="s">
        <v>16</v>
      </c>
      <c r="BF165" s="30" t="s">
        <v>13</v>
      </c>
      <c r="BG165" s="27"/>
      <c r="BH165" s="27"/>
      <c r="BI165" s="28"/>
      <c r="BJ165" s="27"/>
      <c r="BK165" s="27"/>
      <c r="BL165" s="32" t="s">
        <v>14</v>
      </c>
      <c r="BM165" s="30" t="s">
        <v>11</v>
      </c>
      <c r="BN165" s="27"/>
      <c r="BO165" s="27"/>
      <c r="BP165" s="28"/>
      <c r="BQ165" s="27"/>
      <c r="BR165" s="29" t="s">
        <v>15</v>
      </c>
      <c r="BS165" s="27"/>
      <c r="BT165" s="27"/>
      <c r="BU165" s="25">
        <v>17</v>
      </c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33"/>
      <c r="CP165" s="33"/>
      <c r="CQ165" s="25"/>
    </row>
    <row r="166" spans="1:95" x14ac:dyDescent="0.25">
      <c r="A166" s="39" t="s">
        <v>130</v>
      </c>
      <c r="B166" s="39" t="s">
        <v>210</v>
      </c>
      <c r="C166" s="25" t="s">
        <v>463</v>
      </c>
      <c r="D166" s="25">
        <v>153</v>
      </c>
      <c r="E166" s="35" t="str" cm="1">
        <f t="array" ref="E166">IFERROR(INDEX($J$5:$AVX$5, _xlfn.AGGREGATE(15,6, COLUMN(J166:AVX166)-COLUMN(J166)+1 / (J166:AVX166="T"), F166)), "")</f>
        <v/>
      </c>
      <c r="F166" s="74">
        <f t="shared" si="22"/>
        <v>2</v>
      </c>
      <c r="G166" s="35" t="str" cm="1">
        <f t="array" ref="G166">IFERROR(INDEX($J$5:$AVW$5,_xlfn.AGGREGATE(14,6,(COLUMN($J166:$AVW166)-COLUMN($J166)+1)/($J166:$AVW166="T"),1)),"")</f>
        <v/>
      </c>
      <c r="H166" s="77">
        <f t="shared" si="23"/>
        <v>0</v>
      </c>
      <c r="I166" s="44" t="s">
        <v>10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  <c r="CF166" s="33"/>
      <c r="CG166" s="33"/>
      <c r="CH166" s="33"/>
      <c r="CI166" s="33"/>
      <c r="CJ166" s="33"/>
      <c r="CK166" s="33"/>
      <c r="CL166" s="33"/>
      <c r="CM166" s="33"/>
      <c r="CN166" s="33"/>
      <c r="CO166" s="33"/>
      <c r="CP166" s="33"/>
    </row>
    <row r="167" spans="1:95" x14ac:dyDescent="0.25">
      <c r="A167" s="39" t="s">
        <v>130</v>
      </c>
      <c r="B167" s="39" t="s">
        <v>211</v>
      </c>
      <c r="C167" s="25" t="s">
        <v>464</v>
      </c>
      <c r="D167" s="25">
        <v>154</v>
      </c>
      <c r="E167" s="35" t="str" cm="1">
        <f t="array" ref="E167">IFERROR(INDEX($J$5:$AVX$5, _xlfn.AGGREGATE(15,6, COLUMN(J167:AVX167)-COLUMN(J167)+1 / (J167:AVX167="T"), F167)), "")</f>
        <v/>
      </c>
      <c r="F167" s="74">
        <f t="shared" si="22"/>
        <v>2</v>
      </c>
      <c r="G167" s="35" t="str" cm="1">
        <f t="array" ref="G167">IFERROR(INDEX($J$5:$AVW$5,_xlfn.AGGREGATE(14,6,(COLUMN($J167:$AVW167)-COLUMN($J167)+1)/($J167:$AVW167="T"),1)),"")</f>
        <v/>
      </c>
      <c r="H167" s="77">
        <f t="shared" si="23"/>
        <v>0</v>
      </c>
      <c r="I167" s="44" t="s">
        <v>10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  <c r="CO167" s="33"/>
      <c r="CP167" s="33"/>
    </row>
    <row r="168" spans="1:95" x14ac:dyDescent="0.25">
      <c r="A168" s="25" t="s">
        <v>144</v>
      </c>
      <c r="B168" s="25" t="s">
        <v>219</v>
      </c>
      <c r="C168" s="25" t="s">
        <v>465</v>
      </c>
      <c r="D168" s="25">
        <v>155</v>
      </c>
      <c r="E168" s="35" cm="1">
        <f t="array" ref="E168">IFERROR(INDEX($J$5:$AVX$5, _xlfn.AGGREGATE(15,6, COLUMN(J168:AVX168)-COLUMN(J168)+1 / (J168:AVX168="T"), F168)), "")</f>
        <v>46006</v>
      </c>
      <c r="F168" s="74">
        <f t="shared" si="22"/>
        <v>2</v>
      </c>
      <c r="G168" s="35" cm="1">
        <f t="array" ref="G168">IFERROR(INDEX($J$5:$AVW$5,_xlfn.AGGREGATE(14,6,(COLUMN($J168:$AVW168)-COLUMN($J168)+1)/($J168:$AVW168="T"),1)),"")</f>
        <v>46006</v>
      </c>
      <c r="H168" s="77">
        <f t="shared" si="23"/>
        <v>2</v>
      </c>
      <c r="I168" s="38" t="s">
        <v>10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25" t="s">
        <v>12</v>
      </c>
      <c r="Z168" s="27"/>
      <c r="AA168" s="27"/>
      <c r="AB168" s="27"/>
      <c r="AC168" s="28"/>
      <c r="AD168" s="27"/>
      <c r="AE168" s="27"/>
      <c r="AF168" s="29" t="s">
        <v>16</v>
      </c>
      <c r="AG168" s="30" t="s">
        <v>13</v>
      </c>
      <c r="AH168" s="27"/>
      <c r="AI168" s="27"/>
      <c r="AJ168" s="28"/>
      <c r="AK168" s="27"/>
      <c r="AL168" s="27"/>
      <c r="AM168" s="32" t="s">
        <v>14</v>
      </c>
      <c r="AN168" s="30" t="s">
        <v>11</v>
      </c>
      <c r="AO168" s="27"/>
      <c r="AP168" s="27"/>
      <c r="AQ168" s="28"/>
      <c r="AR168" s="27"/>
      <c r="AS168" s="29" t="s">
        <v>15</v>
      </c>
      <c r="AT168" s="27"/>
      <c r="AU168" s="27"/>
      <c r="AV168" s="25">
        <v>17</v>
      </c>
      <c r="AW168" s="33"/>
      <c r="AX168" s="33"/>
      <c r="AY168" s="33"/>
      <c r="AZ168" s="33"/>
      <c r="BA168" s="33"/>
      <c r="BB168" s="25" t="s">
        <v>12</v>
      </c>
      <c r="BC168" s="27"/>
      <c r="BD168" s="27"/>
      <c r="BE168" s="27"/>
      <c r="BF168" s="28"/>
      <c r="BG168" s="27"/>
      <c r="BH168" s="27"/>
      <c r="BI168" s="29" t="s">
        <v>16</v>
      </c>
      <c r="BJ168" s="30" t="s">
        <v>13</v>
      </c>
      <c r="BK168" s="27"/>
      <c r="BL168" s="27"/>
      <c r="BM168" s="28"/>
      <c r="BN168" s="27"/>
      <c r="BO168" s="27"/>
      <c r="BP168" s="32" t="s">
        <v>14</v>
      </c>
      <c r="BQ168" s="30" t="s">
        <v>11</v>
      </c>
      <c r="BR168" s="27"/>
      <c r="BS168" s="27"/>
      <c r="BT168" s="28"/>
      <c r="BU168" s="27"/>
      <c r="BV168" s="29" t="s">
        <v>15</v>
      </c>
      <c r="BW168" s="27"/>
      <c r="BX168" s="27"/>
      <c r="BY168" s="25">
        <v>17</v>
      </c>
      <c r="BZ168" s="33"/>
      <c r="CA168" s="33"/>
      <c r="CB168" s="33"/>
      <c r="CC168" s="33"/>
      <c r="CD168" s="33"/>
      <c r="CE168" s="33"/>
      <c r="CF168" s="33"/>
      <c r="CG168" s="33"/>
      <c r="CH168" s="33"/>
      <c r="CI168" s="33"/>
      <c r="CJ168" s="33"/>
      <c r="CK168" s="33"/>
      <c r="CL168" s="33"/>
      <c r="CM168" s="33"/>
      <c r="CN168" s="33"/>
      <c r="CO168" s="33"/>
      <c r="CP168" s="33"/>
    </row>
    <row r="169" spans="1:95" x14ac:dyDescent="0.25">
      <c r="A169" s="25" t="s">
        <v>144</v>
      </c>
      <c r="B169" s="25" t="s">
        <v>220</v>
      </c>
      <c r="C169" s="25" t="s">
        <v>466</v>
      </c>
      <c r="D169" s="25">
        <v>156</v>
      </c>
      <c r="E169" s="35" cm="1">
        <f t="array" ref="E169">IFERROR(INDEX($J$5:$AVX$5, _xlfn.AGGREGATE(15,6, COLUMN(J169:AVX169)-COLUMN(J169)+1 / (J169:AVX169="T"), F169)), "")</f>
        <v>46006</v>
      </c>
      <c r="F169" s="74">
        <f t="shared" si="22"/>
        <v>2</v>
      </c>
      <c r="G169" s="35" cm="1">
        <f t="array" ref="G169">IFERROR(INDEX($J$5:$AVW$5,_xlfn.AGGREGATE(14,6,(COLUMN($J169:$AVW169)-COLUMN($J169)+1)/($J169:$AVW169="T"),1)),"")</f>
        <v>46006</v>
      </c>
      <c r="H169" s="77">
        <f t="shared" si="23"/>
        <v>2</v>
      </c>
      <c r="I169" s="38" t="s">
        <v>10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25" t="s">
        <v>12</v>
      </c>
      <c r="Z169" s="27"/>
      <c r="AA169" s="27"/>
      <c r="AB169" s="27"/>
      <c r="AC169" s="28"/>
      <c r="AD169" s="27"/>
      <c r="AE169" s="27"/>
      <c r="AF169" s="29" t="s">
        <v>16</v>
      </c>
      <c r="AG169" s="30" t="s">
        <v>13</v>
      </c>
      <c r="AH169" s="27"/>
      <c r="AI169" s="27"/>
      <c r="AJ169" s="28"/>
      <c r="AK169" s="27"/>
      <c r="AL169" s="27"/>
      <c r="AM169" s="29" t="s">
        <v>14</v>
      </c>
      <c r="AN169" s="30" t="s">
        <v>11</v>
      </c>
      <c r="AO169" s="37"/>
      <c r="AP169" s="27"/>
      <c r="AQ169" s="28"/>
      <c r="AR169" s="27"/>
      <c r="AS169" s="29" t="s">
        <v>15</v>
      </c>
      <c r="AT169" s="27"/>
      <c r="AU169" s="27"/>
      <c r="AV169" s="25">
        <v>17</v>
      </c>
      <c r="AW169" s="33"/>
      <c r="AX169" s="33"/>
      <c r="AY169" s="33"/>
      <c r="AZ169" s="33"/>
      <c r="BA169" s="33"/>
      <c r="BB169" s="25" t="s">
        <v>12</v>
      </c>
      <c r="BC169" s="27"/>
      <c r="BD169" s="27"/>
      <c r="BE169" s="27"/>
      <c r="BF169" s="28"/>
      <c r="BG169" s="27"/>
      <c r="BH169" s="27"/>
      <c r="BI169" s="29" t="s">
        <v>16</v>
      </c>
      <c r="BJ169" s="30" t="s">
        <v>13</v>
      </c>
      <c r="BK169" s="27"/>
      <c r="BL169" s="27"/>
      <c r="BM169" s="28"/>
      <c r="BN169" s="27"/>
      <c r="BO169" s="27"/>
      <c r="BP169" s="32" t="s">
        <v>14</v>
      </c>
      <c r="BQ169" s="30" t="s">
        <v>11</v>
      </c>
      <c r="BR169" s="27"/>
      <c r="BS169" s="27"/>
      <c r="BT169" s="28"/>
      <c r="BU169" s="27"/>
      <c r="BV169" s="29" t="s">
        <v>15</v>
      </c>
      <c r="BW169" s="27"/>
      <c r="BX169" s="27"/>
      <c r="BY169" s="25">
        <v>17</v>
      </c>
      <c r="BZ169" s="33"/>
      <c r="CA169" s="33"/>
      <c r="CB169" s="33"/>
      <c r="CC169" s="33"/>
      <c r="CD169" s="33"/>
      <c r="CE169" s="33"/>
      <c r="CF169" s="33"/>
      <c r="CG169" s="33"/>
      <c r="CH169" s="33"/>
      <c r="CI169" s="33"/>
      <c r="CJ169" s="33"/>
      <c r="CK169" s="33"/>
      <c r="CL169" s="33"/>
      <c r="CM169" s="33"/>
      <c r="CN169" s="33"/>
      <c r="CO169" s="33"/>
      <c r="CP169" s="33"/>
    </row>
    <row r="170" spans="1:95" s="40" customFormat="1" x14ac:dyDescent="0.25">
      <c r="A170" s="25" t="s">
        <v>144</v>
      </c>
      <c r="B170" s="25" t="s">
        <v>221</v>
      </c>
      <c r="C170" s="25" t="s">
        <v>467</v>
      </c>
      <c r="D170" s="25">
        <v>157</v>
      </c>
      <c r="E170" s="35" cm="1">
        <f t="array" ref="E170">IFERROR(INDEX($J$5:$AVX$5, _xlfn.AGGREGATE(15,6, COLUMN(J170:AVX170)-COLUMN(J170)+1 / (J170:AVX170="T"), F170)), "")</f>
        <v>46006</v>
      </c>
      <c r="F170" s="74">
        <f t="shared" si="22"/>
        <v>2</v>
      </c>
      <c r="G170" s="35" cm="1">
        <f t="array" ref="G170">IFERROR(INDEX($J$5:$AVW$5,_xlfn.AGGREGATE(14,6,(COLUMN($J170:$AVW170)-COLUMN($J170)+1)/($J170:$AVW170="T"),1)),"")</f>
        <v>46006</v>
      </c>
      <c r="H170" s="77">
        <f t="shared" si="23"/>
        <v>2</v>
      </c>
      <c r="I170" s="38" t="s">
        <v>10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25" t="s">
        <v>12</v>
      </c>
      <c r="Z170" s="27"/>
      <c r="AA170" s="27"/>
      <c r="AB170" s="27"/>
      <c r="AC170" s="28"/>
      <c r="AD170" s="27"/>
      <c r="AE170" s="27"/>
      <c r="AF170" s="29" t="s">
        <v>16</v>
      </c>
      <c r="AG170" s="30" t="s">
        <v>13</v>
      </c>
      <c r="AH170" s="27"/>
      <c r="AI170" s="27"/>
      <c r="AJ170" s="28"/>
      <c r="AK170" s="27"/>
      <c r="AL170" s="27"/>
      <c r="AM170" s="29" t="s">
        <v>14</v>
      </c>
      <c r="AN170" s="30" t="s">
        <v>11</v>
      </c>
      <c r="AO170" s="37"/>
      <c r="AP170" s="27"/>
      <c r="AQ170" s="28"/>
      <c r="AR170" s="27"/>
      <c r="AS170" s="29" t="s">
        <v>15</v>
      </c>
      <c r="AT170" s="27"/>
      <c r="AU170" s="27"/>
      <c r="AV170" s="25">
        <v>17</v>
      </c>
      <c r="AW170" s="33"/>
      <c r="AX170" s="33"/>
      <c r="AY170" s="33"/>
      <c r="AZ170" s="33"/>
      <c r="BA170" s="33"/>
      <c r="BB170" s="25" t="s">
        <v>12</v>
      </c>
      <c r="BC170" s="27"/>
      <c r="BD170" s="27"/>
      <c r="BE170" s="27"/>
      <c r="BF170" s="28"/>
      <c r="BG170" s="27"/>
      <c r="BH170" s="27"/>
      <c r="BI170" s="29" t="s">
        <v>16</v>
      </c>
      <c r="BJ170" s="30" t="s">
        <v>13</v>
      </c>
      <c r="BK170" s="27"/>
      <c r="BL170" s="27"/>
      <c r="BM170" s="28"/>
      <c r="BN170" s="27"/>
      <c r="BO170" s="27"/>
      <c r="BP170" s="32" t="s">
        <v>14</v>
      </c>
      <c r="BQ170" s="30" t="s">
        <v>11</v>
      </c>
      <c r="BR170" s="27"/>
      <c r="BS170" s="27"/>
      <c r="BT170" s="28"/>
      <c r="BU170" s="27"/>
      <c r="BV170" s="29" t="s">
        <v>15</v>
      </c>
      <c r="BW170" s="27"/>
      <c r="BX170" s="27"/>
      <c r="BY170" s="25">
        <v>17</v>
      </c>
      <c r="BZ170" s="33"/>
      <c r="CA170" s="33"/>
      <c r="CB170" s="33"/>
      <c r="CC170" s="33"/>
      <c r="CD170" s="33"/>
      <c r="CE170" s="33"/>
      <c r="CF170" s="33"/>
      <c r="CG170" s="33"/>
      <c r="CH170" s="33"/>
      <c r="CI170" s="33"/>
      <c r="CJ170" s="33"/>
      <c r="CK170" s="33"/>
      <c r="CL170" s="33"/>
      <c r="CM170" s="33"/>
      <c r="CN170" s="33"/>
      <c r="CO170" s="33"/>
      <c r="CP170" s="33"/>
    </row>
    <row r="171" spans="1:95" s="40" customFormat="1" x14ac:dyDescent="0.25">
      <c r="A171" s="25" t="s">
        <v>144</v>
      </c>
      <c r="B171" s="25" t="s">
        <v>222</v>
      </c>
      <c r="C171" s="25" t="s">
        <v>468</v>
      </c>
      <c r="D171" s="25">
        <v>158</v>
      </c>
      <c r="E171" s="35" cm="1">
        <f t="array" ref="E171">IFERROR(INDEX($J$5:$AVX$5, _xlfn.AGGREGATE(15,6, COLUMN(J171:AVX171)-COLUMN(J171)+1 / (J171:AVX171="T"), F171)), "")</f>
        <v>46006</v>
      </c>
      <c r="F171" s="74">
        <f t="shared" si="22"/>
        <v>2</v>
      </c>
      <c r="G171" s="35" cm="1">
        <f t="array" ref="G171">IFERROR(INDEX($J$5:$AVW$5,_xlfn.AGGREGATE(14,6,(COLUMN($J171:$AVW171)-COLUMN($J171)+1)/($J171:$AVW171="T"),1)),"")</f>
        <v>46006</v>
      </c>
      <c r="H171" s="77">
        <f t="shared" si="23"/>
        <v>2</v>
      </c>
      <c r="I171" s="38" t="s">
        <v>10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25" t="s">
        <v>12</v>
      </c>
      <c r="Z171" s="27"/>
      <c r="AA171" s="27"/>
      <c r="AB171" s="27"/>
      <c r="AC171" s="28"/>
      <c r="AD171" s="27"/>
      <c r="AE171" s="27"/>
      <c r="AF171" s="29" t="s">
        <v>16</v>
      </c>
      <c r="AG171" s="30" t="s">
        <v>13</v>
      </c>
      <c r="AH171" s="27"/>
      <c r="AI171" s="27"/>
      <c r="AJ171" s="28"/>
      <c r="AK171" s="27"/>
      <c r="AL171" s="27"/>
      <c r="AM171" s="29" t="s">
        <v>14</v>
      </c>
      <c r="AN171" s="30" t="s">
        <v>11</v>
      </c>
      <c r="AO171" s="37"/>
      <c r="AP171" s="27"/>
      <c r="AQ171" s="28"/>
      <c r="AR171" s="27"/>
      <c r="AS171" s="29" t="s">
        <v>15</v>
      </c>
      <c r="AT171" s="27"/>
      <c r="AU171" s="27"/>
      <c r="AV171" s="25">
        <v>17</v>
      </c>
      <c r="AW171" s="33"/>
      <c r="AX171" s="33"/>
      <c r="AY171" s="33"/>
      <c r="AZ171" s="33"/>
      <c r="BA171" s="33"/>
      <c r="BB171" s="25" t="s">
        <v>12</v>
      </c>
      <c r="BC171" s="27"/>
      <c r="BD171" s="27"/>
      <c r="BE171" s="27"/>
      <c r="BF171" s="28"/>
      <c r="BG171" s="27"/>
      <c r="BH171" s="27"/>
      <c r="BI171" s="29" t="s">
        <v>16</v>
      </c>
      <c r="BJ171" s="30" t="s">
        <v>13</v>
      </c>
      <c r="BK171" s="27"/>
      <c r="BL171" s="27"/>
      <c r="BM171" s="28"/>
      <c r="BN171" s="27"/>
      <c r="BO171" s="27"/>
      <c r="BP171" s="32" t="s">
        <v>14</v>
      </c>
      <c r="BQ171" s="30" t="s">
        <v>11</v>
      </c>
      <c r="BR171" s="27"/>
      <c r="BS171" s="27"/>
      <c r="BT171" s="28"/>
      <c r="BU171" s="27"/>
      <c r="BV171" s="29" t="s">
        <v>15</v>
      </c>
      <c r="BW171" s="27"/>
      <c r="BX171" s="27"/>
      <c r="BY171" s="25">
        <v>17</v>
      </c>
      <c r="BZ171" s="33"/>
      <c r="CA171" s="33"/>
      <c r="CB171" s="33"/>
      <c r="CC171" s="33"/>
      <c r="CD171" s="33"/>
      <c r="CE171" s="33"/>
      <c r="CF171" s="33"/>
      <c r="CG171" s="33"/>
      <c r="CH171" s="33"/>
      <c r="CI171" s="33"/>
      <c r="CJ171" s="33"/>
      <c r="CK171" s="33"/>
      <c r="CL171" s="33"/>
      <c r="CM171" s="33"/>
      <c r="CN171" s="33"/>
      <c r="CO171" s="33"/>
      <c r="CP171" s="33"/>
    </row>
    <row r="172" spans="1:95" x14ac:dyDescent="0.25">
      <c r="A172" s="25" t="s">
        <v>144</v>
      </c>
      <c r="B172" s="25" t="s">
        <v>223</v>
      </c>
      <c r="C172" s="25" t="s">
        <v>469</v>
      </c>
      <c r="D172" s="25">
        <v>159</v>
      </c>
      <c r="E172" s="35" cm="1">
        <f t="array" ref="E172">IFERROR(INDEX($J$5:$AVX$5, _xlfn.AGGREGATE(15,6, COLUMN(J172:AVX172)-COLUMN(J172)+1 / (J172:AVX172="T"), F172)), "")</f>
        <v>46006</v>
      </c>
      <c r="F172" s="74">
        <f t="shared" si="22"/>
        <v>2</v>
      </c>
      <c r="G172" s="35" cm="1">
        <f t="array" ref="G172">IFERROR(INDEX($J$5:$AVW$5,_xlfn.AGGREGATE(14,6,(COLUMN($J172:$AVW172)-COLUMN($J172)+1)/($J172:$AVW172="T"),1)),"")</f>
        <v>46006</v>
      </c>
      <c r="H172" s="77">
        <f t="shared" si="23"/>
        <v>2</v>
      </c>
      <c r="I172" s="38" t="s">
        <v>10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25" t="s">
        <v>12</v>
      </c>
      <c r="Z172" s="27"/>
      <c r="AA172" s="27"/>
      <c r="AB172" s="27"/>
      <c r="AC172" s="28"/>
      <c r="AD172" s="27"/>
      <c r="AE172" s="27"/>
      <c r="AF172" s="29" t="s">
        <v>16</v>
      </c>
      <c r="AG172" s="30" t="s">
        <v>13</v>
      </c>
      <c r="AH172" s="27"/>
      <c r="AI172" s="27"/>
      <c r="AJ172" s="28"/>
      <c r="AK172" s="27"/>
      <c r="AL172" s="27"/>
      <c r="AM172" s="29" t="s">
        <v>14</v>
      </c>
      <c r="AN172" s="30" t="s">
        <v>11</v>
      </c>
      <c r="AO172" s="37"/>
      <c r="AP172" s="27"/>
      <c r="AQ172" s="28"/>
      <c r="AR172" s="27"/>
      <c r="AS172" s="29" t="s">
        <v>15</v>
      </c>
      <c r="AT172" s="27"/>
      <c r="AU172" s="27"/>
      <c r="AV172" s="25">
        <v>17</v>
      </c>
      <c r="AW172" s="33"/>
      <c r="AX172" s="33"/>
      <c r="AY172" s="33"/>
      <c r="AZ172" s="33"/>
      <c r="BA172" s="33"/>
      <c r="BB172" s="25" t="s">
        <v>12</v>
      </c>
      <c r="BC172" s="27"/>
      <c r="BD172" s="27"/>
      <c r="BE172" s="27"/>
      <c r="BF172" s="28"/>
      <c r="BG172" s="27"/>
      <c r="BH172" s="27"/>
      <c r="BI172" s="29" t="s">
        <v>16</v>
      </c>
      <c r="BJ172" s="30" t="s">
        <v>13</v>
      </c>
      <c r="BK172" s="27"/>
      <c r="BL172" s="27"/>
      <c r="BM172" s="28"/>
      <c r="BN172" s="27"/>
      <c r="BO172" s="27"/>
      <c r="BP172" s="32" t="s">
        <v>14</v>
      </c>
      <c r="BQ172" s="30" t="s">
        <v>11</v>
      </c>
      <c r="BR172" s="27"/>
      <c r="BS172" s="27"/>
      <c r="BT172" s="28"/>
      <c r="BU172" s="27"/>
      <c r="BV172" s="29" t="s">
        <v>15</v>
      </c>
      <c r="BW172" s="27"/>
      <c r="BX172" s="27"/>
      <c r="BY172" s="25">
        <v>17</v>
      </c>
      <c r="BZ172" s="33"/>
      <c r="CA172" s="33"/>
      <c r="CB172" s="33"/>
      <c r="CC172" s="33"/>
      <c r="CD172" s="33"/>
      <c r="CE172" s="33"/>
      <c r="CF172" s="33"/>
      <c r="CG172" s="33"/>
      <c r="CH172" s="33"/>
      <c r="CI172" s="33"/>
      <c r="CJ172" s="33"/>
      <c r="CK172" s="33"/>
      <c r="CL172" s="33"/>
      <c r="CM172" s="33"/>
      <c r="CN172" s="33"/>
      <c r="CO172" s="33"/>
      <c r="CP172" s="33"/>
    </row>
    <row r="173" spans="1:95" x14ac:dyDescent="0.25">
      <c r="A173" s="25" t="s">
        <v>144</v>
      </c>
      <c r="B173" s="25" t="s">
        <v>224</v>
      </c>
      <c r="C173" s="25" t="s">
        <v>470</v>
      </c>
      <c r="D173" s="25">
        <v>160</v>
      </c>
      <c r="E173" s="35" cm="1">
        <f t="array" ref="E173">IFERROR(INDEX($J$5:$AVX$5, _xlfn.AGGREGATE(15,6, COLUMN(J173:AVX173)-COLUMN(J173)+1 / (J173:AVX173="T"), F173)), "")</f>
        <v>46006</v>
      </c>
      <c r="F173" s="74">
        <f t="shared" si="22"/>
        <v>2</v>
      </c>
      <c r="G173" s="35" cm="1">
        <f t="array" ref="G173">IFERROR(INDEX($J$5:$AVW$5,_xlfn.AGGREGATE(14,6,(COLUMN($J173:$AVW173)-COLUMN($J173)+1)/($J173:$AVW173="T"),1)),"")</f>
        <v>46006</v>
      </c>
      <c r="H173" s="77">
        <f t="shared" si="23"/>
        <v>2</v>
      </c>
      <c r="I173" s="38" t="s">
        <v>10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25" t="s">
        <v>12</v>
      </c>
      <c r="Z173" s="27"/>
      <c r="AA173" s="27"/>
      <c r="AB173" s="27"/>
      <c r="AC173" s="28"/>
      <c r="AD173" s="27"/>
      <c r="AE173" s="27"/>
      <c r="AF173" s="29" t="s">
        <v>16</v>
      </c>
      <c r="AG173" s="30" t="s">
        <v>13</v>
      </c>
      <c r="AH173" s="27"/>
      <c r="AI173" s="27"/>
      <c r="AJ173" s="28"/>
      <c r="AK173" s="27"/>
      <c r="AL173" s="27"/>
      <c r="AM173" s="29" t="s">
        <v>14</v>
      </c>
      <c r="AN173" s="30" t="s">
        <v>11</v>
      </c>
      <c r="AO173" s="37"/>
      <c r="AP173" s="27"/>
      <c r="AQ173" s="28"/>
      <c r="AR173" s="27"/>
      <c r="AS173" s="29" t="s">
        <v>15</v>
      </c>
      <c r="AT173" s="27"/>
      <c r="AU173" s="27"/>
      <c r="AV173" s="25">
        <v>17</v>
      </c>
      <c r="AW173" s="33"/>
      <c r="AX173" s="33"/>
      <c r="AY173" s="33"/>
      <c r="AZ173" s="33"/>
      <c r="BA173" s="33"/>
      <c r="BB173" s="25" t="s">
        <v>12</v>
      </c>
      <c r="BC173" s="27"/>
      <c r="BD173" s="27"/>
      <c r="BE173" s="27"/>
      <c r="BF173" s="28"/>
      <c r="BG173" s="27"/>
      <c r="BH173" s="27"/>
      <c r="BI173" s="29" t="s">
        <v>16</v>
      </c>
      <c r="BJ173" s="30" t="s">
        <v>13</v>
      </c>
      <c r="BK173" s="27"/>
      <c r="BL173" s="27"/>
      <c r="BM173" s="28"/>
      <c r="BN173" s="27"/>
      <c r="BO173" s="27"/>
      <c r="BP173" s="32" t="s">
        <v>14</v>
      </c>
      <c r="BQ173" s="30" t="s">
        <v>11</v>
      </c>
      <c r="BR173" s="27"/>
      <c r="BS173" s="27"/>
      <c r="BT173" s="28"/>
      <c r="BU173" s="27"/>
      <c r="BV173" s="29" t="s">
        <v>15</v>
      </c>
      <c r="BW173" s="27"/>
      <c r="BX173" s="27"/>
      <c r="BY173" s="25">
        <v>17</v>
      </c>
      <c r="BZ173" s="33"/>
      <c r="CA173" s="33"/>
      <c r="CB173" s="33"/>
      <c r="CC173" s="33"/>
      <c r="CD173" s="33"/>
      <c r="CE173" s="33"/>
      <c r="CF173" s="33"/>
      <c r="CG173" s="33"/>
      <c r="CH173" s="33"/>
      <c r="CI173" s="33"/>
      <c r="CJ173" s="33"/>
      <c r="CK173" s="33"/>
      <c r="CL173" s="33"/>
      <c r="CM173" s="33"/>
      <c r="CN173" s="33"/>
      <c r="CO173" s="33"/>
      <c r="CP173" s="33"/>
    </row>
    <row r="174" spans="1:95" x14ac:dyDescent="0.25">
      <c r="A174" s="25" t="s">
        <v>144</v>
      </c>
      <c r="B174" s="25" t="s">
        <v>225</v>
      </c>
      <c r="C174" s="25" t="s">
        <v>471</v>
      </c>
      <c r="D174" s="25">
        <v>161</v>
      </c>
      <c r="E174" s="35" cm="1">
        <f t="array" ref="E174">IFERROR(INDEX($J$5:$AVX$5, _xlfn.AGGREGATE(15,6, COLUMN(J174:AVX174)-COLUMN(J174)+1 / (J174:AVX174="T"), F174)), "")</f>
        <v>46006</v>
      </c>
      <c r="F174" s="74">
        <f t="shared" si="22"/>
        <v>2</v>
      </c>
      <c r="G174" s="35" cm="1">
        <f t="array" ref="G174">IFERROR(INDEX($J$5:$AVW$5,_xlfn.AGGREGATE(14,6,(COLUMN($J174:$AVW174)-COLUMN($J174)+1)/($J174:$AVW174="T"),1)),"")</f>
        <v>46006</v>
      </c>
      <c r="H174" s="77">
        <f t="shared" si="23"/>
        <v>2</v>
      </c>
      <c r="I174" s="38" t="s">
        <v>10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25" t="s">
        <v>12</v>
      </c>
      <c r="Z174" s="27"/>
      <c r="AA174" s="27"/>
      <c r="AB174" s="27"/>
      <c r="AC174" s="28"/>
      <c r="AD174" s="27"/>
      <c r="AE174" s="27"/>
      <c r="AF174" s="29" t="s">
        <v>16</v>
      </c>
      <c r="AG174" s="30" t="s">
        <v>13</v>
      </c>
      <c r="AH174" s="27"/>
      <c r="AI174" s="27"/>
      <c r="AJ174" s="28"/>
      <c r="AK174" s="27"/>
      <c r="AL174" s="27"/>
      <c r="AM174" s="29" t="s">
        <v>14</v>
      </c>
      <c r="AN174" s="30" t="s">
        <v>11</v>
      </c>
      <c r="AO174" s="37"/>
      <c r="AP174" s="27"/>
      <c r="AQ174" s="28"/>
      <c r="AR174" s="27"/>
      <c r="AS174" s="29" t="s">
        <v>15</v>
      </c>
      <c r="AT174" s="27"/>
      <c r="AU174" s="27"/>
      <c r="AV174" s="25">
        <v>17</v>
      </c>
      <c r="AW174" s="33"/>
      <c r="AX174" s="33"/>
      <c r="AY174" s="33"/>
      <c r="AZ174" s="33"/>
      <c r="BA174" s="33"/>
      <c r="BB174" s="25" t="s">
        <v>12</v>
      </c>
      <c r="BC174" s="27"/>
      <c r="BD174" s="27"/>
      <c r="BE174" s="27"/>
      <c r="BF174" s="28"/>
      <c r="BG174" s="27"/>
      <c r="BH174" s="27"/>
      <c r="BI174" s="29" t="s">
        <v>16</v>
      </c>
      <c r="BJ174" s="30" t="s">
        <v>13</v>
      </c>
      <c r="BK174" s="27"/>
      <c r="BL174" s="27"/>
      <c r="BM174" s="28"/>
      <c r="BN174" s="27"/>
      <c r="BO174" s="27"/>
      <c r="BP174" s="32" t="s">
        <v>14</v>
      </c>
      <c r="BQ174" s="30" t="s">
        <v>11</v>
      </c>
      <c r="BR174" s="27"/>
      <c r="BS174" s="27"/>
      <c r="BT174" s="28"/>
      <c r="BU174" s="27"/>
      <c r="BV174" s="29" t="s">
        <v>15</v>
      </c>
      <c r="BW174" s="27"/>
      <c r="BX174" s="27"/>
      <c r="BY174" s="25">
        <v>17</v>
      </c>
      <c r="BZ174" s="33"/>
      <c r="CA174" s="33"/>
      <c r="CB174" s="33"/>
      <c r="CC174" s="33"/>
      <c r="CD174" s="33"/>
      <c r="CE174" s="33"/>
      <c r="CF174" s="33"/>
      <c r="CG174" s="33"/>
      <c r="CH174" s="33"/>
      <c r="CI174" s="33"/>
      <c r="CJ174" s="33"/>
      <c r="CK174" s="33"/>
      <c r="CL174" s="33"/>
      <c r="CM174" s="33"/>
      <c r="CN174" s="33"/>
      <c r="CO174" s="33"/>
      <c r="CP174" s="33"/>
    </row>
    <row r="175" spans="1:95" x14ac:dyDescent="0.25">
      <c r="A175" s="25" t="s">
        <v>144</v>
      </c>
      <c r="B175" s="25" t="s">
        <v>226</v>
      </c>
      <c r="C175" s="25" t="s">
        <v>472</v>
      </c>
      <c r="D175" s="25">
        <v>162</v>
      </c>
      <c r="E175" s="35" cm="1">
        <f t="array" ref="E175">IFERROR(INDEX($J$5:$AVX$5, _xlfn.AGGREGATE(15,6, COLUMN(J175:AVX175)-COLUMN(J175)+1 / (J175:AVX175="T"), F175)), "")</f>
        <v>46007</v>
      </c>
      <c r="F175" s="74">
        <f t="shared" si="22"/>
        <v>2</v>
      </c>
      <c r="G175" s="35" cm="1">
        <f t="array" ref="G175">IFERROR(INDEX($J$5:$AVW$5,_xlfn.AGGREGATE(14,6,(COLUMN($J175:$AVW175)-COLUMN($J175)+1)/($J175:$AVW175="T"),1)),"")</f>
        <v>46007</v>
      </c>
      <c r="H175" s="77">
        <f t="shared" si="23"/>
        <v>2</v>
      </c>
      <c r="I175" s="38" t="s">
        <v>10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25" t="s">
        <v>12</v>
      </c>
      <c r="AA175" s="27"/>
      <c r="AB175" s="27"/>
      <c r="AC175" s="27"/>
      <c r="AD175" s="28"/>
      <c r="AE175" s="27"/>
      <c r="AF175" s="27"/>
      <c r="AG175" s="29" t="s">
        <v>16</v>
      </c>
      <c r="AH175" s="30" t="s">
        <v>13</v>
      </c>
      <c r="AI175" s="27"/>
      <c r="AJ175" s="27"/>
      <c r="AK175" s="28"/>
      <c r="AL175" s="27"/>
      <c r="AM175" s="27"/>
      <c r="AN175" s="32" t="s">
        <v>14</v>
      </c>
      <c r="AO175" s="30" t="s">
        <v>11</v>
      </c>
      <c r="AP175" s="27"/>
      <c r="AQ175" s="27"/>
      <c r="AR175" s="28"/>
      <c r="AS175" s="27"/>
      <c r="AT175" s="29" t="s">
        <v>15</v>
      </c>
      <c r="AU175" s="27"/>
      <c r="AV175" s="27"/>
      <c r="AW175" s="25">
        <v>17</v>
      </c>
      <c r="AX175" s="33"/>
      <c r="AY175" s="33"/>
      <c r="AZ175" s="33"/>
      <c r="BA175" s="33"/>
      <c r="BB175" s="33"/>
      <c r="BC175" s="25" t="s">
        <v>12</v>
      </c>
      <c r="BD175" s="27"/>
      <c r="BE175" s="27"/>
      <c r="BF175" s="27"/>
      <c r="BG175" s="28"/>
      <c r="BH175" s="27"/>
      <c r="BI175" s="27"/>
      <c r="BJ175" s="29" t="s">
        <v>16</v>
      </c>
      <c r="BK175" s="30" t="s">
        <v>13</v>
      </c>
      <c r="BL175" s="27"/>
      <c r="BM175" s="27"/>
      <c r="BN175" s="28"/>
      <c r="BO175" s="27"/>
      <c r="BP175" s="27"/>
      <c r="BQ175" s="32" t="s">
        <v>14</v>
      </c>
      <c r="BR175" s="30" t="s">
        <v>11</v>
      </c>
      <c r="BS175" s="27"/>
      <c r="BT175" s="27"/>
      <c r="BU175" s="28"/>
      <c r="BV175" s="27"/>
      <c r="BW175" s="29" t="s">
        <v>15</v>
      </c>
      <c r="BX175" s="27"/>
      <c r="BY175" s="27"/>
      <c r="BZ175" s="25">
        <v>17</v>
      </c>
      <c r="CA175" s="33"/>
      <c r="CB175" s="33"/>
      <c r="CC175" s="33"/>
      <c r="CD175" s="33"/>
      <c r="CE175" s="33"/>
      <c r="CF175" s="33"/>
      <c r="CG175" s="33"/>
      <c r="CH175" s="33"/>
      <c r="CI175" s="33"/>
      <c r="CJ175" s="33"/>
      <c r="CK175" s="33"/>
      <c r="CL175" s="33"/>
      <c r="CM175" s="33"/>
      <c r="CN175" s="33"/>
      <c r="CO175" s="33"/>
      <c r="CP175" s="33"/>
    </row>
    <row r="176" spans="1:95" x14ac:dyDescent="0.25">
      <c r="A176" s="25" t="s">
        <v>144</v>
      </c>
      <c r="B176" s="25" t="s">
        <v>227</v>
      </c>
      <c r="C176" s="25" t="s">
        <v>473</v>
      </c>
      <c r="D176" s="25">
        <v>163</v>
      </c>
      <c r="E176" s="35" cm="1">
        <f t="array" ref="E176">IFERROR(INDEX($J$5:$AVX$5, _xlfn.AGGREGATE(15,6, COLUMN(J176:AVX176)-COLUMN(J176)+1 / (J176:AVX176="T"), F176)), "")</f>
        <v>46007</v>
      </c>
      <c r="F176" s="74">
        <f t="shared" si="22"/>
        <v>2</v>
      </c>
      <c r="G176" s="35" cm="1">
        <f t="array" ref="G176">IFERROR(INDEX($J$5:$AVW$5,_xlfn.AGGREGATE(14,6,(COLUMN($J176:$AVW176)-COLUMN($J176)+1)/($J176:$AVW176="T"),1)),"")</f>
        <v>46007</v>
      </c>
      <c r="H176" s="77">
        <f t="shared" si="23"/>
        <v>2</v>
      </c>
      <c r="I176" s="38" t="s">
        <v>10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25" t="s">
        <v>12</v>
      </c>
      <c r="AA176" s="27"/>
      <c r="AB176" s="27"/>
      <c r="AC176" s="27"/>
      <c r="AD176" s="28"/>
      <c r="AE176" s="27"/>
      <c r="AF176" s="27"/>
      <c r="AG176" s="29" t="s">
        <v>16</v>
      </c>
      <c r="AH176" s="30" t="s">
        <v>13</v>
      </c>
      <c r="AI176" s="27"/>
      <c r="AJ176" s="27"/>
      <c r="AK176" s="28"/>
      <c r="AL176" s="27"/>
      <c r="AM176" s="27"/>
      <c r="AN176" s="29" t="s">
        <v>14</v>
      </c>
      <c r="AO176" s="30" t="s">
        <v>11</v>
      </c>
      <c r="AP176" s="37"/>
      <c r="AQ176" s="27"/>
      <c r="AR176" s="28"/>
      <c r="AS176" s="27"/>
      <c r="AT176" s="29" t="s">
        <v>15</v>
      </c>
      <c r="AU176" s="27"/>
      <c r="AV176" s="27"/>
      <c r="AW176" s="25">
        <v>17</v>
      </c>
      <c r="AX176" s="33"/>
      <c r="AY176" s="33"/>
      <c r="AZ176" s="33"/>
      <c r="BA176" s="33"/>
      <c r="BB176" s="33"/>
      <c r="BC176" s="25" t="s">
        <v>12</v>
      </c>
      <c r="BD176" s="27"/>
      <c r="BE176" s="27"/>
      <c r="BF176" s="27"/>
      <c r="BG176" s="28"/>
      <c r="BH176" s="27"/>
      <c r="BI176" s="27"/>
      <c r="BJ176" s="29" t="s">
        <v>16</v>
      </c>
      <c r="BK176" s="30" t="s">
        <v>13</v>
      </c>
      <c r="BL176" s="27"/>
      <c r="BM176" s="27"/>
      <c r="BN176" s="28"/>
      <c r="BO176" s="27"/>
      <c r="BP176" s="27"/>
      <c r="BQ176" s="32" t="s">
        <v>14</v>
      </c>
      <c r="BR176" s="30" t="s">
        <v>11</v>
      </c>
      <c r="BS176" s="27"/>
      <c r="BT176" s="27"/>
      <c r="BU176" s="28"/>
      <c r="BV176" s="27"/>
      <c r="BW176" s="29" t="s">
        <v>15</v>
      </c>
      <c r="BX176" s="27"/>
      <c r="BY176" s="27"/>
      <c r="BZ176" s="25">
        <v>17</v>
      </c>
      <c r="CA176" s="33"/>
      <c r="CB176" s="33"/>
      <c r="CC176" s="33"/>
      <c r="CD176" s="33"/>
      <c r="CE176" s="33"/>
      <c r="CF176" s="33"/>
      <c r="CG176" s="33"/>
      <c r="CH176" s="33"/>
      <c r="CI176" s="33"/>
      <c r="CJ176" s="33"/>
      <c r="CK176" s="33"/>
      <c r="CL176" s="33"/>
      <c r="CM176" s="33"/>
      <c r="CN176" s="33"/>
      <c r="CO176" s="33"/>
      <c r="CP176" s="33"/>
    </row>
    <row r="177" spans="1:94" x14ac:dyDescent="0.25">
      <c r="A177" s="25" t="s">
        <v>144</v>
      </c>
      <c r="B177" s="25" t="s">
        <v>228</v>
      </c>
      <c r="C177" s="25" t="s">
        <v>474</v>
      </c>
      <c r="D177" s="25">
        <v>164</v>
      </c>
      <c r="E177" s="35" cm="1">
        <f t="array" ref="E177">IFERROR(INDEX($J$5:$AVX$5, _xlfn.AGGREGATE(15,6, COLUMN(J177:AVX177)-COLUMN(J177)+1 / (J177:AVX177="T"), F177)), "")</f>
        <v>46007</v>
      </c>
      <c r="F177" s="74">
        <f t="shared" si="22"/>
        <v>2</v>
      </c>
      <c r="G177" s="35" cm="1">
        <f t="array" ref="G177">IFERROR(INDEX($J$5:$AVW$5,_xlfn.AGGREGATE(14,6,(COLUMN($J177:$AVW177)-COLUMN($J177)+1)/($J177:$AVW177="T"),1)),"")</f>
        <v>46007</v>
      </c>
      <c r="H177" s="77">
        <f t="shared" si="23"/>
        <v>2</v>
      </c>
      <c r="I177" s="38" t="s">
        <v>10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25" t="s">
        <v>12</v>
      </c>
      <c r="AA177" s="27"/>
      <c r="AB177" s="27"/>
      <c r="AC177" s="27"/>
      <c r="AD177" s="28"/>
      <c r="AE177" s="27"/>
      <c r="AF177" s="27"/>
      <c r="AG177" s="29" t="s">
        <v>16</v>
      </c>
      <c r="AH177" s="30" t="s">
        <v>13</v>
      </c>
      <c r="AI177" s="27"/>
      <c r="AJ177" s="27"/>
      <c r="AK177" s="28"/>
      <c r="AL177" s="27"/>
      <c r="AM177" s="27"/>
      <c r="AN177" s="29" t="s">
        <v>14</v>
      </c>
      <c r="AO177" s="30" t="s">
        <v>11</v>
      </c>
      <c r="AP177" s="37"/>
      <c r="AQ177" s="27"/>
      <c r="AR177" s="28"/>
      <c r="AS177" s="27"/>
      <c r="AT177" s="29" t="s">
        <v>15</v>
      </c>
      <c r="AU177" s="27"/>
      <c r="AV177" s="27"/>
      <c r="AW177" s="25">
        <v>17</v>
      </c>
      <c r="AX177" s="33"/>
      <c r="AY177" s="33"/>
      <c r="AZ177" s="33"/>
      <c r="BA177" s="33"/>
      <c r="BB177" s="33"/>
      <c r="BC177" s="25" t="s">
        <v>12</v>
      </c>
      <c r="BD177" s="27"/>
      <c r="BE177" s="27"/>
      <c r="BF177" s="27"/>
      <c r="BG177" s="28"/>
      <c r="BH177" s="27"/>
      <c r="BI177" s="27"/>
      <c r="BJ177" s="29" t="s">
        <v>16</v>
      </c>
      <c r="BK177" s="30" t="s">
        <v>13</v>
      </c>
      <c r="BL177" s="27"/>
      <c r="BM177" s="27"/>
      <c r="BN177" s="28"/>
      <c r="BO177" s="27"/>
      <c r="BP177" s="27"/>
      <c r="BQ177" s="32" t="s">
        <v>14</v>
      </c>
      <c r="BR177" s="30" t="s">
        <v>11</v>
      </c>
      <c r="BS177" s="27"/>
      <c r="BT177" s="27"/>
      <c r="BU177" s="28"/>
      <c r="BV177" s="27"/>
      <c r="BW177" s="29" t="s">
        <v>15</v>
      </c>
      <c r="BX177" s="27"/>
      <c r="BY177" s="27"/>
      <c r="BZ177" s="25">
        <v>17</v>
      </c>
      <c r="CA177" s="33"/>
      <c r="CB177" s="33"/>
      <c r="CC177" s="33"/>
      <c r="CD177" s="33"/>
      <c r="CE177" s="33"/>
      <c r="CF177" s="33"/>
      <c r="CG177" s="33"/>
      <c r="CH177" s="33"/>
      <c r="CI177" s="33"/>
      <c r="CJ177" s="33"/>
      <c r="CK177" s="33"/>
      <c r="CL177" s="33"/>
      <c r="CM177" s="33"/>
      <c r="CN177" s="33"/>
      <c r="CO177" s="33"/>
      <c r="CP177" s="33"/>
    </row>
    <row r="178" spans="1:94" x14ac:dyDescent="0.25">
      <c r="A178" s="25" t="s">
        <v>144</v>
      </c>
      <c r="B178" s="25" t="s">
        <v>229</v>
      </c>
      <c r="C178" s="25" t="s">
        <v>475</v>
      </c>
      <c r="D178" s="25">
        <v>165</v>
      </c>
      <c r="E178" s="35" cm="1">
        <f t="array" ref="E178">IFERROR(INDEX($J$5:$AVX$5, _xlfn.AGGREGATE(15,6, COLUMN(J178:AVX178)-COLUMN(J178)+1 / (J178:AVX178="T"), F178)), "")</f>
        <v>46007</v>
      </c>
      <c r="F178" s="74">
        <f t="shared" si="22"/>
        <v>2</v>
      </c>
      <c r="G178" s="35" cm="1">
        <f t="array" ref="G178">IFERROR(INDEX($J$5:$AVW$5,_xlfn.AGGREGATE(14,6,(COLUMN($J178:$AVW178)-COLUMN($J178)+1)/($J178:$AVW178="T"),1)),"")</f>
        <v>46007</v>
      </c>
      <c r="H178" s="77">
        <f t="shared" si="23"/>
        <v>2</v>
      </c>
      <c r="I178" s="38" t="s">
        <v>10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25" t="s">
        <v>12</v>
      </c>
      <c r="AA178" s="27"/>
      <c r="AB178" s="27"/>
      <c r="AC178" s="27"/>
      <c r="AD178" s="28"/>
      <c r="AE178" s="27"/>
      <c r="AF178" s="27"/>
      <c r="AG178" s="29" t="s">
        <v>16</v>
      </c>
      <c r="AH178" s="30" t="s">
        <v>13</v>
      </c>
      <c r="AI178" s="27"/>
      <c r="AJ178" s="27"/>
      <c r="AK178" s="28"/>
      <c r="AL178" s="27"/>
      <c r="AM178" s="27"/>
      <c r="AN178" s="29" t="s">
        <v>14</v>
      </c>
      <c r="AO178" s="30" t="s">
        <v>11</v>
      </c>
      <c r="AP178" s="37"/>
      <c r="AQ178" s="27"/>
      <c r="AR178" s="28"/>
      <c r="AS178" s="27"/>
      <c r="AT178" s="29" t="s">
        <v>15</v>
      </c>
      <c r="AU178" s="27"/>
      <c r="AV178" s="27"/>
      <c r="AW178" s="25">
        <v>17</v>
      </c>
      <c r="AX178" s="33"/>
      <c r="AY178" s="33"/>
      <c r="AZ178" s="33"/>
      <c r="BA178" s="33"/>
      <c r="BB178" s="33"/>
      <c r="BC178" s="25" t="s">
        <v>12</v>
      </c>
      <c r="BD178" s="27"/>
      <c r="BE178" s="27"/>
      <c r="BF178" s="27"/>
      <c r="BG178" s="28"/>
      <c r="BH178" s="27"/>
      <c r="BI178" s="27"/>
      <c r="BJ178" s="29" t="s">
        <v>16</v>
      </c>
      <c r="BK178" s="30" t="s">
        <v>13</v>
      </c>
      <c r="BL178" s="27"/>
      <c r="BM178" s="27"/>
      <c r="BN178" s="28"/>
      <c r="BO178" s="27"/>
      <c r="BP178" s="27"/>
      <c r="BQ178" s="32" t="s">
        <v>14</v>
      </c>
      <c r="BR178" s="30" t="s">
        <v>11</v>
      </c>
      <c r="BS178" s="27"/>
      <c r="BT178" s="27"/>
      <c r="BU178" s="28"/>
      <c r="BV178" s="27"/>
      <c r="BW178" s="29" t="s">
        <v>15</v>
      </c>
      <c r="BX178" s="27"/>
      <c r="BY178" s="27"/>
      <c r="BZ178" s="25">
        <v>17</v>
      </c>
      <c r="CA178" s="33"/>
      <c r="CB178" s="33"/>
      <c r="CC178" s="33"/>
      <c r="CD178" s="33"/>
      <c r="CE178" s="33"/>
      <c r="CF178" s="33"/>
      <c r="CG178" s="33"/>
      <c r="CH178" s="33"/>
      <c r="CI178" s="33"/>
      <c r="CJ178" s="33"/>
      <c r="CK178" s="33"/>
      <c r="CL178" s="33"/>
      <c r="CM178" s="33"/>
      <c r="CN178" s="33"/>
      <c r="CO178" s="33"/>
      <c r="CP178" s="33"/>
    </row>
    <row r="179" spans="1:94" x14ac:dyDescent="0.25">
      <c r="A179" s="25" t="s">
        <v>144</v>
      </c>
      <c r="B179" s="25" t="s">
        <v>230</v>
      </c>
      <c r="C179" s="25" t="s">
        <v>476</v>
      </c>
      <c r="D179" s="25">
        <v>166</v>
      </c>
      <c r="E179" s="35" cm="1">
        <f t="array" ref="E179">IFERROR(INDEX($J$5:$AVX$5, _xlfn.AGGREGATE(15,6, COLUMN(J179:AVX179)-COLUMN(J179)+1 / (J179:AVX179="T"), F179)), "")</f>
        <v>46007</v>
      </c>
      <c r="F179" s="74">
        <f t="shared" si="22"/>
        <v>2</v>
      </c>
      <c r="G179" s="35" cm="1">
        <f t="array" ref="G179">IFERROR(INDEX($J$5:$AVW$5,_xlfn.AGGREGATE(14,6,(COLUMN($J179:$AVW179)-COLUMN($J179)+1)/($J179:$AVW179="T"),1)),"")</f>
        <v>46007</v>
      </c>
      <c r="H179" s="77">
        <f t="shared" si="23"/>
        <v>2</v>
      </c>
      <c r="I179" s="38" t="s">
        <v>10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25" t="s">
        <v>12</v>
      </c>
      <c r="AA179" s="27"/>
      <c r="AB179" s="27"/>
      <c r="AC179" s="27"/>
      <c r="AD179" s="28"/>
      <c r="AE179" s="27"/>
      <c r="AF179" s="27"/>
      <c r="AG179" s="29" t="s">
        <v>16</v>
      </c>
      <c r="AH179" s="30" t="s">
        <v>13</v>
      </c>
      <c r="AI179" s="27"/>
      <c r="AJ179" s="27"/>
      <c r="AK179" s="28"/>
      <c r="AL179" s="27"/>
      <c r="AM179" s="27"/>
      <c r="AN179" s="29" t="s">
        <v>14</v>
      </c>
      <c r="AO179" s="30" t="s">
        <v>11</v>
      </c>
      <c r="AP179" s="37"/>
      <c r="AQ179" s="27"/>
      <c r="AR179" s="28"/>
      <c r="AS179" s="27"/>
      <c r="AT179" s="29" t="s">
        <v>15</v>
      </c>
      <c r="AU179" s="27"/>
      <c r="AV179" s="27"/>
      <c r="AW179" s="25">
        <v>17</v>
      </c>
      <c r="AX179" s="33"/>
      <c r="AY179" s="33"/>
      <c r="AZ179" s="33"/>
      <c r="BA179" s="33"/>
      <c r="BB179" s="33"/>
      <c r="BC179" s="25" t="s">
        <v>12</v>
      </c>
      <c r="BD179" s="27"/>
      <c r="BE179" s="27"/>
      <c r="BF179" s="27"/>
      <c r="BG179" s="28"/>
      <c r="BH179" s="27"/>
      <c r="BI179" s="27"/>
      <c r="BJ179" s="29" t="s">
        <v>16</v>
      </c>
      <c r="BK179" s="30" t="s">
        <v>13</v>
      </c>
      <c r="BL179" s="27"/>
      <c r="BM179" s="27"/>
      <c r="BN179" s="28"/>
      <c r="BO179" s="27"/>
      <c r="BP179" s="27"/>
      <c r="BQ179" s="32" t="s">
        <v>14</v>
      </c>
      <c r="BR179" s="30" t="s">
        <v>11</v>
      </c>
      <c r="BS179" s="27"/>
      <c r="BT179" s="27"/>
      <c r="BU179" s="28"/>
      <c r="BV179" s="27"/>
      <c r="BW179" s="29" t="s">
        <v>15</v>
      </c>
      <c r="BX179" s="27"/>
      <c r="BY179" s="27"/>
      <c r="BZ179" s="25">
        <v>17</v>
      </c>
      <c r="CA179" s="33"/>
      <c r="CB179" s="33"/>
      <c r="CC179" s="33"/>
      <c r="CD179" s="33"/>
      <c r="CE179" s="33"/>
      <c r="CF179" s="33"/>
      <c r="CG179" s="33"/>
      <c r="CH179" s="33"/>
      <c r="CI179" s="33"/>
      <c r="CJ179" s="33"/>
      <c r="CK179" s="33"/>
      <c r="CL179" s="33"/>
      <c r="CM179" s="33"/>
      <c r="CN179" s="33"/>
      <c r="CO179" s="33"/>
      <c r="CP179" s="33"/>
    </row>
    <row r="180" spans="1:94" x14ac:dyDescent="0.25">
      <c r="A180" s="25" t="s">
        <v>144</v>
      </c>
      <c r="B180" s="25" t="s">
        <v>231</v>
      </c>
      <c r="C180" s="25" t="s">
        <v>477</v>
      </c>
      <c r="D180" s="25">
        <v>167</v>
      </c>
      <c r="E180" s="35" cm="1">
        <f t="array" ref="E180">IFERROR(INDEX($J$5:$AVX$5, _xlfn.AGGREGATE(15,6, COLUMN(J180:AVX180)-COLUMN(J180)+1 / (J180:AVX180="T"), F180)), "")</f>
        <v>46007</v>
      </c>
      <c r="F180" s="74">
        <f t="shared" si="22"/>
        <v>2</v>
      </c>
      <c r="G180" s="35" cm="1">
        <f t="array" ref="G180">IFERROR(INDEX($J$5:$AVW$5,_xlfn.AGGREGATE(14,6,(COLUMN($J180:$AVW180)-COLUMN($J180)+1)/($J180:$AVW180="T"),1)),"")</f>
        <v>46007</v>
      </c>
      <c r="H180" s="77">
        <f t="shared" si="23"/>
        <v>2</v>
      </c>
      <c r="I180" s="38" t="s">
        <v>10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25" t="s">
        <v>12</v>
      </c>
      <c r="AA180" s="27"/>
      <c r="AB180" s="27"/>
      <c r="AC180" s="27"/>
      <c r="AD180" s="28"/>
      <c r="AE180" s="27"/>
      <c r="AF180" s="27"/>
      <c r="AG180" s="29" t="s">
        <v>16</v>
      </c>
      <c r="AH180" s="30" t="s">
        <v>13</v>
      </c>
      <c r="AI180" s="27"/>
      <c r="AJ180" s="27"/>
      <c r="AK180" s="28"/>
      <c r="AL180" s="27"/>
      <c r="AM180" s="27"/>
      <c r="AN180" s="29" t="s">
        <v>14</v>
      </c>
      <c r="AO180" s="30" t="s">
        <v>11</v>
      </c>
      <c r="AP180" s="37"/>
      <c r="AQ180" s="27"/>
      <c r="AR180" s="28"/>
      <c r="AS180" s="27"/>
      <c r="AT180" s="29" t="s">
        <v>15</v>
      </c>
      <c r="AU180" s="27"/>
      <c r="AV180" s="27"/>
      <c r="AW180" s="25">
        <v>17</v>
      </c>
      <c r="AX180" s="33"/>
      <c r="AY180" s="33"/>
      <c r="AZ180" s="33"/>
      <c r="BA180" s="33"/>
      <c r="BB180" s="33"/>
      <c r="BC180" s="25" t="s">
        <v>12</v>
      </c>
      <c r="BD180" s="27"/>
      <c r="BE180" s="27"/>
      <c r="BF180" s="27"/>
      <c r="BG180" s="28"/>
      <c r="BH180" s="27"/>
      <c r="BI180" s="27"/>
      <c r="BJ180" s="29" t="s">
        <v>16</v>
      </c>
      <c r="BK180" s="30" t="s">
        <v>13</v>
      </c>
      <c r="BL180" s="27"/>
      <c r="BM180" s="27"/>
      <c r="BN180" s="28"/>
      <c r="BO180" s="27"/>
      <c r="BP180" s="27"/>
      <c r="BQ180" s="32" t="s">
        <v>14</v>
      </c>
      <c r="BR180" s="30" t="s">
        <v>11</v>
      </c>
      <c r="BS180" s="27"/>
      <c r="BT180" s="27"/>
      <c r="BU180" s="28"/>
      <c r="BV180" s="27"/>
      <c r="BW180" s="29" t="s">
        <v>15</v>
      </c>
      <c r="BX180" s="27"/>
      <c r="BY180" s="27"/>
      <c r="BZ180" s="25">
        <v>17</v>
      </c>
      <c r="CA180" s="33"/>
      <c r="CB180" s="33"/>
      <c r="CC180" s="33"/>
      <c r="CD180" s="33"/>
      <c r="CE180" s="33"/>
      <c r="CF180" s="33"/>
      <c r="CG180" s="33"/>
      <c r="CH180" s="33"/>
      <c r="CI180" s="33"/>
      <c r="CJ180" s="33"/>
      <c r="CK180" s="33"/>
      <c r="CL180" s="33"/>
      <c r="CM180" s="33"/>
      <c r="CN180" s="33"/>
      <c r="CO180" s="33"/>
      <c r="CP180" s="33"/>
    </row>
    <row r="181" spans="1:94" x14ac:dyDescent="0.25">
      <c r="A181" s="25" t="s">
        <v>144</v>
      </c>
      <c r="B181" s="25" t="s">
        <v>232</v>
      </c>
      <c r="C181" s="25" t="s">
        <v>478</v>
      </c>
      <c r="D181" s="25">
        <v>168</v>
      </c>
      <c r="E181" s="35" cm="1">
        <f t="array" ref="E181">IFERROR(INDEX($J$5:$AVX$5, _xlfn.AGGREGATE(15,6, COLUMN(J181:AVX181)-COLUMN(J181)+1 / (J181:AVX181="T"), F181)), "")</f>
        <v>46007</v>
      </c>
      <c r="F181" s="74">
        <f t="shared" si="22"/>
        <v>2</v>
      </c>
      <c r="G181" s="35" cm="1">
        <f t="array" ref="G181">IFERROR(INDEX($J$5:$AVW$5,_xlfn.AGGREGATE(14,6,(COLUMN($J181:$AVW181)-COLUMN($J181)+1)/($J181:$AVW181="T"),1)),"")</f>
        <v>46007</v>
      </c>
      <c r="H181" s="77">
        <f t="shared" si="23"/>
        <v>2</v>
      </c>
      <c r="I181" s="38" t="s">
        <v>10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25" t="s">
        <v>12</v>
      </c>
      <c r="AA181" s="27"/>
      <c r="AB181" s="27"/>
      <c r="AC181" s="27"/>
      <c r="AD181" s="28"/>
      <c r="AE181" s="27"/>
      <c r="AF181" s="27"/>
      <c r="AG181" s="29" t="s">
        <v>16</v>
      </c>
      <c r="AH181" s="30" t="s">
        <v>13</v>
      </c>
      <c r="AI181" s="27"/>
      <c r="AJ181" s="27"/>
      <c r="AK181" s="28"/>
      <c r="AL181" s="27"/>
      <c r="AM181" s="27"/>
      <c r="AN181" s="29" t="s">
        <v>14</v>
      </c>
      <c r="AO181" s="30" t="s">
        <v>11</v>
      </c>
      <c r="AP181" s="37"/>
      <c r="AQ181" s="27"/>
      <c r="AR181" s="28"/>
      <c r="AS181" s="27"/>
      <c r="AT181" s="29" t="s">
        <v>15</v>
      </c>
      <c r="AU181" s="27"/>
      <c r="AV181" s="27"/>
      <c r="AW181" s="25">
        <v>17</v>
      </c>
      <c r="AX181" s="33"/>
      <c r="AY181" s="33"/>
      <c r="AZ181" s="33"/>
      <c r="BA181" s="33"/>
      <c r="BB181" s="33"/>
      <c r="BC181" s="25" t="s">
        <v>12</v>
      </c>
      <c r="BD181" s="27"/>
      <c r="BE181" s="27"/>
      <c r="BF181" s="27"/>
      <c r="BG181" s="28"/>
      <c r="BH181" s="27"/>
      <c r="BI181" s="27"/>
      <c r="BJ181" s="29" t="s">
        <v>16</v>
      </c>
      <c r="BK181" s="30" t="s">
        <v>13</v>
      </c>
      <c r="BL181" s="27"/>
      <c r="BM181" s="27"/>
      <c r="BN181" s="28"/>
      <c r="BO181" s="27"/>
      <c r="BP181" s="27"/>
      <c r="BQ181" s="32" t="s">
        <v>14</v>
      </c>
      <c r="BR181" s="30" t="s">
        <v>11</v>
      </c>
      <c r="BS181" s="27"/>
      <c r="BT181" s="27"/>
      <c r="BU181" s="28"/>
      <c r="BV181" s="27"/>
      <c r="BW181" s="29" t="s">
        <v>15</v>
      </c>
      <c r="BX181" s="27"/>
      <c r="BY181" s="27"/>
      <c r="BZ181" s="25">
        <v>17</v>
      </c>
      <c r="CA181" s="33"/>
      <c r="CB181" s="33"/>
      <c r="CC181" s="33"/>
      <c r="CD181" s="33"/>
      <c r="CE181" s="33"/>
      <c r="CF181" s="33"/>
      <c r="CG181" s="33"/>
      <c r="CH181" s="33"/>
      <c r="CI181" s="33"/>
      <c r="CJ181" s="33"/>
      <c r="CK181" s="33"/>
      <c r="CL181" s="33"/>
      <c r="CM181" s="33"/>
      <c r="CN181" s="33"/>
      <c r="CO181" s="33"/>
      <c r="CP181" s="33"/>
    </row>
    <row r="182" spans="1:94" x14ac:dyDescent="0.25">
      <c r="A182" s="25" t="s">
        <v>144</v>
      </c>
      <c r="B182" s="25" t="s">
        <v>233</v>
      </c>
      <c r="C182" s="25" t="s">
        <v>479</v>
      </c>
      <c r="D182" s="25">
        <v>169</v>
      </c>
      <c r="E182" s="35" cm="1">
        <f t="array" ref="E182">IFERROR(INDEX($J$5:$AVX$5, _xlfn.AGGREGATE(15,6, COLUMN(J182:AVX182)-COLUMN(J182)+1 / (J182:AVX182="T"), F182)), "")</f>
        <v>46008</v>
      </c>
      <c r="F182" s="74">
        <f t="shared" si="22"/>
        <v>2</v>
      </c>
      <c r="G182" s="35" cm="1">
        <f t="array" ref="G182">IFERROR(INDEX($J$5:$AVW$5,_xlfn.AGGREGATE(14,6,(COLUMN($J182:$AVW182)-COLUMN($J182)+1)/($J182:$AVW182="T"),1)),"")</f>
        <v>46008</v>
      </c>
      <c r="H182" s="77">
        <f t="shared" si="23"/>
        <v>2</v>
      </c>
      <c r="I182" s="38" t="s">
        <v>10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25" t="s">
        <v>12</v>
      </c>
      <c r="AB182" s="27"/>
      <c r="AC182" s="27"/>
      <c r="AD182" s="27"/>
      <c r="AE182" s="28"/>
      <c r="AF182" s="27"/>
      <c r="AG182" s="27"/>
      <c r="AH182" s="29" t="s">
        <v>16</v>
      </c>
      <c r="AI182" s="30" t="s">
        <v>13</v>
      </c>
      <c r="AJ182" s="27"/>
      <c r="AK182" s="27"/>
      <c r="AL182" s="28"/>
      <c r="AM182" s="27"/>
      <c r="AN182" s="27"/>
      <c r="AO182" s="32" t="s">
        <v>14</v>
      </c>
      <c r="AP182" s="30" t="s">
        <v>11</v>
      </c>
      <c r="AQ182" s="27"/>
      <c r="AR182" s="27"/>
      <c r="AS182" s="28"/>
      <c r="AT182" s="27"/>
      <c r="AU182" s="29" t="s">
        <v>15</v>
      </c>
      <c r="AV182" s="27"/>
      <c r="AW182" s="27"/>
      <c r="AX182" s="25">
        <v>17</v>
      </c>
      <c r="AY182" s="33"/>
      <c r="AZ182" s="33"/>
      <c r="BA182" s="33"/>
      <c r="BB182" s="33"/>
      <c r="BC182" s="33"/>
      <c r="BD182" s="25" t="s">
        <v>12</v>
      </c>
      <c r="BE182" s="27"/>
      <c r="BF182" s="27"/>
      <c r="BG182" s="27"/>
      <c r="BH182" s="28"/>
      <c r="BI182" s="27"/>
      <c r="BJ182" s="27"/>
      <c r="BK182" s="29" t="s">
        <v>16</v>
      </c>
      <c r="BL182" s="30" t="s">
        <v>13</v>
      </c>
      <c r="BM182" s="27"/>
      <c r="BN182" s="27"/>
      <c r="BO182" s="28"/>
      <c r="BP182" s="27"/>
      <c r="BQ182" s="27"/>
      <c r="BR182" s="32" t="s">
        <v>14</v>
      </c>
      <c r="BS182" s="30" t="s">
        <v>11</v>
      </c>
      <c r="BT182" s="27"/>
      <c r="BU182" s="27"/>
      <c r="BV182" s="28"/>
      <c r="BW182" s="27"/>
      <c r="BX182" s="29" t="s">
        <v>15</v>
      </c>
      <c r="BY182" s="27"/>
      <c r="BZ182" s="27"/>
      <c r="CA182" s="25">
        <v>17</v>
      </c>
      <c r="CB182" s="33"/>
      <c r="CC182" s="33"/>
      <c r="CD182" s="33"/>
      <c r="CE182" s="33"/>
      <c r="CF182" s="33"/>
      <c r="CG182" s="33"/>
      <c r="CH182" s="33"/>
      <c r="CI182" s="33"/>
      <c r="CJ182" s="33"/>
      <c r="CK182" s="33"/>
      <c r="CL182" s="33"/>
      <c r="CM182" s="33"/>
      <c r="CN182" s="33"/>
      <c r="CO182" s="33"/>
      <c r="CP182" s="33"/>
    </row>
    <row r="183" spans="1:94" x14ac:dyDescent="0.25">
      <c r="A183" s="25" t="s">
        <v>144</v>
      </c>
      <c r="B183" s="25" t="s">
        <v>234</v>
      </c>
      <c r="C183" s="25" t="s">
        <v>480</v>
      </c>
      <c r="D183" s="25">
        <v>170</v>
      </c>
      <c r="E183" s="35" cm="1">
        <f t="array" ref="E183">IFERROR(INDEX($J$5:$AVX$5, _xlfn.AGGREGATE(15,6, COLUMN(J183:AVX183)-COLUMN(J183)+1 / (J183:AVX183="T"), F183)), "")</f>
        <v>46008</v>
      </c>
      <c r="F183" s="74">
        <f t="shared" si="22"/>
        <v>2</v>
      </c>
      <c r="G183" s="35" cm="1">
        <f t="array" ref="G183">IFERROR(INDEX($J$5:$AVW$5,_xlfn.AGGREGATE(14,6,(COLUMN($J183:$AVW183)-COLUMN($J183)+1)/($J183:$AVW183="T"),1)),"")</f>
        <v>46008</v>
      </c>
      <c r="H183" s="77">
        <f t="shared" si="23"/>
        <v>2</v>
      </c>
      <c r="I183" s="38" t="s">
        <v>10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25" t="s">
        <v>12</v>
      </c>
      <c r="AB183" s="27"/>
      <c r="AC183" s="27"/>
      <c r="AD183" s="27"/>
      <c r="AE183" s="28"/>
      <c r="AF183" s="27"/>
      <c r="AG183" s="27"/>
      <c r="AH183" s="29" t="s">
        <v>16</v>
      </c>
      <c r="AI183" s="30" t="s">
        <v>13</v>
      </c>
      <c r="AJ183" s="27"/>
      <c r="AK183" s="27"/>
      <c r="AL183" s="28"/>
      <c r="AM183" s="27"/>
      <c r="AN183" s="27"/>
      <c r="AO183" s="29" t="s">
        <v>14</v>
      </c>
      <c r="AP183" s="30" t="s">
        <v>11</v>
      </c>
      <c r="AQ183" s="37"/>
      <c r="AR183" s="27"/>
      <c r="AS183" s="28"/>
      <c r="AT183" s="27"/>
      <c r="AU183" s="29" t="s">
        <v>15</v>
      </c>
      <c r="AV183" s="27"/>
      <c r="AW183" s="27"/>
      <c r="AX183" s="25">
        <v>17</v>
      </c>
      <c r="AY183" s="33"/>
      <c r="AZ183" s="33"/>
      <c r="BA183" s="33"/>
      <c r="BB183" s="33"/>
      <c r="BC183" s="33"/>
      <c r="BD183" s="25" t="s">
        <v>12</v>
      </c>
      <c r="BE183" s="27"/>
      <c r="BF183" s="27"/>
      <c r="BG183" s="27"/>
      <c r="BH183" s="28"/>
      <c r="BI183" s="27"/>
      <c r="BJ183" s="27"/>
      <c r="BK183" s="29" t="s">
        <v>16</v>
      </c>
      <c r="BL183" s="30" t="s">
        <v>13</v>
      </c>
      <c r="BM183" s="27"/>
      <c r="BN183" s="27"/>
      <c r="BO183" s="28"/>
      <c r="BP183" s="27"/>
      <c r="BQ183" s="27"/>
      <c r="BR183" s="32" t="s">
        <v>14</v>
      </c>
      <c r="BS183" s="30" t="s">
        <v>11</v>
      </c>
      <c r="BT183" s="27"/>
      <c r="BU183" s="27"/>
      <c r="BV183" s="28"/>
      <c r="BW183" s="27"/>
      <c r="BX183" s="29" t="s">
        <v>15</v>
      </c>
      <c r="BY183" s="27"/>
      <c r="BZ183" s="27"/>
      <c r="CA183" s="25">
        <v>17</v>
      </c>
      <c r="CB183" s="33"/>
      <c r="CC183" s="33"/>
      <c r="CD183" s="33"/>
      <c r="CE183" s="33"/>
      <c r="CF183" s="33"/>
      <c r="CG183" s="33"/>
      <c r="CH183" s="33"/>
      <c r="CI183" s="33"/>
      <c r="CJ183" s="33"/>
      <c r="CK183" s="33"/>
      <c r="CL183" s="33"/>
      <c r="CM183" s="33"/>
      <c r="CN183" s="33"/>
      <c r="CO183" s="33"/>
      <c r="CP183" s="33"/>
    </row>
    <row r="184" spans="1:94" x14ac:dyDescent="0.25">
      <c r="A184" s="25" t="s">
        <v>144</v>
      </c>
      <c r="B184" s="25" t="s">
        <v>235</v>
      </c>
      <c r="C184" s="25" t="s">
        <v>481</v>
      </c>
      <c r="D184" s="25">
        <v>171</v>
      </c>
      <c r="E184" s="35" cm="1">
        <f t="array" ref="E184">IFERROR(INDEX($J$5:$AVX$5, _xlfn.AGGREGATE(15,6, COLUMN(J184:AVX184)-COLUMN(J184)+1 / (J184:AVX184="T"), F184)), "")</f>
        <v>46008</v>
      </c>
      <c r="F184" s="74">
        <f t="shared" si="22"/>
        <v>2</v>
      </c>
      <c r="G184" s="35" cm="1">
        <f t="array" ref="G184">IFERROR(INDEX($J$5:$AVW$5,_xlfn.AGGREGATE(14,6,(COLUMN($J184:$AVW184)-COLUMN($J184)+1)/($J184:$AVW184="T"),1)),"")</f>
        <v>46008</v>
      </c>
      <c r="H184" s="77">
        <f t="shared" si="23"/>
        <v>2</v>
      </c>
      <c r="I184" s="38" t="s">
        <v>10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25" t="s">
        <v>12</v>
      </c>
      <c r="AB184" s="27"/>
      <c r="AC184" s="27"/>
      <c r="AD184" s="27"/>
      <c r="AE184" s="28"/>
      <c r="AF184" s="27"/>
      <c r="AG184" s="27"/>
      <c r="AH184" s="29" t="s">
        <v>16</v>
      </c>
      <c r="AI184" s="30" t="s">
        <v>13</v>
      </c>
      <c r="AJ184" s="27"/>
      <c r="AK184" s="27"/>
      <c r="AL184" s="28"/>
      <c r="AM184" s="27"/>
      <c r="AN184" s="27"/>
      <c r="AO184" s="29" t="s">
        <v>14</v>
      </c>
      <c r="AP184" s="30" t="s">
        <v>11</v>
      </c>
      <c r="AQ184" s="37"/>
      <c r="AR184" s="27"/>
      <c r="AS184" s="28"/>
      <c r="AT184" s="27"/>
      <c r="AU184" s="29" t="s">
        <v>15</v>
      </c>
      <c r="AV184" s="27"/>
      <c r="AW184" s="27"/>
      <c r="AX184" s="25">
        <v>17</v>
      </c>
      <c r="AY184" s="33"/>
      <c r="AZ184" s="33"/>
      <c r="BA184" s="33"/>
      <c r="BB184" s="33"/>
      <c r="BC184" s="33"/>
      <c r="BD184" s="25" t="s">
        <v>12</v>
      </c>
      <c r="BE184" s="27"/>
      <c r="BF184" s="27"/>
      <c r="BG184" s="27"/>
      <c r="BH184" s="28"/>
      <c r="BI184" s="27"/>
      <c r="BJ184" s="27"/>
      <c r="BK184" s="29" t="s">
        <v>16</v>
      </c>
      <c r="BL184" s="30" t="s">
        <v>13</v>
      </c>
      <c r="BM184" s="27"/>
      <c r="BN184" s="27"/>
      <c r="BO184" s="28"/>
      <c r="BP184" s="27"/>
      <c r="BQ184" s="27"/>
      <c r="BR184" s="32" t="s">
        <v>14</v>
      </c>
      <c r="BS184" s="30" t="s">
        <v>11</v>
      </c>
      <c r="BT184" s="27"/>
      <c r="BU184" s="27"/>
      <c r="BV184" s="28"/>
      <c r="BW184" s="27"/>
      <c r="BX184" s="29" t="s">
        <v>15</v>
      </c>
      <c r="BY184" s="27"/>
      <c r="BZ184" s="27"/>
      <c r="CA184" s="25">
        <v>17</v>
      </c>
      <c r="CB184" s="33"/>
      <c r="CC184" s="33"/>
      <c r="CD184" s="33"/>
      <c r="CE184" s="33"/>
      <c r="CF184" s="33"/>
      <c r="CG184" s="33"/>
      <c r="CH184" s="33"/>
      <c r="CI184" s="33"/>
      <c r="CJ184" s="33"/>
      <c r="CK184" s="33"/>
      <c r="CL184" s="33"/>
      <c r="CM184" s="33"/>
      <c r="CN184" s="33"/>
      <c r="CO184" s="33"/>
      <c r="CP184" s="33"/>
    </row>
    <row r="185" spans="1:94" x14ac:dyDescent="0.25">
      <c r="A185" s="25" t="s">
        <v>144</v>
      </c>
      <c r="B185" s="25" t="s">
        <v>236</v>
      </c>
      <c r="C185" s="25" t="s">
        <v>482</v>
      </c>
      <c r="D185" s="25">
        <v>172</v>
      </c>
      <c r="E185" s="35" cm="1">
        <f t="array" ref="E185">IFERROR(INDEX($J$5:$AVX$5, _xlfn.AGGREGATE(15,6, COLUMN(J185:AVX185)-COLUMN(J185)+1 / (J185:AVX185="T"), F185)), "")</f>
        <v>46008</v>
      </c>
      <c r="F185" s="74">
        <f t="shared" si="22"/>
        <v>2</v>
      </c>
      <c r="G185" s="35" cm="1">
        <f t="array" ref="G185">IFERROR(INDEX($J$5:$AVW$5,_xlfn.AGGREGATE(14,6,(COLUMN($J185:$AVW185)-COLUMN($J185)+1)/($J185:$AVW185="T"),1)),"")</f>
        <v>46008</v>
      </c>
      <c r="H185" s="77">
        <f t="shared" si="23"/>
        <v>2</v>
      </c>
      <c r="I185" s="38" t="s">
        <v>10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25" t="s">
        <v>12</v>
      </c>
      <c r="AB185" s="27"/>
      <c r="AC185" s="27"/>
      <c r="AD185" s="27"/>
      <c r="AE185" s="28"/>
      <c r="AF185" s="27"/>
      <c r="AG185" s="27"/>
      <c r="AH185" s="29" t="s">
        <v>16</v>
      </c>
      <c r="AI185" s="30" t="s">
        <v>13</v>
      </c>
      <c r="AJ185" s="27"/>
      <c r="AK185" s="27"/>
      <c r="AL185" s="28"/>
      <c r="AM185" s="27"/>
      <c r="AN185" s="27"/>
      <c r="AO185" s="29" t="s">
        <v>14</v>
      </c>
      <c r="AP185" s="30" t="s">
        <v>11</v>
      </c>
      <c r="AQ185" s="37"/>
      <c r="AR185" s="27"/>
      <c r="AS185" s="28"/>
      <c r="AT185" s="27"/>
      <c r="AU185" s="29" t="s">
        <v>15</v>
      </c>
      <c r="AV185" s="27"/>
      <c r="AW185" s="27"/>
      <c r="AX185" s="25">
        <v>17</v>
      </c>
      <c r="AY185" s="33"/>
      <c r="AZ185" s="33"/>
      <c r="BA185" s="33"/>
      <c r="BB185" s="33"/>
      <c r="BC185" s="33"/>
      <c r="BD185" s="25" t="s">
        <v>12</v>
      </c>
      <c r="BE185" s="27"/>
      <c r="BF185" s="27"/>
      <c r="BG185" s="27"/>
      <c r="BH185" s="28"/>
      <c r="BI185" s="27"/>
      <c r="BJ185" s="27"/>
      <c r="BK185" s="29" t="s">
        <v>16</v>
      </c>
      <c r="BL185" s="30" t="s">
        <v>13</v>
      </c>
      <c r="BM185" s="27"/>
      <c r="BN185" s="27"/>
      <c r="BO185" s="28"/>
      <c r="BP185" s="27"/>
      <c r="BQ185" s="27"/>
      <c r="BR185" s="32" t="s">
        <v>14</v>
      </c>
      <c r="BS185" s="30" t="s">
        <v>11</v>
      </c>
      <c r="BT185" s="27"/>
      <c r="BU185" s="27"/>
      <c r="BV185" s="28"/>
      <c r="BW185" s="27"/>
      <c r="BX185" s="29" t="s">
        <v>15</v>
      </c>
      <c r="BY185" s="27"/>
      <c r="BZ185" s="27"/>
      <c r="CA185" s="25">
        <v>17</v>
      </c>
      <c r="CB185" s="33"/>
      <c r="CC185" s="33"/>
      <c r="CD185" s="33"/>
      <c r="CE185" s="33"/>
      <c r="CF185" s="33"/>
      <c r="CG185" s="33"/>
      <c r="CH185" s="33"/>
      <c r="CI185" s="33"/>
      <c r="CJ185" s="33"/>
      <c r="CK185" s="33"/>
      <c r="CL185" s="33"/>
      <c r="CM185" s="33"/>
      <c r="CN185" s="33"/>
      <c r="CO185" s="33"/>
      <c r="CP185" s="33"/>
    </row>
    <row r="186" spans="1:94" x14ac:dyDescent="0.25">
      <c r="A186" s="25" t="s">
        <v>144</v>
      </c>
      <c r="B186" s="25" t="s">
        <v>237</v>
      </c>
      <c r="C186" s="25" t="s">
        <v>483</v>
      </c>
      <c r="D186" s="25">
        <v>173</v>
      </c>
      <c r="E186" s="35" cm="1">
        <f t="array" ref="E186">IFERROR(INDEX($J$5:$AVX$5, _xlfn.AGGREGATE(15,6, COLUMN(J186:AVX186)-COLUMN(J186)+1 / (J186:AVX186="T"), F186)), "")</f>
        <v>46008</v>
      </c>
      <c r="F186" s="74">
        <f t="shared" si="22"/>
        <v>2</v>
      </c>
      <c r="G186" s="35" cm="1">
        <f t="array" ref="G186">IFERROR(INDEX($J$5:$AVW$5,_xlfn.AGGREGATE(14,6,(COLUMN($J186:$AVW186)-COLUMN($J186)+1)/($J186:$AVW186="T"),1)),"")</f>
        <v>46008</v>
      </c>
      <c r="H186" s="77">
        <f t="shared" si="23"/>
        <v>2</v>
      </c>
      <c r="I186" s="38" t="s">
        <v>10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25" t="s">
        <v>12</v>
      </c>
      <c r="AB186" s="27"/>
      <c r="AC186" s="27"/>
      <c r="AD186" s="27"/>
      <c r="AE186" s="28"/>
      <c r="AF186" s="27"/>
      <c r="AG186" s="27"/>
      <c r="AH186" s="29" t="s">
        <v>16</v>
      </c>
      <c r="AI186" s="30" t="s">
        <v>13</v>
      </c>
      <c r="AJ186" s="27"/>
      <c r="AK186" s="27"/>
      <c r="AL186" s="28"/>
      <c r="AM186" s="27"/>
      <c r="AN186" s="27"/>
      <c r="AO186" s="29" t="s">
        <v>14</v>
      </c>
      <c r="AP186" s="30" t="s">
        <v>11</v>
      </c>
      <c r="AQ186" s="37"/>
      <c r="AR186" s="27"/>
      <c r="AS186" s="28"/>
      <c r="AT186" s="27"/>
      <c r="AU186" s="29" t="s">
        <v>15</v>
      </c>
      <c r="AV186" s="27"/>
      <c r="AW186" s="27"/>
      <c r="AX186" s="25">
        <v>17</v>
      </c>
      <c r="AY186" s="33"/>
      <c r="AZ186" s="33"/>
      <c r="BA186" s="33"/>
      <c r="BB186" s="33"/>
      <c r="BC186" s="33"/>
      <c r="BD186" s="25" t="s">
        <v>12</v>
      </c>
      <c r="BE186" s="27"/>
      <c r="BF186" s="27"/>
      <c r="BG186" s="27"/>
      <c r="BH186" s="28"/>
      <c r="BI186" s="27"/>
      <c r="BJ186" s="27"/>
      <c r="BK186" s="29" t="s">
        <v>16</v>
      </c>
      <c r="BL186" s="30" t="s">
        <v>13</v>
      </c>
      <c r="BM186" s="27"/>
      <c r="BN186" s="27"/>
      <c r="BO186" s="28"/>
      <c r="BP186" s="27"/>
      <c r="BQ186" s="27"/>
      <c r="BR186" s="32" t="s">
        <v>14</v>
      </c>
      <c r="BS186" s="30" t="s">
        <v>11</v>
      </c>
      <c r="BT186" s="27"/>
      <c r="BU186" s="27"/>
      <c r="BV186" s="28"/>
      <c r="BW186" s="27"/>
      <c r="BX186" s="29" t="s">
        <v>15</v>
      </c>
      <c r="BY186" s="27"/>
      <c r="BZ186" s="27"/>
      <c r="CA186" s="25">
        <v>17</v>
      </c>
      <c r="CB186" s="33"/>
      <c r="CC186" s="33"/>
      <c r="CD186" s="33"/>
      <c r="CE186" s="33"/>
      <c r="CF186" s="33"/>
      <c r="CG186" s="33"/>
      <c r="CH186" s="33"/>
      <c r="CI186" s="33"/>
      <c r="CJ186" s="33"/>
      <c r="CK186" s="33"/>
      <c r="CL186" s="33"/>
      <c r="CM186" s="33"/>
      <c r="CN186" s="33"/>
      <c r="CO186" s="33"/>
      <c r="CP186" s="33"/>
    </row>
    <row r="187" spans="1:94" x14ac:dyDescent="0.25">
      <c r="A187" s="25" t="s">
        <v>144</v>
      </c>
      <c r="B187" s="25" t="s">
        <v>238</v>
      </c>
      <c r="C187" s="25" t="s">
        <v>484</v>
      </c>
      <c r="D187" s="25">
        <v>174</v>
      </c>
      <c r="E187" s="35" cm="1">
        <f t="array" ref="E187">IFERROR(INDEX($J$5:$AVX$5, _xlfn.AGGREGATE(15,6, COLUMN(J187:AVX187)-COLUMN(J187)+1 / (J187:AVX187="T"), F187)), "")</f>
        <v>46008</v>
      </c>
      <c r="F187" s="74">
        <f t="shared" si="22"/>
        <v>2</v>
      </c>
      <c r="G187" s="35" cm="1">
        <f t="array" ref="G187">IFERROR(INDEX($J$5:$AVW$5,_xlfn.AGGREGATE(14,6,(COLUMN($J187:$AVW187)-COLUMN($J187)+1)/($J187:$AVW187="T"),1)),"")</f>
        <v>46008</v>
      </c>
      <c r="H187" s="77">
        <f t="shared" si="23"/>
        <v>2</v>
      </c>
      <c r="I187" s="38" t="s">
        <v>10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25" t="s">
        <v>12</v>
      </c>
      <c r="AB187" s="27"/>
      <c r="AC187" s="27"/>
      <c r="AD187" s="27"/>
      <c r="AE187" s="28"/>
      <c r="AF187" s="27"/>
      <c r="AG187" s="27"/>
      <c r="AH187" s="29" t="s">
        <v>16</v>
      </c>
      <c r="AI187" s="30" t="s">
        <v>13</v>
      </c>
      <c r="AJ187" s="27"/>
      <c r="AK187" s="27"/>
      <c r="AL187" s="28"/>
      <c r="AM187" s="27"/>
      <c r="AN187" s="27"/>
      <c r="AO187" s="29" t="s">
        <v>14</v>
      </c>
      <c r="AP187" s="30" t="s">
        <v>11</v>
      </c>
      <c r="AQ187" s="37"/>
      <c r="AR187" s="27"/>
      <c r="AS187" s="28"/>
      <c r="AT187" s="27"/>
      <c r="AU187" s="29" t="s">
        <v>15</v>
      </c>
      <c r="AV187" s="27"/>
      <c r="AW187" s="27"/>
      <c r="AX187" s="25">
        <v>17</v>
      </c>
      <c r="AY187" s="33"/>
      <c r="AZ187" s="33"/>
      <c r="BA187" s="33"/>
      <c r="BB187" s="33"/>
      <c r="BC187" s="33"/>
      <c r="BD187" s="25" t="s">
        <v>12</v>
      </c>
      <c r="BE187" s="27"/>
      <c r="BF187" s="27"/>
      <c r="BG187" s="27"/>
      <c r="BH187" s="28"/>
      <c r="BI187" s="27"/>
      <c r="BJ187" s="27"/>
      <c r="BK187" s="29" t="s">
        <v>16</v>
      </c>
      <c r="BL187" s="30" t="s">
        <v>13</v>
      </c>
      <c r="BM187" s="27"/>
      <c r="BN187" s="27"/>
      <c r="BO187" s="28"/>
      <c r="BP187" s="27"/>
      <c r="BQ187" s="27"/>
      <c r="BR187" s="32" t="s">
        <v>14</v>
      </c>
      <c r="BS187" s="30" t="s">
        <v>11</v>
      </c>
      <c r="BT187" s="27"/>
      <c r="BU187" s="27"/>
      <c r="BV187" s="28"/>
      <c r="BW187" s="27"/>
      <c r="BX187" s="29" t="s">
        <v>15</v>
      </c>
      <c r="BY187" s="27"/>
      <c r="BZ187" s="27"/>
      <c r="CA187" s="25">
        <v>17</v>
      </c>
      <c r="CB187" s="33"/>
      <c r="CC187" s="33"/>
      <c r="CD187" s="33"/>
      <c r="CE187" s="33"/>
      <c r="CF187" s="33"/>
      <c r="CG187" s="33"/>
      <c r="CH187" s="33"/>
      <c r="CI187" s="33"/>
      <c r="CJ187" s="33"/>
      <c r="CK187" s="33"/>
      <c r="CL187" s="33"/>
      <c r="CM187" s="33"/>
      <c r="CN187" s="33"/>
      <c r="CO187" s="33"/>
      <c r="CP187" s="33"/>
    </row>
    <row r="188" spans="1:94" x14ac:dyDescent="0.25">
      <c r="A188" s="25" t="s">
        <v>144</v>
      </c>
      <c r="B188" s="25" t="s">
        <v>239</v>
      </c>
      <c r="C188" s="25" t="s">
        <v>485</v>
      </c>
      <c r="D188" s="25">
        <v>175</v>
      </c>
      <c r="E188" s="35" cm="1">
        <f t="array" ref="E188">IFERROR(INDEX($J$5:$AVX$5, _xlfn.AGGREGATE(15,6, COLUMN(J188:AVX188)-COLUMN(J188)+1 / (J188:AVX188="T"), F188)), "")</f>
        <v>46008</v>
      </c>
      <c r="F188" s="74">
        <f t="shared" si="22"/>
        <v>2</v>
      </c>
      <c r="G188" s="35" cm="1">
        <f t="array" ref="G188">IFERROR(INDEX($J$5:$AVW$5,_xlfn.AGGREGATE(14,6,(COLUMN($J188:$AVW188)-COLUMN($J188)+1)/($J188:$AVW188="T"),1)),"")</f>
        <v>46008</v>
      </c>
      <c r="H188" s="77">
        <f t="shared" si="23"/>
        <v>2</v>
      </c>
      <c r="I188" s="38" t="s">
        <v>10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25" t="s">
        <v>12</v>
      </c>
      <c r="AB188" s="27"/>
      <c r="AC188" s="27"/>
      <c r="AD188" s="27"/>
      <c r="AE188" s="28"/>
      <c r="AF188" s="27"/>
      <c r="AG188" s="27"/>
      <c r="AH188" s="29" t="s">
        <v>16</v>
      </c>
      <c r="AI188" s="30" t="s">
        <v>13</v>
      </c>
      <c r="AJ188" s="27"/>
      <c r="AK188" s="27"/>
      <c r="AL188" s="28"/>
      <c r="AM188" s="27"/>
      <c r="AN188" s="27"/>
      <c r="AO188" s="29" t="s">
        <v>14</v>
      </c>
      <c r="AP188" s="30" t="s">
        <v>11</v>
      </c>
      <c r="AQ188" s="37"/>
      <c r="AR188" s="27"/>
      <c r="AS188" s="28"/>
      <c r="AT188" s="27"/>
      <c r="AU188" s="29" t="s">
        <v>15</v>
      </c>
      <c r="AV188" s="27"/>
      <c r="AW188" s="27"/>
      <c r="AX188" s="25">
        <v>17</v>
      </c>
      <c r="AY188" s="33"/>
      <c r="AZ188" s="33"/>
      <c r="BA188" s="33"/>
      <c r="BB188" s="33"/>
      <c r="BC188" s="33"/>
      <c r="BD188" s="25" t="s">
        <v>12</v>
      </c>
      <c r="BE188" s="27"/>
      <c r="BF188" s="27"/>
      <c r="BG188" s="27"/>
      <c r="BH188" s="28"/>
      <c r="BI188" s="27"/>
      <c r="BJ188" s="27"/>
      <c r="BK188" s="29" t="s">
        <v>16</v>
      </c>
      <c r="BL188" s="30" t="s">
        <v>13</v>
      </c>
      <c r="BM188" s="27"/>
      <c r="BN188" s="27"/>
      <c r="BO188" s="28"/>
      <c r="BP188" s="27"/>
      <c r="BQ188" s="27"/>
      <c r="BR188" s="32" t="s">
        <v>14</v>
      </c>
      <c r="BS188" s="30" t="s">
        <v>11</v>
      </c>
      <c r="BT188" s="27"/>
      <c r="BU188" s="27"/>
      <c r="BV188" s="28"/>
      <c r="BW188" s="27"/>
      <c r="BX188" s="29" t="s">
        <v>15</v>
      </c>
      <c r="BY188" s="27"/>
      <c r="BZ188" s="27"/>
      <c r="CA188" s="25">
        <v>17</v>
      </c>
      <c r="CB188" s="33"/>
      <c r="CC188" s="33"/>
      <c r="CD188" s="33"/>
      <c r="CE188" s="33"/>
      <c r="CF188" s="33"/>
      <c r="CG188" s="33"/>
      <c r="CH188" s="33"/>
      <c r="CI188" s="33"/>
      <c r="CJ188" s="33"/>
      <c r="CK188" s="33"/>
      <c r="CL188" s="33"/>
      <c r="CM188" s="33"/>
      <c r="CN188" s="33"/>
      <c r="CO188" s="33"/>
      <c r="CP188" s="33"/>
    </row>
    <row r="189" spans="1:94" x14ac:dyDescent="0.25">
      <c r="A189" s="41" t="s">
        <v>144</v>
      </c>
      <c r="B189" s="41" t="s">
        <v>240</v>
      </c>
      <c r="C189" s="25" t="s">
        <v>486</v>
      </c>
      <c r="D189" s="25">
        <v>176</v>
      </c>
      <c r="E189" s="35" t="str" cm="1">
        <f t="array" ref="E189">IFERROR(INDEX($J$5:$AVX$5, _xlfn.AGGREGATE(15,6, COLUMN(J189:AVX189)-COLUMN(J189)+1 / (J189:AVX189="T"), F189)), "")</f>
        <v/>
      </c>
      <c r="F189" s="74">
        <f t="shared" si="22"/>
        <v>2</v>
      </c>
      <c r="G189" s="35" cm="1">
        <f t="array" ref="G189">IFERROR(INDEX($J$5:$AVW$5,_xlfn.AGGREGATE(14,6,(COLUMN($J189:$AVW189)-COLUMN($J189)+1)/($J189:$AVW189="T"),1)),"")</f>
        <v>45979</v>
      </c>
      <c r="H189" s="77">
        <f t="shared" si="23"/>
        <v>1</v>
      </c>
      <c r="I189" s="42" t="s">
        <v>10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25" t="s">
        <v>12</v>
      </c>
      <c r="AB189" s="27"/>
      <c r="AC189" s="27"/>
      <c r="AD189" s="27"/>
      <c r="AE189" s="28"/>
      <c r="AF189" s="27"/>
      <c r="AG189" s="27"/>
      <c r="AH189" s="29" t="s">
        <v>16</v>
      </c>
      <c r="AI189" s="30" t="s">
        <v>13</v>
      </c>
      <c r="AJ189" s="27"/>
      <c r="AK189" s="27"/>
      <c r="AL189" s="28"/>
      <c r="AM189" s="27"/>
      <c r="AN189" s="27"/>
      <c r="AO189" s="29" t="s">
        <v>14</v>
      </c>
      <c r="AP189" s="30" t="s">
        <v>11</v>
      </c>
      <c r="AQ189" s="37"/>
      <c r="AR189" s="27"/>
      <c r="AS189" s="28"/>
      <c r="AT189" s="27"/>
      <c r="AU189" s="29" t="s">
        <v>15</v>
      </c>
      <c r="AV189" s="27"/>
      <c r="AW189" s="27"/>
      <c r="AX189" s="25">
        <v>17</v>
      </c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/>
      <c r="CH189" s="33"/>
      <c r="CI189" s="33"/>
      <c r="CJ189" s="33"/>
      <c r="CK189" s="33"/>
      <c r="CL189" s="33"/>
      <c r="CM189" s="33"/>
      <c r="CN189" s="33"/>
      <c r="CO189" s="33"/>
      <c r="CP189" s="33"/>
    </row>
    <row r="190" spans="1:94" x14ac:dyDescent="0.25">
      <c r="A190" s="41" t="s">
        <v>144</v>
      </c>
      <c r="B190" s="41" t="s">
        <v>241</v>
      </c>
      <c r="C190" s="25" t="s">
        <v>487</v>
      </c>
      <c r="D190" s="25">
        <v>177</v>
      </c>
      <c r="E190" s="35" t="str" cm="1">
        <f t="array" ref="E190">IFERROR(INDEX($J$5:$AVX$5, _xlfn.AGGREGATE(15,6, COLUMN(J190:AVX190)-COLUMN(J190)+1 / (J190:AVX190="T"), F190)), "")</f>
        <v/>
      </c>
      <c r="F190" s="74">
        <f t="shared" si="22"/>
        <v>2</v>
      </c>
      <c r="G190" s="35" cm="1">
        <f t="array" ref="G190">IFERROR(INDEX($J$5:$AVW$5,_xlfn.AGGREGATE(14,6,(COLUMN($J190:$AVW190)-COLUMN($J190)+1)/($J190:$AVW190="T"),1)),"")</f>
        <v>45979</v>
      </c>
      <c r="H190" s="77">
        <f t="shared" si="23"/>
        <v>1</v>
      </c>
      <c r="I190" s="42" t="s">
        <v>10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25" t="s">
        <v>12</v>
      </c>
      <c r="AB190" s="27"/>
      <c r="AC190" s="27"/>
      <c r="AD190" s="27"/>
      <c r="AE190" s="28"/>
      <c r="AF190" s="27"/>
      <c r="AG190" s="27"/>
      <c r="AH190" s="29" t="s">
        <v>16</v>
      </c>
      <c r="AI190" s="30" t="s">
        <v>13</v>
      </c>
      <c r="AJ190" s="27"/>
      <c r="AK190" s="27"/>
      <c r="AL190" s="28"/>
      <c r="AM190" s="27"/>
      <c r="AN190" s="27"/>
      <c r="AO190" s="29" t="s">
        <v>14</v>
      </c>
      <c r="AP190" s="30" t="s">
        <v>11</v>
      </c>
      <c r="AQ190" s="37"/>
      <c r="AR190" s="27"/>
      <c r="AS190" s="28"/>
      <c r="AT190" s="27"/>
      <c r="AU190" s="29" t="s">
        <v>15</v>
      </c>
      <c r="AV190" s="27"/>
      <c r="AW190" s="27"/>
      <c r="AX190" s="25">
        <v>17</v>
      </c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/>
      <c r="CH190" s="33"/>
      <c r="CI190" s="33"/>
      <c r="CJ190" s="33"/>
      <c r="CK190" s="33"/>
      <c r="CL190" s="33"/>
      <c r="CM190" s="33"/>
      <c r="CN190" s="33"/>
      <c r="CO190" s="33"/>
      <c r="CP190" s="33"/>
    </row>
    <row r="191" spans="1:94" x14ac:dyDescent="0.25">
      <c r="A191" s="41" t="s">
        <v>144</v>
      </c>
      <c r="B191" s="41" t="s">
        <v>249</v>
      </c>
      <c r="C191" s="25" t="s">
        <v>488</v>
      </c>
      <c r="D191" s="25">
        <v>178</v>
      </c>
      <c r="E191" s="35" t="str" cm="1">
        <f t="array" ref="E191">IFERROR(INDEX($J$5:$AVX$5, _xlfn.AGGREGATE(15,6, COLUMN(J191:AVX191)-COLUMN(J191)+1 / (J191:AVX191="T"), F191)), "")</f>
        <v/>
      </c>
      <c r="F191" s="74">
        <f t="shared" si="22"/>
        <v>2</v>
      </c>
      <c r="G191" s="35" t="str" cm="1">
        <f t="array" ref="G191">IFERROR(INDEX($J$5:$AVW$5,_xlfn.AGGREGATE(14,6,(COLUMN($J191:$AVW191)-COLUMN($J191)+1)/($J191:$AVW191="T"),1)),"")</f>
        <v/>
      </c>
      <c r="H191" s="77">
        <f t="shared" si="23"/>
        <v>0</v>
      </c>
      <c r="I191" s="42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/>
      <c r="CH191" s="33"/>
      <c r="CI191" s="33"/>
      <c r="CJ191" s="33"/>
      <c r="CK191" s="33"/>
      <c r="CL191" s="33"/>
      <c r="CM191" s="33"/>
      <c r="CN191" s="33"/>
      <c r="CO191" s="33"/>
      <c r="CP191" s="33"/>
    </row>
    <row r="192" spans="1:94" x14ac:dyDescent="0.25">
      <c r="A192" s="25" t="s">
        <v>144</v>
      </c>
      <c r="B192" s="25" t="s">
        <v>250</v>
      </c>
      <c r="C192" s="25" t="s">
        <v>489</v>
      </c>
      <c r="D192" s="25">
        <v>179</v>
      </c>
      <c r="E192" s="35" cm="1">
        <f t="array" ref="E192">IFERROR(INDEX($J$5:$AVX$5, _xlfn.AGGREGATE(15,6, COLUMN(J192:AVX192)-COLUMN(J192)+1 / (J192:AVX192="T"), F192)), "")</f>
        <v>46005</v>
      </c>
      <c r="F192" s="74">
        <f t="shared" si="22"/>
        <v>2</v>
      </c>
      <c r="G192" s="35" cm="1">
        <f t="array" ref="G192">IFERROR(INDEX($J$5:$AVW$5,_xlfn.AGGREGATE(14,6,(COLUMN($J192:$AVW192)-COLUMN($J192)+1)/($J192:$AVW192="T"),1)),"")</f>
        <v>46005</v>
      </c>
      <c r="H192" s="77">
        <f t="shared" si="23"/>
        <v>2</v>
      </c>
      <c r="I192" s="38" t="s">
        <v>10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25" t="s">
        <v>12</v>
      </c>
      <c r="Y192" s="27"/>
      <c r="Z192" s="27"/>
      <c r="AA192" s="27"/>
      <c r="AB192" s="28"/>
      <c r="AC192" s="27"/>
      <c r="AD192" s="27"/>
      <c r="AE192" s="29" t="s">
        <v>16</v>
      </c>
      <c r="AF192" s="30" t="s">
        <v>13</v>
      </c>
      <c r="AG192" s="27"/>
      <c r="AH192" s="27"/>
      <c r="AI192" s="28"/>
      <c r="AJ192" s="27"/>
      <c r="AK192" s="27"/>
      <c r="AL192" s="32" t="s">
        <v>14</v>
      </c>
      <c r="AM192" s="30" t="s">
        <v>11</v>
      </c>
      <c r="AN192" s="27"/>
      <c r="AO192" s="27"/>
      <c r="AP192" s="28"/>
      <c r="AQ192" s="27"/>
      <c r="AR192" s="29" t="s">
        <v>15</v>
      </c>
      <c r="AS192" s="27"/>
      <c r="AT192" s="27"/>
      <c r="AU192" s="25">
        <v>17</v>
      </c>
      <c r="AV192" s="33"/>
      <c r="AW192" s="33"/>
      <c r="AX192" s="33"/>
      <c r="AY192" s="33"/>
      <c r="AZ192" s="33"/>
      <c r="BA192" s="25" t="s">
        <v>12</v>
      </c>
      <c r="BB192" s="27"/>
      <c r="BC192" s="27"/>
      <c r="BD192" s="27"/>
      <c r="BE192" s="28"/>
      <c r="BF192" s="27"/>
      <c r="BG192" s="27"/>
      <c r="BH192" s="29" t="s">
        <v>16</v>
      </c>
      <c r="BI192" s="30" t="s">
        <v>13</v>
      </c>
      <c r="BJ192" s="27"/>
      <c r="BK192" s="27"/>
      <c r="BL192" s="28"/>
      <c r="BM192" s="27"/>
      <c r="BN192" s="27"/>
      <c r="BO192" s="32" t="s">
        <v>14</v>
      </c>
      <c r="BP192" s="30" t="s">
        <v>11</v>
      </c>
      <c r="BQ192" s="27"/>
      <c r="BR192" s="27"/>
      <c r="BS192" s="28"/>
      <c r="BT192" s="27"/>
      <c r="BU192" s="29" t="s">
        <v>15</v>
      </c>
      <c r="BV192" s="27"/>
      <c r="BW192" s="27"/>
      <c r="BX192" s="25">
        <v>17</v>
      </c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</row>
    <row r="193" spans="1:94" s="43" customFormat="1" x14ac:dyDescent="0.25">
      <c r="A193" s="25" t="s">
        <v>144</v>
      </c>
      <c r="B193" s="25" t="s">
        <v>251</v>
      </c>
      <c r="C193" s="25" t="s">
        <v>490</v>
      </c>
      <c r="D193" s="25">
        <v>180</v>
      </c>
      <c r="E193" s="35" cm="1">
        <f t="array" ref="E193">IFERROR(INDEX($J$5:$AVX$5, _xlfn.AGGREGATE(15,6, COLUMN(J193:AVX193)-COLUMN(J193)+1 / (J193:AVX193="T"), F193)), "")</f>
        <v>46005</v>
      </c>
      <c r="F193" s="74">
        <f t="shared" si="22"/>
        <v>2</v>
      </c>
      <c r="G193" s="35" cm="1">
        <f t="array" ref="G193">IFERROR(INDEX($J$5:$AVW$5,_xlfn.AGGREGATE(14,6,(COLUMN($J193:$AVW193)-COLUMN($J193)+1)/($J193:$AVW193="T"),1)),"")</f>
        <v>46005</v>
      </c>
      <c r="H193" s="77">
        <f t="shared" si="23"/>
        <v>2</v>
      </c>
      <c r="I193" s="38" t="s">
        <v>10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25" t="s">
        <v>12</v>
      </c>
      <c r="Y193" s="27"/>
      <c r="Z193" s="27"/>
      <c r="AA193" s="27"/>
      <c r="AB193" s="28"/>
      <c r="AC193" s="27"/>
      <c r="AD193" s="27"/>
      <c r="AE193" s="29" t="s">
        <v>16</v>
      </c>
      <c r="AF193" s="30" t="s">
        <v>13</v>
      </c>
      <c r="AG193" s="27"/>
      <c r="AH193" s="27"/>
      <c r="AI193" s="28"/>
      <c r="AJ193" s="27"/>
      <c r="AK193" s="27"/>
      <c r="AL193" s="32" t="s">
        <v>14</v>
      </c>
      <c r="AM193" s="30" t="s">
        <v>11</v>
      </c>
      <c r="AN193" s="27"/>
      <c r="AO193" s="27"/>
      <c r="AP193" s="28"/>
      <c r="AQ193" s="27"/>
      <c r="AR193" s="29" t="s">
        <v>15</v>
      </c>
      <c r="AS193" s="27"/>
      <c r="AT193" s="27"/>
      <c r="AU193" s="25">
        <v>17</v>
      </c>
      <c r="AV193" s="33"/>
      <c r="AW193" s="33"/>
      <c r="AX193" s="33"/>
      <c r="AY193" s="33"/>
      <c r="AZ193" s="33"/>
      <c r="BA193" s="25" t="s">
        <v>12</v>
      </c>
      <c r="BB193" s="27"/>
      <c r="BC193" s="27"/>
      <c r="BD193" s="27"/>
      <c r="BE193" s="28"/>
      <c r="BF193" s="27"/>
      <c r="BG193" s="27"/>
      <c r="BH193" s="29" t="s">
        <v>16</v>
      </c>
      <c r="BI193" s="30" t="s">
        <v>13</v>
      </c>
      <c r="BJ193" s="27"/>
      <c r="BK193" s="27"/>
      <c r="BL193" s="28"/>
      <c r="BM193" s="27"/>
      <c r="BN193" s="27"/>
      <c r="BO193" s="32" t="s">
        <v>14</v>
      </c>
      <c r="BP193" s="30" t="s">
        <v>11</v>
      </c>
      <c r="BQ193" s="27"/>
      <c r="BR193" s="27"/>
      <c r="BS193" s="28"/>
      <c r="BT193" s="27"/>
      <c r="BU193" s="29" t="s">
        <v>15</v>
      </c>
      <c r="BV193" s="27"/>
      <c r="BW193" s="27"/>
      <c r="BX193" s="25">
        <v>17</v>
      </c>
      <c r="BY193" s="33"/>
      <c r="BZ193" s="33"/>
      <c r="CA193" s="33"/>
      <c r="CB193" s="33"/>
      <c r="CC193" s="33"/>
      <c r="CD193" s="33"/>
      <c r="CE193" s="33"/>
      <c r="CF193" s="33"/>
      <c r="CG193" s="33"/>
      <c r="CH193" s="33"/>
      <c r="CI193" s="33"/>
      <c r="CJ193" s="33"/>
      <c r="CK193" s="33"/>
      <c r="CL193" s="33"/>
      <c r="CM193" s="33"/>
      <c r="CN193" s="33"/>
      <c r="CO193" s="33"/>
      <c r="CP193" s="33"/>
    </row>
    <row r="194" spans="1:94" s="48" customFormat="1" x14ac:dyDescent="0.25">
      <c r="A194" s="25" t="s">
        <v>144</v>
      </c>
      <c r="B194" s="25" t="s">
        <v>252</v>
      </c>
      <c r="C194" s="25" t="s">
        <v>491</v>
      </c>
      <c r="D194" s="25">
        <v>181</v>
      </c>
      <c r="E194" s="35" cm="1">
        <f t="array" ref="E194">IFERROR(INDEX($J$5:$AVX$5, _xlfn.AGGREGATE(15,6, COLUMN(J194:AVX194)-COLUMN(J194)+1 / (J194:AVX194="T"), F194)), "")</f>
        <v>46005</v>
      </c>
      <c r="F194" s="74">
        <f t="shared" si="22"/>
        <v>2</v>
      </c>
      <c r="G194" s="35" cm="1">
        <f t="array" ref="G194">IFERROR(INDEX($J$5:$AVW$5,_xlfn.AGGREGATE(14,6,(COLUMN($J194:$AVW194)-COLUMN($J194)+1)/($J194:$AVW194="T"),1)),"")</f>
        <v>46005</v>
      </c>
      <c r="H194" s="77">
        <f t="shared" si="23"/>
        <v>2</v>
      </c>
      <c r="I194" s="38" t="s">
        <v>10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25" t="s">
        <v>12</v>
      </c>
      <c r="Y194" s="27"/>
      <c r="Z194" s="27"/>
      <c r="AA194" s="27"/>
      <c r="AB194" s="28"/>
      <c r="AC194" s="27"/>
      <c r="AD194" s="27"/>
      <c r="AE194" s="29" t="s">
        <v>16</v>
      </c>
      <c r="AF194" s="30" t="s">
        <v>13</v>
      </c>
      <c r="AG194" s="27"/>
      <c r="AH194" s="27"/>
      <c r="AI194" s="28"/>
      <c r="AJ194" s="27"/>
      <c r="AK194" s="27"/>
      <c r="AL194" s="29" t="s">
        <v>14</v>
      </c>
      <c r="AM194" s="30" t="s">
        <v>11</v>
      </c>
      <c r="AN194" s="37"/>
      <c r="AO194" s="27"/>
      <c r="AP194" s="28"/>
      <c r="AQ194" s="27"/>
      <c r="AR194" s="29" t="s">
        <v>15</v>
      </c>
      <c r="AS194" s="27"/>
      <c r="AT194" s="27"/>
      <c r="AU194" s="25">
        <v>17</v>
      </c>
      <c r="AV194" s="33"/>
      <c r="AW194" s="33"/>
      <c r="AX194" s="33"/>
      <c r="AY194" s="33"/>
      <c r="AZ194" s="33"/>
      <c r="BA194" s="25" t="s">
        <v>12</v>
      </c>
      <c r="BB194" s="27"/>
      <c r="BC194" s="27"/>
      <c r="BD194" s="27"/>
      <c r="BE194" s="28"/>
      <c r="BF194" s="27"/>
      <c r="BG194" s="27"/>
      <c r="BH194" s="29" t="s">
        <v>16</v>
      </c>
      <c r="BI194" s="30" t="s">
        <v>13</v>
      </c>
      <c r="BJ194" s="27"/>
      <c r="BK194" s="27"/>
      <c r="BL194" s="28"/>
      <c r="BM194" s="27"/>
      <c r="BN194" s="27"/>
      <c r="BO194" s="32" t="s">
        <v>14</v>
      </c>
      <c r="BP194" s="30" t="s">
        <v>11</v>
      </c>
      <c r="BQ194" s="27"/>
      <c r="BR194" s="27"/>
      <c r="BS194" s="28"/>
      <c r="BT194" s="27"/>
      <c r="BU194" s="29" t="s">
        <v>15</v>
      </c>
      <c r="BV194" s="27"/>
      <c r="BW194" s="27"/>
      <c r="BX194" s="25">
        <v>17</v>
      </c>
      <c r="BY194" s="33"/>
      <c r="BZ194" s="33"/>
      <c r="CA194" s="33"/>
      <c r="CB194" s="33"/>
      <c r="CC194" s="33"/>
      <c r="CD194" s="33"/>
      <c r="CE194" s="33"/>
      <c r="CF194" s="33"/>
      <c r="CG194" s="33"/>
      <c r="CH194" s="33"/>
      <c r="CI194" s="33"/>
      <c r="CJ194" s="33"/>
      <c r="CK194" s="33"/>
      <c r="CL194" s="33"/>
      <c r="CM194" s="33"/>
      <c r="CN194" s="33"/>
      <c r="CO194" s="33"/>
      <c r="CP194" s="33"/>
    </row>
    <row r="195" spans="1:94" s="48" customFormat="1" x14ac:dyDescent="0.25">
      <c r="A195" s="25" t="s">
        <v>144</v>
      </c>
      <c r="B195" s="25" t="s">
        <v>253</v>
      </c>
      <c r="C195" s="25" t="s">
        <v>492</v>
      </c>
      <c r="D195" s="25">
        <v>182</v>
      </c>
      <c r="E195" s="35" cm="1">
        <f t="array" ref="E195">IFERROR(INDEX($J$5:$AVX$5, _xlfn.AGGREGATE(15,6, COLUMN(J195:AVX195)-COLUMN(J195)+1 / (J195:AVX195="T"), F195)), "")</f>
        <v>46005</v>
      </c>
      <c r="F195" s="74">
        <f t="shared" si="22"/>
        <v>2</v>
      </c>
      <c r="G195" s="35" cm="1">
        <f t="array" ref="G195">IFERROR(INDEX($J$5:$AVW$5,_xlfn.AGGREGATE(14,6,(COLUMN($J195:$AVW195)-COLUMN($J195)+1)/($J195:$AVW195="T"),1)),"")</f>
        <v>46005</v>
      </c>
      <c r="H195" s="77">
        <f t="shared" si="23"/>
        <v>2</v>
      </c>
      <c r="I195" s="38" t="s">
        <v>10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25" t="s">
        <v>12</v>
      </c>
      <c r="Y195" s="27"/>
      <c r="Z195" s="27"/>
      <c r="AA195" s="27"/>
      <c r="AB195" s="28"/>
      <c r="AC195" s="27"/>
      <c r="AD195" s="27"/>
      <c r="AE195" s="29" t="s">
        <v>16</v>
      </c>
      <c r="AF195" s="30" t="s">
        <v>13</v>
      </c>
      <c r="AG195" s="27"/>
      <c r="AH195" s="27"/>
      <c r="AI195" s="28"/>
      <c r="AJ195" s="27"/>
      <c r="AK195" s="27"/>
      <c r="AL195" s="29" t="s">
        <v>14</v>
      </c>
      <c r="AM195" s="30" t="s">
        <v>11</v>
      </c>
      <c r="AN195" s="37"/>
      <c r="AO195" s="27"/>
      <c r="AP195" s="28"/>
      <c r="AQ195" s="27"/>
      <c r="AR195" s="29" t="s">
        <v>15</v>
      </c>
      <c r="AS195" s="27"/>
      <c r="AT195" s="27"/>
      <c r="AU195" s="25">
        <v>17</v>
      </c>
      <c r="AV195" s="33"/>
      <c r="AW195" s="33"/>
      <c r="AX195" s="33"/>
      <c r="AY195" s="33"/>
      <c r="AZ195" s="33"/>
      <c r="BA195" s="25" t="s">
        <v>12</v>
      </c>
      <c r="BB195" s="27"/>
      <c r="BC195" s="27"/>
      <c r="BD195" s="27"/>
      <c r="BE195" s="28"/>
      <c r="BF195" s="27"/>
      <c r="BG195" s="27"/>
      <c r="BH195" s="29" t="s">
        <v>16</v>
      </c>
      <c r="BI195" s="30" t="s">
        <v>13</v>
      </c>
      <c r="BJ195" s="27"/>
      <c r="BK195" s="27"/>
      <c r="BL195" s="28"/>
      <c r="BM195" s="27"/>
      <c r="BN195" s="27"/>
      <c r="BO195" s="32" t="s">
        <v>14</v>
      </c>
      <c r="BP195" s="30" t="s">
        <v>11</v>
      </c>
      <c r="BQ195" s="27"/>
      <c r="BR195" s="27"/>
      <c r="BS195" s="28"/>
      <c r="BT195" s="27"/>
      <c r="BU195" s="29" t="s">
        <v>15</v>
      </c>
      <c r="BV195" s="27"/>
      <c r="BW195" s="27"/>
      <c r="BX195" s="25">
        <v>17</v>
      </c>
      <c r="BY195" s="33"/>
      <c r="BZ195" s="33"/>
      <c r="CA195" s="33"/>
      <c r="CB195" s="33"/>
      <c r="CC195" s="33"/>
      <c r="CD195" s="33"/>
      <c r="CE195" s="33"/>
      <c r="CF195" s="33"/>
      <c r="CG195" s="33"/>
      <c r="CH195" s="33"/>
      <c r="CI195" s="33"/>
      <c r="CJ195" s="33"/>
      <c r="CK195" s="33"/>
      <c r="CL195" s="33"/>
      <c r="CM195" s="33"/>
      <c r="CN195" s="33"/>
      <c r="CO195" s="33"/>
      <c r="CP195" s="33"/>
    </row>
    <row r="196" spans="1:94" s="48" customFormat="1" x14ac:dyDescent="0.25">
      <c r="A196" s="25" t="s">
        <v>144</v>
      </c>
      <c r="B196" s="25" t="s">
        <v>254</v>
      </c>
      <c r="C196" s="25" t="s">
        <v>493</v>
      </c>
      <c r="D196" s="25">
        <v>183</v>
      </c>
      <c r="E196" s="35" cm="1">
        <f t="array" ref="E196">IFERROR(INDEX($J$5:$AVX$5, _xlfn.AGGREGATE(15,6, COLUMN(J196:AVX196)-COLUMN(J196)+1 / (J196:AVX196="T"), F196)), "")</f>
        <v>46005</v>
      </c>
      <c r="F196" s="74">
        <f t="shared" si="22"/>
        <v>2</v>
      </c>
      <c r="G196" s="35" cm="1">
        <f t="array" ref="G196">IFERROR(INDEX($J$5:$AVW$5,_xlfn.AGGREGATE(14,6,(COLUMN($J196:$AVW196)-COLUMN($J196)+1)/($J196:$AVW196="T"),1)),"")</f>
        <v>46005</v>
      </c>
      <c r="H196" s="77">
        <f t="shared" si="23"/>
        <v>2</v>
      </c>
      <c r="I196" s="38" t="s">
        <v>10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25" t="s">
        <v>12</v>
      </c>
      <c r="Y196" s="27"/>
      <c r="Z196" s="27"/>
      <c r="AA196" s="27"/>
      <c r="AB196" s="28"/>
      <c r="AC196" s="27"/>
      <c r="AD196" s="27"/>
      <c r="AE196" s="29" t="s">
        <v>16</v>
      </c>
      <c r="AF196" s="30" t="s">
        <v>13</v>
      </c>
      <c r="AG196" s="27"/>
      <c r="AH196" s="27"/>
      <c r="AI196" s="28"/>
      <c r="AJ196" s="27"/>
      <c r="AK196" s="27"/>
      <c r="AL196" s="29" t="s">
        <v>14</v>
      </c>
      <c r="AM196" s="30" t="s">
        <v>11</v>
      </c>
      <c r="AN196" s="37"/>
      <c r="AO196" s="27"/>
      <c r="AP196" s="28"/>
      <c r="AQ196" s="27"/>
      <c r="AR196" s="29" t="s">
        <v>15</v>
      </c>
      <c r="AS196" s="27"/>
      <c r="AT196" s="27"/>
      <c r="AU196" s="25">
        <v>17</v>
      </c>
      <c r="AV196" s="33"/>
      <c r="AW196" s="33"/>
      <c r="AX196" s="33"/>
      <c r="AY196" s="33"/>
      <c r="AZ196" s="33"/>
      <c r="BA196" s="25" t="s">
        <v>12</v>
      </c>
      <c r="BB196" s="27"/>
      <c r="BC196" s="27"/>
      <c r="BD196" s="27"/>
      <c r="BE196" s="28"/>
      <c r="BF196" s="27"/>
      <c r="BG196" s="27"/>
      <c r="BH196" s="29" t="s">
        <v>16</v>
      </c>
      <c r="BI196" s="30" t="s">
        <v>13</v>
      </c>
      <c r="BJ196" s="27"/>
      <c r="BK196" s="27"/>
      <c r="BL196" s="28"/>
      <c r="BM196" s="27"/>
      <c r="BN196" s="27"/>
      <c r="BO196" s="32" t="s">
        <v>14</v>
      </c>
      <c r="BP196" s="30" t="s">
        <v>11</v>
      </c>
      <c r="BQ196" s="27"/>
      <c r="BR196" s="27"/>
      <c r="BS196" s="28"/>
      <c r="BT196" s="27"/>
      <c r="BU196" s="29" t="s">
        <v>15</v>
      </c>
      <c r="BV196" s="27"/>
      <c r="BW196" s="27"/>
      <c r="BX196" s="25">
        <v>17</v>
      </c>
      <c r="BY196" s="33"/>
      <c r="BZ196" s="33"/>
      <c r="CA196" s="33"/>
      <c r="CB196" s="33"/>
      <c r="CC196" s="33"/>
      <c r="CD196" s="33"/>
      <c r="CE196" s="33"/>
      <c r="CF196" s="33"/>
      <c r="CG196" s="33"/>
      <c r="CH196" s="33"/>
      <c r="CI196" s="33"/>
      <c r="CJ196" s="33"/>
      <c r="CK196" s="33"/>
      <c r="CL196" s="33"/>
      <c r="CM196" s="33"/>
      <c r="CN196" s="33"/>
      <c r="CO196" s="33"/>
      <c r="CP196" s="33"/>
    </row>
    <row r="197" spans="1:94" s="48" customFormat="1" x14ac:dyDescent="0.25">
      <c r="A197" s="25" t="s">
        <v>144</v>
      </c>
      <c r="B197" s="25" t="s">
        <v>255</v>
      </c>
      <c r="C197" s="25" t="s">
        <v>494</v>
      </c>
      <c r="D197" s="25">
        <v>184</v>
      </c>
      <c r="E197" s="35" cm="1">
        <f t="array" ref="E197">IFERROR(INDEX($J$5:$AVX$5, _xlfn.AGGREGATE(15,6, COLUMN(J197:AVX197)-COLUMN(J197)+1 / (J197:AVX197="T"), F197)), "")</f>
        <v>46005</v>
      </c>
      <c r="F197" s="74">
        <f t="shared" si="22"/>
        <v>2</v>
      </c>
      <c r="G197" s="35" cm="1">
        <f t="array" ref="G197">IFERROR(INDEX($J$5:$AVW$5,_xlfn.AGGREGATE(14,6,(COLUMN($J197:$AVW197)-COLUMN($J197)+1)/($J197:$AVW197="T"),1)),"")</f>
        <v>46005</v>
      </c>
      <c r="H197" s="77">
        <f t="shared" si="23"/>
        <v>2</v>
      </c>
      <c r="I197" s="38" t="s">
        <v>10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25" t="s">
        <v>12</v>
      </c>
      <c r="Y197" s="27"/>
      <c r="Z197" s="27"/>
      <c r="AA197" s="27"/>
      <c r="AB197" s="28"/>
      <c r="AC197" s="27"/>
      <c r="AD197" s="27"/>
      <c r="AE197" s="29" t="s">
        <v>16</v>
      </c>
      <c r="AF197" s="30" t="s">
        <v>13</v>
      </c>
      <c r="AG197" s="27"/>
      <c r="AH197" s="27"/>
      <c r="AI197" s="28"/>
      <c r="AJ197" s="27"/>
      <c r="AK197" s="27"/>
      <c r="AL197" s="29" t="s">
        <v>14</v>
      </c>
      <c r="AM197" s="30" t="s">
        <v>11</v>
      </c>
      <c r="AN197" s="37"/>
      <c r="AO197" s="27"/>
      <c r="AP197" s="28"/>
      <c r="AQ197" s="27"/>
      <c r="AR197" s="29" t="s">
        <v>15</v>
      </c>
      <c r="AS197" s="27"/>
      <c r="AT197" s="27"/>
      <c r="AU197" s="25">
        <v>17</v>
      </c>
      <c r="AV197" s="33"/>
      <c r="AW197" s="33"/>
      <c r="AX197" s="33"/>
      <c r="AY197" s="33"/>
      <c r="AZ197" s="33"/>
      <c r="BA197" s="25" t="s">
        <v>12</v>
      </c>
      <c r="BB197" s="27"/>
      <c r="BC197" s="27"/>
      <c r="BD197" s="27"/>
      <c r="BE197" s="28"/>
      <c r="BF197" s="27"/>
      <c r="BG197" s="27"/>
      <c r="BH197" s="29" t="s">
        <v>16</v>
      </c>
      <c r="BI197" s="30" t="s">
        <v>13</v>
      </c>
      <c r="BJ197" s="27"/>
      <c r="BK197" s="27"/>
      <c r="BL197" s="28"/>
      <c r="BM197" s="27"/>
      <c r="BN197" s="27"/>
      <c r="BO197" s="32" t="s">
        <v>14</v>
      </c>
      <c r="BP197" s="30" t="s">
        <v>11</v>
      </c>
      <c r="BQ197" s="27"/>
      <c r="BR197" s="27"/>
      <c r="BS197" s="28"/>
      <c r="BT197" s="27"/>
      <c r="BU197" s="29" t="s">
        <v>15</v>
      </c>
      <c r="BV197" s="27"/>
      <c r="BW197" s="27"/>
      <c r="BX197" s="25">
        <v>17</v>
      </c>
      <c r="BY197" s="33"/>
      <c r="BZ197" s="33"/>
      <c r="CA197" s="33"/>
      <c r="CB197" s="33"/>
      <c r="CC197" s="33"/>
      <c r="CD197" s="33"/>
      <c r="CE197" s="33"/>
      <c r="CF197" s="33"/>
      <c r="CG197" s="33"/>
      <c r="CH197" s="33"/>
      <c r="CI197" s="33"/>
      <c r="CJ197" s="33"/>
      <c r="CK197" s="33"/>
      <c r="CL197" s="33"/>
      <c r="CM197" s="33"/>
      <c r="CN197" s="33"/>
      <c r="CO197" s="33"/>
      <c r="CP197" s="33"/>
    </row>
    <row r="198" spans="1:94" s="48" customFormat="1" x14ac:dyDescent="0.25">
      <c r="A198" s="25" t="s">
        <v>144</v>
      </c>
      <c r="B198" s="25" t="s">
        <v>256</v>
      </c>
      <c r="C198" s="25" t="s">
        <v>495</v>
      </c>
      <c r="D198" s="25">
        <v>185</v>
      </c>
      <c r="E198" s="35" cm="1">
        <f t="array" ref="E198">IFERROR(INDEX($J$5:$AVX$5, _xlfn.AGGREGATE(15,6, COLUMN(J198:AVX198)-COLUMN(J198)+1 / (J198:AVX198="T"), F198)), "")</f>
        <v>46005</v>
      </c>
      <c r="F198" s="74">
        <f t="shared" si="22"/>
        <v>2</v>
      </c>
      <c r="G198" s="35" cm="1">
        <f t="array" ref="G198">IFERROR(INDEX($J$5:$AVW$5,_xlfn.AGGREGATE(14,6,(COLUMN($J198:$AVW198)-COLUMN($J198)+1)/($J198:$AVW198="T"),1)),"")</f>
        <v>46005</v>
      </c>
      <c r="H198" s="77">
        <f t="shared" si="23"/>
        <v>2</v>
      </c>
      <c r="I198" s="38" t="s">
        <v>10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25" t="s">
        <v>12</v>
      </c>
      <c r="Y198" s="27"/>
      <c r="Z198" s="27"/>
      <c r="AA198" s="27"/>
      <c r="AB198" s="28"/>
      <c r="AC198" s="27"/>
      <c r="AD198" s="27"/>
      <c r="AE198" s="29" t="s">
        <v>16</v>
      </c>
      <c r="AF198" s="30" t="s">
        <v>13</v>
      </c>
      <c r="AG198" s="27"/>
      <c r="AH198" s="27"/>
      <c r="AI198" s="28"/>
      <c r="AJ198" s="27"/>
      <c r="AK198" s="27"/>
      <c r="AL198" s="29" t="s">
        <v>14</v>
      </c>
      <c r="AM198" s="30" t="s">
        <v>11</v>
      </c>
      <c r="AN198" s="37"/>
      <c r="AO198" s="27"/>
      <c r="AP198" s="28"/>
      <c r="AQ198" s="27"/>
      <c r="AR198" s="29" t="s">
        <v>15</v>
      </c>
      <c r="AS198" s="27"/>
      <c r="AT198" s="27"/>
      <c r="AU198" s="25">
        <v>17</v>
      </c>
      <c r="AV198" s="33"/>
      <c r="AW198" s="33"/>
      <c r="AX198" s="33"/>
      <c r="AY198" s="33"/>
      <c r="AZ198" s="33"/>
      <c r="BA198" s="25" t="s">
        <v>12</v>
      </c>
      <c r="BB198" s="27"/>
      <c r="BC198" s="27"/>
      <c r="BD198" s="27"/>
      <c r="BE198" s="28"/>
      <c r="BF198" s="27"/>
      <c r="BG198" s="27"/>
      <c r="BH198" s="29" t="s">
        <v>16</v>
      </c>
      <c r="BI198" s="30" t="s">
        <v>13</v>
      </c>
      <c r="BJ198" s="27"/>
      <c r="BK198" s="27"/>
      <c r="BL198" s="28"/>
      <c r="BM198" s="27"/>
      <c r="BN198" s="27"/>
      <c r="BO198" s="32" t="s">
        <v>14</v>
      </c>
      <c r="BP198" s="30" t="s">
        <v>11</v>
      </c>
      <c r="BQ198" s="27"/>
      <c r="BR198" s="27"/>
      <c r="BS198" s="28"/>
      <c r="BT198" s="27"/>
      <c r="BU198" s="29" t="s">
        <v>15</v>
      </c>
      <c r="BV198" s="27"/>
      <c r="BW198" s="27"/>
      <c r="BX198" s="25">
        <v>17</v>
      </c>
      <c r="BY198" s="33"/>
      <c r="BZ198" s="33"/>
      <c r="CA198" s="33"/>
      <c r="CB198" s="33"/>
      <c r="CC198" s="33"/>
      <c r="CD198" s="33"/>
      <c r="CE198" s="33"/>
      <c r="CF198" s="33"/>
      <c r="CG198" s="33"/>
      <c r="CH198" s="33"/>
      <c r="CI198" s="33"/>
      <c r="CJ198" s="33"/>
      <c r="CK198" s="33"/>
      <c r="CL198" s="33"/>
      <c r="CM198" s="33"/>
      <c r="CN198" s="33"/>
      <c r="CO198" s="33"/>
      <c r="CP198" s="33"/>
    </row>
    <row r="199" spans="1:94" x14ac:dyDescent="0.25">
      <c r="A199" s="25" t="s">
        <v>144</v>
      </c>
      <c r="B199" s="25" t="s">
        <v>257</v>
      </c>
      <c r="C199" s="25" t="s">
        <v>496</v>
      </c>
      <c r="D199" s="25">
        <v>186</v>
      </c>
      <c r="E199" s="35" cm="1">
        <f t="array" ref="E199">IFERROR(INDEX($J$5:$AVX$5, _xlfn.AGGREGATE(15,6, COLUMN(J199:AVX199)-COLUMN(J199)+1 / (J199:AVX199="T"), F199)), "")</f>
        <v>46005</v>
      </c>
      <c r="F199" s="74">
        <f t="shared" si="22"/>
        <v>2</v>
      </c>
      <c r="G199" s="35" cm="1">
        <f t="array" ref="G199">IFERROR(INDEX($J$5:$AVW$5,_xlfn.AGGREGATE(14,6,(COLUMN($J199:$AVW199)-COLUMN($J199)+1)/($J199:$AVW199="T"),1)),"")</f>
        <v>46005</v>
      </c>
      <c r="H199" s="77">
        <f t="shared" si="23"/>
        <v>2</v>
      </c>
      <c r="I199" s="38" t="s">
        <v>10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25" t="s">
        <v>12</v>
      </c>
      <c r="Y199" s="27"/>
      <c r="Z199" s="27"/>
      <c r="AA199" s="27"/>
      <c r="AB199" s="28"/>
      <c r="AC199" s="27"/>
      <c r="AD199" s="27"/>
      <c r="AE199" s="29" t="s">
        <v>16</v>
      </c>
      <c r="AF199" s="30" t="s">
        <v>13</v>
      </c>
      <c r="AG199" s="27"/>
      <c r="AH199" s="27"/>
      <c r="AI199" s="28"/>
      <c r="AJ199" s="27"/>
      <c r="AK199" s="27"/>
      <c r="AL199" s="29" t="s">
        <v>14</v>
      </c>
      <c r="AM199" s="30" t="s">
        <v>11</v>
      </c>
      <c r="AN199" s="37"/>
      <c r="AO199" s="27"/>
      <c r="AP199" s="28"/>
      <c r="AQ199" s="27"/>
      <c r="AR199" s="29" t="s">
        <v>15</v>
      </c>
      <c r="AS199" s="27"/>
      <c r="AT199" s="27"/>
      <c r="AU199" s="25">
        <v>17</v>
      </c>
      <c r="AV199" s="33"/>
      <c r="AW199" s="33"/>
      <c r="AX199" s="33"/>
      <c r="AY199" s="33"/>
      <c r="AZ199" s="33"/>
      <c r="BA199" s="25" t="s">
        <v>12</v>
      </c>
      <c r="BB199" s="27"/>
      <c r="BC199" s="27"/>
      <c r="BD199" s="27"/>
      <c r="BE199" s="28"/>
      <c r="BF199" s="27"/>
      <c r="BG199" s="27"/>
      <c r="BH199" s="29" t="s">
        <v>16</v>
      </c>
      <c r="BI199" s="30" t="s">
        <v>13</v>
      </c>
      <c r="BJ199" s="27"/>
      <c r="BK199" s="27"/>
      <c r="BL199" s="28"/>
      <c r="BM199" s="27"/>
      <c r="BN199" s="27"/>
      <c r="BO199" s="32" t="s">
        <v>14</v>
      </c>
      <c r="BP199" s="30" t="s">
        <v>11</v>
      </c>
      <c r="BQ199" s="27"/>
      <c r="BR199" s="27"/>
      <c r="BS199" s="28"/>
      <c r="BT199" s="27"/>
      <c r="BU199" s="29" t="s">
        <v>15</v>
      </c>
      <c r="BV199" s="27"/>
      <c r="BW199" s="27"/>
      <c r="BX199" s="25">
        <v>17</v>
      </c>
      <c r="BY199" s="33"/>
      <c r="BZ199" s="33"/>
      <c r="CA199" s="33"/>
      <c r="CB199" s="33"/>
      <c r="CC199" s="33"/>
      <c r="CD199" s="33"/>
      <c r="CE199" s="33"/>
      <c r="CF199" s="33"/>
      <c r="CG199" s="33"/>
      <c r="CH199" s="33"/>
      <c r="CI199" s="33"/>
      <c r="CJ199" s="33"/>
      <c r="CK199" s="33"/>
      <c r="CL199" s="33"/>
      <c r="CM199" s="33"/>
      <c r="CN199" s="33"/>
      <c r="CO199" s="33"/>
      <c r="CP199" s="33"/>
    </row>
    <row r="200" spans="1:94" x14ac:dyDescent="0.25">
      <c r="A200" s="25" t="s">
        <v>144</v>
      </c>
      <c r="B200" s="25" t="s">
        <v>258</v>
      </c>
      <c r="C200" s="25" t="s">
        <v>497</v>
      </c>
      <c r="D200" s="25">
        <v>187</v>
      </c>
      <c r="E200" s="35" cm="1">
        <f t="array" ref="E200">IFERROR(INDEX($J$5:$AVX$5, _xlfn.AGGREGATE(15,6, COLUMN(J200:AVX200)-COLUMN(J200)+1 / (J200:AVX200="T"), F200)), "")</f>
        <v>46004</v>
      </c>
      <c r="F200" s="74">
        <f t="shared" si="22"/>
        <v>2</v>
      </c>
      <c r="G200" s="35" cm="1">
        <f t="array" ref="G200">IFERROR(INDEX($J$5:$AVW$5,_xlfn.AGGREGATE(14,6,(COLUMN($J200:$AVW200)-COLUMN($J200)+1)/($J200:$AVW200="T"),1)),"")</f>
        <v>46004</v>
      </c>
      <c r="H200" s="77">
        <f t="shared" si="23"/>
        <v>2</v>
      </c>
      <c r="I200" s="38" t="s">
        <v>10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25" t="s">
        <v>12</v>
      </c>
      <c r="X200" s="27"/>
      <c r="Y200" s="27"/>
      <c r="Z200" s="27"/>
      <c r="AA200" s="28"/>
      <c r="AB200" s="27"/>
      <c r="AC200" s="27"/>
      <c r="AD200" s="29" t="s">
        <v>16</v>
      </c>
      <c r="AE200" s="30" t="s">
        <v>13</v>
      </c>
      <c r="AF200" s="27"/>
      <c r="AG200" s="27"/>
      <c r="AH200" s="28"/>
      <c r="AI200" s="27"/>
      <c r="AJ200" s="27"/>
      <c r="AK200" s="32" t="s">
        <v>14</v>
      </c>
      <c r="AL200" s="30" t="s">
        <v>11</v>
      </c>
      <c r="AM200" s="27"/>
      <c r="AN200" s="27"/>
      <c r="AO200" s="28"/>
      <c r="AP200" s="27"/>
      <c r="AQ200" s="29" t="s">
        <v>15</v>
      </c>
      <c r="AR200" s="27"/>
      <c r="AS200" s="27"/>
      <c r="AT200" s="25">
        <v>17</v>
      </c>
      <c r="AU200" s="33"/>
      <c r="AV200" s="33"/>
      <c r="AW200" s="33"/>
      <c r="AX200" s="33"/>
      <c r="AY200" s="33"/>
      <c r="AZ200" s="25" t="s">
        <v>12</v>
      </c>
      <c r="BA200" s="27"/>
      <c r="BB200" s="27"/>
      <c r="BC200" s="27"/>
      <c r="BD200" s="28"/>
      <c r="BE200" s="27"/>
      <c r="BF200" s="27"/>
      <c r="BG200" s="29" t="s">
        <v>16</v>
      </c>
      <c r="BH200" s="30" t="s">
        <v>13</v>
      </c>
      <c r="BI200" s="27"/>
      <c r="BJ200" s="27"/>
      <c r="BK200" s="28"/>
      <c r="BL200" s="27"/>
      <c r="BM200" s="27"/>
      <c r="BN200" s="32" t="s">
        <v>14</v>
      </c>
      <c r="BO200" s="30" t="s">
        <v>11</v>
      </c>
      <c r="BP200" s="27"/>
      <c r="BQ200" s="27"/>
      <c r="BR200" s="28"/>
      <c r="BS200" s="27"/>
      <c r="BT200" s="29" t="s">
        <v>15</v>
      </c>
      <c r="BU200" s="27"/>
      <c r="BV200" s="27"/>
      <c r="BW200" s="25">
        <v>17</v>
      </c>
      <c r="BX200" s="33"/>
      <c r="BY200" s="33"/>
      <c r="BZ200" s="33"/>
      <c r="CA200" s="33"/>
      <c r="CB200" s="33"/>
      <c r="CC200" s="33"/>
      <c r="CD200" s="33"/>
      <c r="CE200" s="33"/>
      <c r="CF200" s="33"/>
      <c r="CG200" s="33"/>
      <c r="CH200" s="33"/>
      <c r="CI200" s="33"/>
      <c r="CJ200" s="33"/>
      <c r="CK200" s="33"/>
      <c r="CL200" s="33"/>
      <c r="CM200" s="33"/>
      <c r="CN200" s="33"/>
      <c r="CO200" s="33"/>
      <c r="CP200" s="33"/>
    </row>
    <row r="201" spans="1:94" x14ac:dyDescent="0.25">
      <c r="A201" s="25" t="s">
        <v>144</v>
      </c>
      <c r="B201" s="25" t="s">
        <v>259</v>
      </c>
      <c r="C201" s="25" t="s">
        <v>498</v>
      </c>
      <c r="D201" s="25">
        <v>188</v>
      </c>
      <c r="E201" s="35" cm="1">
        <f t="array" ref="E201">IFERROR(INDEX($J$5:$AVX$5, _xlfn.AGGREGATE(15,6, COLUMN(J201:AVX201)-COLUMN(J201)+1 / (J201:AVX201="T"), F201)), "")</f>
        <v>46004</v>
      </c>
      <c r="F201" s="74">
        <f t="shared" si="22"/>
        <v>2</v>
      </c>
      <c r="G201" s="35" cm="1">
        <f t="array" ref="G201">IFERROR(INDEX($J$5:$AVW$5,_xlfn.AGGREGATE(14,6,(COLUMN($J201:$AVW201)-COLUMN($J201)+1)/($J201:$AVW201="T"),1)),"")</f>
        <v>46004</v>
      </c>
      <c r="H201" s="77">
        <f t="shared" si="23"/>
        <v>2</v>
      </c>
      <c r="I201" s="38" t="s">
        <v>10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25" t="s">
        <v>12</v>
      </c>
      <c r="X201" s="27"/>
      <c r="Y201" s="27"/>
      <c r="Z201" s="27"/>
      <c r="AA201" s="28"/>
      <c r="AB201" s="27"/>
      <c r="AC201" s="27"/>
      <c r="AD201" s="29" t="s">
        <v>16</v>
      </c>
      <c r="AE201" s="30" t="s">
        <v>13</v>
      </c>
      <c r="AF201" s="27"/>
      <c r="AG201" s="27"/>
      <c r="AH201" s="28"/>
      <c r="AI201" s="27"/>
      <c r="AJ201" s="27"/>
      <c r="AK201" s="29" t="s">
        <v>14</v>
      </c>
      <c r="AL201" s="30" t="s">
        <v>11</v>
      </c>
      <c r="AM201" s="37"/>
      <c r="AN201" s="27"/>
      <c r="AO201" s="28"/>
      <c r="AP201" s="27"/>
      <c r="AQ201" s="29" t="s">
        <v>15</v>
      </c>
      <c r="AR201" s="27"/>
      <c r="AS201" s="27"/>
      <c r="AT201" s="25">
        <v>17</v>
      </c>
      <c r="AU201" s="33"/>
      <c r="AV201" s="33"/>
      <c r="AW201" s="33"/>
      <c r="AX201" s="33"/>
      <c r="AY201" s="33"/>
      <c r="AZ201" s="25" t="s">
        <v>12</v>
      </c>
      <c r="BA201" s="27"/>
      <c r="BB201" s="27"/>
      <c r="BC201" s="27"/>
      <c r="BD201" s="28"/>
      <c r="BE201" s="27"/>
      <c r="BF201" s="27"/>
      <c r="BG201" s="29" t="s">
        <v>16</v>
      </c>
      <c r="BH201" s="30" t="s">
        <v>13</v>
      </c>
      <c r="BI201" s="27"/>
      <c r="BJ201" s="27"/>
      <c r="BK201" s="28"/>
      <c r="BL201" s="27"/>
      <c r="BM201" s="27"/>
      <c r="BN201" s="32" t="s">
        <v>14</v>
      </c>
      <c r="BO201" s="30" t="s">
        <v>11</v>
      </c>
      <c r="BP201" s="27"/>
      <c r="BQ201" s="27"/>
      <c r="BR201" s="28"/>
      <c r="BS201" s="27"/>
      <c r="BT201" s="29" t="s">
        <v>15</v>
      </c>
      <c r="BU201" s="27"/>
      <c r="BV201" s="27"/>
      <c r="BW201" s="25">
        <v>17</v>
      </c>
      <c r="BX201" s="33"/>
      <c r="BY201" s="33"/>
      <c r="BZ201" s="33"/>
      <c r="CA201" s="33"/>
      <c r="CB201" s="33"/>
      <c r="CC201" s="33"/>
      <c r="CD201" s="33"/>
      <c r="CE201" s="33"/>
      <c r="CF201" s="33"/>
      <c r="CG201" s="33"/>
      <c r="CH201" s="33"/>
      <c r="CI201" s="33"/>
      <c r="CJ201" s="33"/>
      <c r="CK201" s="33"/>
      <c r="CL201" s="33"/>
      <c r="CM201" s="33"/>
      <c r="CN201" s="33"/>
      <c r="CO201" s="33"/>
      <c r="CP201" s="33"/>
    </row>
    <row r="202" spans="1:94" x14ac:dyDescent="0.25">
      <c r="A202" s="25" t="s">
        <v>144</v>
      </c>
      <c r="B202" s="25" t="s">
        <v>260</v>
      </c>
      <c r="C202" s="25" t="s">
        <v>499</v>
      </c>
      <c r="D202" s="25">
        <v>189</v>
      </c>
      <c r="E202" s="35" cm="1">
        <f t="array" ref="E202">IFERROR(INDEX($J$5:$AVX$5, _xlfn.AGGREGATE(15,6, COLUMN(J202:AVX202)-COLUMN(J202)+1 / (J202:AVX202="T"), F202)), "")</f>
        <v>46004</v>
      </c>
      <c r="F202" s="74">
        <f t="shared" si="22"/>
        <v>2</v>
      </c>
      <c r="G202" s="35" cm="1">
        <f t="array" ref="G202">IFERROR(INDEX($J$5:$AVW$5,_xlfn.AGGREGATE(14,6,(COLUMN($J202:$AVW202)-COLUMN($J202)+1)/($J202:$AVW202="T"),1)),"")</f>
        <v>46004</v>
      </c>
      <c r="H202" s="77">
        <f t="shared" si="23"/>
        <v>2</v>
      </c>
      <c r="I202" s="38" t="s">
        <v>10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25" t="s">
        <v>12</v>
      </c>
      <c r="X202" s="27"/>
      <c r="Y202" s="27"/>
      <c r="Z202" s="27"/>
      <c r="AA202" s="28"/>
      <c r="AB202" s="27"/>
      <c r="AC202" s="27"/>
      <c r="AD202" s="29" t="s">
        <v>16</v>
      </c>
      <c r="AE202" s="30" t="s">
        <v>13</v>
      </c>
      <c r="AF202" s="27"/>
      <c r="AG202" s="27"/>
      <c r="AH202" s="28"/>
      <c r="AI202" s="27"/>
      <c r="AJ202" s="27"/>
      <c r="AK202" s="29" t="s">
        <v>14</v>
      </c>
      <c r="AL202" s="30" t="s">
        <v>11</v>
      </c>
      <c r="AM202" s="37"/>
      <c r="AN202" s="27"/>
      <c r="AO202" s="28"/>
      <c r="AP202" s="27"/>
      <c r="AQ202" s="29" t="s">
        <v>15</v>
      </c>
      <c r="AR202" s="27"/>
      <c r="AS202" s="27"/>
      <c r="AT202" s="25">
        <v>17</v>
      </c>
      <c r="AU202" s="33"/>
      <c r="AV202" s="33"/>
      <c r="AW202" s="33"/>
      <c r="AX202" s="33"/>
      <c r="AY202" s="33"/>
      <c r="AZ202" s="25" t="s">
        <v>12</v>
      </c>
      <c r="BA202" s="27"/>
      <c r="BB202" s="27"/>
      <c r="BC202" s="27"/>
      <c r="BD202" s="28"/>
      <c r="BE202" s="27"/>
      <c r="BF202" s="27"/>
      <c r="BG202" s="29" t="s">
        <v>16</v>
      </c>
      <c r="BH202" s="30" t="s">
        <v>13</v>
      </c>
      <c r="BI202" s="27"/>
      <c r="BJ202" s="27"/>
      <c r="BK202" s="28"/>
      <c r="BL202" s="27"/>
      <c r="BM202" s="27"/>
      <c r="BN202" s="32" t="s">
        <v>14</v>
      </c>
      <c r="BO202" s="30" t="s">
        <v>11</v>
      </c>
      <c r="BP202" s="27"/>
      <c r="BQ202" s="27"/>
      <c r="BR202" s="28"/>
      <c r="BS202" s="27"/>
      <c r="BT202" s="29" t="s">
        <v>15</v>
      </c>
      <c r="BU202" s="27"/>
      <c r="BV202" s="27"/>
      <c r="BW202" s="25">
        <v>17</v>
      </c>
      <c r="BX202" s="33"/>
      <c r="BY202" s="33"/>
      <c r="BZ202" s="33"/>
      <c r="CA202" s="33"/>
      <c r="CB202" s="33"/>
      <c r="CC202" s="33"/>
      <c r="CD202" s="33"/>
      <c r="CE202" s="33"/>
      <c r="CF202" s="33"/>
      <c r="CG202" s="33"/>
      <c r="CH202" s="33"/>
      <c r="CI202" s="33"/>
      <c r="CJ202" s="33"/>
      <c r="CK202" s="33"/>
      <c r="CL202" s="33"/>
      <c r="CM202" s="33"/>
      <c r="CN202" s="33"/>
      <c r="CO202" s="33"/>
      <c r="CP202" s="33"/>
    </row>
    <row r="203" spans="1:94" x14ac:dyDescent="0.25">
      <c r="A203" s="25" t="s">
        <v>144</v>
      </c>
      <c r="B203" s="25" t="s">
        <v>261</v>
      </c>
      <c r="C203" s="25" t="s">
        <v>500</v>
      </c>
      <c r="D203" s="25">
        <v>190</v>
      </c>
      <c r="E203" s="35" cm="1">
        <f t="array" ref="E203">IFERROR(INDEX($J$5:$AVX$5, _xlfn.AGGREGATE(15,6, COLUMN(J203:AVX203)-COLUMN(J203)+1 / (J203:AVX203="T"), F203)), "")</f>
        <v>46004</v>
      </c>
      <c r="F203" s="74">
        <f t="shared" si="22"/>
        <v>2</v>
      </c>
      <c r="G203" s="35" cm="1">
        <f t="array" ref="G203">IFERROR(INDEX($J$5:$AVW$5,_xlfn.AGGREGATE(14,6,(COLUMN($J203:$AVW203)-COLUMN($J203)+1)/($J203:$AVW203="T"),1)),"")</f>
        <v>46004</v>
      </c>
      <c r="H203" s="77">
        <f t="shared" si="23"/>
        <v>2</v>
      </c>
      <c r="I203" s="38" t="s">
        <v>10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25" t="s">
        <v>12</v>
      </c>
      <c r="X203" s="27"/>
      <c r="Y203" s="27"/>
      <c r="Z203" s="27"/>
      <c r="AA203" s="28"/>
      <c r="AB203" s="27"/>
      <c r="AC203" s="27"/>
      <c r="AD203" s="29" t="s">
        <v>16</v>
      </c>
      <c r="AE203" s="30" t="s">
        <v>13</v>
      </c>
      <c r="AF203" s="27"/>
      <c r="AG203" s="27"/>
      <c r="AH203" s="28"/>
      <c r="AI203" s="27"/>
      <c r="AJ203" s="27"/>
      <c r="AK203" s="29" t="s">
        <v>14</v>
      </c>
      <c r="AL203" s="30" t="s">
        <v>11</v>
      </c>
      <c r="AM203" s="37"/>
      <c r="AN203" s="27"/>
      <c r="AO203" s="28"/>
      <c r="AP203" s="27"/>
      <c r="AQ203" s="29" t="s">
        <v>15</v>
      </c>
      <c r="AR203" s="27"/>
      <c r="AS203" s="27"/>
      <c r="AT203" s="25">
        <v>17</v>
      </c>
      <c r="AU203" s="33"/>
      <c r="AV203" s="33"/>
      <c r="AW203" s="33"/>
      <c r="AX203" s="33"/>
      <c r="AY203" s="33"/>
      <c r="AZ203" s="25" t="s">
        <v>12</v>
      </c>
      <c r="BA203" s="27"/>
      <c r="BB203" s="27"/>
      <c r="BC203" s="27"/>
      <c r="BD203" s="28"/>
      <c r="BE203" s="27"/>
      <c r="BF203" s="27"/>
      <c r="BG203" s="29" t="s">
        <v>16</v>
      </c>
      <c r="BH203" s="30" t="s">
        <v>13</v>
      </c>
      <c r="BI203" s="27"/>
      <c r="BJ203" s="27"/>
      <c r="BK203" s="28"/>
      <c r="BL203" s="27"/>
      <c r="BM203" s="27"/>
      <c r="BN203" s="32" t="s">
        <v>14</v>
      </c>
      <c r="BO203" s="30" t="s">
        <v>11</v>
      </c>
      <c r="BP203" s="27"/>
      <c r="BQ203" s="27"/>
      <c r="BR203" s="28"/>
      <c r="BS203" s="27"/>
      <c r="BT203" s="29" t="s">
        <v>15</v>
      </c>
      <c r="BU203" s="27"/>
      <c r="BV203" s="27"/>
      <c r="BW203" s="25">
        <v>17</v>
      </c>
      <c r="BX203" s="33"/>
      <c r="BY203" s="33"/>
      <c r="BZ203" s="33"/>
      <c r="CA203" s="33"/>
      <c r="CB203" s="33"/>
      <c r="CC203" s="33"/>
      <c r="CD203" s="33"/>
      <c r="CE203" s="33"/>
      <c r="CF203" s="33"/>
      <c r="CG203" s="33"/>
      <c r="CH203" s="33"/>
      <c r="CI203" s="33"/>
      <c r="CJ203" s="33"/>
      <c r="CK203" s="33"/>
      <c r="CL203" s="33"/>
      <c r="CM203" s="33"/>
      <c r="CN203" s="33"/>
      <c r="CO203" s="33"/>
      <c r="CP203" s="33"/>
    </row>
    <row r="204" spans="1:94" x14ac:dyDescent="0.25">
      <c r="A204" s="25" t="s">
        <v>144</v>
      </c>
      <c r="B204" s="25" t="s">
        <v>262</v>
      </c>
      <c r="C204" s="25" t="s">
        <v>501</v>
      </c>
      <c r="D204" s="25">
        <v>191</v>
      </c>
      <c r="E204" s="35" cm="1">
        <f t="array" ref="E204">IFERROR(INDEX($J$5:$AVX$5, _xlfn.AGGREGATE(15,6, COLUMN(J204:AVX204)-COLUMN(J204)+1 / (J204:AVX204="T"), F204)), "")</f>
        <v>46004</v>
      </c>
      <c r="F204" s="74">
        <f t="shared" si="22"/>
        <v>2</v>
      </c>
      <c r="G204" s="35" cm="1">
        <f t="array" ref="G204">IFERROR(INDEX($J$5:$AVW$5,_xlfn.AGGREGATE(14,6,(COLUMN($J204:$AVW204)-COLUMN($J204)+1)/($J204:$AVW204="T"),1)),"")</f>
        <v>46004</v>
      </c>
      <c r="H204" s="77">
        <f t="shared" si="23"/>
        <v>2</v>
      </c>
      <c r="I204" s="38" t="s">
        <v>10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25" t="s">
        <v>12</v>
      </c>
      <c r="X204" s="27"/>
      <c r="Y204" s="27"/>
      <c r="Z204" s="27"/>
      <c r="AA204" s="28"/>
      <c r="AB204" s="27"/>
      <c r="AC204" s="27"/>
      <c r="AD204" s="29" t="s">
        <v>16</v>
      </c>
      <c r="AE204" s="30" t="s">
        <v>13</v>
      </c>
      <c r="AF204" s="27"/>
      <c r="AG204" s="27"/>
      <c r="AH204" s="28"/>
      <c r="AI204" s="27"/>
      <c r="AJ204" s="27"/>
      <c r="AK204" s="29" t="s">
        <v>14</v>
      </c>
      <c r="AL204" s="30" t="s">
        <v>11</v>
      </c>
      <c r="AM204" s="37"/>
      <c r="AN204" s="27"/>
      <c r="AO204" s="28"/>
      <c r="AP204" s="27"/>
      <c r="AQ204" s="29" t="s">
        <v>15</v>
      </c>
      <c r="AR204" s="27"/>
      <c r="AS204" s="27"/>
      <c r="AT204" s="25">
        <v>17</v>
      </c>
      <c r="AU204" s="33"/>
      <c r="AV204" s="33"/>
      <c r="AW204" s="33"/>
      <c r="AX204" s="33"/>
      <c r="AY204" s="33"/>
      <c r="AZ204" s="25" t="s">
        <v>12</v>
      </c>
      <c r="BA204" s="27"/>
      <c r="BB204" s="27"/>
      <c r="BC204" s="27"/>
      <c r="BD204" s="28"/>
      <c r="BE204" s="27"/>
      <c r="BF204" s="27"/>
      <c r="BG204" s="29" t="s">
        <v>16</v>
      </c>
      <c r="BH204" s="30" t="s">
        <v>13</v>
      </c>
      <c r="BI204" s="27"/>
      <c r="BJ204" s="27"/>
      <c r="BK204" s="28"/>
      <c r="BL204" s="27"/>
      <c r="BM204" s="27"/>
      <c r="BN204" s="32" t="s">
        <v>14</v>
      </c>
      <c r="BO204" s="30" t="s">
        <v>11</v>
      </c>
      <c r="BP204" s="27"/>
      <c r="BQ204" s="27"/>
      <c r="BR204" s="28"/>
      <c r="BS204" s="27"/>
      <c r="BT204" s="29" t="s">
        <v>15</v>
      </c>
      <c r="BU204" s="27"/>
      <c r="BV204" s="27"/>
      <c r="BW204" s="25">
        <v>17</v>
      </c>
      <c r="BX204" s="33"/>
      <c r="BY204" s="33"/>
      <c r="BZ204" s="33"/>
      <c r="CA204" s="33"/>
      <c r="CB204" s="33"/>
      <c r="CC204" s="33"/>
      <c r="CD204" s="33"/>
      <c r="CE204" s="33"/>
      <c r="CF204" s="33"/>
      <c r="CG204" s="33"/>
      <c r="CH204" s="33"/>
      <c r="CI204" s="33"/>
      <c r="CJ204" s="33"/>
      <c r="CK204" s="33"/>
      <c r="CL204" s="33"/>
      <c r="CM204" s="33"/>
      <c r="CN204" s="33"/>
      <c r="CO204" s="33"/>
      <c r="CP204" s="33"/>
    </row>
    <row r="205" spans="1:94" x14ac:dyDescent="0.25">
      <c r="A205" s="25" t="s">
        <v>144</v>
      </c>
      <c r="B205" s="25" t="s">
        <v>263</v>
      </c>
      <c r="C205" s="25" t="s">
        <v>502</v>
      </c>
      <c r="D205" s="25">
        <v>192</v>
      </c>
      <c r="E205" s="35" cm="1">
        <f t="array" ref="E205">IFERROR(INDEX($J$5:$AVX$5, _xlfn.AGGREGATE(15,6, COLUMN(J205:AVX205)-COLUMN(J205)+1 / (J205:AVX205="T"), F205)), "")</f>
        <v>46004</v>
      </c>
      <c r="F205" s="74">
        <f t="shared" si="22"/>
        <v>2</v>
      </c>
      <c r="G205" s="35" cm="1">
        <f t="array" ref="G205">IFERROR(INDEX($J$5:$AVW$5,_xlfn.AGGREGATE(14,6,(COLUMN($J205:$AVW205)-COLUMN($J205)+1)/($J205:$AVW205="T"),1)),"")</f>
        <v>46004</v>
      </c>
      <c r="H205" s="77">
        <f t="shared" si="23"/>
        <v>2</v>
      </c>
      <c r="I205" s="38" t="s">
        <v>10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25" t="s">
        <v>12</v>
      </c>
      <c r="X205" s="27"/>
      <c r="Y205" s="27"/>
      <c r="Z205" s="27"/>
      <c r="AA205" s="28"/>
      <c r="AB205" s="27"/>
      <c r="AC205" s="27"/>
      <c r="AD205" s="29" t="s">
        <v>16</v>
      </c>
      <c r="AE205" s="30" t="s">
        <v>13</v>
      </c>
      <c r="AF205" s="27"/>
      <c r="AG205" s="27"/>
      <c r="AH205" s="28"/>
      <c r="AI205" s="27"/>
      <c r="AJ205" s="27"/>
      <c r="AK205" s="29" t="s">
        <v>14</v>
      </c>
      <c r="AL205" s="30" t="s">
        <v>11</v>
      </c>
      <c r="AM205" s="37"/>
      <c r="AN205" s="27"/>
      <c r="AO205" s="28"/>
      <c r="AP205" s="27"/>
      <c r="AQ205" s="29" t="s">
        <v>15</v>
      </c>
      <c r="AR205" s="27"/>
      <c r="AS205" s="27"/>
      <c r="AT205" s="25">
        <v>17</v>
      </c>
      <c r="AU205" s="33"/>
      <c r="AV205" s="33"/>
      <c r="AW205" s="33"/>
      <c r="AX205" s="33"/>
      <c r="AY205" s="33"/>
      <c r="AZ205" s="25" t="s">
        <v>12</v>
      </c>
      <c r="BA205" s="27"/>
      <c r="BB205" s="27"/>
      <c r="BC205" s="27"/>
      <c r="BD205" s="28"/>
      <c r="BE205" s="27"/>
      <c r="BF205" s="27"/>
      <c r="BG205" s="29" t="s">
        <v>16</v>
      </c>
      <c r="BH205" s="30" t="s">
        <v>13</v>
      </c>
      <c r="BI205" s="27"/>
      <c r="BJ205" s="27"/>
      <c r="BK205" s="28"/>
      <c r="BL205" s="27"/>
      <c r="BM205" s="27"/>
      <c r="BN205" s="32" t="s">
        <v>14</v>
      </c>
      <c r="BO205" s="30" t="s">
        <v>11</v>
      </c>
      <c r="BP205" s="27"/>
      <c r="BQ205" s="27"/>
      <c r="BR205" s="28"/>
      <c r="BS205" s="27"/>
      <c r="BT205" s="29" t="s">
        <v>15</v>
      </c>
      <c r="BU205" s="27"/>
      <c r="BV205" s="27"/>
      <c r="BW205" s="25">
        <v>17</v>
      </c>
      <c r="BX205" s="33"/>
      <c r="BY205" s="33"/>
      <c r="BZ205" s="33"/>
      <c r="CA205" s="33"/>
      <c r="CB205" s="33"/>
      <c r="CC205" s="33"/>
      <c r="CD205" s="33"/>
      <c r="CE205" s="33"/>
      <c r="CF205" s="33"/>
      <c r="CG205" s="33"/>
      <c r="CH205" s="33"/>
      <c r="CI205" s="33"/>
      <c r="CJ205" s="33"/>
      <c r="CK205" s="33"/>
      <c r="CL205" s="33"/>
      <c r="CM205" s="33"/>
      <c r="CN205" s="33"/>
      <c r="CO205" s="33"/>
      <c r="CP205" s="33"/>
    </row>
    <row r="206" spans="1:94" x14ac:dyDescent="0.25">
      <c r="A206" s="25" t="s">
        <v>144</v>
      </c>
      <c r="B206" s="25" t="s">
        <v>264</v>
      </c>
      <c r="C206" s="25" t="s">
        <v>503</v>
      </c>
      <c r="D206" s="25">
        <v>193</v>
      </c>
      <c r="E206" s="35" cm="1">
        <f t="array" ref="E206">IFERROR(INDEX($J$5:$AVX$5, _xlfn.AGGREGATE(15,6, COLUMN(J206:AVX206)-COLUMN(J206)+1 / (J206:AVX206="T"), F206)), "")</f>
        <v>46004</v>
      </c>
      <c r="F206" s="74">
        <f t="shared" ref="F206:F234" si="24">$A$2</f>
        <v>2</v>
      </c>
      <c r="G206" s="35" cm="1">
        <f t="array" ref="G206">IFERROR(INDEX($J$5:$AVW$5,_xlfn.AGGREGATE(14,6,(COLUMN($J206:$AVW206)-COLUMN($J206)+1)/($J206:$AVW206="T"),1)),"")</f>
        <v>46004</v>
      </c>
      <c r="H206" s="77">
        <f t="shared" ref="H206:H234" si="25">COUNTIF($J206:$AVV206,"T")</f>
        <v>2</v>
      </c>
      <c r="I206" s="38" t="s">
        <v>10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25" t="s">
        <v>12</v>
      </c>
      <c r="X206" s="27"/>
      <c r="Y206" s="27"/>
      <c r="Z206" s="27"/>
      <c r="AA206" s="28"/>
      <c r="AB206" s="27"/>
      <c r="AC206" s="27"/>
      <c r="AD206" s="29" t="s">
        <v>16</v>
      </c>
      <c r="AE206" s="30" t="s">
        <v>13</v>
      </c>
      <c r="AF206" s="27"/>
      <c r="AG206" s="27"/>
      <c r="AH206" s="28"/>
      <c r="AI206" s="27"/>
      <c r="AJ206" s="27"/>
      <c r="AK206" s="29" t="s">
        <v>14</v>
      </c>
      <c r="AL206" s="30" t="s">
        <v>11</v>
      </c>
      <c r="AM206" s="37"/>
      <c r="AN206" s="27"/>
      <c r="AO206" s="28"/>
      <c r="AP206" s="27"/>
      <c r="AQ206" s="29" t="s">
        <v>15</v>
      </c>
      <c r="AR206" s="27"/>
      <c r="AS206" s="27"/>
      <c r="AT206" s="25">
        <v>17</v>
      </c>
      <c r="AU206" s="33"/>
      <c r="AV206" s="33"/>
      <c r="AW206" s="33"/>
      <c r="AX206" s="33"/>
      <c r="AY206" s="33"/>
      <c r="AZ206" s="25" t="s">
        <v>12</v>
      </c>
      <c r="BA206" s="27"/>
      <c r="BB206" s="27"/>
      <c r="BC206" s="27"/>
      <c r="BD206" s="28"/>
      <c r="BE206" s="27"/>
      <c r="BF206" s="27"/>
      <c r="BG206" s="29" t="s">
        <v>16</v>
      </c>
      <c r="BH206" s="30" t="s">
        <v>13</v>
      </c>
      <c r="BI206" s="27"/>
      <c r="BJ206" s="27"/>
      <c r="BK206" s="28"/>
      <c r="BL206" s="27"/>
      <c r="BM206" s="27"/>
      <c r="BN206" s="32" t="s">
        <v>14</v>
      </c>
      <c r="BO206" s="30" t="s">
        <v>11</v>
      </c>
      <c r="BP206" s="27"/>
      <c r="BQ206" s="27"/>
      <c r="BR206" s="28"/>
      <c r="BS206" s="27"/>
      <c r="BT206" s="29" t="s">
        <v>15</v>
      </c>
      <c r="BU206" s="27"/>
      <c r="BV206" s="27"/>
      <c r="BW206" s="25">
        <v>17</v>
      </c>
      <c r="BX206" s="33"/>
      <c r="BY206" s="33"/>
      <c r="BZ206" s="33"/>
      <c r="CA206" s="33"/>
      <c r="CB206" s="33"/>
      <c r="CC206" s="33"/>
      <c r="CD206" s="33"/>
      <c r="CE206" s="33"/>
      <c r="CF206" s="33"/>
      <c r="CG206" s="33"/>
      <c r="CH206" s="33"/>
      <c r="CI206" s="33"/>
      <c r="CJ206" s="33"/>
      <c r="CK206" s="33"/>
      <c r="CL206" s="33"/>
      <c r="CM206" s="33"/>
      <c r="CN206" s="33"/>
      <c r="CO206" s="33"/>
      <c r="CP206" s="33"/>
    </row>
    <row r="207" spans="1:94" x14ac:dyDescent="0.25">
      <c r="A207" s="25" t="s">
        <v>144</v>
      </c>
      <c r="B207" s="25" t="s">
        <v>265</v>
      </c>
      <c r="C207" s="25" t="s">
        <v>504</v>
      </c>
      <c r="D207" s="25">
        <v>194</v>
      </c>
      <c r="E207" s="35" cm="1">
        <f t="array" ref="E207">IFERROR(INDEX($J$5:$AVX$5, _xlfn.AGGREGATE(15,6, COLUMN(J207:AVX207)-COLUMN(J207)+1 / (J207:AVX207="T"), F207)), "")</f>
        <v>46003</v>
      </c>
      <c r="F207" s="74">
        <f t="shared" si="24"/>
        <v>2</v>
      </c>
      <c r="G207" s="35" cm="1">
        <f t="array" ref="G207">IFERROR(INDEX($J$5:$AVW$5,_xlfn.AGGREGATE(14,6,(COLUMN($J207:$AVW207)-COLUMN($J207)+1)/($J207:$AVW207="T"),1)),"")</f>
        <v>46003</v>
      </c>
      <c r="H207" s="77">
        <f t="shared" si="25"/>
        <v>2</v>
      </c>
      <c r="I207" s="38" t="s">
        <v>10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25" t="s">
        <v>12</v>
      </c>
      <c r="W207" s="27"/>
      <c r="X207" s="27"/>
      <c r="Y207" s="27"/>
      <c r="Z207" s="28"/>
      <c r="AA207" s="27"/>
      <c r="AB207" s="27"/>
      <c r="AC207" s="29" t="s">
        <v>16</v>
      </c>
      <c r="AD207" s="30" t="s">
        <v>13</v>
      </c>
      <c r="AE207" s="27"/>
      <c r="AF207" s="27"/>
      <c r="AG207" s="28"/>
      <c r="AH207" s="27"/>
      <c r="AI207" s="27"/>
      <c r="AJ207" s="32" t="s">
        <v>14</v>
      </c>
      <c r="AK207" s="30" t="s">
        <v>11</v>
      </c>
      <c r="AL207" s="27"/>
      <c r="AM207" s="27"/>
      <c r="AN207" s="28"/>
      <c r="AO207" s="27"/>
      <c r="AP207" s="29" t="s">
        <v>15</v>
      </c>
      <c r="AQ207" s="27"/>
      <c r="AR207" s="27"/>
      <c r="AS207" s="25">
        <v>17</v>
      </c>
      <c r="AT207" s="33"/>
      <c r="AU207" s="33"/>
      <c r="AV207" s="33"/>
      <c r="AW207" s="33"/>
      <c r="AX207" s="33"/>
      <c r="AY207" s="25" t="s">
        <v>12</v>
      </c>
      <c r="AZ207" s="27"/>
      <c r="BA207" s="27"/>
      <c r="BB207" s="27"/>
      <c r="BC207" s="28"/>
      <c r="BD207" s="27"/>
      <c r="BE207" s="27"/>
      <c r="BF207" s="29" t="s">
        <v>16</v>
      </c>
      <c r="BG207" s="30" t="s">
        <v>13</v>
      </c>
      <c r="BH207" s="27"/>
      <c r="BI207" s="27"/>
      <c r="BJ207" s="28"/>
      <c r="BK207" s="27"/>
      <c r="BL207" s="27"/>
      <c r="BM207" s="32" t="s">
        <v>14</v>
      </c>
      <c r="BN207" s="30" t="s">
        <v>11</v>
      </c>
      <c r="BO207" s="27"/>
      <c r="BP207" s="27"/>
      <c r="BQ207" s="28"/>
      <c r="BR207" s="27"/>
      <c r="BS207" s="29" t="s">
        <v>15</v>
      </c>
      <c r="BT207" s="27"/>
      <c r="BU207" s="27"/>
      <c r="BV207" s="25">
        <v>17</v>
      </c>
      <c r="BW207" s="33"/>
      <c r="BX207" s="33"/>
      <c r="BY207" s="33"/>
      <c r="BZ207" s="33"/>
      <c r="CA207" s="33"/>
      <c r="CB207" s="33"/>
      <c r="CC207" s="33"/>
      <c r="CD207" s="33"/>
      <c r="CE207" s="33"/>
      <c r="CF207" s="33"/>
      <c r="CG207" s="33"/>
      <c r="CH207" s="33"/>
      <c r="CI207" s="33"/>
      <c r="CJ207" s="33"/>
      <c r="CK207" s="33"/>
      <c r="CL207" s="33"/>
      <c r="CM207" s="33"/>
      <c r="CN207" s="33"/>
      <c r="CO207" s="33"/>
      <c r="CP207" s="33"/>
    </row>
    <row r="208" spans="1:94" x14ac:dyDescent="0.25">
      <c r="A208" s="25" t="s">
        <v>144</v>
      </c>
      <c r="B208" s="25" t="s">
        <v>266</v>
      </c>
      <c r="C208" s="25" t="s">
        <v>505</v>
      </c>
      <c r="D208" s="25">
        <v>195</v>
      </c>
      <c r="E208" s="35" cm="1">
        <f t="array" ref="E208">IFERROR(INDEX($J$5:$AVX$5, _xlfn.AGGREGATE(15,6, COLUMN(J208:AVX208)-COLUMN(J208)+1 / (J208:AVX208="T"), F208)), "")</f>
        <v>46003</v>
      </c>
      <c r="F208" s="74">
        <f t="shared" si="24"/>
        <v>2</v>
      </c>
      <c r="G208" s="35" cm="1">
        <f t="array" ref="G208">IFERROR(INDEX($J$5:$AVW$5,_xlfn.AGGREGATE(14,6,(COLUMN($J208:$AVW208)-COLUMN($J208)+1)/($J208:$AVW208="T"),1)),"")</f>
        <v>46003</v>
      </c>
      <c r="H208" s="77">
        <f t="shared" si="25"/>
        <v>2</v>
      </c>
      <c r="I208" s="38" t="s">
        <v>10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25" t="s">
        <v>12</v>
      </c>
      <c r="W208" s="27"/>
      <c r="X208" s="27"/>
      <c r="Y208" s="27"/>
      <c r="Z208" s="28"/>
      <c r="AA208" s="27"/>
      <c r="AB208" s="27"/>
      <c r="AC208" s="29" t="s">
        <v>16</v>
      </c>
      <c r="AD208" s="30" t="s">
        <v>13</v>
      </c>
      <c r="AE208" s="27"/>
      <c r="AF208" s="27"/>
      <c r="AG208" s="28"/>
      <c r="AH208" s="27"/>
      <c r="AI208" s="27"/>
      <c r="AJ208" s="29" t="s">
        <v>14</v>
      </c>
      <c r="AK208" s="30" t="s">
        <v>11</v>
      </c>
      <c r="AL208" s="37"/>
      <c r="AM208" s="27"/>
      <c r="AN208" s="28"/>
      <c r="AO208" s="27"/>
      <c r="AP208" s="29" t="s">
        <v>15</v>
      </c>
      <c r="AQ208" s="27"/>
      <c r="AR208" s="27"/>
      <c r="AS208" s="25">
        <v>17</v>
      </c>
      <c r="AT208" s="33"/>
      <c r="AU208" s="33"/>
      <c r="AV208" s="33"/>
      <c r="AW208" s="33"/>
      <c r="AX208" s="33"/>
      <c r="AY208" s="25" t="s">
        <v>12</v>
      </c>
      <c r="AZ208" s="27"/>
      <c r="BA208" s="27"/>
      <c r="BB208" s="27"/>
      <c r="BC208" s="28"/>
      <c r="BD208" s="27"/>
      <c r="BE208" s="27"/>
      <c r="BF208" s="29" t="s">
        <v>16</v>
      </c>
      <c r="BG208" s="30" t="s">
        <v>13</v>
      </c>
      <c r="BH208" s="27"/>
      <c r="BI208" s="27"/>
      <c r="BJ208" s="28"/>
      <c r="BK208" s="27"/>
      <c r="BL208" s="27"/>
      <c r="BM208" s="32" t="s">
        <v>14</v>
      </c>
      <c r="BN208" s="30" t="s">
        <v>11</v>
      </c>
      <c r="BO208" s="27"/>
      <c r="BP208" s="27"/>
      <c r="BQ208" s="28"/>
      <c r="BR208" s="27"/>
      <c r="BS208" s="29" t="s">
        <v>15</v>
      </c>
      <c r="BT208" s="27"/>
      <c r="BU208" s="27"/>
      <c r="BV208" s="25">
        <v>17</v>
      </c>
      <c r="BW208" s="33"/>
      <c r="BX208" s="33"/>
      <c r="BY208" s="33"/>
      <c r="BZ208" s="33"/>
      <c r="CA208" s="33"/>
      <c r="CB208" s="33"/>
      <c r="CC208" s="33"/>
      <c r="CD208" s="33"/>
      <c r="CE208" s="33"/>
      <c r="CF208" s="33"/>
      <c r="CG208" s="33"/>
      <c r="CH208" s="33"/>
      <c r="CI208" s="33"/>
      <c r="CJ208" s="33"/>
      <c r="CK208" s="33"/>
      <c r="CL208" s="33"/>
      <c r="CM208" s="33"/>
      <c r="CN208" s="33"/>
      <c r="CO208" s="33"/>
      <c r="CP208" s="33"/>
    </row>
    <row r="209" spans="1:94" x14ac:dyDescent="0.25">
      <c r="A209" s="25" t="s">
        <v>144</v>
      </c>
      <c r="B209" s="25" t="s">
        <v>267</v>
      </c>
      <c r="C209" s="25" t="s">
        <v>506</v>
      </c>
      <c r="D209" s="25">
        <v>196</v>
      </c>
      <c r="E209" s="35" cm="1">
        <f t="array" ref="E209">IFERROR(INDEX($J$5:$AVX$5, _xlfn.AGGREGATE(15,6, COLUMN(J209:AVX209)-COLUMN(J209)+1 / (J209:AVX209="T"), F209)), "")</f>
        <v>46003</v>
      </c>
      <c r="F209" s="74">
        <f t="shared" si="24"/>
        <v>2</v>
      </c>
      <c r="G209" s="35" cm="1">
        <f t="array" ref="G209">IFERROR(INDEX($J$5:$AVW$5,_xlfn.AGGREGATE(14,6,(COLUMN($J209:$AVW209)-COLUMN($J209)+1)/($J209:$AVW209="T"),1)),"")</f>
        <v>46003</v>
      </c>
      <c r="H209" s="77">
        <f t="shared" si="25"/>
        <v>2</v>
      </c>
      <c r="I209" s="38" t="s">
        <v>10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25" t="s">
        <v>12</v>
      </c>
      <c r="W209" s="27"/>
      <c r="X209" s="27"/>
      <c r="Y209" s="27"/>
      <c r="Z209" s="28"/>
      <c r="AA209" s="27"/>
      <c r="AB209" s="27"/>
      <c r="AC209" s="29" t="s">
        <v>16</v>
      </c>
      <c r="AD209" s="30" t="s">
        <v>13</v>
      </c>
      <c r="AE209" s="27"/>
      <c r="AF209" s="27"/>
      <c r="AG209" s="28"/>
      <c r="AH209" s="27"/>
      <c r="AI209" s="27"/>
      <c r="AJ209" s="29" t="s">
        <v>14</v>
      </c>
      <c r="AK209" s="30" t="s">
        <v>11</v>
      </c>
      <c r="AL209" s="37"/>
      <c r="AM209" s="27"/>
      <c r="AN209" s="28"/>
      <c r="AO209" s="27"/>
      <c r="AP209" s="29" t="s">
        <v>15</v>
      </c>
      <c r="AQ209" s="27"/>
      <c r="AR209" s="27"/>
      <c r="AS209" s="25">
        <v>17</v>
      </c>
      <c r="AT209" s="33"/>
      <c r="AU209" s="33"/>
      <c r="AV209" s="33"/>
      <c r="AW209" s="33"/>
      <c r="AX209" s="33"/>
      <c r="AY209" s="25" t="s">
        <v>12</v>
      </c>
      <c r="AZ209" s="27"/>
      <c r="BA209" s="27"/>
      <c r="BB209" s="27"/>
      <c r="BC209" s="28"/>
      <c r="BD209" s="27"/>
      <c r="BE209" s="27"/>
      <c r="BF209" s="29" t="s">
        <v>16</v>
      </c>
      <c r="BG209" s="30" t="s">
        <v>13</v>
      </c>
      <c r="BH209" s="27"/>
      <c r="BI209" s="27"/>
      <c r="BJ209" s="28"/>
      <c r="BK209" s="27"/>
      <c r="BL209" s="27"/>
      <c r="BM209" s="32" t="s">
        <v>14</v>
      </c>
      <c r="BN209" s="30" t="s">
        <v>11</v>
      </c>
      <c r="BO209" s="27"/>
      <c r="BP209" s="27"/>
      <c r="BQ209" s="28"/>
      <c r="BR209" s="27"/>
      <c r="BS209" s="29" t="s">
        <v>15</v>
      </c>
      <c r="BT209" s="27"/>
      <c r="BU209" s="27"/>
      <c r="BV209" s="25">
        <v>17</v>
      </c>
      <c r="BW209" s="33"/>
      <c r="BX209" s="33"/>
      <c r="BY209" s="33"/>
      <c r="BZ209" s="33"/>
      <c r="CA209" s="33"/>
      <c r="CB209" s="33"/>
      <c r="CC209" s="33"/>
      <c r="CD209" s="33"/>
      <c r="CE209" s="33"/>
      <c r="CF209" s="33"/>
      <c r="CG209" s="33"/>
      <c r="CH209" s="33"/>
      <c r="CI209" s="33"/>
      <c r="CJ209" s="33"/>
      <c r="CK209" s="33"/>
      <c r="CL209" s="33"/>
      <c r="CM209" s="33"/>
      <c r="CN209" s="33"/>
      <c r="CO209" s="33"/>
      <c r="CP209" s="33"/>
    </row>
    <row r="210" spans="1:94" x14ac:dyDescent="0.25">
      <c r="A210" s="25" t="s">
        <v>144</v>
      </c>
      <c r="B210" s="25" t="s">
        <v>268</v>
      </c>
      <c r="C210" s="25" t="s">
        <v>507</v>
      </c>
      <c r="D210" s="25">
        <v>197</v>
      </c>
      <c r="E210" s="35" cm="1">
        <f t="array" ref="E210">IFERROR(INDEX($J$5:$AVX$5, _xlfn.AGGREGATE(15,6, COLUMN(J210:AVX210)-COLUMN(J210)+1 / (J210:AVX210="T"), F210)), "")</f>
        <v>46003</v>
      </c>
      <c r="F210" s="74">
        <f t="shared" si="24"/>
        <v>2</v>
      </c>
      <c r="G210" s="35" cm="1">
        <f t="array" ref="G210">IFERROR(INDEX($J$5:$AVW$5,_xlfn.AGGREGATE(14,6,(COLUMN($J210:$AVW210)-COLUMN($J210)+1)/($J210:$AVW210="T"),1)),"")</f>
        <v>46003</v>
      </c>
      <c r="H210" s="77">
        <f t="shared" si="25"/>
        <v>2</v>
      </c>
      <c r="I210" s="38" t="s">
        <v>10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25" t="s">
        <v>12</v>
      </c>
      <c r="W210" s="27"/>
      <c r="X210" s="27"/>
      <c r="Y210" s="27"/>
      <c r="Z210" s="28"/>
      <c r="AA210" s="27"/>
      <c r="AB210" s="27"/>
      <c r="AC210" s="29" t="s">
        <v>16</v>
      </c>
      <c r="AD210" s="30" t="s">
        <v>13</v>
      </c>
      <c r="AE210" s="27"/>
      <c r="AF210" s="27"/>
      <c r="AG210" s="28"/>
      <c r="AH210" s="27"/>
      <c r="AI210" s="27"/>
      <c r="AJ210" s="29" t="s">
        <v>14</v>
      </c>
      <c r="AK210" s="30" t="s">
        <v>11</v>
      </c>
      <c r="AL210" s="37"/>
      <c r="AM210" s="27"/>
      <c r="AN210" s="28"/>
      <c r="AO210" s="27"/>
      <c r="AP210" s="29" t="s">
        <v>15</v>
      </c>
      <c r="AQ210" s="27"/>
      <c r="AR210" s="27"/>
      <c r="AS210" s="25">
        <v>17</v>
      </c>
      <c r="AT210" s="33"/>
      <c r="AU210" s="33"/>
      <c r="AV210" s="33"/>
      <c r="AW210" s="33"/>
      <c r="AX210" s="33"/>
      <c r="AY210" s="25" t="s">
        <v>12</v>
      </c>
      <c r="AZ210" s="27"/>
      <c r="BA210" s="27"/>
      <c r="BB210" s="27"/>
      <c r="BC210" s="28"/>
      <c r="BD210" s="27"/>
      <c r="BE210" s="27"/>
      <c r="BF210" s="29" t="s">
        <v>16</v>
      </c>
      <c r="BG210" s="30" t="s">
        <v>13</v>
      </c>
      <c r="BH210" s="27"/>
      <c r="BI210" s="27"/>
      <c r="BJ210" s="28"/>
      <c r="BK210" s="27"/>
      <c r="BL210" s="27"/>
      <c r="BM210" s="32" t="s">
        <v>14</v>
      </c>
      <c r="BN210" s="30" t="s">
        <v>11</v>
      </c>
      <c r="BO210" s="27"/>
      <c r="BP210" s="27"/>
      <c r="BQ210" s="28"/>
      <c r="BR210" s="27"/>
      <c r="BS210" s="29" t="s">
        <v>15</v>
      </c>
      <c r="BT210" s="27"/>
      <c r="BU210" s="27"/>
      <c r="BV210" s="25">
        <v>17</v>
      </c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  <c r="CO210" s="33"/>
      <c r="CP210" s="33"/>
    </row>
    <row r="211" spans="1:94" x14ac:dyDescent="0.25">
      <c r="A211" s="25" t="s">
        <v>144</v>
      </c>
      <c r="B211" s="25" t="s">
        <v>269</v>
      </c>
      <c r="C211" s="25" t="s">
        <v>508</v>
      </c>
      <c r="D211" s="25">
        <v>198</v>
      </c>
      <c r="E211" s="35" cm="1">
        <f t="array" ref="E211">IFERROR(INDEX($J$5:$AVX$5, _xlfn.AGGREGATE(15,6, COLUMN(J211:AVX211)-COLUMN(J211)+1 / (J211:AVX211="T"), F211)), "")</f>
        <v>46003</v>
      </c>
      <c r="F211" s="74">
        <f t="shared" si="24"/>
        <v>2</v>
      </c>
      <c r="G211" s="35" cm="1">
        <f t="array" ref="G211">IFERROR(INDEX($J$5:$AVW$5,_xlfn.AGGREGATE(14,6,(COLUMN($J211:$AVW211)-COLUMN($J211)+1)/($J211:$AVW211="T"),1)),"")</f>
        <v>46003</v>
      </c>
      <c r="H211" s="77">
        <f t="shared" si="25"/>
        <v>2</v>
      </c>
      <c r="I211" s="38" t="s">
        <v>10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25" t="s">
        <v>12</v>
      </c>
      <c r="W211" s="27"/>
      <c r="X211" s="27"/>
      <c r="Y211" s="27"/>
      <c r="Z211" s="28"/>
      <c r="AA211" s="27"/>
      <c r="AB211" s="27"/>
      <c r="AC211" s="29" t="s">
        <v>16</v>
      </c>
      <c r="AD211" s="30" t="s">
        <v>13</v>
      </c>
      <c r="AE211" s="27"/>
      <c r="AF211" s="27"/>
      <c r="AG211" s="28"/>
      <c r="AH211" s="27"/>
      <c r="AI211" s="27"/>
      <c r="AJ211" s="29" t="s">
        <v>14</v>
      </c>
      <c r="AK211" s="30" t="s">
        <v>11</v>
      </c>
      <c r="AL211" s="37"/>
      <c r="AM211" s="27"/>
      <c r="AN211" s="28"/>
      <c r="AO211" s="27"/>
      <c r="AP211" s="29" t="s">
        <v>15</v>
      </c>
      <c r="AQ211" s="27"/>
      <c r="AR211" s="27"/>
      <c r="AS211" s="25">
        <v>17</v>
      </c>
      <c r="AT211" s="33"/>
      <c r="AU211" s="33"/>
      <c r="AV211" s="33"/>
      <c r="AW211" s="33"/>
      <c r="AX211" s="33"/>
      <c r="AY211" s="25" t="s">
        <v>12</v>
      </c>
      <c r="AZ211" s="27"/>
      <c r="BA211" s="27"/>
      <c r="BB211" s="27"/>
      <c r="BC211" s="28"/>
      <c r="BD211" s="27"/>
      <c r="BE211" s="27"/>
      <c r="BF211" s="29" t="s">
        <v>16</v>
      </c>
      <c r="BG211" s="30" t="s">
        <v>13</v>
      </c>
      <c r="BH211" s="27"/>
      <c r="BI211" s="27"/>
      <c r="BJ211" s="28"/>
      <c r="BK211" s="27"/>
      <c r="BL211" s="27"/>
      <c r="BM211" s="32" t="s">
        <v>14</v>
      </c>
      <c r="BN211" s="30" t="s">
        <v>11</v>
      </c>
      <c r="BO211" s="27"/>
      <c r="BP211" s="27"/>
      <c r="BQ211" s="28"/>
      <c r="BR211" s="27"/>
      <c r="BS211" s="29" t="s">
        <v>15</v>
      </c>
      <c r="BT211" s="27"/>
      <c r="BU211" s="27"/>
      <c r="BV211" s="25">
        <v>17</v>
      </c>
      <c r="BW211" s="33"/>
      <c r="BX211" s="33"/>
      <c r="BY211" s="33"/>
      <c r="BZ211" s="33"/>
      <c r="CA211" s="33"/>
      <c r="CB211" s="33"/>
      <c r="CC211" s="33"/>
      <c r="CD211" s="33"/>
      <c r="CE211" s="33"/>
      <c r="CF211" s="33"/>
      <c r="CG211" s="33"/>
      <c r="CH211" s="33"/>
      <c r="CI211" s="33"/>
      <c r="CJ211" s="33"/>
      <c r="CK211" s="33"/>
      <c r="CL211" s="33"/>
      <c r="CM211" s="33"/>
      <c r="CN211" s="33"/>
      <c r="CO211" s="33"/>
      <c r="CP211" s="33"/>
    </row>
    <row r="212" spans="1:94" x14ac:dyDescent="0.25">
      <c r="A212" s="25" t="s">
        <v>144</v>
      </c>
      <c r="B212" s="25" t="s">
        <v>270</v>
      </c>
      <c r="C212" s="25" t="s">
        <v>509</v>
      </c>
      <c r="D212" s="25">
        <v>199</v>
      </c>
      <c r="E212" s="35" cm="1">
        <f t="array" ref="E212">IFERROR(INDEX($J$5:$AVX$5, _xlfn.AGGREGATE(15,6, COLUMN(J212:AVX212)-COLUMN(J212)+1 / (J212:AVX212="T"), F212)), "")</f>
        <v>46003</v>
      </c>
      <c r="F212" s="74">
        <f t="shared" si="24"/>
        <v>2</v>
      </c>
      <c r="G212" s="35" cm="1">
        <f t="array" ref="G212">IFERROR(INDEX($J$5:$AVW$5,_xlfn.AGGREGATE(14,6,(COLUMN($J212:$AVW212)-COLUMN($J212)+1)/($J212:$AVW212="T"),1)),"")</f>
        <v>46003</v>
      </c>
      <c r="H212" s="77">
        <f t="shared" si="25"/>
        <v>2</v>
      </c>
      <c r="I212" s="38" t="s">
        <v>10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25" t="s">
        <v>12</v>
      </c>
      <c r="W212" s="27"/>
      <c r="X212" s="27"/>
      <c r="Y212" s="27"/>
      <c r="Z212" s="28"/>
      <c r="AA212" s="27"/>
      <c r="AB212" s="27"/>
      <c r="AC212" s="29" t="s">
        <v>16</v>
      </c>
      <c r="AD212" s="30" t="s">
        <v>13</v>
      </c>
      <c r="AE212" s="27"/>
      <c r="AF212" s="27"/>
      <c r="AG212" s="28"/>
      <c r="AH212" s="27"/>
      <c r="AI212" s="27"/>
      <c r="AJ212" s="29" t="s">
        <v>14</v>
      </c>
      <c r="AK212" s="30" t="s">
        <v>11</v>
      </c>
      <c r="AL212" s="37"/>
      <c r="AM212" s="27"/>
      <c r="AN212" s="28"/>
      <c r="AO212" s="27"/>
      <c r="AP212" s="29" t="s">
        <v>15</v>
      </c>
      <c r="AQ212" s="27"/>
      <c r="AR212" s="27"/>
      <c r="AS212" s="25">
        <v>17</v>
      </c>
      <c r="AT212" s="33"/>
      <c r="AU212" s="33"/>
      <c r="AV212" s="33"/>
      <c r="AW212" s="33"/>
      <c r="AX212" s="33"/>
      <c r="AY212" s="25" t="s">
        <v>12</v>
      </c>
      <c r="AZ212" s="27"/>
      <c r="BA212" s="27"/>
      <c r="BB212" s="27"/>
      <c r="BC212" s="28"/>
      <c r="BD212" s="27"/>
      <c r="BE212" s="27"/>
      <c r="BF212" s="29" t="s">
        <v>16</v>
      </c>
      <c r="BG212" s="30" t="s">
        <v>13</v>
      </c>
      <c r="BH212" s="27"/>
      <c r="BI212" s="27"/>
      <c r="BJ212" s="28"/>
      <c r="BK212" s="27"/>
      <c r="BL212" s="27"/>
      <c r="BM212" s="32" t="s">
        <v>14</v>
      </c>
      <c r="BN212" s="30" t="s">
        <v>11</v>
      </c>
      <c r="BO212" s="27"/>
      <c r="BP212" s="27"/>
      <c r="BQ212" s="28"/>
      <c r="BR212" s="27"/>
      <c r="BS212" s="29" t="s">
        <v>15</v>
      </c>
      <c r="BT212" s="27"/>
      <c r="BU212" s="27"/>
      <c r="BV212" s="25">
        <v>17</v>
      </c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  <c r="CO212" s="33"/>
      <c r="CP212" s="33"/>
    </row>
    <row r="213" spans="1:94" x14ac:dyDescent="0.25">
      <c r="A213" s="25" t="s">
        <v>144</v>
      </c>
      <c r="B213" s="25" t="s">
        <v>271</v>
      </c>
      <c r="C213" s="25" t="s">
        <v>510</v>
      </c>
      <c r="D213" s="25">
        <v>200</v>
      </c>
      <c r="E213" s="35" cm="1">
        <f t="array" ref="E213">IFERROR(INDEX($J$5:$AVX$5, _xlfn.AGGREGATE(15,6, COLUMN(J213:AVX213)-COLUMN(J213)+1 / (J213:AVX213="T"), F213)), "")</f>
        <v>46003</v>
      </c>
      <c r="F213" s="74">
        <f t="shared" si="24"/>
        <v>2</v>
      </c>
      <c r="G213" s="35" cm="1">
        <f t="array" ref="G213">IFERROR(INDEX($J$5:$AVW$5,_xlfn.AGGREGATE(14,6,(COLUMN($J213:$AVW213)-COLUMN($J213)+1)/($J213:$AVW213="T"),1)),"")</f>
        <v>46003</v>
      </c>
      <c r="H213" s="77">
        <f t="shared" si="25"/>
        <v>2</v>
      </c>
      <c r="I213" s="38" t="s">
        <v>10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25" t="s">
        <v>12</v>
      </c>
      <c r="W213" s="27"/>
      <c r="X213" s="27"/>
      <c r="Y213" s="27"/>
      <c r="Z213" s="28"/>
      <c r="AA213" s="27"/>
      <c r="AB213" s="27"/>
      <c r="AC213" s="29" t="s">
        <v>16</v>
      </c>
      <c r="AD213" s="30" t="s">
        <v>13</v>
      </c>
      <c r="AE213" s="27"/>
      <c r="AF213" s="27"/>
      <c r="AG213" s="28"/>
      <c r="AH213" s="27"/>
      <c r="AI213" s="27"/>
      <c r="AJ213" s="29" t="s">
        <v>14</v>
      </c>
      <c r="AK213" s="30" t="s">
        <v>11</v>
      </c>
      <c r="AL213" s="37"/>
      <c r="AM213" s="27"/>
      <c r="AN213" s="28"/>
      <c r="AO213" s="27"/>
      <c r="AP213" s="29" t="s">
        <v>15</v>
      </c>
      <c r="AQ213" s="27"/>
      <c r="AR213" s="27"/>
      <c r="AS213" s="25">
        <v>17</v>
      </c>
      <c r="AT213" s="33"/>
      <c r="AU213" s="33"/>
      <c r="AV213" s="33"/>
      <c r="AW213" s="33"/>
      <c r="AX213" s="33"/>
      <c r="AY213" s="25" t="s">
        <v>12</v>
      </c>
      <c r="AZ213" s="27"/>
      <c r="BA213" s="27"/>
      <c r="BB213" s="27"/>
      <c r="BC213" s="28"/>
      <c r="BD213" s="27"/>
      <c r="BE213" s="27"/>
      <c r="BF213" s="29" t="s">
        <v>16</v>
      </c>
      <c r="BG213" s="30" t="s">
        <v>13</v>
      </c>
      <c r="BH213" s="27"/>
      <c r="BI213" s="27"/>
      <c r="BJ213" s="28"/>
      <c r="BK213" s="27"/>
      <c r="BL213" s="27"/>
      <c r="BM213" s="32" t="s">
        <v>14</v>
      </c>
      <c r="BN213" s="30" t="s">
        <v>11</v>
      </c>
      <c r="BO213" s="27"/>
      <c r="BP213" s="27"/>
      <c r="BQ213" s="28"/>
      <c r="BR213" s="27"/>
      <c r="BS213" s="29" t="s">
        <v>15</v>
      </c>
      <c r="BT213" s="27"/>
      <c r="BU213" s="27"/>
      <c r="BV213" s="25">
        <v>17</v>
      </c>
      <c r="BW213" s="33"/>
      <c r="BX213" s="33"/>
      <c r="BY213" s="33"/>
      <c r="BZ213" s="33"/>
      <c r="CA213" s="33"/>
      <c r="CB213" s="33"/>
      <c r="CC213" s="33"/>
      <c r="CD213" s="33"/>
      <c r="CE213" s="33"/>
      <c r="CF213" s="33"/>
      <c r="CG213" s="33"/>
      <c r="CH213" s="33"/>
      <c r="CI213" s="33"/>
      <c r="CJ213" s="33"/>
      <c r="CK213" s="33"/>
      <c r="CL213" s="33"/>
      <c r="CM213" s="33"/>
      <c r="CN213" s="33"/>
      <c r="CO213" s="33"/>
      <c r="CP213" s="33"/>
    </row>
    <row r="214" spans="1:94" x14ac:dyDescent="0.25">
      <c r="A214" s="25" t="s">
        <v>145</v>
      </c>
      <c r="B214" s="25" t="s">
        <v>290</v>
      </c>
      <c r="C214" s="25" t="s">
        <v>511</v>
      </c>
      <c r="D214" s="25">
        <v>201</v>
      </c>
      <c r="E214" s="35" cm="1">
        <f t="array" ref="E214">IFERROR(INDEX($J$5:$AVX$5, _xlfn.AGGREGATE(15,6, COLUMN(J214:AVX214)-COLUMN(J214)+1 / (J214:AVX214="T"), F214)), "")</f>
        <v>46017</v>
      </c>
      <c r="F214" s="74">
        <f t="shared" si="24"/>
        <v>2</v>
      </c>
      <c r="G214" s="35" cm="1">
        <f t="array" ref="G214">IFERROR(INDEX($J$5:$AVW$5,_xlfn.AGGREGATE(14,6,(COLUMN($J214:$AVW214)-COLUMN($J214)+1)/($J214:$AVW214="T"),1)),"")</f>
        <v>46017</v>
      </c>
      <c r="H214" s="77">
        <f t="shared" si="25"/>
        <v>2</v>
      </c>
      <c r="I214" s="38" t="s">
        <v>10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25" t="s">
        <v>12</v>
      </c>
      <c r="AK214" s="27"/>
      <c r="AL214" s="27"/>
      <c r="AM214" s="27"/>
      <c r="AN214" s="28"/>
      <c r="AO214" s="27"/>
      <c r="AP214" s="27"/>
      <c r="AQ214" s="29" t="s">
        <v>16</v>
      </c>
      <c r="AR214" s="30" t="s">
        <v>13</v>
      </c>
      <c r="AS214" s="27"/>
      <c r="AT214" s="27"/>
      <c r="AU214" s="28"/>
      <c r="AV214" s="27"/>
      <c r="AW214" s="27"/>
      <c r="AX214" s="32" t="s">
        <v>14</v>
      </c>
      <c r="AY214" s="30" t="s">
        <v>11</v>
      </c>
      <c r="AZ214" s="27"/>
      <c r="BA214" s="27"/>
      <c r="BB214" s="28"/>
      <c r="BC214" s="27"/>
      <c r="BD214" s="29" t="s">
        <v>15</v>
      </c>
      <c r="BE214" s="27"/>
      <c r="BF214" s="27"/>
      <c r="BG214" s="25">
        <v>17</v>
      </c>
      <c r="BH214" s="33"/>
      <c r="BI214" s="33"/>
      <c r="BJ214" s="33"/>
      <c r="BK214" s="33"/>
      <c r="BL214" s="33"/>
      <c r="BM214" s="25" t="s">
        <v>12</v>
      </c>
      <c r="BN214" s="27"/>
      <c r="BO214" s="27"/>
      <c r="BP214" s="27"/>
      <c r="BQ214" s="28"/>
      <c r="BR214" s="27"/>
      <c r="BS214" s="27"/>
      <c r="BT214" s="29" t="s">
        <v>16</v>
      </c>
      <c r="BU214" s="30" t="s">
        <v>13</v>
      </c>
      <c r="BV214" s="27"/>
      <c r="BW214" s="27"/>
      <c r="BX214" s="28"/>
      <c r="BY214" s="27"/>
      <c r="BZ214" s="27"/>
      <c r="CA214" s="29" t="s">
        <v>14</v>
      </c>
      <c r="CB214" s="30" t="s">
        <v>11</v>
      </c>
      <c r="CC214" s="37"/>
      <c r="CD214" s="27"/>
      <c r="CE214" s="28"/>
      <c r="CF214" s="27"/>
      <c r="CG214" s="29" t="s">
        <v>15</v>
      </c>
      <c r="CH214" s="27"/>
      <c r="CI214" s="27"/>
      <c r="CJ214" s="25">
        <v>17</v>
      </c>
      <c r="CK214" s="33"/>
      <c r="CL214" s="33"/>
      <c r="CM214" s="33"/>
      <c r="CN214" s="33"/>
      <c r="CO214" s="33"/>
      <c r="CP214" s="33"/>
    </row>
    <row r="215" spans="1:94" x14ac:dyDescent="0.25">
      <c r="A215" s="25" t="s">
        <v>145</v>
      </c>
      <c r="B215" s="25" t="s">
        <v>291</v>
      </c>
      <c r="C215" s="25" t="s">
        <v>512</v>
      </c>
      <c r="D215" s="25">
        <v>202</v>
      </c>
      <c r="E215" s="35" cm="1">
        <f t="array" ref="E215">IFERROR(INDEX($J$5:$AVX$5, _xlfn.AGGREGATE(15,6, COLUMN(J215:AVX215)-COLUMN(J215)+1 / (J215:AVX215="T"), F215)), "")</f>
        <v>46017</v>
      </c>
      <c r="F215" s="74">
        <f t="shared" si="24"/>
        <v>2</v>
      </c>
      <c r="G215" s="35" cm="1">
        <f t="array" ref="G215">IFERROR(INDEX($J$5:$AVW$5,_xlfn.AGGREGATE(14,6,(COLUMN($J215:$AVW215)-COLUMN($J215)+1)/($J215:$AVW215="T"),1)),"")</f>
        <v>46017</v>
      </c>
      <c r="H215" s="77">
        <f t="shared" si="25"/>
        <v>2</v>
      </c>
      <c r="I215" s="38" t="s">
        <v>10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25" t="s">
        <v>12</v>
      </c>
      <c r="AK215" s="27"/>
      <c r="AL215" s="27"/>
      <c r="AM215" s="27"/>
      <c r="AN215" s="28"/>
      <c r="AO215" s="27"/>
      <c r="AP215" s="27"/>
      <c r="AQ215" s="29" t="s">
        <v>16</v>
      </c>
      <c r="AR215" s="30" t="s">
        <v>13</v>
      </c>
      <c r="AS215" s="27"/>
      <c r="AT215" s="27"/>
      <c r="AU215" s="28"/>
      <c r="AV215" s="27"/>
      <c r="AW215" s="27"/>
      <c r="AX215" s="32" t="s">
        <v>14</v>
      </c>
      <c r="AY215" s="30" t="s">
        <v>11</v>
      </c>
      <c r="AZ215" s="27"/>
      <c r="BA215" s="27"/>
      <c r="BB215" s="28"/>
      <c r="BC215" s="27"/>
      <c r="BD215" s="29" t="s">
        <v>15</v>
      </c>
      <c r="BE215" s="27"/>
      <c r="BF215" s="27"/>
      <c r="BG215" s="25">
        <v>17</v>
      </c>
      <c r="BH215" s="33"/>
      <c r="BI215" s="33"/>
      <c r="BJ215" s="33"/>
      <c r="BK215" s="33"/>
      <c r="BL215" s="33"/>
      <c r="BM215" s="25" t="s">
        <v>12</v>
      </c>
      <c r="BN215" s="27"/>
      <c r="BO215" s="27"/>
      <c r="BP215" s="27"/>
      <c r="BQ215" s="28"/>
      <c r="BR215" s="27"/>
      <c r="BS215" s="27"/>
      <c r="BT215" s="29" t="s">
        <v>16</v>
      </c>
      <c r="BU215" s="30" t="s">
        <v>13</v>
      </c>
      <c r="BV215" s="27"/>
      <c r="BW215" s="27"/>
      <c r="BX215" s="28"/>
      <c r="BY215" s="27"/>
      <c r="BZ215" s="27"/>
      <c r="CA215" s="29" t="s">
        <v>14</v>
      </c>
      <c r="CB215" s="30" t="s">
        <v>11</v>
      </c>
      <c r="CC215" s="37"/>
      <c r="CD215" s="27"/>
      <c r="CE215" s="28"/>
      <c r="CF215" s="27"/>
      <c r="CG215" s="29" t="s">
        <v>15</v>
      </c>
      <c r="CH215" s="27"/>
      <c r="CI215" s="27"/>
      <c r="CJ215" s="25">
        <v>17</v>
      </c>
      <c r="CK215" s="33"/>
      <c r="CL215" s="33"/>
      <c r="CM215" s="33"/>
      <c r="CN215" s="33"/>
      <c r="CO215" s="33"/>
      <c r="CP215" s="33"/>
    </row>
    <row r="216" spans="1:94" x14ac:dyDescent="0.25">
      <c r="A216" s="25" t="s">
        <v>145</v>
      </c>
      <c r="B216" s="25" t="s">
        <v>292</v>
      </c>
      <c r="C216" s="25" t="s">
        <v>513</v>
      </c>
      <c r="D216" s="25">
        <v>203</v>
      </c>
      <c r="E216" s="35" cm="1">
        <f t="array" ref="E216">IFERROR(INDEX($J$5:$AVX$5, _xlfn.AGGREGATE(15,6, COLUMN(J216:AVX216)-COLUMN(J216)+1 / (J216:AVX216="T"), F216)), "")</f>
        <v>46017</v>
      </c>
      <c r="F216" s="74">
        <f t="shared" si="24"/>
        <v>2</v>
      </c>
      <c r="G216" s="35" cm="1">
        <f t="array" ref="G216">IFERROR(INDEX($J$5:$AVW$5,_xlfn.AGGREGATE(14,6,(COLUMN($J216:$AVW216)-COLUMN($J216)+1)/($J216:$AVW216="T"),1)),"")</f>
        <v>46017</v>
      </c>
      <c r="H216" s="77">
        <f t="shared" si="25"/>
        <v>2</v>
      </c>
      <c r="I216" s="38" t="s">
        <v>10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25" t="s">
        <v>12</v>
      </c>
      <c r="AK216" s="27"/>
      <c r="AL216" s="27"/>
      <c r="AM216" s="27"/>
      <c r="AN216" s="28"/>
      <c r="AO216" s="27"/>
      <c r="AP216" s="27"/>
      <c r="AQ216" s="29" t="s">
        <v>16</v>
      </c>
      <c r="AR216" s="30" t="s">
        <v>13</v>
      </c>
      <c r="AS216" s="27"/>
      <c r="AT216" s="27"/>
      <c r="AU216" s="28"/>
      <c r="AV216" s="27"/>
      <c r="AW216" s="27"/>
      <c r="AX216" s="32" t="s">
        <v>14</v>
      </c>
      <c r="AY216" s="30" t="s">
        <v>11</v>
      </c>
      <c r="AZ216" s="27"/>
      <c r="BA216" s="27"/>
      <c r="BB216" s="28"/>
      <c r="BC216" s="27"/>
      <c r="BD216" s="29" t="s">
        <v>15</v>
      </c>
      <c r="BE216" s="27"/>
      <c r="BF216" s="27"/>
      <c r="BG216" s="25">
        <v>17</v>
      </c>
      <c r="BH216" s="33"/>
      <c r="BI216" s="33"/>
      <c r="BJ216" s="33"/>
      <c r="BK216" s="33"/>
      <c r="BL216" s="33"/>
      <c r="BM216" s="25" t="s">
        <v>12</v>
      </c>
      <c r="BN216" s="27"/>
      <c r="BO216" s="27"/>
      <c r="BP216" s="27"/>
      <c r="BQ216" s="28"/>
      <c r="BR216" s="27"/>
      <c r="BS216" s="27"/>
      <c r="BT216" s="29" t="s">
        <v>16</v>
      </c>
      <c r="BU216" s="30" t="s">
        <v>13</v>
      </c>
      <c r="BV216" s="27"/>
      <c r="BW216" s="27"/>
      <c r="BX216" s="28"/>
      <c r="BY216" s="27"/>
      <c r="BZ216" s="27"/>
      <c r="CA216" s="29" t="s">
        <v>14</v>
      </c>
      <c r="CB216" s="30" t="s">
        <v>11</v>
      </c>
      <c r="CC216" s="37"/>
      <c r="CD216" s="27"/>
      <c r="CE216" s="28"/>
      <c r="CF216" s="27"/>
      <c r="CG216" s="29" t="s">
        <v>15</v>
      </c>
      <c r="CH216" s="27"/>
      <c r="CI216" s="27"/>
      <c r="CJ216" s="25">
        <v>17</v>
      </c>
      <c r="CK216" s="33"/>
      <c r="CL216" s="33"/>
      <c r="CM216" s="33"/>
      <c r="CN216" s="33"/>
      <c r="CO216" s="33"/>
      <c r="CP216" s="33"/>
    </row>
    <row r="217" spans="1:94" x14ac:dyDescent="0.25">
      <c r="A217" s="25" t="s">
        <v>145</v>
      </c>
      <c r="B217" s="25" t="s">
        <v>293</v>
      </c>
      <c r="C217" s="25" t="s">
        <v>514</v>
      </c>
      <c r="D217" s="25">
        <v>204</v>
      </c>
      <c r="E217" s="35" cm="1">
        <f t="array" ref="E217">IFERROR(INDEX($J$5:$AVX$5, _xlfn.AGGREGATE(15,6, COLUMN(J217:AVX217)-COLUMN(J217)+1 / (J217:AVX217="T"), F217)), "")</f>
        <v>46017</v>
      </c>
      <c r="F217" s="74">
        <f t="shared" si="24"/>
        <v>2</v>
      </c>
      <c r="G217" s="35" cm="1">
        <f t="array" ref="G217">IFERROR(INDEX($J$5:$AVW$5,_xlfn.AGGREGATE(14,6,(COLUMN($J217:$AVW217)-COLUMN($J217)+1)/($J217:$AVW217="T"),1)),"")</f>
        <v>46017</v>
      </c>
      <c r="H217" s="77">
        <f t="shared" si="25"/>
        <v>2</v>
      </c>
      <c r="I217" s="38" t="s">
        <v>10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25" t="s">
        <v>12</v>
      </c>
      <c r="AK217" s="27"/>
      <c r="AL217" s="27"/>
      <c r="AM217" s="27"/>
      <c r="AN217" s="28"/>
      <c r="AO217" s="27"/>
      <c r="AP217" s="27"/>
      <c r="AQ217" s="29" t="s">
        <v>16</v>
      </c>
      <c r="AR217" s="30" t="s">
        <v>13</v>
      </c>
      <c r="AS217" s="27"/>
      <c r="AT217" s="27"/>
      <c r="AU217" s="28"/>
      <c r="AV217" s="27"/>
      <c r="AW217" s="27"/>
      <c r="AX217" s="32" t="s">
        <v>14</v>
      </c>
      <c r="AY217" s="30" t="s">
        <v>11</v>
      </c>
      <c r="AZ217" s="27"/>
      <c r="BA217" s="27"/>
      <c r="BB217" s="28"/>
      <c r="BC217" s="27"/>
      <c r="BD217" s="29" t="s">
        <v>15</v>
      </c>
      <c r="BE217" s="27"/>
      <c r="BF217" s="27"/>
      <c r="BG217" s="25">
        <v>17</v>
      </c>
      <c r="BH217" s="33"/>
      <c r="BI217" s="33"/>
      <c r="BJ217" s="33"/>
      <c r="BK217" s="33"/>
      <c r="BL217" s="33"/>
      <c r="BM217" s="25" t="s">
        <v>12</v>
      </c>
      <c r="BN217" s="27"/>
      <c r="BO217" s="27"/>
      <c r="BP217" s="27"/>
      <c r="BQ217" s="28"/>
      <c r="BR217" s="27"/>
      <c r="BS217" s="27"/>
      <c r="BT217" s="29" t="s">
        <v>16</v>
      </c>
      <c r="BU217" s="30" t="s">
        <v>13</v>
      </c>
      <c r="BV217" s="27"/>
      <c r="BW217" s="27"/>
      <c r="BX217" s="28"/>
      <c r="BY217" s="27"/>
      <c r="BZ217" s="27"/>
      <c r="CA217" s="29" t="s">
        <v>14</v>
      </c>
      <c r="CB217" s="30" t="s">
        <v>11</v>
      </c>
      <c r="CC217" s="37"/>
      <c r="CD217" s="27"/>
      <c r="CE217" s="28"/>
      <c r="CF217" s="27"/>
      <c r="CG217" s="29" t="s">
        <v>15</v>
      </c>
      <c r="CH217" s="27"/>
      <c r="CI217" s="27"/>
      <c r="CJ217" s="25">
        <v>17</v>
      </c>
      <c r="CK217" s="33"/>
      <c r="CL217" s="33"/>
      <c r="CM217" s="33"/>
      <c r="CN217" s="33"/>
      <c r="CO217" s="33"/>
      <c r="CP217" s="33"/>
    </row>
    <row r="218" spans="1:94" x14ac:dyDescent="0.25">
      <c r="A218" s="25" t="s">
        <v>145</v>
      </c>
      <c r="B218" s="25" t="s">
        <v>294</v>
      </c>
      <c r="C218" s="25" t="s">
        <v>515</v>
      </c>
      <c r="D218" s="25">
        <v>205</v>
      </c>
      <c r="E218" s="35" cm="1">
        <f t="array" ref="E218">IFERROR(INDEX($J$5:$AVX$5, _xlfn.AGGREGATE(15,6, COLUMN(J218:AVX218)-COLUMN(J218)+1 / (J218:AVX218="T"), F218)), "")</f>
        <v>46017</v>
      </c>
      <c r="F218" s="74">
        <f t="shared" si="24"/>
        <v>2</v>
      </c>
      <c r="G218" s="35" cm="1">
        <f t="array" ref="G218">IFERROR(INDEX($J$5:$AVW$5,_xlfn.AGGREGATE(14,6,(COLUMN($J218:$AVW218)-COLUMN($J218)+1)/($J218:$AVW218="T"),1)),"")</f>
        <v>46017</v>
      </c>
      <c r="H218" s="77">
        <f t="shared" si="25"/>
        <v>2</v>
      </c>
      <c r="I218" s="38" t="s">
        <v>10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25" t="s">
        <v>12</v>
      </c>
      <c r="AL218" s="27"/>
      <c r="AM218" s="27"/>
      <c r="AN218" s="27"/>
      <c r="AO218" s="28"/>
      <c r="AP218" s="27"/>
      <c r="AQ218" s="27"/>
      <c r="AR218" s="29" t="s">
        <v>16</v>
      </c>
      <c r="AS218" s="30" t="s">
        <v>13</v>
      </c>
      <c r="AT218" s="27"/>
      <c r="AU218" s="27"/>
      <c r="AV218" s="28"/>
      <c r="AW218" s="27"/>
      <c r="AX218" s="27"/>
      <c r="AY218" s="32" t="s">
        <v>14</v>
      </c>
      <c r="AZ218" s="30" t="s">
        <v>11</v>
      </c>
      <c r="BA218" s="27"/>
      <c r="BB218" s="27"/>
      <c r="BC218" s="28"/>
      <c r="BD218" s="27"/>
      <c r="BE218" s="29" t="s">
        <v>15</v>
      </c>
      <c r="BF218" s="27"/>
      <c r="BG218" s="27"/>
      <c r="BH218" s="25">
        <v>17</v>
      </c>
      <c r="BI218" s="33"/>
      <c r="BJ218" s="33"/>
      <c r="BK218" s="33"/>
      <c r="BL218" s="33"/>
      <c r="BM218" s="25" t="s">
        <v>12</v>
      </c>
      <c r="BN218" s="27"/>
      <c r="BO218" s="27"/>
      <c r="BP218" s="27"/>
      <c r="BQ218" s="28"/>
      <c r="BR218" s="27"/>
      <c r="BS218" s="27"/>
      <c r="BT218" s="29" t="s">
        <v>16</v>
      </c>
      <c r="BU218" s="30" t="s">
        <v>13</v>
      </c>
      <c r="BV218" s="27"/>
      <c r="BW218" s="27"/>
      <c r="BX218" s="28"/>
      <c r="BY218" s="27"/>
      <c r="BZ218" s="27"/>
      <c r="CA218" s="29" t="s">
        <v>14</v>
      </c>
      <c r="CB218" s="30" t="s">
        <v>11</v>
      </c>
      <c r="CC218" s="37"/>
      <c r="CD218" s="27"/>
      <c r="CE218" s="28"/>
      <c r="CF218" s="27"/>
      <c r="CG218" s="29" t="s">
        <v>15</v>
      </c>
      <c r="CH218" s="27"/>
      <c r="CI218" s="27"/>
      <c r="CJ218" s="25">
        <v>17</v>
      </c>
      <c r="CK218" s="33"/>
      <c r="CL218" s="33"/>
      <c r="CM218" s="33"/>
      <c r="CN218" s="33"/>
      <c r="CO218" s="33"/>
      <c r="CP218" s="33"/>
    </row>
    <row r="219" spans="1:94" x14ac:dyDescent="0.25">
      <c r="A219" s="25" t="s">
        <v>145</v>
      </c>
      <c r="B219" s="25" t="s">
        <v>295</v>
      </c>
      <c r="C219" s="25" t="s">
        <v>516</v>
      </c>
      <c r="D219" s="25">
        <v>206</v>
      </c>
      <c r="E219" s="35" cm="1">
        <f t="array" ref="E219">IFERROR(INDEX($J$5:$AVX$5, _xlfn.AGGREGATE(15,6, COLUMN(J219:AVX219)-COLUMN(J219)+1 / (J219:AVX219="T"), F219)), "")</f>
        <v>46017</v>
      </c>
      <c r="F219" s="74">
        <f t="shared" si="24"/>
        <v>2</v>
      </c>
      <c r="G219" s="35" cm="1">
        <f t="array" ref="G219">IFERROR(INDEX($J$5:$AVW$5,_xlfn.AGGREGATE(14,6,(COLUMN($J219:$AVW219)-COLUMN($J219)+1)/($J219:$AVW219="T"),1)),"")</f>
        <v>46017</v>
      </c>
      <c r="H219" s="77">
        <f t="shared" si="25"/>
        <v>2</v>
      </c>
      <c r="I219" s="38" t="s">
        <v>10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25" t="s">
        <v>12</v>
      </c>
      <c r="AL219" s="27"/>
      <c r="AM219" s="27"/>
      <c r="AN219" s="27"/>
      <c r="AO219" s="28"/>
      <c r="AP219" s="27"/>
      <c r="AQ219" s="27"/>
      <c r="AR219" s="29" t="s">
        <v>16</v>
      </c>
      <c r="AS219" s="30" t="s">
        <v>13</v>
      </c>
      <c r="AT219" s="27"/>
      <c r="AU219" s="27"/>
      <c r="AV219" s="28"/>
      <c r="AW219" s="27"/>
      <c r="AX219" s="27"/>
      <c r="AY219" s="32" t="s">
        <v>14</v>
      </c>
      <c r="AZ219" s="30" t="s">
        <v>11</v>
      </c>
      <c r="BA219" s="27"/>
      <c r="BB219" s="27"/>
      <c r="BC219" s="28"/>
      <c r="BD219" s="27"/>
      <c r="BE219" s="29" t="s">
        <v>15</v>
      </c>
      <c r="BF219" s="27"/>
      <c r="BG219" s="27"/>
      <c r="BH219" s="25">
        <v>17</v>
      </c>
      <c r="BI219" s="33"/>
      <c r="BJ219" s="33"/>
      <c r="BK219" s="33"/>
      <c r="BL219" s="33"/>
      <c r="BM219" s="25" t="s">
        <v>12</v>
      </c>
      <c r="BN219" s="27"/>
      <c r="BO219" s="27"/>
      <c r="BP219" s="27"/>
      <c r="BQ219" s="28"/>
      <c r="BR219" s="27"/>
      <c r="BS219" s="27"/>
      <c r="BT219" s="29" t="s">
        <v>16</v>
      </c>
      <c r="BU219" s="30" t="s">
        <v>13</v>
      </c>
      <c r="BV219" s="27"/>
      <c r="BW219" s="27"/>
      <c r="BX219" s="28"/>
      <c r="BY219" s="27"/>
      <c r="BZ219" s="27"/>
      <c r="CA219" s="29" t="s">
        <v>14</v>
      </c>
      <c r="CB219" s="30" t="s">
        <v>11</v>
      </c>
      <c r="CC219" s="37"/>
      <c r="CD219" s="27"/>
      <c r="CE219" s="28"/>
      <c r="CF219" s="27"/>
      <c r="CG219" s="29" t="s">
        <v>15</v>
      </c>
      <c r="CH219" s="27"/>
      <c r="CI219" s="27"/>
      <c r="CJ219" s="25">
        <v>17</v>
      </c>
      <c r="CK219" s="33"/>
      <c r="CL219" s="33"/>
      <c r="CM219" s="33"/>
      <c r="CN219" s="33"/>
      <c r="CO219" s="33"/>
      <c r="CP219" s="33"/>
    </row>
    <row r="220" spans="1:94" x14ac:dyDescent="0.25">
      <c r="A220" s="25" t="s">
        <v>145</v>
      </c>
      <c r="B220" s="25" t="s">
        <v>296</v>
      </c>
      <c r="C220" s="25" t="s">
        <v>517</v>
      </c>
      <c r="D220" s="25">
        <v>207</v>
      </c>
      <c r="E220" s="35" cm="1">
        <f t="array" ref="E220">IFERROR(INDEX($J$5:$AVX$5, _xlfn.AGGREGATE(15,6, COLUMN(J220:AVX220)-COLUMN(J220)+1 / (J220:AVX220="T"), F220)), "")</f>
        <v>46017</v>
      </c>
      <c r="F220" s="74">
        <f t="shared" si="24"/>
        <v>2</v>
      </c>
      <c r="G220" s="35" cm="1">
        <f t="array" ref="G220">IFERROR(INDEX($J$5:$AVW$5,_xlfn.AGGREGATE(14,6,(COLUMN($J220:$AVW220)-COLUMN($J220)+1)/($J220:$AVW220="T"),1)),"")</f>
        <v>46017</v>
      </c>
      <c r="H220" s="77">
        <f t="shared" si="25"/>
        <v>2</v>
      </c>
      <c r="I220" s="38" t="s">
        <v>10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25" t="s">
        <v>12</v>
      </c>
      <c r="AL220" s="27"/>
      <c r="AM220" s="27"/>
      <c r="AN220" s="27"/>
      <c r="AO220" s="28"/>
      <c r="AP220" s="27"/>
      <c r="AQ220" s="27"/>
      <c r="AR220" s="29" t="s">
        <v>16</v>
      </c>
      <c r="AS220" s="30" t="s">
        <v>13</v>
      </c>
      <c r="AT220" s="27"/>
      <c r="AU220" s="27"/>
      <c r="AV220" s="28"/>
      <c r="AW220" s="27"/>
      <c r="AX220" s="27"/>
      <c r="AY220" s="32" t="s">
        <v>14</v>
      </c>
      <c r="AZ220" s="30" t="s">
        <v>11</v>
      </c>
      <c r="BA220" s="27"/>
      <c r="BB220" s="27"/>
      <c r="BC220" s="28"/>
      <c r="BD220" s="27"/>
      <c r="BE220" s="29" t="s">
        <v>15</v>
      </c>
      <c r="BF220" s="27"/>
      <c r="BG220" s="27"/>
      <c r="BH220" s="25">
        <v>17</v>
      </c>
      <c r="BI220" s="33"/>
      <c r="BJ220" s="33"/>
      <c r="BK220" s="33"/>
      <c r="BL220" s="33"/>
      <c r="BM220" s="25" t="s">
        <v>12</v>
      </c>
      <c r="BN220" s="27"/>
      <c r="BO220" s="27"/>
      <c r="BP220" s="27"/>
      <c r="BQ220" s="28"/>
      <c r="BR220" s="27"/>
      <c r="BS220" s="27"/>
      <c r="BT220" s="29" t="s">
        <v>16</v>
      </c>
      <c r="BU220" s="30" t="s">
        <v>13</v>
      </c>
      <c r="BV220" s="27"/>
      <c r="BW220" s="27"/>
      <c r="BX220" s="28"/>
      <c r="BY220" s="27"/>
      <c r="BZ220" s="27"/>
      <c r="CA220" s="29" t="s">
        <v>14</v>
      </c>
      <c r="CB220" s="30" t="s">
        <v>11</v>
      </c>
      <c r="CC220" s="37"/>
      <c r="CD220" s="27"/>
      <c r="CE220" s="28"/>
      <c r="CF220" s="27"/>
      <c r="CG220" s="29" t="s">
        <v>15</v>
      </c>
      <c r="CH220" s="27"/>
      <c r="CI220" s="27"/>
      <c r="CJ220" s="25">
        <v>17</v>
      </c>
      <c r="CK220" s="33"/>
      <c r="CL220" s="33"/>
      <c r="CM220" s="33"/>
      <c r="CN220" s="33"/>
      <c r="CO220" s="33"/>
      <c r="CP220" s="33"/>
    </row>
    <row r="221" spans="1:94" x14ac:dyDescent="0.25">
      <c r="A221" s="25" t="s">
        <v>145</v>
      </c>
      <c r="B221" s="25" t="s">
        <v>297</v>
      </c>
      <c r="C221" s="25" t="s">
        <v>518</v>
      </c>
      <c r="D221" s="25">
        <v>208</v>
      </c>
      <c r="E221" s="35" cm="1">
        <f t="array" ref="E221">IFERROR(INDEX($J$5:$AVX$5, _xlfn.AGGREGATE(15,6, COLUMN(J221:AVX221)-COLUMN(J221)+1 / (J221:AVX221="T"), F221)), "")</f>
        <v>46018</v>
      </c>
      <c r="F221" s="74">
        <f t="shared" si="24"/>
        <v>2</v>
      </c>
      <c r="G221" s="35" cm="1">
        <f t="array" ref="G221">IFERROR(INDEX($J$5:$AVW$5,_xlfn.AGGREGATE(14,6,(COLUMN($J221:$AVW221)-COLUMN($J221)+1)/($J221:$AVW221="T"),1)),"")</f>
        <v>46018</v>
      </c>
      <c r="H221" s="77">
        <f t="shared" si="25"/>
        <v>2</v>
      </c>
      <c r="I221" s="38" t="s">
        <v>10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25" t="s">
        <v>12</v>
      </c>
      <c r="AL221" s="27"/>
      <c r="AM221" s="27"/>
      <c r="AN221" s="27"/>
      <c r="AO221" s="28"/>
      <c r="AP221" s="27"/>
      <c r="AQ221" s="27"/>
      <c r="AR221" s="29" t="s">
        <v>16</v>
      </c>
      <c r="AS221" s="30" t="s">
        <v>13</v>
      </c>
      <c r="AT221" s="27"/>
      <c r="AU221" s="27"/>
      <c r="AV221" s="28"/>
      <c r="AW221" s="27"/>
      <c r="AX221" s="27"/>
      <c r="AY221" s="32" t="s">
        <v>14</v>
      </c>
      <c r="AZ221" s="30" t="s">
        <v>11</v>
      </c>
      <c r="BA221" s="27"/>
      <c r="BB221" s="27"/>
      <c r="BC221" s="28"/>
      <c r="BD221" s="27"/>
      <c r="BE221" s="29" t="s">
        <v>15</v>
      </c>
      <c r="BF221" s="27"/>
      <c r="BG221" s="27"/>
      <c r="BH221" s="25">
        <v>17</v>
      </c>
      <c r="BI221" s="33"/>
      <c r="BJ221" s="33"/>
      <c r="BK221" s="33"/>
      <c r="BL221" s="33"/>
      <c r="BM221" s="33"/>
      <c r="BN221" s="25" t="s">
        <v>12</v>
      </c>
      <c r="BO221" s="27"/>
      <c r="BP221" s="27"/>
      <c r="BQ221" s="27"/>
      <c r="BR221" s="28"/>
      <c r="BS221" s="27"/>
      <c r="BT221" s="27"/>
      <c r="BU221" s="29" t="s">
        <v>16</v>
      </c>
      <c r="BV221" s="30" t="s">
        <v>13</v>
      </c>
      <c r="BW221" s="27"/>
      <c r="BX221" s="27"/>
      <c r="BY221" s="28"/>
      <c r="BZ221" s="27"/>
      <c r="CA221" s="27"/>
      <c r="CB221" s="29" t="s">
        <v>14</v>
      </c>
      <c r="CC221" s="30" t="s">
        <v>11</v>
      </c>
      <c r="CD221" s="37"/>
      <c r="CE221" s="27"/>
      <c r="CF221" s="28"/>
      <c r="CG221" s="27"/>
      <c r="CH221" s="29" t="s">
        <v>15</v>
      </c>
      <c r="CI221" s="27"/>
      <c r="CJ221" s="27"/>
      <c r="CK221" s="25">
        <v>17</v>
      </c>
      <c r="CL221" s="33"/>
      <c r="CM221" s="33"/>
      <c r="CN221" s="33"/>
      <c r="CO221" s="33"/>
      <c r="CP221" s="33"/>
    </row>
    <row r="222" spans="1:94" x14ac:dyDescent="0.25">
      <c r="A222" s="25" t="s">
        <v>145</v>
      </c>
      <c r="B222" s="25" t="s">
        <v>298</v>
      </c>
      <c r="C222" s="25" t="s">
        <v>519</v>
      </c>
      <c r="D222" s="25">
        <v>209</v>
      </c>
      <c r="E222" s="35" cm="1">
        <f t="array" ref="E222">IFERROR(INDEX($J$5:$AVX$5, _xlfn.AGGREGATE(15,6, COLUMN(J222:AVX222)-COLUMN(J222)+1 / (J222:AVX222="T"), F222)), "")</f>
        <v>46018</v>
      </c>
      <c r="F222" s="74">
        <f t="shared" si="24"/>
        <v>2</v>
      </c>
      <c r="G222" s="35" cm="1">
        <f t="array" ref="G222">IFERROR(INDEX($J$5:$AVW$5,_xlfn.AGGREGATE(14,6,(COLUMN($J222:$AVW222)-COLUMN($J222)+1)/($J222:$AVW222="T"),1)),"")</f>
        <v>46018</v>
      </c>
      <c r="H222" s="77">
        <f t="shared" si="25"/>
        <v>2</v>
      </c>
      <c r="I222" s="38" t="s">
        <v>10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25" t="s">
        <v>12</v>
      </c>
      <c r="AL222" s="27"/>
      <c r="AM222" s="27"/>
      <c r="AN222" s="27"/>
      <c r="AO222" s="28"/>
      <c r="AP222" s="27"/>
      <c r="AQ222" s="27"/>
      <c r="AR222" s="29" t="s">
        <v>16</v>
      </c>
      <c r="AS222" s="30" t="s">
        <v>13</v>
      </c>
      <c r="AT222" s="27"/>
      <c r="AU222" s="27"/>
      <c r="AV222" s="28"/>
      <c r="AW222" s="27"/>
      <c r="AX222" s="27"/>
      <c r="AY222" s="32" t="s">
        <v>14</v>
      </c>
      <c r="AZ222" s="30" t="s">
        <v>11</v>
      </c>
      <c r="BA222" s="27"/>
      <c r="BB222" s="27"/>
      <c r="BC222" s="28"/>
      <c r="BD222" s="27"/>
      <c r="BE222" s="29" t="s">
        <v>15</v>
      </c>
      <c r="BF222" s="27"/>
      <c r="BG222" s="27"/>
      <c r="BH222" s="25">
        <v>17</v>
      </c>
      <c r="BI222" s="33"/>
      <c r="BJ222" s="33"/>
      <c r="BK222" s="33"/>
      <c r="BL222" s="33"/>
      <c r="BM222" s="33"/>
      <c r="BN222" s="25" t="s">
        <v>12</v>
      </c>
      <c r="BO222" s="27"/>
      <c r="BP222" s="27"/>
      <c r="BQ222" s="27"/>
      <c r="BR222" s="28"/>
      <c r="BS222" s="27"/>
      <c r="BT222" s="27"/>
      <c r="BU222" s="29" t="s">
        <v>16</v>
      </c>
      <c r="BV222" s="30" t="s">
        <v>13</v>
      </c>
      <c r="BW222" s="27"/>
      <c r="BX222" s="27"/>
      <c r="BY222" s="28"/>
      <c r="BZ222" s="27"/>
      <c r="CA222" s="27"/>
      <c r="CB222" s="29" t="s">
        <v>14</v>
      </c>
      <c r="CC222" s="30" t="s">
        <v>11</v>
      </c>
      <c r="CD222" s="37"/>
      <c r="CE222" s="27"/>
      <c r="CF222" s="28"/>
      <c r="CG222" s="27"/>
      <c r="CH222" s="29" t="s">
        <v>15</v>
      </c>
      <c r="CI222" s="27"/>
      <c r="CJ222" s="27"/>
      <c r="CK222" s="25">
        <v>17</v>
      </c>
      <c r="CL222" s="33"/>
      <c r="CM222" s="33"/>
      <c r="CN222" s="33"/>
      <c r="CO222" s="33"/>
      <c r="CP222" s="33"/>
    </row>
    <row r="223" spans="1:94" x14ac:dyDescent="0.25">
      <c r="A223" s="25" t="s">
        <v>145</v>
      </c>
      <c r="B223" s="25" t="s">
        <v>299</v>
      </c>
      <c r="C223" s="25" t="s">
        <v>520</v>
      </c>
      <c r="D223" s="25">
        <v>210</v>
      </c>
      <c r="E223" s="35" cm="1">
        <f t="array" ref="E223">IFERROR(INDEX($J$5:$AVX$5, _xlfn.AGGREGATE(15,6, COLUMN(J223:AVX223)-COLUMN(J223)+1 / (J223:AVX223="T"), F223)), "")</f>
        <v>46018</v>
      </c>
      <c r="F223" s="74">
        <f t="shared" si="24"/>
        <v>2</v>
      </c>
      <c r="G223" s="35" cm="1">
        <f t="array" ref="G223">IFERROR(INDEX($J$5:$AVW$5,_xlfn.AGGREGATE(14,6,(COLUMN($J223:$AVW223)-COLUMN($J223)+1)/($J223:$AVW223="T"),1)),"")</f>
        <v>46018</v>
      </c>
      <c r="H223" s="77">
        <f t="shared" si="25"/>
        <v>2</v>
      </c>
      <c r="I223" s="38" t="s">
        <v>10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25" t="s">
        <v>12</v>
      </c>
      <c r="AL223" s="27"/>
      <c r="AM223" s="27"/>
      <c r="AN223" s="27"/>
      <c r="AO223" s="28"/>
      <c r="AP223" s="27"/>
      <c r="AQ223" s="27"/>
      <c r="AR223" s="29" t="s">
        <v>16</v>
      </c>
      <c r="AS223" s="30" t="s">
        <v>13</v>
      </c>
      <c r="AT223" s="27"/>
      <c r="AU223" s="27"/>
      <c r="AV223" s="28"/>
      <c r="AW223" s="27"/>
      <c r="AX223" s="27"/>
      <c r="AY223" s="32" t="s">
        <v>14</v>
      </c>
      <c r="AZ223" s="30" t="s">
        <v>11</v>
      </c>
      <c r="BA223" s="27"/>
      <c r="BB223" s="27"/>
      <c r="BC223" s="28"/>
      <c r="BD223" s="27"/>
      <c r="BE223" s="29" t="s">
        <v>15</v>
      </c>
      <c r="BF223" s="27"/>
      <c r="BG223" s="27"/>
      <c r="BH223" s="25">
        <v>17</v>
      </c>
      <c r="BI223" s="33"/>
      <c r="BJ223" s="33"/>
      <c r="BK223" s="33"/>
      <c r="BL223" s="33"/>
      <c r="BM223" s="33"/>
      <c r="BN223" s="25" t="s">
        <v>12</v>
      </c>
      <c r="BO223" s="27"/>
      <c r="BP223" s="27"/>
      <c r="BQ223" s="27"/>
      <c r="BR223" s="28"/>
      <c r="BS223" s="27"/>
      <c r="BT223" s="27"/>
      <c r="BU223" s="29" t="s">
        <v>16</v>
      </c>
      <c r="BV223" s="30" t="s">
        <v>13</v>
      </c>
      <c r="BW223" s="27"/>
      <c r="BX223" s="27"/>
      <c r="BY223" s="28"/>
      <c r="BZ223" s="27"/>
      <c r="CA223" s="27"/>
      <c r="CB223" s="29" t="s">
        <v>14</v>
      </c>
      <c r="CC223" s="30" t="s">
        <v>11</v>
      </c>
      <c r="CD223" s="37"/>
      <c r="CE223" s="27"/>
      <c r="CF223" s="28"/>
      <c r="CG223" s="27"/>
      <c r="CH223" s="29" t="s">
        <v>15</v>
      </c>
      <c r="CI223" s="27"/>
      <c r="CJ223" s="27"/>
      <c r="CK223" s="25">
        <v>17</v>
      </c>
      <c r="CL223" s="33"/>
      <c r="CM223" s="33"/>
      <c r="CN223" s="33"/>
      <c r="CO223" s="33"/>
      <c r="CP223" s="33"/>
    </row>
    <row r="224" spans="1:94" x14ac:dyDescent="0.25">
      <c r="A224" s="25" t="s">
        <v>145</v>
      </c>
      <c r="B224" s="25" t="s">
        <v>300</v>
      </c>
      <c r="C224" s="25" t="s">
        <v>521</v>
      </c>
      <c r="D224" s="25">
        <v>211</v>
      </c>
      <c r="E224" s="35" cm="1">
        <f t="array" ref="E224">IFERROR(INDEX($J$5:$AVX$5, _xlfn.AGGREGATE(15,6, COLUMN(J224:AVX224)-COLUMN(J224)+1 / (J224:AVX224="T"), F224)), "")</f>
        <v>46018</v>
      </c>
      <c r="F224" s="74">
        <f t="shared" si="24"/>
        <v>2</v>
      </c>
      <c r="G224" s="35" cm="1">
        <f t="array" ref="G224">IFERROR(INDEX($J$5:$AVW$5,_xlfn.AGGREGATE(14,6,(COLUMN($J224:$AVW224)-COLUMN($J224)+1)/($J224:$AVW224="T"),1)),"")</f>
        <v>46018</v>
      </c>
      <c r="H224" s="77">
        <f t="shared" si="25"/>
        <v>2</v>
      </c>
      <c r="I224" s="38" t="s">
        <v>10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25" t="s">
        <v>12</v>
      </c>
      <c r="AL224" s="27"/>
      <c r="AM224" s="27"/>
      <c r="AN224" s="27"/>
      <c r="AO224" s="28"/>
      <c r="AP224" s="27"/>
      <c r="AQ224" s="27"/>
      <c r="AR224" s="29" t="s">
        <v>16</v>
      </c>
      <c r="AS224" s="30" t="s">
        <v>13</v>
      </c>
      <c r="AT224" s="27"/>
      <c r="AU224" s="27"/>
      <c r="AV224" s="28"/>
      <c r="AW224" s="27"/>
      <c r="AX224" s="27"/>
      <c r="AY224" s="32" t="s">
        <v>14</v>
      </c>
      <c r="AZ224" s="30" t="s">
        <v>11</v>
      </c>
      <c r="BA224" s="27"/>
      <c r="BB224" s="27"/>
      <c r="BC224" s="28"/>
      <c r="BD224" s="27"/>
      <c r="BE224" s="29" t="s">
        <v>15</v>
      </c>
      <c r="BF224" s="27"/>
      <c r="BG224" s="27"/>
      <c r="BH224" s="25">
        <v>17</v>
      </c>
      <c r="BI224" s="33"/>
      <c r="BJ224" s="33"/>
      <c r="BK224" s="33"/>
      <c r="BL224" s="33"/>
      <c r="BM224" s="33"/>
      <c r="BN224" s="25" t="s">
        <v>12</v>
      </c>
      <c r="BO224" s="27"/>
      <c r="BP224" s="27"/>
      <c r="BQ224" s="27"/>
      <c r="BR224" s="28"/>
      <c r="BS224" s="27"/>
      <c r="BT224" s="27"/>
      <c r="BU224" s="29" t="s">
        <v>16</v>
      </c>
      <c r="BV224" s="30" t="s">
        <v>13</v>
      </c>
      <c r="BW224" s="27"/>
      <c r="BX224" s="27"/>
      <c r="BY224" s="28"/>
      <c r="BZ224" s="27"/>
      <c r="CA224" s="27"/>
      <c r="CB224" s="29" t="s">
        <v>14</v>
      </c>
      <c r="CC224" s="30" t="s">
        <v>11</v>
      </c>
      <c r="CD224" s="37"/>
      <c r="CE224" s="27"/>
      <c r="CF224" s="28"/>
      <c r="CG224" s="27"/>
      <c r="CH224" s="29" t="s">
        <v>15</v>
      </c>
      <c r="CI224" s="27"/>
      <c r="CJ224" s="27"/>
      <c r="CK224" s="25">
        <v>17</v>
      </c>
      <c r="CL224" s="33"/>
      <c r="CM224" s="33"/>
      <c r="CN224" s="33"/>
      <c r="CO224" s="33"/>
      <c r="CP224" s="33"/>
    </row>
    <row r="225" spans="1:94" x14ac:dyDescent="0.25">
      <c r="A225" s="25" t="s">
        <v>145</v>
      </c>
      <c r="B225" s="25" t="s">
        <v>301</v>
      </c>
      <c r="C225" s="25" t="s">
        <v>522</v>
      </c>
      <c r="D225" s="25">
        <v>212</v>
      </c>
      <c r="E225" s="35" cm="1">
        <f t="array" ref="E225">IFERROR(INDEX($J$5:$AVX$5, _xlfn.AGGREGATE(15,6, COLUMN(J225:AVX225)-COLUMN(J225)+1 / (J225:AVX225="T"), F225)), "")</f>
        <v>46018</v>
      </c>
      <c r="F225" s="74">
        <f t="shared" si="24"/>
        <v>2</v>
      </c>
      <c r="G225" s="35" cm="1">
        <f t="array" ref="G225">IFERROR(INDEX($J$5:$AVW$5,_xlfn.AGGREGATE(14,6,(COLUMN($J225:$AVW225)-COLUMN($J225)+1)/($J225:$AVW225="T"),1)),"")</f>
        <v>46018</v>
      </c>
      <c r="H225" s="77">
        <f t="shared" si="25"/>
        <v>2</v>
      </c>
      <c r="I225" s="38" t="s">
        <v>10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25" t="s">
        <v>12</v>
      </c>
      <c r="AM225" s="27"/>
      <c r="AN225" s="27"/>
      <c r="AO225" s="27"/>
      <c r="AP225" s="28"/>
      <c r="AQ225" s="27"/>
      <c r="AR225" s="27"/>
      <c r="AS225" s="29" t="s">
        <v>16</v>
      </c>
      <c r="AT225" s="30" t="s">
        <v>13</v>
      </c>
      <c r="AU225" s="27"/>
      <c r="AV225" s="27"/>
      <c r="AW225" s="28"/>
      <c r="AX225" s="27"/>
      <c r="AY225" s="27"/>
      <c r="AZ225" s="32" t="s">
        <v>14</v>
      </c>
      <c r="BA225" s="30" t="s">
        <v>11</v>
      </c>
      <c r="BB225" s="27"/>
      <c r="BC225" s="27"/>
      <c r="BD225" s="28"/>
      <c r="BE225" s="27"/>
      <c r="BF225" s="29" t="s">
        <v>15</v>
      </c>
      <c r="BG225" s="27"/>
      <c r="BH225" s="27"/>
      <c r="BI225" s="25">
        <v>17</v>
      </c>
      <c r="BJ225" s="33"/>
      <c r="BK225" s="33"/>
      <c r="BL225" s="33"/>
      <c r="BM225" s="33"/>
      <c r="BN225" s="25" t="s">
        <v>12</v>
      </c>
      <c r="BO225" s="27"/>
      <c r="BP225" s="27"/>
      <c r="BQ225" s="27"/>
      <c r="BR225" s="28"/>
      <c r="BS225" s="27"/>
      <c r="BT225" s="27"/>
      <c r="BU225" s="29" t="s">
        <v>16</v>
      </c>
      <c r="BV225" s="30" t="s">
        <v>13</v>
      </c>
      <c r="BW225" s="27"/>
      <c r="BX225" s="27"/>
      <c r="BY225" s="28"/>
      <c r="BZ225" s="27"/>
      <c r="CA225" s="27"/>
      <c r="CB225" s="29" t="s">
        <v>14</v>
      </c>
      <c r="CC225" s="30" t="s">
        <v>11</v>
      </c>
      <c r="CD225" s="37"/>
      <c r="CE225" s="27"/>
      <c r="CF225" s="28"/>
      <c r="CG225" s="27"/>
      <c r="CH225" s="29" t="s">
        <v>15</v>
      </c>
      <c r="CI225" s="27"/>
      <c r="CJ225" s="27"/>
      <c r="CK225" s="25">
        <v>17</v>
      </c>
      <c r="CL225" s="33"/>
      <c r="CM225" s="33"/>
      <c r="CN225" s="33"/>
      <c r="CO225" s="33"/>
      <c r="CP225" s="33"/>
    </row>
    <row r="226" spans="1:94" x14ac:dyDescent="0.25">
      <c r="A226" s="25" t="s">
        <v>145</v>
      </c>
      <c r="B226" s="25" t="s">
        <v>302</v>
      </c>
      <c r="C226" s="25" t="s">
        <v>523</v>
      </c>
      <c r="D226" s="25">
        <v>213</v>
      </c>
      <c r="E226" s="35" cm="1">
        <f t="array" ref="E226">IFERROR(INDEX($J$5:$AVX$5, _xlfn.AGGREGATE(15,6, COLUMN(J226:AVX226)-COLUMN(J226)+1 / (J226:AVX226="T"), F226)), "")</f>
        <v>46018</v>
      </c>
      <c r="F226" s="74">
        <f t="shared" si="24"/>
        <v>2</v>
      </c>
      <c r="G226" s="35" cm="1">
        <f t="array" ref="G226">IFERROR(INDEX($J$5:$AVW$5,_xlfn.AGGREGATE(14,6,(COLUMN($J226:$AVW226)-COLUMN($J226)+1)/($J226:$AVW226="T"),1)),"")</f>
        <v>46018</v>
      </c>
      <c r="H226" s="77">
        <f t="shared" si="25"/>
        <v>2</v>
      </c>
      <c r="I226" s="38" t="s">
        <v>10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25" t="s">
        <v>12</v>
      </c>
      <c r="AM226" s="27"/>
      <c r="AN226" s="27"/>
      <c r="AO226" s="27"/>
      <c r="AP226" s="28"/>
      <c r="AQ226" s="27"/>
      <c r="AR226" s="27"/>
      <c r="AS226" s="29" t="s">
        <v>16</v>
      </c>
      <c r="AT226" s="30" t="s">
        <v>13</v>
      </c>
      <c r="AU226" s="27"/>
      <c r="AV226" s="27"/>
      <c r="AW226" s="28"/>
      <c r="AX226" s="27"/>
      <c r="AY226" s="27"/>
      <c r="AZ226" s="32" t="s">
        <v>14</v>
      </c>
      <c r="BA226" s="30" t="s">
        <v>11</v>
      </c>
      <c r="BB226" s="27"/>
      <c r="BC226" s="27"/>
      <c r="BD226" s="28"/>
      <c r="BE226" s="27"/>
      <c r="BF226" s="29" t="s">
        <v>15</v>
      </c>
      <c r="BG226" s="27"/>
      <c r="BH226" s="27"/>
      <c r="BI226" s="25">
        <v>17</v>
      </c>
      <c r="BJ226" s="33"/>
      <c r="BK226" s="33"/>
      <c r="BL226" s="33"/>
      <c r="BM226" s="33"/>
      <c r="BN226" s="25" t="s">
        <v>12</v>
      </c>
      <c r="BO226" s="27"/>
      <c r="BP226" s="27"/>
      <c r="BQ226" s="27"/>
      <c r="BR226" s="28"/>
      <c r="BS226" s="27"/>
      <c r="BT226" s="27"/>
      <c r="BU226" s="29" t="s">
        <v>16</v>
      </c>
      <c r="BV226" s="30" t="s">
        <v>13</v>
      </c>
      <c r="BW226" s="27"/>
      <c r="BX226" s="27"/>
      <c r="BY226" s="28"/>
      <c r="BZ226" s="27"/>
      <c r="CA226" s="27"/>
      <c r="CB226" s="29" t="s">
        <v>14</v>
      </c>
      <c r="CC226" s="30" t="s">
        <v>11</v>
      </c>
      <c r="CD226" s="37"/>
      <c r="CE226" s="27"/>
      <c r="CF226" s="28"/>
      <c r="CG226" s="27"/>
      <c r="CH226" s="29" t="s">
        <v>15</v>
      </c>
      <c r="CI226" s="27"/>
      <c r="CJ226" s="27"/>
      <c r="CK226" s="25">
        <v>17</v>
      </c>
      <c r="CL226" s="33"/>
      <c r="CM226" s="33"/>
      <c r="CN226" s="33"/>
      <c r="CO226" s="33"/>
      <c r="CP226" s="33"/>
    </row>
    <row r="227" spans="1:94" x14ac:dyDescent="0.25">
      <c r="A227" s="25" t="s">
        <v>145</v>
      </c>
      <c r="B227" s="25" t="s">
        <v>303</v>
      </c>
      <c r="C227" s="25" t="s">
        <v>524</v>
      </c>
      <c r="D227" s="25">
        <v>214</v>
      </c>
      <c r="E227" s="35" cm="1">
        <f t="array" ref="E227">IFERROR(INDEX($J$5:$AVX$5, _xlfn.AGGREGATE(15,6, COLUMN(J227:AVX227)-COLUMN(J227)+1 / (J227:AVX227="T"), F227)), "")</f>
        <v>46018</v>
      </c>
      <c r="F227" s="74">
        <f t="shared" si="24"/>
        <v>2</v>
      </c>
      <c r="G227" s="35" cm="1">
        <f t="array" ref="G227">IFERROR(INDEX($J$5:$AVW$5,_xlfn.AGGREGATE(14,6,(COLUMN($J227:$AVW227)-COLUMN($J227)+1)/($J227:$AVW227="T"),1)),"")</f>
        <v>46018</v>
      </c>
      <c r="H227" s="77">
        <f t="shared" si="25"/>
        <v>2</v>
      </c>
      <c r="I227" s="38" t="s">
        <v>10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25" t="s">
        <v>12</v>
      </c>
      <c r="AM227" s="27"/>
      <c r="AN227" s="27"/>
      <c r="AO227" s="27"/>
      <c r="AP227" s="28"/>
      <c r="AQ227" s="27"/>
      <c r="AR227" s="27"/>
      <c r="AS227" s="29" t="s">
        <v>16</v>
      </c>
      <c r="AT227" s="30" t="s">
        <v>13</v>
      </c>
      <c r="AU227" s="27"/>
      <c r="AV227" s="27"/>
      <c r="AW227" s="28"/>
      <c r="AX227" s="27"/>
      <c r="AY227" s="27"/>
      <c r="AZ227" s="32" t="s">
        <v>14</v>
      </c>
      <c r="BA227" s="30" t="s">
        <v>11</v>
      </c>
      <c r="BB227" s="27"/>
      <c r="BC227" s="27"/>
      <c r="BD227" s="28"/>
      <c r="BE227" s="27"/>
      <c r="BF227" s="29" t="s">
        <v>15</v>
      </c>
      <c r="BG227" s="27"/>
      <c r="BH227" s="27"/>
      <c r="BI227" s="25">
        <v>17</v>
      </c>
      <c r="BJ227" s="33"/>
      <c r="BK227" s="33"/>
      <c r="BL227" s="33"/>
      <c r="BM227" s="33"/>
      <c r="BN227" s="25" t="s">
        <v>12</v>
      </c>
      <c r="BO227" s="27"/>
      <c r="BP227" s="27"/>
      <c r="BQ227" s="27"/>
      <c r="BR227" s="28"/>
      <c r="BS227" s="27"/>
      <c r="BT227" s="27"/>
      <c r="BU227" s="29" t="s">
        <v>16</v>
      </c>
      <c r="BV227" s="30" t="s">
        <v>13</v>
      </c>
      <c r="BW227" s="27"/>
      <c r="BX227" s="27"/>
      <c r="BY227" s="28"/>
      <c r="BZ227" s="27"/>
      <c r="CA227" s="27"/>
      <c r="CB227" s="29" t="s">
        <v>14</v>
      </c>
      <c r="CC227" s="30" t="s">
        <v>11</v>
      </c>
      <c r="CD227" s="37"/>
      <c r="CE227" s="27"/>
      <c r="CF227" s="28"/>
      <c r="CG227" s="27"/>
      <c r="CH227" s="29" t="s">
        <v>15</v>
      </c>
      <c r="CI227" s="27"/>
      <c r="CJ227" s="27"/>
      <c r="CK227" s="25">
        <v>17</v>
      </c>
      <c r="CL227" s="33"/>
      <c r="CM227" s="33"/>
      <c r="CN227" s="33"/>
      <c r="CO227" s="33"/>
      <c r="CP227" s="33"/>
    </row>
    <row r="228" spans="1:94" x14ac:dyDescent="0.25">
      <c r="A228" s="25" t="s">
        <v>145</v>
      </c>
      <c r="B228" s="25" t="s">
        <v>304</v>
      </c>
      <c r="C228" s="25" t="s">
        <v>525</v>
      </c>
      <c r="D228" s="25">
        <v>215</v>
      </c>
      <c r="E228" s="35" cm="1">
        <f t="array" ref="E228">IFERROR(INDEX($J$5:$AVX$5, _xlfn.AGGREGATE(15,6, COLUMN(J228:AVX228)-COLUMN(J228)+1 / (J228:AVX228="T"), F228)), "")</f>
        <v>46019</v>
      </c>
      <c r="F228" s="74">
        <f t="shared" si="24"/>
        <v>2</v>
      </c>
      <c r="G228" s="35" cm="1">
        <f t="array" ref="G228">IFERROR(INDEX($J$5:$AVW$5,_xlfn.AGGREGATE(14,6,(COLUMN($J228:$AVW228)-COLUMN($J228)+1)/($J228:$AVW228="T"),1)),"")</f>
        <v>46019</v>
      </c>
      <c r="H228" s="77">
        <f t="shared" si="25"/>
        <v>2</v>
      </c>
      <c r="I228" s="38" t="s">
        <v>10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25" t="s">
        <v>12</v>
      </c>
      <c r="AM228" s="27"/>
      <c r="AN228" s="27"/>
      <c r="AO228" s="27"/>
      <c r="AP228" s="28"/>
      <c r="AQ228" s="27"/>
      <c r="AR228" s="27"/>
      <c r="AS228" s="29" t="s">
        <v>16</v>
      </c>
      <c r="AT228" s="30" t="s">
        <v>13</v>
      </c>
      <c r="AU228" s="27"/>
      <c r="AV228" s="27"/>
      <c r="AW228" s="28"/>
      <c r="AX228" s="27"/>
      <c r="AY228" s="27"/>
      <c r="AZ228" s="32" t="s">
        <v>14</v>
      </c>
      <c r="BA228" s="30" t="s">
        <v>11</v>
      </c>
      <c r="BB228" s="27"/>
      <c r="BC228" s="27"/>
      <c r="BD228" s="28"/>
      <c r="BE228" s="27"/>
      <c r="BF228" s="29" t="s">
        <v>15</v>
      </c>
      <c r="BG228" s="27"/>
      <c r="BH228" s="27"/>
      <c r="BI228" s="25">
        <v>17</v>
      </c>
      <c r="BJ228" s="33"/>
      <c r="BK228" s="33"/>
      <c r="BL228" s="33"/>
      <c r="BM228" s="33"/>
      <c r="BN228" s="33"/>
      <c r="BO228" s="25" t="s">
        <v>12</v>
      </c>
      <c r="BP228" s="27"/>
      <c r="BQ228" s="27"/>
      <c r="BR228" s="27"/>
      <c r="BS228" s="28"/>
      <c r="BT228" s="27"/>
      <c r="BU228" s="27"/>
      <c r="BV228" s="29" t="s">
        <v>16</v>
      </c>
      <c r="BW228" s="30" t="s">
        <v>13</v>
      </c>
      <c r="BX228" s="27"/>
      <c r="BY228" s="27"/>
      <c r="BZ228" s="28"/>
      <c r="CA228" s="27"/>
      <c r="CB228" s="27"/>
      <c r="CC228" s="29" t="s">
        <v>14</v>
      </c>
      <c r="CD228" s="30" t="s">
        <v>11</v>
      </c>
      <c r="CE228" s="37"/>
      <c r="CF228" s="27"/>
      <c r="CG228" s="28"/>
      <c r="CH228" s="27"/>
      <c r="CI228" s="29" t="s">
        <v>15</v>
      </c>
      <c r="CJ228" s="27"/>
      <c r="CK228" s="27"/>
      <c r="CL228" s="25">
        <v>17</v>
      </c>
      <c r="CM228" s="33"/>
      <c r="CN228" s="33"/>
      <c r="CO228" s="33"/>
      <c r="CP228" s="33"/>
    </row>
    <row r="229" spans="1:94" x14ac:dyDescent="0.25">
      <c r="A229" s="25" t="s">
        <v>145</v>
      </c>
      <c r="B229" s="25" t="s">
        <v>305</v>
      </c>
      <c r="C229" s="25" t="s">
        <v>526</v>
      </c>
      <c r="D229" s="25">
        <v>216</v>
      </c>
      <c r="E229" s="35" cm="1">
        <f t="array" ref="E229">IFERROR(INDEX($J$5:$AVX$5, _xlfn.AGGREGATE(15,6, COLUMN(J229:AVX229)-COLUMN(J229)+1 / (J229:AVX229="T"), F229)), "")</f>
        <v>46019</v>
      </c>
      <c r="F229" s="74">
        <f t="shared" si="24"/>
        <v>2</v>
      </c>
      <c r="G229" s="35" cm="1">
        <f t="array" ref="G229">IFERROR(INDEX($J$5:$AVW$5,_xlfn.AGGREGATE(14,6,(COLUMN($J229:$AVW229)-COLUMN($J229)+1)/($J229:$AVW229="T"),1)),"")</f>
        <v>46019</v>
      </c>
      <c r="H229" s="77">
        <f t="shared" si="25"/>
        <v>2</v>
      </c>
      <c r="I229" s="38" t="s">
        <v>10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25" t="s">
        <v>12</v>
      </c>
      <c r="AM229" s="27"/>
      <c r="AN229" s="27"/>
      <c r="AO229" s="27"/>
      <c r="AP229" s="28"/>
      <c r="AQ229" s="27"/>
      <c r="AR229" s="27"/>
      <c r="AS229" s="29" t="s">
        <v>16</v>
      </c>
      <c r="AT229" s="30" t="s">
        <v>13</v>
      </c>
      <c r="AU229" s="27"/>
      <c r="AV229" s="27"/>
      <c r="AW229" s="28"/>
      <c r="AX229" s="27"/>
      <c r="AY229" s="27"/>
      <c r="AZ229" s="32" t="s">
        <v>14</v>
      </c>
      <c r="BA229" s="30" t="s">
        <v>11</v>
      </c>
      <c r="BB229" s="27"/>
      <c r="BC229" s="27"/>
      <c r="BD229" s="28"/>
      <c r="BE229" s="27"/>
      <c r="BF229" s="29" t="s">
        <v>15</v>
      </c>
      <c r="BG229" s="27"/>
      <c r="BH229" s="27"/>
      <c r="BI229" s="25">
        <v>17</v>
      </c>
      <c r="BJ229" s="33"/>
      <c r="BK229" s="33"/>
      <c r="BL229" s="33"/>
      <c r="BM229" s="33"/>
      <c r="BN229" s="33"/>
      <c r="BO229" s="25" t="s">
        <v>12</v>
      </c>
      <c r="BP229" s="27"/>
      <c r="BQ229" s="27"/>
      <c r="BR229" s="27"/>
      <c r="BS229" s="28"/>
      <c r="BT229" s="27"/>
      <c r="BU229" s="27"/>
      <c r="BV229" s="29" t="s">
        <v>16</v>
      </c>
      <c r="BW229" s="30" t="s">
        <v>13</v>
      </c>
      <c r="BX229" s="27"/>
      <c r="BY229" s="27"/>
      <c r="BZ229" s="28"/>
      <c r="CA229" s="27"/>
      <c r="CB229" s="27"/>
      <c r="CC229" s="29" t="s">
        <v>14</v>
      </c>
      <c r="CD229" s="30" t="s">
        <v>11</v>
      </c>
      <c r="CE229" s="37"/>
      <c r="CF229" s="27"/>
      <c r="CG229" s="28"/>
      <c r="CH229" s="27"/>
      <c r="CI229" s="29" t="s">
        <v>15</v>
      </c>
      <c r="CJ229" s="27"/>
      <c r="CK229" s="27"/>
      <c r="CL229" s="25">
        <v>17</v>
      </c>
      <c r="CM229" s="33"/>
      <c r="CN229" s="33"/>
      <c r="CO229" s="33"/>
      <c r="CP229" s="33"/>
    </row>
    <row r="230" spans="1:94" x14ac:dyDescent="0.25">
      <c r="A230" s="25" t="s">
        <v>145</v>
      </c>
      <c r="B230" s="25" t="s">
        <v>306</v>
      </c>
      <c r="C230" s="25" t="s">
        <v>527</v>
      </c>
      <c r="D230" s="25">
        <v>217</v>
      </c>
      <c r="E230" s="35" cm="1">
        <f t="array" ref="E230">IFERROR(INDEX($J$5:$AVX$5, _xlfn.AGGREGATE(15,6, COLUMN(J230:AVX230)-COLUMN(J230)+1 / (J230:AVX230="T"), F230)), "")</f>
        <v>46019</v>
      </c>
      <c r="F230" s="74">
        <f t="shared" si="24"/>
        <v>2</v>
      </c>
      <c r="G230" s="35" cm="1">
        <f t="array" ref="G230">IFERROR(INDEX($J$5:$AVW$5,_xlfn.AGGREGATE(14,6,(COLUMN($J230:$AVW230)-COLUMN($J230)+1)/($J230:$AVW230="T"),1)),"")</f>
        <v>46019</v>
      </c>
      <c r="H230" s="77">
        <f t="shared" si="25"/>
        <v>2</v>
      </c>
      <c r="I230" s="38" t="s">
        <v>10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25" t="s">
        <v>12</v>
      </c>
      <c r="AM230" s="27"/>
      <c r="AN230" s="27"/>
      <c r="AO230" s="27"/>
      <c r="AP230" s="28"/>
      <c r="AQ230" s="27"/>
      <c r="AR230" s="27"/>
      <c r="AS230" s="29" t="s">
        <v>16</v>
      </c>
      <c r="AT230" s="30" t="s">
        <v>13</v>
      </c>
      <c r="AU230" s="27"/>
      <c r="AV230" s="27"/>
      <c r="AW230" s="28"/>
      <c r="AX230" s="27"/>
      <c r="AY230" s="27"/>
      <c r="AZ230" s="32" t="s">
        <v>14</v>
      </c>
      <c r="BA230" s="30" t="s">
        <v>11</v>
      </c>
      <c r="BB230" s="27"/>
      <c r="BC230" s="27"/>
      <c r="BD230" s="28"/>
      <c r="BE230" s="27"/>
      <c r="BF230" s="29" t="s">
        <v>15</v>
      </c>
      <c r="BG230" s="27"/>
      <c r="BH230" s="27"/>
      <c r="BI230" s="25">
        <v>17</v>
      </c>
      <c r="BJ230" s="33"/>
      <c r="BK230" s="33"/>
      <c r="BL230" s="33"/>
      <c r="BM230" s="33"/>
      <c r="BN230" s="33"/>
      <c r="BO230" s="25" t="s">
        <v>12</v>
      </c>
      <c r="BP230" s="27"/>
      <c r="BQ230" s="27"/>
      <c r="BR230" s="27"/>
      <c r="BS230" s="28"/>
      <c r="BT230" s="27"/>
      <c r="BU230" s="27"/>
      <c r="BV230" s="29" t="s">
        <v>16</v>
      </c>
      <c r="BW230" s="30" t="s">
        <v>13</v>
      </c>
      <c r="BX230" s="27"/>
      <c r="BY230" s="27"/>
      <c r="BZ230" s="28"/>
      <c r="CA230" s="27"/>
      <c r="CB230" s="27"/>
      <c r="CC230" s="29" t="s">
        <v>14</v>
      </c>
      <c r="CD230" s="30" t="s">
        <v>11</v>
      </c>
      <c r="CE230" s="37"/>
      <c r="CF230" s="27"/>
      <c r="CG230" s="28"/>
      <c r="CH230" s="27"/>
      <c r="CI230" s="29" t="s">
        <v>15</v>
      </c>
      <c r="CJ230" s="27"/>
      <c r="CK230" s="27"/>
      <c r="CL230" s="25">
        <v>17</v>
      </c>
      <c r="CM230" s="33"/>
      <c r="CN230" s="33"/>
      <c r="CO230" s="33"/>
      <c r="CP230" s="33"/>
    </row>
    <row r="231" spans="1:94" x14ac:dyDescent="0.25">
      <c r="A231" s="25" t="s">
        <v>145</v>
      </c>
      <c r="B231" s="25" t="s">
        <v>307</v>
      </c>
      <c r="C231" s="25" t="s">
        <v>528</v>
      </c>
      <c r="D231" s="25">
        <v>218</v>
      </c>
      <c r="E231" s="35" cm="1">
        <f t="array" ref="E231">IFERROR(INDEX($J$5:$AVX$5, _xlfn.AGGREGATE(15,6, COLUMN(J231:AVX231)-COLUMN(J231)+1 / (J231:AVX231="T"), F231)), "")</f>
        <v>46019</v>
      </c>
      <c r="F231" s="74">
        <f t="shared" si="24"/>
        <v>2</v>
      </c>
      <c r="G231" s="35" cm="1">
        <f t="array" ref="G231">IFERROR(INDEX($J$5:$AVW$5,_xlfn.AGGREGATE(14,6,(COLUMN($J231:$AVW231)-COLUMN($J231)+1)/($J231:$AVW231="T"),1)),"")</f>
        <v>46019</v>
      </c>
      <c r="H231" s="77">
        <f t="shared" si="25"/>
        <v>2</v>
      </c>
      <c r="I231" s="38" t="s">
        <v>10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25" t="s">
        <v>12</v>
      </c>
      <c r="AM231" s="27"/>
      <c r="AN231" s="27"/>
      <c r="AO231" s="27"/>
      <c r="AP231" s="28"/>
      <c r="AQ231" s="27"/>
      <c r="AR231" s="27"/>
      <c r="AS231" s="29" t="s">
        <v>16</v>
      </c>
      <c r="AT231" s="30" t="s">
        <v>13</v>
      </c>
      <c r="AU231" s="27"/>
      <c r="AV231" s="27"/>
      <c r="AW231" s="28"/>
      <c r="AX231" s="27"/>
      <c r="AY231" s="27"/>
      <c r="AZ231" s="32" t="s">
        <v>14</v>
      </c>
      <c r="BA231" s="30" t="s">
        <v>11</v>
      </c>
      <c r="BB231" s="27"/>
      <c r="BC231" s="27"/>
      <c r="BD231" s="28"/>
      <c r="BE231" s="27"/>
      <c r="BF231" s="29" t="s">
        <v>15</v>
      </c>
      <c r="BG231" s="27"/>
      <c r="BH231" s="27"/>
      <c r="BI231" s="25">
        <v>17</v>
      </c>
      <c r="BJ231" s="33"/>
      <c r="BK231" s="33"/>
      <c r="BL231" s="33"/>
      <c r="BM231" s="33"/>
      <c r="BN231" s="33"/>
      <c r="BO231" s="25" t="s">
        <v>12</v>
      </c>
      <c r="BP231" s="27"/>
      <c r="BQ231" s="27"/>
      <c r="BR231" s="27"/>
      <c r="BS231" s="28"/>
      <c r="BT231" s="27"/>
      <c r="BU231" s="27"/>
      <c r="BV231" s="29" t="s">
        <v>16</v>
      </c>
      <c r="BW231" s="30" t="s">
        <v>13</v>
      </c>
      <c r="BX231" s="27"/>
      <c r="BY231" s="27"/>
      <c r="BZ231" s="28"/>
      <c r="CA231" s="27"/>
      <c r="CB231" s="27"/>
      <c r="CC231" s="29" t="s">
        <v>14</v>
      </c>
      <c r="CD231" s="30" t="s">
        <v>11</v>
      </c>
      <c r="CE231" s="37"/>
      <c r="CF231" s="27"/>
      <c r="CG231" s="28"/>
      <c r="CH231" s="27"/>
      <c r="CI231" s="29" t="s">
        <v>15</v>
      </c>
      <c r="CJ231" s="27"/>
      <c r="CK231" s="27"/>
      <c r="CL231" s="25">
        <v>17</v>
      </c>
      <c r="CM231" s="33"/>
      <c r="CN231" s="33"/>
      <c r="CO231" s="33"/>
      <c r="CP231" s="33"/>
    </row>
    <row r="232" spans="1:94" x14ac:dyDescent="0.25">
      <c r="A232" s="25" t="s">
        <v>145</v>
      </c>
      <c r="B232" s="25" t="s">
        <v>308</v>
      </c>
      <c r="C232" s="25" t="s">
        <v>529</v>
      </c>
      <c r="D232" s="25">
        <v>219</v>
      </c>
      <c r="E232" s="35" cm="1">
        <f t="array" ref="E232">IFERROR(INDEX($J$5:$AVX$5, _xlfn.AGGREGATE(15,6, COLUMN(J232:AVX232)-COLUMN(J232)+1 / (J232:AVX232="T"), F232)), "")</f>
        <v>46019</v>
      </c>
      <c r="F232" s="74">
        <f t="shared" si="24"/>
        <v>2</v>
      </c>
      <c r="G232" s="35" cm="1">
        <f t="array" ref="G232">IFERROR(INDEX($J$5:$AVW$5,_xlfn.AGGREGATE(14,6,(COLUMN($J232:$AVW232)-COLUMN($J232)+1)/($J232:$AVW232="T"),1)),"")</f>
        <v>46019</v>
      </c>
      <c r="H232" s="77">
        <f t="shared" si="25"/>
        <v>2</v>
      </c>
      <c r="I232" s="38" t="s">
        <v>10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25" t="s">
        <v>12</v>
      </c>
      <c r="AN232" s="27"/>
      <c r="AO232" s="27"/>
      <c r="AP232" s="27"/>
      <c r="AQ232" s="28"/>
      <c r="AR232" s="27"/>
      <c r="AS232" s="27"/>
      <c r="AT232" s="29" t="s">
        <v>16</v>
      </c>
      <c r="AU232" s="30" t="s">
        <v>13</v>
      </c>
      <c r="AV232" s="27"/>
      <c r="AW232" s="27"/>
      <c r="AX232" s="28"/>
      <c r="AY232" s="27"/>
      <c r="AZ232" s="27"/>
      <c r="BA232" s="32" t="s">
        <v>14</v>
      </c>
      <c r="BB232" s="30" t="s">
        <v>11</v>
      </c>
      <c r="BC232" s="27"/>
      <c r="BD232" s="27"/>
      <c r="BE232" s="28"/>
      <c r="BF232" s="27"/>
      <c r="BG232" s="29" t="s">
        <v>15</v>
      </c>
      <c r="BH232" s="27"/>
      <c r="BI232" s="27"/>
      <c r="BJ232" s="25">
        <v>17</v>
      </c>
      <c r="BK232" s="33"/>
      <c r="BL232" s="33"/>
      <c r="BM232" s="33"/>
      <c r="BN232" s="33"/>
      <c r="BO232" s="25" t="s">
        <v>12</v>
      </c>
      <c r="BP232" s="27"/>
      <c r="BQ232" s="27"/>
      <c r="BR232" s="27"/>
      <c r="BS232" s="28"/>
      <c r="BT232" s="27"/>
      <c r="BU232" s="27"/>
      <c r="BV232" s="29" t="s">
        <v>16</v>
      </c>
      <c r="BW232" s="30" t="s">
        <v>13</v>
      </c>
      <c r="BX232" s="27"/>
      <c r="BY232" s="27"/>
      <c r="BZ232" s="28"/>
      <c r="CA232" s="27"/>
      <c r="CB232" s="27"/>
      <c r="CC232" s="29" t="s">
        <v>14</v>
      </c>
      <c r="CD232" s="30" t="s">
        <v>11</v>
      </c>
      <c r="CE232" s="37"/>
      <c r="CF232" s="27"/>
      <c r="CG232" s="28"/>
      <c r="CH232" s="27"/>
      <c r="CI232" s="29" t="s">
        <v>15</v>
      </c>
      <c r="CJ232" s="27"/>
      <c r="CK232" s="27"/>
      <c r="CL232" s="25">
        <v>17</v>
      </c>
      <c r="CM232" s="33"/>
      <c r="CN232" s="33"/>
      <c r="CO232" s="33"/>
      <c r="CP232" s="33"/>
    </row>
    <row r="233" spans="1:94" x14ac:dyDescent="0.25">
      <c r="A233" s="25" t="s">
        <v>145</v>
      </c>
      <c r="B233" s="25" t="s">
        <v>309</v>
      </c>
      <c r="C233" s="25" t="s">
        <v>530</v>
      </c>
      <c r="D233" s="25">
        <v>220</v>
      </c>
      <c r="E233" s="35" cm="1">
        <f t="array" ref="E233">IFERROR(INDEX($J$5:$AVX$5, _xlfn.AGGREGATE(15,6, COLUMN(J233:AVX233)-COLUMN(J233)+1 / (J233:AVX233="T"), F233)), "")</f>
        <v>46019</v>
      </c>
      <c r="F233" s="74">
        <f t="shared" si="24"/>
        <v>2</v>
      </c>
      <c r="G233" s="35" cm="1">
        <f t="array" ref="G233">IFERROR(INDEX($J$5:$AVW$5,_xlfn.AGGREGATE(14,6,(COLUMN($J233:$AVW233)-COLUMN($J233)+1)/($J233:$AVW233="T"),1)),"")</f>
        <v>46019</v>
      </c>
      <c r="H233" s="77">
        <f t="shared" si="25"/>
        <v>2</v>
      </c>
      <c r="I233" s="38" t="s">
        <v>10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25" t="s">
        <v>12</v>
      </c>
      <c r="AN233" s="27"/>
      <c r="AO233" s="27"/>
      <c r="AP233" s="27"/>
      <c r="AQ233" s="28"/>
      <c r="AR233" s="27"/>
      <c r="AS233" s="27"/>
      <c r="AT233" s="29" t="s">
        <v>16</v>
      </c>
      <c r="AU233" s="30" t="s">
        <v>13</v>
      </c>
      <c r="AV233" s="27"/>
      <c r="AW233" s="27"/>
      <c r="AX233" s="28"/>
      <c r="AY233" s="27"/>
      <c r="AZ233" s="27"/>
      <c r="BA233" s="32" t="s">
        <v>14</v>
      </c>
      <c r="BB233" s="30" t="s">
        <v>11</v>
      </c>
      <c r="BC233" s="27"/>
      <c r="BD233" s="27"/>
      <c r="BE233" s="28"/>
      <c r="BF233" s="27"/>
      <c r="BG233" s="29" t="s">
        <v>15</v>
      </c>
      <c r="BH233" s="27"/>
      <c r="BI233" s="27"/>
      <c r="BJ233" s="25">
        <v>17</v>
      </c>
      <c r="BK233" s="33"/>
      <c r="BL233" s="33"/>
      <c r="BM233" s="33"/>
      <c r="BN233" s="33"/>
      <c r="BO233" s="25" t="s">
        <v>12</v>
      </c>
      <c r="BP233" s="27"/>
      <c r="BQ233" s="27"/>
      <c r="BR233" s="27"/>
      <c r="BS233" s="28"/>
      <c r="BT233" s="27"/>
      <c r="BU233" s="27"/>
      <c r="BV233" s="29" t="s">
        <v>16</v>
      </c>
      <c r="BW233" s="30" t="s">
        <v>13</v>
      </c>
      <c r="BX233" s="27"/>
      <c r="BY233" s="27"/>
      <c r="BZ233" s="28"/>
      <c r="CA233" s="27"/>
      <c r="CB233" s="27"/>
      <c r="CC233" s="29" t="s">
        <v>14</v>
      </c>
      <c r="CD233" s="30" t="s">
        <v>11</v>
      </c>
      <c r="CE233" s="37"/>
      <c r="CF233" s="27"/>
      <c r="CG233" s="28"/>
      <c r="CH233" s="27"/>
      <c r="CI233" s="29" t="s">
        <v>15</v>
      </c>
      <c r="CJ233" s="27"/>
      <c r="CK233" s="27"/>
      <c r="CL233" s="25">
        <v>17</v>
      </c>
      <c r="CM233" s="33"/>
      <c r="CN233" s="33"/>
      <c r="CO233" s="33"/>
      <c r="CP233" s="33"/>
    </row>
    <row r="234" spans="1:94" x14ac:dyDescent="0.25">
      <c r="A234" s="25" t="s">
        <v>145</v>
      </c>
      <c r="B234" s="25" t="s">
        <v>310</v>
      </c>
      <c r="C234" s="25" t="s">
        <v>531</v>
      </c>
      <c r="D234" s="25">
        <v>221</v>
      </c>
      <c r="E234" s="35" cm="1">
        <f t="array" ref="E234">IFERROR(INDEX($J$5:$AVX$5, _xlfn.AGGREGATE(15,6, COLUMN(J234:AVX234)-COLUMN(J234)+1 / (J234:AVX234="T"), F234)), "")</f>
        <v>46019</v>
      </c>
      <c r="F234" s="74">
        <f t="shared" si="24"/>
        <v>2</v>
      </c>
      <c r="G234" s="35" cm="1">
        <f t="array" ref="G234">IFERROR(INDEX($J$5:$AVW$5,_xlfn.AGGREGATE(14,6,(COLUMN($J234:$AVW234)-COLUMN($J234)+1)/($J234:$AVW234="T"),1)),"")</f>
        <v>46019</v>
      </c>
      <c r="H234" s="77">
        <f t="shared" si="25"/>
        <v>2</v>
      </c>
      <c r="I234" s="38" t="s">
        <v>10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25" t="s">
        <v>12</v>
      </c>
      <c r="AN234" s="27"/>
      <c r="AO234" s="27"/>
      <c r="AP234" s="27"/>
      <c r="AQ234" s="28"/>
      <c r="AR234" s="27"/>
      <c r="AS234" s="27"/>
      <c r="AT234" s="29" t="s">
        <v>16</v>
      </c>
      <c r="AU234" s="30" t="s">
        <v>13</v>
      </c>
      <c r="AV234" s="27"/>
      <c r="AW234" s="27"/>
      <c r="AX234" s="28"/>
      <c r="AY234" s="27"/>
      <c r="AZ234" s="27"/>
      <c r="BA234" s="32" t="s">
        <v>14</v>
      </c>
      <c r="BB234" s="30" t="s">
        <v>11</v>
      </c>
      <c r="BC234" s="27"/>
      <c r="BD234" s="27"/>
      <c r="BE234" s="28"/>
      <c r="BF234" s="27"/>
      <c r="BG234" s="29" t="s">
        <v>15</v>
      </c>
      <c r="BH234" s="27"/>
      <c r="BI234" s="27"/>
      <c r="BJ234" s="25">
        <v>17</v>
      </c>
      <c r="BK234" s="33"/>
      <c r="BL234" s="33"/>
      <c r="BM234" s="33"/>
      <c r="BN234" s="33"/>
      <c r="BO234" s="25" t="s">
        <v>12</v>
      </c>
      <c r="BP234" s="27"/>
      <c r="BQ234" s="27"/>
      <c r="BR234" s="27"/>
      <c r="BS234" s="28"/>
      <c r="BT234" s="27"/>
      <c r="BU234" s="27"/>
      <c r="BV234" s="29" t="s">
        <v>16</v>
      </c>
      <c r="BW234" s="30" t="s">
        <v>13</v>
      </c>
      <c r="BX234" s="27"/>
      <c r="BY234" s="27"/>
      <c r="BZ234" s="28"/>
      <c r="CA234" s="27"/>
      <c r="CB234" s="27"/>
      <c r="CC234" s="29" t="s">
        <v>14</v>
      </c>
      <c r="CD234" s="30" t="s">
        <v>11</v>
      </c>
      <c r="CE234" s="37"/>
      <c r="CF234" s="27"/>
      <c r="CG234" s="28"/>
      <c r="CH234" s="27"/>
      <c r="CI234" s="29" t="s">
        <v>15</v>
      </c>
      <c r="CJ234" s="27"/>
      <c r="CK234" s="27"/>
      <c r="CL234" s="25">
        <v>17</v>
      </c>
      <c r="CM234" s="33"/>
      <c r="CN234" s="33"/>
      <c r="CO234" s="33"/>
      <c r="CP234" s="33"/>
    </row>
  </sheetData>
  <autoFilter ref="A13:BS234" xr:uid="{B02859C0-7031-4F52-8D1A-FCBDF86448AE}">
    <sortState xmlns:xlrd2="http://schemas.microsoft.com/office/spreadsheetml/2017/richdata2" ref="A14:BS234">
      <sortCondition ref="D13:D234"/>
    </sortState>
  </autoFilter>
  <sortState xmlns:xlrd2="http://schemas.microsoft.com/office/spreadsheetml/2017/richdata2" ref="B54:B66">
    <sortCondition ref="B54:B66"/>
  </sortState>
  <mergeCells count="6">
    <mergeCell ref="B12:I12"/>
    <mergeCell ref="A1:B1"/>
    <mergeCell ref="B8:I8"/>
    <mergeCell ref="B9:I9"/>
    <mergeCell ref="B10:I10"/>
    <mergeCell ref="B11:I11"/>
  </mergeCells>
  <conditionalFormatting sqref="E14:H234">
    <cfRule type="containsBlanks" dxfId="1074" priority="911">
      <formula>LEN(TRIM(E14))=0</formula>
    </cfRule>
  </conditionalFormatting>
  <conditionalFormatting sqref="J114:J119 BT207:BV213 AW168:BA174 BZ168:CP174">
    <cfRule type="containsText" dxfId="1073" priority="906" operator="containsText" text="T">
      <formula>NOT(ISERROR(SEARCH("T",J114)))</formula>
    </cfRule>
  </conditionalFormatting>
  <conditionalFormatting sqref="J120:M126">
    <cfRule type="containsText" dxfId="1072" priority="447" operator="containsText" text="T">
      <formula>NOT(ISERROR(SEARCH("T",J120)))</formula>
    </cfRule>
  </conditionalFormatting>
  <conditionalFormatting sqref="J113:T113">
    <cfRule type="containsText" dxfId="1071" priority="898" operator="containsText" text="17">
      <formula>NOT(ISERROR(SEARCH("17",J113)))</formula>
    </cfRule>
    <cfRule type="containsText" dxfId="1070" priority="899" operator="containsText" text="T">
      <formula>NOT(ISERROR(SEARCH("T",J113)))</formula>
    </cfRule>
  </conditionalFormatting>
  <conditionalFormatting sqref="J67:X68 BT207:BV213">
    <cfRule type="containsText" dxfId="1069" priority="843" operator="containsText" text="17">
      <formula>NOT(ISERROR(SEARCH("17",J67)))</formula>
    </cfRule>
  </conditionalFormatting>
  <conditionalFormatting sqref="J97:X98">
    <cfRule type="containsText" dxfId="1068" priority="833" operator="containsText" text="17">
      <formula>NOT(ISERROR(SEARCH("17",J97)))</formula>
    </cfRule>
  </conditionalFormatting>
  <conditionalFormatting sqref="J67:Z68">
    <cfRule type="containsText" dxfId="1067" priority="837" operator="containsText" text="T">
      <formula>NOT(ISERROR(SEARCH("T",J67)))</formula>
    </cfRule>
  </conditionalFormatting>
  <conditionalFormatting sqref="J97:Z98">
    <cfRule type="containsText" dxfId="1066" priority="827" operator="containsText" text="T">
      <formula>NOT(ISERROR(SEARCH("T",J97)))</formula>
    </cfRule>
  </conditionalFormatting>
  <conditionalFormatting sqref="J127:Z130">
    <cfRule type="containsText" dxfId="1065" priority="807" operator="containsText" text="T">
      <formula>NOT(ISERROR(SEARCH("T",J127)))</formula>
    </cfRule>
  </conditionalFormatting>
  <conditionalFormatting sqref="J114:AD119 J113:R113">
    <cfRule type="containsText" dxfId="1064" priority="905" operator="containsText" text="17">
      <formula>NOT(ISERROR(SEARCH("17",J113)))</formula>
    </cfRule>
  </conditionalFormatting>
  <conditionalFormatting sqref="J48:AO49">
    <cfRule type="containsText" dxfId="1063" priority="580" operator="containsText" text="17">
      <formula>NOT(ISERROR(SEARCH("17",J48)))</formula>
    </cfRule>
  </conditionalFormatting>
  <conditionalFormatting sqref="J63:AP66">
    <cfRule type="containsText" dxfId="1062" priority="560" operator="containsText" text="17">
      <formula>NOT(ISERROR(SEARCH("17",J63)))</formula>
    </cfRule>
  </conditionalFormatting>
  <conditionalFormatting sqref="J48:AQ49">
    <cfRule type="containsText" dxfId="1061" priority="574" operator="containsText" text="T">
      <formula>NOT(ISERROR(SEARCH("T",J48)))</formula>
    </cfRule>
  </conditionalFormatting>
  <conditionalFormatting sqref="J59:AQ62">
    <cfRule type="containsText" dxfId="1060" priority="546" operator="containsText" text="17">
      <formula>NOT(ISERROR(SEARCH("17",J59)))</formula>
    </cfRule>
  </conditionalFormatting>
  <conditionalFormatting sqref="J86:AQ89">
    <cfRule type="containsText" dxfId="1059" priority="536" operator="containsText" text="17">
      <formula>NOT(ISERROR(SEARCH("17",J86)))</formula>
    </cfRule>
  </conditionalFormatting>
  <conditionalFormatting sqref="J50:AR53">
    <cfRule type="containsText" dxfId="1058" priority="564" operator="containsText" text="T">
      <formula>NOT(ISERROR(SEARCH("T",J50)))</formula>
    </cfRule>
  </conditionalFormatting>
  <conditionalFormatting sqref="J63:AR66">
    <cfRule type="containsText" dxfId="1057" priority="554" operator="containsText" text="T">
      <formula>NOT(ISERROR(SEARCH("T",J63)))</formula>
    </cfRule>
  </conditionalFormatting>
  <conditionalFormatting sqref="J83:AR85">
    <cfRule type="containsText" dxfId="1056" priority="526" operator="containsText" text="17">
      <formula>NOT(ISERROR(SEARCH("17",J83)))</formula>
    </cfRule>
  </conditionalFormatting>
  <conditionalFormatting sqref="J214:AR217">
    <cfRule type="containsText" dxfId="1055" priority="516" operator="containsText" text="17">
      <formula>NOT(ISERROR(SEARCH("17",J214)))</formula>
    </cfRule>
  </conditionalFormatting>
  <conditionalFormatting sqref="J59:AS62">
    <cfRule type="containsText" dxfId="1054" priority="540" operator="containsText" text="T">
      <formula>NOT(ISERROR(SEARCH("T",J59)))</formula>
    </cfRule>
  </conditionalFormatting>
  <conditionalFormatting sqref="J86:AS89">
    <cfRule type="containsText" dxfId="1053" priority="530" operator="containsText" text="T">
      <formula>NOT(ISERROR(SEARCH("T",J86)))</formula>
    </cfRule>
  </conditionalFormatting>
  <conditionalFormatting sqref="J218:AS224">
    <cfRule type="containsText" dxfId="1052" priority="506" operator="containsText" text="17">
      <formula>NOT(ISERROR(SEARCH("17",J218)))</formula>
    </cfRule>
  </conditionalFormatting>
  <conditionalFormatting sqref="J83:AT85">
    <cfRule type="containsText" dxfId="1051" priority="520" operator="containsText" text="T">
      <formula>NOT(ISERROR(SEARCH("T",J83)))</formula>
    </cfRule>
  </conditionalFormatting>
  <conditionalFormatting sqref="J214:AT217">
    <cfRule type="containsText" dxfId="1050" priority="510" operator="containsText" text="T">
      <formula>NOT(ISERROR(SEARCH("T",J214)))</formula>
    </cfRule>
  </conditionalFormatting>
  <conditionalFormatting sqref="J225:AT231">
    <cfRule type="containsText" dxfId="1049" priority="496" operator="containsText" text="17">
      <formula>NOT(ISERROR(SEARCH("17",J225)))</formula>
    </cfRule>
  </conditionalFormatting>
  <conditionalFormatting sqref="J218:AU224">
    <cfRule type="containsText" dxfId="1048" priority="500" operator="containsText" text="T">
      <formula>NOT(ISERROR(SEARCH("T",J218)))</formula>
    </cfRule>
  </conditionalFormatting>
  <conditionalFormatting sqref="J232:AU234">
    <cfRule type="containsText" dxfId="1047" priority="486" operator="containsText" text="17">
      <formula>NOT(ISERROR(SEARCH("17",J232)))</formula>
    </cfRule>
  </conditionalFormatting>
  <conditionalFormatting sqref="J225:AV231">
    <cfRule type="containsText" dxfId="1046" priority="490" operator="containsText" text="T">
      <formula>NOT(ISERROR(SEARCH("T",J225)))</formula>
    </cfRule>
  </conditionalFormatting>
  <conditionalFormatting sqref="J232:AW234">
    <cfRule type="containsText" dxfId="1045" priority="480" operator="containsText" text="T">
      <formula>NOT(ISERROR(SEARCH("T",J232)))</formula>
    </cfRule>
  </conditionalFormatting>
  <conditionalFormatting sqref="J33:CP33">
    <cfRule type="containsText" dxfId="1044" priority="1058" operator="containsText" text="T">
      <formula>NOT(ISERROR(SEARCH("T",J33)))</formula>
    </cfRule>
  </conditionalFormatting>
  <conditionalFormatting sqref="K77:K82">
    <cfRule type="containsText" dxfId="1043" priority="893" operator="containsText" text="T">
      <formula>NOT(ISERROR(SEARCH("T",K77)))</formula>
    </cfRule>
  </conditionalFormatting>
  <conditionalFormatting sqref="K76:U76">
    <cfRule type="containsText" dxfId="1042" priority="885" operator="containsText" text="17">
      <formula>NOT(ISERROR(SEARCH("17",K76)))</formula>
    </cfRule>
    <cfRule type="containsText" dxfId="1041" priority="886" operator="containsText" text="T">
      <formula>NOT(ISERROR(SEARCH("T",K76)))</formula>
    </cfRule>
  </conditionalFormatting>
  <conditionalFormatting sqref="K77:AE82 K76:S76">
    <cfRule type="containsText" dxfId="1040" priority="892" operator="containsText" text="17">
      <formula>NOT(ISERROR(SEARCH("17",K76)))</formula>
    </cfRule>
  </conditionalFormatting>
  <conditionalFormatting sqref="L107:L112">
    <cfRule type="containsText" dxfId="1039" priority="880" operator="containsText" text="T">
      <formula>NOT(ISERROR(SEARCH("T",L107)))</formula>
    </cfRule>
  </conditionalFormatting>
  <conditionalFormatting sqref="L106:V106">
    <cfRule type="containsText" dxfId="1038" priority="872" operator="containsText" text="17">
      <formula>NOT(ISERROR(SEARCH("17",L106)))</formula>
    </cfRule>
    <cfRule type="containsText" dxfId="1037" priority="873" operator="containsText" text="T">
      <formula>NOT(ISERROR(SEARCH("T",L106)))</formula>
    </cfRule>
  </conditionalFormatting>
  <conditionalFormatting sqref="L107:AF112 L106:T106">
    <cfRule type="containsText" dxfId="1036" priority="879" operator="containsText" text="17">
      <formula>NOT(ISERROR(SEARCH("17",L106)))</formula>
    </cfRule>
  </conditionalFormatting>
  <conditionalFormatting sqref="M120:AG126 AJ120:AJ126">
    <cfRule type="containsText" dxfId="1035" priority="444" operator="containsText" text="T">
      <formula>NOT(ISERROR(SEARCH("T",M120)))</formula>
    </cfRule>
  </conditionalFormatting>
  <conditionalFormatting sqref="M120:AG126">
    <cfRule type="containsText" dxfId="1034" priority="446" operator="containsText" text="17">
      <formula>NOT(ISERROR(SEARCH("17",M120)))</formula>
    </cfRule>
  </conditionalFormatting>
  <conditionalFormatting sqref="N70:N75">
    <cfRule type="containsText" dxfId="1033" priority="867" operator="containsText" text="T">
      <formula>NOT(ISERROR(SEARCH("T",N70)))</formula>
    </cfRule>
  </conditionalFormatting>
  <conditionalFormatting sqref="N69:X69">
    <cfRule type="containsText" dxfId="1032" priority="859" operator="containsText" text="17">
      <formula>NOT(ISERROR(SEARCH("17",N69)))</formula>
    </cfRule>
    <cfRule type="containsText" dxfId="1031" priority="860" operator="containsText" text="T">
      <formula>NOT(ISERROR(SEARCH("T",N69)))</formula>
    </cfRule>
  </conditionalFormatting>
  <conditionalFormatting sqref="N70:AH75 N69:V69">
    <cfRule type="containsText" dxfId="1030" priority="866" operator="containsText" text="17">
      <formula>NOT(ISERROR(SEARCH("17",N69)))</formula>
    </cfRule>
  </conditionalFormatting>
  <conditionalFormatting sqref="O100:O105">
    <cfRule type="containsText" dxfId="1029" priority="854" operator="containsText" text="T">
      <formula>NOT(ISERROR(SEARCH("T",O100)))</formula>
    </cfRule>
  </conditionalFormatting>
  <conditionalFormatting sqref="O99:Y99">
    <cfRule type="containsText" dxfId="1028" priority="846" operator="containsText" text="17">
      <formula>NOT(ISERROR(SEARCH("17",O99)))</formula>
    </cfRule>
    <cfRule type="containsText" dxfId="1027" priority="847" operator="containsText" text="T">
      <formula>NOT(ISERROR(SEARCH("T",O99)))</formula>
    </cfRule>
  </conditionalFormatting>
  <conditionalFormatting sqref="O100:AI105 O99:W99">
    <cfRule type="containsText" dxfId="1026" priority="853" operator="containsText" text="17">
      <formula>NOT(ISERROR(SEARCH("17",O99)))</formula>
    </cfRule>
  </conditionalFormatting>
  <conditionalFormatting sqref="P67:Z68">
    <cfRule type="containsText" dxfId="1025" priority="836" operator="containsText" text="17">
      <formula>NOT(ISERROR(SEARCH("17",P67)))</formula>
    </cfRule>
  </conditionalFormatting>
  <conditionalFormatting sqref="P97:Z98">
    <cfRule type="containsText" dxfId="1024" priority="826" operator="containsText" text="17">
      <formula>NOT(ISERROR(SEARCH("17",P97)))</formula>
    </cfRule>
  </conditionalFormatting>
  <conditionalFormatting sqref="P127:Z130">
    <cfRule type="containsText" dxfId="1023" priority="806" operator="containsText" text="17">
      <formula>NOT(ISERROR(SEARCH("17",P127)))</formula>
    </cfRule>
  </conditionalFormatting>
  <conditionalFormatting sqref="Q132:Q137">
    <cfRule type="containsText" dxfId="1022" priority="801" operator="containsText" text="T">
      <formula>NOT(ISERROR(SEARCH("T",Q132)))</formula>
    </cfRule>
  </conditionalFormatting>
  <conditionalFormatting sqref="Q131:AA131">
    <cfRule type="containsText" dxfId="1021" priority="793" operator="containsText" text="17">
      <formula>NOT(ISERROR(SEARCH("17",Q131)))</formula>
    </cfRule>
    <cfRule type="containsText" dxfId="1020" priority="794" operator="containsText" text="T">
      <formula>NOT(ISERROR(SEARCH("T",Q131)))</formula>
    </cfRule>
  </conditionalFormatting>
  <conditionalFormatting sqref="Q132:AK137 Q131:Y131">
    <cfRule type="containsText" dxfId="1019" priority="800" operator="containsText" text="17">
      <formula>NOT(ISERROR(SEARCH("17",Q131)))</formula>
    </cfRule>
  </conditionalFormatting>
  <conditionalFormatting sqref="R139:R144">
    <cfRule type="containsText" dxfId="1018" priority="788" operator="containsText" text="T">
      <formula>NOT(ISERROR(SEARCH("T",R139)))</formula>
    </cfRule>
  </conditionalFormatting>
  <conditionalFormatting sqref="R138:AB138">
    <cfRule type="containsText" dxfId="1017" priority="780" operator="containsText" text="17">
      <formula>NOT(ISERROR(SEARCH("17",R138)))</formula>
    </cfRule>
    <cfRule type="containsText" dxfId="1016" priority="781" operator="containsText" text="T">
      <formula>NOT(ISERROR(SEARCH("T",R138)))</formula>
    </cfRule>
  </conditionalFormatting>
  <conditionalFormatting sqref="R139:AL144 R138:Z138">
    <cfRule type="containsText" dxfId="1015" priority="787" operator="containsText" text="17">
      <formula>NOT(ISERROR(SEARCH("17",R138)))</formula>
    </cfRule>
  </conditionalFormatting>
  <conditionalFormatting sqref="S146:S151">
    <cfRule type="containsText" dxfId="1014" priority="775" operator="containsText" text="T">
      <formula>NOT(ISERROR(SEARCH("T",S146)))</formula>
    </cfRule>
  </conditionalFormatting>
  <conditionalFormatting sqref="S145:AC145">
    <cfRule type="containsText" dxfId="1013" priority="767" operator="containsText" text="17">
      <formula>NOT(ISERROR(SEARCH("17",S145)))</formula>
    </cfRule>
    <cfRule type="containsText" dxfId="1012" priority="768" operator="containsText" text="T">
      <formula>NOT(ISERROR(SEARCH("T",S145)))</formula>
    </cfRule>
  </conditionalFormatting>
  <conditionalFormatting sqref="S146:AM151 S145:AA145">
    <cfRule type="containsText" dxfId="1011" priority="774" operator="containsText" text="17">
      <formula>NOT(ISERROR(SEARCH("17",S145)))</formula>
    </cfRule>
  </conditionalFormatting>
  <conditionalFormatting sqref="T153:T158">
    <cfRule type="containsText" dxfId="1010" priority="762" operator="containsText" text="T">
      <formula>NOT(ISERROR(SEARCH("T",T153)))</formula>
    </cfRule>
  </conditionalFormatting>
  <conditionalFormatting sqref="T152:AD152">
    <cfRule type="containsText" dxfId="1009" priority="754" operator="containsText" text="17">
      <formula>NOT(ISERROR(SEARCH("17",T152)))</formula>
    </cfRule>
    <cfRule type="containsText" dxfId="1008" priority="755" operator="containsText" text="T">
      <formula>NOT(ISERROR(SEARCH("T",T152)))</formula>
    </cfRule>
  </conditionalFormatting>
  <conditionalFormatting sqref="T153:AN158 T152:AB152">
    <cfRule type="containsText" dxfId="1007" priority="761" operator="containsText" text="17">
      <formula>NOT(ISERROR(SEARCH("17",T152)))</formula>
    </cfRule>
  </conditionalFormatting>
  <conditionalFormatting sqref="U160:U165">
    <cfRule type="containsText" dxfId="1006" priority="749" operator="containsText" text="T">
      <formula>NOT(ISERROR(SEARCH("T",U160)))</formula>
    </cfRule>
  </conditionalFormatting>
  <conditionalFormatting sqref="U113:AA113">
    <cfRule type="containsText" dxfId="1005" priority="907" operator="containsText" text="17">
      <formula>NOT(ISERROR(SEARCH("17",U113)))</formula>
    </cfRule>
    <cfRule type="containsText" dxfId="1004" priority="908" operator="containsText" text="T">
      <formula>NOT(ISERROR(SEARCH("T",U113)))</formula>
    </cfRule>
  </conditionalFormatting>
  <conditionalFormatting sqref="U159:AE159">
    <cfRule type="containsText" dxfId="1003" priority="741" operator="containsText" text="17">
      <formula>NOT(ISERROR(SEARCH("17",U159)))</formula>
    </cfRule>
    <cfRule type="containsText" dxfId="1002" priority="742" operator="containsText" text="T">
      <formula>NOT(ISERROR(SEARCH("T",U159)))</formula>
    </cfRule>
  </conditionalFormatting>
  <conditionalFormatting sqref="U160:AO165 U159:AC159">
    <cfRule type="containsText" dxfId="1001" priority="748" operator="containsText" text="17">
      <formula>NOT(ISERROR(SEARCH("17",U159)))</formula>
    </cfRule>
  </conditionalFormatting>
  <conditionalFormatting sqref="V113">
    <cfRule type="containsText" dxfId="1000" priority="903" operator="containsText" text="17">
      <formula>NOT(ISERROR(SEARCH("17",V113)))</formula>
    </cfRule>
    <cfRule type="containsText" dxfId="999" priority="904" operator="containsText" text="T">
      <formula>NOT(ISERROR(SEARCH("T",V113)))</formula>
    </cfRule>
  </conditionalFormatting>
  <conditionalFormatting sqref="V208:V213">
    <cfRule type="containsText" dxfId="998" priority="736" operator="containsText" text="T">
      <formula>NOT(ISERROR(SEARCH("T",V208)))</formula>
    </cfRule>
  </conditionalFormatting>
  <conditionalFormatting sqref="V76:AB76">
    <cfRule type="containsText" dxfId="997" priority="894" operator="containsText" text="17">
      <formula>NOT(ISERROR(SEARCH("17",V76)))</formula>
    </cfRule>
    <cfRule type="containsText" dxfId="996" priority="895" operator="containsText" text="T">
      <formula>NOT(ISERROR(SEARCH("T",V76)))</formula>
    </cfRule>
  </conditionalFormatting>
  <conditionalFormatting sqref="V207:AF207">
    <cfRule type="containsText" dxfId="995" priority="728" operator="containsText" text="17">
      <formula>NOT(ISERROR(SEARCH("17",V207)))</formula>
    </cfRule>
    <cfRule type="containsText" dxfId="994" priority="729" operator="containsText" text="T">
      <formula>NOT(ISERROR(SEARCH("T",V207)))</formula>
    </cfRule>
  </conditionalFormatting>
  <conditionalFormatting sqref="V208:AP213 V207:AD207">
    <cfRule type="containsText" dxfId="993" priority="735" operator="containsText" text="17">
      <formula>NOT(ISERROR(SEARCH("17",V207)))</formula>
    </cfRule>
  </conditionalFormatting>
  <conditionalFormatting sqref="W76">
    <cfRule type="containsText" dxfId="992" priority="890" operator="containsText" text="17">
      <formula>NOT(ISERROR(SEARCH("17",W76)))</formula>
    </cfRule>
    <cfRule type="containsText" dxfId="991" priority="891" operator="containsText" text="T">
      <formula>NOT(ISERROR(SEARCH("T",W76)))</formula>
    </cfRule>
  </conditionalFormatting>
  <conditionalFormatting sqref="W201:W206">
    <cfRule type="containsText" dxfId="990" priority="723" operator="containsText" text="T">
      <formula>NOT(ISERROR(SEARCH("T",W201)))</formula>
    </cfRule>
  </conditionalFormatting>
  <conditionalFormatting sqref="W106:AC106">
    <cfRule type="containsText" dxfId="989" priority="881" operator="containsText" text="17">
      <formula>NOT(ISERROR(SEARCH("17",W106)))</formula>
    </cfRule>
    <cfRule type="containsText" dxfId="988" priority="882" operator="containsText" text="T">
      <formula>NOT(ISERROR(SEARCH("T",W106)))</formula>
    </cfRule>
  </conditionalFormatting>
  <conditionalFormatting sqref="W200:AG200">
    <cfRule type="containsText" dxfId="987" priority="715" operator="containsText" text="17">
      <formula>NOT(ISERROR(SEARCH("17",W200)))</formula>
    </cfRule>
    <cfRule type="containsText" dxfId="986" priority="716" operator="containsText" text="T">
      <formula>NOT(ISERROR(SEARCH("T",W200)))</formula>
    </cfRule>
  </conditionalFormatting>
  <conditionalFormatting sqref="W201:AQ206 W200:AE200">
    <cfRule type="containsText" dxfId="985" priority="722" operator="containsText" text="17">
      <formula>NOT(ISERROR(SEARCH("17",W200)))</formula>
    </cfRule>
  </conditionalFormatting>
  <conditionalFormatting sqref="X106">
    <cfRule type="containsText" dxfId="984" priority="877" operator="containsText" text="17">
      <formula>NOT(ISERROR(SEARCH("17",X106)))</formula>
    </cfRule>
    <cfRule type="containsText" dxfId="983" priority="878" operator="containsText" text="T">
      <formula>NOT(ISERROR(SEARCH("T",X106)))</formula>
    </cfRule>
  </conditionalFormatting>
  <conditionalFormatting sqref="X194:X199">
    <cfRule type="containsText" dxfId="982" priority="710" operator="containsText" text="T">
      <formula>NOT(ISERROR(SEARCH("T",X194)))</formula>
    </cfRule>
  </conditionalFormatting>
  <conditionalFormatting sqref="X192:AH193">
    <cfRule type="containsText" dxfId="981" priority="697" operator="containsText" text="17">
      <formula>NOT(ISERROR(SEARCH("17",X192)))</formula>
    </cfRule>
    <cfRule type="containsText" dxfId="980" priority="698" operator="containsText" text="T">
      <formula>NOT(ISERROR(SEARCH("T",X192)))</formula>
    </cfRule>
  </conditionalFormatting>
  <conditionalFormatting sqref="Y169:Y174">
    <cfRule type="containsText" dxfId="979" priority="692" operator="containsText" text="T">
      <formula>NOT(ISERROR(SEARCH("T",Y169)))</formula>
    </cfRule>
  </conditionalFormatting>
  <conditionalFormatting sqref="Y69:AE69">
    <cfRule type="containsText" dxfId="978" priority="868" operator="containsText" text="17">
      <formula>NOT(ISERROR(SEARCH("17",Y69)))</formula>
    </cfRule>
    <cfRule type="containsText" dxfId="977" priority="869" operator="containsText" text="T">
      <formula>NOT(ISERROR(SEARCH("T",Y69)))</formula>
    </cfRule>
  </conditionalFormatting>
  <conditionalFormatting sqref="Y168:AI168">
    <cfRule type="containsText" dxfId="976" priority="684" operator="containsText" text="17">
      <formula>NOT(ISERROR(SEARCH("17",Y168)))</formula>
    </cfRule>
    <cfRule type="containsText" dxfId="975" priority="685" operator="containsText" text="T">
      <formula>NOT(ISERROR(SEARCH("T",Y168)))</formula>
    </cfRule>
  </conditionalFormatting>
  <conditionalFormatting sqref="Y169:AS174 Y168:AG168">
    <cfRule type="containsText" dxfId="974" priority="691" operator="containsText" text="17">
      <formula>NOT(ISERROR(SEARCH("17",Y168)))</formula>
    </cfRule>
  </conditionalFormatting>
  <conditionalFormatting sqref="Z69">
    <cfRule type="containsText" dxfId="973" priority="864" operator="containsText" text="17">
      <formula>NOT(ISERROR(SEARCH("17",Z69)))</formula>
    </cfRule>
    <cfRule type="containsText" dxfId="972" priority="865" operator="containsText" text="T">
      <formula>NOT(ISERROR(SEARCH("T",Z69)))</formula>
    </cfRule>
  </conditionalFormatting>
  <conditionalFormatting sqref="Z176:Z181">
    <cfRule type="containsText" dxfId="971" priority="679" operator="containsText" text="T">
      <formula>NOT(ISERROR(SEARCH("T",Z176)))</formula>
    </cfRule>
  </conditionalFormatting>
  <conditionalFormatting sqref="Z99:AF99">
    <cfRule type="containsText" dxfId="970" priority="855" operator="containsText" text="17">
      <formula>NOT(ISERROR(SEARCH("17",Z99)))</formula>
    </cfRule>
    <cfRule type="containsText" dxfId="969" priority="856" operator="containsText" text="T">
      <formula>NOT(ISERROR(SEARCH("T",Z99)))</formula>
    </cfRule>
  </conditionalFormatting>
  <conditionalFormatting sqref="Z175:AJ175">
    <cfRule type="containsText" dxfId="968" priority="671" operator="containsText" text="17">
      <formula>NOT(ISERROR(SEARCH("17",Z175)))</formula>
    </cfRule>
    <cfRule type="containsText" dxfId="967" priority="672" operator="containsText" text="T">
      <formula>NOT(ISERROR(SEARCH("T",Z175)))</formula>
    </cfRule>
  </conditionalFormatting>
  <conditionalFormatting sqref="Z176:AT181 Z175:AH175">
    <cfRule type="containsText" dxfId="966" priority="678" operator="containsText" text="17">
      <formula>NOT(ISERROR(SEARCH("17",Z175)))</formula>
    </cfRule>
  </conditionalFormatting>
  <conditionalFormatting sqref="AA99">
    <cfRule type="containsText" dxfId="965" priority="851" operator="containsText" text="17">
      <formula>NOT(ISERROR(SEARCH("17",AA99)))</formula>
    </cfRule>
    <cfRule type="containsText" dxfId="964" priority="852" operator="containsText" text="T">
      <formula>NOT(ISERROR(SEARCH("T",AA99)))</formula>
    </cfRule>
  </conditionalFormatting>
  <conditionalFormatting sqref="AA113 AE113:AG113 J114:AD119 AG114:AG119">
    <cfRule type="containsText" dxfId="963" priority="900" operator="containsText" text="T">
      <formula>NOT(ISERROR(SEARCH("T",J113)))</formula>
    </cfRule>
  </conditionalFormatting>
  <conditionalFormatting sqref="AA183:AA190">
    <cfRule type="containsText" dxfId="962" priority="666" operator="containsText" text="T">
      <formula>NOT(ISERROR(SEARCH("T",AA183)))</formula>
    </cfRule>
  </conditionalFormatting>
  <conditionalFormatting sqref="AA113:AB113 AE113:AG113 AG114:AG119">
    <cfRule type="containsText" dxfId="961" priority="901" operator="containsText" text="17">
      <formula>NOT(ISERROR(SEARCH("17",AA113)))</formula>
    </cfRule>
  </conditionalFormatting>
  <conditionalFormatting sqref="AA67:AG68">
    <cfRule type="containsText" dxfId="960" priority="844" operator="containsText" text="17">
      <formula>NOT(ISERROR(SEARCH("17",AA67)))</formula>
    </cfRule>
    <cfRule type="containsText" dxfId="959" priority="845" operator="containsText" text="T">
      <formula>NOT(ISERROR(SEARCH("T",AA67)))</formula>
    </cfRule>
  </conditionalFormatting>
  <conditionalFormatting sqref="AA97:AG98">
    <cfRule type="containsText" dxfId="958" priority="834" operator="containsText" text="17">
      <formula>NOT(ISERROR(SEARCH("17",AA97)))</formula>
    </cfRule>
    <cfRule type="containsText" dxfId="957" priority="835" operator="containsText" text="T">
      <formula>NOT(ISERROR(SEARCH("T",AA97)))</formula>
    </cfRule>
  </conditionalFormatting>
  <conditionalFormatting sqref="AA127:AG130">
    <cfRule type="containsText" dxfId="956" priority="814" operator="containsText" text="17">
      <formula>NOT(ISERROR(SEARCH("17",AA127)))</formula>
    </cfRule>
    <cfRule type="containsText" dxfId="955" priority="815" operator="containsText" text="T">
      <formula>NOT(ISERROR(SEARCH("T",AA127)))</formula>
    </cfRule>
  </conditionalFormatting>
  <conditionalFormatting sqref="AA182:AK182">
    <cfRule type="containsText" dxfId="954" priority="658" operator="containsText" text="17">
      <formula>NOT(ISERROR(SEARCH("17",AA182)))</formula>
    </cfRule>
    <cfRule type="containsText" dxfId="953" priority="659" operator="containsText" text="T">
      <formula>NOT(ISERROR(SEARCH("T",AA182)))</formula>
    </cfRule>
  </conditionalFormatting>
  <conditionalFormatting sqref="AA183:AU190 AA182:AI182">
    <cfRule type="containsText" dxfId="952" priority="665" operator="containsText" text="17">
      <formula>NOT(ISERROR(SEARCH("17",AA182)))</formula>
    </cfRule>
  </conditionalFormatting>
  <conditionalFormatting sqref="AB67:AB68">
    <cfRule type="containsText" dxfId="951" priority="841" operator="containsText" text="17">
      <formula>NOT(ISERROR(SEARCH("17",AB67)))</formula>
    </cfRule>
    <cfRule type="containsText" dxfId="950" priority="842" operator="containsText" text="T">
      <formula>NOT(ISERROR(SEARCH("T",AB67)))</formula>
    </cfRule>
  </conditionalFormatting>
  <conditionalFormatting sqref="AB76 AF76:AH76 K77:AE82 AH77:AH82">
    <cfRule type="containsText" dxfId="949" priority="887" operator="containsText" text="T">
      <formula>NOT(ISERROR(SEARCH("T",K76)))</formula>
    </cfRule>
  </conditionalFormatting>
  <conditionalFormatting sqref="AB91:AB96">
    <cfRule type="containsText" dxfId="948" priority="653" operator="containsText" text="T">
      <formula>NOT(ISERROR(SEARCH("T",AB91)))</formula>
    </cfRule>
  </conditionalFormatting>
  <conditionalFormatting sqref="AB97:AB98">
    <cfRule type="containsText" dxfId="947" priority="831" operator="containsText" text="17">
      <formula>NOT(ISERROR(SEARCH("17",AB97)))</formula>
    </cfRule>
    <cfRule type="containsText" dxfId="946" priority="832" operator="containsText" text="T">
      <formula>NOT(ISERROR(SEARCH("T",AB97)))</formula>
    </cfRule>
  </conditionalFormatting>
  <conditionalFormatting sqref="AB113">
    <cfRule type="containsText" dxfId="945" priority="902" operator="containsText" text="T">
      <formula>NOT(ISERROR(SEARCH("T",AB113)))</formula>
    </cfRule>
  </conditionalFormatting>
  <conditionalFormatting sqref="AB127:AB130">
    <cfRule type="containsText" dxfId="944" priority="811" operator="containsText" text="17">
      <formula>NOT(ISERROR(SEARCH("17",AB127)))</formula>
    </cfRule>
    <cfRule type="containsText" dxfId="943" priority="812" operator="containsText" text="T">
      <formula>NOT(ISERROR(SEARCH("T",AB127)))</formula>
    </cfRule>
  </conditionalFormatting>
  <conditionalFormatting sqref="AB76:AC76 AF76:AH76 AH77:AH82">
    <cfRule type="containsText" dxfId="942" priority="888" operator="containsText" text="17">
      <formula>NOT(ISERROR(SEARCH("17",AB76)))</formula>
    </cfRule>
  </conditionalFormatting>
  <conditionalFormatting sqref="AB131:AH131">
    <cfRule type="containsText" dxfId="941" priority="802" operator="containsText" text="17">
      <formula>NOT(ISERROR(SEARCH("17",AB131)))</formula>
    </cfRule>
    <cfRule type="containsText" dxfId="940" priority="803" operator="containsText" text="T">
      <formula>NOT(ISERROR(SEARCH("T",AB131)))</formula>
    </cfRule>
  </conditionalFormatting>
  <conditionalFormatting sqref="AB90:AL90">
    <cfRule type="containsText" dxfId="939" priority="645" operator="containsText" text="17">
      <formula>NOT(ISERROR(SEARCH("17",AB90)))</formula>
    </cfRule>
    <cfRule type="containsText" dxfId="938" priority="646" operator="containsText" text="T">
      <formula>NOT(ISERROR(SEARCH("T",AB90)))</formula>
    </cfRule>
  </conditionalFormatting>
  <conditionalFormatting sqref="AB91:AV96 AB90:AJ90">
    <cfRule type="containsText" dxfId="937" priority="652" operator="containsText" text="17">
      <formula>NOT(ISERROR(SEARCH("17",AB90)))</formula>
    </cfRule>
  </conditionalFormatting>
  <conditionalFormatting sqref="AC15:AC20">
    <cfRule type="containsText" dxfId="936" priority="640" operator="containsText" text="T">
      <formula>NOT(ISERROR(SEARCH("T",AC15)))</formula>
    </cfRule>
  </conditionalFormatting>
  <conditionalFormatting sqref="AC76">
    <cfRule type="containsText" dxfId="935" priority="889" operator="containsText" text="T">
      <formula>NOT(ISERROR(SEARCH("T",AC76)))</formula>
    </cfRule>
  </conditionalFormatting>
  <conditionalFormatting sqref="AC106 L107:AF112 AI107:AI112">
    <cfRule type="containsText" dxfId="934" priority="874" operator="containsText" text="T">
      <formula>NOT(ISERROR(SEARCH("T",L106)))</formula>
    </cfRule>
  </conditionalFormatting>
  <conditionalFormatting sqref="AC131">
    <cfRule type="containsText" dxfId="933" priority="798" operator="containsText" text="17">
      <formula>NOT(ISERROR(SEARCH("17",AC131)))</formula>
    </cfRule>
    <cfRule type="containsText" dxfId="932" priority="799" operator="containsText" text="T">
      <formula>NOT(ISERROR(SEARCH("T",AC131)))</formula>
    </cfRule>
  </conditionalFormatting>
  <conditionalFormatting sqref="AC106:AD106 AI107:AI112">
    <cfRule type="containsText" dxfId="931" priority="875" operator="containsText" text="17">
      <formula>NOT(ISERROR(SEARCH("17",AC106)))</formula>
    </cfRule>
  </conditionalFormatting>
  <conditionalFormatting sqref="AC138:AI138">
    <cfRule type="containsText" dxfId="930" priority="789" operator="containsText" text="17">
      <formula>NOT(ISERROR(SEARCH("17",AC138)))</formula>
    </cfRule>
    <cfRule type="containsText" dxfId="929" priority="790" operator="containsText" text="T">
      <formula>NOT(ISERROR(SEARCH("T",AC138)))</formula>
    </cfRule>
  </conditionalFormatting>
  <conditionalFormatting sqref="AC14:AM14">
    <cfRule type="containsText" dxfId="928" priority="632" operator="containsText" text="17">
      <formula>NOT(ISERROR(SEARCH("17",AC14)))</formula>
    </cfRule>
    <cfRule type="containsText" dxfId="927" priority="633" operator="containsText" text="T">
      <formula>NOT(ISERROR(SEARCH("T",AC14)))</formula>
    </cfRule>
  </conditionalFormatting>
  <conditionalFormatting sqref="AC15:AW20 AC14:AK14">
    <cfRule type="containsText" dxfId="926" priority="639" operator="containsText" text="17">
      <formula>NOT(ISERROR(SEARCH("17",AC14)))</formula>
    </cfRule>
  </conditionalFormatting>
  <conditionalFormatting sqref="AD35:AD40">
    <cfRule type="containsText" dxfId="925" priority="627" operator="containsText" text="T">
      <formula>NOT(ISERROR(SEARCH("T",AD35)))</formula>
    </cfRule>
  </conditionalFormatting>
  <conditionalFormatting sqref="AD106">
    <cfRule type="containsText" dxfId="924" priority="876" operator="containsText" text="T">
      <formula>NOT(ISERROR(SEARCH("T",AD106)))</formula>
    </cfRule>
  </conditionalFormatting>
  <conditionalFormatting sqref="AD138">
    <cfRule type="containsText" dxfId="923" priority="785" operator="containsText" text="17">
      <formula>NOT(ISERROR(SEARCH("17",AD138)))</formula>
    </cfRule>
    <cfRule type="containsText" dxfId="922" priority="786" operator="containsText" text="T">
      <formula>NOT(ISERROR(SEARCH("T",AD138)))</formula>
    </cfRule>
  </conditionalFormatting>
  <conditionalFormatting sqref="AD145:AJ145">
    <cfRule type="containsText" dxfId="921" priority="776" operator="containsText" text="17">
      <formula>NOT(ISERROR(SEARCH("17",AD145)))</formula>
    </cfRule>
    <cfRule type="containsText" dxfId="920" priority="777" operator="containsText" text="T">
      <formula>NOT(ISERROR(SEARCH("T",AD145)))</formula>
    </cfRule>
  </conditionalFormatting>
  <conditionalFormatting sqref="AD34:AN34">
    <cfRule type="containsText" dxfId="919" priority="619" operator="containsText" text="17">
      <formula>NOT(ISERROR(SEARCH("17",AD34)))</formula>
    </cfRule>
    <cfRule type="containsText" dxfId="918" priority="620" operator="containsText" text="T">
      <formula>NOT(ISERROR(SEARCH("T",AD34)))</formula>
    </cfRule>
  </conditionalFormatting>
  <conditionalFormatting sqref="AD35:AX40 AD34:AL34">
    <cfRule type="containsText" dxfId="917" priority="626" operator="containsText" text="17">
      <formula>NOT(ISERROR(SEARCH("17",AD34)))</formula>
    </cfRule>
  </conditionalFormatting>
  <conditionalFormatting sqref="AE22:AE27">
    <cfRule type="containsText" dxfId="916" priority="614" operator="containsText" text="T">
      <formula>NOT(ISERROR(SEARCH("T",AE22)))</formula>
    </cfRule>
  </conditionalFormatting>
  <conditionalFormatting sqref="AE69 AI69:AK69 N70:AH75 AK70:AK75">
    <cfRule type="containsText" dxfId="915" priority="861" operator="containsText" text="T">
      <formula>NOT(ISERROR(SEARCH("T",N69)))</formula>
    </cfRule>
  </conditionalFormatting>
  <conditionalFormatting sqref="AE145">
    <cfRule type="containsText" dxfId="914" priority="772" operator="containsText" text="17">
      <formula>NOT(ISERROR(SEARCH("17",AE145)))</formula>
    </cfRule>
    <cfRule type="containsText" dxfId="913" priority="773" operator="containsText" text="T">
      <formula>NOT(ISERROR(SEARCH("T",AE145)))</formula>
    </cfRule>
  </conditionalFormatting>
  <conditionalFormatting sqref="AE69:AF69 AI69:AK69 AK70:AK75">
    <cfRule type="containsText" dxfId="912" priority="862" operator="containsText" text="17">
      <formula>NOT(ISERROR(SEARCH("17",AE69)))</formula>
    </cfRule>
  </conditionalFormatting>
  <conditionalFormatting sqref="AE152:AK152">
    <cfRule type="containsText" dxfId="911" priority="763" operator="containsText" text="17">
      <formula>NOT(ISERROR(SEARCH("17",AE152)))</formula>
    </cfRule>
    <cfRule type="containsText" dxfId="910" priority="764" operator="containsText" text="T">
      <formula>NOT(ISERROR(SEARCH("T",AE152)))</formula>
    </cfRule>
  </conditionalFormatting>
  <conditionalFormatting sqref="AE21:AO21">
    <cfRule type="containsText" dxfId="909" priority="606" operator="containsText" text="17">
      <formula>NOT(ISERROR(SEARCH("17",AE21)))</formula>
    </cfRule>
    <cfRule type="containsText" dxfId="908" priority="607" operator="containsText" text="T">
      <formula>NOT(ISERROR(SEARCH("T",AE21)))</formula>
    </cfRule>
  </conditionalFormatting>
  <conditionalFormatting sqref="AE22:AY27 AE21:AM21">
    <cfRule type="containsText" dxfId="907" priority="613" operator="containsText" text="17">
      <formula>NOT(ISERROR(SEARCH("17",AE21)))</formula>
    </cfRule>
  </conditionalFormatting>
  <conditionalFormatting sqref="AF42:AF47">
    <cfRule type="containsText" dxfId="906" priority="601" operator="containsText" text="T">
      <formula>NOT(ISERROR(SEARCH("T",AF42)))</formula>
    </cfRule>
  </conditionalFormatting>
  <conditionalFormatting sqref="AF69">
    <cfRule type="containsText" dxfId="905" priority="863" operator="containsText" text="T">
      <formula>NOT(ISERROR(SEARCH("T",AF69)))</formula>
    </cfRule>
  </conditionalFormatting>
  <conditionalFormatting sqref="AF99 AJ99:AL99 O100:AI105 AL100:AL105">
    <cfRule type="containsText" dxfId="904" priority="848" operator="containsText" text="T">
      <formula>NOT(ISERROR(SEARCH("T",O99)))</formula>
    </cfRule>
  </conditionalFormatting>
  <conditionalFormatting sqref="AF152">
    <cfRule type="containsText" dxfId="903" priority="759" operator="containsText" text="17">
      <formula>NOT(ISERROR(SEARCH("17",AF152)))</formula>
    </cfRule>
    <cfRule type="containsText" dxfId="902" priority="760" operator="containsText" text="T">
      <formula>NOT(ISERROR(SEARCH("T",AF152)))</formula>
    </cfRule>
  </conditionalFormatting>
  <conditionalFormatting sqref="AF99:AG99 AJ99:AL99 AL100:AL105">
    <cfRule type="containsText" dxfId="901" priority="849" operator="containsText" text="17">
      <formula>NOT(ISERROR(SEARCH("17",AF99)))</formula>
    </cfRule>
  </conditionalFormatting>
  <conditionalFormatting sqref="AF159:AL159">
    <cfRule type="containsText" dxfId="900" priority="750" operator="containsText" text="17">
      <formula>NOT(ISERROR(SEARCH("17",AF159)))</formula>
    </cfRule>
    <cfRule type="containsText" dxfId="899" priority="751" operator="containsText" text="T">
      <formula>NOT(ISERROR(SEARCH("T",AF159)))</formula>
    </cfRule>
  </conditionalFormatting>
  <conditionalFormatting sqref="AF41:AP41">
    <cfRule type="containsText" dxfId="898" priority="593" operator="containsText" text="17">
      <formula>NOT(ISERROR(SEARCH("17",AF41)))</formula>
    </cfRule>
    <cfRule type="containsText" dxfId="897" priority="594" operator="containsText" text="T">
      <formula>NOT(ISERROR(SEARCH("T",AF41)))</formula>
    </cfRule>
  </conditionalFormatting>
  <conditionalFormatting sqref="AF42:AZ47 AF41:AN41">
    <cfRule type="containsText" dxfId="896" priority="600" operator="containsText" text="17">
      <formula>NOT(ISERROR(SEARCH("17",AF41)))</formula>
    </cfRule>
  </conditionalFormatting>
  <conditionalFormatting sqref="AG67:AG68">
    <cfRule type="containsText" dxfId="895" priority="838" operator="containsText" text="T">
      <formula>NOT(ISERROR(SEARCH("T",AG67)))</formula>
    </cfRule>
  </conditionalFormatting>
  <conditionalFormatting sqref="AG97:AG98">
    <cfRule type="containsText" dxfId="894" priority="828" operator="containsText" text="T">
      <formula>NOT(ISERROR(SEARCH("T",AG97)))</formula>
    </cfRule>
  </conditionalFormatting>
  <conditionalFormatting sqref="AG99">
    <cfRule type="containsText" dxfId="893" priority="850" operator="containsText" text="T">
      <formula>NOT(ISERROR(SEARCH("T",AG99)))</formula>
    </cfRule>
  </conditionalFormatting>
  <conditionalFormatting sqref="AG114:AG119">
    <cfRule type="containsText" dxfId="892" priority="910" operator="containsText" text="T">
      <formula>NOT(ISERROR(SEARCH("T",AG114)))</formula>
    </cfRule>
  </conditionalFormatting>
  <conditionalFormatting sqref="AG127:AG130 AK127:AM130">
    <cfRule type="containsText" dxfId="891" priority="808" operator="containsText" text="T">
      <formula>NOT(ISERROR(SEARCH("T",AG127)))</formula>
    </cfRule>
  </conditionalFormatting>
  <conditionalFormatting sqref="AG159">
    <cfRule type="containsText" dxfId="890" priority="746" operator="containsText" text="17">
      <formula>NOT(ISERROR(SEARCH("17",AG159)))</formula>
    </cfRule>
    <cfRule type="containsText" dxfId="889" priority="747" operator="containsText" text="T">
      <formula>NOT(ISERROR(SEARCH("T",AG159)))</formula>
    </cfRule>
  </conditionalFormatting>
  <conditionalFormatting sqref="AG67:AH68">
    <cfRule type="containsText" dxfId="888" priority="839" operator="containsText" text="17">
      <formula>NOT(ISERROR(SEARCH("17",AG67)))</formula>
    </cfRule>
  </conditionalFormatting>
  <conditionalFormatting sqref="AG97:AH98">
    <cfRule type="containsText" dxfId="887" priority="829" operator="containsText" text="17">
      <formula>NOT(ISERROR(SEARCH("17",AG97)))</formula>
    </cfRule>
  </conditionalFormatting>
  <conditionalFormatting sqref="AG127:AH130 AK127:AM130">
    <cfRule type="containsText" dxfId="886" priority="809" operator="containsText" text="17">
      <formula>NOT(ISERROR(SEARCH("17",AG127)))</formula>
    </cfRule>
  </conditionalFormatting>
  <conditionalFormatting sqref="AG207:AM207">
    <cfRule type="containsText" dxfId="885" priority="737" operator="containsText" text="17">
      <formula>NOT(ISERROR(SEARCH("17",AG207)))</formula>
    </cfRule>
    <cfRule type="containsText" dxfId="884" priority="738" operator="containsText" text="T">
      <formula>NOT(ISERROR(SEARCH("T",AG207)))</formula>
    </cfRule>
  </conditionalFormatting>
  <conditionalFormatting sqref="AG28:AO32">
    <cfRule type="containsText" dxfId="883" priority="590" operator="containsText" text="17">
      <formula>NOT(ISERROR(SEARCH("17",AG28)))</formula>
    </cfRule>
  </conditionalFormatting>
  <conditionalFormatting sqref="AG28:AQ32">
    <cfRule type="containsText" dxfId="882" priority="583" operator="containsText" text="17">
      <formula>NOT(ISERROR(SEARCH("17",AG28)))</formula>
    </cfRule>
    <cfRule type="containsText" dxfId="881" priority="584" operator="containsText" text="T">
      <formula>NOT(ISERROR(SEARCH("T",AG28)))</formula>
    </cfRule>
  </conditionalFormatting>
  <conditionalFormatting sqref="AG48:AQ49">
    <cfRule type="containsText" dxfId="880" priority="573" operator="containsText" text="17">
      <formula>NOT(ISERROR(SEARCH("17",AG48)))</formula>
    </cfRule>
  </conditionalFormatting>
  <conditionalFormatting sqref="AG106:AY106">
    <cfRule type="containsText" dxfId="879" priority="411" operator="containsText" text="17">
      <formula>NOT(ISERROR(SEARCH("17",AG106)))</formula>
    </cfRule>
  </conditionalFormatting>
  <conditionalFormatting sqref="AG106:BA106">
    <cfRule type="containsText" dxfId="878" priority="405" operator="containsText" text="T">
      <formula>NOT(ISERROR(SEARCH("T",AG106)))</formula>
    </cfRule>
  </conditionalFormatting>
  <conditionalFormatting sqref="AH67:AH68">
    <cfRule type="containsText" dxfId="877" priority="840" operator="containsText" text="T">
      <formula>NOT(ISERROR(SEARCH("T",AH67)))</formula>
    </cfRule>
  </conditionalFormatting>
  <conditionalFormatting sqref="AH77:AH82">
    <cfRule type="containsText" dxfId="876" priority="897" operator="containsText" text="T">
      <formula>NOT(ISERROR(SEARCH("T",AH77)))</formula>
    </cfRule>
  </conditionalFormatting>
  <conditionalFormatting sqref="AH97:AH98">
    <cfRule type="containsText" dxfId="875" priority="830" operator="containsText" text="T">
      <formula>NOT(ISERROR(SEARCH("T",AH97)))</formula>
    </cfRule>
  </conditionalFormatting>
  <conditionalFormatting sqref="AH127:AH130">
    <cfRule type="containsText" dxfId="874" priority="810" operator="containsText" text="T">
      <formula>NOT(ISERROR(SEARCH("T",AH127)))</formula>
    </cfRule>
  </conditionalFormatting>
  <conditionalFormatting sqref="AH131 AL131:AN131 Q132:AK137 AN132:AN137">
    <cfRule type="containsText" dxfId="873" priority="795" operator="containsText" text="T">
      <formula>NOT(ISERROR(SEARCH("T",Q131)))</formula>
    </cfRule>
  </conditionalFormatting>
  <conditionalFormatting sqref="AH207">
    <cfRule type="containsText" dxfId="872" priority="733" operator="containsText" text="17">
      <formula>NOT(ISERROR(SEARCH("17",AH207)))</formula>
    </cfRule>
    <cfRule type="containsText" dxfId="871" priority="734" operator="containsText" text="T">
      <formula>NOT(ISERROR(SEARCH("T",AH207)))</formula>
    </cfRule>
  </conditionalFormatting>
  <conditionalFormatting sqref="AH131:AI131 AL131:AN131 AN132:AN137">
    <cfRule type="containsText" dxfId="870" priority="796" operator="containsText" text="17">
      <formula>NOT(ISERROR(SEARCH("17",AH131)))</formula>
    </cfRule>
  </conditionalFormatting>
  <conditionalFormatting sqref="AH200:AN200">
    <cfRule type="containsText" dxfId="869" priority="724" operator="containsText" text="17">
      <formula>NOT(ISERROR(SEARCH("17",AH200)))</formula>
    </cfRule>
    <cfRule type="containsText" dxfId="868" priority="725" operator="containsText" text="T">
      <formula>NOT(ISERROR(SEARCH("T",AH200)))</formula>
    </cfRule>
  </conditionalFormatting>
  <conditionalFormatting sqref="AH50:AP53">
    <cfRule type="containsText" dxfId="867" priority="570" operator="containsText" text="17">
      <formula>NOT(ISERROR(SEARCH("17",AH50)))</formula>
    </cfRule>
  </conditionalFormatting>
  <conditionalFormatting sqref="AH50:AR53">
    <cfRule type="containsText" dxfId="866" priority="563" operator="containsText" text="17">
      <formula>NOT(ISERROR(SEARCH("17",AH50)))</formula>
    </cfRule>
  </conditionalFormatting>
  <conditionalFormatting sqref="AH63:AR66">
    <cfRule type="containsText" dxfId="865" priority="553" operator="containsText" text="17">
      <formula>NOT(ISERROR(SEARCH("17",AH63)))</formula>
    </cfRule>
  </conditionalFormatting>
  <conditionalFormatting sqref="AH113:AU116">
    <cfRule type="containsText" dxfId="864" priority="476" operator="containsText" text="17">
      <formula>NOT(ISERROR(SEARCH("17",AH113)))</formula>
    </cfRule>
  </conditionalFormatting>
  <conditionalFormatting sqref="AH117:AV119">
    <cfRule type="containsText" dxfId="863" priority="466" operator="containsText" text="17">
      <formula>NOT(ISERROR(SEARCH("17",AH117)))</formula>
    </cfRule>
  </conditionalFormatting>
  <conditionalFormatting sqref="AH113:AW116">
    <cfRule type="containsText" dxfId="862" priority="470" operator="containsText" text="T">
      <formula>NOT(ISERROR(SEARCH("T",AH113)))</formula>
    </cfRule>
  </conditionalFormatting>
  <conditionalFormatting sqref="AH117:AX119">
    <cfRule type="containsText" dxfId="861" priority="460" operator="containsText" text="T">
      <formula>NOT(ISERROR(SEARCH("T",AH117)))</formula>
    </cfRule>
  </conditionalFormatting>
  <conditionalFormatting sqref="AI131">
    <cfRule type="containsText" dxfId="860" priority="797" operator="containsText" text="T">
      <formula>NOT(ISERROR(SEARCH("T",AI131)))</formula>
    </cfRule>
  </conditionalFormatting>
  <conditionalFormatting sqref="AI138 AM138:AO138 R139:AL144 AO139:AO144">
    <cfRule type="containsText" dxfId="859" priority="782" operator="containsText" text="T">
      <formula>NOT(ISERROR(SEARCH("T",R138)))</formula>
    </cfRule>
  </conditionalFormatting>
  <conditionalFormatting sqref="AI200">
    <cfRule type="containsText" dxfId="858" priority="720" operator="containsText" text="17">
      <formula>NOT(ISERROR(SEARCH("17",AI200)))</formula>
    </cfRule>
    <cfRule type="containsText" dxfId="857" priority="721" operator="containsText" text="T">
      <formula>NOT(ISERROR(SEARCH("T",AI200)))</formula>
    </cfRule>
  </conditionalFormatting>
  <conditionalFormatting sqref="AI138:AJ138 AM138:AO138 AO139:AO144">
    <cfRule type="containsText" dxfId="856" priority="783" operator="containsText" text="17">
      <formula>NOT(ISERROR(SEARCH("17",AI138)))</formula>
    </cfRule>
  </conditionalFormatting>
  <conditionalFormatting sqref="AI107:AO112">
    <cfRule type="containsText" dxfId="855" priority="884" operator="containsText" text="T">
      <formula>NOT(ISERROR(SEARCH("T",AI107)))</formula>
    </cfRule>
  </conditionalFormatting>
  <conditionalFormatting sqref="AI192:AO192">
    <cfRule type="containsText" dxfId="854" priority="701" operator="containsText" text="T">
      <formula>NOT(ISERROR(SEARCH("T",AI192)))</formula>
    </cfRule>
  </conditionalFormatting>
  <conditionalFormatting sqref="AI193:AO193">
    <cfRule type="containsText" dxfId="853" priority="711" operator="containsText" text="17">
      <formula>NOT(ISERROR(SEARCH("17",AI193)))</formula>
    </cfRule>
    <cfRule type="containsText" dxfId="852" priority="712" operator="containsText" text="T">
      <formula>NOT(ISERROR(SEARCH("T",AI193)))</formula>
    </cfRule>
  </conditionalFormatting>
  <conditionalFormatting sqref="AI192:AP192 AS192:AU192">
    <cfRule type="containsText" dxfId="851" priority="699" operator="containsText" text="17">
      <formula>NOT(ISERROR(SEARCH("17",AI192)))</formula>
    </cfRule>
  </conditionalFormatting>
  <conditionalFormatting sqref="AI59:AS62">
    <cfRule type="containsText" dxfId="850" priority="539" operator="containsText" text="17">
      <formula>NOT(ISERROR(SEARCH("17",AI59)))</formula>
    </cfRule>
  </conditionalFormatting>
  <conditionalFormatting sqref="AI86:AS89">
    <cfRule type="containsText" dxfId="849" priority="529" operator="containsText" text="17">
      <formula>NOT(ISERROR(SEARCH("17",AI86)))</formula>
    </cfRule>
  </conditionalFormatting>
  <conditionalFormatting sqref="AI79:AV82">
    <cfRule type="containsText" dxfId="848" priority="456" operator="containsText" text="17">
      <formula>NOT(ISERROR(SEARCH("17",AI79)))</formula>
    </cfRule>
  </conditionalFormatting>
  <conditionalFormatting sqref="AI76:AX78">
    <cfRule type="containsText" dxfId="847" priority="431" operator="containsText" text="17">
      <formula>NOT(ISERROR(SEARCH("17",AI76)))</formula>
    </cfRule>
  </conditionalFormatting>
  <conditionalFormatting sqref="AI79:AX82">
    <cfRule type="containsText" dxfId="846" priority="450" operator="containsText" text="T">
      <formula>NOT(ISERROR(SEARCH("T",AI79)))</formula>
    </cfRule>
  </conditionalFormatting>
  <conditionalFormatting sqref="AI76:AZ78">
    <cfRule type="containsText" dxfId="845" priority="425" operator="containsText" text="T">
      <formula>NOT(ISERROR(SEARCH("T",AI76)))</formula>
    </cfRule>
  </conditionalFormatting>
  <conditionalFormatting sqref="AJ120:AJ126">
    <cfRule type="containsText" dxfId="844" priority="445" operator="containsText" text="17">
      <formula>NOT(ISERROR(SEARCH("17",AJ120)))</formula>
    </cfRule>
    <cfRule type="containsText" dxfId="843" priority="448" operator="containsText" text="T">
      <formula>NOT(ISERROR(SEARCH("T",AJ120)))</formula>
    </cfRule>
  </conditionalFormatting>
  <conditionalFormatting sqref="AJ138">
    <cfRule type="containsText" dxfId="842" priority="784" operator="containsText" text="T">
      <formula>NOT(ISERROR(SEARCH("T",AJ138)))</formula>
    </cfRule>
  </conditionalFormatting>
  <conditionalFormatting sqref="AJ145 AN145:AP145 S146:AM151 AP146:AP151">
    <cfRule type="containsText" dxfId="841" priority="769" operator="containsText" text="T">
      <formula>NOT(ISERROR(SEARCH("T",S145)))</formula>
    </cfRule>
  </conditionalFormatting>
  <conditionalFormatting sqref="AJ192:AJ193">
    <cfRule type="containsText" dxfId="840" priority="707" operator="containsText" text="17">
      <formula>NOT(ISERROR(SEARCH("17",AJ192)))</formula>
    </cfRule>
    <cfRule type="containsText" dxfId="839" priority="708" operator="containsText" text="T">
      <formula>NOT(ISERROR(SEARCH("T",AJ192)))</formula>
    </cfRule>
  </conditionalFormatting>
  <conditionalFormatting sqref="AJ145:AK145 AN145:AP145 AP146:AP151">
    <cfRule type="containsText" dxfId="838" priority="770" operator="containsText" text="17">
      <formula>NOT(ISERROR(SEARCH("17",AJ145)))</formula>
    </cfRule>
  </conditionalFormatting>
  <conditionalFormatting sqref="AJ168:AP168">
    <cfRule type="containsText" dxfId="837" priority="693" operator="containsText" text="17">
      <formula>NOT(ISERROR(SEARCH("17",AJ168)))</formula>
    </cfRule>
    <cfRule type="containsText" dxfId="836" priority="694" operator="containsText" text="T">
      <formula>NOT(ISERROR(SEARCH("T",AJ168)))</formula>
    </cfRule>
  </conditionalFormatting>
  <conditionalFormatting sqref="AJ83:AT85">
    <cfRule type="containsText" dxfId="835" priority="519" operator="containsText" text="17">
      <formula>NOT(ISERROR(SEARCH("17",AJ83)))</formula>
    </cfRule>
  </conditionalFormatting>
  <conditionalFormatting sqref="AJ214:AT217">
    <cfRule type="containsText" dxfId="834" priority="509" operator="containsText" text="17">
      <formula>NOT(ISERROR(SEARCH("17",AJ214)))</formula>
    </cfRule>
  </conditionalFormatting>
  <conditionalFormatting sqref="AK70:AK75">
    <cfRule type="containsText" dxfId="833" priority="871" operator="containsText" text="T">
      <formula>NOT(ISERROR(SEARCH("T",AK70)))</formula>
    </cfRule>
  </conditionalFormatting>
  <conditionalFormatting sqref="AK129:AK130 P127:X130">
    <cfRule type="containsText" dxfId="832" priority="813" operator="containsText" text="17">
      <formula>NOT(ISERROR(SEARCH("17",P127)))</formula>
    </cfRule>
  </conditionalFormatting>
  <conditionalFormatting sqref="AK145">
    <cfRule type="containsText" dxfId="831" priority="771" operator="containsText" text="T">
      <formula>NOT(ISERROR(SEARCH("T",AK145)))</formula>
    </cfRule>
  </conditionalFormatting>
  <conditionalFormatting sqref="AK152 AO152:AQ152 T153:AN158 AQ153:AQ158">
    <cfRule type="containsText" dxfId="830" priority="756" operator="containsText" text="T">
      <formula>NOT(ISERROR(SEARCH("T",T152)))</formula>
    </cfRule>
  </conditionalFormatting>
  <conditionalFormatting sqref="AK168">
    <cfRule type="containsText" dxfId="829" priority="689" operator="containsText" text="17">
      <formula>NOT(ISERROR(SEARCH("17",AK168)))</formula>
    </cfRule>
    <cfRule type="containsText" dxfId="828" priority="690" operator="containsText" text="T">
      <formula>NOT(ISERROR(SEARCH("T",AK168)))</formula>
    </cfRule>
  </conditionalFormatting>
  <conditionalFormatting sqref="AK152:AL152 AO152:AQ152 AQ153:AQ158">
    <cfRule type="containsText" dxfId="827" priority="757" operator="containsText" text="17">
      <formula>NOT(ISERROR(SEARCH("17",AK152)))</formula>
    </cfRule>
  </conditionalFormatting>
  <conditionalFormatting sqref="AK175:AQ175">
    <cfRule type="containsText" dxfId="826" priority="680" operator="containsText" text="17">
      <formula>NOT(ISERROR(SEARCH("17",AK175)))</formula>
    </cfRule>
    <cfRule type="containsText" dxfId="825" priority="681" operator="containsText" text="T">
      <formula>NOT(ISERROR(SEARCH("T",AK175)))</formula>
    </cfRule>
  </conditionalFormatting>
  <conditionalFormatting sqref="AK218:AU224">
    <cfRule type="containsText" dxfId="824" priority="499" operator="containsText" text="17">
      <formula>NOT(ISERROR(SEARCH("17",AK218)))</formula>
    </cfRule>
  </conditionalFormatting>
  <conditionalFormatting sqref="AK120:AY120">
    <cfRule type="containsText" dxfId="823" priority="391" operator="containsText" text="17">
      <formula>NOT(ISERROR(SEARCH("17",AK120)))</formula>
    </cfRule>
  </conditionalFormatting>
  <conditionalFormatting sqref="AK122:AY122">
    <cfRule type="containsText" dxfId="822" priority="381" operator="containsText" text="17">
      <formula>NOT(ISERROR(SEARCH("17",AK122)))</formula>
    </cfRule>
  </conditionalFormatting>
  <conditionalFormatting sqref="AK124:AY126">
    <cfRule type="containsText" dxfId="821" priority="401" operator="containsText" text="17">
      <formula>NOT(ISERROR(SEARCH("17",AK124)))</formula>
    </cfRule>
  </conditionalFormatting>
  <conditionalFormatting sqref="AK121:AZ121">
    <cfRule type="containsText" dxfId="820" priority="361" operator="containsText" text="17">
      <formula>NOT(ISERROR(SEARCH("17",AK121)))</formula>
    </cfRule>
  </conditionalFormatting>
  <conditionalFormatting sqref="AK123:AZ123">
    <cfRule type="containsText" dxfId="819" priority="351" operator="containsText" text="17">
      <formula>NOT(ISERROR(SEARCH("17",AK123)))</formula>
    </cfRule>
  </conditionalFormatting>
  <conditionalFormatting sqref="AK67:BA68">
    <cfRule type="containsText" dxfId="818" priority="311" operator="containsText" text="17">
      <formula>NOT(ISERROR(SEARCH("17",AK67)))</formula>
    </cfRule>
  </conditionalFormatting>
  <conditionalFormatting sqref="AK120:BA120">
    <cfRule type="containsText" dxfId="817" priority="385" operator="containsText" text="T">
      <formula>NOT(ISERROR(SEARCH("T",AK120)))</formula>
    </cfRule>
  </conditionalFormatting>
  <conditionalFormatting sqref="AK122:BA122">
    <cfRule type="containsText" dxfId="816" priority="375" operator="containsText" text="T">
      <formula>NOT(ISERROR(SEARCH("T",AK122)))</formula>
    </cfRule>
  </conditionalFormatting>
  <conditionalFormatting sqref="AK124:BA126">
    <cfRule type="containsText" dxfId="815" priority="395" operator="containsText" text="T">
      <formula>NOT(ISERROR(SEARCH("T",AK124)))</formula>
    </cfRule>
  </conditionalFormatting>
  <conditionalFormatting sqref="AK97:BB98">
    <cfRule type="containsText" dxfId="814" priority="301" operator="containsText" text="17">
      <formula>NOT(ISERROR(SEARCH("17",AK97)))</formula>
    </cfRule>
  </conditionalFormatting>
  <conditionalFormatting sqref="AK121:BB121">
    <cfRule type="containsText" dxfId="813" priority="355" operator="containsText" text="T">
      <formula>NOT(ISERROR(SEARCH("T",AK121)))</formula>
    </cfRule>
  </conditionalFormatting>
  <conditionalFormatting sqref="AK123:BB123">
    <cfRule type="containsText" dxfId="812" priority="345" operator="containsText" text="T">
      <formula>NOT(ISERROR(SEARCH("T",AK123)))</formula>
    </cfRule>
  </conditionalFormatting>
  <conditionalFormatting sqref="AK67:BC68">
    <cfRule type="containsText" dxfId="811" priority="305" operator="containsText" text="T">
      <formula>NOT(ISERROR(SEARCH("T",AK67)))</formula>
    </cfRule>
  </conditionalFormatting>
  <conditionalFormatting sqref="AK97:BD98">
    <cfRule type="containsText" dxfId="810" priority="295" operator="containsText" text="T">
      <formula>NOT(ISERROR(SEARCH("T",AK97)))</formula>
    </cfRule>
  </conditionalFormatting>
  <conditionalFormatting sqref="AL100:AL105">
    <cfRule type="containsText" dxfId="809" priority="858" operator="containsText" text="T">
      <formula>NOT(ISERROR(SEARCH("T",AL100)))</formula>
    </cfRule>
  </conditionalFormatting>
  <conditionalFormatting sqref="AL152">
    <cfRule type="containsText" dxfId="808" priority="758" operator="containsText" text="T">
      <formula>NOT(ISERROR(SEARCH("T",AL152)))</formula>
    </cfRule>
  </conditionalFormatting>
  <conditionalFormatting sqref="AL159 AP159:AR159 U160:AO165 AR160:AR165">
    <cfRule type="containsText" dxfId="807" priority="743" operator="containsText" text="T">
      <formula>NOT(ISERROR(SEARCH("T",U159)))</formula>
    </cfRule>
  </conditionalFormatting>
  <conditionalFormatting sqref="AL175">
    <cfRule type="containsText" dxfId="806" priority="676" operator="containsText" text="17">
      <formula>NOT(ISERROR(SEARCH("17",AL175)))</formula>
    </cfRule>
    <cfRule type="containsText" dxfId="805" priority="677" operator="containsText" text="T">
      <formula>NOT(ISERROR(SEARCH("T",AL175)))</formula>
    </cfRule>
  </conditionalFormatting>
  <conditionalFormatting sqref="AL159:AM159 AP159:AR159 AR160:AR165">
    <cfRule type="containsText" dxfId="804" priority="744" operator="containsText" text="17">
      <formula>NOT(ISERROR(SEARCH("17",AL159)))</formula>
    </cfRule>
  </conditionalFormatting>
  <conditionalFormatting sqref="AL182:AR182">
    <cfRule type="containsText" dxfId="803" priority="667" operator="containsText" text="17">
      <formula>NOT(ISERROR(SEARCH("17",AL182)))</formula>
    </cfRule>
    <cfRule type="containsText" dxfId="802" priority="668" operator="containsText" text="T">
      <formula>NOT(ISERROR(SEARCH("T",AL182)))</formula>
    </cfRule>
  </conditionalFormatting>
  <conditionalFormatting sqref="AL225:AV231">
    <cfRule type="containsText" dxfId="801" priority="489" operator="containsText" text="17">
      <formula>NOT(ISERROR(SEARCH("17",AL225)))</formula>
    </cfRule>
  </conditionalFormatting>
  <conditionalFormatting sqref="AL72:AY75">
    <cfRule type="containsText" dxfId="800" priority="421" operator="containsText" text="17">
      <formula>NOT(ISERROR(SEARCH("17",AL72)))</formula>
    </cfRule>
  </conditionalFormatting>
  <conditionalFormatting sqref="AL69:AZ71">
    <cfRule type="containsText" dxfId="799" priority="341" operator="containsText" text="17">
      <formula>NOT(ISERROR(SEARCH("17",AL69)))</formula>
    </cfRule>
  </conditionalFormatting>
  <conditionalFormatting sqref="AL72:BA75">
    <cfRule type="containsText" dxfId="798" priority="415" operator="containsText" text="T">
      <formula>NOT(ISERROR(SEARCH("T",AL72)))</formula>
    </cfRule>
  </conditionalFormatting>
  <conditionalFormatting sqref="AL69:BB71">
    <cfRule type="containsText" dxfId="797" priority="335" operator="containsText" text="T">
      <formula>NOT(ISERROR(SEARCH("T",AL69)))</formula>
    </cfRule>
  </conditionalFormatting>
  <conditionalFormatting sqref="AM159">
    <cfRule type="containsText" dxfId="796" priority="745" operator="containsText" text="T">
      <formula>NOT(ISERROR(SEARCH("T",AM159)))</formula>
    </cfRule>
  </conditionalFormatting>
  <conditionalFormatting sqref="AM182">
    <cfRule type="containsText" dxfId="795" priority="663" operator="containsText" text="17">
      <formula>NOT(ISERROR(SEARCH("17",AM182)))</formula>
    </cfRule>
    <cfRule type="containsText" dxfId="794" priority="664" operator="containsText" text="T">
      <formula>NOT(ISERROR(SEARCH("T",AM182)))</formula>
    </cfRule>
  </conditionalFormatting>
  <conditionalFormatting sqref="AM207 AQ207:AS207 V208:AP213 AS208:AS213">
    <cfRule type="containsText" dxfId="793" priority="730" operator="containsText" text="T">
      <formula>NOT(ISERROR(SEARCH("T",V207)))</formula>
    </cfRule>
  </conditionalFormatting>
  <conditionalFormatting sqref="AM207:AN207 AQ207:AS207 AS208:AS213">
    <cfRule type="containsText" dxfId="792" priority="731" operator="containsText" text="17">
      <formula>NOT(ISERROR(SEARCH("17",AM207)))</formula>
    </cfRule>
  </conditionalFormatting>
  <conditionalFormatting sqref="AM90:AS90">
    <cfRule type="containsText" dxfId="791" priority="654" operator="containsText" text="17">
      <formula>NOT(ISERROR(SEARCH("17",AM90)))</formula>
    </cfRule>
    <cfRule type="containsText" dxfId="790" priority="655" operator="containsText" text="T">
      <formula>NOT(ISERROR(SEARCH("T",AM90)))</formula>
    </cfRule>
  </conditionalFormatting>
  <conditionalFormatting sqref="AM113:AW116">
    <cfRule type="containsText" dxfId="789" priority="469" operator="containsText" text="17">
      <formula>NOT(ISERROR(SEARCH("17",AM113)))</formula>
    </cfRule>
  </conditionalFormatting>
  <conditionalFormatting sqref="AM232:AW234">
    <cfRule type="containsText" dxfId="788" priority="479" operator="containsText" text="17">
      <formula>NOT(ISERROR(SEARCH("17",AM232)))</formula>
    </cfRule>
  </conditionalFormatting>
  <conditionalFormatting sqref="AM103:AZ104">
    <cfRule type="containsText" dxfId="787" priority="371" operator="containsText" text="17">
      <formula>NOT(ISERROR(SEARCH("17",AM103)))</formula>
    </cfRule>
  </conditionalFormatting>
  <conditionalFormatting sqref="AM99:BA102">
    <cfRule type="containsText" dxfId="786" priority="331" operator="containsText" text="17">
      <formula>NOT(ISERROR(SEARCH("17",AM99)))</formula>
    </cfRule>
  </conditionalFormatting>
  <conditionalFormatting sqref="AM105:BA105">
    <cfRule type="containsText" dxfId="785" priority="321" operator="containsText" text="17">
      <formula>NOT(ISERROR(SEARCH("17",AM105)))</formula>
    </cfRule>
  </conditionalFormatting>
  <conditionalFormatting sqref="AM103:BB104">
    <cfRule type="containsText" dxfId="784" priority="365" operator="containsText" text="T">
      <formula>NOT(ISERROR(SEARCH("T",AM103)))</formula>
    </cfRule>
  </conditionalFormatting>
  <conditionalFormatting sqref="AM99:BC102">
    <cfRule type="containsText" dxfId="783" priority="325" operator="containsText" text="T">
      <formula>NOT(ISERROR(SEARCH("T",AM99)))</formula>
    </cfRule>
  </conditionalFormatting>
  <conditionalFormatting sqref="AM105:BC105">
    <cfRule type="containsText" dxfId="782" priority="315" operator="containsText" text="T">
      <formula>NOT(ISERROR(SEARCH("T",AM105)))</formula>
    </cfRule>
  </conditionalFormatting>
  <conditionalFormatting sqref="AN90">
    <cfRule type="containsText" dxfId="781" priority="650" operator="containsText" text="17">
      <formula>NOT(ISERROR(SEARCH("17",AN90)))</formula>
    </cfRule>
    <cfRule type="containsText" dxfId="780" priority="651" operator="containsText" text="T">
      <formula>NOT(ISERROR(SEARCH("T",AN90)))</formula>
    </cfRule>
  </conditionalFormatting>
  <conditionalFormatting sqref="AN132:AN137">
    <cfRule type="containsText" dxfId="779" priority="805" operator="containsText" text="T">
      <formula>NOT(ISERROR(SEARCH("T",AN132)))</formula>
    </cfRule>
  </conditionalFormatting>
  <conditionalFormatting sqref="AN200 AR200:AT200 W201:AQ206 AT201:AT206">
    <cfRule type="containsText" dxfId="778" priority="717" operator="containsText" text="T">
      <formula>NOT(ISERROR(SEARCH("T",W200)))</formula>
    </cfRule>
  </conditionalFormatting>
  <conditionalFormatting sqref="AN207">
    <cfRule type="containsText" dxfId="777" priority="732" operator="containsText" text="T">
      <formula>NOT(ISERROR(SEARCH("T",AN207)))</formula>
    </cfRule>
  </conditionalFormatting>
  <conditionalFormatting sqref="AN200:AO200 AR200:AT200 AT201:AT206">
    <cfRule type="containsText" dxfId="776" priority="718" operator="containsText" text="17">
      <formula>NOT(ISERROR(SEARCH("17",AN200)))</formula>
    </cfRule>
  </conditionalFormatting>
  <conditionalFormatting sqref="AN14:AT14">
    <cfRule type="containsText" dxfId="775" priority="641" operator="containsText" text="17">
      <formula>NOT(ISERROR(SEARCH("17",AN14)))</formula>
    </cfRule>
    <cfRule type="containsText" dxfId="774" priority="642" operator="containsText" text="T">
      <formula>NOT(ISERROR(SEARCH("T",AN14)))</formula>
    </cfRule>
  </conditionalFormatting>
  <conditionalFormatting sqref="AN79:AX82">
    <cfRule type="containsText" dxfId="773" priority="449" operator="containsText" text="17">
      <formula>NOT(ISERROR(SEARCH("17",AN79)))</formula>
    </cfRule>
  </conditionalFormatting>
  <conditionalFormatting sqref="AN117:AX119">
    <cfRule type="containsText" dxfId="772" priority="459" operator="containsText" text="17">
      <formula>NOT(ISERROR(SEARCH("17",AN117)))</formula>
    </cfRule>
  </conditionalFormatting>
  <conditionalFormatting sqref="AO14">
    <cfRule type="containsText" dxfId="771" priority="637" operator="containsText" text="17">
      <formula>NOT(ISERROR(SEARCH("17",AO14)))</formula>
    </cfRule>
    <cfRule type="containsText" dxfId="770" priority="638" operator="containsText" text="T">
      <formula>NOT(ISERROR(SEARCH("T",AO14)))</formula>
    </cfRule>
  </conditionalFormatting>
  <conditionalFormatting sqref="AO139:AO144">
    <cfRule type="containsText" dxfId="769" priority="792" operator="containsText" text="T">
      <formula>NOT(ISERROR(SEARCH("T",AO139)))</formula>
    </cfRule>
  </conditionalFormatting>
  <conditionalFormatting sqref="AO192:AO193 AS192:AU193 X194:AR199 AU194:AU199">
    <cfRule type="containsText" dxfId="768" priority="704" operator="containsText" text="T">
      <formula>NOT(ISERROR(SEARCH("T",X192)))</formula>
    </cfRule>
  </conditionalFormatting>
  <conditionalFormatting sqref="AO200">
    <cfRule type="containsText" dxfId="767" priority="719" operator="containsText" text="T">
      <formula>NOT(ISERROR(SEARCH("T",AO200)))</formula>
    </cfRule>
  </conditionalFormatting>
  <conditionalFormatting sqref="AO193:AP193 AS193:AU193 AU194:AU199">
    <cfRule type="containsText" dxfId="766" priority="705" operator="containsText" text="17">
      <formula>NOT(ISERROR(SEARCH("17",AO193)))</formula>
    </cfRule>
  </conditionalFormatting>
  <conditionalFormatting sqref="AO34:AU34">
    <cfRule type="containsText" dxfId="765" priority="628" operator="containsText" text="17">
      <formula>NOT(ISERROR(SEARCH("17",AO34)))</formula>
    </cfRule>
    <cfRule type="containsText" dxfId="764" priority="629" operator="containsText" text="T">
      <formula>NOT(ISERROR(SEARCH("T",AO34)))</formula>
    </cfRule>
  </conditionalFormatting>
  <conditionalFormatting sqref="AO131:BB137">
    <cfRule type="containsText" dxfId="763" priority="291" operator="containsText" text="17">
      <formula>NOT(ISERROR(SEARCH("17",AO131)))</formula>
    </cfRule>
  </conditionalFormatting>
  <conditionalFormatting sqref="AO131:BD137">
    <cfRule type="containsText" dxfId="762" priority="285" operator="containsText" text="T">
      <formula>NOT(ISERROR(SEARCH("T",AO131)))</formula>
    </cfRule>
  </conditionalFormatting>
  <conditionalFormatting sqref="AP34">
    <cfRule type="containsText" dxfId="761" priority="624" operator="containsText" text="17">
      <formula>NOT(ISERROR(SEARCH("17",AP34)))</formula>
    </cfRule>
    <cfRule type="containsText" dxfId="760" priority="625" operator="containsText" text="T">
      <formula>NOT(ISERROR(SEARCH("T",AP34)))</formula>
    </cfRule>
  </conditionalFormatting>
  <conditionalFormatting sqref="AP146:AP151">
    <cfRule type="containsText" dxfId="759" priority="779" operator="containsText" text="T">
      <formula>NOT(ISERROR(SEARCH("T",AP146)))</formula>
    </cfRule>
  </conditionalFormatting>
  <conditionalFormatting sqref="AP168 AT168:AV168 Y169:AS174 AV169:AV174">
    <cfRule type="containsText" dxfId="758" priority="686" operator="containsText" text="T">
      <formula>NOT(ISERROR(SEARCH("T",Y168)))</formula>
    </cfRule>
  </conditionalFormatting>
  <conditionalFormatting sqref="AP192:AP193">
    <cfRule type="containsText" dxfId="757" priority="706" operator="containsText" text="T">
      <formula>NOT(ISERROR(SEARCH("T",AP192)))</formula>
    </cfRule>
  </conditionalFormatting>
  <conditionalFormatting sqref="AP168:AQ168 AT168:AV168 AV169:AV174">
    <cfRule type="containsText" dxfId="756" priority="687" operator="containsText" text="17">
      <formula>NOT(ISERROR(SEARCH("17",AP168)))</formula>
    </cfRule>
  </conditionalFormatting>
  <conditionalFormatting sqref="AP21:AV21">
    <cfRule type="containsText" dxfId="755" priority="615" operator="containsText" text="17">
      <formula>NOT(ISERROR(SEARCH("17",AP21)))</formula>
    </cfRule>
    <cfRule type="containsText" dxfId="754" priority="616" operator="containsText" text="T">
      <formula>NOT(ISERROR(SEARCH("T",AP21)))</formula>
    </cfRule>
  </conditionalFormatting>
  <conditionalFormatting sqref="AP107:AX112">
    <cfRule type="containsText" dxfId="753" priority="441" operator="containsText" text="17">
      <formula>NOT(ISERROR(SEARCH("17",AP107)))</formula>
    </cfRule>
  </conditionalFormatting>
  <conditionalFormatting sqref="AP76:AZ78">
    <cfRule type="containsText" dxfId="752" priority="424" operator="containsText" text="17">
      <formula>NOT(ISERROR(SEARCH("17",AP76)))</formula>
    </cfRule>
  </conditionalFormatting>
  <conditionalFormatting sqref="AP107:AZ112">
    <cfRule type="containsText" dxfId="751" priority="434" operator="containsText" text="17">
      <formula>NOT(ISERROR(SEARCH("17",AP107)))</formula>
    </cfRule>
    <cfRule type="containsText" dxfId="750" priority="435" operator="containsText" text="T">
      <formula>NOT(ISERROR(SEARCH("T",AP107)))</formula>
    </cfRule>
  </conditionalFormatting>
  <conditionalFormatting sqref="AP138:BC144">
    <cfRule type="containsText" dxfId="749" priority="281" operator="containsText" text="17">
      <formula>NOT(ISERROR(SEARCH("17",AP138)))</formula>
    </cfRule>
  </conditionalFormatting>
  <conditionalFormatting sqref="AP138:BE144">
    <cfRule type="containsText" dxfId="748" priority="275" operator="containsText" text="T">
      <formula>NOT(ISERROR(SEARCH("T",AP138)))</formula>
    </cfRule>
  </conditionalFormatting>
  <conditionalFormatting sqref="AQ21">
    <cfRule type="containsText" dxfId="747" priority="611" operator="containsText" text="17">
      <formula>NOT(ISERROR(SEARCH("17",AQ21)))</formula>
    </cfRule>
    <cfRule type="containsText" dxfId="746" priority="612" operator="containsText" text="T">
      <formula>NOT(ISERROR(SEARCH("T",AQ21)))</formula>
    </cfRule>
  </conditionalFormatting>
  <conditionalFormatting sqref="AQ153:AQ158">
    <cfRule type="containsText" dxfId="745" priority="766" operator="containsText" text="T">
      <formula>NOT(ISERROR(SEARCH("T",AQ153)))</formula>
    </cfRule>
  </conditionalFormatting>
  <conditionalFormatting sqref="AQ168">
    <cfRule type="containsText" dxfId="744" priority="688" operator="containsText" text="T">
      <formula>NOT(ISERROR(SEARCH("T",AQ168)))</formula>
    </cfRule>
  </conditionalFormatting>
  <conditionalFormatting sqref="AQ175 AU175:AW175 Z176:AT181 AW176:AW181">
    <cfRule type="containsText" dxfId="743" priority="673" operator="containsText" text="T">
      <formula>NOT(ISERROR(SEARCH("T",Z175)))</formula>
    </cfRule>
  </conditionalFormatting>
  <conditionalFormatting sqref="AQ175:AR175 AU175:AW175 AW176:AW181">
    <cfRule type="containsText" dxfId="742" priority="674" operator="containsText" text="17">
      <formula>NOT(ISERROR(SEARCH("17",AQ175)))</formula>
    </cfRule>
  </conditionalFormatting>
  <conditionalFormatting sqref="AQ41:AW41">
    <cfRule type="containsText" dxfId="741" priority="602" operator="containsText" text="17">
      <formula>NOT(ISERROR(SEARCH("17",AQ41)))</formula>
    </cfRule>
    <cfRule type="containsText" dxfId="740" priority="603" operator="containsText" text="T">
      <formula>NOT(ISERROR(SEARCH("T",AQ41)))</formula>
    </cfRule>
  </conditionalFormatting>
  <conditionalFormatting sqref="AQ72:BA75">
    <cfRule type="containsText" dxfId="739" priority="414" operator="containsText" text="17">
      <formula>NOT(ISERROR(SEARCH("17",AQ72)))</formula>
    </cfRule>
  </conditionalFormatting>
  <conditionalFormatting sqref="AQ106:BA106">
    <cfRule type="containsText" dxfId="738" priority="404" operator="containsText" text="17">
      <formula>NOT(ISERROR(SEARCH("17",AQ106)))</formula>
    </cfRule>
  </conditionalFormatting>
  <conditionalFormatting sqref="AQ120:BA120">
    <cfRule type="containsText" dxfId="737" priority="384" operator="containsText" text="17">
      <formula>NOT(ISERROR(SEARCH("17",AQ120)))</formula>
    </cfRule>
  </conditionalFormatting>
  <conditionalFormatting sqref="AQ122:BA122">
    <cfRule type="containsText" dxfId="736" priority="374" operator="containsText" text="17">
      <formula>NOT(ISERROR(SEARCH("17",AQ122)))</formula>
    </cfRule>
  </conditionalFormatting>
  <conditionalFormatting sqref="AQ124:BA126">
    <cfRule type="containsText" dxfId="735" priority="394" operator="containsText" text="17">
      <formula>NOT(ISERROR(SEARCH("17",AQ124)))</formula>
    </cfRule>
  </conditionalFormatting>
  <conditionalFormatting sqref="AQ145:BD151">
    <cfRule type="containsText" dxfId="734" priority="271" operator="containsText" text="17">
      <formula>NOT(ISERROR(SEARCH("17",AQ145)))</formula>
    </cfRule>
  </conditionalFormatting>
  <conditionalFormatting sqref="AQ145:BF151">
    <cfRule type="containsText" dxfId="733" priority="265" operator="containsText" text="T">
      <formula>NOT(ISERROR(SEARCH("T",AQ145)))</formula>
    </cfRule>
  </conditionalFormatting>
  <conditionalFormatting sqref="AR41">
    <cfRule type="containsText" dxfId="732" priority="598" operator="containsText" text="17">
      <formula>NOT(ISERROR(SEARCH("17",AR41)))</formula>
    </cfRule>
    <cfRule type="containsText" dxfId="731" priority="599" operator="containsText" text="T">
      <formula>NOT(ISERROR(SEARCH("T",AR41)))</formula>
    </cfRule>
  </conditionalFormatting>
  <conditionalFormatting sqref="AR160:AR165">
    <cfRule type="containsText" dxfId="730" priority="753" operator="containsText" text="T">
      <formula>NOT(ISERROR(SEARCH("T",AR160)))</formula>
    </cfRule>
  </conditionalFormatting>
  <conditionalFormatting sqref="AR175">
    <cfRule type="containsText" dxfId="729" priority="675" operator="containsText" text="T">
      <formula>NOT(ISERROR(SEARCH("T",AR175)))</formula>
    </cfRule>
  </conditionalFormatting>
  <conditionalFormatting sqref="AR182 AV182:AX182 AA183:AU190 AX183:AX190">
    <cfRule type="containsText" dxfId="728" priority="660" operator="containsText" text="T">
      <formula>NOT(ISERROR(SEARCH("T",AA182)))</formula>
    </cfRule>
  </conditionalFormatting>
  <conditionalFormatting sqref="AR182:AS182 AV182:AX182 AX183:AX190">
    <cfRule type="containsText" dxfId="727" priority="661" operator="containsText" text="17">
      <formula>NOT(ISERROR(SEARCH("17",AR182)))</formula>
    </cfRule>
  </conditionalFormatting>
  <conditionalFormatting sqref="AR28:AX32">
    <cfRule type="containsText" dxfId="726" priority="591" operator="containsText" text="17">
      <formula>NOT(ISERROR(SEARCH("17",AR28)))</formula>
    </cfRule>
    <cfRule type="containsText" dxfId="725" priority="592" operator="containsText" text="T">
      <formula>NOT(ISERROR(SEARCH("T",AR28)))</formula>
    </cfRule>
  </conditionalFormatting>
  <conditionalFormatting sqref="AR48:AX49">
    <cfRule type="containsText" dxfId="724" priority="581" operator="containsText" text="17">
      <formula>NOT(ISERROR(SEARCH("17",AR48)))</formula>
    </cfRule>
    <cfRule type="containsText" dxfId="723" priority="582" operator="containsText" text="T">
      <formula>NOT(ISERROR(SEARCH("T",AR48)))</formula>
    </cfRule>
  </conditionalFormatting>
  <conditionalFormatting sqref="AR69:BB71">
    <cfRule type="containsText" dxfId="722" priority="334" operator="containsText" text="17">
      <formula>NOT(ISERROR(SEARCH("17",AR69)))</formula>
    </cfRule>
  </conditionalFormatting>
  <conditionalFormatting sqref="AR103:BB104">
    <cfRule type="containsText" dxfId="721" priority="364" operator="containsText" text="17">
      <formula>NOT(ISERROR(SEARCH("17",AR103)))</formula>
    </cfRule>
  </conditionalFormatting>
  <conditionalFormatting sqref="AR121:BB121">
    <cfRule type="containsText" dxfId="720" priority="354" operator="containsText" text="17">
      <formula>NOT(ISERROR(SEARCH("17",AR121)))</formula>
    </cfRule>
  </conditionalFormatting>
  <conditionalFormatting sqref="AR123:BB123">
    <cfRule type="containsText" dxfId="719" priority="344" operator="containsText" text="17">
      <formula>NOT(ISERROR(SEARCH("17",AR123)))</formula>
    </cfRule>
  </conditionalFormatting>
  <conditionalFormatting sqref="AR152:BE158">
    <cfRule type="containsText" dxfId="718" priority="261" operator="containsText" text="17">
      <formula>NOT(ISERROR(SEARCH("17",AR152)))</formula>
    </cfRule>
  </conditionalFormatting>
  <conditionalFormatting sqref="AR152:BG158">
    <cfRule type="containsText" dxfId="717" priority="255" operator="containsText" text="T">
      <formula>NOT(ISERROR(SEARCH("T",AR152)))</formula>
    </cfRule>
  </conditionalFormatting>
  <conditionalFormatting sqref="AS28:AS32">
    <cfRule type="containsText" dxfId="716" priority="588" operator="containsText" text="17">
      <formula>NOT(ISERROR(SEARCH("17",AS28)))</formula>
    </cfRule>
    <cfRule type="containsText" dxfId="715" priority="589" operator="containsText" text="T">
      <formula>NOT(ISERROR(SEARCH("T",AS28)))</formula>
    </cfRule>
  </conditionalFormatting>
  <conditionalFormatting sqref="AS48:AS49">
    <cfRule type="containsText" dxfId="714" priority="578" operator="containsText" text="17">
      <formula>NOT(ISERROR(SEARCH("17",AS48)))</formula>
    </cfRule>
    <cfRule type="containsText" dxfId="713" priority="579" operator="containsText" text="T">
      <formula>NOT(ISERROR(SEARCH("T",AS48)))</formula>
    </cfRule>
  </conditionalFormatting>
  <conditionalFormatting sqref="AS90 AW90:AY90 AB91:AV96 AY91:AY96">
    <cfRule type="containsText" dxfId="712" priority="647" operator="containsText" text="T">
      <formula>NOT(ISERROR(SEARCH("T",AB90)))</formula>
    </cfRule>
  </conditionalFormatting>
  <conditionalFormatting sqref="AS182">
    <cfRule type="containsText" dxfId="711" priority="662" operator="containsText" text="T">
      <formula>NOT(ISERROR(SEARCH("T",AS182)))</formula>
    </cfRule>
  </conditionalFormatting>
  <conditionalFormatting sqref="AS192:AS193 X194:AR199 X192:AF193">
    <cfRule type="containsText" dxfId="710" priority="709" operator="containsText" text="17">
      <formula>NOT(ISERROR(SEARCH("17",X192)))</formula>
    </cfRule>
  </conditionalFormatting>
  <conditionalFormatting sqref="AS208:AS213">
    <cfRule type="containsText" dxfId="709" priority="740" operator="containsText" text="T">
      <formula>NOT(ISERROR(SEARCH("T",AS208)))</formula>
    </cfRule>
  </conditionalFormatting>
  <conditionalFormatting sqref="AS90:AT90 AW90:AY90 AY91:AY96">
    <cfRule type="containsText" dxfId="708" priority="648" operator="containsText" text="17">
      <formula>NOT(ISERROR(SEARCH("17",AS90)))</formula>
    </cfRule>
  </conditionalFormatting>
  <conditionalFormatting sqref="AS50:AY53">
    <cfRule type="containsText" dxfId="707" priority="571" operator="containsText" text="17">
      <formula>NOT(ISERROR(SEARCH("17",AS50)))</formula>
    </cfRule>
    <cfRule type="containsText" dxfId="706" priority="572" operator="containsText" text="T">
      <formula>NOT(ISERROR(SEARCH("T",AS50)))</formula>
    </cfRule>
  </conditionalFormatting>
  <conditionalFormatting sqref="AS63:AY66">
    <cfRule type="containsText" dxfId="705" priority="561" operator="containsText" text="17">
      <formula>NOT(ISERROR(SEARCH("17",AS63)))</formula>
    </cfRule>
    <cfRule type="containsText" dxfId="704" priority="562" operator="containsText" text="T">
      <formula>NOT(ISERROR(SEARCH("T",AS63)))</formula>
    </cfRule>
  </conditionalFormatting>
  <conditionalFormatting sqref="AS67:BC68">
    <cfRule type="containsText" dxfId="703" priority="304" operator="containsText" text="17">
      <formula>NOT(ISERROR(SEARCH("17",AS67)))</formula>
    </cfRule>
  </conditionalFormatting>
  <conditionalFormatting sqref="AS99:BC102">
    <cfRule type="containsText" dxfId="702" priority="324" operator="containsText" text="17">
      <formula>NOT(ISERROR(SEARCH("17",AS99)))</formula>
    </cfRule>
  </conditionalFormatting>
  <conditionalFormatting sqref="AS105:BC105">
    <cfRule type="containsText" dxfId="701" priority="314" operator="containsText" text="17">
      <formula>NOT(ISERROR(SEARCH("17",AS105)))</formula>
    </cfRule>
  </conditionalFormatting>
  <conditionalFormatting sqref="AS159:BF165">
    <cfRule type="containsText" dxfId="700" priority="251" operator="containsText" text="17">
      <formula>NOT(ISERROR(SEARCH("17",AS159)))</formula>
    </cfRule>
  </conditionalFormatting>
  <conditionalFormatting sqref="AS159:BH165">
    <cfRule type="containsText" dxfId="699" priority="245" operator="containsText" text="T">
      <formula>NOT(ISERROR(SEARCH("T",AS159)))</formula>
    </cfRule>
  </conditionalFormatting>
  <conditionalFormatting sqref="AT14 AX14:AZ14 AC15:AW20 AZ15:AZ20">
    <cfRule type="containsText" dxfId="698" priority="634" operator="containsText" text="T">
      <formula>NOT(ISERROR(SEARCH("T",AC14)))</formula>
    </cfRule>
  </conditionalFormatting>
  <conditionalFormatting sqref="AT50:AT53">
    <cfRule type="containsText" dxfId="697" priority="568" operator="containsText" text="17">
      <formula>NOT(ISERROR(SEARCH("17",AT50)))</formula>
    </cfRule>
    <cfRule type="containsText" dxfId="696" priority="569" operator="containsText" text="T">
      <formula>NOT(ISERROR(SEARCH("T",AT50)))</formula>
    </cfRule>
  </conditionalFormatting>
  <conditionalFormatting sqref="AT63:AT66">
    <cfRule type="containsText" dxfId="695" priority="558" operator="containsText" text="17">
      <formula>NOT(ISERROR(SEARCH("17",AT63)))</formula>
    </cfRule>
    <cfRule type="containsText" dxfId="694" priority="559" operator="containsText" text="T">
      <formula>NOT(ISERROR(SEARCH("T",AT63)))</formula>
    </cfRule>
  </conditionalFormatting>
  <conditionalFormatting sqref="AT90">
    <cfRule type="containsText" dxfId="693" priority="649" operator="containsText" text="T">
      <formula>NOT(ISERROR(SEARCH("T",AT90)))</formula>
    </cfRule>
  </conditionalFormatting>
  <conditionalFormatting sqref="AT201:AT206">
    <cfRule type="containsText" dxfId="692" priority="727" operator="containsText" text="T">
      <formula>NOT(ISERROR(SEARCH("T",AT201)))</formula>
    </cfRule>
  </conditionalFormatting>
  <conditionalFormatting sqref="AT14:AU14 AX14:AZ14 AZ15:AZ20">
    <cfRule type="containsText" dxfId="691" priority="635" operator="containsText" text="17">
      <formula>NOT(ISERROR(SEARCH("17",AT14)))</formula>
    </cfRule>
  </conditionalFormatting>
  <conditionalFormatting sqref="AT59:AZ62">
    <cfRule type="containsText" dxfId="690" priority="547" operator="containsText" text="17">
      <formula>NOT(ISERROR(SEARCH("17",AT59)))</formula>
    </cfRule>
    <cfRule type="containsText" dxfId="689" priority="548" operator="containsText" text="T">
      <formula>NOT(ISERROR(SEARCH("T",AT59)))</formula>
    </cfRule>
  </conditionalFormatting>
  <conditionalFormatting sqref="AT86:AZ89">
    <cfRule type="containsText" dxfId="688" priority="537" operator="containsText" text="17">
      <formula>NOT(ISERROR(SEARCH("17",AT86)))</formula>
    </cfRule>
    <cfRule type="containsText" dxfId="687" priority="538" operator="containsText" text="T">
      <formula>NOT(ISERROR(SEARCH("T",AT86)))</formula>
    </cfRule>
  </conditionalFormatting>
  <conditionalFormatting sqref="AT97:BD98">
    <cfRule type="containsText" dxfId="686" priority="294" operator="containsText" text="17">
      <formula>NOT(ISERROR(SEARCH("17",AT97)))</formula>
    </cfRule>
  </conditionalFormatting>
  <conditionalFormatting sqref="AT131:BD137">
    <cfRule type="containsText" dxfId="685" priority="284" operator="containsText" text="17">
      <formula>NOT(ISERROR(SEARCH("17",AT131)))</formula>
    </cfRule>
  </conditionalFormatting>
  <conditionalFormatting sqref="AU14">
    <cfRule type="containsText" dxfId="684" priority="636" operator="containsText" text="T">
      <formula>NOT(ISERROR(SEARCH("T",AU14)))</formula>
    </cfRule>
  </conditionalFormatting>
  <conditionalFormatting sqref="AU34 AY34:BA34 AD35:AX40 BA35:BA40">
    <cfRule type="containsText" dxfId="683" priority="621" operator="containsText" text="T">
      <formula>NOT(ISERROR(SEARCH("T",AD34)))</formula>
    </cfRule>
  </conditionalFormatting>
  <conditionalFormatting sqref="AU59:AU62">
    <cfRule type="containsText" dxfId="682" priority="544" operator="containsText" text="17">
      <formula>NOT(ISERROR(SEARCH("17",AU59)))</formula>
    </cfRule>
    <cfRule type="containsText" dxfId="681" priority="545" operator="containsText" text="T">
      <formula>NOT(ISERROR(SEARCH("T",AU59)))</formula>
    </cfRule>
  </conditionalFormatting>
  <conditionalFormatting sqref="AU86:AU89">
    <cfRule type="containsText" dxfId="680" priority="534" operator="containsText" text="17">
      <formula>NOT(ISERROR(SEARCH("17",AU86)))</formula>
    </cfRule>
    <cfRule type="containsText" dxfId="679" priority="535" operator="containsText" text="T">
      <formula>NOT(ISERROR(SEARCH("T",AU86)))</formula>
    </cfRule>
  </conditionalFormatting>
  <conditionalFormatting sqref="AU194:AU199">
    <cfRule type="containsText" dxfId="678" priority="714" operator="containsText" text="T">
      <formula>NOT(ISERROR(SEARCH("T",AU194)))</formula>
    </cfRule>
  </conditionalFormatting>
  <conditionalFormatting sqref="AU34:AV34 AY34:BA34 BA35:BA40">
    <cfRule type="containsText" dxfId="677" priority="622" operator="containsText" text="17">
      <formula>NOT(ISERROR(SEARCH("17",AU34)))</formula>
    </cfRule>
  </conditionalFormatting>
  <conditionalFormatting sqref="AU83:BA85">
    <cfRule type="containsText" dxfId="676" priority="527" operator="containsText" text="17">
      <formula>NOT(ISERROR(SEARCH("17",AU83)))</formula>
    </cfRule>
    <cfRule type="containsText" dxfId="675" priority="528" operator="containsText" text="T">
      <formula>NOT(ISERROR(SEARCH("T",AU83)))</formula>
    </cfRule>
  </conditionalFormatting>
  <conditionalFormatting sqref="AU214:BA217">
    <cfRule type="containsText" dxfId="674" priority="517" operator="containsText" text="17">
      <formula>NOT(ISERROR(SEARCH("17",AU214)))</formula>
    </cfRule>
    <cfRule type="containsText" dxfId="673" priority="518" operator="containsText" text="T">
      <formula>NOT(ISERROR(SEARCH("T",AU214)))</formula>
    </cfRule>
  </conditionalFormatting>
  <conditionalFormatting sqref="AU138:BE144">
    <cfRule type="containsText" dxfId="672" priority="274" operator="containsText" text="17">
      <formula>NOT(ISERROR(SEARCH("17",AU138)))</formula>
    </cfRule>
  </conditionalFormatting>
  <conditionalFormatting sqref="AU200:CP206 AT207:CP213 AY189:CP190 J191:CP191 J33:CP33 BB34:BE40 AX175:BB181 AY182:BC188 J14:AB20 BA14:BD20 CC14:CP20 J21:AD27 BC21:BF27 CE21:CP27 J28:AE32 BE28:BH32 AE28:AF33 J34:AC40 CD34:CP40 J41:AE47 BD41:BG47 BE48:BH49 J50:AG53 BF50:CP53 AG53:BG53 J54:CP58 BG59:CP59 BG60:BI62 BF63:BI66 BQ67:CP68 BP69:CP71 J69:M75 BO72:CP75 BN76:CP78 J76:J82 BL79:CP82 BH83:BK85 CJ83:CP89 BG86:BK89 J90:AA96 AZ90:BJ96 BQ99:CP102 J99:N105 BP103:CP104 BO106:CP106 J106:K112 BN107:CP112 BK113:BP116 BL117:BP119 BO120 BO124:BO126 J127:O130 AN127:CP130 O130:AO130 J131:P137 BR131:CP137 J138:Q144 BS138:CP144 J145:R151 BT145:CP151 J152:S158 BU152:CP158 J159:T165 BV159:CP165 J166:CP167 J168:X174 J175:Y181 J182:Z190 J192:W199 AV192:CP199 J200:V206 J207:U213 BH214:BL217 BI221:BM224 BJ225:BM227 BJ228:BN231 BK232:BN234 BI218:BL220 BQ105:CP105 AJ107:AO112 J120:L126 CG28:CP32 CF41:CP47 CG48:CP49 CH60:CP66 CI90:CP96 CK214:XFD220 CL221:CP227 CM228:CP234">
    <cfRule type="containsText" dxfId="671" priority="8533" operator="containsText" text="17">
      <formula>NOT(ISERROR(SEARCH("17",J14)))</formula>
    </cfRule>
  </conditionalFormatting>
  <conditionalFormatting sqref="AV21 AZ21:BB21 AE22:AY27">
    <cfRule type="containsText" dxfId="670" priority="608" operator="containsText" text="T">
      <formula>NOT(ISERROR(SEARCH("T",AE21)))</formula>
    </cfRule>
  </conditionalFormatting>
  <conditionalFormatting sqref="AV34">
    <cfRule type="containsText" dxfId="669" priority="623" operator="containsText" text="T">
      <formula>NOT(ISERROR(SEARCH("T",AV34)))</formula>
    </cfRule>
  </conditionalFormatting>
  <conditionalFormatting sqref="AV83:AV85">
    <cfRule type="containsText" dxfId="668" priority="524" operator="containsText" text="17">
      <formula>NOT(ISERROR(SEARCH("17",AV83)))</formula>
    </cfRule>
    <cfRule type="containsText" dxfId="667" priority="525" operator="containsText" text="T">
      <formula>NOT(ISERROR(SEARCH("T",AV83)))</formula>
    </cfRule>
  </conditionalFormatting>
  <conditionalFormatting sqref="AV169:AV174">
    <cfRule type="containsText" dxfId="666" priority="696" operator="containsText" text="T">
      <formula>NOT(ISERROR(SEARCH("T",AV169)))</formula>
    </cfRule>
  </conditionalFormatting>
  <conditionalFormatting sqref="AV214:AV217">
    <cfRule type="containsText" dxfId="665" priority="514" operator="containsText" text="17">
      <formula>NOT(ISERROR(SEARCH("17",AV214)))</formula>
    </cfRule>
    <cfRule type="containsText" dxfId="664" priority="515" operator="containsText" text="T">
      <formula>NOT(ISERROR(SEARCH("T",AV214)))</formula>
    </cfRule>
  </conditionalFormatting>
  <conditionalFormatting sqref="AV21:AW21 AZ21:BB21 BB22:BF27">
    <cfRule type="containsText" dxfId="663" priority="609" operator="containsText" text="17">
      <formula>NOT(ISERROR(SEARCH("17",AV21)))</formula>
    </cfRule>
  </conditionalFormatting>
  <conditionalFormatting sqref="AV218:BB224">
    <cfRule type="containsText" dxfId="662" priority="507" operator="containsText" text="17">
      <formula>NOT(ISERROR(SEARCH("17",AV218)))</formula>
    </cfRule>
    <cfRule type="containsText" dxfId="661" priority="508" operator="containsText" text="T">
      <formula>NOT(ISERROR(SEARCH("T",AV218)))</formula>
    </cfRule>
  </conditionalFormatting>
  <conditionalFormatting sqref="AV145:BF151">
    <cfRule type="containsText" dxfId="660" priority="264" operator="containsText" text="17">
      <formula>NOT(ISERROR(SEARCH("17",AV145)))</formula>
    </cfRule>
  </conditionalFormatting>
  <conditionalFormatting sqref="AV192:CP199 BH214:BL217 BI221:BM224 BJ225:BM227 AU200:CP206 AT207:CP213 AN127:CP130 AY189:CP190 BG86:BK89 AZ90:BJ96 BL79:CP82 BT145:CP151 BC21:BF27 BE28:BH32 BD41:BG47 BE48:BH49 BF50:CP53 AG53:BG53 J54:CP58 BG59:CP59 BG60:BI62 BF63:BI66 BQ67:CP68 BP69:CP71 BO72:CP75 BN76:CP78 CJ83:CP89 BH83:BK85 BQ99:CP102 BP103:CP104 BO106:CP106 BN107:CP112 BK113:BP116 BL117:BP119 BR131:CP137 BS138:CP144 BU152:CP158 BV159:CP165 AY182:BC188 O130:AO130 BO124:BO126 BO120 J14:AB20 BA14:BD20 CC14:CP20 J21:AD27 CE21:CP27 J28:AE32 AE28:AF33 J34:AC40 BB34:BE40 CD34:CP40 J41:AE47 J69:M75 J76:J82 J90:AA96 J99:N105 J106:K112 J131:P137 J138:Q144 J145:R151 J152:S158 J159:T165 J166:CP167 J168:X174 J175:Y181 J182:Z190 J191:CP191 J192:W199 J200:V206 J207:U213">
    <cfRule type="containsText" dxfId="659" priority="7303" operator="containsText" text="T">
      <formula>NOT(ISERROR(SEARCH("T",J14)))</formula>
    </cfRule>
  </conditionalFormatting>
  <conditionalFormatting sqref="AW21">
    <cfRule type="containsText" dxfId="658" priority="610" operator="containsText" text="T">
      <formula>NOT(ISERROR(SEARCH("T",AW21)))</formula>
    </cfRule>
  </conditionalFormatting>
  <conditionalFormatting sqref="AW41 BA41:BC41 AF42:AZ47 BC42:BC47">
    <cfRule type="containsText" dxfId="657" priority="595" operator="containsText" text="T">
      <formula>NOT(ISERROR(SEARCH("T",AF41)))</formula>
    </cfRule>
  </conditionalFormatting>
  <conditionalFormatting sqref="AW176:AW181">
    <cfRule type="containsText" dxfId="656" priority="683" operator="containsText" text="T">
      <formula>NOT(ISERROR(SEARCH("T",AW176)))</formula>
    </cfRule>
  </conditionalFormatting>
  <conditionalFormatting sqref="AW218:AW224">
    <cfRule type="containsText" dxfId="655" priority="504" operator="containsText" text="17">
      <formula>NOT(ISERROR(SEARCH("17",AW218)))</formula>
    </cfRule>
    <cfRule type="containsText" dxfId="654" priority="505" operator="containsText" text="T">
      <formula>NOT(ISERROR(SEARCH("T",AW218)))</formula>
    </cfRule>
  </conditionalFormatting>
  <conditionalFormatting sqref="AW41:AX41 BA41:BC41 BC42:BC47">
    <cfRule type="containsText" dxfId="653" priority="596" operator="containsText" text="17">
      <formula>NOT(ISERROR(SEARCH("17",AW41)))</formula>
    </cfRule>
  </conditionalFormatting>
  <conditionalFormatting sqref="AW225:BC231">
    <cfRule type="containsText" dxfId="652" priority="497" operator="containsText" text="17">
      <formula>NOT(ISERROR(SEARCH("17",AW225)))</formula>
    </cfRule>
    <cfRule type="containsText" dxfId="651" priority="498" operator="containsText" text="T">
      <formula>NOT(ISERROR(SEARCH("T",AW225)))</formula>
    </cfRule>
  </conditionalFormatting>
  <conditionalFormatting sqref="AW152:BG158">
    <cfRule type="containsText" dxfId="650" priority="254" operator="containsText" text="17">
      <formula>NOT(ISERROR(SEARCH("17",AW152)))</formula>
    </cfRule>
  </conditionalFormatting>
  <conditionalFormatting sqref="AW168:CP174">
    <cfRule type="containsText" dxfId="649" priority="205" operator="containsText" text="17">
      <formula>NOT(ISERROR(SEARCH("17",AW168)))</formula>
    </cfRule>
  </conditionalFormatting>
  <conditionalFormatting sqref="AX28:AX32 BB28:BD32">
    <cfRule type="containsText" dxfId="648" priority="585" operator="containsText" text="T">
      <formula>NOT(ISERROR(SEARCH("T",AX28)))</formula>
    </cfRule>
  </conditionalFormatting>
  <conditionalFormatting sqref="AX41">
    <cfRule type="containsText" dxfId="647" priority="597" operator="containsText" text="T">
      <formula>NOT(ISERROR(SEARCH("T",AX41)))</formula>
    </cfRule>
  </conditionalFormatting>
  <conditionalFormatting sqref="AX48:AX49 BB48:BD49">
    <cfRule type="containsText" dxfId="646" priority="575" operator="containsText" text="T">
      <formula>NOT(ISERROR(SEARCH("T",AX48)))</formula>
    </cfRule>
  </conditionalFormatting>
  <conditionalFormatting sqref="AX180:AX181 AY182:AY185 BM191 BU200:BU202 BV203:BV205">
    <cfRule type="containsText" dxfId="645" priority="7319" operator="containsText" text="T">
      <formula>NOT(ISERROR(SEARCH("T",AX180)))</formula>
    </cfRule>
    <cfRule type="containsText" dxfId="644" priority="7320" operator="containsText" text="17">
      <formula>NOT(ISERROR(SEARCH("17",AX180)))</formula>
    </cfRule>
    <cfRule type="containsText" dxfId="643" priority="7321" operator="containsText" text="T">
      <formula>NOT(ISERROR(SEARCH("T",AX180)))</formula>
    </cfRule>
  </conditionalFormatting>
  <conditionalFormatting sqref="AX183:AX190">
    <cfRule type="containsText" dxfId="642" priority="670" operator="containsText" text="T">
      <formula>NOT(ISERROR(SEARCH("T",AX183)))</formula>
    </cfRule>
  </conditionalFormatting>
  <conditionalFormatting sqref="AX192">
    <cfRule type="containsText" dxfId="641" priority="2369" operator="containsText" text="17">
      <formula>NOT(ISERROR(SEARCH("17",AX192)))</formula>
    </cfRule>
    <cfRule type="containsText" dxfId="640" priority="2370" operator="containsText" text="T">
      <formula>NOT(ISERROR(SEARCH("T",AX192)))</formula>
    </cfRule>
    <cfRule type="containsText" dxfId="639" priority="6266" operator="containsText" text="17">
      <formula>NOT(ISERROR(SEARCH("17",AX192)))</formula>
    </cfRule>
    <cfRule type="containsText" dxfId="638" priority="6267" operator="containsText" text="T">
      <formula>NOT(ISERROR(SEARCH("T",AX192)))</formula>
    </cfRule>
  </conditionalFormatting>
  <conditionalFormatting sqref="AX196:AX198">
    <cfRule type="containsText" dxfId="637" priority="7294" operator="containsText" text="17">
      <formula>NOT(ISERROR(SEARCH("17",AX196)))</formula>
    </cfRule>
    <cfRule type="containsText" dxfId="636" priority="7295" operator="containsText" text="T">
      <formula>NOT(ISERROR(SEARCH("T",AX196)))</formula>
    </cfRule>
  </conditionalFormatting>
  <conditionalFormatting sqref="AX225:AX231">
    <cfRule type="containsText" dxfId="635" priority="494" operator="containsText" text="17">
      <formula>NOT(ISERROR(SEARCH("17",AX225)))</formula>
    </cfRule>
    <cfRule type="containsText" dxfId="634" priority="495" operator="containsText" text="T">
      <formula>NOT(ISERROR(SEARCH("T",AX225)))</formula>
    </cfRule>
  </conditionalFormatting>
  <conditionalFormatting sqref="AX28:AY32 BB28:BD32">
    <cfRule type="containsText" dxfId="633" priority="586" operator="containsText" text="17">
      <formula>NOT(ISERROR(SEARCH("17",AX28)))</formula>
    </cfRule>
  </conditionalFormatting>
  <conditionalFormatting sqref="AX48:AY49 BB48:BD49">
    <cfRule type="containsText" dxfId="632" priority="576" operator="containsText" text="17">
      <formula>NOT(ISERROR(SEARCH("17",AX48)))</formula>
    </cfRule>
  </conditionalFormatting>
  <conditionalFormatting sqref="AX170:BA170">
    <cfRule type="containsText" dxfId="631" priority="8728" operator="containsText" text="17">
      <formula>NOT(ISERROR(SEARCH("17",AX170)))</formula>
    </cfRule>
    <cfRule type="containsText" dxfId="630" priority="8729" operator="containsText" text="T">
      <formula>NOT(ISERROR(SEARCH("T",AX170)))</formula>
    </cfRule>
  </conditionalFormatting>
  <conditionalFormatting sqref="AX199:BB199 AX206:BA206 BP199:BR199 BO206:BQ206 BT199 BS206 BV199 BU206 AX213">
    <cfRule type="containsText" dxfId="629" priority="5060" operator="containsText" text="17">
      <formula>NOT(ISERROR(SEARCH("17",AX199)))</formula>
    </cfRule>
  </conditionalFormatting>
  <conditionalFormatting sqref="AX199:BB199 BP199:BR199 BT199 BV199 AX206:BA206 BO206:BQ206 BS206 BU206 AX213">
    <cfRule type="containsText" dxfId="628" priority="5061" operator="containsText" text="T">
      <formula>NOT(ISERROR(SEARCH("T",AX199)))</formula>
    </cfRule>
  </conditionalFormatting>
  <conditionalFormatting sqref="AX33:BC33">
    <cfRule type="containsText" dxfId="627" priority="8832" operator="containsText" text="T">
      <formula>NOT(ISERROR(SEARCH("T",AX33)))</formula>
    </cfRule>
  </conditionalFormatting>
  <conditionalFormatting sqref="AX113:BD116">
    <cfRule type="containsText" dxfId="626" priority="477" operator="containsText" text="17">
      <formula>NOT(ISERROR(SEARCH("17",AX113)))</formula>
    </cfRule>
    <cfRule type="containsText" dxfId="625" priority="478" operator="containsText" text="T">
      <formula>NOT(ISERROR(SEARCH("T",AX113)))</formula>
    </cfRule>
  </conditionalFormatting>
  <conditionalFormatting sqref="AX232:BD234">
    <cfRule type="containsText" dxfId="624" priority="487" operator="containsText" text="17">
      <formula>NOT(ISERROR(SEARCH("17",AX232)))</formula>
    </cfRule>
    <cfRule type="containsText" dxfId="623" priority="488" operator="containsText" text="T">
      <formula>NOT(ISERROR(SEARCH("T",AX232)))</formula>
    </cfRule>
  </conditionalFormatting>
  <conditionalFormatting sqref="AX199:BE199 AX206:BD206 AX213">
    <cfRule type="containsText" dxfId="622" priority="5068" operator="containsText" text="17">
      <formula>NOT(ISERROR(SEARCH("17",AX199)))</formula>
    </cfRule>
    <cfRule type="containsText" dxfId="621" priority="5069" operator="containsText" text="T">
      <formula>NOT(ISERROR(SEARCH("T",AX199)))</formula>
    </cfRule>
  </conditionalFormatting>
  <conditionalFormatting sqref="AX159:BH165">
    <cfRule type="containsText" dxfId="620" priority="244" operator="containsText" text="17">
      <formula>NOT(ISERROR(SEARCH("17",AX159)))</formula>
    </cfRule>
  </conditionalFormatting>
  <conditionalFormatting sqref="AX175:CP181">
    <cfRule type="containsText" dxfId="619" priority="172" operator="containsText" text="T">
      <formula>NOT(ISERROR(SEARCH("T",AX175)))</formula>
    </cfRule>
  </conditionalFormatting>
  <conditionalFormatting sqref="AY28:AY32">
    <cfRule type="containsText" dxfId="618" priority="587" operator="containsText" text="T">
      <formula>NOT(ISERROR(SEARCH("T",AY28)))</formula>
    </cfRule>
  </conditionalFormatting>
  <conditionalFormatting sqref="AY33">
    <cfRule type="containsText" dxfId="617" priority="8206" operator="containsText" text="17">
      <formula>NOT(ISERROR(SEARCH("17",AY33)))</formula>
    </cfRule>
    <cfRule type="containsText" dxfId="616" priority="8207" operator="containsText" text="T">
      <formula>NOT(ISERROR(SEARCH("T",AY33)))</formula>
    </cfRule>
  </conditionalFormatting>
  <conditionalFormatting sqref="AY48:AY49">
    <cfRule type="containsText" dxfId="615" priority="577" operator="containsText" text="T">
      <formula>NOT(ISERROR(SEARCH("T",AY48)))</formula>
    </cfRule>
  </conditionalFormatting>
  <conditionalFormatting sqref="AY50:AY53 BC50:BE53">
    <cfRule type="containsText" dxfId="614" priority="565" operator="containsText" text="T">
      <formula>NOT(ISERROR(SEARCH("T",AY50)))</formula>
    </cfRule>
  </conditionalFormatting>
  <conditionalFormatting sqref="AY63:AY66 BC63:BI66">
    <cfRule type="containsText" dxfId="613" priority="555" operator="containsText" text="T">
      <formula>NOT(ISERROR(SEARCH("T",AY63)))</formula>
    </cfRule>
  </conditionalFormatting>
  <conditionalFormatting sqref="AY91:AY96">
    <cfRule type="containsText" dxfId="612" priority="657" operator="containsText" text="T">
      <formula>NOT(ISERROR(SEARCH("T",AY91)))</formula>
    </cfRule>
  </conditionalFormatting>
  <conditionalFormatting sqref="AY113:AY116">
    <cfRule type="containsText" dxfId="611" priority="474" operator="containsText" text="17">
      <formula>NOT(ISERROR(SEARCH("17",AY113)))</formula>
    </cfRule>
    <cfRule type="containsText" dxfId="610" priority="475" operator="containsText" text="T">
      <formula>NOT(ISERROR(SEARCH("T",AY113)))</formula>
    </cfRule>
  </conditionalFormatting>
  <conditionalFormatting sqref="AY182:AY185 BM191 BU200:BU202 BV203:BV205 AX180:AX181">
    <cfRule type="containsText" dxfId="609" priority="7318" operator="containsText" text="17">
      <formula>NOT(ISERROR(SEARCH("17",AX180)))</formula>
    </cfRule>
  </conditionalFormatting>
  <conditionalFormatting sqref="AY189">
    <cfRule type="containsText" dxfId="608" priority="4892" operator="containsText" text="17">
      <formula>NOT(ISERROR(SEARCH("17",AY189)))</formula>
    </cfRule>
    <cfRule type="containsText" dxfId="607" priority="4893" operator="containsText" text="T">
      <formula>NOT(ISERROR(SEARCH("T",AY189)))</formula>
    </cfRule>
    <cfRule type="containsText" dxfId="606" priority="4910" operator="containsText" text="17">
      <formula>NOT(ISERROR(SEARCH("17",AY189)))</formula>
    </cfRule>
    <cfRule type="containsText" dxfId="605" priority="4911" operator="containsText" text="T">
      <formula>NOT(ISERROR(SEARCH("T",AY189)))</formula>
    </cfRule>
  </conditionalFormatting>
  <conditionalFormatting sqref="AY190 AX191:BH191 BK191 BO191:BS191">
    <cfRule type="containsText" dxfId="604" priority="8514" operator="containsText" text="T">
      <formula>NOT(ISERROR(SEARCH("T",AX190)))</formula>
    </cfRule>
  </conditionalFormatting>
  <conditionalFormatting sqref="AY199 AX206">
    <cfRule type="containsText" dxfId="603" priority="2143" operator="containsText" text="17">
      <formula>NOT(ISERROR(SEARCH("17",AX199)))</formula>
    </cfRule>
    <cfRule type="containsText" dxfId="602" priority="2144" operator="containsText" text="T">
      <formula>NOT(ISERROR(SEARCH("T",AX199)))</formula>
    </cfRule>
  </conditionalFormatting>
  <conditionalFormatting sqref="AY232:AY234">
    <cfRule type="containsText" dxfId="601" priority="484" operator="containsText" text="17">
      <formula>NOT(ISERROR(SEARCH("17",AY232)))</formula>
    </cfRule>
    <cfRule type="containsText" dxfId="600" priority="485" operator="containsText" text="T">
      <formula>NOT(ISERROR(SEARCH("T",AY232)))</formula>
    </cfRule>
  </conditionalFormatting>
  <conditionalFormatting sqref="AY50:AZ53 BC50:BE53">
    <cfRule type="containsText" dxfId="599" priority="566" operator="containsText" text="17">
      <formula>NOT(ISERROR(SEARCH("17",AY50)))</formula>
    </cfRule>
  </conditionalFormatting>
  <conditionalFormatting sqref="AY63:AZ66 BC63:BE66">
    <cfRule type="containsText" dxfId="598" priority="556" operator="containsText" text="17">
      <formula>NOT(ISERROR(SEARCH("17",AY63)))</formula>
    </cfRule>
  </conditionalFormatting>
  <conditionalFormatting sqref="AY79:BE82">
    <cfRule type="containsText" dxfId="597" priority="457" operator="containsText" text="17">
      <formula>NOT(ISERROR(SEARCH("17",AY79)))</formula>
    </cfRule>
    <cfRule type="containsText" dxfId="596" priority="458" operator="containsText" text="T">
      <formula>NOT(ISERROR(SEARCH("T",AY79)))</formula>
    </cfRule>
  </conditionalFormatting>
  <conditionalFormatting sqref="AY117:BE119">
    <cfRule type="containsText" dxfId="595" priority="467" operator="containsText" text="17">
      <formula>NOT(ISERROR(SEARCH("17",AY117)))</formula>
    </cfRule>
    <cfRule type="containsText" dxfId="594" priority="468" operator="containsText" text="T">
      <formula>NOT(ISERROR(SEARCH("T",AY117)))</formula>
    </cfRule>
  </conditionalFormatting>
  <conditionalFormatting sqref="AY207:BI213">
    <cfRule type="containsText" dxfId="593" priority="234" operator="containsText" text="17">
      <formula>NOT(ISERROR(SEARCH("17",AY207)))</formula>
    </cfRule>
  </conditionalFormatting>
  <conditionalFormatting sqref="AY207:BP213">
    <cfRule type="containsText" dxfId="592" priority="243" operator="containsText" text="T">
      <formula>NOT(ISERROR(SEARCH("T",AY207)))</formula>
    </cfRule>
  </conditionalFormatting>
  <conditionalFormatting sqref="AY193:BV213 AX195:BV195 BH214:BL215">
    <cfRule type="containsText" dxfId="591" priority="914" operator="containsText" text="T">
      <formula>NOT(ISERROR(SEARCH("T",AX193)))</formula>
    </cfRule>
  </conditionalFormatting>
  <conditionalFormatting sqref="AZ15:AZ20">
    <cfRule type="containsText" dxfId="590" priority="644" operator="containsText" text="T">
      <formula>NOT(ISERROR(SEARCH("T",AZ15)))</formula>
    </cfRule>
  </conditionalFormatting>
  <conditionalFormatting sqref="AZ50:AZ53">
    <cfRule type="containsText" dxfId="589" priority="567" operator="containsText" text="T">
      <formula>NOT(ISERROR(SEARCH("T",AZ50)))</formula>
    </cfRule>
  </conditionalFormatting>
  <conditionalFormatting sqref="AZ63:AZ66">
    <cfRule type="containsText" dxfId="588" priority="557" operator="containsText" text="T">
      <formula>NOT(ISERROR(SEARCH("T",AZ63)))</formula>
    </cfRule>
  </conditionalFormatting>
  <conditionalFormatting sqref="AZ79:AZ82">
    <cfRule type="containsText" dxfId="587" priority="454" operator="containsText" text="17">
      <formula>NOT(ISERROR(SEARCH("17",AZ79)))</formula>
    </cfRule>
    <cfRule type="containsText" dxfId="586" priority="455" operator="containsText" text="T">
      <formula>NOT(ISERROR(SEARCH("T",AZ79)))</formula>
    </cfRule>
  </conditionalFormatting>
  <conditionalFormatting sqref="AZ86:AZ89 BD86:BF89">
    <cfRule type="containsText" dxfId="585" priority="531" operator="containsText" text="T">
      <formula>NOT(ISERROR(SEARCH("T",AZ86)))</formula>
    </cfRule>
  </conditionalFormatting>
  <conditionalFormatting sqref="AZ117:AZ119">
    <cfRule type="containsText" dxfId="584" priority="464" operator="containsText" text="17">
      <formula>NOT(ISERROR(SEARCH("17",AZ117)))</formula>
    </cfRule>
    <cfRule type="containsText" dxfId="583" priority="465" operator="containsText" text="T">
      <formula>NOT(ISERROR(SEARCH("T",AZ117)))</formula>
    </cfRule>
  </conditionalFormatting>
  <conditionalFormatting sqref="AZ59:BA62 BD59:BF62">
    <cfRule type="containsText" dxfId="582" priority="542" operator="containsText" text="17">
      <formula>NOT(ISERROR(SEARCH("17",AZ59)))</formula>
    </cfRule>
  </conditionalFormatting>
  <conditionalFormatting sqref="AZ86:BA89 BD86:BF89">
    <cfRule type="containsText" dxfId="581" priority="532" operator="containsText" text="17">
      <formula>NOT(ISERROR(SEARCH("17",AZ86)))</formula>
    </cfRule>
  </conditionalFormatting>
  <conditionalFormatting sqref="AZ93:BB93">
    <cfRule type="containsText" dxfId="580" priority="4056" operator="containsText" text="17">
      <formula>NOT(ISERROR(SEARCH("17",AZ93)))</formula>
    </cfRule>
    <cfRule type="containsText" dxfId="579" priority="4057" operator="containsText" text="T">
      <formula>NOT(ISERROR(SEARCH("T",AZ93)))</formula>
    </cfRule>
  </conditionalFormatting>
  <conditionalFormatting sqref="AZ175:BB178">
    <cfRule type="containsText" dxfId="578" priority="933" operator="containsText" text="T">
      <formula>NOT(ISERROR(SEARCH("T",AZ175)))</formula>
    </cfRule>
  </conditionalFormatting>
  <conditionalFormatting sqref="AZ180:BB181 AZ182:BC183">
    <cfRule type="containsText" dxfId="577" priority="927" operator="containsText" text="T">
      <formula>NOT(ISERROR(SEARCH("T",AZ180)))</formula>
    </cfRule>
  </conditionalFormatting>
  <conditionalFormatting sqref="AZ185:BC188 AZ189:BW190">
    <cfRule type="containsText" dxfId="576" priority="921" operator="containsText" text="T">
      <formula>NOT(ISERROR(SEARCH("T",AZ185)))</formula>
    </cfRule>
  </conditionalFormatting>
  <conditionalFormatting sqref="AZ200:BJ206">
    <cfRule type="containsText" dxfId="575" priority="223" operator="containsText" text="17">
      <formula>NOT(ISERROR(SEARCH("17",AZ200)))</formula>
    </cfRule>
  </conditionalFormatting>
  <conditionalFormatting sqref="AZ200:BW206">
    <cfRule type="containsText" dxfId="574" priority="232" operator="containsText" text="T">
      <formula>NOT(ISERROR(SEARCH("T",AZ200)))</formula>
    </cfRule>
  </conditionalFormatting>
  <conditionalFormatting sqref="BA22:BA27">
    <cfRule type="containsText" dxfId="573" priority="549" operator="containsText" text="T">
      <formula>NOT(ISERROR(SEARCH("T",BA22)))</formula>
    </cfRule>
    <cfRule type="containsText" dxfId="572" priority="550" operator="containsText" text="17">
      <formula>NOT(ISERROR(SEARCH("17",BA22)))</formula>
    </cfRule>
  </conditionalFormatting>
  <conditionalFormatting sqref="BA35:BA40">
    <cfRule type="containsText" dxfId="571" priority="631" operator="containsText" text="T">
      <formula>NOT(ISERROR(SEARCH("T",BA35)))</formula>
    </cfRule>
  </conditionalFormatting>
  <conditionalFormatting sqref="BA59:BA62">
    <cfRule type="containsText" dxfId="570" priority="543" operator="containsText" text="T">
      <formula>NOT(ISERROR(SEARCH("T",BA59)))</formula>
    </cfRule>
  </conditionalFormatting>
  <conditionalFormatting sqref="BA83:BA85 BE83:BG85">
    <cfRule type="containsText" dxfId="569" priority="521" operator="containsText" text="T">
      <formula>NOT(ISERROR(SEARCH("T",BA83)))</formula>
    </cfRule>
  </conditionalFormatting>
  <conditionalFormatting sqref="BA86:BA89">
    <cfRule type="containsText" dxfId="568" priority="533" operator="containsText" text="T">
      <formula>NOT(ISERROR(SEARCH("T",BA86)))</formula>
    </cfRule>
  </conditionalFormatting>
  <conditionalFormatting sqref="BA199 AZ206">
    <cfRule type="containsText" dxfId="567" priority="5056" operator="containsText" text="17">
      <formula>NOT(ISERROR(SEARCH("17",AZ199)))</formula>
    </cfRule>
    <cfRule type="containsText" dxfId="566" priority="5057" operator="containsText" text="T">
      <formula>NOT(ISERROR(SEARCH("T",AZ199)))</formula>
    </cfRule>
  </conditionalFormatting>
  <conditionalFormatting sqref="BA214:BA217 BE214:BG217">
    <cfRule type="containsText" dxfId="565" priority="511" operator="containsText" text="T">
      <formula>NOT(ISERROR(SEARCH("T",BA214)))</formula>
    </cfRule>
  </conditionalFormatting>
  <conditionalFormatting sqref="BA22:BB27">
    <cfRule type="containsText" dxfId="564" priority="552" operator="containsText" text="T">
      <formula>NOT(ISERROR(SEARCH("T",BA22)))</formula>
    </cfRule>
  </conditionalFormatting>
  <conditionalFormatting sqref="BA83:BB85 BE83:BG85">
    <cfRule type="containsText" dxfId="563" priority="522" operator="containsText" text="17">
      <formula>NOT(ISERROR(SEARCH("17",BA83)))</formula>
    </cfRule>
  </conditionalFormatting>
  <conditionalFormatting sqref="BA214:BB217 BE214:BG217">
    <cfRule type="containsText" dxfId="562" priority="512" operator="containsText" text="17">
      <formula>NOT(ISERROR(SEARCH("17",BA214)))</formula>
    </cfRule>
  </conditionalFormatting>
  <conditionalFormatting sqref="BA76:BG78">
    <cfRule type="containsText" dxfId="561" priority="432" operator="containsText" text="17">
      <formula>NOT(ISERROR(SEARCH("17",BA76)))</formula>
    </cfRule>
    <cfRule type="containsText" dxfId="560" priority="433" operator="containsText" text="T">
      <formula>NOT(ISERROR(SEARCH("T",BA76)))</formula>
    </cfRule>
  </conditionalFormatting>
  <conditionalFormatting sqref="BA107:BG112">
    <cfRule type="containsText" dxfId="559" priority="442" operator="containsText" text="17">
      <formula>NOT(ISERROR(SEARCH("17",BA107)))</formula>
    </cfRule>
    <cfRule type="containsText" dxfId="558" priority="443" operator="containsText" text="T">
      <formula>NOT(ISERROR(SEARCH("T",BA107)))</formula>
    </cfRule>
  </conditionalFormatting>
  <conditionalFormatting sqref="BA192:BK199">
    <cfRule type="containsText" dxfId="557" priority="206" operator="containsText" text="17">
      <formula>NOT(ISERROR(SEARCH("17",BA192)))</formula>
    </cfRule>
  </conditionalFormatting>
  <conditionalFormatting sqref="BA192:BR199">
    <cfRule type="containsText" dxfId="556" priority="213" operator="containsText" text="T">
      <formula>NOT(ISERROR(SEARCH("T",BA192)))</formula>
    </cfRule>
  </conditionalFormatting>
  <conditionalFormatting sqref="BA192:BX199 AY193:BV213 AX195:BV195 AZ200:BW206 BH214:BL215">
    <cfRule type="containsText" dxfId="555" priority="915" operator="containsText" text="17">
      <formula>NOT(ISERROR(SEARCH("17",AX192)))</formula>
    </cfRule>
  </conditionalFormatting>
  <conditionalFormatting sqref="BA192:BX199">
    <cfRule type="containsText" dxfId="554" priority="222" operator="containsText" text="T">
      <formula>NOT(ISERROR(SEARCH("T",BA192)))</formula>
    </cfRule>
  </conditionalFormatting>
  <conditionalFormatting sqref="BB22:BB27">
    <cfRule type="containsText" dxfId="553" priority="618" operator="containsText" text="T">
      <formula>NOT(ISERROR(SEARCH("T",BB22)))</formula>
    </cfRule>
  </conditionalFormatting>
  <conditionalFormatting sqref="BB76:BB78">
    <cfRule type="containsText" dxfId="552" priority="429" operator="containsText" text="17">
      <formula>NOT(ISERROR(SEARCH("17",BB76)))</formula>
    </cfRule>
    <cfRule type="containsText" dxfId="551" priority="430" operator="containsText" text="T">
      <formula>NOT(ISERROR(SEARCH("T",BB76)))</formula>
    </cfRule>
  </conditionalFormatting>
  <conditionalFormatting sqref="BB83:BB85">
    <cfRule type="containsText" dxfId="550" priority="523" operator="containsText" text="T">
      <formula>NOT(ISERROR(SEARCH("T",BB83)))</formula>
    </cfRule>
  </conditionalFormatting>
  <conditionalFormatting sqref="BB107:BB112">
    <cfRule type="containsText" dxfId="549" priority="439" operator="containsText" text="17">
      <formula>NOT(ISERROR(SEARCH("17",BB107)))</formula>
    </cfRule>
    <cfRule type="containsText" dxfId="548" priority="440" operator="containsText" text="T">
      <formula>NOT(ISERROR(SEARCH("T",BB107)))</formula>
    </cfRule>
  </conditionalFormatting>
  <conditionalFormatting sqref="BB199 BD199:BI199 BA206 BC206:BH206">
    <cfRule type="containsText" dxfId="547" priority="5070" operator="containsText" text="17">
      <formula>NOT(ISERROR(SEARCH("17",BA199)))</formula>
    </cfRule>
    <cfRule type="containsText" dxfId="546" priority="5071" operator="containsText" text="T">
      <formula>NOT(ISERROR(SEARCH("T",BA199)))</formula>
    </cfRule>
  </conditionalFormatting>
  <conditionalFormatting sqref="BB214:BB217">
    <cfRule type="containsText" dxfId="545" priority="513" operator="containsText" text="T">
      <formula>NOT(ISERROR(SEARCH("T",BB214)))</formula>
    </cfRule>
  </conditionalFormatting>
  <conditionalFormatting sqref="BB218:BB224 BF218:BH224">
    <cfRule type="containsText" dxfId="544" priority="501" operator="containsText" text="T">
      <formula>NOT(ISERROR(SEARCH("T",BB218)))</formula>
    </cfRule>
  </conditionalFormatting>
  <conditionalFormatting sqref="BB35:BC40 AX54:BC58 BB93:BC96 BF93:BF96 AX166:BI167 BL166:BM167 BP166:BS167 AX175:AX178 AX196:AX198 AX203:BT205 BV203:BV205 AX212 BS97:BT97">
    <cfRule type="containsText" dxfId="543" priority="8546" operator="containsText" text="T">
      <formula>NOT(ISERROR(SEARCH("T",AX35)))</formula>
    </cfRule>
  </conditionalFormatting>
  <conditionalFormatting sqref="BB218:BC224 BF218:BH224">
    <cfRule type="containsText" dxfId="542" priority="502" operator="containsText" text="17">
      <formula>NOT(ISERROR(SEARCH("17",BB218)))</formula>
    </cfRule>
  </conditionalFormatting>
  <conditionalFormatting sqref="BB72:BH75">
    <cfRule type="containsText" dxfId="541" priority="422" operator="containsText" text="17">
      <formula>NOT(ISERROR(SEARCH("17",BB72)))</formula>
    </cfRule>
    <cfRule type="containsText" dxfId="540" priority="423" operator="containsText" text="T">
      <formula>NOT(ISERROR(SEARCH("T",BB72)))</formula>
    </cfRule>
  </conditionalFormatting>
  <conditionalFormatting sqref="BB106:BH106">
    <cfRule type="containsText" dxfId="539" priority="412" operator="containsText" text="17">
      <formula>NOT(ISERROR(SEARCH("17",BB106)))</formula>
    </cfRule>
    <cfRule type="containsText" dxfId="538" priority="413" operator="containsText" text="T">
      <formula>NOT(ISERROR(SEARCH("T",BB106)))</formula>
    </cfRule>
  </conditionalFormatting>
  <conditionalFormatting sqref="BB120:BH120">
    <cfRule type="containsText" dxfId="537" priority="392" operator="containsText" text="17">
      <formula>NOT(ISERROR(SEARCH("17",BB120)))</formula>
    </cfRule>
    <cfRule type="containsText" dxfId="536" priority="393" operator="containsText" text="T">
      <formula>NOT(ISERROR(SEARCH("T",BB120)))</formula>
    </cfRule>
  </conditionalFormatting>
  <conditionalFormatting sqref="BB122:BH122">
    <cfRule type="containsText" dxfId="535" priority="382" operator="containsText" text="17">
      <formula>NOT(ISERROR(SEARCH("17",BB122)))</formula>
    </cfRule>
    <cfRule type="containsText" dxfId="534" priority="383" operator="containsText" text="T">
      <formula>NOT(ISERROR(SEARCH("T",BB122)))</formula>
    </cfRule>
  </conditionalFormatting>
  <conditionalFormatting sqref="BB124:BH126">
    <cfRule type="containsText" dxfId="533" priority="402" operator="containsText" text="17">
      <formula>NOT(ISERROR(SEARCH("17",BB124)))</formula>
    </cfRule>
    <cfRule type="containsText" dxfId="532" priority="403" operator="containsText" text="T">
      <formula>NOT(ISERROR(SEARCH("T",BB124)))</formula>
    </cfRule>
  </conditionalFormatting>
  <conditionalFormatting sqref="BB168:BL174">
    <cfRule type="containsText" dxfId="531" priority="182" operator="containsText" text="17">
      <formula>NOT(ISERROR(SEARCH("17",BB168)))</formula>
    </cfRule>
  </conditionalFormatting>
  <conditionalFormatting sqref="BB194:BN194 BB196:BN198">
    <cfRule type="containsText" dxfId="530" priority="916" operator="containsText" text="17">
      <formula>NOT(ISERROR(SEARCH("17",BB194)))</formula>
    </cfRule>
  </conditionalFormatting>
  <conditionalFormatting sqref="BB168:BY174">
    <cfRule type="containsText" dxfId="529" priority="191" operator="containsText" text="T">
      <formula>NOT(ISERROR(SEARCH("T",BB168)))</formula>
    </cfRule>
    <cfRule type="containsText" dxfId="528" priority="194" operator="containsText" text="17">
      <formula>NOT(ISERROR(SEARCH("17",BB168)))</formula>
    </cfRule>
    <cfRule type="containsText" dxfId="527" priority="196" operator="containsText" text="T">
      <formula>NOT(ISERROR(SEARCH("T",BB168)))</formula>
    </cfRule>
  </conditionalFormatting>
  <conditionalFormatting sqref="BC34">
    <cfRule type="containsText" dxfId="526" priority="8060" operator="containsText" text="17">
      <formula>NOT(ISERROR(SEARCH("17",BC34)))</formula>
    </cfRule>
    <cfRule type="containsText" dxfId="525" priority="8061" operator="containsText" text="T">
      <formula>NOT(ISERROR(SEARCH("T",BC34)))</formula>
    </cfRule>
    <cfRule type="containsText" dxfId="524" priority="8062" operator="containsText" text="17">
      <formula>NOT(ISERROR(SEARCH("17",BC34)))</formula>
    </cfRule>
    <cfRule type="containsText" dxfId="523" priority="8063" operator="containsText" text="T">
      <formula>NOT(ISERROR(SEARCH("T",BC34)))</formula>
    </cfRule>
  </conditionalFormatting>
  <conditionalFormatting sqref="BC42:BC47">
    <cfRule type="containsText" dxfId="522" priority="605" operator="containsText" text="T">
      <formula>NOT(ISERROR(SEARCH("T",BC42)))</formula>
    </cfRule>
  </conditionalFormatting>
  <conditionalFormatting sqref="BC72:BC75">
    <cfRule type="containsText" dxfId="521" priority="419" operator="containsText" text="17">
      <formula>NOT(ISERROR(SEARCH("17",BC72)))</formula>
    </cfRule>
    <cfRule type="containsText" dxfId="520" priority="420" operator="containsText" text="T">
      <formula>NOT(ISERROR(SEARCH("T",BC72)))</formula>
    </cfRule>
  </conditionalFormatting>
  <conditionalFormatting sqref="BC106">
    <cfRule type="containsText" dxfId="519" priority="409" operator="containsText" text="17">
      <formula>NOT(ISERROR(SEARCH("17",BC106)))</formula>
    </cfRule>
    <cfRule type="containsText" dxfId="518" priority="410" operator="containsText" text="T">
      <formula>NOT(ISERROR(SEARCH("T",BC106)))</formula>
    </cfRule>
  </conditionalFormatting>
  <conditionalFormatting sqref="BC120">
    <cfRule type="containsText" dxfId="517" priority="389" operator="containsText" text="17">
      <formula>NOT(ISERROR(SEARCH("17",BC120)))</formula>
    </cfRule>
    <cfRule type="containsText" dxfId="516" priority="390" operator="containsText" text="T">
      <formula>NOT(ISERROR(SEARCH("T",BC120)))</formula>
    </cfRule>
  </conditionalFormatting>
  <conditionalFormatting sqref="BC122">
    <cfRule type="containsText" dxfId="515" priority="379" operator="containsText" text="17">
      <formula>NOT(ISERROR(SEARCH("17",BC122)))</formula>
    </cfRule>
    <cfRule type="containsText" dxfId="514" priority="380" operator="containsText" text="T">
      <formula>NOT(ISERROR(SEARCH("T",BC122)))</formula>
    </cfRule>
  </conditionalFormatting>
  <conditionalFormatting sqref="BC124:BC126">
    <cfRule type="containsText" dxfId="513" priority="399" operator="containsText" text="17">
      <formula>NOT(ISERROR(SEARCH("17",BC124)))</formula>
    </cfRule>
    <cfRule type="containsText" dxfId="512" priority="400" operator="containsText" text="T">
      <formula>NOT(ISERROR(SEARCH("T",BC124)))</formula>
    </cfRule>
  </conditionalFormatting>
  <conditionalFormatting sqref="BC182:BC183">
    <cfRule type="containsText" dxfId="511" priority="928" operator="containsText" text="17">
      <formula>NOT(ISERROR(SEARCH("17",BC182)))</formula>
    </cfRule>
  </conditionalFormatting>
  <conditionalFormatting sqref="BC186:BC188 BC189:BV190">
    <cfRule type="containsText" dxfId="510" priority="922" operator="containsText" text="17">
      <formula>NOT(ISERROR(SEARCH("17",BC186)))</formula>
    </cfRule>
  </conditionalFormatting>
  <conditionalFormatting sqref="BC199 BB206 BS127">
    <cfRule type="containsText" dxfId="509" priority="2145" operator="containsText" text="17">
      <formula>NOT(ISERROR(SEARCH("17",BB127)))</formula>
    </cfRule>
  </conditionalFormatting>
  <conditionalFormatting sqref="BC218:BC224">
    <cfRule type="containsText" dxfId="508" priority="503" operator="containsText" text="T">
      <formula>NOT(ISERROR(SEARCH("T",BC218)))</formula>
    </cfRule>
  </conditionalFormatting>
  <conditionalFormatting sqref="BC225:BC231 BG225:BI231">
    <cfRule type="containsText" dxfId="507" priority="491" operator="containsText" text="T">
      <formula>NOT(ISERROR(SEARCH("T",BC225)))</formula>
    </cfRule>
  </conditionalFormatting>
  <conditionalFormatting sqref="BC16:BD20">
    <cfRule type="containsText" dxfId="506" priority="8379" operator="containsText" text="17">
      <formula>NOT(ISERROR(SEARCH("17",BC16)))</formula>
    </cfRule>
  </conditionalFormatting>
  <conditionalFormatting sqref="BC225:BD231 BG225:BI231">
    <cfRule type="containsText" dxfId="505" priority="492" operator="containsText" text="17">
      <formula>NOT(ISERROR(SEARCH("17",BC225)))</formula>
    </cfRule>
  </conditionalFormatting>
  <conditionalFormatting sqref="BC69:BI71">
    <cfRule type="containsText" dxfId="504" priority="342" operator="containsText" text="17">
      <formula>NOT(ISERROR(SEARCH("17",BC69)))</formula>
    </cfRule>
    <cfRule type="containsText" dxfId="503" priority="343" operator="containsText" text="T">
      <formula>NOT(ISERROR(SEARCH("T",BC69)))</formula>
    </cfRule>
  </conditionalFormatting>
  <conditionalFormatting sqref="BC103:BI104">
    <cfRule type="containsText" dxfId="502" priority="372" operator="containsText" text="17">
      <formula>NOT(ISERROR(SEARCH("17",BC103)))</formula>
    </cfRule>
    <cfRule type="containsText" dxfId="501" priority="373" operator="containsText" text="T">
      <formula>NOT(ISERROR(SEARCH("T",BC103)))</formula>
    </cfRule>
  </conditionalFormatting>
  <conditionalFormatting sqref="BC121:BI121">
    <cfRule type="containsText" dxfId="500" priority="362" operator="containsText" text="17">
      <formula>NOT(ISERROR(SEARCH("17",BC121)))</formula>
    </cfRule>
    <cfRule type="containsText" dxfId="499" priority="363" operator="containsText" text="T">
      <formula>NOT(ISERROR(SEARCH("T",BC121)))</formula>
    </cfRule>
  </conditionalFormatting>
  <conditionalFormatting sqref="BC123:BI123">
    <cfRule type="containsText" dxfId="498" priority="352" operator="containsText" text="17">
      <formula>NOT(ISERROR(SEARCH("17",BC123)))</formula>
    </cfRule>
    <cfRule type="containsText" dxfId="497" priority="353" operator="containsText" text="T">
      <formula>NOT(ISERROR(SEARCH("T",BC123)))</formula>
    </cfRule>
  </conditionalFormatting>
  <conditionalFormatting sqref="BC175:BM181">
    <cfRule type="containsText" dxfId="496" priority="158" operator="containsText" text="17">
      <formula>NOT(ISERROR(SEARCH("17",BC175)))</formula>
    </cfRule>
  </conditionalFormatting>
  <conditionalFormatting sqref="BC199:BR199 BB206:BQ206 BS127">
    <cfRule type="containsText" dxfId="495" priority="5050" operator="containsText" text="17">
      <formula>NOT(ISERROR(SEARCH("17",BB127)))</formula>
    </cfRule>
  </conditionalFormatting>
  <conditionalFormatting sqref="BC175:BZ181">
    <cfRule type="containsText" dxfId="494" priority="167" operator="containsText" text="T">
      <formula>NOT(ISERROR(SEARCH("T",BC175)))</formula>
    </cfRule>
    <cfRule type="containsText" dxfId="493" priority="170" operator="containsText" text="17">
      <formula>NOT(ISERROR(SEARCH("17",BC175)))</formula>
    </cfRule>
  </conditionalFormatting>
  <conditionalFormatting sqref="BC175:CP181">
    <cfRule type="containsText" dxfId="492" priority="181" operator="containsText" text="17">
      <formula>NOT(ISERROR(SEARCH("17",BC175)))</formula>
    </cfRule>
  </conditionalFormatting>
  <conditionalFormatting sqref="BD69:BD71">
    <cfRule type="containsText" dxfId="491" priority="339" operator="containsText" text="17">
      <formula>NOT(ISERROR(SEARCH("17",BD69)))</formula>
    </cfRule>
    <cfRule type="containsText" dxfId="490" priority="340" operator="containsText" text="T">
      <formula>NOT(ISERROR(SEARCH("T",BD69)))</formula>
    </cfRule>
  </conditionalFormatting>
  <conditionalFormatting sqref="BD103:BD104">
    <cfRule type="containsText" dxfId="489" priority="369" operator="containsText" text="17">
      <formula>NOT(ISERROR(SEARCH("17",BD103)))</formula>
    </cfRule>
    <cfRule type="containsText" dxfId="488" priority="370" operator="containsText" text="T">
      <formula>NOT(ISERROR(SEARCH("T",BD103)))</formula>
    </cfRule>
  </conditionalFormatting>
  <conditionalFormatting sqref="BD113:BD116 BH113:BJ116">
    <cfRule type="containsText" dxfId="487" priority="471" operator="containsText" text="T">
      <formula>NOT(ISERROR(SEARCH("T",BD113)))</formula>
    </cfRule>
  </conditionalFormatting>
  <conditionalFormatting sqref="BD121">
    <cfRule type="containsText" dxfId="486" priority="359" operator="containsText" text="17">
      <formula>NOT(ISERROR(SEARCH("17",BD121)))</formula>
    </cfRule>
    <cfRule type="containsText" dxfId="485" priority="360" operator="containsText" text="T">
      <formula>NOT(ISERROR(SEARCH("T",BD121)))</formula>
    </cfRule>
  </conditionalFormatting>
  <conditionalFormatting sqref="BD123">
    <cfRule type="containsText" dxfId="484" priority="349" operator="containsText" text="17">
      <formula>NOT(ISERROR(SEARCH("17",BD123)))</formula>
    </cfRule>
    <cfRule type="containsText" dxfId="483" priority="350" operator="containsText" text="T">
      <formula>NOT(ISERROR(SEARCH("T",BD123)))</formula>
    </cfRule>
  </conditionalFormatting>
  <conditionalFormatting sqref="BD225:BD231">
    <cfRule type="containsText" dxfId="482" priority="493" operator="containsText" text="T">
      <formula>NOT(ISERROR(SEARCH("T",BD225)))</formula>
    </cfRule>
  </conditionalFormatting>
  <conditionalFormatting sqref="BD232:BD234 BH232:BJ234">
    <cfRule type="containsText" dxfId="481" priority="481" operator="containsText" text="T">
      <formula>NOT(ISERROR(SEARCH("T",BD232)))</formula>
    </cfRule>
  </conditionalFormatting>
  <conditionalFormatting sqref="BD35:BE39">
    <cfRule type="containsText" dxfId="480" priority="1049" operator="containsText" text="T">
      <formula>NOT(ISERROR(SEARCH("T",BD35)))</formula>
    </cfRule>
  </conditionalFormatting>
  <conditionalFormatting sqref="BD113:BE116 BH113:BJ116">
    <cfRule type="containsText" dxfId="479" priority="472" operator="containsText" text="17">
      <formula>NOT(ISERROR(SEARCH("17",BD113)))</formula>
    </cfRule>
  </conditionalFormatting>
  <conditionalFormatting sqref="BD232:BE234 BH232:BN234">
    <cfRule type="containsText" dxfId="478" priority="482" operator="containsText" text="17">
      <formula>NOT(ISERROR(SEARCH("17",BD232)))</formula>
    </cfRule>
  </conditionalFormatting>
  <conditionalFormatting sqref="BD41:BG45">
    <cfRule type="containsText" dxfId="477" priority="1042" operator="containsText" text="T">
      <formula>NOT(ISERROR(SEARCH("T",BD41)))</formula>
    </cfRule>
  </conditionalFormatting>
  <conditionalFormatting sqref="BD47:BG47 BE48:BH48">
    <cfRule type="containsText" dxfId="476" priority="1037" operator="containsText" text="T">
      <formula>NOT(ISERROR(SEARCH("T",BD47)))</formula>
    </cfRule>
  </conditionalFormatting>
  <conditionalFormatting sqref="BD67:BJ68">
    <cfRule type="containsText" dxfId="475" priority="312" operator="containsText" text="17">
      <formula>NOT(ISERROR(SEARCH("17",BD67)))</formula>
    </cfRule>
    <cfRule type="containsText" dxfId="474" priority="313" operator="containsText" text="T">
      <formula>NOT(ISERROR(SEARCH("T",BD67)))</formula>
    </cfRule>
  </conditionalFormatting>
  <conditionalFormatting sqref="BD99:BJ102">
    <cfRule type="containsText" dxfId="473" priority="332" operator="containsText" text="17">
      <formula>NOT(ISERROR(SEARCH("17",BD99)))</formula>
    </cfRule>
    <cfRule type="containsText" dxfId="472" priority="333" operator="containsText" text="T">
      <formula>NOT(ISERROR(SEARCH("T",BD99)))</formula>
    </cfRule>
  </conditionalFormatting>
  <conditionalFormatting sqref="BD105:BJ105">
    <cfRule type="containsText" dxfId="471" priority="322" operator="containsText" text="17">
      <formula>NOT(ISERROR(SEARCH("17",BD105)))</formula>
    </cfRule>
    <cfRule type="containsText" dxfId="470" priority="323" operator="containsText" text="T">
      <formula>NOT(ISERROR(SEARCH("T",BD105)))</formula>
    </cfRule>
  </conditionalFormatting>
  <conditionalFormatting sqref="BD54:BN59 AZ59:AZ62 BD60:BI62">
    <cfRule type="containsText" dxfId="469" priority="541" operator="containsText" text="T">
      <formula>NOT(ISERROR(SEARCH("T",AZ54)))</formula>
    </cfRule>
  </conditionalFormatting>
  <conditionalFormatting sqref="BD182:BN188">
    <cfRule type="containsText" dxfId="468" priority="134" operator="containsText" text="17">
      <formula>NOT(ISERROR(SEARCH("17",BD182)))</formula>
    </cfRule>
  </conditionalFormatting>
  <conditionalFormatting sqref="BD182:CA188">
    <cfRule type="containsText" dxfId="467" priority="143" operator="containsText" text="T">
      <formula>NOT(ISERROR(SEARCH("T",BD182)))</formula>
    </cfRule>
    <cfRule type="containsText" dxfId="466" priority="146" operator="containsText" text="17">
      <formula>NOT(ISERROR(SEARCH("17",BD182)))</formula>
    </cfRule>
  </conditionalFormatting>
  <conditionalFormatting sqref="BD182:CP188">
    <cfRule type="containsText" dxfId="465" priority="148" operator="containsText" text="T">
      <formula>NOT(ISERROR(SEARCH("T",BD182)))</formula>
    </cfRule>
    <cfRule type="containsText" dxfId="464" priority="157" operator="containsText" text="17">
      <formula>NOT(ISERROR(SEARCH("17",BD182)))</formula>
    </cfRule>
  </conditionalFormatting>
  <conditionalFormatting sqref="BE15:BE20">
    <cfRule type="containsText" dxfId="463" priority="130" operator="containsText" text="T">
      <formula>NOT(ISERROR(SEARCH("T",BE15)))</formula>
    </cfRule>
  </conditionalFormatting>
  <conditionalFormatting sqref="BE67:BE68">
    <cfRule type="containsText" dxfId="462" priority="309" operator="containsText" text="17">
      <formula>NOT(ISERROR(SEARCH("17",BE67)))</formula>
    </cfRule>
    <cfRule type="containsText" dxfId="461" priority="310" operator="containsText" text="T">
      <formula>NOT(ISERROR(SEARCH("T",BE67)))</formula>
    </cfRule>
  </conditionalFormatting>
  <conditionalFormatting sqref="BE79:BE82 BI79:BK82">
    <cfRule type="containsText" dxfId="460" priority="451" operator="containsText" text="T">
      <formula>NOT(ISERROR(SEARCH("T",BE79)))</formula>
    </cfRule>
  </conditionalFormatting>
  <conditionalFormatting sqref="BE99:BE102">
    <cfRule type="containsText" dxfId="459" priority="329" operator="containsText" text="17">
      <formula>NOT(ISERROR(SEARCH("17",BE99)))</formula>
    </cfRule>
    <cfRule type="containsText" dxfId="458" priority="330" operator="containsText" text="T">
      <formula>NOT(ISERROR(SEARCH("T",BE99)))</formula>
    </cfRule>
  </conditionalFormatting>
  <conditionalFormatting sqref="BE105">
    <cfRule type="containsText" dxfId="457" priority="319" operator="containsText" text="17">
      <formula>NOT(ISERROR(SEARCH("17",BE105)))</formula>
    </cfRule>
    <cfRule type="containsText" dxfId="456" priority="320" operator="containsText" text="T">
      <formula>NOT(ISERROR(SEARCH("T",BE105)))</formula>
    </cfRule>
  </conditionalFormatting>
  <conditionalFormatting sqref="BE113:BE116">
    <cfRule type="containsText" dxfId="455" priority="473" operator="containsText" text="T">
      <formula>NOT(ISERROR(SEARCH("T",BE113)))</formula>
    </cfRule>
  </conditionalFormatting>
  <conditionalFormatting sqref="BE117:BE119 BI117:BK119">
    <cfRule type="containsText" dxfId="454" priority="461" operator="containsText" text="T">
      <formula>NOT(ISERROR(SEARCH("T",BE117)))</formula>
    </cfRule>
  </conditionalFormatting>
  <conditionalFormatting sqref="BE232:BE234">
    <cfRule type="containsText" dxfId="453" priority="483" operator="containsText" text="T">
      <formula>NOT(ISERROR(SEARCH("T",BE232)))</formula>
    </cfRule>
  </conditionalFormatting>
  <conditionalFormatting sqref="BE23:BF27">
    <cfRule type="containsText" dxfId="452" priority="1062" operator="containsText" text="17">
      <formula>NOT(ISERROR(SEARCH("17",BE23)))</formula>
    </cfRule>
  </conditionalFormatting>
  <conditionalFormatting sqref="BE79:BF82 BI79:BK82">
    <cfRule type="containsText" dxfId="451" priority="452" operator="containsText" text="17">
      <formula>NOT(ISERROR(SEARCH("17",BE79)))</formula>
    </cfRule>
  </conditionalFormatting>
  <conditionalFormatting sqref="BE117:BF119 BI117:BP119">
    <cfRule type="containsText" dxfId="450" priority="462" operator="containsText" text="17">
      <formula>NOT(ISERROR(SEARCH("17",BE117)))</formula>
    </cfRule>
  </conditionalFormatting>
  <conditionalFormatting sqref="BE199:BF199 BD206:BE206">
    <cfRule type="containsText" dxfId="449" priority="2141" operator="containsText" text="17">
      <formula>NOT(ISERROR(SEARCH("17",BD199)))</formula>
    </cfRule>
    <cfRule type="containsText" dxfId="448" priority="2142" operator="containsText" text="T">
      <formula>NOT(ISERROR(SEARCH("T",BD199)))</formula>
    </cfRule>
  </conditionalFormatting>
  <conditionalFormatting sqref="BE97:BK98">
    <cfRule type="containsText" dxfId="447" priority="302" operator="containsText" text="17">
      <formula>NOT(ISERROR(SEARCH("17",BE97)))</formula>
    </cfRule>
    <cfRule type="containsText" dxfId="446" priority="303" operator="containsText" text="T">
      <formula>NOT(ISERROR(SEARCH("T",BE97)))</formula>
    </cfRule>
  </conditionalFormatting>
  <conditionalFormatting sqref="BE131:BK137">
    <cfRule type="containsText" dxfId="445" priority="292" operator="containsText" text="17">
      <formula>NOT(ISERROR(SEARCH("17",BE131)))</formula>
    </cfRule>
    <cfRule type="containsText" dxfId="444" priority="293" operator="containsText" text="T">
      <formula>NOT(ISERROR(SEARCH("T",BE131)))</formula>
    </cfRule>
  </conditionalFormatting>
  <conditionalFormatting sqref="BE14:BO14">
    <cfRule type="containsText" dxfId="443" priority="122" operator="containsText" text="17">
      <formula>NOT(ISERROR(SEARCH("17",BE14)))</formula>
    </cfRule>
    <cfRule type="containsText" dxfId="442" priority="123" operator="containsText" text="T">
      <formula>NOT(ISERROR(SEARCH("T",BE14)))</formula>
    </cfRule>
  </conditionalFormatting>
  <conditionalFormatting sqref="BE15:BY20 BE14:BM14">
    <cfRule type="containsText" dxfId="441" priority="129" operator="containsText" text="17">
      <formula>NOT(ISERROR(SEARCH("17",BE14)))</formula>
    </cfRule>
  </conditionalFormatting>
  <conditionalFormatting sqref="BF35:BF40">
    <cfRule type="containsText" dxfId="440" priority="118" operator="containsText" text="T">
      <formula>NOT(ISERROR(SEARCH("T",BF35)))</formula>
    </cfRule>
  </conditionalFormatting>
  <conditionalFormatting sqref="BF79:BF82">
    <cfRule type="containsText" dxfId="439" priority="453" operator="containsText" text="T">
      <formula>NOT(ISERROR(SEARCH("T",BF79)))</formula>
    </cfRule>
  </conditionalFormatting>
  <conditionalFormatting sqref="BF93:BF96 AZ94:BB96 BG94:BI96 BS97 BM231:BN234">
    <cfRule type="containsText" dxfId="438" priority="8576" operator="containsText" text="T">
      <formula>NOT(ISERROR(SEARCH("T",AZ93)))</formula>
    </cfRule>
  </conditionalFormatting>
  <conditionalFormatting sqref="BF93:BF96 AZ94:BB96 BS97 BG94:BI96 BM231:BN234">
    <cfRule type="containsText" dxfId="437" priority="8575" operator="containsText" text="17">
      <formula>NOT(ISERROR(SEARCH("17",AZ93)))</formula>
    </cfRule>
  </conditionalFormatting>
  <conditionalFormatting sqref="BF97:BF98">
    <cfRule type="containsText" dxfId="436" priority="299" operator="containsText" text="17">
      <formula>NOT(ISERROR(SEARCH("17",BF97)))</formula>
    </cfRule>
    <cfRule type="containsText" dxfId="435" priority="300" operator="containsText" text="T">
      <formula>NOT(ISERROR(SEARCH("T",BF97)))</formula>
    </cfRule>
  </conditionalFormatting>
  <conditionalFormatting sqref="BF117:BF119">
    <cfRule type="containsText" dxfId="434" priority="463" operator="containsText" text="T">
      <formula>NOT(ISERROR(SEARCH("T",BF117)))</formula>
    </cfRule>
  </conditionalFormatting>
  <conditionalFormatting sqref="BF131:BF137">
    <cfRule type="containsText" dxfId="433" priority="289" operator="containsText" text="17">
      <formula>NOT(ISERROR(SEARCH("17",BF131)))</formula>
    </cfRule>
    <cfRule type="containsText" dxfId="432" priority="290" operator="containsText" text="T">
      <formula>NOT(ISERROR(SEARCH("T",BF131)))</formula>
    </cfRule>
  </conditionalFormatting>
  <conditionalFormatting sqref="BF138:BL144">
    <cfRule type="containsText" dxfId="431" priority="282" operator="containsText" text="17">
      <formula>NOT(ISERROR(SEARCH("17",BF138)))</formula>
    </cfRule>
    <cfRule type="containsText" dxfId="430" priority="283" operator="containsText" text="T">
      <formula>NOT(ISERROR(SEARCH("T",BF138)))</formula>
    </cfRule>
  </conditionalFormatting>
  <conditionalFormatting sqref="BF34:BP34">
    <cfRule type="containsText" dxfId="429" priority="110" operator="containsText" text="17">
      <formula>NOT(ISERROR(SEARCH("17",BF34)))</formula>
    </cfRule>
    <cfRule type="containsText" dxfId="428" priority="111" operator="containsText" text="T">
      <formula>NOT(ISERROR(SEARCH("T",BF34)))</formula>
    </cfRule>
  </conditionalFormatting>
  <conditionalFormatting sqref="BF35:BZ40 BF34:BN34">
    <cfRule type="containsText" dxfId="427" priority="117" operator="containsText" text="17">
      <formula>NOT(ISERROR(SEARCH("17",BF34)))</formula>
    </cfRule>
  </conditionalFormatting>
  <conditionalFormatting sqref="BF50:CA52 BF53:BN53">
    <cfRule type="containsText" dxfId="426" priority="1032" operator="containsText" text="T">
      <formula>NOT(ISERROR(SEARCH("T",BF50)))</formula>
    </cfRule>
  </conditionalFormatting>
  <conditionalFormatting sqref="BG22:BG27">
    <cfRule type="containsText" dxfId="425" priority="106" operator="containsText" text="T">
      <formula>NOT(ISERROR(SEARCH("T",BG22)))</formula>
    </cfRule>
  </conditionalFormatting>
  <conditionalFormatting sqref="BG41:BG45">
    <cfRule type="containsText" dxfId="424" priority="1043" operator="containsText" text="17">
      <formula>NOT(ISERROR(SEARCH("17",BG41)))</formula>
    </cfRule>
  </conditionalFormatting>
  <conditionalFormatting sqref="BG47">
    <cfRule type="containsText" dxfId="423" priority="1041" operator="containsText" text="17">
      <formula>NOT(ISERROR(SEARCH("17",BG47)))</formula>
    </cfRule>
  </conditionalFormatting>
  <conditionalFormatting sqref="BG76:BG78 BK76:BM78">
    <cfRule type="containsText" dxfId="422" priority="426" operator="containsText" text="T">
      <formula>NOT(ISERROR(SEARCH("T",BG76)))</formula>
    </cfRule>
  </conditionalFormatting>
  <conditionalFormatting sqref="BG86 BG93:BI93">
    <cfRule type="containsText" dxfId="421" priority="4100" operator="containsText" text="17">
      <formula>NOT(ISERROR(SEARCH("17",BG86)))</formula>
    </cfRule>
    <cfRule type="containsText" dxfId="420" priority="4101" operator="containsText" text="T">
      <formula>NOT(ISERROR(SEARCH("T",BG86)))</formula>
    </cfRule>
  </conditionalFormatting>
  <conditionalFormatting sqref="BG107:BG112 BK107:BM112">
    <cfRule type="containsText" dxfId="419" priority="436" operator="containsText" text="T">
      <formula>NOT(ISERROR(SEARCH("T",BG107)))</formula>
    </cfRule>
  </conditionalFormatting>
  <conditionalFormatting sqref="BG138:BG144">
    <cfRule type="containsText" dxfId="418" priority="279" operator="containsText" text="17">
      <formula>NOT(ISERROR(SEARCH("17",BG138)))</formula>
    </cfRule>
    <cfRule type="containsText" dxfId="417" priority="280" operator="containsText" text="T">
      <formula>NOT(ISERROR(SEARCH("T",BG138)))</formula>
    </cfRule>
  </conditionalFormatting>
  <conditionalFormatting sqref="BG30:BH32 BG33:BZ33">
    <cfRule type="containsText" dxfId="416" priority="1056" operator="containsText" text="17">
      <formula>NOT(ISERROR(SEARCH("17",BG30)))</formula>
    </cfRule>
  </conditionalFormatting>
  <conditionalFormatting sqref="BG48:BH48">
    <cfRule type="containsText" dxfId="415" priority="1038" operator="containsText" text="17">
      <formula>NOT(ISERROR(SEARCH("17",BG48)))</formula>
    </cfRule>
  </conditionalFormatting>
  <conditionalFormatting sqref="BG76:BH78 BK76:BM78">
    <cfRule type="containsText" dxfId="414" priority="427" operator="containsText" text="17">
      <formula>NOT(ISERROR(SEARCH("17",BG76)))</formula>
    </cfRule>
  </conditionalFormatting>
  <conditionalFormatting sqref="BG107:BH112 BK107:BM112">
    <cfRule type="containsText" dxfId="413" priority="437" operator="containsText" text="17">
      <formula>NOT(ISERROR(SEARCH("17",BG107)))</formula>
    </cfRule>
  </conditionalFormatting>
  <conditionalFormatting sqref="BG145:BM151">
    <cfRule type="containsText" dxfId="412" priority="272" operator="containsText" text="17">
      <formula>NOT(ISERROR(SEARCH("17",BG145)))</formula>
    </cfRule>
    <cfRule type="containsText" dxfId="411" priority="273" operator="containsText" text="T">
      <formula>NOT(ISERROR(SEARCH("T",BG145)))</formula>
    </cfRule>
  </conditionalFormatting>
  <conditionalFormatting sqref="BG21:BQ21">
    <cfRule type="containsText" dxfId="410" priority="98" operator="containsText" text="17">
      <formula>NOT(ISERROR(SEARCH("17",BG21)))</formula>
    </cfRule>
    <cfRule type="containsText" dxfId="409" priority="99" operator="containsText" text="T">
      <formula>NOT(ISERROR(SEARCH("T",BG21)))</formula>
    </cfRule>
  </conditionalFormatting>
  <conditionalFormatting sqref="BG50:BQ52">
    <cfRule type="containsText" dxfId="408" priority="1036" operator="containsText" text="17">
      <formula>NOT(ISERROR(SEARCH("17",BG50)))</formula>
    </cfRule>
  </conditionalFormatting>
  <conditionalFormatting sqref="BG51:BS52 BG53:BN59 BG60:BI66">
    <cfRule type="containsText" dxfId="407" priority="1033" operator="containsText" text="17">
      <formula>NOT(ISERROR(SEARCH("17",BG51)))</formula>
    </cfRule>
  </conditionalFormatting>
  <conditionalFormatting sqref="BG22:CA27 BG21:BO21">
    <cfRule type="containsText" dxfId="406" priority="105" operator="containsText" text="17">
      <formula>NOT(ISERROR(SEARCH("17",BG21)))</formula>
    </cfRule>
  </conditionalFormatting>
  <conditionalFormatting sqref="BH42:BH47">
    <cfRule type="containsText" dxfId="405" priority="94" operator="containsText" text="T">
      <formula>NOT(ISERROR(SEARCH("T",BH42)))</formula>
    </cfRule>
  </conditionalFormatting>
  <conditionalFormatting sqref="BH72:BH75 BL72:BN75">
    <cfRule type="containsText" dxfId="404" priority="416" operator="containsText" text="T">
      <formula>NOT(ISERROR(SEARCH("T",BH72)))</formula>
    </cfRule>
  </conditionalFormatting>
  <conditionalFormatting sqref="BH76:BH78">
    <cfRule type="containsText" dxfId="403" priority="428" operator="containsText" text="T">
      <formula>NOT(ISERROR(SEARCH("T",BH76)))</formula>
    </cfRule>
  </conditionalFormatting>
  <conditionalFormatting sqref="BH106 BL106:BN106">
    <cfRule type="containsText" dxfId="402" priority="406" operator="containsText" text="T">
      <formula>NOT(ISERROR(SEARCH("T",BH106)))</formula>
    </cfRule>
  </conditionalFormatting>
  <conditionalFormatting sqref="BH107:BH112">
    <cfRule type="containsText" dxfId="401" priority="438" operator="containsText" text="T">
      <formula>NOT(ISERROR(SEARCH("T",BH107)))</formula>
    </cfRule>
  </conditionalFormatting>
  <conditionalFormatting sqref="BH120 BL120:BN120">
    <cfRule type="containsText" dxfId="400" priority="386" operator="containsText" text="T">
      <formula>NOT(ISERROR(SEARCH("T",BH120)))</formula>
    </cfRule>
  </conditionalFormatting>
  <conditionalFormatting sqref="BH122 BL122:BO122">
    <cfRule type="containsText" dxfId="399" priority="376" operator="containsText" text="T">
      <formula>NOT(ISERROR(SEARCH("T",BH122)))</formula>
    </cfRule>
  </conditionalFormatting>
  <conditionalFormatting sqref="BH124:BH126 BL124:BN126">
    <cfRule type="containsText" dxfId="398" priority="396" operator="containsText" text="T">
      <formula>NOT(ISERROR(SEARCH("T",BH124)))</formula>
    </cfRule>
  </conditionalFormatting>
  <conditionalFormatting sqref="BH145:BH151">
    <cfRule type="containsText" dxfId="397" priority="269" operator="containsText" text="17">
      <formula>NOT(ISERROR(SEARCH("17",BH145)))</formula>
    </cfRule>
    <cfRule type="containsText" dxfId="396" priority="270" operator="containsText" text="T">
      <formula>NOT(ISERROR(SEARCH("T",BH145)))</formula>
    </cfRule>
  </conditionalFormatting>
  <conditionalFormatting sqref="BH72:BI75 BL72:BN75">
    <cfRule type="containsText" dxfId="395" priority="417" operator="containsText" text="17">
      <formula>NOT(ISERROR(SEARCH("17",BH72)))</formula>
    </cfRule>
  </conditionalFormatting>
  <conditionalFormatting sqref="BH106:BI106 BL106:CJ106">
    <cfRule type="containsText" dxfId="394" priority="407" operator="containsText" text="17">
      <formula>NOT(ISERROR(SEARCH("17",BH106)))</formula>
    </cfRule>
  </conditionalFormatting>
  <conditionalFormatting sqref="BH120:BI120 BL120:BO120">
    <cfRule type="containsText" dxfId="393" priority="387" operator="containsText" text="17">
      <formula>NOT(ISERROR(SEARCH("17",BH120)))</formula>
    </cfRule>
  </conditionalFormatting>
  <conditionalFormatting sqref="BH122:BI122 BL122:BO122">
    <cfRule type="containsText" dxfId="392" priority="377" operator="containsText" text="17">
      <formula>NOT(ISERROR(SEARCH("17",BH122)))</formula>
    </cfRule>
  </conditionalFormatting>
  <conditionalFormatting sqref="BH124:BI126 BL124:BO126">
    <cfRule type="containsText" dxfId="391" priority="397" operator="containsText" text="17">
      <formula>NOT(ISERROR(SEARCH("17",BH124)))</formula>
    </cfRule>
  </conditionalFormatting>
  <conditionalFormatting sqref="BH214:BI216">
    <cfRule type="containsText" dxfId="390" priority="5856" operator="containsText" text="17">
      <formula>NOT(ISERROR(SEARCH("17",BH214)))</formula>
    </cfRule>
    <cfRule type="containsText" dxfId="389" priority="5857" operator="containsText" text="T">
      <formula>NOT(ISERROR(SEARCH("T",BH214)))</formula>
    </cfRule>
  </conditionalFormatting>
  <conditionalFormatting sqref="BH84:BK89">
    <cfRule type="containsText" dxfId="388" priority="1009" operator="containsText" text="17">
      <formula>NOT(ISERROR(SEARCH("17",BH84)))</formula>
    </cfRule>
  </conditionalFormatting>
  <conditionalFormatting sqref="BH152:BN158">
    <cfRule type="containsText" dxfId="387" priority="262" operator="containsText" text="17">
      <formula>NOT(ISERROR(SEARCH("17",BH152)))</formula>
    </cfRule>
    <cfRule type="containsText" dxfId="386" priority="263" operator="containsText" text="T">
      <formula>NOT(ISERROR(SEARCH("T",BH152)))</formula>
    </cfRule>
  </conditionalFormatting>
  <conditionalFormatting sqref="BH41:BR41">
    <cfRule type="containsText" dxfId="385" priority="86" operator="containsText" text="17">
      <formula>NOT(ISERROR(SEARCH("17",BH41)))</formula>
    </cfRule>
    <cfRule type="containsText" dxfId="384" priority="87" operator="containsText" text="T">
      <formula>NOT(ISERROR(SEARCH("T",BH41)))</formula>
    </cfRule>
  </conditionalFormatting>
  <conditionalFormatting sqref="BH42:CB47 BH41:BP41">
    <cfRule type="containsText" dxfId="383" priority="93" operator="containsText" text="17">
      <formula>NOT(ISERROR(SEARCH("17",BH41)))</formula>
    </cfRule>
  </conditionalFormatting>
  <conditionalFormatting sqref="BI28:BI32">
    <cfRule type="containsText" dxfId="382" priority="79" operator="containsText" text="T">
      <formula>NOT(ISERROR(SEARCH("T",BI28)))</formula>
    </cfRule>
  </conditionalFormatting>
  <conditionalFormatting sqref="BI48:BI49">
    <cfRule type="containsText" dxfId="381" priority="74" operator="containsText" text="T">
      <formula>NOT(ISERROR(SEARCH("T",BI48)))</formula>
    </cfRule>
  </conditionalFormatting>
  <conditionalFormatting sqref="BI69:BI71 BM69:BO71">
    <cfRule type="containsText" dxfId="380" priority="336" operator="containsText" text="T">
      <formula>NOT(ISERROR(SEARCH("T",BI69)))</formula>
    </cfRule>
  </conditionalFormatting>
  <conditionalFormatting sqref="BI72:BI75">
    <cfRule type="containsText" dxfId="379" priority="418" operator="containsText" text="T">
      <formula>NOT(ISERROR(SEARCH("T",BI72)))</formula>
    </cfRule>
  </conditionalFormatting>
  <conditionalFormatting sqref="BI103:BI104 BM103:BO104">
    <cfRule type="containsText" dxfId="378" priority="366" operator="containsText" text="T">
      <formula>NOT(ISERROR(SEARCH("T",BI103)))</formula>
    </cfRule>
  </conditionalFormatting>
  <conditionalFormatting sqref="BI106">
    <cfRule type="containsText" dxfId="377" priority="408" operator="containsText" text="T">
      <formula>NOT(ISERROR(SEARCH("T",BI106)))</formula>
    </cfRule>
  </conditionalFormatting>
  <conditionalFormatting sqref="BI120">
    <cfRule type="containsText" dxfId="376" priority="388" operator="containsText" text="T">
      <formula>NOT(ISERROR(SEARCH("T",BI120)))</formula>
    </cfRule>
  </conditionalFormatting>
  <conditionalFormatting sqref="BI121 BM121:BO121">
    <cfRule type="containsText" dxfId="375" priority="356" operator="containsText" text="T">
      <formula>NOT(ISERROR(SEARCH("T",BI121)))</formula>
    </cfRule>
  </conditionalFormatting>
  <conditionalFormatting sqref="BI122">
    <cfRule type="containsText" dxfId="374" priority="378" operator="containsText" text="T">
      <formula>NOT(ISERROR(SEARCH("T",BI122)))</formula>
    </cfRule>
  </conditionalFormatting>
  <conditionalFormatting sqref="BI123 BM123:BO123">
    <cfRule type="containsText" dxfId="373" priority="346" operator="containsText" text="T">
      <formula>NOT(ISERROR(SEARCH("T",BI123)))</formula>
    </cfRule>
  </conditionalFormatting>
  <conditionalFormatting sqref="BI124:BI126">
    <cfRule type="containsText" dxfId="372" priority="398" operator="containsText" text="T">
      <formula>NOT(ISERROR(SEARCH("T",BI124)))</formula>
    </cfRule>
  </conditionalFormatting>
  <conditionalFormatting sqref="BI152:BI158">
    <cfRule type="containsText" dxfId="371" priority="259" operator="containsText" text="17">
      <formula>NOT(ISERROR(SEARCH("17",BI152)))</formula>
    </cfRule>
    <cfRule type="containsText" dxfId="370" priority="260" operator="containsText" text="T">
      <formula>NOT(ISERROR(SEARCH("T",BI152)))</formula>
    </cfRule>
  </conditionalFormatting>
  <conditionalFormatting sqref="BI69:BJ71 BM69:BO71">
    <cfRule type="containsText" dxfId="369" priority="337" operator="containsText" text="17">
      <formula>NOT(ISERROR(SEARCH("17",BI69)))</formula>
    </cfRule>
  </conditionalFormatting>
  <conditionalFormatting sqref="BI103:BJ104 BM103:BO104">
    <cfRule type="containsText" dxfId="368" priority="367" operator="containsText" text="17">
      <formula>NOT(ISERROR(SEARCH("17",BI103)))</formula>
    </cfRule>
  </conditionalFormatting>
  <conditionalFormatting sqref="BI121:BJ121 BM121:BO121">
    <cfRule type="containsText" dxfId="367" priority="357" operator="containsText" text="17">
      <formula>NOT(ISERROR(SEARCH("17",BI121)))</formula>
    </cfRule>
  </conditionalFormatting>
  <conditionalFormatting sqref="BI123:BJ123 BM123:BO123">
    <cfRule type="containsText" dxfId="366" priority="347" operator="containsText" text="17">
      <formula>NOT(ISERROR(SEARCH("17",BI123)))</formula>
    </cfRule>
  </conditionalFormatting>
  <conditionalFormatting sqref="BI214:BJ216">
    <cfRule type="containsText" dxfId="365" priority="5862" operator="containsText" text="17">
      <formula>NOT(ISERROR(SEARCH("17",BI214)))</formula>
    </cfRule>
    <cfRule type="containsText" dxfId="364" priority="5863" operator="containsText" text="T">
      <formula>NOT(ISERROR(SEARCH("T",BI214)))</formula>
    </cfRule>
  </conditionalFormatting>
  <conditionalFormatting sqref="BI218:BL220 BL221:BM223 BM224:BM227 BM228:BN230">
    <cfRule type="containsText" dxfId="363" priority="5627" operator="containsText" text="T">
      <formula>NOT(ISERROR(SEARCH("T",BI218)))</formula>
    </cfRule>
  </conditionalFormatting>
  <conditionalFormatting sqref="BI159:BO165">
    <cfRule type="containsText" dxfId="362" priority="252" operator="containsText" text="17">
      <formula>NOT(ISERROR(SEARCH("17",BI159)))</formula>
    </cfRule>
    <cfRule type="containsText" dxfId="361" priority="253" operator="containsText" text="T">
      <formula>NOT(ISERROR(SEARCH("T",BI159)))</formula>
    </cfRule>
  </conditionalFormatting>
  <conditionalFormatting sqref="BI28:CC32 CF28:CF32">
    <cfRule type="containsText" dxfId="360" priority="76" operator="containsText" text="T">
      <formula>NOT(ISERROR(SEARCH("T",BI28)))</formula>
    </cfRule>
  </conditionalFormatting>
  <conditionalFormatting sqref="BI28:CC32">
    <cfRule type="containsText" dxfId="359" priority="78" operator="containsText" text="17">
      <formula>NOT(ISERROR(SEARCH("17",BI28)))</formula>
    </cfRule>
  </conditionalFormatting>
  <conditionalFormatting sqref="BI48:CC49 CF48:CF49">
    <cfRule type="containsText" dxfId="358" priority="71" operator="containsText" text="T">
      <formula>NOT(ISERROR(SEARCH("T",BI48)))</formula>
    </cfRule>
  </conditionalFormatting>
  <conditionalFormatting sqref="BI48:CC49">
    <cfRule type="containsText" dxfId="357" priority="73" operator="containsText" text="17">
      <formula>NOT(ISERROR(SEARCH("17",BI48)))</formula>
    </cfRule>
  </conditionalFormatting>
  <conditionalFormatting sqref="BJ60:BJ68">
    <cfRule type="containsText" dxfId="356" priority="69" operator="containsText" text="T">
      <formula>NOT(ISERROR(SEARCH("T",BJ60)))</formula>
    </cfRule>
  </conditionalFormatting>
  <conditionalFormatting sqref="BJ69:BJ71">
    <cfRule type="containsText" dxfId="355" priority="338" operator="containsText" text="T">
      <formula>NOT(ISERROR(SEARCH("T",BJ69)))</formula>
    </cfRule>
  </conditionalFormatting>
  <conditionalFormatting sqref="BJ99:BJ102 BN99:BP102">
    <cfRule type="containsText" dxfId="354" priority="326" operator="containsText" text="T">
      <formula>NOT(ISERROR(SEARCH("T",BJ99)))</formula>
    </cfRule>
  </conditionalFormatting>
  <conditionalFormatting sqref="BJ103:BJ104">
    <cfRule type="containsText" dxfId="353" priority="368" operator="containsText" text="T">
      <formula>NOT(ISERROR(SEARCH("T",BJ103)))</formula>
    </cfRule>
  </conditionalFormatting>
  <conditionalFormatting sqref="BJ105 BN105:BP105">
    <cfRule type="containsText" dxfId="352" priority="316" operator="containsText" text="T">
      <formula>NOT(ISERROR(SEARCH("T",BJ105)))</formula>
    </cfRule>
  </conditionalFormatting>
  <conditionalFormatting sqref="BJ121">
    <cfRule type="containsText" dxfId="351" priority="358" operator="containsText" text="T">
      <formula>NOT(ISERROR(SEARCH("T",BJ121)))</formula>
    </cfRule>
  </conditionalFormatting>
  <conditionalFormatting sqref="BJ123">
    <cfRule type="containsText" dxfId="350" priority="348" operator="containsText" text="T">
      <formula>NOT(ISERROR(SEARCH("T",BJ123)))</formula>
    </cfRule>
  </conditionalFormatting>
  <conditionalFormatting sqref="BJ159:BJ165">
    <cfRule type="containsText" dxfId="349" priority="249" operator="containsText" text="17">
      <formula>NOT(ISERROR(SEARCH("17",BJ159)))</formula>
    </cfRule>
    <cfRule type="containsText" dxfId="348" priority="250" operator="containsText" text="T">
      <formula>NOT(ISERROR(SEARCH("T",BJ159)))</formula>
    </cfRule>
  </conditionalFormatting>
  <conditionalFormatting sqref="BJ199 BI206">
    <cfRule type="containsText" dxfId="347" priority="5048" operator="containsText" text="17">
      <formula>NOT(ISERROR(SEARCH("17",BI199)))</formula>
    </cfRule>
    <cfRule type="containsText" dxfId="346" priority="5049" operator="containsText" text="T">
      <formula>NOT(ISERROR(SEARCH("T",BI199)))</formula>
    </cfRule>
  </conditionalFormatting>
  <conditionalFormatting sqref="BJ99:BK102 BN99:BP102">
    <cfRule type="containsText" dxfId="345" priority="327" operator="containsText" text="17">
      <formula>NOT(ISERROR(SEARCH("17",BJ99)))</formula>
    </cfRule>
  </conditionalFormatting>
  <conditionalFormatting sqref="BJ105:BK105 BN105:CJ105">
    <cfRule type="containsText" dxfId="344" priority="317" operator="containsText" text="17">
      <formula>NOT(ISERROR(SEARCH("17",BJ105)))</formula>
    </cfRule>
  </conditionalFormatting>
  <conditionalFormatting sqref="BJ228:BN231 BK232:BN234">
    <cfRule type="containsText" dxfId="343" priority="5687" operator="containsText" text="T">
      <formula>NOT(ISERROR(SEARCH("T",BJ228)))</formula>
    </cfRule>
    <cfRule type="containsText" dxfId="342" priority="5690" operator="containsText" text="17">
      <formula>NOT(ISERROR(SEARCH("17",BJ228)))</formula>
    </cfRule>
    <cfRule type="containsText" dxfId="341" priority="5691" operator="containsText" text="T">
      <formula>NOT(ISERROR(SEARCH("T",BJ228)))</formula>
    </cfRule>
  </conditionalFormatting>
  <conditionalFormatting sqref="BJ228:BN231">
    <cfRule type="containsText" dxfId="340" priority="5686" operator="containsText" text="17">
      <formula>NOT(ISERROR(SEARCH("17",BJ228)))</formula>
    </cfRule>
  </conditionalFormatting>
  <conditionalFormatting sqref="BJ207:BP213">
    <cfRule type="containsText" dxfId="339" priority="242" operator="containsText" text="17">
      <formula>NOT(ISERROR(SEARCH("17",BJ207)))</formula>
    </cfRule>
  </conditionalFormatting>
  <conditionalFormatting sqref="BJ60:CD66 CG60:CG66">
    <cfRule type="containsText" dxfId="338" priority="66" operator="containsText" text="T">
      <formula>NOT(ISERROR(SEARCH("T",BJ60)))</formula>
    </cfRule>
  </conditionalFormatting>
  <conditionalFormatting sqref="BJ60:CD66">
    <cfRule type="containsText" dxfId="337" priority="68" operator="containsText" text="17">
      <formula>NOT(ISERROR(SEARCH("17",BJ60)))</formula>
    </cfRule>
  </conditionalFormatting>
  <conditionalFormatting sqref="BK67:BK68">
    <cfRule type="containsText" dxfId="336" priority="308" operator="containsText" text="T">
      <formula>NOT(ISERROR(SEARCH("T",BK67)))</formula>
    </cfRule>
  </conditionalFormatting>
  <conditionalFormatting sqref="BK85:BK89">
    <cfRule type="containsText" dxfId="335" priority="1010" operator="containsText" text="17">
      <formula>NOT(ISERROR(SEARCH("17",BK85)))</formula>
    </cfRule>
  </conditionalFormatting>
  <conditionalFormatting sqref="BK90:BK98">
    <cfRule type="containsText" dxfId="334" priority="64" operator="containsText" text="T">
      <formula>NOT(ISERROR(SEARCH("T",BK90)))</formula>
    </cfRule>
  </conditionalFormatting>
  <conditionalFormatting sqref="BK99:BK102">
    <cfRule type="containsText" dxfId="333" priority="328" operator="containsText" text="T">
      <formula>NOT(ISERROR(SEARCH("T",BK99)))</formula>
    </cfRule>
  </conditionalFormatting>
  <conditionalFormatting sqref="BK105">
    <cfRule type="containsText" dxfId="332" priority="318" operator="containsText" text="T">
      <formula>NOT(ISERROR(SEARCH("T",BK105)))</formula>
    </cfRule>
  </conditionalFormatting>
  <conditionalFormatting sqref="BK131:BK137 BO131:BQ137">
    <cfRule type="containsText" dxfId="331" priority="286" operator="containsText" text="T">
      <formula>NOT(ISERROR(SEARCH("T",BK131)))</formula>
    </cfRule>
  </conditionalFormatting>
  <conditionalFormatting sqref="BK199 BJ206">
    <cfRule type="containsText" dxfId="330" priority="5064" operator="containsText" text="17">
      <formula>NOT(ISERROR(SEARCH("17",BJ199)))</formula>
    </cfRule>
    <cfRule type="containsText" dxfId="329" priority="5065" operator="containsText" text="T">
      <formula>NOT(ISERROR(SEARCH("T",BJ199)))</formula>
    </cfRule>
  </conditionalFormatting>
  <conditionalFormatting sqref="BK207:BK213">
    <cfRule type="containsText" dxfId="328" priority="239" operator="containsText" text="17">
      <formula>NOT(ISERROR(SEARCH("17",BK207)))</formula>
    </cfRule>
    <cfRule type="containsText" dxfId="327" priority="240" operator="containsText" text="T">
      <formula>NOT(ISERROR(SEARCH("T",BK207)))</formula>
    </cfRule>
  </conditionalFormatting>
  <conditionalFormatting sqref="BK217:BK223 BL224:BL230">
    <cfRule type="containsText" dxfId="326" priority="5614" operator="containsText" text="17">
      <formula>NOT(ISERROR(SEARCH("17",BK217)))</formula>
    </cfRule>
    <cfRule type="containsText" dxfId="325" priority="5615" operator="containsText" text="T">
      <formula>NOT(ISERROR(SEARCH("T",BK217)))</formula>
    </cfRule>
  </conditionalFormatting>
  <conditionalFormatting sqref="BK131:BL137 BO131:BQ137">
    <cfRule type="containsText" dxfId="324" priority="287" operator="containsText" text="17">
      <formula>NOT(ISERROR(SEARCH("17",BK131)))</formula>
    </cfRule>
  </conditionalFormatting>
  <conditionalFormatting sqref="BK217:BL217">
    <cfRule type="containsText" dxfId="323" priority="5312" operator="containsText" text="17">
      <formula>NOT(ISERROR(SEARCH("17",BK217)))</formula>
    </cfRule>
    <cfRule type="containsText" dxfId="322" priority="5313" operator="containsText" text="T">
      <formula>NOT(ISERROR(SEARCH("T",BK217)))</formula>
    </cfRule>
  </conditionalFormatting>
  <conditionalFormatting sqref="BK218:BL220 BK221:BM223">
    <cfRule type="containsText" dxfId="321" priority="5620" operator="containsText" text="17">
      <formula>NOT(ISERROR(SEARCH("17",BK218)))</formula>
    </cfRule>
    <cfRule type="containsText" dxfId="320" priority="5621" operator="containsText" text="T">
      <formula>NOT(ISERROR(SEARCH("T",BK218)))</formula>
    </cfRule>
  </conditionalFormatting>
  <conditionalFormatting sqref="BK200:BQ206">
    <cfRule type="containsText" dxfId="319" priority="229" operator="containsText" text="17">
      <formula>NOT(ISERROR(SEARCH("17",BK200)))</formula>
    </cfRule>
    <cfRule type="containsText" dxfId="318" priority="230" operator="containsText" text="T">
      <formula>NOT(ISERROR(SEARCH("T",BK200)))</formula>
    </cfRule>
  </conditionalFormatting>
  <conditionalFormatting sqref="BK90:CE96 CH90:CH96">
    <cfRule type="containsText" dxfId="317" priority="61" operator="containsText" text="T">
      <formula>NOT(ISERROR(SEARCH("T",BK90)))</formula>
    </cfRule>
  </conditionalFormatting>
  <conditionalFormatting sqref="BK90:CE96">
    <cfRule type="containsText" dxfId="316" priority="63" operator="containsText" text="17">
      <formula>NOT(ISERROR(SEARCH("17",BK90)))</formula>
    </cfRule>
  </conditionalFormatting>
  <conditionalFormatting sqref="BL79">
    <cfRule type="containsText" dxfId="315" priority="3868" operator="containsText" text="17">
      <formula>NOT(ISERROR(SEARCH("17",BL79)))</formula>
    </cfRule>
    <cfRule type="containsText" dxfId="314" priority="3869" operator="containsText" text="T">
      <formula>NOT(ISERROR(SEARCH("T",BL79)))</formula>
    </cfRule>
  </conditionalFormatting>
  <conditionalFormatting sqref="BL83:BL89">
    <cfRule type="containsText" dxfId="313" priority="59" operator="containsText" text="T">
      <formula>NOT(ISERROR(SEARCH("T",BL83)))</formula>
    </cfRule>
  </conditionalFormatting>
  <conditionalFormatting sqref="BL97:BL98">
    <cfRule type="containsText" dxfId="312" priority="298" operator="containsText" text="T">
      <formula>NOT(ISERROR(SEARCH("T",BL97)))</formula>
    </cfRule>
  </conditionalFormatting>
  <conditionalFormatting sqref="BL131:BL137">
    <cfRule type="containsText" dxfId="311" priority="288" operator="containsText" text="T">
      <formula>NOT(ISERROR(SEARCH("T",BL131)))</formula>
    </cfRule>
  </conditionalFormatting>
  <conditionalFormatting sqref="BL138:BL144 BP138:BR144">
    <cfRule type="containsText" dxfId="310" priority="276" operator="containsText" text="T">
      <formula>NOT(ISERROR(SEARCH("T",BL138)))</formula>
    </cfRule>
  </conditionalFormatting>
  <conditionalFormatting sqref="BL200:BL206">
    <cfRule type="containsText" dxfId="309" priority="227" operator="containsText" text="17">
      <formula>NOT(ISERROR(SEARCH("17",BL200)))</formula>
    </cfRule>
    <cfRule type="containsText" dxfId="308" priority="228" operator="containsText" text="T">
      <formula>NOT(ISERROR(SEARCH("T",BL200)))</formula>
    </cfRule>
  </conditionalFormatting>
  <conditionalFormatting sqref="BL217">
    <cfRule type="containsText" dxfId="307" priority="5314" operator="containsText" text="17">
      <formula>NOT(ISERROR(SEARCH("17",BL217)))</formula>
    </cfRule>
    <cfRule type="containsText" dxfId="306" priority="5315" operator="containsText" text="T">
      <formula>NOT(ISERROR(SEARCH("T",BL217)))</formula>
    </cfRule>
  </conditionalFormatting>
  <conditionalFormatting sqref="BL218:BL220 BL221:BM223 BM224:BM227 BM228:BN230">
    <cfRule type="containsText" dxfId="305" priority="5626" operator="containsText" text="17">
      <formula>NOT(ISERROR(SEARCH("17",BL218)))</formula>
    </cfRule>
  </conditionalFormatting>
  <conditionalFormatting sqref="BL138:BM144 BP138:BR144">
    <cfRule type="containsText" dxfId="304" priority="277" operator="containsText" text="17">
      <formula>NOT(ISERROR(SEARCH("17",BL138)))</formula>
    </cfRule>
  </conditionalFormatting>
  <conditionalFormatting sqref="BL199:BM199 BK206:BL206">
    <cfRule type="containsText" dxfId="303" priority="2139" operator="containsText" text="17">
      <formula>NOT(ISERROR(SEARCH("17",BK199)))</formula>
    </cfRule>
    <cfRule type="containsText" dxfId="302" priority="2140" operator="containsText" text="T">
      <formula>NOT(ISERROR(SEARCH("T",BK199)))</formula>
    </cfRule>
  </conditionalFormatting>
  <conditionalFormatting sqref="BL224:BM227 BL228:BN230">
    <cfRule type="containsText" dxfId="301" priority="5618" operator="containsText" text="17">
      <formula>NOT(ISERROR(SEARCH("17",BL224)))</formula>
    </cfRule>
    <cfRule type="containsText" dxfId="300" priority="5619" operator="containsText" text="T">
      <formula>NOT(ISERROR(SEARCH("T",BL224)))</formula>
    </cfRule>
  </conditionalFormatting>
  <conditionalFormatting sqref="BL192:BR199">
    <cfRule type="containsText" dxfId="299" priority="212" operator="containsText" text="17">
      <formula>NOT(ISERROR(SEARCH("17",BL192)))</formula>
    </cfRule>
  </conditionalFormatting>
  <conditionalFormatting sqref="BL83:CF89 CI83:CI89">
    <cfRule type="containsText" dxfId="298" priority="56" operator="containsText" text="T">
      <formula>NOT(ISERROR(SEARCH("T",BL83)))</formula>
    </cfRule>
  </conditionalFormatting>
  <conditionalFormatting sqref="BL83:CF89">
    <cfRule type="containsText" dxfId="297" priority="58" operator="containsText" text="17">
      <formula>NOT(ISERROR(SEARCH("17",BL83)))</formula>
    </cfRule>
  </conditionalFormatting>
  <conditionalFormatting sqref="BM138:BM144">
    <cfRule type="containsText" dxfId="296" priority="278" operator="containsText" text="T">
      <formula>NOT(ISERROR(SEARCH("T",BM138)))</formula>
    </cfRule>
  </conditionalFormatting>
  <conditionalFormatting sqref="BM145:BM151 BQ145:BS151">
    <cfRule type="containsText" dxfId="295" priority="266" operator="containsText" text="T">
      <formula>NOT(ISERROR(SEARCH("T",BM145)))</formula>
    </cfRule>
  </conditionalFormatting>
  <conditionalFormatting sqref="BM192:BM199">
    <cfRule type="containsText" dxfId="294" priority="210" operator="containsText" text="17">
      <formula>NOT(ISERROR(SEARCH("17",BM192)))</formula>
    </cfRule>
    <cfRule type="containsText" dxfId="293" priority="211" operator="containsText" text="T">
      <formula>NOT(ISERROR(SEARCH("T",BM192)))</formula>
    </cfRule>
  </conditionalFormatting>
  <conditionalFormatting sqref="BM214:BM220">
    <cfRule type="containsText" dxfId="292" priority="54" operator="containsText" text="T">
      <formula>NOT(ISERROR(SEARCH("T",BM214)))</formula>
    </cfRule>
  </conditionalFormatting>
  <conditionalFormatting sqref="BM145:BN151 BQ145:BS151">
    <cfRule type="containsText" dxfId="291" priority="267" operator="containsText" text="17">
      <formula>NOT(ISERROR(SEARCH("17",BM145)))</formula>
    </cfRule>
  </conditionalFormatting>
  <conditionalFormatting sqref="BM168:BS174">
    <cfRule type="containsText" dxfId="290" priority="188" operator="containsText" text="17">
      <formula>NOT(ISERROR(SEARCH("17",BM168)))</formula>
    </cfRule>
    <cfRule type="containsText" dxfId="289" priority="189" operator="containsText" text="T">
      <formula>NOT(ISERROR(SEARCH("T",BM168)))</formula>
    </cfRule>
  </conditionalFormatting>
  <conditionalFormatting sqref="BM214:CG220 CJ214:CJ220">
    <cfRule type="containsText" dxfId="288" priority="51" operator="containsText" text="T">
      <formula>NOT(ISERROR(SEARCH("T",BM214)))</formula>
    </cfRule>
  </conditionalFormatting>
  <conditionalFormatting sqref="BM214:CG220">
    <cfRule type="containsText" dxfId="287" priority="53" operator="containsText" text="17">
      <formula>NOT(ISERROR(SEARCH("17",BM214)))</formula>
    </cfRule>
  </conditionalFormatting>
  <conditionalFormatting sqref="BM79:CJ82 CJ83:CJ84">
    <cfRule type="containsText" dxfId="286" priority="1015" operator="containsText" text="17">
      <formula>NOT(ISERROR(SEARCH("17",BM79)))</formula>
    </cfRule>
  </conditionalFormatting>
  <conditionalFormatting sqref="BN145:BN151">
    <cfRule type="containsText" dxfId="285" priority="268" operator="containsText" text="T">
      <formula>NOT(ISERROR(SEARCH("T",BN145)))</formula>
    </cfRule>
  </conditionalFormatting>
  <conditionalFormatting sqref="BN152:BN158 BR152:BT158">
    <cfRule type="containsText" dxfId="284" priority="256" operator="containsText" text="T">
      <formula>NOT(ISERROR(SEARCH("T",BN152)))</formula>
    </cfRule>
  </conditionalFormatting>
  <conditionalFormatting sqref="BN168:BN174">
    <cfRule type="containsText" dxfId="283" priority="186" operator="containsText" text="17">
      <formula>NOT(ISERROR(SEARCH("17",BN168)))</formula>
    </cfRule>
    <cfRule type="containsText" dxfId="282" priority="187" operator="containsText" text="T">
      <formula>NOT(ISERROR(SEARCH("T",BN168)))</formula>
    </cfRule>
  </conditionalFormatting>
  <conditionalFormatting sqref="BN221:BN227">
    <cfRule type="containsText" dxfId="281" priority="49" operator="containsText" text="T">
      <formula>NOT(ISERROR(SEARCH("T",BN221)))</formula>
    </cfRule>
  </conditionalFormatting>
  <conditionalFormatting sqref="BN152:BO158 BR152:BT158">
    <cfRule type="containsText" dxfId="280" priority="257" operator="containsText" text="17">
      <formula>NOT(ISERROR(SEARCH("17",BN152)))</formula>
    </cfRule>
  </conditionalFormatting>
  <conditionalFormatting sqref="BN67:BP68 BJ67:BK68">
    <cfRule type="containsText" dxfId="279" priority="307" operator="containsText" text="17">
      <formula>NOT(ISERROR(SEARCH("17",BJ67)))</formula>
    </cfRule>
  </conditionalFormatting>
  <conditionalFormatting sqref="BN67:BP68">
    <cfRule type="containsText" dxfId="278" priority="306" operator="containsText" text="T">
      <formula>NOT(ISERROR(SEARCH("T",BN67)))</formula>
    </cfRule>
  </conditionalFormatting>
  <conditionalFormatting sqref="BN175:BT181">
    <cfRule type="containsText" dxfId="277" priority="164" operator="containsText" text="17">
      <formula>NOT(ISERROR(SEARCH("17",BN175)))</formula>
    </cfRule>
    <cfRule type="containsText" dxfId="276" priority="165" operator="containsText" text="T">
      <formula>NOT(ISERROR(SEARCH("T",BN175)))</formula>
    </cfRule>
  </conditionalFormatting>
  <conditionalFormatting sqref="BN192:BW199 BM193:BN213 BP193:BU213 BN200:BO206 BQ200:BV206">
    <cfRule type="containsText" dxfId="275" priority="918" operator="containsText" text="T">
      <formula>NOT(ISERROR(SEARCH("T",BM192)))</formula>
    </cfRule>
  </conditionalFormatting>
  <conditionalFormatting sqref="BN221:CH227 CK221:CK227">
    <cfRule type="containsText" dxfId="274" priority="46" operator="containsText" text="T">
      <formula>NOT(ISERROR(SEARCH("T",BN221)))</formula>
    </cfRule>
  </conditionalFormatting>
  <conditionalFormatting sqref="BN221:CH227">
    <cfRule type="containsText" dxfId="273" priority="48" operator="containsText" text="17">
      <formula>NOT(ISERROR(SEARCH("17",BN221)))</formula>
    </cfRule>
  </conditionalFormatting>
  <conditionalFormatting sqref="BN107:CJ109">
    <cfRule type="containsText" dxfId="272" priority="993" operator="containsText" text="17">
      <formula>NOT(ISERROR(SEARCH("17",BN107)))</formula>
    </cfRule>
  </conditionalFormatting>
  <conditionalFormatting sqref="BN111:CJ112 BM113:BP115">
    <cfRule type="containsText" dxfId="271" priority="987" operator="containsText" text="17">
      <formula>NOT(ISERROR(SEARCH("17",BM111)))</formula>
    </cfRule>
  </conditionalFormatting>
  <conditionalFormatting sqref="BO152:BO158">
    <cfRule type="containsText" dxfId="270" priority="258" operator="containsText" text="T">
      <formula>NOT(ISERROR(SEARCH("T",BO152)))</formula>
    </cfRule>
  </conditionalFormatting>
  <conditionalFormatting sqref="BO159:BO165 BS159:BU165">
    <cfRule type="containsText" dxfId="269" priority="246" operator="containsText" text="T">
      <formula>NOT(ISERROR(SEARCH("T",BO159)))</formula>
    </cfRule>
  </conditionalFormatting>
  <conditionalFormatting sqref="BO175:BO181">
    <cfRule type="containsText" dxfId="268" priority="162" operator="containsText" text="17">
      <formula>NOT(ISERROR(SEARCH("17",BO175)))</formula>
    </cfRule>
    <cfRule type="containsText" dxfId="267" priority="163" operator="containsText" text="T">
      <formula>NOT(ISERROR(SEARCH("T",BO175)))</formula>
    </cfRule>
  </conditionalFormatting>
  <conditionalFormatting sqref="BO228:BO234">
    <cfRule type="containsText" dxfId="266" priority="44" operator="containsText" text="T">
      <formula>NOT(ISERROR(SEARCH("T",BO228)))</formula>
    </cfRule>
  </conditionalFormatting>
  <conditionalFormatting sqref="BO118:BP119">
    <cfRule type="containsText" dxfId="265" priority="982" operator="containsText" text="17">
      <formula>NOT(ISERROR(SEARCH("17",BO118)))</formula>
    </cfRule>
  </conditionalFormatting>
  <conditionalFormatting sqref="BO159:BP165 BS159:BU165">
    <cfRule type="containsText" dxfId="264" priority="247" operator="containsText" text="17">
      <formula>NOT(ISERROR(SEARCH("17",BO159)))</formula>
    </cfRule>
  </conditionalFormatting>
  <conditionalFormatting sqref="BO182:BU188">
    <cfRule type="containsText" dxfId="263" priority="140" operator="containsText" text="17">
      <formula>NOT(ISERROR(SEARCH("17",BO182)))</formula>
    </cfRule>
    <cfRule type="containsText" dxfId="262" priority="141" operator="containsText" text="T">
      <formula>NOT(ISERROR(SEARCH("T",BO182)))</formula>
    </cfRule>
  </conditionalFormatting>
  <conditionalFormatting sqref="BO228:CI234 CL228:CL234">
    <cfRule type="containsText" dxfId="261" priority="41" operator="containsText" text="T">
      <formula>NOT(ISERROR(SEARCH("T",BO228)))</formula>
    </cfRule>
  </conditionalFormatting>
  <conditionalFormatting sqref="BO228:CI234">
    <cfRule type="containsText" dxfId="260" priority="43" operator="containsText" text="17">
      <formula>NOT(ISERROR(SEARCH("17",BO228)))</formula>
    </cfRule>
  </conditionalFormatting>
  <conditionalFormatting sqref="BO73:CK75 BN76:CK77 CK78">
    <cfRule type="containsText" dxfId="259" priority="1021" operator="containsText" text="17">
      <formula>NOT(ISERROR(SEARCH("17",BN73)))</formula>
    </cfRule>
  </conditionalFormatting>
  <conditionalFormatting sqref="BO97:CP98 BK97:BL98">
    <cfRule type="containsText" dxfId="258" priority="297" operator="containsText" text="17">
      <formula>NOT(ISERROR(SEARCH("17",BK97)))</formula>
    </cfRule>
  </conditionalFormatting>
  <conditionalFormatting sqref="BO97:CP98">
    <cfRule type="containsText" dxfId="257" priority="296" operator="containsText" text="T">
      <formula>NOT(ISERROR(SEARCH("T",BO97)))</formula>
    </cfRule>
  </conditionalFormatting>
  <conditionalFormatting sqref="BP159:BP165">
    <cfRule type="containsText" dxfId="256" priority="248" operator="containsText" text="T">
      <formula>NOT(ISERROR(SEARCH("T",BP159)))</formula>
    </cfRule>
  </conditionalFormatting>
  <conditionalFormatting sqref="BP182:BP188">
    <cfRule type="containsText" dxfId="255" priority="138" operator="containsText" text="17">
      <formula>NOT(ISERROR(SEARCH("17",BP182)))</formula>
    </cfRule>
    <cfRule type="containsText" dxfId="254" priority="139" operator="containsText" text="T">
      <formula>NOT(ISERROR(SEARCH("T",BP182)))</formula>
    </cfRule>
  </conditionalFormatting>
  <conditionalFormatting sqref="BP192:BP199 BO193:BO213 BP194:BT194 BM195:BS195 BO196:BT198">
    <cfRule type="containsText" dxfId="253" priority="920" operator="containsText" text="T">
      <formula>NOT(ISERROR(SEARCH("T",BM192)))</formula>
    </cfRule>
  </conditionalFormatting>
  <conditionalFormatting sqref="BP200:BP213">
    <cfRule type="containsText" dxfId="252" priority="233" operator="containsText" text="T">
      <formula>NOT(ISERROR(SEARCH("T",BP200)))</formula>
    </cfRule>
  </conditionalFormatting>
  <conditionalFormatting sqref="BP207:BQ213">
    <cfRule type="containsText" dxfId="251" priority="237" operator="containsText" text="17">
      <formula>NOT(ISERROR(SEARCH("17",BP207)))</formula>
    </cfRule>
  </conditionalFormatting>
  <conditionalFormatting sqref="BP194:BT194 BM195:BS195 BO196:BT198">
    <cfRule type="containsText" dxfId="250" priority="919" operator="containsText" text="17">
      <formula>NOT(ISERROR(SEARCH("17",BM194)))</formula>
    </cfRule>
  </conditionalFormatting>
  <conditionalFormatting sqref="BP14:BV14">
    <cfRule type="containsText" dxfId="249" priority="131" operator="containsText" text="17">
      <formula>NOT(ISERROR(SEARCH("17",BP14)))</formula>
    </cfRule>
    <cfRule type="containsText" dxfId="248" priority="132" operator="containsText" text="T">
      <formula>NOT(ISERROR(SEARCH("T",BP14)))</formula>
    </cfRule>
  </conditionalFormatting>
  <conditionalFormatting sqref="BP189:BV190">
    <cfRule type="containsText" dxfId="247" priority="924" operator="containsText" text="T">
      <formula>NOT(ISERROR(SEARCH("T",BP189)))</formula>
    </cfRule>
  </conditionalFormatting>
  <conditionalFormatting sqref="BP120:BZ126">
    <cfRule type="containsText" dxfId="246" priority="21" operator="containsText" text="17">
      <formula>NOT(ISERROR(SEARCH("17",BP120)))</formula>
    </cfRule>
  </conditionalFormatting>
  <conditionalFormatting sqref="BP80:CB82">
    <cfRule type="containsText" dxfId="245" priority="1016" operator="containsText" text="17">
      <formula>NOT(ISERROR(SEARCH("17",BP80)))</formula>
    </cfRule>
  </conditionalFormatting>
  <conditionalFormatting sqref="BP106:CB109">
    <cfRule type="containsText" dxfId="244" priority="994" operator="containsText" text="17">
      <formula>NOT(ISERROR(SEARCH("17",BP106)))</formula>
    </cfRule>
  </conditionalFormatting>
  <conditionalFormatting sqref="BP112:CB112">
    <cfRule type="containsText" dxfId="243" priority="988" operator="containsText" text="17">
      <formula>NOT(ISERROR(SEARCH("17",BP112)))</formula>
    </cfRule>
  </conditionalFormatting>
  <conditionalFormatting sqref="BP120:CM126">
    <cfRule type="containsText" dxfId="242" priority="30" operator="containsText" text="T">
      <formula>NOT(ISERROR(SEARCH("T",BP120)))</formula>
    </cfRule>
    <cfRule type="containsText" dxfId="241" priority="32" operator="containsText" text="17">
      <formula>NOT(ISERROR(SEARCH("17",BP120)))</formula>
    </cfRule>
  </conditionalFormatting>
  <conditionalFormatting sqref="BP120:CP126">
    <cfRule type="containsText" dxfId="240" priority="33" operator="containsText" text="T">
      <formula>NOT(ISERROR(SEARCH("T",BP120)))</formula>
    </cfRule>
    <cfRule type="containsText" dxfId="239" priority="40" operator="containsText" text="17">
      <formula>NOT(ISERROR(SEARCH("17",BP120)))</formula>
    </cfRule>
  </conditionalFormatting>
  <conditionalFormatting sqref="BQ14">
    <cfRule type="containsText" dxfId="238" priority="127" operator="containsText" text="17">
      <formula>NOT(ISERROR(SEARCH("17",BQ14)))</formula>
    </cfRule>
    <cfRule type="containsText" dxfId="237" priority="128" operator="containsText" text="T">
      <formula>NOT(ISERROR(SEARCH("T",BQ14)))</formula>
    </cfRule>
  </conditionalFormatting>
  <conditionalFormatting sqref="BQ192:BQ206">
    <cfRule type="containsText" dxfId="236" priority="216" operator="containsText" text="T">
      <formula>NOT(ISERROR(SEARCH("T",BQ192)))</formula>
    </cfRule>
  </conditionalFormatting>
  <conditionalFormatting sqref="BQ207:BQ213">
    <cfRule type="containsText" dxfId="235" priority="238" operator="containsText" text="T">
      <formula>NOT(ISERROR(SEARCH("T",BQ207)))</formula>
    </cfRule>
  </conditionalFormatting>
  <conditionalFormatting sqref="BQ200:BR206">
    <cfRule type="containsText" dxfId="234" priority="225" operator="containsText" text="17">
      <formula>NOT(ISERROR(SEARCH("17",BQ200)))</formula>
    </cfRule>
  </conditionalFormatting>
  <conditionalFormatting sqref="BQ34:BW34">
    <cfRule type="containsText" dxfId="233" priority="119" operator="containsText" text="17">
      <formula>NOT(ISERROR(SEARCH("17",BQ34)))</formula>
    </cfRule>
    <cfRule type="containsText" dxfId="232" priority="120" operator="containsText" text="T">
      <formula>NOT(ISERROR(SEARCH("T",BQ34)))</formula>
    </cfRule>
  </conditionalFormatting>
  <conditionalFormatting sqref="BQ113:CA119">
    <cfRule type="containsText" dxfId="231" priority="1" operator="containsText" text="17">
      <formula>NOT(ISERROR(SEARCH("17",BQ113)))</formula>
    </cfRule>
  </conditionalFormatting>
  <conditionalFormatting sqref="BQ100:CB102 BP103:CB103">
    <cfRule type="containsText" dxfId="230" priority="999" operator="containsText" text="17">
      <formula>NOT(ISERROR(SEARCH("17",BP100)))</formula>
    </cfRule>
  </conditionalFormatting>
  <conditionalFormatting sqref="BQ113:CN119">
    <cfRule type="containsText" dxfId="229" priority="10" operator="containsText" text="T">
      <formula>NOT(ISERROR(SEARCH("T",BQ113)))</formula>
    </cfRule>
    <cfRule type="containsText" dxfId="228" priority="12" operator="containsText" text="17">
      <formula>NOT(ISERROR(SEARCH("17",BQ113)))</formula>
    </cfRule>
  </conditionalFormatting>
  <conditionalFormatting sqref="BQ113:CP119">
    <cfRule type="containsText" dxfId="227" priority="13" operator="containsText" text="T">
      <formula>NOT(ISERROR(SEARCH("T",BQ113)))</formula>
    </cfRule>
    <cfRule type="containsText" dxfId="226" priority="20" operator="containsText" text="17">
      <formula>NOT(ISERROR(SEARCH("17",BQ113)))</formula>
    </cfRule>
  </conditionalFormatting>
  <conditionalFormatting sqref="BR34">
    <cfRule type="containsText" dxfId="225" priority="115" operator="containsText" text="17">
      <formula>NOT(ISERROR(SEARCH("17",BR34)))</formula>
    </cfRule>
    <cfRule type="containsText" dxfId="224" priority="116" operator="containsText" text="T">
      <formula>NOT(ISERROR(SEARCH("T",BR34)))</formula>
    </cfRule>
  </conditionalFormatting>
  <conditionalFormatting sqref="BR192:BR199">
    <cfRule type="containsText" dxfId="223" priority="207" operator="containsText" text="T">
      <formula>NOT(ISERROR(SEARCH("T",BR192)))</formula>
    </cfRule>
  </conditionalFormatting>
  <conditionalFormatting sqref="BR200:BR206">
    <cfRule type="containsText" dxfId="222" priority="226" operator="containsText" text="T">
      <formula>NOT(ISERROR(SEARCH("T",BR200)))</formula>
    </cfRule>
  </conditionalFormatting>
  <conditionalFormatting sqref="BR50:BS50 BU50:BY50">
    <cfRule type="containsText" dxfId="221" priority="1034" operator="containsText" text="17">
      <formula>NOT(ISERROR(SEARCH("17",BR50)))</formula>
    </cfRule>
    <cfRule type="containsText" dxfId="220" priority="1035" operator="containsText" text="T">
      <formula>NOT(ISERROR(SEARCH("T",BR50)))</formula>
    </cfRule>
  </conditionalFormatting>
  <conditionalFormatting sqref="BR192:BS199">
    <cfRule type="containsText" dxfId="219" priority="208" operator="containsText" text="17">
      <formula>NOT(ISERROR(SEARCH("17",BR192)))</formula>
    </cfRule>
  </conditionalFormatting>
  <conditionalFormatting sqref="BR21:BX21">
    <cfRule type="containsText" dxfId="218" priority="107" operator="containsText" text="17">
      <formula>NOT(ISERROR(SEARCH("17",BR21)))</formula>
    </cfRule>
    <cfRule type="containsText" dxfId="217" priority="108" operator="containsText" text="T">
      <formula>NOT(ISERROR(SEARCH("T",BR21)))</formula>
    </cfRule>
  </conditionalFormatting>
  <conditionalFormatting sqref="BR68:CD71 BQ74:CC77">
    <cfRule type="containsText" dxfId="216" priority="1022" operator="containsText" text="17">
      <formula>NOT(ISERROR(SEARCH("17",BQ68)))</formula>
    </cfRule>
  </conditionalFormatting>
  <conditionalFormatting sqref="BS21">
    <cfRule type="containsText" dxfId="215" priority="103" operator="containsText" text="17">
      <formula>NOT(ISERROR(SEARCH("17",BS21)))</formula>
    </cfRule>
    <cfRule type="containsText" dxfId="214" priority="104" operator="containsText" text="T">
      <formula>NOT(ISERROR(SEARCH("T",BS21)))</formula>
    </cfRule>
  </conditionalFormatting>
  <conditionalFormatting sqref="BS127 BC199 BB206">
    <cfRule type="containsText" dxfId="213" priority="2146" operator="containsText" text="T">
      <formula>NOT(ISERROR(SEARCH("T",BB127)))</formula>
    </cfRule>
  </conditionalFormatting>
  <conditionalFormatting sqref="BS127 BC199:BR199 BB206:BQ206">
    <cfRule type="containsText" dxfId="212" priority="5051" operator="containsText" text="T">
      <formula>NOT(ISERROR(SEARCH("T",BB127)))</formula>
    </cfRule>
  </conditionalFormatting>
  <conditionalFormatting sqref="BS168:BS181">
    <cfRule type="containsText" dxfId="211" priority="168" operator="containsText" text="T">
      <formula>NOT(ISERROR(SEARCH("T",BS168)))</formula>
    </cfRule>
  </conditionalFormatting>
  <conditionalFormatting sqref="BS192:BS199">
    <cfRule type="containsText" dxfId="210" priority="209" operator="containsText" text="T">
      <formula>NOT(ISERROR(SEARCH("T",BS192)))</formula>
    </cfRule>
  </conditionalFormatting>
  <conditionalFormatting sqref="BS168:BT174">
    <cfRule type="containsText" dxfId="209" priority="184" operator="containsText" text="17">
      <formula>NOT(ISERROR(SEARCH("17",BS168)))</formula>
    </cfRule>
  </conditionalFormatting>
  <conditionalFormatting sqref="BS199:BT199 BR206:BS206">
    <cfRule type="containsText" dxfId="208" priority="2149" operator="containsText" text="17">
      <formula>NOT(ISERROR(SEARCH("17",BR199)))</formula>
    </cfRule>
    <cfRule type="containsText" dxfId="207" priority="2150" operator="containsText" text="T">
      <formula>NOT(ISERROR(SEARCH("T",BR199)))</formula>
    </cfRule>
  </conditionalFormatting>
  <conditionalFormatting sqref="BS41:BY41">
    <cfRule type="containsText" dxfId="206" priority="95" operator="containsText" text="17">
      <formula>NOT(ISERROR(SEARCH("17",BS41)))</formula>
    </cfRule>
    <cfRule type="containsText" dxfId="205" priority="96" operator="containsText" text="T">
      <formula>NOT(ISERROR(SEARCH("T",BS41)))</formula>
    </cfRule>
  </conditionalFormatting>
  <conditionalFormatting sqref="BT41">
    <cfRule type="containsText" dxfId="204" priority="91" operator="containsText" text="17">
      <formula>NOT(ISERROR(SEARCH("17",BT41)))</formula>
    </cfRule>
    <cfRule type="containsText" dxfId="203" priority="92" operator="containsText" text="T">
      <formula>NOT(ISERROR(SEARCH("T",BT41)))</formula>
    </cfRule>
  </conditionalFormatting>
  <conditionalFormatting sqref="BT50:BT52 BZ50:BZ52 BU51:BY52">
    <cfRule type="containsText" dxfId="202" priority="8559" operator="containsText" text="17">
      <formula>NOT(ISERROR(SEARCH("17",BT50)))</formula>
    </cfRule>
    <cfRule type="containsText" dxfId="201" priority="8560" operator="containsText" text="T">
      <formula>NOT(ISERROR(SEARCH("T",BT50)))</formula>
    </cfRule>
  </conditionalFormatting>
  <conditionalFormatting sqref="BT145:BT148">
    <cfRule type="containsText" dxfId="200" priority="1589" operator="containsText" text="17">
      <formula>NOT(ISERROR(SEARCH("17",BT145)))</formula>
    </cfRule>
    <cfRule type="containsText" dxfId="199" priority="1590" operator="containsText" text="T">
      <formula>NOT(ISERROR(SEARCH("T",BT145)))</formula>
    </cfRule>
    <cfRule type="containsText" dxfId="198" priority="8534" operator="containsText" text="T">
      <formula>NOT(ISERROR(SEARCH("T",BT145)))</formula>
    </cfRule>
  </conditionalFormatting>
  <conditionalFormatting sqref="BT168:BT174">
    <cfRule type="containsText" dxfId="197" priority="185" operator="containsText" text="T">
      <formula>NOT(ISERROR(SEARCH("T",BT168)))</formula>
    </cfRule>
  </conditionalFormatting>
  <conditionalFormatting sqref="BT175:BT188">
    <cfRule type="containsText" dxfId="196" priority="144" operator="containsText" text="T">
      <formula>NOT(ISERROR(SEARCH("T",BT175)))</formula>
    </cfRule>
  </conditionalFormatting>
  <conditionalFormatting sqref="BT175:BU181">
    <cfRule type="containsText" dxfId="195" priority="160" operator="containsText" text="17">
      <formula>NOT(ISERROR(SEARCH("17",BT175)))</formula>
    </cfRule>
  </conditionalFormatting>
  <conditionalFormatting sqref="BT139:CQ144">
    <cfRule type="containsText" dxfId="194" priority="965" operator="containsText" text="17">
      <formula>NOT(ISERROR(SEARCH("17",BT139)))</formula>
    </cfRule>
    <cfRule type="containsText" dxfId="193" priority="968" operator="containsText" text="T">
      <formula>NOT(ISERROR(SEARCH("T",BT139)))</formula>
    </cfRule>
  </conditionalFormatting>
  <conditionalFormatting sqref="BU175:BU181">
    <cfRule type="containsText" dxfId="192" priority="161" operator="containsText" text="T">
      <formula>NOT(ISERROR(SEARCH("T",BU175)))</formula>
    </cfRule>
  </conditionalFormatting>
  <conditionalFormatting sqref="BU182:BU188">
    <cfRule type="containsText" dxfId="191" priority="135" operator="containsText" text="T">
      <formula>NOT(ISERROR(SEARCH("T",BU182)))</formula>
    </cfRule>
  </conditionalFormatting>
  <conditionalFormatting sqref="BU200:BU202 AX210:AX211">
    <cfRule type="containsText" dxfId="190" priority="8520" operator="containsText" text="T">
      <formula>NOT(ISERROR(SEARCH("T",AX200)))</formula>
    </cfRule>
  </conditionalFormatting>
  <conditionalFormatting sqref="BU200:BU202 AY190 AX191:BH191 BK191 BO191:BS191">
    <cfRule type="containsText" dxfId="189" priority="8513" operator="containsText" text="17">
      <formula>NOT(ISERROR(SEARCH("17",AX190)))</formula>
    </cfRule>
  </conditionalFormatting>
  <conditionalFormatting sqref="BU182:BV188">
    <cfRule type="containsText" dxfId="188" priority="136" operator="containsText" text="17">
      <formula>NOT(ISERROR(SEARCH("17",BU182)))</formula>
    </cfRule>
  </conditionalFormatting>
  <conditionalFormatting sqref="BU200:BW206">
    <cfRule type="containsText" dxfId="187" priority="231" operator="containsText" text="17">
      <formula>NOT(ISERROR(SEARCH("17",BU200)))</formula>
    </cfRule>
  </conditionalFormatting>
  <conditionalFormatting sqref="BU153:CQ158">
    <cfRule type="containsText" dxfId="186" priority="952" operator="containsText" text="17">
      <formula>NOT(ISERROR(SEARCH("17",BU153)))</formula>
    </cfRule>
    <cfRule type="containsText" dxfId="185" priority="955" operator="containsText" text="T">
      <formula>NOT(ISERROR(SEARCH("T",BU153)))</formula>
    </cfRule>
  </conditionalFormatting>
  <conditionalFormatting sqref="BU146:CR151 BV160:CQ165">
    <cfRule type="containsText" dxfId="184" priority="8367" operator="containsText" text="17">
      <formula>NOT(ISERROR(SEARCH("17",BU146)))</formula>
    </cfRule>
  </conditionalFormatting>
  <conditionalFormatting sqref="BU146:CR151">
    <cfRule type="containsText" dxfId="183" priority="964" operator="containsText" text="T">
      <formula>NOT(ISERROR(SEARCH("T",BU146)))</formula>
    </cfRule>
  </conditionalFormatting>
  <conditionalFormatting sqref="BV14 BZ14:CB14 BE15:BY20 CB15:CB20">
    <cfRule type="containsText" dxfId="182" priority="124" operator="containsText" text="T">
      <formula>NOT(ISERROR(SEARCH("T",BE14)))</formula>
    </cfRule>
  </conditionalFormatting>
  <conditionalFormatting sqref="BV182:BV188">
    <cfRule type="containsText" dxfId="181" priority="137" operator="containsText" text="T">
      <formula>NOT(ISERROR(SEARCH("T",BV182)))</formula>
    </cfRule>
  </conditionalFormatting>
  <conditionalFormatting sqref="BV192:BV199">
    <cfRule type="containsText" dxfId="180" priority="217" operator="containsText" text="17">
      <formula>NOT(ISERROR(SEARCH("17",BV192)))</formula>
    </cfRule>
    <cfRule type="containsText" dxfId="179" priority="218" operator="containsText" text="T">
      <formula>NOT(ISERROR(SEARCH("T",BV192)))</formula>
    </cfRule>
    <cfRule type="containsText" dxfId="178" priority="219" operator="containsText" text="17">
      <formula>NOT(ISERROR(SEARCH("17",BV192)))</formula>
    </cfRule>
    <cfRule type="containsText" dxfId="177" priority="220" operator="containsText" text="T">
      <formula>NOT(ISERROR(SEARCH("T",BV192)))</formula>
    </cfRule>
    <cfRule type="containsText" dxfId="176" priority="221" operator="containsText" text="17">
      <formula>NOT(ISERROR(SEARCH("17",BV192)))</formula>
    </cfRule>
  </conditionalFormatting>
  <conditionalFormatting sqref="BV199 BU206">
    <cfRule type="containsText" dxfId="175" priority="2147" operator="containsText" text="17">
      <formula>NOT(ISERROR(SEARCH("17",BU199)))</formula>
    </cfRule>
    <cfRule type="containsText" dxfId="174" priority="2148" operator="containsText" text="T">
      <formula>NOT(ISERROR(SEARCH("T",BU199)))</formula>
    </cfRule>
  </conditionalFormatting>
  <conditionalFormatting sqref="BV14:BW14 BZ14:CB14 CB15:CB20">
    <cfRule type="containsText" dxfId="173" priority="125" operator="containsText" text="17">
      <formula>NOT(ISERROR(SEARCH("17",BV14)))</formula>
    </cfRule>
  </conditionalFormatting>
  <conditionalFormatting sqref="BV192:BX199">
    <cfRule type="containsText" dxfId="172" priority="214" operator="containsText" text="17">
      <formula>NOT(ISERROR(SEARCH("17",BV192)))</formula>
    </cfRule>
    <cfRule type="containsText" dxfId="171" priority="215" operator="containsText" text="T">
      <formula>NOT(ISERROR(SEARCH("T",BV192)))</formula>
    </cfRule>
  </conditionalFormatting>
  <conditionalFormatting sqref="BV133:CH137">
    <cfRule type="containsText" dxfId="170" priority="971" operator="containsText" text="17">
      <formula>NOT(ISERROR(SEARCH("17",BV133)))</formula>
    </cfRule>
  </conditionalFormatting>
  <conditionalFormatting sqref="BV160:CQ165">
    <cfRule type="containsText" dxfId="169" priority="951" operator="containsText" text="T">
      <formula>NOT(ISERROR(SEARCH("T",BV160)))</formula>
    </cfRule>
  </conditionalFormatting>
  <conditionalFormatting sqref="BW14">
    <cfRule type="containsText" dxfId="168" priority="126" operator="containsText" text="T">
      <formula>NOT(ISERROR(SEARCH("T",BW14)))</formula>
    </cfRule>
  </conditionalFormatting>
  <conditionalFormatting sqref="BW34 CA34:CC34 BF35:BZ40 CC35:CC40">
    <cfRule type="containsText" dxfId="167" priority="112" operator="containsText" text="T">
      <formula>NOT(ISERROR(SEARCH("T",BF34)))</formula>
    </cfRule>
  </conditionalFormatting>
  <conditionalFormatting sqref="BW168:BW174">
    <cfRule type="containsText" dxfId="166" priority="199" operator="containsText" text="17">
      <formula>NOT(ISERROR(SEARCH("17",BW168)))</formula>
    </cfRule>
    <cfRule type="containsText" dxfId="165" priority="200" operator="containsText" text="T">
      <formula>NOT(ISERROR(SEARCH("T",BW168)))</formula>
    </cfRule>
    <cfRule type="containsText" dxfId="164" priority="201" operator="containsText" text="17">
      <formula>NOT(ISERROR(SEARCH("17",BW168)))</formula>
    </cfRule>
    <cfRule type="containsText" dxfId="163" priority="202" operator="containsText" text="T">
      <formula>NOT(ISERROR(SEARCH("T",BW168)))</formula>
    </cfRule>
    <cfRule type="containsText" dxfId="162" priority="203" operator="containsText" text="17">
      <formula>NOT(ISERROR(SEARCH("17",BW168)))</formula>
    </cfRule>
    <cfRule type="containsText" dxfId="161" priority="204" operator="containsText" text="T">
      <formula>NOT(ISERROR(SEARCH("T",BW168)))</formula>
    </cfRule>
  </conditionalFormatting>
  <conditionalFormatting sqref="BW34:BX34 CA34:CC34 CC35:CC40">
    <cfRule type="containsText" dxfId="160" priority="113" operator="containsText" text="17">
      <formula>NOT(ISERROR(SEARCH("17",BW34)))</formula>
    </cfRule>
  </conditionalFormatting>
  <conditionalFormatting sqref="BW168:BY174">
    <cfRule type="containsText" dxfId="159" priority="190" operator="containsText" text="17">
      <formula>NOT(ISERROR(SEARCH("17",BW168)))</formula>
    </cfRule>
  </conditionalFormatting>
  <conditionalFormatting sqref="BW160:CG165">
    <cfRule type="containsText" dxfId="158" priority="949" operator="containsText" text="17">
      <formula>NOT(ISERROR(SEARCH("17",BW160)))</formula>
    </cfRule>
  </conditionalFormatting>
  <conditionalFormatting sqref="BW140:CI144">
    <cfRule type="containsText" dxfId="157" priority="966" operator="containsText" text="17">
      <formula>NOT(ISERROR(SEARCH("17",BW140)))</formula>
    </cfRule>
  </conditionalFormatting>
  <conditionalFormatting sqref="BW154:CI158">
    <cfRule type="containsText" dxfId="156" priority="953" operator="containsText" text="17">
      <formula>NOT(ISERROR(SEARCH("17",BW154)))</formula>
    </cfRule>
  </conditionalFormatting>
  <conditionalFormatting sqref="BW161:CI165">
    <cfRule type="containsText" dxfId="155" priority="946" operator="containsText" text="17">
      <formula>NOT(ISERROR(SEARCH("17",BW161)))</formula>
    </cfRule>
  </conditionalFormatting>
  <conditionalFormatting sqref="BX21 CB21:CD21 BG22:CA27 CD22:CD27">
    <cfRule type="containsText" dxfId="154" priority="100" operator="containsText" text="T">
      <formula>NOT(ISERROR(SEARCH("T",BG21)))</formula>
    </cfRule>
  </conditionalFormatting>
  <conditionalFormatting sqref="BX34">
    <cfRule type="containsText" dxfId="153" priority="114" operator="containsText" text="T">
      <formula>NOT(ISERROR(SEARCH("T",BX34)))</formula>
    </cfRule>
  </conditionalFormatting>
  <conditionalFormatting sqref="BX175:BX181">
    <cfRule type="containsText" dxfId="152" priority="175" operator="containsText" text="17">
      <formula>NOT(ISERROR(SEARCH("17",BX175)))</formula>
    </cfRule>
    <cfRule type="containsText" dxfId="151" priority="176" operator="containsText" text="T">
      <formula>NOT(ISERROR(SEARCH("T",BX175)))</formula>
    </cfRule>
    <cfRule type="containsText" dxfId="150" priority="177" operator="containsText" text="17">
      <formula>NOT(ISERROR(SEARCH("17",BX175)))</formula>
    </cfRule>
    <cfRule type="containsText" dxfId="149" priority="178" operator="containsText" text="T">
      <formula>NOT(ISERROR(SEARCH("T",BX175)))</formula>
    </cfRule>
    <cfRule type="containsText" dxfId="148" priority="179" operator="containsText" text="17">
      <formula>NOT(ISERROR(SEARCH("17",BX175)))</formula>
    </cfRule>
    <cfRule type="containsText" dxfId="147" priority="180" operator="containsText" text="T">
      <formula>NOT(ISERROR(SEARCH("T",BX175)))</formula>
    </cfRule>
  </conditionalFormatting>
  <conditionalFormatting sqref="BX21:BY21 CB21:CD21 CD22:CD27">
    <cfRule type="containsText" dxfId="146" priority="101" operator="containsText" text="17">
      <formula>NOT(ISERROR(SEARCH("17",BX21)))</formula>
    </cfRule>
  </conditionalFormatting>
  <conditionalFormatting sqref="BX175:BZ181">
    <cfRule type="containsText" dxfId="145" priority="166" operator="containsText" text="17">
      <formula>NOT(ISERROR(SEARCH("17",BX175)))</formula>
    </cfRule>
  </conditionalFormatting>
  <conditionalFormatting sqref="BX146:CH151">
    <cfRule type="containsText" dxfId="144" priority="962" operator="containsText" text="17">
      <formula>NOT(ISERROR(SEARCH("17",BX146)))</formula>
    </cfRule>
  </conditionalFormatting>
  <conditionalFormatting sqref="BX147:CJ151">
    <cfRule type="containsText" dxfId="143" priority="959" operator="containsText" text="17">
      <formula>NOT(ISERROR(SEARCH("17",BX147)))</formula>
    </cfRule>
  </conditionalFormatting>
  <conditionalFormatting sqref="BY21">
    <cfRule type="containsText" dxfId="142" priority="102" operator="containsText" text="T">
      <formula>NOT(ISERROR(SEARCH("T",BY21)))</formula>
    </cfRule>
  </conditionalFormatting>
  <conditionalFormatting sqref="BY41 CC41:CE41 BH42:CB47 CE42:CE47">
    <cfRule type="containsText" dxfId="141" priority="88" operator="containsText" text="T">
      <formula>NOT(ISERROR(SEARCH("T",BH41)))</formula>
    </cfRule>
  </conditionalFormatting>
  <conditionalFormatting sqref="BY182:BY188">
    <cfRule type="containsText" dxfId="140" priority="151" operator="containsText" text="17">
      <formula>NOT(ISERROR(SEARCH("17",BY182)))</formula>
    </cfRule>
    <cfRule type="containsText" dxfId="139" priority="152" operator="containsText" text="T">
      <formula>NOT(ISERROR(SEARCH("T",BY182)))</formula>
    </cfRule>
    <cfRule type="containsText" dxfId="138" priority="153" operator="containsText" text="17">
      <formula>NOT(ISERROR(SEARCH("17",BY182)))</formula>
    </cfRule>
    <cfRule type="containsText" dxfId="137" priority="154" operator="containsText" text="T">
      <formula>NOT(ISERROR(SEARCH("T",BY182)))</formula>
    </cfRule>
    <cfRule type="containsText" dxfId="136" priority="155" operator="containsText" text="17">
      <formula>NOT(ISERROR(SEARCH("17",BY182)))</formula>
    </cfRule>
    <cfRule type="containsText" dxfId="135" priority="156" operator="containsText" text="T">
      <formula>NOT(ISERROR(SEARCH("T",BY182)))</formula>
    </cfRule>
  </conditionalFormatting>
  <conditionalFormatting sqref="BY41:BZ41 CC41:CE41 CE42:CE47">
    <cfRule type="containsText" dxfId="134" priority="89" operator="containsText" text="17">
      <formula>NOT(ISERROR(SEARCH("17",BY41)))</formula>
    </cfRule>
  </conditionalFormatting>
  <conditionalFormatting sqref="BY182:CA188">
    <cfRule type="containsText" dxfId="133" priority="142" operator="containsText" text="17">
      <formula>NOT(ISERROR(SEARCH("17",BY182)))</formula>
    </cfRule>
  </conditionalFormatting>
  <conditionalFormatting sqref="BZ41">
    <cfRule type="containsText" dxfId="132" priority="90" operator="containsText" text="T">
      <formula>NOT(ISERROR(SEARCH("T",BZ41)))</formula>
    </cfRule>
  </conditionalFormatting>
  <conditionalFormatting sqref="CA79:CB79 CC79:CI82">
    <cfRule type="containsText" dxfId="131" priority="1018" operator="containsText" text="T">
      <formula>NOT(ISERROR(SEARCH("T",CA79)))</formula>
    </cfRule>
  </conditionalFormatting>
  <conditionalFormatting sqref="CA79:CB79">
    <cfRule type="containsText" dxfId="130" priority="1017" operator="containsText" text="17">
      <formula>NOT(ISERROR(SEARCH("17",CA79)))</formula>
    </cfRule>
  </conditionalFormatting>
  <conditionalFormatting sqref="CA99:CB99 CC99:CI103">
    <cfRule type="containsText" dxfId="129" priority="1000" operator="containsText" text="17">
      <formula>NOT(ISERROR(SEARCH("17",CA99)))</formula>
    </cfRule>
    <cfRule type="containsText" dxfId="128" priority="1001" operator="containsText" text="T">
      <formula>NOT(ISERROR(SEARCH("T",CA99)))</formula>
    </cfRule>
  </conditionalFormatting>
  <conditionalFormatting sqref="CA111:CB111 CC111:CI112">
    <cfRule type="containsText" dxfId="127" priority="990" operator="containsText" text="T">
      <formula>NOT(ISERROR(SEARCH("T",CA111)))</formula>
    </cfRule>
  </conditionalFormatting>
  <conditionalFormatting sqref="CA111:CB111">
    <cfRule type="containsText" dxfId="126" priority="989" operator="containsText" text="17">
      <formula>NOT(ISERROR(SEARCH("17",CA111)))</formula>
    </cfRule>
  </conditionalFormatting>
  <conditionalFormatting sqref="CA120:CG126">
    <cfRule type="containsText" dxfId="125" priority="27" operator="containsText" text="17">
      <formula>NOT(ISERROR(SEARCH("17",CA120)))</formula>
    </cfRule>
    <cfRule type="containsText" dxfId="124" priority="28" operator="containsText" text="T">
      <formula>NOT(ISERROR(SEARCH("T",CA120)))</formula>
    </cfRule>
  </conditionalFormatting>
  <conditionalFormatting sqref="CB15:CB20">
    <cfRule type="containsText" dxfId="123" priority="133" operator="containsText" text="T">
      <formula>NOT(ISERROR(SEARCH("T",CB15)))</formula>
    </cfRule>
  </conditionalFormatting>
  <conditionalFormatting sqref="CB120:CB126">
    <cfRule type="containsText" dxfId="122" priority="25" operator="containsText" text="17">
      <formula>NOT(ISERROR(SEARCH("17",CB120)))</formula>
    </cfRule>
    <cfRule type="containsText" dxfId="121" priority="26" operator="containsText" text="T">
      <formula>NOT(ISERROR(SEARCH("T",CB120)))</formula>
    </cfRule>
  </conditionalFormatting>
  <conditionalFormatting sqref="CB113:CH119">
    <cfRule type="containsText" dxfId="120" priority="7" operator="containsText" text="17">
      <formula>NOT(ISERROR(SEARCH("17",CB113)))</formula>
    </cfRule>
    <cfRule type="containsText" dxfId="119" priority="8" operator="containsText" text="T">
      <formula>NOT(ISERROR(SEARCH("T",CB113)))</formula>
    </cfRule>
  </conditionalFormatting>
  <conditionalFormatting sqref="CC35:CC40">
    <cfRule type="containsText" dxfId="118" priority="121" operator="containsText" text="T">
      <formula>NOT(ISERROR(SEARCH("T",CC35)))</formula>
    </cfRule>
  </conditionalFormatting>
  <conditionalFormatting sqref="CC113:CC119">
    <cfRule type="containsText" dxfId="117" priority="5" operator="containsText" text="17">
      <formula>NOT(ISERROR(SEARCH("17",CC113)))</formula>
    </cfRule>
    <cfRule type="containsText" dxfId="116" priority="6" operator="containsText" text="T">
      <formula>NOT(ISERROR(SEARCH("T",CC113)))</formula>
    </cfRule>
  </conditionalFormatting>
  <conditionalFormatting sqref="CC67:CD67 CE67:CK71 CB73:CC73 CD73:CJ77">
    <cfRule type="containsText" dxfId="115" priority="1024" operator="containsText" text="T">
      <formula>NOT(ISERROR(SEARCH("T",CB67)))</formula>
    </cfRule>
  </conditionalFormatting>
  <conditionalFormatting sqref="CC67:CD67 CE67:CK71 CB73:CC73">
    <cfRule type="containsText" dxfId="114" priority="1023" operator="containsText" text="17">
      <formula>NOT(ISERROR(SEARCH("17",CB67)))</formula>
    </cfRule>
  </conditionalFormatting>
  <conditionalFormatting sqref="CC105:CI109 BQ105:CP105">
    <cfRule type="containsText" dxfId="113" priority="996" operator="containsText" text="T">
      <formula>NOT(ISERROR(SEARCH("T",BQ105)))</formula>
    </cfRule>
  </conditionalFormatting>
  <conditionalFormatting sqref="CD22:CD27">
    <cfRule type="containsText" dxfId="112" priority="109" operator="containsText" text="T">
      <formula>NOT(ISERROR(SEARCH("T",CD22)))</formula>
    </cfRule>
  </conditionalFormatting>
  <conditionalFormatting sqref="CE42:CE47">
    <cfRule type="containsText" dxfId="111" priority="97" operator="containsText" text="T">
      <formula>NOT(ISERROR(SEARCH("T",CE42)))</formula>
    </cfRule>
  </conditionalFormatting>
  <conditionalFormatting sqref="CF28:CF32">
    <cfRule type="containsText" dxfId="110" priority="77" operator="containsText" text="17">
      <formula>NOT(ISERROR(SEARCH("17",CF28)))</formula>
    </cfRule>
  </conditionalFormatting>
  <conditionalFormatting sqref="CF48:CF49">
    <cfRule type="containsText" dxfId="109" priority="72" operator="containsText" text="17">
      <formula>NOT(ISERROR(SEARCH("17",CF48)))</formula>
    </cfRule>
  </conditionalFormatting>
  <conditionalFormatting sqref="CF28:CP32">
    <cfRule type="containsText" dxfId="108" priority="80" operator="containsText" text="T">
      <formula>NOT(ISERROR(SEARCH("T",CF28)))</formula>
    </cfRule>
  </conditionalFormatting>
  <conditionalFormatting sqref="CF41:CP49">
    <cfRule type="containsText" dxfId="107" priority="75" operator="containsText" text="T">
      <formula>NOT(ISERROR(SEARCH("T",CF41)))</formula>
    </cfRule>
  </conditionalFormatting>
  <conditionalFormatting sqref="CG60:CG66">
    <cfRule type="containsText" dxfId="106" priority="67" operator="containsText" text="17">
      <formula>NOT(ISERROR(SEARCH("17",CG60)))</formula>
    </cfRule>
  </conditionalFormatting>
  <conditionalFormatting sqref="CG113:CG126">
    <cfRule type="containsText" dxfId="105" priority="11" operator="containsText" text="T">
      <formula>NOT(ISERROR(SEARCH("T",CG113)))</formula>
    </cfRule>
  </conditionalFormatting>
  <conditionalFormatting sqref="CG120:CH126">
    <cfRule type="containsText" dxfId="104" priority="23" operator="containsText" text="17">
      <formula>NOT(ISERROR(SEARCH("17",CG120)))</formula>
    </cfRule>
  </conditionalFormatting>
  <conditionalFormatting sqref="CG132:CH132 CI132:CO137">
    <cfRule type="containsText" dxfId="103" priority="972" operator="containsText" text="17">
      <formula>NOT(ISERROR(SEARCH("17",CG132)))</formula>
    </cfRule>
    <cfRule type="containsText" dxfId="102" priority="973" operator="containsText" text="T">
      <formula>NOT(ISERROR(SEARCH("T",CG132)))</formula>
    </cfRule>
  </conditionalFormatting>
  <conditionalFormatting sqref="CG60:CP66">
    <cfRule type="containsText" dxfId="101" priority="70" operator="containsText" text="T">
      <formula>NOT(ISERROR(SEARCH("T",CG60)))</formula>
    </cfRule>
  </conditionalFormatting>
  <conditionalFormatting sqref="CH90:CH96">
    <cfRule type="containsText" dxfId="100" priority="62" operator="containsText" text="17">
      <formula>NOT(ISERROR(SEARCH("17",CH90)))</formula>
    </cfRule>
  </conditionalFormatting>
  <conditionalFormatting sqref="CH113:CH119">
    <cfRule type="containsText" dxfId="99" priority="2" operator="containsText" text="T">
      <formula>NOT(ISERROR(SEARCH("T",CH113)))</formula>
    </cfRule>
  </conditionalFormatting>
  <conditionalFormatting sqref="CH120:CH126">
    <cfRule type="containsText" dxfId="98" priority="24" operator="containsText" text="T">
      <formula>NOT(ISERROR(SEARCH("T",CH120)))</formula>
    </cfRule>
  </conditionalFormatting>
  <conditionalFormatting sqref="CH113:CI119">
    <cfRule type="containsText" dxfId="97" priority="3" operator="containsText" text="17">
      <formula>NOT(ISERROR(SEARCH("17",CH113)))</formula>
    </cfRule>
  </conditionalFormatting>
  <conditionalFormatting sqref="CH139:CI139">
    <cfRule type="containsText" dxfId="96" priority="967" operator="containsText" text="17">
      <formula>NOT(ISERROR(SEARCH("17",CH139)))</formula>
    </cfRule>
  </conditionalFormatting>
  <conditionalFormatting sqref="CH153:CI153">
    <cfRule type="containsText" dxfId="95" priority="954" operator="containsText" text="17">
      <formula>NOT(ISERROR(SEARCH("17",CH153)))</formula>
    </cfRule>
  </conditionalFormatting>
  <conditionalFormatting sqref="CH160:CI160 CJ160:CP165">
    <cfRule type="containsText" dxfId="94" priority="947" operator="containsText" text="17">
      <formula>NOT(ISERROR(SEARCH("17",CH160)))</formula>
    </cfRule>
  </conditionalFormatting>
  <conditionalFormatting sqref="CH160:CI160 CK160:CO165">
    <cfRule type="containsText" dxfId="93" priority="948" operator="containsText" text="T">
      <formula>NOT(ISERROR(SEARCH("T",CH160)))</formula>
    </cfRule>
  </conditionalFormatting>
  <conditionalFormatting sqref="CH90:CP96">
    <cfRule type="containsText" dxfId="92" priority="65" operator="containsText" text="T">
      <formula>NOT(ISERROR(SEARCH("T",CH90)))</formula>
    </cfRule>
  </conditionalFormatting>
  <conditionalFormatting sqref="CI83:CI89">
    <cfRule type="containsText" dxfId="91" priority="57" operator="containsText" text="17">
      <formula>NOT(ISERROR(SEARCH("17",CI83)))</formula>
    </cfRule>
    <cfRule type="containsText" dxfId="90" priority="60" operator="containsText" text="T">
      <formula>NOT(ISERROR(SEARCH("T",CI83)))</formula>
    </cfRule>
  </conditionalFormatting>
  <conditionalFormatting sqref="CI113:CI119">
    <cfRule type="containsText" dxfId="89" priority="4" operator="containsText" text="T">
      <formula>NOT(ISERROR(SEARCH("T",CI113)))</formula>
    </cfRule>
  </conditionalFormatting>
  <conditionalFormatting sqref="CI146:CJ146 CK146:CQ151">
    <cfRule type="containsText" dxfId="88" priority="960" operator="containsText" text="17">
      <formula>NOT(ISERROR(SEARCH("17",CI146)))</formula>
    </cfRule>
  </conditionalFormatting>
  <conditionalFormatting sqref="CI146:CJ146 CL146:CP151">
    <cfRule type="containsText" dxfId="87" priority="961" operator="containsText" text="T">
      <formula>NOT(ISERROR(SEARCH("T",CI146)))</formula>
    </cfRule>
  </conditionalFormatting>
  <conditionalFormatting sqref="CJ214:CJ220">
    <cfRule type="containsText" dxfId="86" priority="52" operator="containsText" text="17">
      <formula>NOT(ISERROR(SEARCH("17",CJ214)))</formula>
    </cfRule>
  </conditionalFormatting>
  <conditionalFormatting sqref="CJ214:XFD220">
    <cfRule type="containsText" dxfId="85" priority="55" operator="containsText" text="T">
      <formula>NOT(ISERROR(SEARCH("T",CJ214)))</formula>
    </cfRule>
  </conditionalFormatting>
  <conditionalFormatting sqref="CK120:CK126">
    <cfRule type="containsText" dxfId="84" priority="34" operator="containsText" text="17">
      <formula>NOT(ISERROR(SEARCH("17",CK120)))</formula>
    </cfRule>
    <cfRule type="containsText" dxfId="83" priority="35" operator="containsText" text="T">
      <formula>NOT(ISERROR(SEARCH("T",CK120)))</formula>
    </cfRule>
    <cfRule type="containsText" dxfId="82" priority="36" operator="containsText" text="17">
      <formula>NOT(ISERROR(SEARCH("17",CK120)))</formula>
    </cfRule>
    <cfRule type="containsText" dxfId="81" priority="37" operator="containsText" text="T">
      <formula>NOT(ISERROR(SEARCH("T",CK120)))</formula>
    </cfRule>
    <cfRule type="containsText" dxfId="80" priority="38" operator="containsText" text="17">
      <formula>NOT(ISERROR(SEARCH("17",CK120)))</formula>
    </cfRule>
    <cfRule type="containsText" dxfId="79" priority="39" operator="containsText" text="T">
      <formula>NOT(ISERROR(SEARCH("T",CK120)))</formula>
    </cfRule>
  </conditionalFormatting>
  <conditionalFormatting sqref="CK221:CK227">
    <cfRule type="containsText" dxfId="78" priority="47" operator="containsText" text="17">
      <formula>NOT(ISERROR(SEARCH("17",CK221)))</formula>
    </cfRule>
  </conditionalFormatting>
  <conditionalFormatting sqref="CK120:CM126">
    <cfRule type="containsText" dxfId="77" priority="29" operator="containsText" text="17">
      <formula>NOT(ISERROR(SEARCH("17",CK120)))</formula>
    </cfRule>
  </conditionalFormatting>
  <conditionalFormatting sqref="CK221:CP227">
    <cfRule type="containsText" dxfId="76" priority="50" operator="containsText" text="T">
      <formula>NOT(ISERROR(SEARCH("T",CK221)))</formula>
    </cfRule>
  </conditionalFormatting>
  <conditionalFormatting sqref="CL113:CL119">
    <cfRule type="containsText" dxfId="75" priority="14" operator="containsText" text="17">
      <formula>NOT(ISERROR(SEARCH("17",CL113)))</formula>
    </cfRule>
    <cfRule type="containsText" dxfId="74" priority="15" operator="containsText" text="T">
      <formula>NOT(ISERROR(SEARCH("T",CL113)))</formula>
    </cfRule>
    <cfRule type="containsText" dxfId="73" priority="16" operator="containsText" text="17">
      <formula>NOT(ISERROR(SEARCH("17",CL113)))</formula>
    </cfRule>
    <cfRule type="containsText" dxfId="72" priority="17" operator="containsText" text="T">
      <formula>NOT(ISERROR(SEARCH("T",CL113)))</formula>
    </cfRule>
    <cfRule type="containsText" dxfId="71" priority="18" operator="containsText" text="17">
      <formula>NOT(ISERROR(SEARCH("17",CL113)))</formula>
    </cfRule>
    <cfRule type="containsText" dxfId="70" priority="19" operator="containsText" text="T">
      <formula>NOT(ISERROR(SEARCH("T",CL113)))</formula>
    </cfRule>
  </conditionalFormatting>
  <conditionalFormatting sqref="CL228:CL234">
    <cfRule type="containsText" dxfId="69" priority="42" operator="containsText" text="17">
      <formula>NOT(ISERROR(SEARCH("17",CL228)))</formula>
    </cfRule>
  </conditionalFormatting>
  <conditionalFormatting sqref="CL113:CN119">
    <cfRule type="containsText" dxfId="68" priority="9" operator="containsText" text="17">
      <formula>NOT(ISERROR(SEARCH("17",CL113)))</formula>
    </cfRule>
  </conditionalFormatting>
  <conditionalFormatting sqref="CL228:CP234">
    <cfRule type="containsText" dxfId="67" priority="45" operator="containsText" text="T">
      <formula>NOT(ISERROR(SEARCH("T",CL228)))</formula>
    </cfRule>
  </conditionalFormatting>
  <pageMargins left="0.31496062992125984" right="0.31496062992125984" top="0.15748031496062992" bottom="0.15748031496062992" header="0" footer="0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T1434"/>
  <sheetViews>
    <sheetView tabSelected="1" workbookViewId="0">
      <pane xSplit="2" ySplit="1" topLeftCell="J1416" activePane="bottomRight" state="frozen"/>
      <selection pane="topRight" activeCell="C1" sqref="C1"/>
      <selection pane="bottomLeft" activeCell="A2" sqref="A2"/>
      <selection pane="bottomRight" activeCell="A1435" sqref="A1435"/>
    </sheetView>
  </sheetViews>
  <sheetFormatPr defaultRowHeight="15" x14ac:dyDescent="0.25"/>
  <cols>
    <col min="1" max="1" width="28.85546875" customWidth="1"/>
    <col min="2" max="2" width="10.42578125" customWidth="1"/>
    <col min="3" max="3" width="10.42578125" hidden="1" customWidth="1"/>
    <col min="4" max="4" width="11.42578125" hidden="1" customWidth="1"/>
    <col min="5" max="9" width="10.42578125" hidden="1" customWidth="1"/>
    <col min="10" max="10" width="13.140625" bestFit="1" customWidth="1"/>
    <col min="11" max="11" width="13.42578125" customWidth="1"/>
    <col min="12" max="14" width="10.42578125" customWidth="1"/>
    <col min="15" max="15" width="11.85546875" bestFit="1" customWidth="1"/>
    <col min="16" max="21" width="10.42578125" customWidth="1"/>
  </cols>
  <sheetData>
    <row r="1" spans="1:15" x14ac:dyDescent="0.25">
      <c r="A1" s="25" t="s">
        <v>164</v>
      </c>
      <c r="B1" s="25" t="s">
        <v>165</v>
      </c>
      <c r="C1" s="25"/>
      <c r="D1" s="25" t="s">
        <v>537</v>
      </c>
      <c r="E1" s="25" t="s">
        <v>532</v>
      </c>
      <c r="F1" s="25" t="s">
        <v>533</v>
      </c>
      <c r="G1" s="25" t="s">
        <v>534</v>
      </c>
      <c r="H1" s="25" t="s">
        <v>535</v>
      </c>
      <c r="I1" s="25" t="s">
        <v>536</v>
      </c>
      <c r="J1" s="25" t="s">
        <v>538</v>
      </c>
      <c r="K1" s="25" t="s">
        <v>542</v>
      </c>
      <c r="L1" s="25" t="s">
        <v>539</v>
      </c>
      <c r="M1" s="25" t="s">
        <v>540</v>
      </c>
      <c r="N1" s="25" t="s">
        <v>541</v>
      </c>
      <c r="O1" s="25" t="s">
        <v>543</v>
      </c>
    </row>
    <row r="2" spans="1:15" x14ac:dyDescent="0.25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</row>
    <row r="3" spans="1:15" x14ac:dyDescent="0.25">
      <c r="A3" s="75">
        <v>45962</v>
      </c>
      <c r="B3" s="25" t="s">
        <v>410</v>
      </c>
      <c r="C3" s="25"/>
      <c r="D3" s="75">
        <f t="shared" ref="D3:D66" si="0">A3+23</f>
        <v>45985</v>
      </c>
      <c r="E3" s="75">
        <f t="shared" ref="E3:E66" si="1">A3+7</f>
        <v>45969</v>
      </c>
      <c r="F3" s="75">
        <f t="shared" ref="F3:F66" si="2">A3+14</f>
        <v>45976</v>
      </c>
      <c r="G3" s="75">
        <f t="shared" ref="G3:G66" si="3">A3+20</f>
        <v>45982</v>
      </c>
      <c r="H3" s="75">
        <f t="shared" ref="H3:H66" si="4">A3+8</f>
        <v>45970</v>
      </c>
      <c r="I3" s="75">
        <f t="shared" ref="I3:I66" si="5">A3+15</f>
        <v>45977</v>
      </c>
      <c r="J3" s="75">
        <v>45991</v>
      </c>
      <c r="K3" s="76">
        <f t="shared" ref="K3:K34" si="6">J3-A3</f>
        <v>29</v>
      </c>
      <c r="L3" s="25">
        <v>19.739999999999998</v>
      </c>
      <c r="M3" s="25">
        <v>10.58</v>
      </c>
      <c r="N3" s="25">
        <f t="shared" ref="N3:N66" si="7">L3-M3</f>
        <v>9.1599999999999984</v>
      </c>
      <c r="O3" s="25" t="s">
        <v>544</v>
      </c>
    </row>
    <row r="4" spans="1:15" x14ac:dyDescent="0.25">
      <c r="A4" s="75">
        <v>45962</v>
      </c>
      <c r="B4" s="25" t="s">
        <v>411</v>
      </c>
      <c r="C4" s="25"/>
      <c r="D4" s="75">
        <f t="shared" si="0"/>
        <v>45985</v>
      </c>
      <c r="E4" s="75">
        <f t="shared" si="1"/>
        <v>45969</v>
      </c>
      <c r="F4" s="75">
        <f t="shared" si="2"/>
        <v>45976</v>
      </c>
      <c r="G4" s="75">
        <f t="shared" si="3"/>
        <v>45982</v>
      </c>
      <c r="H4" s="75">
        <f t="shared" si="4"/>
        <v>45970</v>
      </c>
      <c r="I4" s="75">
        <f t="shared" si="5"/>
        <v>45977</v>
      </c>
      <c r="J4" s="75">
        <v>45991</v>
      </c>
      <c r="K4" s="76">
        <f t="shared" si="6"/>
        <v>29</v>
      </c>
      <c r="L4" s="25">
        <v>19.829999999999998</v>
      </c>
      <c r="M4" s="25">
        <v>10.97</v>
      </c>
      <c r="N4" s="25">
        <f t="shared" si="7"/>
        <v>8.8599999999999977</v>
      </c>
      <c r="O4" s="25" t="s">
        <v>544</v>
      </c>
    </row>
    <row r="5" spans="1:15" x14ac:dyDescent="0.25">
      <c r="A5" s="75">
        <v>45962</v>
      </c>
      <c r="B5" s="25" t="s">
        <v>412</v>
      </c>
      <c r="C5" s="25"/>
      <c r="D5" s="75">
        <f t="shared" si="0"/>
        <v>45985</v>
      </c>
      <c r="E5" s="75">
        <f t="shared" si="1"/>
        <v>45969</v>
      </c>
      <c r="F5" s="75">
        <f t="shared" si="2"/>
        <v>45976</v>
      </c>
      <c r="G5" s="75">
        <f t="shared" si="3"/>
        <v>45982</v>
      </c>
      <c r="H5" s="75">
        <f t="shared" si="4"/>
        <v>45970</v>
      </c>
      <c r="I5" s="75">
        <f t="shared" si="5"/>
        <v>45977</v>
      </c>
      <c r="J5" s="75">
        <v>45991</v>
      </c>
      <c r="K5" s="76">
        <f t="shared" si="6"/>
        <v>29</v>
      </c>
      <c r="L5" s="25">
        <v>18.91</v>
      </c>
      <c r="M5" s="25">
        <v>18.420000000000002</v>
      </c>
      <c r="N5" s="25">
        <f t="shared" si="7"/>
        <v>0.48999999999999844</v>
      </c>
      <c r="O5" s="25" t="s">
        <v>545</v>
      </c>
    </row>
    <row r="6" spans="1:15" x14ac:dyDescent="0.25">
      <c r="A6" s="75">
        <v>45962</v>
      </c>
      <c r="B6" s="25" t="s">
        <v>413</v>
      </c>
      <c r="C6" s="25"/>
      <c r="D6" s="75">
        <f t="shared" si="0"/>
        <v>45985</v>
      </c>
      <c r="E6" s="75">
        <f t="shared" si="1"/>
        <v>45969</v>
      </c>
      <c r="F6" s="75">
        <f t="shared" si="2"/>
        <v>45976</v>
      </c>
      <c r="G6" s="75">
        <f t="shared" si="3"/>
        <v>45982</v>
      </c>
      <c r="H6" s="75">
        <f t="shared" si="4"/>
        <v>45970</v>
      </c>
      <c r="I6" s="75">
        <f t="shared" si="5"/>
        <v>45977</v>
      </c>
      <c r="J6" s="75">
        <v>45991</v>
      </c>
      <c r="K6" s="76">
        <f t="shared" si="6"/>
        <v>29</v>
      </c>
      <c r="L6" s="25">
        <v>17.75</v>
      </c>
      <c r="M6" s="25">
        <v>16.28</v>
      </c>
      <c r="N6" s="25">
        <f t="shared" si="7"/>
        <v>1.4699999999999989</v>
      </c>
      <c r="O6" s="25" t="s">
        <v>545</v>
      </c>
    </row>
    <row r="7" spans="1:15" x14ac:dyDescent="0.25">
      <c r="A7" s="75">
        <v>45962</v>
      </c>
      <c r="B7" s="25" t="s">
        <v>414</v>
      </c>
      <c r="C7" s="25"/>
      <c r="D7" s="75">
        <f t="shared" si="0"/>
        <v>45985</v>
      </c>
      <c r="E7" s="75">
        <f t="shared" si="1"/>
        <v>45969</v>
      </c>
      <c r="F7" s="75">
        <f t="shared" si="2"/>
        <v>45976</v>
      </c>
      <c r="G7" s="75">
        <f t="shared" si="3"/>
        <v>45982</v>
      </c>
      <c r="H7" s="75">
        <f t="shared" si="4"/>
        <v>45970</v>
      </c>
      <c r="I7" s="75">
        <f t="shared" si="5"/>
        <v>45977</v>
      </c>
      <c r="J7" s="75">
        <v>45991</v>
      </c>
      <c r="K7" s="76">
        <f t="shared" si="6"/>
        <v>29</v>
      </c>
      <c r="L7" s="25">
        <v>16.420000000000002</v>
      </c>
      <c r="M7" s="25">
        <v>15.72</v>
      </c>
      <c r="N7" s="25">
        <f t="shared" si="7"/>
        <v>0.70000000000000107</v>
      </c>
      <c r="O7" s="25" t="s">
        <v>545</v>
      </c>
    </row>
    <row r="8" spans="1:15" x14ac:dyDescent="0.25">
      <c r="A8" s="75">
        <v>45962</v>
      </c>
      <c r="B8" s="25" t="s">
        <v>416</v>
      </c>
      <c r="C8" s="25"/>
      <c r="D8" s="75">
        <f t="shared" si="0"/>
        <v>45985</v>
      </c>
      <c r="E8" s="75">
        <f t="shared" si="1"/>
        <v>45969</v>
      </c>
      <c r="F8" s="75">
        <f t="shared" si="2"/>
        <v>45976</v>
      </c>
      <c r="G8" s="75">
        <f t="shared" si="3"/>
        <v>45982</v>
      </c>
      <c r="H8" s="75">
        <f t="shared" si="4"/>
        <v>45970</v>
      </c>
      <c r="I8" s="75">
        <f t="shared" si="5"/>
        <v>45977</v>
      </c>
      <c r="J8" s="75">
        <v>45991</v>
      </c>
      <c r="K8" s="76">
        <f t="shared" si="6"/>
        <v>29</v>
      </c>
      <c r="L8" s="25">
        <v>15.36</v>
      </c>
      <c r="M8" s="25">
        <v>14.51</v>
      </c>
      <c r="N8" s="25">
        <f t="shared" si="7"/>
        <v>0.84999999999999964</v>
      </c>
      <c r="O8" s="25" t="s">
        <v>545</v>
      </c>
    </row>
    <row r="9" spans="1:15" x14ac:dyDescent="0.25">
      <c r="A9" s="75">
        <v>45962</v>
      </c>
      <c r="B9" s="25" t="s">
        <v>415</v>
      </c>
      <c r="C9" s="25"/>
      <c r="D9" s="75">
        <f t="shared" si="0"/>
        <v>45985</v>
      </c>
      <c r="E9" s="75">
        <f t="shared" si="1"/>
        <v>45969</v>
      </c>
      <c r="F9" s="75">
        <f t="shared" si="2"/>
        <v>45976</v>
      </c>
      <c r="G9" s="75">
        <f t="shared" si="3"/>
        <v>45982</v>
      </c>
      <c r="H9" s="75">
        <f t="shared" si="4"/>
        <v>45970</v>
      </c>
      <c r="I9" s="75">
        <f t="shared" si="5"/>
        <v>45977</v>
      </c>
      <c r="J9" s="75">
        <v>45992</v>
      </c>
      <c r="K9" s="76">
        <f t="shared" si="6"/>
        <v>30</v>
      </c>
      <c r="L9" s="25">
        <v>19.91</v>
      </c>
      <c r="M9" s="25">
        <v>10.84</v>
      </c>
      <c r="N9" s="25">
        <f t="shared" si="7"/>
        <v>9.07</v>
      </c>
      <c r="O9" s="25" t="s">
        <v>544</v>
      </c>
    </row>
    <row r="10" spans="1:15" x14ac:dyDescent="0.25">
      <c r="A10" s="75">
        <v>45963</v>
      </c>
      <c r="B10" s="25" t="s">
        <v>376</v>
      </c>
      <c r="C10" s="25"/>
      <c r="D10" s="75">
        <f t="shared" si="0"/>
        <v>45986</v>
      </c>
      <c r="E10" s="75">
        <f t="shared" si="1"/>
        <v>45970</v>
      </c>
      <c r="F10" s="75">
        <f t="shared" si="2"/>
        <v>45977</v>
      </c>
      <c r="G10" s="75">
        <f t="shared" si="3"/>
        <v>45983</v>
      </c>
      <c r="H10" s="75">
        <f t="shared" si="4"/>
        <v>45971</v>
      </c>
      <c r="I10" s="75">
        <f t="shared" si="5"/>
        <v>45978</v>
      </c>
      <c r="J10" s="75">
        <v>45992</v>
      </c>
      <c r="K10" s="76">
        <f t="shared" si="6"/>
        <v>29</v>
      </c>
      <c r="L10" s="25">
        <v>16.170000000000002</v>
      </c>
      <c r="M10" s="25">
        <v>14.96</v>
      </c>
      <c r="N10" s="25">
        <f t="shared" si="7"/>
        <v>1.2100000000000009</v>
      </c>
      <c r="O10" s="25" t="s">
        <v>545</v>
      </c>
    </row>
    <row r="11" spans="1:15" x14ac:dyDescent="0.25">
      <c r="A11" s="75">
        <v>45963</v>
      </c>
      <c r="B11" s="25" t="s">
        <v>377</v>
      </c>
      <c r="C11" s="25"/>
      <c r="D11" s="75">
        <f t="shared" si="0"/>
        <v>45986</v>
      </c>
      <c r="E11" s="75">
        <f t="shared" si="1"/>
        <v>45970</v>
      </c>
      <c r="F11" s="75">
        <f t="shared" si="2"/>
        <v>45977</v>
      </c>
      <c r="G11" s="75">
        <f t="shared" si="3"/>
        <v>45983</v>
      </c>
      <c r="H11" s="75">
        <f t="shared" si="4"/>
        <v>45971</v>
      </c>
      <c r="I11" s="75">
        <f t="shared" si="5"/>
        <v>45978</v>
      </c>
      <c r="J11" s="75">
        <v>45992</v>
      </c>
      <c r="K11" s="76">
        <f t="shared" si="6"/>
        <v>29</v>
      </c>
      <c r="L11" s="25">
        <v>17.53</v>
      </c>
      <c r="M11" s="25">
        <v>16.28</v>
      </c>
      <c r="N11" s="25">
        <f t="shared" si="7"/>
        <v>1.25</v>
      </c>
      <c r="O11" s="25" t="s">
        <v>545</v>
      </c>
    </row>
    <row r="12" spans="1:15" x14ac:dyDescent="0.25">
      <c r="A12" s="75">
        <v>45963</v>
      </c>
      <c r="B12" s="25" t="s">
        <v>378</v>
      </c>
      <c r="C12" s="25"/>
      <c r="D12" s="75">
        <f t="shared" si="0"/>
        <v>45986</v>
      </c>
      <c r="E12" s="75">
        <f t="shared" si="1"/>
        <v>45970</v>
      </c>
      <c r="F12" s="75">
        <f t="shared" si="2"/>
        <v>45977</v>
      </c>
      <c r="G12" s="75">
        <f t="shared" si="3"/>
        <v>45983</v>
      </c>
      <c r="H12" s="75">
        <f t="shared" si="4"/>
        <v>45971</v>
      </c>
      <c r="I12" s="75">
        <f t="shared" si="5"/>
        <v>45978</v>
      </c>
      <c r="J12" s="75">
        <v>45992</v>
      </c>
      <c r="K12" s="76">
        <f t="shared" si="6"/>
        <v>29</v>
      </c>
      <c r="L12" s="25">
        <v>16.760000000000002</v>
      </c>
      <c r="M12" s="25">
        <v>15.35</v>
      </c>
      <c r="N12" s="25">
        <f t="shared" si="7"/>
        <v>1.4100000000000019</v>
      </c>
      <c r="O12" s="25" t="s">
        <v>545</v>
      </c>
    </row>
    <row r="13" spans="1:15" x14ac:dyDescent="0.25">
      <c r="A13" s="75">
        <v>45963</v>
      </c>
      <c r="B13" s="25" t="s">
        <v>379</v>
      </c>
      <c r="C13" s="25"/>
      <c r="D13" s="75">
        <f t="shared" si="0"/>
        <v>45986</v>
      </c>
      <c r="E13" s="75">
        <f t="shared" si="1"/>
        <v>45970</v>
      </c>
      <c r="F13" s="75">
        <f t="shared" si="2"/>
        <v>45977</v>
      </c>
      <c r="G13" s="75">
        <f t="shared" si="3"/>
        <v>45983</v>
      </c>
      <c r="H13" s="75">
        <f t="shared" si="4"/>
        <v>45971</v>
      </c>
      <c r="I13" s="75">
        <f t="shared" si="5"/>
        <v>45978</v>
      </c>
      <c r="J13" s="75">
        <v>45992</v>
      </c>
      <c r="K13" s="76">
        <f t="shared" si="6"/>
        <v>29</v>
      </c>
      <c r="L13" s="25">
        <v>19.739999999999998</v>
      </c>
      <c r="M13" s="25">
        <v>10.51</v>
      </c>
      <c r="N13" s="25">
        <f t="shared" si="7"/>
        <v>9.2299999999999986</v>
      </c>
      <c r="O13" s="25" t="s">
        <v>544</v>
      </c>
    </row>
    <row r="14" spans="1:15" x14ac:dyDescent="0.25">
      <c r="A14" s="75">
        <v>45963</v>
      </c>
      <c r="B14" s="25" t="s">
        <v>373</v>
      </c>
      <c r="C14" s="25"/>
      <c r="D14" s="75">
        <f t="shared" si="0"/>
        <v>45986</v>
      </c>
      <c r="E14" s="75">
        <f t="shared" si="1"/>
        <v>45970</v>
      </c>
      <c r="F14" s="75">
        <f t="shared" si="2"/>
        <v>45977</v>
      </c>
      <c r="G14" s="75">
        <f t="shared" si="3"/>
        <v>45983</v>
      </c>
      <c r="H14" s="75">
        <f t="shared" si="4"/>
        <v>45971</v>
      </c>
      <c r="I14" s="75">
        <f t="shared" si="5"/>
        <v>45978</v>
      </c>
      <c r="J14" s="75">
        <v>45993</v>
      </c>
      <c r="K14" s="76">
        <f t="shared" si="6"/>
        <v>30</v>
      </c>
      <c r="L14" s="25">
        <v>18.91</v>
      </c>
      <c r="M14" s="25">
        <v>17.62</v>
      </c>
      <c r="N14" s="25">
        <f t="shared" si="7"/>
        <v>1.2899999999999991</v>
      </c>
      <c r="O14" s="25" t="s">
        <v>545</v>
      </c>
    </row>
    <row r="15" spans="1:15" x14ac:dyDescent="0.25">
      <c r="A15" s="75">
        <v>45963</v>
      </c>
      <c r="B15" s="25" t="s">
        <v>374</v>
      </c>
      <c r="C15" s="25"/>
      <c r="D15" s="75">
        <f t="shared" si="0"/>
        <v>45986</v>
      </c>
      <c r="E15" s="75">
        <f t="shared" si="1"/>
        <v>45970</v>
      </c>
      <c r="F15" s="75">
        <f t="shared" si="2"/>
        <v>45977</v>
      </c>
      <c r="G15" s="75">
        <f t="shared" si="3"/>
        <v>45983</v>
      </c>
      <c r="H15" s="75">
        <f t="shared" si="4"/>
        <v>45971</v>
      </c>
      <c r="I15" s="75">
        <f t="shared" si="5"/>
        <v>45978</v>
      </c>
      <c r="J15" s="75">
        <v>45993</v>
      </c>
      <c r="K15" s="76">
        <f t="shared" si="6"/>
        <v>30</v>
      </c>
      <c r="L15" s="25">
        <v>19.239999999999998</v>
      </c>
      <c r="M15" s="25">
        <v>9.73</v>
      </c>
      <c r="N15" s="25">
        <f t="shared" si="7"/>
        <v>9.509999999999998</v>
      </c>
      <c r="O15" s="25" t="s">
        <v>544</v>
      </c>
    </row>
    <row r="16" spans="1:15" x14ac:dyDescent="0.25">
      <c r="A16" s="75">
        <v>45963</v>
      </c>
      <c r="B16" s="25" t="s">
        <v>375</v>
      </c>
      <c r="C16" s="25"/>
      <c r="D16" s="75">
        <f t="shared" si="0"/>
        <v>45986</v>
      </c>
      <c r="E16" s="75">
        <f t="shared" si="1"/>
        <v>45970</v>
      </c>
      <c r="F16" s="75">
        <f t="shared" si="2"/>
        <v>45977</v>
      </c>
      <c r="G16" s="75">
        <f t="shared" si="3"/>
        <v>45983</v>
      </c>
      <c r="H16" s="75">
        <f t="shared" si="4"/>
        <v>45971</v>
      </c>
      <c r="I16" s="75">
        <f t="shared" si="5"/>
        <v>45978</v>
      </c>
      <c r="J16" s="75">
        <v>45993</v>
      </c>
      <c r="K16" s="76">
        <f t="shared" si="6"/>
        <v>30</v>
      </c>
      <c r="L16" s="25">
        <v>17.579999999999998</v>
      </c>
      <c r="M16" s="25">
        <v>8.0399999999999991</v>
      </c>
      <c r="N16" s="25">
        <f t="shared" si="7"/>
        <v>9.5399999999999991</v>
      </c>
      <c r="O16" s="25" t="s">
        <v>544</v>
      </c>
    </row>
    <row r="17" spans="1:15" x14ac:dyDescent="0.25">
      <c r="A17" s="75">
        <v>45964</v>
      </c>
      <c r="B17" s="25" t="s">
        <v>404</v>
      </c>
      <c r="C17" s="25"/>
      <c r="D17" s="75">
        <f t="shared" si="0"/>
        <v>45987</v>
      </c>
      <c r="E17" s="75">
        <f t="shared" si="1"/>
        <v>45971</v>
      </c>
      <c r="F17" s="75">
        <f t="shared" si="2"/>
        <v>45978</v>
      </c>
      <c r="G17" s="75">
        <f t="shared" si="3"/>
        <v>45984</v>
      </c>
      <c r="H17" s="75">
        <f t="shared" si="4"/>
        <v>45972</v>
      </c>
      <c r="I17" s="75">
        <f t="shared" si="5"/>
        <v>45979</v>
      </c>
      <c r="J17" s="75">
        <v>45994</v>
      </c>
      <c r="K17" s="76">
        <f t="shared" si="6"/>
        <v>30</v>
      </c>
      <c r="L17" s="25">
        <v>18.21</v>
      </c>
      <c r="M17" s="25">
        <v>17.809999999999999</v>
      </c>
      <c r="N17" s="25">
        <f t="shared" si="7"/>
        <v>0.40000000000000213</v>
      </c>
      <c r="O17" s="25" t="s">
        <v>545</v>
      </c>
    </row>
    <row r="18" spans="1:15" x14ac:dyDescent="0.25">
      <c r="A18" s="75">
        <v>45964</v>
      </c>
      <c r="B18" s="25" t="s">
        <v>405</v>
      </c>
      <c r="C18" s="25"/>
      <c r="D18" s="75">
        <f t="shared" si="0"/>
        <v>45987</v>
      </c>
      <c r="E18" s="75">
        <f t="shared" si="1"/>
        <v>45971</v>
      </c>
      <c r="F18" s="75">
        <f t="shared" si="2"/>
        <v>45978</v>
      </c>
      <c r="G18" s="75">
        <f t="shared" si="3"/>
        <v>45984</v>
      </c>
      <c r="H18" s="75">
        <f t="shared" si="4"/>
        <v>45972</v>
      </c>
      <c r="I18" s="75">
        <f t="shared" si="5"/>
        <v>45979</v>
      </c>
      <c r="J18" s="75">
        <v>45994</v>
      </c>
      <c r="K18" s="76">
        <f t="shared" si="6"/>
        <v>30</v>
      </c>
      <c r="L18" s="25">
        <v>17.93</v>
      </c>
      <c r="M18" s="25">
        <v>16.579999999999998</v>
      </c>
      <c r="N18" s="25">
        <f t="shared" si="7"/>
        <v>1.3500000000000014</v>
      </c>
      <c r="O18" s="25" t="s">
        <v>545</v>
      </c>
    </row>
    <row r="19" spans="1:15" x14ac:dyDescent="0.25">
      <c r="A19" s="75">
        <v>45964</v>
      </c>
      <c r="B19" s="25" t="s">
        <v>406</v>
      </c>
      <c r="C19" s="25"/>
      <c r="D19" s="75">
        <f t="shared" si="0"/>
        <v>45987</v>
      </c>
      <c r="E19" s="75">
        <f t="shared" si="1"/>
        <v>45971</v>
      </c>
      <c r="F19" s="75">
        <f t="shared" si="2"/>
        <v>45978</v>
      </c>
      <c r="G19" s="75">
        <f t="shared" si="3"/>
        <v>45984</v>
      </c>
      <c r="H19" s="75">
        <f t="shared" si="4"/>
        <v>45972</v>
      </c>
      <c r="I19" s="75">
        <f t="shared" si="5"/>
        <v>45979</v>
      </c>
      <c r="J19" s="75">
        <v>45994</v>
      </c>
      <c r="K19" s="76">
        <f t="shared" si="6"/>
        <v>30</v>
      </c>
      <c r="L19" s="25">
        <v>18.559999999999999</v>
      </c>
      <c r="M19" s="25">
        <v>17.21</v>
      </c>
      <c r="N19" s="25">
        <f t="shared" si="7"/>
        <v>1.3499999999999979</v>
      </c>
      <c r="O19" s="25" t="s">
        <v>545</v>
      </c>
    </row>
    <row r="20" spans="1:15" x14ac:dyDescent="0.25">
      <c r="A20" s="75">
        <v>45964</v>
      </c>
      <c r="B20" s="25" t="s">
        <v>407</v>
      </c>
      <c r="C20" s="25"/>
      <c r="D20" s="75">
        <f t="shared" si="0"/>
        <v>45987</v>
      </c>
      <c r="E20" s="75">
        <f t="shared" si="1"/>
        <v>45971</v>
      </c>
      <c r="F20" s="75">
        <f t="shared" si="2"/>
        <v>45978</v>
      </c>
      <c r="G20" s="75">
        <f t="shared" si="3"/>
        <v>45984</v>
      </c>
      <c r="H20" s="75">
        <f t="shared" si="4"/>
        <v>45972</v>
      </c>
      <c r="I20" s="75">
        <f t="shared" si="5"/>
        <v>45979</v>
      </c>
      <c r="J20" s="75">
        <v>45994</v>
      </c>
      <c r="K20" s="76">
        <f t="shared" si="6"/>
        <v>30</v>
      </c>
      <c r="L20" s="25">
        <v>18.11</v>
      </c>
      <c r="M20" s="25">
        <v>8.76</v>
      </c>
      <c r="N20" s="25">
        <f t="shared" si="7"/>
        <v>9.35</v>
      </c>
      <c r="O20" s="25" t="s">
        <v>544</v>
      </c>
    </row>
    <row r="21" spans="1:15" x14ac:dyDescent="0.25">
      <c r="A21" s="75">
        <v>45964</v>
      </c>
      <c r="B21" s="25" t="s">
        <v>408</v>
      </c>
      <c r="C21" s="25"/>
      <c r="D21" s="75">
        <f t="shared" si="0"/>
        <v>45987</v>
      </c>
      <c r="E21" s="75">
        <f t="shared" si="1"/>
        <v>45971</v>
      </c>
      <c r="F21" s="75">
        <f t="shared" si="2"/>
        <v>45978</v>
      </c>
      <c r="G21" s="75">
        <f t="shared" si="3"/>
        <v>45984</v>
      </c>
      <c r="H21" s="75">
        <f t="shared" si="4"/>
        <v>45972</v>
      </c>
      <c r="I21" s="75">
        <f t="shared" si="5"/>
        <v>45979</v>
      </c>
      <c r="J21" s="75">
        <v>45994</v>
      </c>
      <c r="K21" s="76">
        <f t="shared" si="6"/>
        <v>30</v>
      </c>
      <c r="L21" s="25">
        <v>17.510000000000002</v>
      </c>
      <c r="M21" s="25">
        <v>7.91</v>
      </c>
      <c r="N21" s="25">
        <f t="shared" si="7"/>
        <v>9.6000000000000014</v>
      </c>
      <c r="O21" s="25" t="s">
        <v>544</v>
      </c>
    </row>
    <row r="22" spans="1:15" x14ac:dyDescent="0.25">
      <c r="A22" s="75">
        <v>45964</v>
      </c>
      <c r="B22" s="25" t="s">
        <v>409</v>
      </c>
      <c r="C22" s="25"/>
      <c r="D22" s="75">
        <f t="shared" si="0"/>
        <v>45987</v>
      </c>
      <c r="E22" s="75">
        <f t="shared" si="1"/>
        <v>45971</v>
      </c>
      <c r="F22" s="75">
        <f t="shared" si="2"/>
        <v>45978</v>
      </c>
      <c r="G22" s="75">
        <f t="shared" si="3"/>
        <v>45984</v>
      </c>
      <c r="H22" s="75">
        <f t="shared" si="4"/>
        <v>45972</v>
      </c>
      <c r="I22" s="75">
        <f t="shared" si="5"/>
        <v>45979</v>
      </c>
      <c r="J22" s="75">
        <v>45994</v>
      </c>
      <c r="K22" s="76">
        <f t="shared" si="6"/>
        <v>30</v>
      </c>
      <c r="L22" s="25">
        <v>16.59</v>
      </c>
      <c r="M22" s="25">
        <v>7.14</v>
      </c>
      <c r="N22" s="25">
        <f t="shared" si="7"/>
        <v>9.4499999999999993</v>
      </c>
      <c r="O22" s="25" t="s">
        <v>544</v>
      </c>
    </row>
    <row r="23" spans="1:15" x14ac:dyDescent="0.25">
      <c r="A23" s="75">
        <v>45964</v>
      </c>
      <c r="B23" s="25" t="s">
        <v>403</v>
      </c>
      <c r="C23" s="25"/>
      <c r="D23" s="75">
        <f t="shared" si="0"/>
        <v>45987</v>
      </c>
      <c r="E23" s="75">
        <f t="shared" si="1"/>
        <v>45971</v>
      </c>
      <c r="F23" s="75">
        <f t="shared" si="2"/>
        <v>45978</v>
      </c>
      <c r="G23" s="75">
        <f t="shared" si="3"/>
        <v>45984</v>
      </c>
      <c r="H23" s="75">
        <f t="shared" si="4"/>
        <v>45972</v>
      </c>
      <c r="I23" s="75">
        <f t="shared" si="5"/>
        <v>45979</v>
      </c>
      <c r="J23" s="75">
        <v>45995</v>
      </c>
      <c r="K23" s="76">
        <f t="shared" si="6"/>
        <v>31</v>
      </c>
      <c r="L23" s="25">
        <v>16.28</v>
      </c>
      <c r="M23" s="25">
        <v>7.08</v>
      </c>
      <c r="N23" s="25">
        <f t="shared" si="7"/>
        <v>9.2000000000000011</v>
      </c>
      <c r="O23" s="25" t="s">
        <v>544</v>
      </c>
    </row>
    <row r="24" spans="1:15" x14ac:dyDescent="0.25">
      <c r="A24" s="75">
        <v>45965</v>
      </c>
      <c r="B24" s="25" t="s">
        <v>417</v>
      </c>
      <c r="C24" s="25"/>
      <c r="D24" s="75">
        <f t="shared" si="0"/>
        <v>45988</v>
      </c>
      <c r="E24" s="75">
        <f t="shared" si="1"/>
        <v>45972</v>
      </c>
      <c r="F24" s="75">
        <f t="shared" si="2"/>
        <v>45979</v>
      </c>
      <c r="G24" s="75">
        <f t="shared" si="3"/>
        <v>45985</v>
      </c>
      <c r="H24" s="75">
        <f t="shared" si="4"/>
        <v>45973</v>
      </c>
      <c r="I24" s="75">
        <f t="shared" si="5"/>
        <v>45980</v>
      </c>
      <c r="J24" s="75">
        <v>45995</v>
      </c>
      <c r="K24" s="76">
        <f t="shared" si="6"/>
        <v>30</v>
      </c>
      <c r="L24" s="25">
        <v>16.21</v>
      </c>
      <c r="M24" s="25">
        <v>15.12</v>
      </c>
      <c r="N24" s="25">
        <f t="shared" si="7"/>
        <v>1.0900000000000016</v>
      </c>
      <c r="O24" s="25" t="s">
        <v>545</v>
      </c>
    </row>
    <row r="25" spans="1:15" x14ac:dyDescent="0.25">
      <c r="A25" s="75">
        <v>45965</v>
      </c>
      <c r="B25" s="25" t="s">
        <v>419</v>
      </c>
      <c r="C25" s="25"/>
      <c r="D25" s="75">
        <f t="shared" si="0"/>
        <v>45988</v>
      </c>
      <c r="E25" s="75">
        <f t="shared" si="1"/>
        <v>45972</v>
      </c>
      <c r="F25" s="75">
        <f t="shared" si="2"/>
        <v>45979</v>
      </c>
      <c r="G25" s="75">
        <f t="shared" si="3"/>
        <v>45985</v>
      </c>
      <c r="H25" s="75">
        <f t="shared" si="4"/>
        <v>45973</v>
      </c>
      <c r="I25" s="75">
        <f t="shared" si="5"/>
        <v>45980</v>
      </c>
      <c r="J25" s="75">
        <v>45995</v>
      </c>
      <c r="K25" s="76">
        <f t="shared" si="6"/>
        <v>30</v>
      </c>
      <c r="L25" s="25">
        <v>14.28</v>
      </c>
      <c r="M25" s="25">
        <v>13.1</v>
      </c>
      <c r="N25" s="25">
        <f t="shared" si="7"/>
        <v>1.1799999999999997</v>
      </c>
      <c r="O25" s="25" t="s">
        <v>545</v>
      </c>
    </row>
    <row r="26" spans="1:15" x14ac:dyDescent="0.25">
      <c r="A26" s="75">
        <v>45965</v>
      </c>
      <c r="B26" s="25" t="s">
        <v>421</v>
      </c>
      <c r="C26" s="25"/>
      <c r="D26" s="75">
        <f t="shared" si="0"/>
        <v>45988</v>
      </c>
      <c r="E26" s="75">
        <f t="shared" si="1"/>
        <v>45972</v>
      </c>
      <c r="F26" s="75">
        <f t="shared" si="2"/>
        <v>45979</v>
      </c>
      <c r="G26" s="75">
        <f t="shared" si="3"/>
        <v>45985</v>
      </c>
      <c r="H26" s="75">
        <f t="shared" si="4"/>
        <v>45973</v>
      </c>
      <c r="I26" s="75">
        <f t="shared" si="5"/>
        <v>45980</v>
      </c>
      <c r="J26" s="75">
        <v>45995</v>
      </c>
      <c r="K26" s="76">
        <f t="shared" si="6"/>
        <v>30</v>
      </c>
      <c r="L26" s="25">
        <v>15.74</v>
      </c>
      <c r="M26" s="25">
        <v>14.21</v>
      </c>
      <c r="N26" s="25">
        <f t="shared" si="7"/>
        <v>1.5299999999999994</v>
      </c>
      <c r="O26" s="25" t="s">
        <v>545</v>
      </c>
    </row>
    <row r="27" spans="1:15" x14ac:dyDescent="0.25">
      <c r="A27" s="75">
        <v>45965</v>
      </c>
      <c r="B27" s="25" t="s">
        <v>422</v>
      </c>
      <c r="C27" s="25"/>
      <c r="D27" s="75">
        <f t="shared" si="0"/>
        <v>45988</v>
      </c>
      <c r="E27" s="75">
        <f t="shared" si="1"/>
        <v>45972</v>
      </c>
      <c r="F27" s="75">
        <f t="shared" si="2"/>
        <v>45979</v>
      </c>
      <c r="G27" s="75">
        <f t="shared" si="3"/>
        <v>45985</v>
      </c>
      <c r="H27" s="75">
        <f t="shared" si="4"/>
        <v>45973</v>
      </c>
      <c r="I27" s="75">
        <f t="shared" si="5"/>
        <v>45980</v>
      </c>
      <c r="J27" s="75">
        <v>45995</v>
      </c>
      <c r="K27" s="76">
        <f t="shared" si="6"/>
        <v>30</v>
      </c>
      <c r="L27" s="25">
        <v>15.02</v>
      </c>
      <c r="M27" s="25">
        <v>13.98</v>
      </c>
      <c r="N27" s="25">
        <f t="shared" si="7"/>
        <v>1.0399999999999991</v>
      </c>
      <c r="O27" s="25" t="s">
        <v>545</v>
      </c>
    </row>
    <row r="28" spans="1:15" x14ac:dyDescent="0.25">
      <c r="A28" s="75">
        <v>45965</v>
      </c>
      <c r="B28" s="25" t="s">
        <v>423</v>
      </c>
      <c r="C28" s="25"/>
      <c r="D28" s="75">
        <f t="shared" si="0"/>
        <v>45988</v>
      </c>
      <c r="E28" s="75">
        <f t="shared" si="1"/>
        <v>45972</v>
      </c>
      <c r="F28" s="75">
        <f t="shared" si="2"/>
        <v>45979</v>
      </c>
      <c r="G28" s="75">
        <f t="shared" si="3"/>
        <v>45985</v>
      </c>
      <c r="H28" s="75">
        <f t="shared" si="4"/>
        <v>45973</v>
      </c>
      <c r="I28" s="75">
        <f t="shared" si="5"/>
        <v>45980</v>
      </c>
      <c r="J28" s="75">
        <v>45995</v>
      </c>
      <c r="K28" s="76">
        <f t="shared" si="6"/>
        <v>30</v>
      </c>
      <c r="L28" s="25">
        <v>17.21</v>
      </c>
      <c r="M28" s="25">
        <v>16.12</v>
      </c>
      <c r="N28" s="25">
        <f t="shared" si="7"/>
        <v>1.0899999999999999</v>
      </c>
      <c r="O28" s="25" t="s">
        <v>545</v>
      </c>
    </row>
    <row r="29" spans="1:15" x14ac:dyDescent="0.25">
      <c r="A29" s="75">
        <v>45965</v>
      </c>
      <c r="B29" s="25" t="s">
        <v>418</v>
      </c>
      <c r="C29" s="25"/>
      <c r="D29" s="75">
        <f t="shared" si="0"/>
        <v>45988</v>
      </c>
      <c r="E29" s="75">
        <f t="shared" si="1"/>
        <v>45972</v>
      </c>
      <c r="F29" s="75">
        <f t="shared" si="2"/>
        <v>45979</v>
      </c>
      <c r="G29" s="75">
        <f t="shared" si="3"/>
        <v>45985</v>
      </c>
      <c r="H29" s="75">
        <f t="shared" si="4"/>
        <v>45973</v>
      </c>
      <c r="I29" s="75">
        <f t="shared" si="5"/>
        <v>45980</v>
      </c>
      <c r="J29" s="75">
        <v>45996</v>
      </c>
      <c r="K29" s="76">
        <f t="shared" si="6"/>
        <v>31</v>
      </c>
      <c r="L29" s="25">
        <v>12.51</v>
      </c>
      <c r="M29" s="25">
        <v>5.12</v>
      </c>
      <c r="N29" s="25">
        <f t="shared" si="7"/>
        <v>7.39</v>
      </c>
      <c r="O29" s="25" t="s">
        <v>544</v>
      </c>
    </row>
    <row r="30" spans="1:15" x14ac:dyDescent="0.25">
      <c r="A30" s="75">
        <v>45965</v>
      </c>
      <c r="B30" s="25" t="s">
        <v>420</v>
      </c>
      <c r="C30" s="25"/>
      <c r="D30" s="75">
        <f t="shared" si="0"/>
        <v>45988</v>
      </c>
      <c r="E30" s="75">
        <f t="shared" si="1"/>
        <v>45972</v>
      </c>
      <c r="F30" s="75">
        <f t="shared" si="2"/>
        <v>45979</v>
      </c>
      <c r="G30" s="75">
        <f t="shared" si="3"/>
        <v>45985</v>
      </c>
      <c r="H30" s="75">
        <f t="shared" si="4"/>
        <v>45973</v>
      </c>
      <c r="I30" s="75">
        <f t="shared" si="5"/>
        <v>45980</v>
      </c>
      <c r="J30" s="75">
        <v>45996</v>
      </c>
      <c r="K30" s="76">
        <f t="shared" si="6"/>
        <v>31</v>
      </c>
      <c r="L30" s="25">
        <v>11.27</v>
      </c>
      <c r="M30" s="25">
        <v>4.8</v>
      </c>
      <c r="N30" s="25">
        <f t="shared" si="7"/>
        <v>6.47</v>
      </c>
      <c r="O30" s="25" t="s">
        <v>544</v>
      </c>
    </row>
    <row r="31" spans="1:15" x14ac:dyDescent="0.25">
      <c r="A31" s="75">
        <v>45966</v>
      </c>
      <c r="B31" s="25" t="s">
        <v>369</v>
      </c>
      <c r="C31" s="25"/>
      <c r="D31" s="75">
        <f t="shared" si="0"/>
        <v>45989</v>
      </c>
      <c r="E31" s="75">
        <f t="shared" si="1"/>
        <v>45973</v>
      </c>
      <c r="F31" s="75">
        <f t="shared" si="2"/>
        <v>45980</v>
      </c>
      <c r="G31" s="75">
        <f t="shared" si="3"/>
        <v>45986</v>
      </c>
      <c r="H31" s="75">
        <f t="shared" si="4"/>
        <v>45974</v>
      </c>
      <c r="I31" s="75">
        <f t="shared" si="5"/>
        <v>45981</v>
      </c>
      <c r="J31" s="75">
        <v>45995</v>
      </c>
      <c r="K31" s="76">
        <f t="shared" si="6"/>
        <v>29</v>
      </c>
      <c r="L31" s="25">
        <v>17.510000000000002</v>
      </c>
      <c r="M31" s="25">
        <v>16.059999999999999</v>
      </c>
      <c r="N31" s="25">
        <f t="shared" si="7"/>
        <v>1.4500000000000028</v>
      </c>
      <c r="O31" s="25" t="s">
        <v>545</v>
      </c>
    </row>
    <row r="32" spans="1:15" x14ac:dyDescent="0.25">
      <c r="A32" s="75">
        <v>45966</v>
      </c>
      <c r="B32" s="25" t="s">
        <v>370</v>
      </c>
      <c r="C32" s="25"/>
      <c r="D32" s="75">
        <f t="shared" si="0"/>
        <v>45989</v>
      </c>
      <c r="E32" s="75">
        <f t="shared" si="1"/>
        <v>45973</v>
      </c>
      <c r="F32" s="75">
        <f t="shared" si="2"/>
        <v>45980</v>
      </c>
      <c r="G32" s="75">
        <f t="shared" si="3"/>
        <v>45986</v>
      </c>
      <c r="H32" s="75">
        <f t="shared" si="4"/>
        <v>45974</v>
      </c>
      <c r="I32" s="75">
        <f t="shared" si="5"/>
        <v>45981</v>
      </c>
      <c r="J32" s="75">
        <v>45995</v>
      </c>
      <c r="K32" s="76">
        <f t="shared" si="6"/>
        <v>29</v>
      </c>
      <c r="L32" s="25">
        <v>15.24</v>
      </c>
      <c r="M32" s="25">
        <v>14.81</v>
      </c>
      <c r="N32" s="25">
        <f t="shared" si="7"/>
        <v>0.42999999999999972</v>
      </c>
      <c r="O32" s="25" t="s">
        <v>545</v>
      </c>
    </row>
    <row r="33" spans="1:15" x14ac:dyDescent="0.25">
      <c r="A33" s="75">
        <v>45966</v>
      </c>
      <c r="B33" s="25" t="s">
        <v>371</v>
      </c>
      <c r="C33" s="25"/>
      <c r="D33" s="75">
        <f t="shared" si="0"/>
        <v>45989</v>
      </c>
      <c r="E33" s="75">
        <f t="shared" si="1"/>
        <v>45973</v>
      </c>
      <c r="F33" s="75">
        <f t="shared" si="2"/>
        <v>45980</v>
      </c>
      <c r="G33" s="75">
        <f t="shared" si="3"/>
        <v>45986</v>
      </c>
      <c r="H33" s="75">
        <f t="shared" si="4"/>
        <v>45974</v>
      </c>
      <c r="I33" s="75">
        <f t="shared" si="5"/>
        <v>45981</v>
      </c>
      <c r="J33" s="75">
        <v>45995</v>
      </c>
      <c r="K33" s="76">
        <f t="shared" si="6"/>
        <v>29</v>
      </c>
      <c r="L33" s="25">
        <v>16.91</v>
      </c>
      <c r="M33" s="25">
        <v>7.68</v>
      </c>
      <c r="N33" s="25">
        <f t="shared" si="7"/>
        <v>9.23</v>
      </c>
      <c r="O33" s="25" t="s">
        <v>544</v>
      </c>
    </row>
    <row r="34" spans="1:15" x14ac:dyDescent="0.25">
      <c r="A34" s="75">
        <v>45966</v>
      </c>
      <c r="B34" s="25" t="s">
        <v>372</v>
      </c>
      <c r="C34" s="25"/>
      <c r="D34" s="75">
        <f t="shared" si="0"/>
        <v>45989</v>
      </c>
      <c r="E34" s="75">
        <f t="shared" si="1"/>
        <v>45973</v>
      </c>
      <c r="F34" s="75">
        <f t="shared" si="2"/>
        <v>45980</v>
      </c>
      <c r="G34" s="75">
        <f t="shared" si="3"/>
        <v>45986</v>
      </c>
      <c r="H34" s="75">
        <f t="shared" si="4"/>
        <v>45974</v>
      </c>
      <c r="I34" s="75">
        <f t="shared" si="5"/>
        <v>45981</v>
      </c>
      <c r="J34" s="75">
        <v>45995</v>
      </c>
      <c r="K34" s="76">
        <f t="shared" si="6"/>
        <v>29</v>
      </c>
      <c r="L34" s="25">
        <v>18.510000000000002</v>
      </c>
      <c r="M34" s="25">
        <v>8.51</v>
      </c>
      <c r="N34" s="25">
        <f t="shared" si="7"/>
        <v>10.000000000000002</v>
      </c>
      <c r="O34" s="25" t="s">
        <v>544</v>
      </c>
    </row>
    <row r="35" spans="1:15" x14ac:dyDescent="0.25">
      <c r="A35" s="75">
        <v>45966</v>
      </c>
      <c r="B35" s="25" t="s">
        <v>366</v>
      </c>
      <c r="C35" s="25"/>
      <c r="D35" s="75">
        <f t="shared" si="0"/>
        <v>45989</v>
      </c>
      <c r="E35" s="75">
        <f t="shared" si="1"/>
        <v>45973</v>
      </c>
      <c r="F35" s="75">
        <f t="shared" si="2"/>
        <v>45980</v>
      </c>
      <c r="G35" s="75">
        <f t="shared" si="3"/>
        <v>45986</v>
      </c>
      <c r="H35" s="75">
        <f t="shared" si="4"/>
        <v>45974</v>
      </c>
      <c r="I35" s="75">
        <f t="shared" si="5"/>
        <v>45981</v>
      </c>
      <c r="J35" s="75">
        <v>45996</v>
      </c>
      <c r="K35" s="76">
        <f t="shared" ref="K35:K66" si="8">J35-A35</f>
        <v>30</v>
      </c>
      <c r="L35" s="25">
        <v>15.19</v>
      </c>
      <c r="M35" s="25">
        <v>14.76</v>
      </c>
      <c r="N35" s="25">
        <f t="shared" si="7"/>
        <v>0.42999999999999972</v>
      </c>
      <c r="O35" s="25" t="s">
        <v>545</v>
      </c>
    </row>
    <row r="36" spans="1:15" x14ac:dyDescent="0.25">
      <c r="A36" s="75">
        <v>45966</v>
      </c>
      <c r="B36" s="25" t="s">
        <v>367</v>
      </c>
      <c r="C36" s="25"/>
      <c r="D36" s="75">
        <f t="shared" si="0"/>
        <v>45989</v>
      </c>
      <c r="E36" s="75">
        <f t="shared" si="1"/>
        <v>45973</v>
      </c>
      <c r="F36" s="75">
        <f t="shared" si="2"/>
        <v>45980</v>
      </c>
      <c r="G36" s="75">
        <f t="shared" si="3"/>
        <v>45986</v>
      </c>
      <c r="H36" s="75">
        <f t="shared" si="4"/>
        <v>45974</v>
      </c>
      <c r="I36" s="75">
        <f t="shared" si="5"/>
        <v>45981</v>
      </c>
      <c r="J36" s="75">
        <v>45996</v>
      </c>
      <c r="K36" s="76">
        <f t="shared" si="8"/>
        <v>30</v>
      </c>
      <c r="L36" s="25">
        <v>15.07</v>
      </c>
      <c r="M36" s="25">
        <v>13.91</v>
      </c>
      <c r="N36" s="25">
        <f t="shared" si="7"/>
        <v>1.1600000000000001</v>
      </c>
      <c r="O36" s="25" t="s">
        <v>545</v>
      </c>
    </row>
    <row r="37" spans="1:15" x14ac:dyDescent="0.25">
      <c r="A37" s="75">
        <v>45966</v>
      </c>
      <c r="B37" s="25" t="s">
        <v>368</v>
      </c>
      <c r="C37" s="25"/>
      <c r="D37" s="75">
        <f t="shared" si="0"/>
        <v>45989</v>
      </c>
      <c r="E37" s="75">
        <f t="shared" si="1"/>
        <v>45973</v>
      </c>
      <c r="F37" s="75">
        <f t="shared" si="2"/>
        <v>45980</v>
      </c>
      <c r="G37" s="75">
        <f t="shared" si="3"/>
        <v>45986</v>
      </c>
      <c r="H37" s="75">
        <f t="shared" si="4"/>
        <v>45974</v>
      </c>
      <c r="I37" s="75">
        <f t="shared" si="5"/>
        <v>45981</v>
      </c>
      <c r="J37" s="75">
        <v>45996</v>
      </c>
      <c r="K37" s="76">
        <f t="shared" si="8"/>
        <v>30</v>
      </c>
      <c r="L37" s="25">
        <v>14.33</v>
      </c>
      <c r="M37" s="25">
        <v>13.12</v>
      </c>
      <c r="N37" s="25">
        <f t="shared" si="7"/>
        <v>1.2100000000000009</v>
      </c>
      <c r="O37" s="25" t="s">
        <v>545</v>
      </c>
    </row>
    <row r="38" spans="1:15" x14ac:dyDescent="0.25">
      <c r="A38" s="75">
        <v>45967</v>
      </c>
      <c r="B38" s="25" t="s">
        <v>400</v>
      </c>
      <c r="C38" s="25"/>
      <c r="D38" s="75">
        <f t="shared" si="0"/>
        <v>45990</v>
      </c>
      <c r="E38" s="75">
        <f t="shared" si="1"/>
        <v>45974</v>
      </c>
      <c r="F38" s="75">
        <f t="shared" si="2"/>
        <v>45981</v>
      </c>
      <c r="G38" s="75">
        <f t="shared" si="3"/>
        <v>45987</v>
      </c>
      <c r="H38" s="75">
        <f t="shared" si="4"/>
        <v>45975</v>
      </c>
      <c r="I38" s="75">
        <f t="shared" si="5"/>
        <v>45982</v>
      </c>
      <c r="J38" s="75">
        <v>45996</v>
      </c>
      <c r="K38" s="76">
        <f t="shared" si="8"/>
        <v>29</v>
      </c>
      <c r="L38" s="25">
        <v>16.11</v>
      </c>
      <c r="M38" s="25">
        <v>14.97</v>
      </c>
      <c r="N38" s="25">
        <f t="shared" si="7"/>
        <v>1.1399999999999988</v>
      </c>
      <c r="O38" s="25" t="s">
        <v>545</v>
      </c>
    </row>
    <row r="39" spans="1:15" x14ac:dyDescent="0.25">
      <c r="A39" s="75">
        <v>45967</v>
      </c>
      <c r="B39" s="25" t="s">
        <v>401</v>
      </c>
      <c r="C39" s="25"/>
      <c r="D39" s="75">
        <f t="shared" si="0"/>
        <v>45990</v>
      </c>
      <c r="E39" s="75">
        <f t="shared" si="1"/>
        <v>45974</v>
      </c>
      <c r="F39" s="75">
        <f t="shared" si="2"/>
        <v>45981</v>
      </c>
      <c r="G39" s="75">
        <f t="shared" si="3"/>
        <v>45987</v>
      </c>
      <c r="H39" s="75">
        <f t="shared" si="4"/>
        <v>45975</v>
      </c>
      <c r="I39" s="75">
        <f t="shared" si="5"/>
        <v>45982</v>
      </c>
      <c r="J39" s="75">
        <v>45996</v>
      </c>
      <c r="K39" s="76">
        <f t="shared" si="8"/>
        <v>29</v>
      </c>
      <c r="L39" s="25">
        <v>14.56</v>
      </c>
      <c r="M39" s="25">
        <v>13.82</v>
      </c>
      <c r="N39" s="25">
        <f t="shared" si="7"/>
        <v>0.74000000000000021</v>
      </c>
      <c r="O39" s="25" t="s">
        <v>545</v>
      </c>
    </row>
    <row r="40" spans="1:15" x14ac:dyDescent="0.25">
      <c r="A40" s="75">
        <v>45967</v>
      </c>
      <c r="B40" s="25" t="s">
        <v>396</v>
      </c>
      <c r="C40" s="25"/>
      <c r="D40" s="75">
        <f t="shared" si="0"/>
        <v>45990</v>
      </c>
      <c r="E40" s="75">
        <f t="shared" si="1"/>
        <v>45974</v>
      </c>
      <c r="F40" s="75">
        <f t="shared" si="2"/>
        <v>45981</v>
      </c>
      <c r="G40" s="75">
        <f t="shared" si="3"/>
        <v>45987</v>
      </c>
      <c r="H40" s="75">
        <f t="shared" si="4"/>
        <v>45975</v>
      </c>
      <c r="I40" s="75">
        <f t="shared" si="5"/>
        <v>45982</v>
      </c>
      <c r="J40" s="75">
        <v>45997</v>
      </c>
      <c r="K40" s="76">
        <f t="shared" si="8"/>
        <v>30</v>
      </c>
      <c r="L40" s="25">
        <v>15.21</v>
      </c>
      <c r="M40" s="25">
        <v>6.98</v>
      </c>
      <c r="N40" s="25">
        <f t="shared" si="7"/>
        <v>8.23</v>
      </c>
      <c r="O40" s="25" t="s">
        <v>544</v>
      </c>
    </row>
    <row r="41" spans="1:15" x14ac:dyDescent="0.25">
      <c r="A41" s="75">
        <v>45967</v>
      </c>
      <c r="B41" s="25" t="s">
        <v>397</v>
      </c>
      <c r="C41" s="25"/>
      <c r="D41" s="75">
        <f t="shared" si="0"/>
        <v>45990</v>
      </c>
      <c r="E41" s="75">
        <f t="shared" si="1"/>
        <v>45974</v>
      </c>
      <c r="F41" s="75">
        <f t="shared" si="2"/>
        <v>45981</v>
      </c>
      <c r="G41" s="75">
        <f t="shared" si="3"/>
        <v>45987</v>
      </c>
      <c r="H41" s="75">
        <f t="shared" si="4"/>
        <v>45975</v>
      </c>
      <c r="I41" s="75">
        <f t="shared" si="5"/>
        <v>45982</v>
      </c>
      <c r="J41" s="75">
        <v>45997</v>
      </c>
      <c r="K41" s="76">
        <f t="shared" si="8"/>
        <v>30</v>
      </c>
      <c r="L41" s="25">
        <v>13.98</v>
      </c>
      <c r="M41" s="25">
        <v>5.71</v>
      </c>
      <c r="N41" s="25">
        <f t="shared" si="7"/>
        <v>8.27</v>
      </c>
      <c r="O41" s="25" t="s">
        <v>544</v>
      </c>
    </row>
    <row r="42" spans="1:15" x14ac:dyDescent="0.25">
      <c r="A42" s="75">
        <v>45967</v>
      </c>
      <c r="B42" s="25" t="s">
        <v>398</v>
      </c>
      <c r="C42" s="25"/>
      <c r="D42" s="75">
        <f t="shared" si="0"/>
        <v>45990</v>
      </c>
      <c r="E42" s="75">
        <f t="shared" si="1"/>
        <v>45974</v>
      </c>
      <c r="F42" s="75">
        <f t="shared" si="2"/>
        <v>45981</v>
      </c>
      <c r="G42" s="75">
        <f t="shared" si="3"/>
        <v>45987</v>
      </c>
      <c r="H42" s="75">
        <f t="shared" si="4"/>
        <v>45975</v>
      </c>
      <c r="I42" s="75">
        <f t="shared" si="5"/>
        <v>45982</v>
      </c>
      <c r="J42" s="75">
        <v>45997</v>
      </c>
      <c r="K42" s="76">
        <f t="shared" si="8"/>
        <v>30</v>
      </c>
      <c r="L42" s="25">
        <v>16.2</v>
      </c>
      <c r="M42" s="25">
        <v>8.1199999999999992</v>
      </c>
      <c r="N42" s="25">
        <f t="shared" si="7"/>
        <v>8.08</v>
      </c>
      <c r="O42" s="25" t="s">
        <v>544</v>
      </c>
    </row>
    <row r="43" spans="1:15" x14ac:dyDescent="0.25">
      <c r="A43" s="75">
        <v>45967</v>
      </c>
      <c r="B43" s="25" t="s">
        <v>399</v>
      </c>
      <c r="C43" s="25"/>
      <c r="D43" s="75">
        <f t="shared" si="0"/>
        <v>45990</v>
      </c>
      <c r="E43" s="75">
        <f t="shared" si="1"/>
        <v>45974</v>
      </c>
      <c r="F43" s="75">
        <f t="shared" si="2"/>
        <v>45981</v>
      </c>
      <c r="G43" s="75">
        <f t="shared" si="3"/>
        <v>45987</v>
      </c>
      <c r="H43" s="75">
        <f t="shared" si="4"/>
        <v>45975</v>
      </c>
      <c r="I43" s="75">
        <f t="shared" si="5"/>
        <v>45982</v>
      </c>
      <c r="J43" s="75">
        <v>45997</v>
      </c>
      <c r="K43" s="76">
        <f t="shared" si="8"/>
        <v>30</v>
      </c>
      <c r="L43" s="25">
        <v>14.91</v>
      </c>
      <c r="M43" s="25">
        <v>7.08</v>
      </c>
      <c r="N43" s="25">
        <f t="shared" si="7"/>
        <v>7.83</v>
      </c>
      <c r="O43" s="25" t="s">
        <v>544</v>
      </c>
    </row>
    <row r="44" spans="1:15" x14ac:dyDescent="0.25">
      <c r="A44" s="75">
        <v>45967</v>
      </c>
      <c r="B44" s="25" t="s">
        <v>402</v>
      </c>
      <c r="C44" s="25"/>
      <c r="D44" s="75">
        <f t="shared" si="0"/>
        <v>45990</v>
      </c>
      <c r="E44" s="75">
        <f t="shared" si="1"/>
        <v>45974</v>
      </c>
      <c r="F44" s="75">
        <f t="shared" si="2"/>
        <v>45981</v>
      </c>
      <c r="G44" s="75">
        <f t="shared" si="3"/>
        <v>45987</v>
      </c>
      <c r="H44" s="75">
        <f t="shared" si="4"/>
        <v>45975</v>
      </c>
      <c r="I44" s="75">
        <f t="shared" si="5"/>
        <v>45982</v>
      </c>
      <c r="J44" s="75">
        <v>45997</v>
      </c>
      <c r="K44" s="76">
        <f t="shared" si="8"/>
        <v>30</v>
      </c>
      <c r="L44" s="25">
        <v>15.24</v>
      </c>
      <c r="M44" s="25">
        <v>7.62</v>
      </c>
      <c r="N44" s="25">
        <f t="shared" si="7"/>
        <v>7.62</v>
      </c>
      <c r="O44" s="25" t="s">
        <v>544</v>
      </c>
    </row>
    <row r="45" spans="1:15" x14ac:dyDescent="0.25">
      <c r="A45" s="75">
        <v>45968</v>
      </c>
      <c r="B45" s="25" t="s">
        <v>364</v>
      </c>
      <c r="C45" s="25"/>
      <c r="D45" s="75">
        <f t="shared" si="0"/>
        <v>45991</v>
      </c>
      <c r="E45" s="75">
        <f t="shared" si="1"/>
        <v>45975</v>
      </c>
      <c r="F45" s="75">
        <f t="shared" si="2"/>
        <v>45982</v>
      </c>
      <c r="G45" s="75">
        <f t="shared" si="3"/>
        <v>45988</v>
      </c>
      <c r="H45" s="75">
        <f t="shared" si="4"/>
        <v>45976</v>
      </c>
      <c r="I45" s="75">
        <f t="shared" si="5"/>
        <v>45983</v>
      </c>
      <c r="J45" s="75">
        <v>45997</v>
      </c>
      <c r="K45" s="76">
        <f t="shared" si="8"/>
        <v>29</v>
      </c>
      <c r="L45" s="25">
        <v>14.56</v>
      </c>
      <c r="M45" s="25">
        <v>7.03</v>
      </c>
      <c r="N45" s="25">
        <f t="shared" si="7"/>
        <v>7.53</v>
      </c>
      <c r="O45" s="25" t="s">
        <v>545</v>
      </c>
    </row>
    <row r="46" spans="1:15" x14ac:dyDescent="0.25">
      <c r="A46" s="75">
        <v>45968</v>
      </c>
      <c r="B46" s="25" t="s">
        <v>365</v>
      </c>
      <c r="C46" s="25"/>
      <c r="D46" s="75">
        <f t="shared" si="0"/>
        <v>45991</v>
      </c>
      <c r="E46" s="75">
        <f t="shared" si="1"/>
        <v>45975</v>
      </c>
      <c r="F46" s="75">
        <f t="shared" si="2"/>
        <v>45982</v>
      </c>
      <c r="G46" s="75">
        <f t="shared" si="3"/>
        <v>45988</v>
      </c>
      <c r="H46" s="75">
        <f t="shared" si="4"/>
        <v>45976</v>
      </c>
      <c r="I46" s="75">
        <f t="shared" si="5"/>
        <v>45983</v>
      </c>
      <c r="J46" s="75">
        <v>45997</v>
      </c>
      <c r="K46" s="76">
        <f t="shared" si="8"/>
        <v>29</v>
      </c>
      <c r="L46" s="25">
        <v>15.27</v>
      </c>
      <c r="M46" s="25">
        <v>14.31</v>
      </c>
      <c r="N46" s="25">
        <f t="shared" si="7"/>
        <v>0.95999999999999908</v>
      </c>
      <c r="O46" s="25" t="s">
        <v>545</v>
      </c>
    </row>
    <row r="47" spans="1:15" x14ac:dyDescent="0.25">
      <c r="A47" s="75">
        <v>45968</v>
      </c>
      <c r="B47" s="25" t="s">
        <v>394</v>
      </c>
      <c r="C47" s="25"/>
      <c r="D47" s="75">
        <f t="shared" si="0"/>
        <v>45991</v>
      </c>
      <c r="E47" s="75">
        <f t="shared" si="1"/>
        <v>45975</v>
      </c>
      <c r="F47" s="75">
        <f t="shared" si="2"/>
        <v>45982</v>
      </c>
      <c r="G47" s="75">
        <f t="shared" si="3"/>
        <v>45988</v>
      </c>
      <c r="H47" s="75">
        <f t="shared" si="4"/>
        <v>45976</v>
      </c>
      <c r="I47" s="75">
        <f t="shared" si="5"/>
        <v>45983</v>
      </c>
      <c r="J47" s="75">
        <v>45997</v>
      </c>
      <c r="K47" s="76">
        <f t="shared" si="8"/>
        <v>29</v>
      </c>
      <c r="L47" s="25">
        <v>14.32</v>
      </c>
      <c r="M47" s="25">
        <v>13.59</v>
      </c>
      <c r="N47" s="25">
        <f t="shared" si="7"/>
        <v>0.73000000000000043</v>
      </c>
      <c r="O47" s="25" t="s">
        <v>545</v>
      </c>
    </row>
    <row r="48" spans="1:15" x14ac:dyDescent="0.25">
      <c r="A48" s="75">
        <v>45968</v>
      </c>
      <c r="B48" s="25" t="s">
        <v>395</v>
      </c>
      <c r="C48" s="25"/>
      <c r="D48" s="75">
        <f t="shared" si="0"/>
        <v>45991</v>
      </c>
      <c r="E48" s="75">
        <f t="shared" si="1"/>
        <v>45975</v>
      </c>
      <c r="F48" s="75">
        <f t="shared" si="2"/>
        <v>45982</v>
      </c>
      <c r="G48" s="75">
        <f t="shared" si="3"/>
        <v>45988</v>
      </c>
      <c r="H48" s="75">
        <f t="shared" si="4"/>
        <v>45976</v>
      </c>
      <c r="I48" s="75">
        <f t="shared" si="5"/>
        <v>45983</v>
      </c>
      <c r="J48" s="75">
        <v>45997</v>
      </c>
      <c r="K48" s="76">
        <f t="shared" si="8"/>
        <v>29</v>
      </c>
      <c r="L48" s="25">
        <v>15.29</v>
      </c>
      <c r="M48" s="25">
        <v>14.62</v>
      </c>
      <c r="N48" s="25">
        <f t="shared" si="7"/>
        <v>0.66999999999999993</v>
      </c>
      <c r="O48" s="25" t="s">
        <v>545</v>
      </c>
    </row>
    <row r="49" spans="1:15" x14ac:dyDescent="0.25">
      <c r="A49" s="75">
        <v>45968</v>
      </c>
      <c r="B49" s="25" t="s">
        <v>424</v>
      </c>
      <c r="C49" s="25"/>
      <c r="D49" s="75">
        <f t="shared" si="0"/>
        <v>45991</v>
      </c>
      <c r="E49" s="75">
        <f t="shared" si="1"/>
        <v>45975</v>
      </c>
      <c r="F49" s="75">
        <f t="shared" si="2"/>
        <v>45982</v>
      </c>
      <c r="G49" s="75">
        <f t="shared" si="3"/>
        <v>45988</v>
      </c>
      <c r="H49" s="75">
        <f t="shared" si="4"/>
        <v>45976</v>
      </c>
      <c r="I49" s="75">
        <f t="shared" si="5"/>
        <v>45983</v>
      </c>
      <c r="J49" s="75">
        <v>45997</v>
      </c>
      <c r="K49" s="76">
        <f t="shared" si="8"/>
        <v>29</v>
      </c>
      <c r="L49" s="25">
        <v>11.74</v>
      </c>
      <c r="M49" s="25">
        <v>10.28</v>
      </c>
      <c r="N49" s="25">
        <f t="shared" si="7"/>
        <v>1.4600000000000009</v>
      </c>
      <c r="O49" s="25" t="s">
        <v>545</v>
      </c>
    </row>
    <row r="50" spans="1:15" x14ac:dyDescent="0.25">
      <c r="A50" s="75">
        <v>45968</v>
      </c>
      <c r="B50" s="25" t="s">
        <v>425</v>
      </c>
      <c r="C50" s="25"/>
      <c r="D50" s="75">
        <f t="shared" si="0"/>
        <v>45991</v>
      </c>
      <c r="E50" s="75">
        <f t="shared" si="1"/>
        <v>45975</v>
      </c>
      <c r="F50" s="75">
        <f t="shared" si="2"/>
        <v>45982</v>
      </c>
      <c r="G50" s="75">
        <f t="shared" si="3"/>
        <v>45988</v>
      </c>
      <c r="H50" s="75">
        <f t="shared" si="4"/>
        <v>45976</v>
      </c>
      <c r="I50" s="75">
        <f t="shared" si="5"/>
        <v>45983</v>
      </c>
      <c r="J50" s="75">
        <v>45997</v>
      </c>
      <c r="K50" s="76">
        <f t="shared" si="8"/>
        <v>29</v>
      </c>
      <c r="L50" s="25">
        <v>11.28</v>
      </c>
      <c r="M50" s="25">
        <v>10.14</v>
      </c>
      <c r="N50" s="25">
        <f t="shared" si="7"/>
        <v>1.1399999999999988</v>
      </c>
      <c r="O50" s="25" t="s">
        <v>545</v>
      </c>
    </row>
    <row r="51" spans="1:15" x14ac:dyDescent="0.25">
      <c r="A51" s="75">
        <v>45968</v>
      </c>
      <c r="B51" s="25" t="s">
        <v>426</v>
      </c>
      <c r="C51" s="25"/>
      <c r="D51" s="75">
        <f t="shared" si="0"/>
        <v>45991</v>
      </c>
      <c r="E51" s="75">
        <f t="shared" si="1"/>
        <v>45975</v>
      </c>
      <c r="F51" s="75">
        <f t="shared" si="2"/>
        <v>45982</v>
      </c>
      <c r="G51" s="75">
        <f t="shared" si="3"/>
        <v>45988</v>
      </c>
      <c r="H51" s="75">
        <f t="shared" si="4"/>
        <v>45976</v>
      </c>
      <c r="I51" s="75">
        <f t="shared" si="5"/>
        <v>45983</v>
      </c>
      <c r="J51" s="75">
        <v>45997</v>
      </c>
      <c r="K51" s="76">
        <f t="shared" si="8"/>
        <v>29</v>
      </c>
      <c r="L51" s="25">
        <v>8.2100000000000009</v>
      </c>
      <c r="M51" s="25">
        <v>7.05</v>
      </c>
      <c r="N51" s="25">
        <f t="shared" si="7"/>
        <v>1.160000000000001</v>
      </c>
      <c r="O51" s="25" t="s">
        <v>545</v>
      </c>
    </row>
    <row r="52" spans="1:15" x14ac:dyDescent="0.25">
      <c r="A52" s="75">
        <v>45969</v>
      </c>
      <c r="B52" s="25" t="s">
        <v>428</v>
      </c>
      <c r="C52" s="25"/>
      <c r="D52" s="75">
        <f t="shared" si="0"/>
        <v>45992</v>
      </c>
      <c r="E52" s="75">
        <f t="shared" si="1"/>
        <v>45976</v>
      </c>
      <c r="F52" s="75">
        <f t="shared" si="2"/>
        <v>45983</v>
      </c>
      <c r="G52" s="75">
        <f t="shared" si="3"/>
        <v>45989</v>
      </c>
      <c r="H52" s="75">
        <f t="shared" si="4"/>
        <v>45977</v>
      </c>
      <c r="I52" s="75">
        <f t="shared" si="5"/>
        <v>45984</v>
      </c>
      <c r="J52" s="75">
        <v>45998</v>
      </c>
      <c r="K52" s="76">
        <f t="shared" si="8"/>
        <v>29</v>
      </c>
      <c r="L52" s="25">
        <v>14.21</v>
      </c>
      <c r="M52" s="25">
        <v>7.71</v>
      </c>
      <c r="N52" s="25">
        <f t="shared" si="7"/>
        <v>6.5000000000000009</v>
      </c>
      <c r="O52" s="25" t="s">
        <v>544</v>
      </c>
    </row>
    <row r="53" spans="1:15" x14ac:dyDescent="0.25">
      <c r="A53" s="75">
        <v>45969</v>
      </c>
      <c r="B53" s="25" t="s">
        <v>429</v>
      </c>
      <c r="C53" s="25"/>
      <c r="D53" s="75">
        <f t="shared" si="0"/>
        <v>45992</v>
      </c>
      <c r="E53" s="75">
        <f t="shared" si="1"/>
        <v>45976</v>
      </c>
      <c r="F53" s="75">
        <f t="shared" si="2"/>
        <v>45983</v>
      </c>
      <c r="G53" s="75">
        <f t="shared" si="3"/>
        <v>45989</v>
      </c>
      <c r="H53" s="75">
        <f t="shared" si="4"/>
        <v>45977</v>
      </c>
      <c r="I53" s="75">
        <f t="shared" si="5"/>
        <v>45984</v>
      </c>
      <c r="J53" s="75">
        <v>45998</v>
      </c>
      <c r="K53" s="76">
        <f t="shared" si="8"/>
        <v>29</v>
      </c>
      <c r="L53" s="25">
        <v>13.68</v>
      </c>
      <c r="M53" s="25">
        <v>6.22</v>
      </c>
      <c r="N53" s="25">
        <f t="shared" si="7"/>
        <v>7.46</v>
      </c>
      <c r="O53" s="25" t="s">
        <v>544</v>
      </c>
    </row>
    <row r="54" spans="1:15" x14ac:dyDescent="0.25">
      <c r="A54" s="75">
        <v>45969</v>
      </c>
      <c r="B54" s="25" t="s">
        <v>430</v>
      </c>
      <c r="C54" s="25"/>
      <c r="D54" s="75">
        <f t="shared" si="0"/>
        <v>45992</v>
      </c>
      <c r="E54" s="75">
        <f t="shared" si="1"/>
        <v>45976</v>
      </c>
      <c r="F54" s="75">
        <f t="shared" si="2"/>
        <v>45983</v>
      </c>
      <c r="G54" s="75">
        <f t="shared" si="3"/>
        <v>45989</v>
      </c>
      <c r="H54" s="75">
        <f t="shared" si="4"/>
        <v>45977</v>
      </c>
      <c r="I54" s="75">
        <f t="shared" si="5"/>
        <v>45984</v>
      </c>
      <c r="J54" s="75">
        <v>45998</v>
      </c>
      <c r="K54" s="76">
        <f t="shared" si="8"/>
        <v>29</v>
      </c>
      <c r="L54" s="25">
        <v>15.29</v>
      </c>
      <c r="M54" s="25">
        <v>8.69</v>
      </c>
      <c r="N54" s="25">
        <f t="shared" si="7"/>
        <v>6.6</v>
      </c>
      <c r="O54" s="25" t="s">
        <v>544</v>
      </c>
    </row>
    <row r="55" spans="1:15" x14ac:dyDescent="0.25">
      <c r="A55" s="75">
        <v>45969</v>
      </c>
      <c r="B55" s="25" t="s">
        <v>431</v>
      </c>
      <c r="C55" s="25"/>
      <c r="D55" s="75">
        <f t="shared" si="0"/>
        <v>45992</v>
      </c>
      <c r="E55" s="75">
        <f t="shared" si="1"/>
        <v>45976</v>
      </c>
      <c r="F55" s="75">
        <f t="shared" si="2"/>
        <v>45983</v>
      </c>
      <c r="G55" s="75">
        <f t="shared" si="3"/>
        <v>45989</v>
      </c>
      <c r="H55" s="75">
        <f t="shared" si="4"/>
        <v>45977</v>
      </c>
      <c r="I55" s="75">
        <f t="shared" si="5"/>
        <v>45984</v>
      </c>
      <c r="J55" s="75">
        <v>45998</v>
      </c>
      <c r="K55" s="76">
        <f t="shared" si="8"/>
        <v>29</v>
      </c>
      <c r="L55" s="25">
        <v>11.52</v>
      </c>
      <c r="M55" s="25">
        <v>10.77</v>
      </c>
      <c r="N55" s="25">
        <f t="shared" si="7"/>
        <v>0.75</v>
      </c>
      <c r="O55" s="25" t="s">
        <v>545</v>
      </c>
    </row>
    <row r="56" spans="1:15" x14ac:dyDescent="0.25">
      <c r="A56" s="75">
        <v>45969</v>
      </c>
      <c r="B56" s="25" t="s">
        <v>432</v>
      </c>
      <c r="C56" s="25"/>
      <c r="D56" s="75">
        <f t="shared" si="0"/>
        <v>45992</v>
      </c>
      <c r="E56" s="75">
        <f t="shared" si="1"/>
        <v>45976</v>
      </c>
      <c r="F56" s="75">
        <f t="shared" si="2"/>
        <v>45983</v>
      </c>
      <c r="G56" s="75">
        <f t="shared" si="3"/>
        <v>45989</v>
      </c>
      <c r="H56" s="75">
        <f t="shared" si="4"/>
        <v>45977</v>
      </c>
      <c r="I56" s="75">
        <f t="shared" si="5"/>
        <v>45984</v>
      </c>
      <c r="J56" s="75">
        <v>45998</v>
      </c>
      <c r="K56" s="76">
        <f t="shared" si="8"/>
        <v>29</v>
      </c>
      <c r="L56" s="25">
        <v>13.4</v>
      </c>
      <c r="M56" s="25">
        <v>12.19</v>
      </c>
      <c r="N56" s="25">
        <f t="shared" si="7"/>
        <v>1.2100000000000009</v>
      </c>
      <c r="O56" s="25" t="s">
        <v>545</v>
      </c>
    </row>
    <row r="57" spans="1:15" x14ac:dyDescent="0.25">
      <c r="A57" s="75">
        <v>45969</v>
      </c>
      <c r="B57" s="25" t="s">
        <v>433</v>
      </c>
      <c r="C57" s="25"/>
      <c r="D57" s="75">
        <f t="shared" si="0"/>
        <v>45992</v>
      </c>
      <c r="E57" s="75">
        <f t="shared" si="1"/>
        <v>45976</v>
      </c>
      <c r="F57" s="75">
        <f t="shared" si="2"/>
        <v>45983</v>
      </c>
      <c r="G57" s="75">
        <f t="shared" si="3"/>
        <v>45989</v>
      </c>
      <c r="H57" s="75">
        <f t="shared" si="4"/>
        <v>45977</v>
      </c>
      <c r="I57" s="75">
        <f t="shared" si="5"/>
        <v>45984</v>
      </c>
      <c r="J57" s="75">
        <v>45998</v>
      </c>
      <c r="K57" s="76">
        <f t="shared" si="8"/>
        <v>29</v>
      </c>
      <c r="L57" s="25">
        <v>11.58</v>
      </c>
      <c r="M57" s="25">
        <v>10.71</v>
      </c>
      <c r="N57" s="25">
        <f t="shared" si="7"/>
        <v>0.86999999999999922</v>
      </c>
      <c r="O57" s="25" t="s">
        <v>545</v>
      </c>
    </row>
    <row r="58" spans="1:15" x14ac:dyDescent="0.25">
      <c r="A58" s="75">
        <v>45969</v>
      </c>
      <c r="B58" s="25" t="s">
        <v>434</v>
      </c>
      <c r="C58" s="25"/>
      <c r="D58" s="75">
        <f t="shared" si="0"/>
        <v>45992</v>
      </c>
      <c r="E58" s="75">
        <f t="shared" si="1"/>
        <v>45976</v>
      </c>
      <c r="F58" s="75">
        <f t="shared" si="2"/>
        <v>45983</v>
      </c>
      <c r="G58" s="75">
        <f t="shared" si="3"/>
        <v>45989</v>
      </c>
      <c r="H58" s="75">
        <f t="shared" si="4"/>
        <v>45977</v>
      </c>
      <c r="I58" s="75">
        <f t="shared" si="5"/>
        <v>45984</v>
      </c>
      <c r="J58" s="75">
        <v>45998</v>
      </c>
      <c r="K58" s="76">
        <f t="shared" si="8"/>
        <v>29</v>
      </c>
      <c r="L58" s="25">
        <v>12.17</v>
      </c>
      <c r="M58" s="25">
        <v>11.59</v>
      </c>
      <c r="N58" s="25">
        <f t="shared" si="7"/>
        <v>0.58000000000000007</v>
      </c>
      <c r="O58" s="25" t="s">
        <v>545</v>
      </c>
    </row>
    <row r="59" spans="1:15" x14ac:dyDescent="0.25">
      <c r="A59" s="75">
        <v>45970</v>
      </c>
      <c r="B59" s="25" t="s">
        <v>435</v>
      </c>
      <c r="C59" s="25"/>
      <c r="D59" s="75">
        <f t="shared" si="0"/>
        <v>45993</v>
      </c>
      <c r="E59" s="75">
        <f t="shared" si="1"/>
        <v>45977</v>
      </c>
      <c r="F59" s="75">
        <f t="shared" si="2"/>
        <v>45984</v>
      </c>
      <c r="G59" s="75">
        <f t="shared" si="3"/>
        <v>45990</v>
      </c>
      <c r="H59" s="75">
        <f t="shared" si="4"/>
        <v>45978</v>
      </c>
      <c r="I59" s="75">
        <f t="shared" si="5"/>
        <v>45985</v>
      </c>
      <c r="J59" s="75">
        <v>45998</v>
      </c>
      <c r="K59" s="76">
        <f t="shared" si="8"/>
        <v>28</v>
      </c>
      <c r="L59" s="25">
        <v>11.98</v>
      </c>
      <c r="M59" s="25">
        <v>10.01</v>
      </c>
      <c r="N59" s="25">
        <f t="shared" si="7"/>
        <v>1.9700000000000006</v>
      </c>
      <c r="O59" s="25" t="s">
        <v>545</v>
      </c>
    </row>
    <row r="60" spans="1:15" x14ac:dyDescent="0.25">
      <c r="A60" s="75">
        <v>45970</v>
      </c>
      <c r="B60" s="25" t="s">
        <v>436</v>
      </c>
      <c r="C60" s="25"/>
      <c r="D60" s="75">
        <f t="shared" si="0"/>
        <v>45993</v>
      </c>
      <c r="E60" s="75">
        <f t="shared" si="1"/>
        <v>45977</v>
      </c>
      <c r="F60" s="75">
        <f t="shared" si="2"/>
        <v>45984</v>
      </c>
      <c r="G60" s="75">
        <f t="shared" si="3"/>
        <v>45990</v>
      </c>
      <c r="H60" s="75">
        <f t="shared" si="4"/>
        <v>45978</v>
      </c>
      <c r="I60" s="75">
        <f t="shared" si="5"/>
        <v>45985</v>
      </c>
      <c r="J60" s="75">
        <v>45998</v>
      </c>
      <c r="K60" s="76">
        <f t="shared" si="8"/>
        <v>28</v>
      </c>
      <c r="L60" s="25">
        <v>10.71</v>
      </c>
      <c r="M60" s="25">
        <v>9.84</v>
      </c>
      <c r="N60" s="25">
        <f t="shared" si="7"/>
        <v>0.87000000000000099</v>
      </c>
      <c r="O60" s="25" t="s">
        <v>545</v>
      </c>
    </row>
    <row r="61" spans="1:15" x14ac:dyDescent="0.25">
      <c r="A61" s="75">
        <v>45970</v>
      </c>
      <c r="B61" s="25" t="s">
        <v>437</v>
      </c>
      <c r="C61" s="25"/>
      <c r="D61" s="75">
        <f t="shared" si="0"/>
        <v>45993</v>
      </c>
      <c r="E61" s="75">
        <f t="shared" si="1"/>
        <v>45977</v>
      </c>
      <c r="F61" s="75">
        <f t="shared" si="2"/>
        <v>45984</v>
      </c>
      <c r="G61" s="75">
        <f t="shared" si="3"/>
        <v>45990</v>
      </c>
      <c r="H61" s="75">
        <f t="shared" si="4"/>
        <v>45978</v>
      </c>
      <c r="I61" s="75">
        <f t="shared" si="5"/>
        <v>45985</v>
      </c>
      <c r="J61" s="75">
        <v>45998</v>
      </c>
      <c r="K61" s="76">
        <f t="shared" si="8"/>
        <v>28</v>
      </c>
      <c r="L61" s="25">
        <v>7.55</v>
      </c>
      <c r="M61" s="25">
        <v>6.64</v>
      </c>
      <c r="N61" s="25">
        <f t="shared" si="7"/>
        <v>0.91000000000000014</v>
      </c>
      <c r="O61" s="25" t="s">
        <v>545</v>
      </c>
    </row>
    <row r="62" spans="1:15" x14ac:dyDescent="0.25">
      <c r="A62" s="75">
        <v>45970</v>
      </c>
      <c r="B62" s="25" t="s">
        <v>438</v>
      </c>
      <c r="C62" s="25"/>
      <c r="D62" s="75">
        <f t="shared" si="0"/>
        <v>45993</v>
      </c>
      <c r="E62" s="75">
        <f t="shared" si="1"/>
        <v>45977</v>
      </c>
      <c r="F62" s="75">
        <f t="shared" si="2"/>
        <v>45984</v>
      </c>
      <c r="G62" s="75">
        <f t="shared" si="3"/>
        <v>45990</v>
      </c>
      <c r="H62" s="75">
        <f t="shared" si="4"/>
        <v>45978</v>
      </c>
      <c r="I62" s="75">
        <f t="shared" si="5"/>
        <v>45985</v>
      </c>
      <c r="J62" s="75">
        <v>45998</v>
      </c>
      <c r="K62" s="76">
        <f t="shared" si="8"/>
        <v>28</v>
      </c>
      <c r="L62" s="25">
        <v>7.41</v>
      </c>
      <c r="M62" s="25">
        <v>6.28</v>
      </c>
      <c r="N62" s="25">
        <f t="shared" si="7"/>
        <v>1.1299999999999999</v>
      </c>
      <c r="O62" s="25" t="s">
        <v>545</v>
      </c>
    </row>
    <row r="63" spans="1:15" x14ac:dyDescent="0.25">
      <c r="A63" s="75">
        <v>45970</v>
      </c>
      <c r="B63" s="25" t="s">
        <v>439</v>
      </c>
      <c r="C63" s="25"/>
      <c r="D63" s="75">
        <f t="shared" si="0"/>
        <v>45993</v>
      </c>
      <c r="E63" s="75">
        <f t="shared" si="1"/>
        <v>45977</v>
      </c>
      <c r="F63" s="75">
        <f t="shared" si="2"/>
        <v>45984</v>
      </c>
      <c r="G63" s="75">
        <f t="shared" si="3"/>
        <v>45990</v>
      </c>
      <c r="H63" s="75">
        <f t="shared" si="4"/>
        <v>45978</v>
      </c>
      <c r="I63" s="75">
        <f t="shared" si="5"/>
        <v>45985</v>
      </c>
      <c r="J63" s="75">
        <v>45998</v>
      </c>
      <c r="K63" s="76">
        <f t="shared" si="8"/>
        <v>28</v>
      </c>
      <c r="L63" s="25">
        <v>6.36</v>
      </c>
      <c r="M63" s="25">
        <v>5.71</v>
      </c>
      <c r="N63" s="25">
        <f t="shared" si="7"/>
        <v>0.65000000000000036</v>
      </c>
      <c r="O63" s="25" t="s">
        <v>545</v>
      </c>
    </row>
    <row r="64" spans="1:15" x14ac:dyDescent="0.25">
      <c r="A64" s="75">
        <v>45970</v>
      </c>
      <c r="B64" s="25" t="s">
        <v>440</v>
      </c>
      <c r="C64" s="25"/>
      <c r="D64" s="75">
        <f t="shared" si="0"/>
        <v>45993</v>
      </c>
      <c r="E64" s="75">
        <f t="shared" si="1"/>
        <v>45977</v>
      </c>
      <c r="F64" s="75">
        <f t="shared" si="2"/>
        <v>45984</v>
      </c>
      <c r="G64" s="75">
        <f t="shared" si="3"/>
        <v>45990</v>
      </c>
      <c r="H64" s="75">
        <f t="shared" si="4"/>
        <v>45978</v>
      </c>
      <c r="I64" s="75">
        <f t="shared" si="5"/>
        <v>45985</v>
      </c>
      <c r="J64" s="75">
        <v>45999</v>
      </c>
      <c r="K64" s="76">
        <f t="shared" si="8"/>
        <v>29</v>
      </c>
      <c r="L64" s="25">
        <v>7.21</v>
      </c>
      <c r="M64" s="25">
        <v>3.42</v>
      </c>
      <c r="N64" s="25">
        <f t="shared" si="7"/>
        <v>3.79</v>
      </c>
      <c r="O64" s="25" t="s">
        <v>544</v>
      </c>
    </row>
    <row r="65" spans="1:15" x14ac:dyDescent="0.25">
      <c r="A65" s="75">
        <v>45970</v>
      </c>
      <c r="B65" s="25" t="s">
        <v>441</v>
      </c>
      <c r="C65" s="25"/>
      <c r="D65" s="75">
        <f t="shared" si="0"/>
        <v>45993</v>
      </c>
      <c r="E65" s="75">
        <f t="shared" si="1"/>
        <v>45977</v>
      </c>
      <c r="F65" s="75">
        <f t="shared" si="2"/>
        <v>45984</v>
      </c>
      <c r="G65" s="75">
        <f t="shared" si="3"/>
        <v>45990</v>
      </c>
      <c r="H65" s="75">
        <f t="shared" si="4"/>
        <v>45978</v>
      </c>
      <c r="I65" s="75">
        <f t="shared" si="5"/>
        <v>45985</v>
      </c>
      <c r="J65" s="75">
        <v>45999</v>
      </c>
      <c r="K65" s="76">
        <f t="shared" si="8"/>
        <v>29</v>
      </c>
      <c r="L65" s="25">
        <v>6.13</v>
      </c>
      <c r="M65" s="25">
        <v>3.28</v>
      </c>
      <c r="N65" s="25">
        <f t="shared" si="7"/>
        <v>2.85</v>
      </c>
      <c r="O65" s="25" t="s">
        <v>544</v>
      </c>
    </row>
    <row r="66" spans="1:15" x14ac:dyDescent="0.25">
      <c r="A66" s="75">
        <v>45971</v>
      </c>
      <c r="B66" s="25" t="s">
        <v>442</v>
      </c>
      <c r="C66" s="25"/>
      <c r="D66" s="75">
        <f t="shared" si="0"/>
        <v>45994</v>
      </c>
      <c r="E66" s="75">
        <f t="shared" si="1"/>
        <v>45978</v>
      </c>
      <c r="F66" s="75">
        <f t="shared" si="2"/>
        <v>45985</v>
      </c>
      <c r="G66" s="75">
        <f t="shared" si="3"/>
        <v>45991</v>
      </c>
      <c r="H66" s="75">
        <f t="shared" si="4"/>
        <v>45979</v>
      </c>
      <c r="I66" s="75">
        <f t="shared" si="5"/>
        <v>45986</v>
      </c>
      <c r="J66" s="75">
        <v>45999</v>
      </c>
      <c r="K66" s="76">
        <f t="shared" si="8"/>
        <v>28</v>
      </c>
      <c r="L66" s="25">
        <v>13.21</v>
      </c>
      <c r="M66" s="25">
        <v>6.51</v>
      </c>
      <c r="N66" s="25">
        <f t="shared" si="7"/>
        <v>6.7000000000000011</v>
      </c>
      <c r="O66" s="25" t="s">
        <v>544</v>
      </c>
    </row>
    <row r="67" spans="1:15" x14ac:dyDescent="0.25">
      <c r="A67" s="75">
        <v>45971</v>
      </c>
      <c r="B67" s="25" t="s">
        <v>443</v>
      </c>
      <c r="C67" s="25"/>
      <c r="D67" s="75">
        <f t="shared" ref="D67:D130" si="9">A67+23</f>
        <v>45994</v>
      </c>
      <c r="E67" s="75">
        <f t="shared" ref="E67:E130" si="10">A67+7</f>
        <v>45978</v>
      </c>
      <c r="F67" s="75">
        <f t="shared" ref="F67:F130" si="11">A67+14</f>
        <v>45985</v>
      </c>
      <c r="G67" s="75">
        <f t="shared" ref="G67:G130" si="12">A67+20</f>
        <v>45991</v>
      </c>
      <c r="H67" s="75">
        <f t="shared" ref="H67:H130" si="13">A67+8</f>
        <v>45979</v>
      </c>
      <c r="I67" s="75">
        <f t="shared" ref="I67:I130" si="14">A67+15</f>
        <v>45986</v>
      </c>
      <c r="J67" s="75">
        <v>45999</v>
      </c>
      <c r="K67" s="76">
        <f t="shared" ref="K67:K98" si="15">J67-A67</f>
        <v>28</v>
      </c>
      <c r="L67" s="25">
        <v>14.17</v>
      </c>
      <c r="M67" s="25">
        <v>8.17</v>
      </c>
      <c r="N67" s="25">
        <f t="shared" ref="N67:N133" si="16">L67-M67</f>
        <v>6</v>
      </c>
      <c r="O67" s="25" t="s">
        <v>544</v>
      </c>
    </row>
    <row r="68" spans="1:15" x14ac:dyDescent="0.25">
      <c r="A68" s="75">
        <v>45971</v>
      </c>
      <c r="B68" s="25" t="s">
        <v>444</v>
      </c>
      <c r="C68" s="25"/>
      <c r="D68" s="75">
        <f t="shared" si="9"/>
        <v>45994</v>
      </c>
      <c r="E68" s="75">
        <f t="shared" si="10"/>
        <v>45978</v>
      </c>
      <c r="F68" s="75">
        <f t="shared" si="11"/>
        <v>45985</v>
      </c>
      <c r="G68" s="75">
        <f t="shared" si="12"/>
        <v>45991</v>
      </c>
      <c r="H68" s="75">
        <f t="shared" si="13"/>
        <v>45979</v>
      </c>
      <c r="I68" s="75">
        <f t="shared" si="14"/>
        <v>45986</v>
      </c>
      <c r="J68" s="75">
        <v>45999</v>
      </c>
      <c r="K68" s="76">
        <f t="shared" si="15"/>
        <v>28</v>
      </c>
      <c r="L68" s="25">
        <v>14.36</v>
      </c>
      <c r="M68" s="25">
        <v>8.24</v>
      </c>
      <c r="N68" s="25">
        <f t="shared" si="16"/>
        <v>6.1199999999999992</v>
      </c>
      <c r="O68" s="25" t="s">
        <v>544</v>
      </c>
    </row>
    <row r="69" spans="1:15" x14ac:dyDescent="0.25">
      <c r="A69" s="75">
        <v>45971</v>
      </c>
      <c r="B69" s="25" t="s">
        <v>445</v>
      </c>
      <c r="C69" s="25"/>
      <c r="D69" s="75">
        <f t="shared" si="9"/>
        <v>45994</v>
      </c>
      <c r="E69" s="75">
        <f t="shared" si="10"/>
        <v>45978</v>
      </c>
      <c r="F69" s="75">
        <f t="shared" si="11"/>
        <v>45985</v>
      </c>
      <c r="G69" s="75">
        <f t="shared" si="12"/>
        <v>45991</v>
      </c>
      <c r="H69" s="75">
        <f t="shared" si="13"/>
        <v>45979</v>
      </c>
      <c r="I69" s="75">
        <f t="shared" si="14"/>
        <v>45986</v>
      </c>
      <c r="J69" s="75">
        <v>45999</v>
      </c>
      <c r="K69" s="76">
        <f t="shared" si="15"/>
        <v>28</v>
      </c>
      <c r="L69" s="25">
        <v>12.71</v>
      </c>
      <c r="M69" s="25">
        <v>11.28</v>
      </c>
      <c r="N69" s="25">
        <f t="shared" si="16"/>
        <v>1.4300000000000015</v>
      </c>
      <c r="O69" s="25" t="s">
        <v>545</v>
      </c>
    </row>
    <row r="70" spans="1:15" x14ac:dyDescent="0.25">
      <c r="A70" s="75">
        <v>45971</v>
      </c>
      <c r="B70" s="25" t="s">
        <v>446</v>
      </c>
      <c r="C70" s="25"/>
      <c r="D70" s="75">
        <f t="shared" si="9"/>
        <v>45994</v>
      </c>
      <c r="E70" s="75">
        <f t="shared" si="10"/>
        <v>45978</v>
      </c>
      <c r="F70" s="75">
        <f t="shared" si="11"/>
        <v>45985</v>
      </c>
      <c r="G70" s="75">
        <f t="shared" si="12"/>
        <v>45991</v>
      </c>
      <c r="H70" s="75">
        <f t="shared" si="13"/>
        <v>45979</v>
      </c>
      <c r="I70" s="75">
        <f t="shared" si="14"/>
        <v>45986</v>
      </c>
      <c r="J70" s="75">
        <v>45999</v>
      </c>
      <c r="K70" s="76">
        <f t="shared" si="15"/>
        <v>28</v>
      </c>
      <c r="L70" s="25">
        <v>13.9</v>
      </c>
      <c r="M70" s="25">
        <v>12.01</v>
      </c>
      <c r="N70" s="25">
        <f t="shared" si="16"/>
        <v>1.8900000000000006</v>
      </c>
      <c r="O70" s="25" t="s">
        <v>545</v>
      </c>
    </row>
    <row r="71" spans="1:15" x14ac:dyDescent="0.25">
      <c r="A71" s="75">
        <v>45971</v>
      </c>
      <c r="B71" s="25" t="s">
        <v>447</v>
      </c>
      <c r="C71" s="25"/>
      <c r="D71" s="75">
        <f t="shared" si="9"/>
        <v>45994</v>
      </c>
      <c r="E71" s="75">
        <f t="shared" si="10"/>
        <v>45978</v>
      </c>
      <c r="F71" s="75">
        <f t="shared" si="11"/>
        <v>45985</v>
      </c>
      <c r="G71" s="75">
        <f t="shared" si="12"/>
        <v>45991</v>
      </c>
      <c r="H71" s="75">
        <f t="shared" si="13"/>
        <v>45979</v>
      </c>
      <c r="I71" s="75">
        <f t="shared" si="14"/>
        <v>45986</v>
      </c>
      <c r="J71" s="75">
        <v>45999</v>
      </c>
      <c r="K71" s="76">
        <f t="shared" si="15"/>
        <v>28</v>
      </c>
      <c r="L71" s="25">
        <v>10.77</v>
      </c>
      <c r="M71" s="25">
        <v>9.06</v>
      </c>
      <c r="N71" s="25">
        <f t="shared" si="16"/>
        <v>1.7099999999999991</v>
      </c>
      <c r="O71" s="25" t="s">
        <v>545</v>
      </c>
    </row>
    <row r="72" spans="1:15" x14ac:dyDescent="0.25">
      <c r="A72" s="75">
        <v>45971</v>
      </c>
      <c r="B72" s="25" t="s">
        <v>448</v>
      </c>
      <c r="C72" s="25"/>
      <c r="D72" s="75">
        <f t="shared" si="9"/>
        <v>45994</v>
      </c>
      <c r="E72" s="75">
        <f t="shared" si="10"/>
        <v>45978</v>
      </c>
      <c r="F72" s="75">
        <f t="shared" si="11"/>
        <v>45985</v>
      </c>
      <c r="G72" s="75">
        <f t="shared" si="12"/>
        <v>45991</v>
      </c>
      <c r="H72" s="75">
        <f t="shared" si="13"/>
        <v>45979</v>
      </c>
      <c r="I72" s="75">
        <f t="shared" si="14"/>
        <v>45986</v>
      </c>
      <c r="J72" s="75">
        <v>45999</v>
      </c>
      <c r="K72" s="76">
        <f t="shared" si="15"/>
        <v>28</v>
      </c>
      <c r="L72" s="25">
        <v>11.28</v>
      </c>
      <c r="M72" s="25">
        <v>10.51</v>
      </c>
      <c r="N72" s="25">
        <f t="shared" si="16"/>
        <v>0.76999999999999957</v>
      </c>
      <c r="O72" s="25" t="s">
        <v>545</v>
      </c>
    </row>
    <row r="73" spans="1:15" x14ac:dyDescent="0.25">
      <c r="A73" s="75">
        <v>45972</v>
      </c>
      <c r="B73" s="25" t="s">
        <v>449</v>
      </c>
      <c r="C73" s="25"/>
      <c r="D73" s="75">
        <f t="shared" si="9"/>
        <v>45995</v>
      </c>
      <c r="E73" s="75">
        <f t="shared" si="10"/>
        <v>45979</v>
      </c>
      <c r="F73" s="75">
        <f t="shared" si="11"/>
        <v>45986</v>
      </c>
      <c r="G73" s="75">
        <f t="shared" si="12"/>
        <v>45992</v>
      </c>
      <c r="H73" s="75">
        <f t="shared" si="13"/>
        <v>45980</v>
      </c>
      <c r="I73" s="75">
        <f t="shared" si="14"/>
        <v>45987</v>
      </c>
      <c r="J73" s="75">
        <v>45999</v>
      </c>
      <c r="K73" s="76">
        <f t="shared" si="15"/>
        <v>27</v>
      </c>
      <c r="L73" s="25">
        <v>9.64</v>
      </c>
      <c r="M73" s="25">
        <v>8.1199999999999992</v>
      </c>
      <c r="N73" s="25">
        <f t="shared" si="16"/>
        <v>1.5200000000000014</v>
      </c>
      <c r="O73" s="25" t="s">
        <v>545</v>
      </c>
    </row>
    <row r="74" spans="1:15" x14ac:dyDescent="0.25">
      <c r="A74" s="75">
        <v>45972</v>
      </c>
      <c r="B74" s="25" t="s">
        <v>450</v>
      </c>
      <c r="C74" s="25"/>
      <c r="D74" s="75">
        <f t="shared" si="9"/>
        <v>45995</v>
      </c>
      <c r="E74" s="75">
        <f t="shared" si="10"/>
        <v>45979</v>
      </c>
      <c r="F74" s="75">
        <f t="shared" si="11"/>
        <v>45986</v>
      </c>
      <c r="G74" s="75">
        <f t="shared" si="12"/>
        <v>45992</v>
      </c>
      <c r="H74" s="75">
        <f t="shared" si="13"/>
        <v>45980</v>
      </c>
      <c r="I74" s="75">
        <f t="shared" si="14"/>
        <v>45987</v>
      </c>
      <c r="J74" s="75">
        <v>46000</v>
      </c>
      <c r="K74" s="76">
        <f t="shared" si="15"/>
        <v>28</v>
      </c>
      <c r="L74" s="25">
        <v>12.72</v>
      </c>
      <c r="M74" s="25">
        <v>6.36</v>
      </c>
      <c r="N74" s="25">
        <f t="shared" si="16"/>
        <v>6.36</v>
      </c>
      <c r="O74" s="25" t="s">
        <v>544</v>
      </c>
    </row>
    <row r="75" spans="1:15" x14ac:dyDescent="0.25">
      <c r="A75" s="75">
        <v>45972</v>
      </c>
      <c r="B75" s="25" t="s">
        <v>451</v>
      </c>
      <c r="C75" s="25"/>
      <c r="D75" s="75">
        <f t="shared" si="9"/>
        <v>45995</v>
      </c>
      <c r="E75" s="75">
        <f t="shared" si="10"/>
        <v>45979</v>
      </c>
      <c r="F75" s="75">
        <f t="shared" si="11"/>
        <v>45986</v>
      </c>
      <c r="G75" s="75">
        <f t="shared" si="12"/>
        <v>45992</v>
      </c>
      <c r="H75" s="75">
        <f t="shared" si="13"/>
        <v>45980</v>
      </c>
      <c r="I75" s="75">
        <f t="shared" si="14"/>
        <v>45987</v>
      </c>
      <c r="J75" s="75">
        <v>46000</v>
      </c>
      <c r="K75" s="76">
        <f t="shared" si="15"/>
        <v>28</v>
      </c>
      <c r="L75" s="25">
        <v>8.32</v>
      </c>
      <c r="M75" s="25">
        <v>4.1900000000000004</v>
      </c>
      <c r="N75" s="25">
        <f t="shared" si="16"/>
        <v>4.13</v>
      </c>
      <c r="O75" s="25" t="s">
        <v>544</v>
      </c>
    </row>
    <row r="76" spans="1:15" x14ac:dyDescent="0.25">
      <c r="A76" s="75">
        <v>45972</v>
      </c>
      <c r="B76" s="25" t="s">
        <v>452</v>
      </c>
      <c r="C76" s="25"/>
      <c r="D76" s="75">
        <f t="shared" si="9"/>
        <v>45995</v>
      </c>
      <c r="E76" s="75">
        <f t="shared" si="10"/>
        <v>45979</v>
      </c>
      <c r="F76" s="75">
        <f t="shared" si="11"/>
        <v>45986</v>
      </c>
      <c r="G76" s="75">
        <f t="shared" si="12"/>
        <v>45992</v>
      </c>
      <c r="H76" s="75">
        <f t="shared" si="13"/>
        <v>45980</v>
      </c>
      <c r="I76" s="75">
        <f t="shared" si="14"/>
        <v>45987</v>
      </c>
      <c r="J76" s="75">
        <v>46000</v>
      </c>
      <c r="K76" s="76">
        <f t="shared" si="15"/>
        <v>28</v>
      </c>
      <c r="L76" s="25">
        <v>11.98</v>
      </c>
      <c r="M76" s="25">
        <v>7.94</v>
      </c>
      <c r="N76" s="25">
        <f t="shared" si="16"/>
        <v>4.04</v>
      </c>
      <c r="O76" s="25" t="s">
        <v>544</v>
      </c>
    </row>
    <row r="77" spans="1:15" x14ac:dyDescent="0.25">
      <c r="A77" s="75">
        <v>45972</v>
      </c>
      <c r="B77" s="25" t="s">
        <v>453</v>
      </c>
      <c r="C77" s="25"/>
      <c r="D77" s="75">
        <f t="shared" si="9"/>
        <v>45995</v>
      </c>
      <c r="E77" s="75">
        <f t="shared" si="10"/>
        <v>45979</v>
      </c>
      <c r="F77" s="75">
        <f t="shared" si="11"/>
        <v>45986</v>
      </c>
      <c r="G77" s="75">
        <f t="shared" si="12"/>
        <v>45992</v>
      </c>
      <c r="H77" s="75">
        <f t="shared" si="13"/>
        <v>45980</v>
      </c>
      <c r="I77" s="75">
        <f t="shared" si="14"/>
        <v>45987</v>
      </c>
      <c r="J77" s="75">
        <v>46000</v>
      </c>
      <c r="K77" s="76">
        <f t="shared" si="15"/>
        <v>28</v>
      </c>
      <c r="L77" s="25">
        <v>9.1199999999999992</v>
      </c>
      <c r="M77" s="25">
        <v>6.7</v>
      </c>
      <c r="N77" s="25">
        <f t="shared" si="16"/>
        <v>2.419999999999999</v>
      </c>
      <c r="O77" s="25" t="s">
        <v>545</v>
      </c>
    </row>
    <row r="78" spans="1:15" x14ac:dyDescent="0.25">
      <c r="A78" s="75">
        <v>45972</v>
      </c>
      <c r="B78" s="25" t="s">
        <v>454</v>
      </c>
      <c r="C78" s="25"/>
      <c r="D78" s="75">
        <f t="shared" si="9"/>
        <v>45995</v>
      </c>
      <c r="E78" s="75">
        <f t="shared" si="10"/>
        <v>45979</v>
      </c>
      <c r="F78" s="75">
        <f t="shared" si="11"/>
        <v>45986</v>
      </c>
      <c r="G78" s="75">
        <f t="shared" si="12"/>
        <v>45992</v>
      </c>
      <c r="H78" s="75">
        <f t="shared" si="13"/>
        <v>45980</v>
      </c>
      <c r="I78" s="75">
        <f t="shared" si="14"/>
        <v>45987</v>
      </c>
      <c r="J78" s="75">
        <v>46000</v>
      </c>
      <c r="K78" s="76">
        <f t="shared" si="15"/>
        <v>28</v>
      </c>
      <c r="L78" s="25">
        <v>5.32</v>
      </c>
      <c r="M78" s="25">
        <v>4.12</v>
      </c>
      <c r="N78" s="25">
        <f t="shared" si="16"/>
        <v>1.2000000000000002</v>
      </c>
      <c r="O78" s="25" t="s">
        <v>545</v>
      </c>
    </row>
    <row r="79" spans="1:15" x14ac:dyDescent="0.25">
      <c r="A79" s="75">
        <v>45972</v>
      </c>
      <c r="B79" s="25" t="s">
        <v>455</v>
      </c>
      <c r="C79" s="25"/>
      <c r="D79" s="75">
        <f t="shared" si="9"/>
        <v>45995</v>
      </c>
      <c r="E79" s="75">
        <f t="shared" si="10"/>
        <v>45979</v>
      </c>
      <c r="F79" s="75">
        <f t="shared" si="11"/>
        <v>45986</v>
      </c>
      <c r="G79" s="75">
        <f t="shared" si="12"/>
        <v>45992</v>
      </c>
      <c r="H79" s="75">
        <f t="shared" si="13"/>
        <v>45980</v>
      </c>
      <c r="I79" s="75">
        <f t="shared" si="14"/>
        <v>45987</v>
      </c>
      <c r="J79" s="75">
        <v>46000</v>
      </c>
      <c r="K79" s="76">
        <f t="shared" si="15"/>
        <v>28</v>
      </c>
      <c r="L79" s="25">
        <v>8.58</v>
      </c>
      <c r="M79" s="25">
        <v>6.29</v>
      </c>
      <c r="N79" s="25">
        <f t="shared" si="16"/>
        <v>2.29</v>
      </c>
      <c r="O79" s="25" t="s">
        <v>545</v>
      </c>
    </row>
    <row r="80" spans="1:15" x14ac:dyDescent="0.25">
      <c r="A80" s="75">
        <v>45973</v>
      </c>
      <c r="B80" s="25" t="s">
        <v>456</v>
      </c>
      <c r="C80" s="25"/>
      <c r="D80" s="75">
        <f t="shared" si="9"/>
        <v>45996</v>
      </c>
      <c r="E80" s="75">
        <f t="shared" si="10"/>
        <v>45980</v>
      </c>
      <c r="F80" s="75">
        <f t="shared" si="11"/>
        <v>45987</v>
      </c>
      <c r="G80" s="75">
        <f t="shared" si="12"/>
        <v>45993</v>
      </c>
      <c r="H80" s="75">
        <f t="shared" si="13"/>
        <v>45981</v>
      </c>
      <c r="I80" s="75">
        <f t="shared" si="14"/>
        <v>45988</v>
      </c>
      <c r="J80" s="75">
        <v>46000</v>
      </c>
      <c r="K80" s="76">
        <f t="shared" si="15"/>
        <v>27</v>
      </c>
      <c r="L80" s="25">
        <v>9.23</v>
      </c>
      <c r="M80" s="25">
        <v>5.23</v>
      </c>
      <c r="N80" s="25">
        <f t="shared" si="16"/>
        <v>4</v>
      </c>
      <c r="O80" s="25" t="s">
        <v>545</v>
      </c>
    </row>
    <row r="81" spans="1:15" x14ac:dyDescent="0.25">
      <c r="A81" s="75">
        <v>45973</v>
      </c>
      <c r="B81" s="25" t="s">
        <v>457</v>
      </c>
      <c r="C81" s="25"/>
      <c r="D81" s="75">
        <f t="shared" si="9"/>
        <v>45996</v>
      </c>
      <c r="E81" s="75">
        <f t="shared" si="10"/>
        <v>45980</v>
      </c>
      <c r="F81" s="75">
        <f t="shared" si="11"/>
        <v>45987</v>
      </c>
      <c r="G81" s="75">
        <f t="shared" si="12"/>
        <v>45993</v>
      </c>
      <c r="H81" s="75">
        <f t="shared" si="13"/>
        <v>45981</v>
      </c>
      <c r="I81" s="75">
        <f t="shared" si="14"/>
        <v>45988</v>
      </c>
      <c r="J81" s="75">
        <v>46001</v>
      </c>
      <c r="K81" s="76">
        <f t="shared" si="15"/>
        <v>28</v>
      </c>
      <c r="L81" s="25">
        <v>12.21</v>
      </c>
      <c r="M81" s="25">
        <v>6.01</v>
      </c>
      <c r="N81" s="25">
        <f t="shared" si="16"/>
        <v>6.2000000000000011</v>
      </c>
      <c r="O81" s="25" t="s">
        <v>544</v>
      </c>
    </row>
    <row r="82" spans="1:15" x14ac:dyDescent="0.25">
      <c r="A82" s="75">
        <v>45973</v>
      </c>
      <c r="B82" s="25" t="s">
        <v>458</v>
      </c>
      <c r="C82" s="25"/>
      <c r="D82" s="75">
        <f t="shared" si="9"/>
        <v>45996</v>
      </c>
      <c r="E82" s="75">
        <f t="shared" si="10"/>
        <v>45980</v>
      </c>
      <c r="F82" s="75">
        <f t="shared" si="11"/>
        <v>45987</v>
      </c>
      <c r="G82" s="75">
        <f t="shared" si="12"/>
        <v>45993</v>
      </c>
      <c r="H82" s="75">
        <f t="shared" si="13"/>
        <v>45981</v>
      </c>
      <c r="I82" s="75">
        <f t="shared" si="14"/>
        <v>45988</v>
      </c>
      <c r="J82" s="75">
        <v>46001</v>
      </c>
      <c r="K82" s="76">
        <f t="shared" si="15"/>
        <v>28</v>
      </c>
      <c r="L82" s="25">
        <v>12.57</v>
      </c>
      <c r="M82" s="25">
        <v>6.24</v>
      </c>
      <c r="N82" s="25">
        <f t="shared" si="16"/>
        <v>6.33</v>
      </c>
      <c r="O82" s="25" t="s">
        <v>544</v>
      </c>
    </row>
    <row r="83" spans="1:15" x14ac:dyDescent="0.25">
      <c r="A83" s="75">
        <v>45973</v>
      </c>
      <c r="B83" s="25" t="s">
        <v>459</v>
      </c>
      <c r="C83" s="25"/>
      <c r="D83" s="75">
        <f t="shared" si="9"/>
        <v>45996</v>
      </c>
      <c r="E83" s="75">
        <f t="shared" si="10"/>
        <v>45980</v>
      </c>
      <c r="F83" s="75">
        <f t="shared" si="11"/>
        <v>45987</v>
      </c>
      <c r="G83" s="75">
        <f t="shared" si="12"/>
        <v>45993</v>
      </c>
      <c r="H83" s="75">
        <f t="shared" si="13"/>
        <v>45981</v>
      </c>
      <c r="I83" s="75">
        <f t="shared" si="14"/>
        <v>45988</v>
      </c>
      <c r="J83" s="75">
        <v>46001</v>
      </c>
      <c r="K83" s="76">
        <f t="shared" si="15"/>
        <v>28</v>
      </c>
      <c r="L83" s="25">
        <v>11.12</v>
      </c>
      <c r="M83" s="25">
        <v>5.17</v>
      </c>
      <c r="N83" s="25">
        <f t="shared" si="16"/>
        <v>5.9499999999999993</v>
      </c>
      <c r="O83" s="25" t="s">
        <v>544</v>
      </c>
    </row>
    <row r="84" spans="1:15" x14ac:dyDescent="0.25">
      <c r="A84" s="75">
        <v>45973</v>
      </c>
      <c r="B84" s="25" t="s">
        <v>460</v>
      </c>
      <c r="C84" s="25"/>
      <c r="D84" s="75">
        <f t="shared" si="9"/>
        <v>45996</v>
      </c>
      <c r="E84" s="75">
        <f t="shared" si="10"/>
        <v>45980</v>
      </c>
      <c r="F84" s="75">
        <f t="shared" si="11"/>
        <v>45987</v>
      </c>
      <c r="G84" s="75">
        <f t="shared" si="12"/>
        <v>45993</v>
      </c>
      <c r="H84" s="75">
        <f t="shared" si="13"/>
        <v>45981</v>
      </c>
      <c r="I84" s="75">
        <f t="shared" si="14"/>
        <v>45988</v>
      </c>
      <c r="J84" s="75">
        <v>46001</v>
      </c>
      <c r="K84" s="76">
        <f t="shared" si="15"/>
        <v>28</v>
      </c>
      <c r="L84" s="25">
        <v>11.63</v>
      </c>
      <c r="M84" s="25">
        <v>10.210000000000001</v>
      </c>
      <c r="N84" s="25">
        <f t="shared" si="16"/>
        <v>1.42</v>
      </c>
      <c r="O84" s="25" t="s">
        <v>545</v>
      </c>
    </row>
    <row r="85" spans="1:15" x14ac:dyDescent="0.25">
      <c r="A85" s="75">
        <v>45973</v>
      </c>
      <c r="B85" s="25" t="s">
        <v>461</v>
      </c>
      <c r="C85" s="25"/>
      <c r="D85" s="75">
        <f t="shared" si="9"/>
        <v>45996</v>
      </c>
      <c r="E85" s="75">
        <f t="shared" si="10"/>
        <v>45980</v>
      </c>
      <c r="F85" s="75">
        <f t="shared" si="11"/>
        <v>45987</v>
      </c>
      <c r="G85" s="75">
        <f t="shared" si="12"/>
        <v>45993</v>
      </c>
      <c r="H85" s="75">
        <f t="shared" si="13"/>
        <v>45981</v>
      </c>
      <c r="I85" s="75">
        <f t="shared" si="14"/>
        <v>45988</v>
      </c>
      <c r="J85" s="75">
        <v>46001</v>
      </c>
      <c r="K85" s="76">
        <f t="shared" si="15"/>
        <v>28</v>
      </c>
      <c r="L85" s="25">
        <v>10.71</v>
      </c>
      <c r="M85" s="25">
        <v>9.89</v>
      </c>
      <c r="N85" s="25">
        <f t="shared" si="16"/>
        <v>0.82000000000000028</v>
      </c>
      <c r="O85" s="25" t="s">
        <v>545</v>
      </c>
    </row>
    <row r="86" spans="1:15" x14ac:dyDescent="0.25">
      <c r="A86" s="75">
        <v>45973</v>
      </c>
      <c r="B86" s="25" t="s">
        <v>462</v>
      </c>
      <c r="C86" s="25"/>
      <c r="D86" s="75">
        <f t="shared" si="9"/>
        <v>45996</v>
      </c>
      <c r="E86" s="75">
        <f t="shared" si="10"/>
        <v>45980</v>
      </c>
      <c r="F86" s="75">
        <f t="shared" si="11"/>
        <v>45987</v>
      </c>
      <c r="G86" s="75">
        <f t="shared" si="12"/>
        <v>45993</v>
      </c>
      <c r="H86" s="75">
        <f t="shared" si="13"/>
        <v>45981</v>
      </c>
      <c r="I86" s="75">
        <f t="shared" si="14"/>
        <v>45988</v>
      </c>
      <c r="J86" s="75">
        <v>46001</v>
      </c>
      <c r="K86" s="76">
        <f t="shared" si="15"/>
        <v>28</v>
      </c>
      <c r="L86" s="25">
        <v>10.66</v>
      </c>
      <c r="M86" s="25">
        <v>9.27</v>
      </c>
      <c r="N86" s="25">
        <f t="shared" si="16"/>
        <v>1.3900000000000006</v>
      </c>
      <c r="O86" s="25" t="s">
        <v>545</v>
      </c>
    </row>
    <row r="87" spans="1:15" x14ac:dyDescent="0.25">
      <c r="A87" s="75">
        <v>45974</v>
      </c>
      <c r="B87" s="25" t="s">
        <v>509</v>
      </c>
      <c r="C87" s="25"/>
      <c r="D87" s="75">
        <f t="shared" si="9"/>
        <v>45997</v>
      </c>
      <c r="E87" s="75">
        <f t="shared" si="10"/>
        <v>45981</v>
      </c>
      <c r="F87" s="75">
        <f t="shared" si="11"/>
        <v>45988</v>
      </c>
      <c r="G87" s="75">
        <f t="shared" si="12"/>
        <v>45994</v>
      </c>
      <c r="H87" s="75">
        <f t="shared" si="13"/>
        <v>45982</v>
      </c>
      <c r="I87" s="75">
        <f t="shared" si="14"/>
        <v>45989</v>
      </c>
      <c r="J87" s="75">
        <v>46001</v>
      </c>
      <c r="K87" s="76">
        <f t="shared" si="15"/>
        <v>27</v>
      </c>
      <c r="L87" s="25">
        <v>15.82</v>
      </c>
      <c r="M87" s="25">
        <v>14.25</v>
      </c>
      <c r="N87" s="25">
        <f t="shared" si="16"/>
        <v>1.5700000000000003</v>
      </c>
      <c r="O87" s="25" t="s">
        <v>545</v>
      </c>
    </row>
    <row r="88" spans="1:15" x14ac:dyDescent="0.25">
      <c r="A88" s="75">
        <v>45974</v>
      </c>
      <c r="B88" s="25" t="s">
        <v>510</v>
      </c>
      <c r="C88" s="25"/>
      <c r="D88" s="75">
        <f t="shared" si="9"/>
        <v>45997</v>
      </c>
      <c r="E88" s="75">
        <f t="shared" si="10"/>
        <v>45981</v>
      </c>
      <c r="F88" s="75">
        <f t="shared" si="11"/>
        <v>45988</v>
      </c>
      <c r="G88" s="75">
        <f t="shared" si="12"/>
        <v>45994</v>
      </c>
      <c r="H88" s="75">
        <f t="shared" si="13"/>
        <v>45982</v>
      </c>
      <c r="I88" s="75">
        <f t="shared" si="14"/>
        <v>45989</v>
      </c>
      <c r="J88" s="75">
        <v>46001</v>
      </c>
      <c r="K88" s="76">
        <f t="shared" si="15"/>
        <v>27</v>
      </c>
      <c r="L88" s="25">
        <v>16.89</v>
      </c>
      <c r="M88" s="25">
        <v>15.28</v>
      </c>
      <c r="N88" s="25">
        <f t="shared" si="16"/>
        <v>1.6100000000000012</v>
      </c>
      <c r="O88" s="25" t="s">
        <v>545</v>
      </c>
    </row>
    <row r="89" spans="1:15" x14ac:dyDescent="0.25">
      <c r="A89" s="75">
        <v>45974</v>
      </c>
      <c r="B89" s="25" t="s">
        <v>504</v>
      </c>
      <c r="C89" s="25"/>
      <c r="D89" s="75">
        <f t="shared" si="9"/>
        <v>45997</v>
      </c>
      <c r="E89" s="75">
        <f t="shared" si="10"/>
        <v>45981</v>
      </c>
      <c r="F89" s="75">
        <f t="shared" si="11"/>
        <v>45988</v>
      </c>
      <c r="G89" s="75">
        <f t="shared" si="12"/>
        <v>45994</v>
      </c>
      <c r="H89" s="75">
        <f t="shared" si="13"/>
        <v>45982</v>
      </c>
      <c r="I89" s="75">
        <f t="shared" si="14"/>
        <v>45989</v>
      </c>
      <c r="J89" s="75">
        <v>46002</v>
      </c>
      <c r="K89" s="76">
        <f t="shared" si="15"/>
        <v>28</v>
      </c>
      <c r="L89" s="25">
        <v>13.73</v>
      </c>
      <c r="M89" s="25">
        <v>12.51</v>
      </c>
      <c r="N89" s="25">
        <f t="shared" si="16"/>
        <v>1.2200000000000006</v>
      </c>
      <c r="O89" s="25" t="s">
        <v>545</v>
      </c>
    </row>
    <row r="90" spans="1:15" x14ac:dyDescent="0.25">
      <c r="A90" s="75">
        <v>45974</v>
      </c>
      <c r="B90" s="25" t="s">
        <v>505</v>
      </c>
      <c r="C90" s="25"/>
      <c r="D90" s="75">
        <f t="shared" si="9"/>
        <v>45997</v>
      </c>
      <c r="E90" s="75">
        <f t="shared" si="10"/>
        <v>45981</v>
      </c>
      <c r="F90" s="75">
        <f t="shared" si="11"/>
        <v>45988</v>
      </c>
      <c r="G90" s="75">
        <f t="shared" si="12"/>
        <v>45994</v>
      </c>
      <c r="H90" s="75">
        <f t="shared" si="13"/>
        <v>45982</v>
      </c>
      <c r="I90" s="75">
        <f t="shared" si="14"/>
        <v>45989</v>
      </c>
      <c r="J90" s="75">
        <v>46002</v>
      </c>
      <c r="K90" s="76">
        <f t="shared" si="15"/>
        <v>28</v>
      </c>
      <c r="L90" s="25">
        <v>14.51</v>
      </c>
      <c r="M90" s="25">
        <v>7.39</v>
      </c>
      <c r="N90" s="25">
        <f t="shared" si="16"/>
        <v>7.12</v>
      </c>
      <c r="O90" s="25" t="s">
        <v>544</v>
      </c>
    </row>
    <row r="91" spans="1:15" x14ac:dyDescent="0.25">
      <c r="A91" s="75">
        <v>45974</v>
      </c>
      <c r="B91" s="25" t="s">
        <v>506</v>
      </c>
      <c r="C91" s="25"/>
      <c r="D91" s="75">
        <f t="shared" si="9"/>
        <v>45997</v>
      </c>
      <c r="E91" s="75">
        <f t="shared" si="10"/>
        <v>45981</v>
      </c>
      <c r="F91" s="75">
        <f t="shared" si="11"/>
        <v>45988</v>
      </c>
      <c r="G91" s="75">
        <f t="shared" si="12"/>
        <v>45994</v>
      </c>
      <c r="H91" s="75">
        <f t="shared" si="13"/>
        <v>45982</v>
      </c>
      <c r="I91" s="75">
        <f t="shared" si="14"/>
        <v>45989</v>
      </c>
      <c r="J91" s="75">
        <v>46002</v>
      </c>
      <c r="K91" s="76">
        <f t="shared" si="15"/>
        <v>28</v>
      </c>
      <c r="L91" s="25">
        <v>14.39</v>
      </c>
      <c r="M91" s="25">
        <v>7.21</v>
      </c>
      <c r="N91" s="25">
        <f t="shared" si="16"/>
        <v>7.1800000000000006</v>
      </c>
      <c r="O91" s="25" t="s">
        <v>544</v>
      </c>
    </row>
    <row r="92" spans="1:15" x14ac:dyDescent="0.25">
      <c r="A92" s="75">
        <v>45974</v>
      </c>
      <c r="B92" s="25" t="s">
        <v>507</v>
      </c>
      <c r="C92" s="25"/>
      <c r="D92" s="75">
        <f t="shared" si="9"/>
        <v>45997</v>
      </c>
      <c r="E92" s="75">
        <f t="shared" si="10"/>
        <v>45981</v>
      </c>
      <c r="F92" s="75">
        <f t="shared" si="11"/>
        <v>45988</v>
      </c>
      <c r="G92" s="75">
        <f t="shared" si="12"/>
        <v>45994</v>
      </c>
      <c r="H92" s="75">
        <f t="shared" si="13"/>
        <v>45982</v>
      </c>
      <c r="I92" s="75">
        <f t="shared" si="14"/>
        <v>45989</v>
      </c>
      <c r="J92" s="75">
        <v>46002</v>
      </c>
      <c r="K92" s="76">
        <f t="shared" si="15"/>
        <v>28</v>
      </c>
      <c r="L92" s="25">
        <v>11.19</v>
      </c>
      <c r="M92" s="25">
        <v>5.15</v>
      </c>
      <c r="N92" s="25">
        <f t="shared" si="16"/>
        <v>6.0399999999999991</v>
      </c>
      <c r="O92" s="25" t="s">
        <v>544</v>
      </c>
    </row>
    <row r="93" spans="1:15" x14ac:dyDescent="0.25">
      <c r="A93" s="75">
        <v>45974</v>
      </c>
      <c r="B93" s="25" t="s">
        <v>508</v>
      </c>
      <c r="C93" s="25"/>
      <c r="D93" s="75">
        <f t="shared" si="9"/>
        <v>45997</v>
      </c>
      <c r="E93" s="75">
        <f t="shared" si="10"/>
        <v>45981</v>
      </c>
      <c r="F93" s="75">
        <f t="shared" si="11"/>
        <v>45988</v>
      </c>
      <c r="G93" s="75">
        <f t="shared" si="12"/>
        <v>45994</v>
      </c>
      <c r="H93" s="75">
        <f t="shared" si="13"/>
        <v>45982</v>
      </c>
      <c r="I93" s="75">
        <f t="shared" si="14"/>
        <v>45989</v>
      </c>
      <c r="J93" s="75">
        <v>46002</v>
      </c>
      <c r="K93" s="76">
        <f t="shared" si="15"/>
        <v>28</v>
      </c>
      <c r="L93" s="25">
        <v>12.47</v>
      </c>
      <c r="M93" s="25">
        <v>6.28</v>
      </c>
      <c r="N93" s="25">
        <f t="shared" si="16"/>
        <v>6.19</v>
      </c>
      <c r="O93" s="25" t="s">
        <v>544</v>
      </c>
    </row>
    <row r="94" spans="1:15" x14ac:dyDescent="0.25">
      <c r="A94" s="75">
        <v>45975</v>
      </c>
      <c r="B94" s="25" t="s">
        <v>501</v>
      </c>
      <c r="C94" s="25"/>
      <c r="D94" s="75">
        <f t="shared" si="9"/>
        <v>45998</v>
      </c>
      <c r="E94" s="75">
        <f t="shared" si="10"/>
        <v>45982</v>
      </c>
      <c r="F94" s="75">
        <f t="shared" si="11"/>
        <v>45989</v>
      </c>
      <c r="G94" s="75">
        <f t="shared" si="12"/>
        <v>45995</v>
      </c>
      <c r="H94" s="75">
        <f t="shared" si="13"/>
        <v>45983</v>
      </c>
      <c r="I94" s="75">
        <f t="shared" si="14"/>
        <v>45990</v>
      </c>
      <c r="J94" s="75">
        <v>46002</v>
      </c>
      <c r="K94" s="76">
        <f t="shared" si="15"/>
        <v>27</v>
      </c>
      <c r="L94" s="25">
        <v>13.66</v>
      </c>
      <c r="M94" s="25">
        <v>12.73</v>
      </c>
      <c r="N94" s="25">
        <f t="shared" si="16"/>
        <v>0.92999999999999972</v>
      </c>
      <c r="O94" s="25" t="s">
        <v>545</v>
      </c>
    </row>
    <row r="95" spans="1:15" x14ac:dyDescent="0.25">
      <c r="A95" s="75">
        <v>45975</v>
      </c>
      <c r="B95" s="25" t="s">
        <v>502</v>
      </c>
      <c r="C95" s="25"/>
      <c r="D95" s="75">
        <f t="shared" si="9"/>
        <v>45998</v>
      </c>
      <c r="E95" s="75">
        <f t="shared" si="10"/>
        <v>45982</v>
      </c>
      <c r="F95" s="75">
        <f t="shared" si="11"/>
        <v>45989</v>
      </c>
      <c r="G95" s="75">
        <f t="shared" si="12"/>
        <v>45995</v>
      </c>
      <c r="H95" s="75">
        <f t="shared" si="13"/>
        <v>45983</v>
      </c>
      <c r="I95" s="75">
        <f t="shared" si="14"/>
        <v>45990</v>
      </c>
      <c r="J95" s="75">
        <v>46002</v>
      </c>
      <c r="K95" s="76">
        <f t="shared" si="15"/>
        <v>27</v>
      </c>
      <c r="L95" s="25">
        <v>15.17</v>
      </c>
      <c r="M95" s="25">
        <v>14.58</v>
      </c>
      <c r="N95" s="25">
        <f t="shared" si="16"/>
        <v>0.58999999999999986</v>
      </c>
      <c r="O95" s="25" t="s">
        <v>545</v>
      </c>
    </row>
    <row r="96" spans="1:15" x14ac:dyDescent="0.25">
      <c r="A96" s="75">
        <v>45975</v>
      </c>
      <c r="B96" s="25" t="s">
        <v>503</v>
      </c>
      <c r="C96" s="25"/>
      <c r="D96" s="75">
        <f t="shared" si="9"/>
        <v>45998</v>
      </c>
      <c r="E96" s="75">
        <f t="shared" si="10"/>
        <v>45982</v>
      </c>
      <c r="F96" s="75">
        <f t="shared" si="11"/>
        <v>45989</v>
      </c>
      <c r="G96" s="75">
        <f t="shared" si="12"/>
        <v>45995</v>
      </c>
      <c r="H96" s="75">
        <f t="shared" si="13"/>
        <v>45983</v>
      </c>
      <c r="I96" s="75">
        <f t="shared" si="14"/>
        <v>45990</v>
      </c>
      <c r="J96" s="75">
        <v>46002</v>
      </c>
      <c r="K96" s="76">
        <f t="shared" si="15"/>
        <v>27</v>
      </c>
      <c r="L96" s="25">
        <v>14.25</v>
      </c>
      <c r="M96" s="25">
        <v>13.1</v>
      </c>
      <c r="N96" s="25">
        <f t="shared" si="16"/>
        <v>1.1500000000000004</v>
      </c>
      <c r="O96" s="25" t="s">
        <v>545</v>
      </c>
    </row>
    <row r="97" spans="1:15" x14ac:dyDescent="0.25">
      <c r="A97" s="75">
        <v>45975</v>
      </c>
      <c r="B97" s="25" t="s">
        <v>497</v>
      </c>
      <c r="C97" s="25"/>
      <c r="D97" s="75">
        <f t="shared" si="9"/>
        <v>45998</v>
      </c>
      <c r="E97" s="75">
        <f t="shared" si="10"/>
        <v>45982</v>
      </c>
      <c r="F97" s="75">
        <f t="shared" si="11"/>
        <v>45989</v>
      </c>
      <c r="G97" s="75">
        <f t="shared" si="12"/>
        <v>45995</v>
      </c>
      <c r="H97" s="75">
        <f t="shared" si="13"/>
        <v>45983</v>
      </c>
      <c r="I97" s="75">
        <f t="shared" si="14"/>
        <v>45990</v>
      </c>
      <c r="J97" s="75">
        <v>46003</v>
      </c>
      <c r="K97" s="76">
        <f t="shared" si="15"/>
        <v>28</v>
      </c>
      <c r="L97" s="25">
        <v>10.98</v>
      </c>
      <c r="M97" s="25">
        <v>4.1100000000000003</v>
      </c>
      <c r="N97" s="25">
        <f t="shared" si="16"/>
        <v>6.87</v>
      </c>
      <c r="O97" s="25" t="s">
        <v>544</v>
      </c>
    </row>
    <row r="98" spans="1:15" x14ac:dyDescent="0.25">
      <c r="A98" s="75">
        <v>45975</v>
      </c>
      <c r="B98" s="25" t="s">
        <v>498</v>
      </c>
      <c r="C98" s="25"/>
      <c r="D98" s="75">
        <f t="shared" si="9"/>
        <v>45998</v>
      </c>
      <c r="E98" s="75">
        <f t="shared" si="10"/>
        <v>45982</v>
      </c>
      <c r="F98" s="75">
        <f t="shared" si="11"/>
        <v>45989</v>
      </c>
      <c r="G98" s="75">
        <f t="shared" si="12"/>
        <v>45995</v>
      </c>
      <c r="H98" s="75">
        <f t="shared" si="13"/>
        <v>45983</v>
      </c>
      <c r="I98" s="75">
        <f t="shared" si="14"/>
        <v>45990</v>
      </c>
      <c r="J98" s="75">
        <v>46003</v>
      </c>
      <c r="K98" s="76">
        <f t="shared" si="15"/>
        <v>28</v>
      </c>
      <c r="L98" s="25">
        <v>11.61</v>
      </c>
      <c r="M98" s="25">
        <v>5.21</v>
      </c>
      <c r="N98" s="25">
        <f t="shared" si="16"/>
        <v>6.3999999999999995</v>
      </c>
      <c r="O98" s="25" t="s">
        <v>544</v>
      </c>
    </row>
    <row r="99" spans="1:15" x14ac:dyDescent="0.25">
      <c r="A99" s="75">
        <v>45975</v>
      </c>
      <c r="B99" s="25" t="s">
        <v>499</v>
      </c>
      <c r="C99" s="25"/>
      <c r="D99" s="75">
        <f t="shared" si="9"/>
        <v>45998</v>
      </c>
      <c r="E99" s="75">
        <f t="shared" si="10"/>
        <v>45982</v>
      </c>
      <c r="F99" s="75">
        <f t="shared" si="11"/>
        <v>45989</v>
      </c>
      <c r="G99" s="75">
        <f t="shared" si="12"/>
        <v>45995</v>
      </c>
      <c r="H99" s="75">
        <f t="shared" si="13"/>
        <v>45983</v>
      </c>
      <c r="I99" s="75">
        <f t="shared" si="14"/>
        <v>45990</v>
      </c>
      <c r="J99" s="75">
        <v>46003</v>
      </c>
      <c r="K99" s="76">
        <f t="shared" ref="K99:K162" si="17">J99-A99</f>
        <v>28</v>
      </c>
      <c r="L99" s="25">
        <v>10.43</v>
      </c>
      <c r="M99" s="25">
        <v>4.6399999999999997</v>
      </c>
      <c r="N99" s="25">
        <f t="shared" si="16"/>
        <v>5.79</v>
      </c>
      <c r="O99" s="25" t="s">
        <v>544</v>
      </c>
    </row>
    <row r="100" spans="1:15" x14ac:dyDescent="0.25">
      <c r="A100" s="75">
        <v>45975</v>
      </c>
      <c r="B100" s="25" t="s">
        <v>500</v>
      </c>
      <c r="C100" s="25"/>
      <c r="D100" s="75">
        <f t="shared" si="9"/>
        <v>45998</v>
      </c>
      <c r="E100" s="75">
        <f t="shared" si="10"/>
        <v>45982</v>
      </c>
      <c r="F100" s="75">
        <f t="shared" si="11"/>
        <v>45989</v>
      </c>
      <c r="G100" s="75">
        <f t="shared" si="12"/>
        <v>45995</v>
      </c>
      <c r="H100" s="75">
        <f t="shared" si="13"/>
        <v>45983</v>
      </c>
      <c r="I100" s="75">
        <f t="shared" si="14"/>
        <v>45990</v>
      </c>
      <c r="J100" s="75">
        <v>46003</v>
      </c>
      <c r="K100" s="76">
        <f t="shared" si="17"/>
        <v>28</v>
      </c>
      <c r="L100" s="25">
        <v>11.82</v>
      </c>
      <c r="M100" s="25">
        <v>5.71</v>
      </c>
      <c r="N100" s="25">
        <f t="shared" si="16"/>
        <v>6.11</v>
      </c>
      <c r="O100" s="25" t="s">
        <v>544</v>
      </c>
    </row>
    <row r="101" spans="1:15" x14ac:dyDescent="0.25">
      <c r="A101" s="75">
        <v>45976</v>
      </c>
      <c r="B101" s="25" t="s">
        <v>489</v>
      </c>
      <c r="C101" s="25"/>
      <c r="D101" s="75">
        <f t="shared" si="9"/>
        <v>45999</v>
      </c>
      <c r="E101" s="75">
        <f t="shared" si="10"/>
        <v>45983</v>
      </c>
      <c r="F101" s="75">
        <f t="shared" si="11"/>
        <v>45990</v>
      </c>
      <c r="G101" s="75">
        <f t="shared" si="12"/>
        <v>45996</v>
      </c>
      <c r="H101" s="75">
        <f t="shared" si="13"/>
        <v>45984</v>
      </c>
      <c r="I101" s="75">
        <f t="shared" si="14"/>
        <v>45991</v>
      </c>
      <c r="J101" s="75">
        <v>46003</v>
      </c>
      <c r="K101" s="76">
        <f t="shared" si="17"/>
        <v>27</v>
      </c>
      <c r="L101" s="25">
        <v>9.76</v>
      </c>
      <c r="M101" s="25">
        <v>8.6199999999999992</v>
      </c>
      <c r="N101" s="25">
        <f t="shared" si="16"/>
        <v>1.1400000000000006</v>
      </c>
      <c r="O101" s="25" t="s">
        <v>545</v>
      </c>
    </row>
    <row r="102" spans="1:15" x14ac:dyDescent="0.25">
      <c r="A102" s="75">
        <v>45976</v>
      </c>
      <c r="B102" s="25" t="s">
        <v>490</v>
      </c>
      <c r="C102" s="25"/>
      <c r="D102" s="75">
        <f t="shared" si="9"/>
        <v>45999</v>
      </c>
      <c r="E102" s="75">
        <f t="shared" si="10"/>
        <v>45983</v>
      </c>
      <c r="F102" s="75">
        <f t="shared" si="11"/>
        <v>45990</v>
      </c>
      <c r="G102" s="75">
        <f t="shared" si="12"/>
        <v>45996</v>
      </c>
      <c r="H102" s="75">
        <f t="shared" si="13"/>
        <v>45984</v>
      </c>
      <c r="I102" s="75">
        <f t="shared" si="14"/>
        <v>45991</v>
      </c>
      <c r="J102" s="75">
        <v>46003</v>
      </c>
      <c r="K102" s="76">
        <f t="shared" si="17"/>
        <v>27</v>
      </c>
      <c r="L102" s="25">
        <v>9.81</v>
      </c>
      <c r="M102" s="25">
        <v>8.76</v>
      </c>
      <c r="N102" s="25">
        <f t="shared" si="16"/>
        <v>1.0500000000000007</v>
      </c>
      <c r="O102" s="25" t="s">
        <v>545</v>
      </c>
    </row>
    <row r="103" spans="1:15" x14ac:dyDescent="0.25">
      <c r="A103" s="75">
        <v>45976</v>
      </c>
      <c r="B103" s="25" t="s">
        <v>491</v>
      </c>
      <c r="C103" s="25"/>
      <c r="D103" s="75">
        <f t="shared" si="9"/>
        <v>45999</v>
      </c>
      <c r="E103" s="75">
        <f t="shared" si="10"/>
        <v>45983</v>
      </c>
      <c r="F103" s="75">
        <f t="shared" si="11"/>
        <v>45990</v>
      </c>
      <c r="G103" s="75">
        <f t="shared" si="12"/>
        <v>45996</v>
      </c>
      <c r="H103" s="75">
        <f t="shared" si="13"/>
        <v>45984</v>
      </c>
      <c r="I103" s="75">
        <f t="shared" si="14"/>
        <v>45991</v>
      </c>
      <c r="J103" s="75">
        <v>46003</v>
      </c>
      <c r="K103" s="76">
        <f t="shared" si="17"/>
        <v>27</v>
      </c>
      <c r="L103" s="25">
        <v>13.25</v>
      </c>
      <c r="M103" s="25">
        <v>12.15</v>
      </c>
      <c r="N103" s="25">
        <f t="shared" si="16"/>
        <v>1.0999999999999996</v>
      </c>
      <c r="O103" s="25" t="s">
        <v>545</v>
      </c>
    </row>
    <row r="104" spans="1:15" x14ac:dyDescent="0.25">
      <c r="A104" s="75">
        <v>45976</v>
      </c>
      <c r="B104" s="25" t="s">
        <v>492</v>
      </c>
      <c r="C104" s="25"/>
      <c r="D104" s="75">
        <f t="shared" si="9"/>
        <v>45999</v>
      </c>
      <c r="E104" s="75">
        <f t="shared" si="10"/>
        <v>45983</v>
      </c>
      <c r="F104" s="75">
        <f t="shared" si="11"/>
        <v>45990</v>
      </c>
      <c r="G104" s="75">
        <f t="shared" si="12"/>
        <v>45996</v>
      </c>
      <c r="H104" s="75">
        <f t="shared" si="13"/>
        <v>45984</v>
      </c>
      <c r="I104" s="75">
        <f t="shared" si="14"/>
        <v>45991</v>
      </c>
      <c r="J104" s="75">
        <v>46003</v>
      </c>
      <c r="K104" s="76">
        <f t="shared" si="17"/>
        <v>27</v>
      </c>
      <c r="L104" s="25">
        <v>13.53</v>
      </c>
      <c r="M104" s="25">
        <v>12.37</v>
      </c>
      <c r="N104" s="25">
        <f t="shared" si="16"/>
        <v>1.1600000000000001</v>
      </c>
      <c r="O104" s="25" t="s">
        <v>545</v>
      </c>
    </row>
    <row r="105" spans="1:15" x14ac:dyDescent="0.25">
      <c r="A105" s="75">
        <v>45976</v>
      </c>
      <c r="B105" s="25" t="s">
        <v>493</v>
      </c>
      <c r="C105" s="25"/>
      <c r="D105" s="75">
        <f t="shared" si="9"/>
        <v>45999</v>
      </c>
      <c r="E105" s="75">
        <f t="shared" si="10"/>
        <v>45983</v>
      </c>
      <c r="F105" s="75">
        <f t="shared" si="11"/>
        <v>45990</v>
      </c>
      <c r="G105" s="75">
        <f t="shared" si="12"/>
        <v>45996</v>
      </c>
      <c r="H105" s="75">
        <f t="shared" si="13"/>
        <v>45984</v>
      </c>
      <c r="I105" s="75">
        <f t="shared" si="14"/>
        <v>45991</v>
      </c>
      <c r="J105" s="75">
        <v>46003</v>
      </c>
      <c r="K105" s="76">
        <f t="shared" si="17"/>
        <v>27</v>
      </c>
      <c r="L105" s="25">
        <v>12.49</v>
      </c>
      <c r="M105" s="25">
        <v>11.21</v>
      </c>
      <c r="N105" s="25">
        <f t="shared" si="16"/>
        <v>1.2799999999999994</v>
      </c>
      <c r="O105" s="25" t="s">
        <v>545</v>
      </c>
    </row>
    <row r="106" spans="1:15" x14ac:dyDescent="0.25">
      <c r="A106" s="75">
        <v>45976</v>
      </c>
      <c r="B106" s="25" t="s">
        <v>494</v>
      </c>
      <c r="C106" s="25"/>
      <c r="D106" s="75">
        <f t="shared" si="9"/>
        <v>45999</v>
      </c>
      <c r="E106" s="75">
        <f t="shared" si="10"/>
        <v>45983</v>
      </c>
      <c r="F106" s="75">
        <f t="shared" si="11"/>
        <v>45990</v>
      </c>
      <c r="G106" s="75">
        <f t="shared" si="12"/>
        <v>45996</v>
      </c>
      <c r="H106" s="75">
        <f t="shared" si="13"/>
        <v>45984</v>
      </c>
      <c r="I106" s="75">
        <f t="shared" si="14"/>
        <v>45991</v>
      </c>
      <c r="J106" s="75">
        <v>46003</v>
      </c>
      <c r="K106" s="76">
        <f t="shared" si="17"/>
        <v>27</v>
      </c>
      <c r="L106" s="25">
        <v>13.17</v>
      </c>
      <c r="M106" s="25">
        <v>12.56</v>
      </c>
      <c r="N106" s="25">
        <f t="shared" si="16"/>
        <v>0.60999999999999943</v>
      </c>
      <c r="O106" s="25" t="s">
        <v>545</v>
      </c>
    </row>
    <row r="107" spans="1:15" x14ac:dyDescent="0.25">
      <c r="A107" s="75">
        <v>45976</v>
      </c>
      <c r="B107" s="25" t="s">
        <v>495</v>
      </c>
      <c r="C107" s="25"/>
      <c r="D107" s="75">
        <f t="shared" si="9"/>
        <v>45999</v>
      </c>
      <c r="E107" s="75">
        <f t="shared" si="10"/>
        <v>45983</v>
      </c>
      <c r="F107" s="75">
        <f t="shared" si="11"/>
        <v>45990</v>
      </c>
      <c r="G107" s="75">
        <f t="shared" si="12"/>
        <v>45996</v>
      </c>
      <c r="H107" s="75">
        <f t="shared" si="13"/>
        <v>45984</v>
      </c>
      <c r="I107" s="75">
        <f t="shared" si="14"/>
        <v>45991</v>
      </c>
      <c r="J107" s="75">
        <v>46003</v>
      </c>
      <c r="K107" s="76">
        <f t="shared" si="17"/>
        <v>27</v>
      </c>
      <c r="L107" s="25">
        <v>10.56</v>
      </c>
      <c r="M107" s="25">
        <v>4.71</v>
      </c>
      <c r="N107" s="25">
        <f t="shared" si="16"/>
        <v>5.8500000000000005</v>
      </c>
      <c r="O107" s="25" t="s">
        <v>545</v>
      </c>
    </row>
    <row r="108" spans="1:15" x14ac:dyDescent="0.25">
      <c r="A108" s="75">
        <v>45976</v>
      </c>
      <c r="B108" s="25" t="s">
        <v>496</v>
      </c>
      <c r="C108" s="25"/>
      <c r="D108" s="75">
        <f t="shared" si="9"/>
        <v>45999</v>
      </c>
      <c r="E108" s="75">
        <f t="shared" si="10"/>
        <v>45983</v>
      </c>
      <c r="F108" s="75">
        <f t="shared" si="11"/>
        <v>45990</v>
      </c>
      <c r="G108" s="75">
        <f t="shared" si="12"/>
        <v>45996</v>
      </c>
      <c r="H108" s="75">
        <f t="shared" si="13"/>
        <v>45984</v>
      </c>
      <c r="I108" s="75">
        <f t="shared" si="14"/>
        <v>45991</v>
      </c>
      <c r="J108" s="75">
        <v>46003</v>
      </c>
      <c r="K108" s="76">
        <f t="shared" si="17"/>
        <v>27</v>
      </c>
      <c r="L108" s="25">
        <v>11.09</v>
      </c>
      <c r="M108" s="25">
        <v>5.04</v>
      </c>
      <c r="N108" s="25">
        <f t="shared" si="16"/>
        <v>6.05</v>
      </c>
      <c r="O108" s="25" t="s">
        <v>545</v>
      </c>
    </row>
    <row r="109" spans="1:15" x14ac:dyDescent="0.25">
      <c r="A109" s="75">
        <v>45977</v>
      </c>
      <c r="B109" s="25" t="s">
        <v>465</v>
      </c>
      <c r="C109" s="25"/>
      <c r="D109" s="75">
        <f t="shared" si="9"/>
        <v>46000</v>
      </c>
      <c r="E109" s="75">
        <f t="shared" si="10"/>
        <v>45984</v>
      </c>
      <c r="F109" s="75">
        <f t="shared" si="11"/>
        <v>45991</v>
      </c>
      <c r="G109" s="75">
        <f t="shared" si="12"/>
        <v>45997</v>
      </c>
      <c r="H109" s="75">
        <f t="shared" si="13"/>
        <v>45985</v>
      </c>
      <c r="I109" s="75">
        <f t="shared" si="14"/>
        <v>45992</v>
      </c>
      <c r="J109" s="75">
        <v>46004</v>
      </c>
      <c r="K109" s="76">
        <f t="shared" si="17"/>
        <v>27</v>
      </c>
      <c r="L109" s="25">
        <v>12.55</v>
      </c>
      <c r="M109" s="25">
        <v>6.07</v>
      </c>
      <c r="N109" s="25">
        <f t="shared" si="16"/>
        <v>6.48</v>
      </c>
      <c r="O109" s="25" t="s">
        <v>544</v>
      </c>
    </row>
    <row r="110" spans="1:15" x14ac:dyDescent="0.25">
      <c r="A110" s="75">
        <v>45977</v>
      </c>
      <c r="B110" s="25" t="s">
        <v>466</v>
      </c>
      <c r="C110" s="25"/>
      <c r="D110" s="75">
        <f t="shared" si="9"/>
        <v>46000</v>
      </c>
      <c r="E110" s="75">
        <f t="shared" si="10"/>
        <v>45984</v>
      </c>
      <c r="F110" s="75">
        <f t="shared" si="11"/>
        <v>45991</v>
      </c>
      <c r="G110" s="75">
        <f t="shared" si="12"/>
        <v>45997</v>
      </c>
      <c r="H110" s="75">
        <f t="shared" si="13"/>
        <v>45985</v>
      </c>
      <c r="I110" s="75">
        <f t="shared" si="14"/>
        <v>45992</v>
      </c>
      <c r="J110" s="75">
        <v>46004</v>
      </c>
      <c r="K110" s="76">
        <f t="shared" si="17"/>
        <v>27</v>
      </c>
      <c r="L110" s="25">
        <v>11.71</v>
      </c>
      <c r="M110" s="25">
        <v>5.58</v>
      </c>
      <c r="N110" s="25">
        <f t="shared" si="16"/>
        <v>6.1300000000000008</v>
      </c>
      <c r="O110" s="25" t="s">
        <v>544</v>
      </c>
    </row>
    <row r="111" spans="1:15" x14ac:dyDescent="0.25">
      <c r="A111" s="75">
        <v>45977</v>
      </c>
      <c r="B111" s="25" t="s">
        <v>467</v>
      </c>
      <c r="C111" s="25"/>
      <c r="D111" s="75">
        <f t="shared" si="9"/>
        <v>46000</v>
      </c>
      <c r="E111" s="75">
        <f t="shared" si="10"/>
        <v>45984</v>
      </c>
      <c r="F111" s="75">
        <f t="shared" si="11"/>
        <v>45991</v>
      </c>
      <c r="G111" s="75">
        <f t="shared" si="12"/>
        <v>45997</v>
      </c>
      <c r="H111" s="75">
        <f t="shared" si="13"/>
        <v>45985</v>
      </c>
      <c r="I111" s="75">
        <f t="shared" si="14"/>
        <v>45992</v>
      </c>
      <c r="J111" s="75">
        <v>46004</v>
      </c>
      <c r="K111" s="76">
        <f t="shared" si="17"/>
        <v>27</v>
      </c>
      <c r="L111" s="25">
        <v>11.62</v>
      </c>
      <c r="M111" s="25">
        <v>5.22</v>
      </c>
      <c r="N111" s="25">
        <f t="shared" si="16"/>
        <v>6.3999999999999995</v>
      </c>
      <c r="O111" s="25" t="s">
        <v>544</v>
      </c>
    </row>
    <row r="112" spans="1:15" x14ac:dyDescent="0.25">
      <c r="A112" s="75">
        <v>45977</v>
      </c>
      <c r="B112" s="25" t="s">
        <v>468</v>
      </c>
      <c r="C112" s="25"/>
      <c r="D112" s="75">
        <f t="shared" si="9"/>
        <v>46000</v>
      </c>
      <c r="E112" s="75">
        <f t="shared" si="10"/>
        <v>45984</v>
      </c>
      <c r="F112" s="75">
        <f t="shared" si="11"/>
        <v>45991</v>
      </c>
      <c r="G112" s="75">
        <f t="shared" si="12"/>
        <v>45997</v>
      </c>
      <c r="H112" s="75">
        <f t="shared" si="13"/>
        <v>45985</v>
      </c>
      <c r="I112" s="75">
        <f t="shared" si="14"/>
        <v>45992</v>
      </c>
      <c r="J112" s="75">
        <v>46004</v>
      </c>
      <c r="K112" s="76">
        <f t="shared" si="17"/>
        <v>27</v>
      </c>
      <c r="L112" s="25">
        <v>12.47</v>
      </c>
      <c r="M112" s="25">
        <v>11.29</v>
      </c>
      <c r="N112" s="25">
        <f t="shared" si="16"/>
        <v>1.1800000000000015</v>
      </c>
      <c r="O112" s="25" t="s">
        <v>545</v>
      </c>
    </row>
    <row r="113" spans="1:15" x14ac:dyDescent="0.25">
      <c r="A113" s="75">
        <v>45977</v>
      </c>
      <c r="B113" s="25" t="s">
        <v>469</v>
      </c>
      <c r="C113" s="25"/>
      <c r="D113" s="75">
        <f t="shared" si="9"/>
        <v>46000</v>
      </c>
      <c r="E113" s="75">
        <f t="shared" si="10"/>
        <v>45984</v>
      </c>
      <c r="F113" s="75">
        <f t="shared" si="11"/>
        <v>45991</v>
      </c>
      <c r="G113" s="75">
        <f t="shared" si="12"/>
        <v>45997</v>
      </c>
      <c r="H113" s="75">
        <f t="shared" si="13"/>
        <v>45985</v>
      </c>
      <c r="I113" s="75">
        <f t="shared" si="14"/>
        <v>45992</v>
      </c>
      <c r="J113" s="75">
        <v>46004</v>
      </c>
      <c r="K113" s="76">
        <f t="shared" si="17"/>
        <v>27</v>
      </c>
      <c r="L113" s="25">
        <v>11.81</v>
      </c>
      <c r="M113" s="25">
        <v>10.76</v>
      </c>
      <c r="N113" s="25">
        <f t="shared" si="16"/>
        <v>1.0500000000000007</v>
      </c>
      <c r="O113" s="25" t="s">
        <v>545</v>
      </c>
    </row>
    <row r="114" spans="1:15" x14ac:dyDescent="0.25">
      <c r="A114" s="75">
        <v>45977</v>
      </c>
      <c r="B114" s="25" t="s">
        <v>470</v>
      </c>
      <c r="C114" s="25"/>
      <c r="D114" s="75">
        <f t="shared" si="9"/>
        <v>46000</v>
      </c>
      <c r="E114" s="75">
        <f t="shared" si="10"/>
        <v>45984</v>
      </c>
      <c r="F114" s="75">
        <f t="shared" si="11"/>
        <v>45991</v>
      </c>
      <c r="G114" s="75">
        <f t="shared" si="12"/>
        <v>45997</v>
      </c>
      <c r="H114" s="75">
        <f t="shared" si="13"/>
        <v>45985</v>
      </c>
      <c r="I114" s="75">
        <f t="shared" si="14"/>
        <v>45992</v>
      </c>
      <c r="J114" s="75">
        <v>46004</v>
      </c>
      <c r="K114" s="76">
        <f t="shared" si="17"/>
        <v>27</v>
      </c>
      <c r="L114" s="25">
        <v>13.49</v>
      </c>
      <c r="M114" s="25">
        <v>12.15</v>
      </c>
      <c r="N114" s="25">
        <f t="shared" si="16"/>
        <v>1.3399999999999999</v>
      </c>
      <c r="O114" s="25" t="s">
        <v>545</v>
      </c>
    </row>
    <row r="115" spans="1:15" x14ac:dyDescent="0.25">
      <c r="A115" s="75">
        <v>45977</v>
      </c>
      <c r="B115" s="25" t="s">
        <v>471</v>
      </c>
      <c r="C115" s="25"/>
      <c r="D115" s="75">
        <f t="shared" si="9"/>
        <v>46000</v>
      </c>
      <c r="E115" s="75">
        <f t="shared" si="10"/>
        <v>45984</v>
      </c>
      <c r="F115" s="75">
        <f t="shared" si="11"/>
        <v>45991</v>
      </c>
      <c r="G115" s="75">
        <f t="shared" si="12"/>
        <v>45997</v>
      </c>
      <c r="H115" s="75">
        <f t="shared" si="13"/>
        <v>45985</v>
      </c>
      <c r="I115" s="75">
        <f t="shared" si="14"/>
        <v>45992</v>
      </c>
      <c r="J115" s="75">
        <v>46004</v>
      </c>
      <c r="K115" s="76">
        <f t="shared" si="17"/>
        <v>27</v>
      </c>
      <c r="L115" s="25">
        <v>12.68</v>
      </c>
      <c r="M115" s="25">
        <v>11.33</v>
      </c>
      <c r="N115" s="25">
        <f t="shared" si="16"/>
        <v>1.3499999999999996</v>
      </c>
      <c r="O115" s="25" t="s">
        <v>545</v>
      </c>
    </row>
    <row r="116" spans="1:15" x14ac:dyDescent="0.25">
      <c r="A116" s="75">
        <v>45978</v>
      </c>
      <c r="B116" s="25" t="s">
        <v>472</v>
      </c>
      <c r="C116" s="25"/>
      <c r="D116" s="75">
        <f t="shared" si="9"/>
        <v>46001</v>
      </c>
      <c r="E116" s="75">
        <f t="shared" si="10"/>
        <v>45985</v>
      </c>
      <c r="F116" s="75">
        <f t="shared" si="11"/>
        <v>45992</v>
      </c>
      <c r="G116" s="75">
        <f t="shared" si="12"/>
        <v>45998</v>
      </c>
      <c r="H116" s="75">
        <f t="shared" si="13"/>
        <v>45986</v>
      </c>
      <c r="I116" s="75">
        <f t="shared" si="14"/>
        <v>45993</v>
      </c>
      <c r="J116" s="75">
        <v>46005</v>
      </c>
      <c r="K116" s="76">
        <f t="shared" si="17"/>
        <v>27</v>
      </c>
      <c r="L116" s="25">
        <v>12.74</v>
      </c>
      <c r="M116" s="25">
        <v>6.28</v>
      </c>
      <c r="N116" s="25">
        <f t="shared" si="16"/>
        <v>6.46</v>
      </c>
      <c r="O116" s="25" t="s">
        <v>544</v>
      </c>
    </row>
    <row r="117" spans="1:15" x14ac:dyDescent="0.25">
      <c r="A117" s="75">
        <v>45978</v>
      </c>
      <c r="B117" s="25" t="s">
        <v>473</v>
      </c>
      <c r="C117" s="25"/>
      <c r="D117" s="75">
        <f t="shared" si="9"/>
        <v>46001</v>
      </c>
      <c r="E117" s="75">
        <f t="shared" si="10"/>
        <v>45985</v>
      </c>
      <c r="F117" s="75">
        <f t="shared" si="11"/>
        <v>45992</v>
      </c>
      <c r="G117" s="75">
        <f t="shared" si="12"/>
        <v>45998</v>
      </c>
      <c r="H117" s="75">
        <f t="shared" si="13"/>
        <v>45986</v>
      </c>
      <c r="I117" s="75">
        <f t="shared" si="14"/>
        <v>45993</v>
      </c>
      <c r="J117" s="75">
        <v>46005</v>
      </c>
      <c r="K117" s="76">
        <f t="shared" si="17"/>
        <v>27</v>
      </c>
      <c r="L117" s="25">
        <v>14.52</v>
      </c>
      <c r="M117" s="25">
        <v>7.31</v>
      </c>
      <c r="N117" s="25">
        <f t="shared" si="16"/>
        <v>7.21</v>
      </c>
      <c r="O117" s="25" t="s">
        <v>544</v>
      </c>
    </row>
    <row r="118" spans="1:15" x14ac:dyDescent="0.25">
      <c r="A118" s="75">
        <v>45978</v>
      </c>
      <c r="B118" s="25" t="s">
        <v>474</v>
      </c>
      <c r="C118" s="25"/>
      <c r="D118" s="75">
        <f t="shared" si="9"/>
        <v>46001</v>
      </c>
      <c r="E118" s="75">
        <f t="shared" si="10"/>
        <v>45985</v>
      </c>
      <c r="F118" s="75">
        <f t="shared" si="11"/>
        <v>45992</v>
      </c>
      <c r="G118" s="75">
        <f t="shared" si="12"/>
        <v>45998</v>
      </c>
      <c r="H118" s="75">
        <f t="shared" si="13"/>
        <v>45986</v>
      </c>
      <c r="I118" s="75">
        <f t="shared" si="14"/>
        <v>45993</v>
      </c>
      <c r="J118" s="75">
        <v>46005</v>
      </c>
      <c r="K118" s="76">
        <f t="shared" si="17"/>
        <v>27</v>
      </c>
      <c r="L118" s="25">
        <v>14.81</v>
      </c>
      <c r="M118" s="25">
        <v>7.52</v>
      </c>
      <c r="N118" s="25">
        <f t="shared" si="16"/>
        <v>7.2900000000000009</v>
      </c>
      <c r="O118" s="25" t="s">
        <v>544</v>
      </c>
    </row>
    <row r="119" spans="1:15" x14ac:dyDescent="0.25">
      <c r="A119" s="75">
        <v>45978</v>
      </c>
      <c r="B119" s="25" t="s">
        <v>475</v>
      </c>
      <c r="C119" s="25"/>
      <c r="D119" s="75">
        <f t="shared" si="9"/>
        <v>46001</v>
      </c>
      <c r="E119" s="75">
        <f t="shared" si="10"/>
        <v>45985</v>
      </c>
      <c r="F119" s="75">
        <f t="shared" si="11"/>
        <v>45992</v>
      </c>
      <c r="G119" s="75">
        <f t="shared" si="12"/>
        <v>45998</v>
      </c>
      <c r="H119" s="75">
        <f t="shared" si="13"/>
        <v>45986</v>
      </c>
      <c r="I119" s="75">
        <f t="shared" si="14"/>
        <v>45993</v>
      </c>
      <c r="J119" s="75">
        <v>46005</v>
      </c>
      <c r="K119" s="76">
        <f t="shared" si="17"/>
        <v>27</v>
      </c>
      <c r="L119" s="25">
        <v>13.1</v>
      </c>
      <c r="M119" s="25">
        <v>6.98</v>
      </c>
      <c r="N119" s="25">
        <f t="shared" si="16"/>
        <v>6.1199999999999992</v>
      </c>
      <c r="O119" s="25" t="s">
        <v>544</v>
      </c>
    </row>
    <row r="120" spans="1:15" x14ac:dyDescent="0.25">
      <c r="A120" s="75">
        <v>45978</v>
      </c>
      <c r="B120" s="25" t="s">
        <v>476</v>
      </c>
      <c r="C120" s="25"/>
      <c r="D120" s="75">
        <f t="shared" si="9"/>
        <v>46001</v>
      </c>
      <c r="E120" s="75">
        <f t="shared" si="10"/>
        <v>45985</v>
      </c>
      <c r="F120" s="75">
        <f t="shared" si="11"/>
        <v>45992</v>
      </c>
      <c r="G120" s="75">
        <f t="shared" si="12"/>
        <v>45998</v>
      </c>
      <c r="H120" s="75">
        <f t="shared" si="13"/>
        <v>45986</v>
      </c>
      <c r="I120" s="75">
        <f t="shared" si="14"/>
        <v>45993</v>
      </c>
      <c r="J120" s="75">
        <v>46005</v>
      </c>
      <c r="K120" s="76">
        <f t="shared" si="17"/>
        <v>27</v>
      </c>
      <c r="L120" s="25">
        <v>11.66</v>
      </c>
      <c r="M120" s="25">
        <v>10.210000000000001</v>
      </c>
      <c r="N120" s="25">
        <f t="shared" si="16"/>
        <v>1.4499999999999993</v>
      </c>
      <c r="O120" s="25" t="s">
        <v>545</v>
      </c>
    </row>
    <row r="121" spans="1:15" x14ac:dyDescent="0.25">
      <c r="A121" s="75">
        <v>45978</v>
      </c>
      <c r="B121" s="25" t="s">
        <v>477</v>
      </c>
      <c r="C121" s="25"/>
      <c r="D121" s="75">
        <f t="shared" si="9"/>
        <v>46001</v>
      </c>
      <c r="E121" s="75">
        <f t="shared" si="10"/>
        <v>45985</v>
      </c>
      <c r="F121" s="75">
        <f t="shared" si="11"/>
        <v>45992</v>
      </c>
      <c r="G121" s="75">
        <f t="shared" si="12"/>
        <v>45998</v>
      </c>
      <c r="H121" s="75">
        <f t="shared" si="13"/>
        <v>45986</v>
      </c>
      <c r="I121" s="75">
        <f t="shared" si="14"/>
        <v>45993</v>
      </c>
      <c r="J121" s="75">
        <v>46005</v>
      </c>
      <c r="K121" s="76">
        <f t="shared" si="17"/>
        <v>27</v>
      </c>
      <c r="L121" s="25">
        <v>13.79</v>
      </c>
      <c r="M121" s="25">
        <v>12.17</v>
      </c>
      <c r="N121" s="25">
        <f t="shared" si="16"/>
        <v>1.6199999999999992</v>
      </c>
      <c r="O121" s="25" t="s">
        <v>545</v>
      </c>
    </row>
    <row r="122" spans="1:15" x14ac:dyDescent="0.25">
      <c r="A122" s="75">
        <v>45978</v>
      </c>
      <c r="B122" s="25" t="s">
        <v>478</v>
      </c>
      <c r="C122" s="25"/>
      <c r="D122" s="75">
        <f t="shared" si="9"/>
        <v>46001</v>
      </c>
      <c r="E122" s="75">
        <f t="shared" si="10"/>
        <v>45985</v>
      </c>
      <c r="F122" s="75">
        <f t="shared" si="11"/>
        <v>45992</v>
      </c>
      <c r="G122" s="75">
        <f t="shared" si="12"/>
        <v>45998</v>
      </c>
      <c r="H122" s="75">
        <f t="shared" si="13"/>
        <v>45986</v>
      </c>
      <c r="I122" s="75">
        <f t="shared" si="14"/>
        <v>45993</v>
      </c>
      <c r="J122" s="75">
        <v>46005</v>
      </c>
      <c r="K122" s="76">
        <f t="shared" si="17"/>
        <v>27</v>
      </c>
      <c r="L122" s="25">
        <v>11.82</v>
      </c>
      <c r="M122" s="25">
        <v>10.58</v>
      </c>
      <c r="N122" s="25">
        <f t="shared" si="16"/>
        <v>1.2400000000000002</v>
      </c>
      <c r="O122" s="25" t="s">
        <v>545</v>
      </c>
    </row>
    <row r="123" spans="1:15" x14ac:dyDescent="0.25">
      <c r="A123" s="75">
        <v>45979</v>
      </c>
      <c r="B123" s="25" t="s">
        <v>479</v>
      </c>
      <c r="C123" s="25"/>
      <c r="D123" s="75">
        <f t="shared" si="9"/>
        <v>46002</v>
      </c>
      <c r="E123" s="75">
        <f t="shared" si="10"/>
        <v>45986</v>
      </c>
      <c r="F123" s="75">
        <f t="shared" si="11"/>
        <v>45993</v>
      </c>
      <c r="G123" s="75">
        <f t="shared" si="12"/>
        <v>45999</v>
      </c>
      <c r="H123" s="75">
        <f t="shared" si="13"/>
        <v>45987</v>
      </c>
      <c r="I123" s="75">
        <f t="shared" si="14"/>
        <v>45994</v>
      </c>
      <c r="J123" s="75">
        <v>46005</v>
      </c>
      <c r="K123" s="76">
        <f t="shared" si="17"/>
        <v>26</v>
      </c>
      <c r="L123" s="25">
        <v>12.75</v>
      </c>
      <c r="M123" s="25">
        <v>11.07</v>
      </c>
      <c r="N123" s="25">
        <f t="shared" si="16"/>
        <v>1.6799999999999997</v>
      </c>
      <c r="O123" s="25" t="s">
        <v>545</v>
      </c>
    </row>
    <row r="124" spans="1:15" x14ac:dyDescent="0.25">
      <c r="A124" s="75">
        <v>45979</v>
      </c>
      <c r="B124" s="25" t="s">
        <v>480</v>
      </c>
      <c r="C124" s="25"/>
      <c r="D124" s="75">
        <f t="shared" si="9"/>
        <v>46002</v>
      </c>
      <c r="E124" s="75">
        <f t="shared" si="10"/>
        <v>45986</v>
      </c>
      <c r="F124" s="75">
        <f t="shared" si="11"/>
        <v>45993</v>
      </c>
      <c r="G124" s="75">
        <f t="shared" si="12"/>
        <v>45999</v>
      </c>
      <c r="H124" s="75">
        <f t="shared" si="13"/>
        <v>45987</v>
      </c>
      <c r="I124" s="75">
        <f t="shared" si="14"/>
        <v>45994</v>
      </c>
      <c r="J124" s="75">
        <v>46005</v>
      </c>
      <c r="K124" s="76">
        <f t="shared" si="17"/>
        <v>26</v>
      </c>
      <c r="L124" s="25">
        <v>12.88</v>
      </c>
      <c r="M124" s="25">
        <v>11.16</v>
      </c>
      <c r="N124" s="25">
        <f t="shared" si="16"/>
        <v>1.7200000000000006</v>
      </c>
      <c r="O124" s="25" t="s">
        <v>545</v>
      </c>
    </row>
    <row r="125" spans="1:15" x14ac:dyDescent="0.25">
      <c r="A125" s="75">
        <v>45979</v>
      </c>
      <c r="B125" s="25" t="s">
        <v>481</v>
      </c>
      <c r="C125" s="25"/>
      <c r="D125" s="75">
        <f t="shared" si="9"/>
        <v>46002</v>
      </c>
      <c r="E125" s="75">
        <f t="shared" si="10"/>
        <v>45986</v>
      </c>
      <c r="F125" s="75">
        <f t="shared" si="11"/>
        <v>45993</v>
      </c>
      <c r="G125" s="75">
        <f t="shared" si="12"/>
        <v>45999</v>
      </c>
      <c r="H125" s="75">
        <f t="shared" si="13"/>
        <v>45987</v>
      </c>
      <c r="I125" s="75">
        <f t="shared" si="14"/>
        <v>45994</v>
      </c>
      <c r="J125" s="75">
        <v>46005</v>
      </c>
      <c r="K125" s="76">
        <f t="shared" si="17"/>
        <v>26</v>
      </c>
      <c r="L125" s="25">
        <v>13.54</v>
      </c>
      <c r="M125" s="25">
        <v>12.42</v>
      </c>
      <c r="N125" s="25">
        <f t="shared" si="16"/>
        <v>1.1199999999999992</v>
      </c>
      <c r="O125" s="25" t="s">
        <v>545</v>
      </c>
    </row>
    <row r="126" spans="1:15" x14ac:dyDescent="0.25">
      <c r="A126" s="75">
        <v>45979</v>
      </c>
      <c r="B126" s="25" t="s">
        <v>482</v>
      </c>
      <c r="C126" s="25"/>
      <c r="D126" s="75">
        <f t="shared" si="9"/>
        <v>46002</v>
      </c>
      <c r="E126" s="75">
        <f t="shared" si="10"/>
        <v>45986</v>
      </c>
      <c r="F126" s="75">
        <f t="shared" si="11"/>
        <v>45993</v>
      </c>
      <c r="G126" s="75">
        <f t="shared" si="12"/>
        <v>45999</v>
      </c>
      <c r="H126" s="75">
        <f t="shared" si="13"/>
        <v>45987</v>
      </c>
      <c r="I126" s="75">
        <f t="shared" si="14"/>
        <v>45994</v>
      </c>
      <c r="J126" s="75">
        <v>46006</v>
      </c>
      <c r="K126" s="76">
        <f t="shared" si="17"/>
        <v>27</v>
      </c>
      <c r="L126" s="25">
        <v>13.52</v>
      </c>
      <c r="M126" s="25">
        <v>5.91</v>
      </c>
      <c r="N126" s="25">
        <f t="shared" si="16"/>
        <v>7.6099999999999994</v>
      </c>
      <c r="O126" s="25" t="s">
        <v>544</v>
      </c>
    </row>
    <row r="127" spans="1:15" x14ac:dyDescent="0.25">
      <c r="A127" s="75">
        <v>45979</v>
      </c>
      <c r="B127" s="25" t="s">
        <v>483</v>
      </c>
      <c r="C127" s="25"/>
      <c r="D127" s="75">
        <f t="shared" si="9"/>
        <v>46002</v>
      </c>
      <c r="E127" s="75">
        <f t="shared" si="10"/>
        <v>45986</v>
      </c>
      <c r="F127" s="75">
        <f t="shared" si="11"/>
        <v>45993</v>
      </c>
      <c r="G127" s="75">
        <f t="shared" si="12"/>
        <v>45999</v>
      </c>
      <c r="H127" s="75">
        <f t="shared" si="13"/>
        <v>45987</v>
      </c>
      <c r="I127" s="75">
        <f t="shared" si="14"/>
        <v>45994</v>
      </c>
      <c r="J127" s="75">
        <v>46006</v>
      </c>
      <c r="K127" s="76">
        <f t="shared" si="17"/>
        <v>27</v>
      </c>
      <c r="L127" s="25">
        <v>12.96</v>
      </c>
      <c r="M127" s="25">
        <v>5.86</v>
      </c>
      <c r="N127" s="25">
        <f t="shared" si="16"/>
        <v>7.1000000000000005</v>
      </c>
      <c r="O127" s="25" t="s">
        <v>544</v>
      </c>
    </row>
    <row r="128" spans="1:15" x14ac:dyDescent="0.25">
      <c r="A128" s="75">
        <v>45979</v>
      </c>
      <c r="B128" s="25" t="s">
        <v>484</v>
      </c>
      <c r="C128" s="25"/>
      <c r="D128" s="75">
        <f t="shared" si="9"/>
        <v>46002</v>
      </c>
      <c r="E128" s="75">
        <f t="shared" si="10"/>
        <v>45986</v>
      </c>
      <c r="F128" s="75">
        <f t="shared" si="11"/>
        <v>45993</v>
      </c>
      <c r="G128" s="75">
        <f t="shared" si="12"/>
        <v>45999</v>
      </c>
      <c r="H128" s="75">
        <f t="shared" si="13"/>
        <v>45987</v>
      </c>
      <c r="I128" s="75">
        <f t="shared" si="14"/>
        <v>45994</v>
      </c>
      <c r="J128" s="75">
        <v>46006</v>
      </c>
      <c r="K128" s="76">
        <f t="shared" si="17"/>
        <v>27</v>
      </c>
      <c r="L128" s="25">
        <v>12.25</v>
      </c>
      <c r="M128" s="25">
        <v>5.1100000000000003</v>
      </c>
      <c r="N128" s="25">
        <f t="shared" si="16"/>
        <v>7.14</v>
      </c>
      <c r="O128" s="25" t="s">
        <v>544</v>
      </c>
    </row>
    <row r="129" spans="1:15" x14ac:dyDescent="0.25">
      <c r="A129" s="75">
        <v>45979</v>
      </c>
      <c r="B129" s="25" t="s">
        <v>485</v>
      </c>
      <c r="C129" s="25"/>
      <c r="D129" s="75">
        <f t="shared" si="9"/>
        <v>46002</v>
      </c>
      <c r="E129" s="75">
        <f t="shared" si="10"/>
        <v>45986</v>
      </c>
      <c r="F129" s="75">
        <f t="shared" si="11"/>
        <v>45993</v>
      </c>
      <c r="G129" s="75">
        <f t="shared" si="12"/>
        <v>45999</v>
      </c>
      <c r="H129" s="75">
        <f t="shared" si="13"/>
        <v>45987</v>
      </c>
      <c r="I129" s="75">
        <f t="shared" si="14"/>
        <v>45994</v>
      </c>
      <c r="J129" s="75">
        <v>46006</v>
      </c>
      <c r="K129" s="76">
        <f t="shared" si="17"/>
        <v>27</v>
      </c>
      <c r="L129" s="25">
        <v>11.81</v>
      </c>
      <c r="M129" s="25">
        <v>4.75</v>
      </c>
      <c r="N129" s="25">
        <f t="shared" si="16"/>
        <v>7.0600000000000005</v>
      </c>
      <c r="O129" s="25" t="s">
        <v>544</v>
      </c>
    </row>
    <row r="130" spans="1:15" x14ac:dyDescent="0.25">
      <c r="A130" s="75">
        <v>45980</v>
      </c>
      <c r="B130" s="25" t="s">
        <v>387</v>
      </c>
      <c r="C130" s="25"/>
      <c r="D130" s="75">
        <f t="shared" si="9"/>
        <v>46003</v>
      </c>
      <c r="E130" s="75">
        <f t="shared" si="10"/>
        <v>45987</v>
      </c>
      <c r="F130" s="75">
        <f t="shared" si="11"/>
        <v>45994</v>
      </c>
      <c r="G130" s="75">
        <f t="shared" si="12"/>
        <v>46000</v>
      </c>
      <c r="H130" s="75">
        <f t="shared" si="13"/>
        <v>45988</v>
      </c>
      <c r="I130" s="75">
        <f t="shared" si="14"/>
        <v>45995</v>
      </c>
      <c r="J130" s="75">
        <v>46008</v>
      </c>
      <c r="K130" s="76">
        <f t="shared" si="17"/>
        <v>28</v>
      </c>
      <c r="L130" s="25">
        <v>11.28</v>
      </c>
      <c r="M130" s="25">
        <v>6.56</v>
      </c>
      <c r="N130" s="25">
        <f t="shared" si="16"/>
        <v>4.72</v>
      </c>
      <c r="O130" s="25" t="s">
        <v>544</v>
      </c>
    </row>
    <row r="131" spans="1:15" x14ac:dyDescent="0.25">
      <c r="A131" s="75">
        <v>45980</v>
      </c>
      <c r="B131" s="25" t="s">
        <v>388</v>
      </c>
      <c r="C131" s="25"/>
      <c r="D131" s="75">
        <f t="shared" ref="D131:D194" si="18">A131+23</f>
        <v>46003</v>
      </c>
      <c r="E131" s="75">
        <f t="shared" ref="E131:E194" si="19">A131+7</f>
        <v>45987</v>
      </c>
      <c r="F131" s="75">
        <f t="shared" ref="F131:F194" si="20">A131+14</f>
        <v>45994</v>
      </c>
      <c r="G131" s="75">
        <f t="shared" ref="G131:G194" si="21">A131+20</f>
        <v>46000</v>
      </c>
      <c r="H131" s="75">
        <f t="shared" ref="H131:H194" si="22">A131+8</f>
        <v>45988</v>
      </c>
      <c r="I131" s="75">
        <f t="shared" ref="I131:I194" si="23">A131+15</f>
        <v>45995</v>
      </c>
      <c r="J131" s="75">
        <v>46008</v>
      </c>
      <c r="K131" s="76">
        <f t="shared" si="17"/>
        <v>28</v>
      </c>
      <c r="L131" s="25">
        <v>10.76</v>
      </c>
      <c r="M131" s="25">
        <v>5.17</v>
      </c>
      <c r="N131" s="25">
        <f t="shared" si="16"/>
        <v>5.59</v>
      </c>
      <c r="O131" s="25" t="s">
        <v>544</v>
      </c>
    </row>
    <row r="132" spans="1:15" x14ac:dyDescent="0.25">
      <c r="A132" s="75">
        <v>45980</v>
      </c>
      <c r="B132" s="25" t="s">
        <v>389</v>
      </c>
      <c r="C132" s="25"/>
      <c r="D132" s="75">
        <f t="shared" si="18"/>
        <v>46003</v>
      </c>
      <c r="E132" s="75">
        <f t="shared" si="19"/>
        <v>45987</v>
      </c>
      <c r="F132" s="75">
        <f t="shared" si="20"/>
        <v>45994</v>
      </c>
      <c r="G132" s="75">
        <f t="shared" si="21"/>
        <v>46000</v>
      </c>
      <c r="H132" s="75">
        <f t="shared" si="22"/>
        <v>45988</v>
      </c>
      <c r="I132" s="75">
        <f t="shared" si="23"/>
        <v>45995</v>
      </c>
      <c r="J132" s="75">
        <v>46008</v>
      </c>
      <c r="K132" s="76">
        <f t="shared" si="17"/>
        <v>28</v>
      </c>
      <c r="L132" s="25">
        <v>11.19</v>
      </c>
      <c r="M132" s="25">
        <v>5.91</v>
      </c>
      <c r="N132" s="25">
        <f t="shared" si="16"/>
        <v>5.2799999999999994</v>
      </c>
      <c r="O132" s="25" t="s">
        <v>544</v>
      </c>
    </row>
    <row r="133" spans="1:15" x14ac:dyDescent="0.25">
      <c r="A133" s="75">
        <v>45980</v>
      </c>
      <c r="B133" s="25" t="s">
        <v>390</v>
      </c>
      <c r="C133" s="25"/>
      <c r="D133" s="75">
        <f t="shared" si="18"/>
        <v>46003</v>
      </c>
      <c r="E133" s="75">
        <f t="shared" si="19"/>
        <v>45987</v>
      </c>
      <c r="F133" s="75">
        <f t="shared" si="20"/>
        <v>45994</v>
      </c>
      <c r="G133" s="75">
        <f t="shared" si="21"/>
        <v>46000</v>
      </c>
      <c r="H133" s="75">
        <f t="shared" si="22"/>
        <v>45988</v>
      </c>
      <c r="I133" s="75">
        <f t="shared" si="23"/>
        <v>45995</v>
      </c>
      <c r="J133" s="75">
        <v>46008</v>
      </c>
      <c r="K133" s="76">
        <f t="shared" si="17"/>
        <v>28</v>
      </c>
      <c r="L133" s="25">
        <v>9.91</v>
      </c>
      <c r="M133" s="25">
        <v>4.38</v>
      </c>
      <c r="N133" s="25">
        <f t="shared" si="16"/>
        <v>5.53</v>
      </c>
      <c r="O133" s="25" t="s">
        <v>544</v>
      </c>
    </row>
    <row r="134" spans="1:15" x14ac:dyDescent="0.25">
      <c r="A134" s="75">
        <v>45980</v>
      </c>
      <c r="B134" s="25" t="s">
        <v>391</v>
      </c>
      <c r="C134" s="25"/>
      <c r="D134" s="75">
        <f t="shared" si="18"/>
        <v>46003</v>
      </c>
      <c r="E134" s="75">
        <f t="shared" si="19"/>
        <v>45987</v>
      </c>
      <c r="F134" s="75">
        <f t="shared" si="20"/>
        <v>45994</v>
      </c>
      <c r="G134" s="75">
        <f t="shared" si="21"/>
        <v>46000</v>
      </c>
      <c r="H134" s="75">
        <f t="shared" si="22"/>
        <v>45988</v>
      </c>
      <c r="I134" s="75">
        <f t="shared" si="23"/>
        <v>45995</v>
      </c>
      <c r="J134" s="75">
        <v>46007</v>
      </c>
      <c r="K134" s="76">
        <f t="shared" si="17"/>
        <v>27</v>
      </c>
      <c r="L134" s="25">
        <v>9.1999999999999993</v>
      </c>
      <c r="M134" s="25">
        <v>7.21</v>
      </c>
      <c r="N134" s="25">
        <f t="shared" ref="N134:N169" si="24">L134-M134</f>
        <v>1.9899999999999993</v>
      </c>
      <c r="O134" s="25" t="s">
        <v>545</v>
      </c>
    </row>
    <row r="135" spans="1:15" x14ac:dyDescent="0.25">
      <c r="A135" s="75">
        <v>45980</v>
      </c>
      <c r="B135" s="25" t="s">
        <v>392</v>
      </c>
      <c r="C135" s="25"/>
      <c r="D135" s="75">
        <f t="shared" si="18"/>
        <v>46003</v>
      </c>
      <c r="E135" s="75">
        <f t="shared" si="19"/>
        <v>45987</v>
      </c>
      <c r="F135" s="75">
        <f t="shared" si="20"/>
        <v>45994</v>
      </c>
      <c r="G135" s="75">
        <f t="shared" si="21"/>
        <v>46000</v>
      </c>
      <c r="H135" s="75">
        <f t="shared" si="22"/>
        <v>45988</v>
      </c>
      <c r="I135" s="75">
        <f t="shared" si="23"/>
        <v>45995</v>
      </c>
      <c r="J135" s="75">
        <v>46007</v>
      </c>
      <c r="K135" s="76">
        <f t="shared" si="17"/>
        <v>27</v>
      </c>
      <c r="L135" s="25">
        <v>10.51</v>
      </c>
      <c r="M135" s="25">
        <v>8.76</v>
      </c>
      <c r="N135" s="25">
        <f t="shared" si="24"/>
        <v>1.75</v>
      </c>
      <c r="O135" s="25" t="s">
        <v>545</v>
      </c>
    </row>
    <row r="136" spans="1:15" x14ac:dyDescent="0.25">
      <c r="A136" s="75">
        <v>45980</v>
      </c>
      <c r="B136" s="25" t="s">
        <v>393</v>
      </c>
      <c r="C136" s="25"/>
      <c r="D136" s="75">
        <f t="shared" si="18"/>
        <v>46003</v>
      </c>
      <c r="E136" s="75">
        <f t="shared" si="19"/>
        <v>45987</v>
      </c>
      <c r="F136" s="75">
        <f t="shared" si="20"/>
        <v>45994</v>
      </c>
      <c r="G136" s="75">
        <f t="shared" si="21"/>
        <v>46000</v>
      </c>
      <c r="H136" s="75">
        <f t="shared" si="22"/>
        <v>45988</v>
      </c>
      <c r="I136" s="75">
        <f t="shared" si="23"/>
        <v>45995</v>
      </c>
      <c r="J136" s="75">
        <v>46007</v>
      </c>
      <c r="K136" s="76">
        <f t="shared" si="17"/>
        <v>27</v>
      </c>
      <c r="L136" s="25">
        <v>14.81</v>
      </c>
      <c r="M136" s="25">
        <v>6.98</v>
      </c>
      <c r="N136" s="25">
        <f t="shared" si="24"/>
        <v>7.83</v>
      </c>
      <c r="O136" s="25" t="s">
        <v>544</v>
      </c>
    </row>
    <row r="137" spans="1:15" x14ac:dyDescent="0.25">
      <c r="A137" s="75">
        <v>45981</v>
      </c>
      <c r="B137" s="25" t="s">
        <v>311</v>
      </c>
      <c r="C137" s="25"/>
      <c r="D137" s="75">
        <f t="shared" si="18"/>
        <v>46004</v>
      </c>
      <c r="E137" s="75">
        <f t="shared" si="19"/>
        <v>45988</v>
      </c>
      <c r="F137" s="75">
        <f t="shared" si="20"/>
        <v>45995</v>
      </c>
      <c r="G137" s="75">
        <f t="shared" si="21"/>
        <v>46001</v>
      </c>
      <c r="H137" s="75">
        <f t="shared" si="22"/>
        <v>45989</v>
      </c>
      <c r="I137" s="75">
        <f t="shared" si="23"/>
        <v>45996</v>
      </c>
      <c r="J137" s="75">
        <v>46006</v>
      </c>
      <c r="K137" s="76">
        <f t="shared" si="17"/>
        <v>25</v>
      </c>
      <c r="L137" s="25">
        <v>16.739999999999998</v>
      </c>
      <c r="M137" s="25">
        <v>12.16</v>
      </c>
      <c r="N137" s="25">
        <f t="shared" si="24"/>
        <v>4.5799999999999983</v>
      </c>
      <c r="O137" s="25" t="s">
        <v>545</v>
      </c>
    </row>
    <row r="138" spans="1:15" x14ac:dyDescent="0.25">
      <c r="A138" s="75">
        <v>45981</v>
      </c>
      <c r="B138" s="25" t="s">
        <v>312</v>
      </c>
      <c r="C138" s="25"/>
      <c r="D138" s="75">
        <f t="shared" si="18"/>
        <v>46004</v>
      </c>
      <c r="E138" s="75">
        <f t="shared" si="19"/>
        <v>45988</v>
      </c>
      <c r="F138" s="75">
        <f t="shared" si="20"/>
        <v>45995</v>
      </c>
      <c r="G138" s="75">
        <f t="shared" si="21"/>
        <v>46001</v>
      </c>
      <c r="H138" s="75">
        <f t="shared" si="22"/>
        <v>45989</v>
      </c>
      <c r="I138" s="75">
        <f t="shared" si="23"/>
        <v>45996</v>
      </c>
      <c r="J138" s="75">
        <v>46006</v>
      </c>
      <c r="K138" s="76">
        <f t="shared" si="17"/>
        <v>25</v>
      </c>
      <c r="L138" s="25">
        <v>18.91</v>
      </c>
      <c r="M138" s="25">
        <v>16.38</v>
      </c>
      <c r="N138" s="25">
        <f t="shared" si="24"/>
        <v>2.5300000000000011</v>
      </c>
      <c r="O138" s="25" t="s">
        <v>545</v>
      </c>
    </row>
    <row r="139" spans="1:15" x14ac:dyDescent="0.25">
      <c r="A139" s="75">
        <v>45981</v>
      </c>
      <c r="B139" s="25" t="s">
        <v>313</v>
      </c>
      <c r="C139" s="25"/>
      <c r="D139" s="75">
        <f t="shared" si="18"/>
        <v>46004</v>
      </c>
      <c r="E139" s="75">
        <f t="shared" si="19"/>
        <v>45988</v>
      </c>
      <c r="F139" s="75">
        <f t="shared" si="20"/>
        <v>45995</v>
      </c>
      <c r="G139" s="75">
        <f t="shared" si="21"/>
        <v>46001</v>
      </c>
      <c r="H139" s="75">
        <f t="shared" si="22"/>
        <v>45989</v>
      </c>
      <c r="I139" s="75">
        <f t="shared" si="23"/>
        <v>45996</v>
      </c>
      <c r="J139" s="75">
        <v>46006</v>
      </c>
      <c r="K139" s="76">
        <f t="shared" si="17"/>
        <v>25</v>
      </c>
      <c r="L139" s="25">
        <v>18.27</v>
      </c>
      <c r="M139" s="25">
        <v>15.14</v>
      </c>
      <c r="N139" s="25">
        <f t="shared" si="24"/>
        <v>3.129999999999999</v>
      </c>
      <c r="O139" s="25" t="s">
        <v>545</v>
      </c>
    </row>
    <row r="140" spans="1:15" x14ac:dyDescent="0.25">
      <c r="A140" s="75">
        <v>45981</v>
      </c>
      <c r="B140" s="25" t="s">
        <v>314</v>
      </c>
      <c r="C140" s="25"/>
      <c r="D140" s="75">
        <f t="shared" si="18"/>
        <v>46004</v>
      </c>
      <c r="E140" s="75">
        <f t="shared" si="19"/>
        <v>45988</v>
      </c>
      <c r="F140" s="75">
        <f t="shared" si="20"/>
        <v>45995</v>
      </c>
      <c r="G140" s="75">
        <f t="shared" si="21"/>
        <v>46001</v>
      </c>
      <c r="H140" s="75">
        <f t="shared" si="22"/>
        <v>45989</v>
      </c>
      <c r="I140" s="75">
        <f t="shared" si="23"/>
        <v>45996</v>
      </c>
      <c r="J140" s="75">
        <v>46006</v>
      </c>
      <c r="K140" s="76">
        <f t="shared" si="17"/>
        <v>25</v>
      </c>
      <c r="L140" s="25">
        <v>16.100000000000001</v>
      </c>
      <c r="M140" s="25">
        <v>13.47</v>
      </c>
      <c r="N140" s="25">
        <f t="shared" si="24"/>
        <v>2.6300000000000008</v>
      </c>
      <c r="O140" s="25" t="s">
        <v>545</v>
      </c>
    </row>
    <row r="141" spans="1:15" x14ac:dyDescent="0.25">
      <c r="A141" s="75">
        <v>45981</v>
      </c>
      <c r="B141" s="25" t="s">
        <v>315</v>
      </c>
      <c r="C141" s="25"/>
      <c r="D141" s="75">
        <f t="shared" si="18"/>
        <v>46004</v>
      </c>
      <c r="E141" s="75">
        <f t="shared" si="19"/>
        <v>45988</v>
      </c>
      <c r="F141" s="75">
        <f t="shared" si="20"/>
        <v>45995</v>
      </c>
      <c r="G141" s="75">
        <f t="shared" si="21"/>
        <v>46001</v>
      </c>
      <c r="H141" s="75">
        <f t="shared" si="22"/>
        <v>45989</v>
      </c>
      <c r="I141" s="75">
        <f t="shared" si="23"/>
        <v>45996</v>
      </c>
      <c r="J141" s="75">
        <v>46006</v>
      </c>
      <c r="K141" s="76">
        <f t="shared" si="17"/>
        <v>25</v>
      </c>
      <c r="L141" s="25">
        <v>16.190000000000001</v>
      </c>
      <c r="M141" s="25">
        <v>12.1</v>
      </c>
      <c r="N141" s="25">
        <f t="shared" si="24"/>
        <v>4.0900000000000016</v>
      </c>
      <c r="O141" s="25" t="s">
        <v>545</v>
      </c>
    </row>
    <row r="142" spans="1:15" x14ac:dyDescent="0.25">
      <c r="A142" s="75">
        <v>45981</v>
      </c>
      <c r="B142" s="25" t="s">
        <v>316</v>
      </c>
      <c r="C142" s="25"/>
      <c r="D142" s="75">
        <f t="shared" si="18"/>
        <v>46004</v>
      </c>
      <c r="E142" s="75">
        <f t="shared" si="19"/>
        <v>45988</v>
      </c>
      <c r="F142" s="75">
        <f t="shared" si="20"/>
        <v>45995</v>
      </c>
      <c r="G142" s="75">
        <f t="shared" si="21"/>
        <v>46001</v>
      </c>
      <c r="H142" s="75">
        <f t="shared" si="22"/>
        <v>45989</v>
      </c>
      <c r="I142" s="75">
        <f t="shared" si="23"/>
        <v>45996</v>
      </c>
      <c r="J142" s="75">
        <v>46007</v>
      </c>
      <c r="K142" s="76">
        <f t="shared" si="17"/>
        <v>26</v>
      </c>
      <c r="L142" s="25">
        <v>16.670000000000002</v>
      </c>
      <c r="M142" s="25">
        <v>7.1</v>
      </c>
      <c r="N142" s="25">
        <f t="shared" si="24"/>
        <v>9.5700000000000021</v>
      </c>
      <c r="O142" s="25" t="s">
        <v>544</v>
      </c>
    </row>
    <row r="143" spans="1:15" x14ac:dyDescent="0.25">
      <c r="A143" s="75">
        <v>45981</v>
      </c>
      <c r="B143" s="25" t="s">
        <v>317</v>
      </c>
      <c r="C143" s="25"/>
      <c r="D143" s="75">
        <f t="shared" si="18"/>
        <v>46004</v>
      </c>
      <c r="E143" s="75">
        <f t="shared" si="19"/>
        <v>45988</v>
      </c>
      <c r="F143" s="75">
        <f t="shared" si="20"/>
        <v>45995</v>
      </c>
      <c r="G143" s="75">
        <f t="shared" si="21"/>
        <v>46001</v>
      </c>
      <c r="H143" s="75">
        <f t="shared" si="22"/>
        <v>45989</v>
      </c>
      <c r="I143" s="75">
        <f t="shared" si="23"/>
        <v>45996</v>
      </c>
      <c r="J143" s="75">
        <v>46007</v>
      </c>
      <c r="K143" s="76">
        <f t="shared" si="17"/>
        <v>26</v>
      </c>
      <c r="L143" s="25">
        <v>17.100000000000001</v>
      </c>
      <c r="M143" s="25">
        <v>7.33</v>
      </c>
      <c r="N143" s="25">
        <f t="shared" si="24"/>
        <v>9.7700000000000014</v>
      </c>
      <c r="O143" s="25" t="s">
        <v>544</v>
      </c>
    </row>
    <row r="144" spans="1:15" x14ac:dyDescent="0.25">
      <c r="A144" s="75">
        <v>45982</v>
      </c>
      <c r="B144" s="25" t="s">
        <v>331</v>
      </c>
      <c r="C144" s="25"/>
      <c r="D144" s="75">
        <f t="shared" si="18"/>
        <v>46005</v>
      </c>
      <c r="E144" s="75">
        <f t="shared" si="19"/>
        <v>45989</v>
      </c>
      <c r="F144" s="75">
        <f t="shared" si="20"/>
        <v>45996</v>
      </c>
      <c r="G144" s="75">
        <f t="shared" si="21"/>
        <v>46002</v>
      </c>
      <c r="H144" s="75">
        <f t="shared" si="22"/>
        <v>45990</v>
      </c>
      <c r="I144" s="75">
        <f t="shared" si="23"/>
        <v>45997</v>
      </c>
      <c r="J144" s="75">
        <v>46008</v>
      </c>
      <c r="K144" s="76">
        <f t="shared" si="17"/>
        <v>26</v>
      </c>
      <c r="L144" s="79">
        <v>16.13</v>
      </c>
      <c r="M144" s="80">
        <v>14.08</v>
      </c>
      <c r="N144" s="25">
        <f t="shared" si="24"/>
        <v>2.0499999999999989</v>
      </c>
      <c r="O144" s="25" t="s">
        <v>545</v>
      </c>
    </row>
    <row r="145" spans="1:15" x14ac:dyDescent="0.25">
      <c r="A145" s="75">
        <v>45982</v>
      </c>
      <c r="B145" s="25" t="s">
        <v>332</v>
      </c>
      <c r="C145" s="25"/>
      <c r="D145" s="75">
        <f t="shared" si="18"/>
        <v>46005</v>
      </c>
      <c r="E145" s="75">
        <f t="shared" si="19"/>
        <v>45989</v>
      </c>
      <c r="F145" s="75">
        <f t="shared" si="20"/>
        <v>45996</v>
      </c>
      <c r="G145" s="75">
        <f t="shared" si="21"/>
        <v>46002</v>
      </c>
      <c r="H145" s="75">
        <f t="shared" si="22"/>
        <v>45990</v>
      </c>
      <c r="I145" s="75">
        <f t="shared" si="23"/>
        <v>45997</v>
      </c>
      <c r="J145" s="75">
        <v>46008</v>
      </c>
      <c r="K145" s="76">
        <f t="shared" si="17"/>
        <v>26</v>
      </c>
      <c r="L145" s="79">
        <v>17.260000000000002</v>
      </c>
      <c r="M145" s="80">
        <v>15.21</v>
      </c>
      <c r="N145" s="25">
        <f t="shared" si="24"/>
        <v>2.0500000000000007</v>
      </c>
      <c r="O145" s="25" t="s">
        <v>545</v>
      </c>
    </row>
    <row r="146" spans="1:15" x14ac:dyDescent="0.25">
      <c r="A146" s="75">
        <v>45982</v>
      </c>
      <c r="B146" s="25" t="s">
        <v>333</v>
      </c>
      <c r="C146" s="25"/>
      <c r="D146" s="75">
        <f t="shared" si="18"/>
        <v>46005</v>
      </c>
      <c r="E146" s="75">
        <f t="shared" si="19"/>
        <v>45989</v>
      </c>
      <c r="F146" s="75">
        <f t="shared" si="20"/>
        <v>45996</v>
      </c>
      <c r="G146" s="75">
        <f t="shared" si="21"/>
        <v>46002</v>
      </c>
      <c r="H146" s="75">
        <f t="shared" si="22"/>
        <v>45990</v>
      </c>
      <c r="I146" s="75">
        <f t="shared" si="23"/>
        <v>45997</v>
      </c>
      <c r="J146" s="75">
        <v>46008</v>
      </c>
      <c r="K146" s="76">
        <f t="shared" si="17"/>
        <v>26</v>
      </c>
      <c r="L146" s="79">
        <v>17.8</v>
      </c>
      <c r="M146" s="80">
        <v>15.56</v>
      </c>
      <c r="N146" s="25">
        <f t="shared" si="24"/>
        <v>2.2400000000000002</v>
      </c>
      <c r="O146" s="25" t="s">
        <v>545</v>
      </c>
    </row>
    <row r="147" spans="1:15" x14ac:dyDescent="0.25">
      <c r="A147" s="75">
        <v>45982</v>
      </c>
      <c r="B147" s="25" t="s">
        <v>334</v>
      </c>
      <c r="C147" s="25"/>
      <c r="D147" s="75">
        <f t="shared" si="18"/>
        <v>46005</v>
      </c>
      <c r="E147" s="75">
        <f t="shared" si="19"/>
        <v>45989</v>
      </c>
      <c r="F147" s="75">
        <f t="shared" si="20"/>
        <v>45996</v>
      </c>
      <c r="G147" s="75">
        <f t="shared" si="21"/>
        <v>46002</v>
      </c>
      <c r="H147" s="75">
        <f t="shared" si="22"/>
        <v>45990</v>
      </c>
      <c r="I147" s="75">
        <f t="shared" si="23"/>
        <v>45997</v>
      </c>
      <c r="J147" s="75">
        <v>46008</v>
      </c>
      <c r="K147" s="76">
        <f t="shared" si="17"/>
        <v>26</v>
      </c>
      <c r="L147" s="79">
        <v>18.149999999999999</v>
      </c>
      <c r="M147" s="80">
        <v>16.2</v>
      </c>
      <c r="N147" s="25">
        <f t="shared" si="24"/>
        <v>1.9499999999999993</v>
      </c>
      <c r="O147" s="25" t="s">
        <v>545</v>
      </c>
    </row>
    <row r="148" spans="1:15" x14ac:dyDescent="0.25">
      <c r="A148" s="75">
        <v>45982</v>
      </c>
      <c r="B148" s="25" t="s">
        <v>335</v>
      </c>
      <c r="C148" s="25"/>
      <c r="D148" s="75">
        <f t="shared" si="18"/>
        <v>46005</v>
      </c>
      <c r="E148" s="75">
        <f t="shared" si="19"/>
        <v>45989</v>
      </c>
      <c r="F148" s="75">
        <f t="shared" si="20"/>
        <v>45996</v>
      </c>
      <c r="G148" s="75">
        <f t="shared" si="21"/>
        <v>46002</v>
      </c>
      <c r="H148" s="75">
        <f t="shared" si="22"/>
        <v>45990</v>
      </c>
      <c r="I148" s="75">
        <f t="shared" si="23"/>
        <v>45997</v>
      </c>
      <c r="J148" s="75">
        <v>46008</v>
      </c>
      <c r="K148" s="76">
        <f t="shared" si="17"/>
        <v>26</v>
      </c>
      <c r="L148" s="79">
        <v>17.010000000000002</v>
      </c>
      <c r="M148" s="80">
        <v>14.88</v>
      </c>
      <c r="N148" s="25">
        <f t="shared" si="24"/>
        <v>2.1300000000000008</v>
      </c>
      <c r="O148" s="25" t="s">
        <v>545</v>
      </c>
    </row>
    <row r="149" spans="1:15" x14ac:dyDescent="0.25">
      <c r="A149" s="75">
        <v>45982</v>
      </c>
      <c r="B149" s="25" t="s">
        <v>336</v>
      </c>
      <c r="C149" s="25"/>
      <c r="D149" s="75">
        <f t="shared" si="18"/>
        <v>46005</v>
      </c>
      <c r="E149" s="75">
        <f t="shared" si="19"/>
        <v>45989</v>
      </c>
      <c r="F149" s="75">
        <f t="shared" si="20"/>
        <v>45996</v>
      </c>
      <c r="G149" s="75">
        <f t="shared" si="21"/>
        <v>46002</v>
      </c>
      <c r="H149" s="75">
        <f t="shared" si="22"/>
        <v>45990</v>
      </c>
      <c r="I149" s="75">
        <f t="shared" si="23"/>
        <v>45997</v>
      </c>
      <c r="J149" s="75">
        <v>46009</v>
      </c>
      <c r="K149" s="76">
        <f t="shared" si="17"/>
        <v>27</v>
      </c>
      <c r="L149" s="25">
        <v>14.23</v>
      </c>
      <c r="M149" s="25">
        <v>7.06</v>
      </c>
      <c r="N149" s="25">
        <f t="shared" si="24"/>
        <v>7.1700000000000008</v>
      </c>
      <c r="O149" s="25" t="s">
        <v>544</v>
      </c>
    </row>
    <row r="150" spans="1:15" x14ac:dyDescent="0.25">
      <c r="A150" s="75">
        <v>45982</v>
      </c>
      <c r="B150" s="25" t="s">
        <v>337</v>
      </c>
      <c r="C150" s="25"/>
      <c r="D150" s="75">
        <f t="shared" si="18"/>
        <v>46005</v>
      </c>
      <c r="E150" s="75">
        <f t="shared" si="19"/>
        <v>45989</v>
      </c>
      <c r="F150" s="75">
        <f t="shared" si="20"/>
        <v>45996</v>
      </c>
      <c r="G150" s="75">
        <f t="shared" si="21"/>
        <v>46002</v>
      </c>
      <c r="H150" s="75">
        <f t="shared" si="22"/>
        <v>45990</v>
      </c>
      <c r="I150" s="75">
        <f t="shared" si="23"/>
        <v>45997</v>
      </c>
      <c r="J150" s="75">
        <v>46009</v>
      </c>
      <c r="K150" s="76">
        <f t="shared" si="17"/>
        <v>27</v>
      </c>
      <c r="L150" s="25">
        <v>14.51</v>
      </c>
      <c r="M150" s="25">
        <v>7.12</v>
      </c>
      <c r="N150" s="25">
        <f t="shared" si="24"/>
        <v>7.39</v>
      </c>
      <c r="O150" s="25" t="s">
        <v>544</v>
      </c>
    </row>
    <row r="151" spans="1:15" x14ac:dyDescent="0.25">
      <c r="A151" s="75">
        <v>45983</v>
      </c>
      <c r="B151" s="25" t="s">
        <v>318</v>
      </c>
      <c r="C151" s="25"/>
      <c r="D151" s="75">
        <f t="shared" si="18"/>
        <v>46006</v>
      </c>
      <c r="E151" s="75">
        <f t="shared" si="19"/>
        <v>45990</v>
      </c>
      <c r="F151" s="75">
        <f t="shared" si="20"/>
        <v>45997</v>
      </c>
      <c r="G151" s="75">
        <f t="shared" si="21"/>
        <v>46003</v>
      </c>
      <c r="H151" s="75">
        <f t="shared" si="22"/>
        <v>45991</v>
      </c>
      <c r="I151" s="75">
        <f t="shared" si="23"/>
        <v>45998</v>
      </c>
      <c r="J151" s="75">
        <v>46009</v>
      </c>
      <c r="K151" s="76">
        <f t="shared" si="17"/>
        <v>26</v>
      </c>
      <c r="L151" s="25">
        <v>16.899999999999999</v>
      </c>
      <c r="M151" s="25">
        <v>14.19</v>
      </c>
      <c r="N151" s="25">
        <f t="shared" si="24"/>
        <v>2.7099999999999991</v>
      </c>
      <c r="O151" s="25" t="s">
        <v>545</v>
      </c>
    </row>
    <row r="152" spans="1:15" x14ac:dyDescent="0.25">
      <c r="A152" s="75">
        <v>45983</v>
      </c>
      <c r="B152" s="25" t="s">
        <v>319</v>
      </c>
      <c r="C152" s="25"/>
      <c r="D152" s="75">
        <f t="shared" si="18"/>
        <v>46006</v>
      </c>
      <c r="E152" s="75">
        <f t="shared" si="19"/>
        <v>45990</v>
      </c>
      <c r="F152" s="75">
        <f t="shared" si="20"/>
        <v>45997</v>
      </c>
      <c r="G152" s="75">
        <f t="shared" si="21"/>
        <v>46003</v>
      </c>
      <c r="H152" s="75">
        <f t="shared" si="22"/>
        <v>45991</v>
      </c>
      <c r="I152" s="75">
        <f t="shared" si="23"/>
        <v>45998</v>
      </c>
      <c r="J152" s="75">
        <v>46009</v>
      </c>
      <c r="K152" s="76">
        <f t="shared" si="17"/>
        <v>26</v>
      </c>
      <c r="L152" s="25">
        <v>17.96</v>
      </c>
      <c r="M152" s="25">
        <v>15.06</v>
      </c>
      <c r="N152" s="25">
        <f t="shared" si="24"/>
        <v>2.9000000000000004</v>
      </c>
      <c r="O152" s="25" t="s">
        <v>545</v>
      </c>
    </row>
    <row r="153" spans="1:15" x14ac:dyDescent="0.25">
      <c r="A153" s="75">
        <v>45983</v>
      </c>
      <c r="B153" s="25" t="s">
        <v>320</v>
      </c>
      <c r="C153" s="25"/>
      <c r="D153" s="75">
        <f t="shared" si="18"/>
        <v>46006</v>
      </c>
      <c r="E153" s="75">
        <f t="shared" si="19"/>
        <v>45990</v>
      </c>
      <c r="F153" s="75">
        <f t="shared" si="20"/>
        <v>45997</v>
      </c>
      <c r="G153" s="75">
        <f t="shared" si="21"/>
        <v>46003</v>
      </c>
      <c r="H153" s="75">
        <f t="shared" si="22"/>
        <v>45991</v>
      </c>
      <c r="I153" s="75">
        <f t="shared" si="23"/>
        <v>45998</v>
      </c>
      <c r="J153" s="75">
        <v>46009</v>
      </c>
      <c r="K153" s="76">
        <f t="shared" si="17"/>
        <v>26</v>
      </c>
      <c r="L153" s="25">
        <v>16.03</v>
      </c>
      <c r="M153" s="25">
        <v>13.98</v>
      </c>
      <c r="N153" s="25">
        <f t="shared" si="24"/>
        <v>2.0500000000000007</v>
      </c>
      <c r="O153" s="25" t="s">
        <v>545</v>
      </c>
    </row>
    <row r="154" spans="1:15" x14ac:dyDescent="0.25">
      <c r="A154" s="75">
        <v>45983</v>
      </c>
      <c r="B154" s="25" t="s">
        <v>321</v>
      </c>
      <c r="C154" s="25"/>
      <c r="D154" s="75">
        <f t="shared" si="18"/>
        <v>46006</v>
      </c>
      <c r="E154" s="75">
        <f t="shared" si="19"/>
        <v>45990</v>
      </c>
      <c r="F154" s="75">
        <f t="shared" si="20"/>
        <v>45997</v>
      </c>
      <c r="G154" s="75">
        <f t="shared" si="21"/>
        <v>46003</v>
      </c>
      <c r="H154" s="75">
        <f t="shared" si="22"/>
        <v>45991</v>
      </c>
      <c r="I154" s="75">
        <f t="shared" si="23"/>
        <v>45998</v>
      </c>
      <c r="J154" s="75">
        <v>46009</v>
      </c>
      <c r="K154" s="76">
        <f t="shared" si="17"/>
        <v>26</v>
      </c>
      <c r="L154" s="25">
        <v>17.190000000000001</v>
      </c>
      <c r="M154" s="25">
        <v>14.57</v>
      </c>
      <c r="N154" s="25">
        <f t="shared" si="24"/>
        <v>2.620000000000001</v>
      </c>
      <c r="O154" s="25" t="s">
        <v>545</v>
      </c>
    </row>
    <row r="155" spans="1:15" x14ac:dyDescent="0.25">
      <c r="A155" s="75">
        <v>45983</v>
      </c>
      <c r="B155" s="25" t="s">
        <v>322</v>
      </c>
      <c r="C155" s="25"/>
      <c r="D155" s="75">
        <f t="shared" si="18"/>
        <v>46006</v>
      </c>
      <c r="E155" s="75">
        <f t="shared" si="19"/>
        <v>45990</v>
      </c>
      <c r="F155" s="75">
        <f t="shared" si="20"/>
        <v>45997</v>
      </c>
      <c r="G155" s="75">
        <f t="shared" si="21"/>
        <v>46003</v>
      </c>
      <c r="H155" s="75">
        <f t="shared" si="22"/>
        <v>45991</v>
      </c>
      <c r="I155" s="75">
        <f t="shared" si="23"/>
        <v>45998</v>
      </c>
      <c r="J155" s="75">
        <v>46010</v>
      </c>
      <c r="K155" s="76">
        <f t="shared" si="17"/>
        <v>27</v>
      </c>
      <c r="L155" s="79">
        <v>19.37</v>
      </c>
      <c r="M155" s="80">
        <v>10.11</v>
      </c>
      <c r="N155" s="25">
        <f t="shared" si="24"/>
        <v>9.2600000000000016</v>
      </c>
      <c r="O155" s="80" t="s">
        <v>544</v>
      </c>
    </row>
    <row r="156" spans="1:15" x14ac:dyDescent="0.25">
      <c r="A156" s="75">
        <v>45983</v>
      </c>
      <c r="B156" s="25" t="s">
        <v>323</v>
      </c>
      <c r="C156" s="25"/>
      <c r="D156" s="75">
        <f t="shared" si="18"/>
        <v>46006</v>
      </c>
      <c r="E156" s="75">
        <f t="shared" si="19"/>
        <v>45990</v>
      </c>
      <c r="F156" s="75">
        <f t="shared" si="20"/>
        <v>45997</v>
      </c>
      <c r="G156" s="75">
        <f t="shared" si="21"/>
        <v>46003</v>
      </c>
      <c r="H156" s="75">
        <f t="shared" si="22"/>
        <v>45991</v>
      </c>
      <c r="I156" s="75">
        <f t="shared" si="23"/>
        <v>45998</v>
      </c>
      <c r="J156" s="75">
        <v>46010</v>
      </c>
      <c r="K156" s="76">
        <f t="shared" si="17"/>
        <v>27</v>
      </c>
      <c r="L156" s="79">
        <v>16.52</v>
      </c>
      <c r="M156" s="80">
        <v>8.27</v>
      </c>
      <c r="N156" s="25">
        <f t="shared" si="24"/>
        <v>8.25</v>
      </c>
      <c r="O156" s="80" t="s">
        <v>544</v>
      </c>
    </row>
    <row r="157" spans="1:15" x14ac:dyDescent="0.25">
      <c r="A157" s="75">
        <v>45983</v>
      </c>
      <c r="B157" s="25" t="s">
        <v>324</v>
      </c>
      <c r="C157" s="25"/>
      <c r="D157" s="75">
        <f t="shared" si="18"/>
        <v>46006</v>
      </c>
      <c r="E157" s="75">
        <f t="shared" si="19"/>
        <v>45990</v>
      </c>
      <c r="F157" s="75">
        <f t="shared" si="20"/>
        <v>45997</v>
      </c>
      <c r="G157" s="75">
        <f t="shared" si="21"/>
        <v>46003</v>
      </c>
      <c r="H157" s="75">
        <f t="shared" si="22"/>
        <v>45991</v>
      </c>
      <c r="I157" s="75">
        <f t="shared" si="23"/>
        <v>45998</v>
      </c>
      <c r="J157" s="75">
        <v>46010</v>
      </c>
      <c r="K157" s="76">
        <f t="shared" si="17"/>
        <v>27</v>
      </c>
      <c r="L157" s="79">
        <v>15.76</v>
      </c>
      <c r="M157" s="80">
        <v>13.89</v>
      </c>
      <c r="N157" s="25">
        <f t="shared" si="24"/>
        <v>1.8699999999999992</v>
      </c>
      <c r="O157" s="80" t="s">
        <v>545</v>
      </c>
    </row>
    <row r="158" spans="1:15" x14ac:dyDescent="0.25">
      <c r="A158" s="75">
        <v>45984</v>
      </c>
      <c r="B158" s="25" t="s">
        <v>338</v>
      </c>
      <c r="C158" s="25"/>
      <c r="D158" s="75">
        <f t="shared" si="18"/>
        <v>46007</v>
      </c>
      <c r="E158" s="75">
        <f t="shared" si="19"/>
        <v>45991</v>
      </c>
      <c r="F158" s="75">
        <f t="shared" si="20"/>
        <v>45998</v>
      </c>
      <c r="G158" s="75">
        <f t="shared" si="21"/>
        <v>46004</v>
      </c>
      <c r="H158" s="75">
        <f t="shared" si="22"/>
        <v>45992</v>
      </c>
      <c r="I158" s="75">
        <f t="shared" si="23"/>
        <v>45999</v>
      </c>
      <c r="J158" s="75">
        <v>46010</v>
      </c>
      <c r="K158" s="76">
        <f t="shared" si="17"/>
        <v>26</v>
      </c>
      <c r="L158" s="79">
        <v>17.02</v>
      </c>
      <c r="M158" s="80">
        <v>15.12</v>
      </c>
      <c r="N158" s="25">
        <f t="shared" si="24"/>
        <v>1.9000000000000004</v>
      </c>
      <c r="O158" s="80" t="s">
        <v>545</v>
      </c>
    </row>
    <row r="159" spans="1:15" x14ac:dyDescent="0.25">
      <c r="A159" s="75">
        <v>45984</v>
      </c>
      <c r="B159" s="25" t="s">
        <v>339</v>
      </c>
      <c r="C159" s="25"/>
      <c r="D159" s="75">
        <f t="shared" si="18"/>
        <v>46007</v>
      </c>
      <c r="E159" s="75">
        <f t="shared" si="19"/>
        <v>45991</v>
      </c>
      <c r="F159" s="75">
        <f t="shared" si="20"/>
        <v>45998</v>
      </c>
      <c r="G159" s="75">
        <f t="shared" si="21"/>
        <v>46004</v>
      </c>
      <c r="H159" s="75">
        <f t="shared" si="22"/>
        <v>45992</v>
      </c>
      <c r="I159" s="75">
        <f t="shared" si="23"/>
        <v>45999</v>
      </c>
      <c r="J159" s="75">
        <v>46010</v>
      </c>
      <c r="K159" s="76">
        <f t="shared" si="17"/>
        <v>26</v>
      </c>
      <c r="L159" s="79">
        <v>16.170000000000002</v>
      </c>
      <c r="M159" s="80">
        <v>14.59</v>
      </c>
      <c r="N159" s="25">
        <f t="shared" si="24"/>
        <v>1.5800000000000018</v>
      </c>
      <c r="O159" s="80" t="s">
        <v>545</v>
      </c>
    </row>
    <row r="160" spans="1:15" x14ac:dyDescent="0.25">
      <c r="A160" s="75">
        <v>45984</v>
      </c>
      <c r="B160" s="25" t="s">
        <v>340</v>
      </c>
      <c r="C160" s="25"/>
      <c r="D160" s="75">
        <f t="shared" si="18"/>
        <v>46007</v>
      </c>
      <c r="E160" s="75">
        <f t="shared" si="19"/>
        <v>45991</v>
      </c>
      <c r="F160" s="75">
        <f t="shared" si="20"/>
        <v>45998</v>
      </c>
      <c r="G160" s="75">
        <f t="shared" si="21"/>
        <v>46004</v>
      </c>
      <c r="H160" s="75">
        <f t="shared" si="22"/>
        <v>45992</v>
      </c>
      <c r="I160" s="75">
        <f t="shared" si="23"/>
        <v>45999</v>
      </c>
      <c r="J160" s="75">
        <v>46010</v>
      </c>
      <c r="K160" s="76">
        <f t="shared" si="17"/>
        <v>26</v>
      </c>
      <c r="L160" s="79">
        <v>16.89</v>
      </c>
      <c r="M160" s="80">
        <v>15.28</v>
      </c>
      <c r="N160" s="25">
        <f t="shared" si="24"/>
        <v>1.6100000000000012</v>
      </c>
      <c r="O160" s="80" t="s">
        <v>545</v>
      </c>
    </row>
    <row r="161" spans="1:15" x14ac:dyDescent="0.25">
      <c r="A161" s="75">
        <v>45984</v>
      </c>
      <c r="B161" s="25" t="s">
        <v>341</v>
      </c>
      <c r="C161" s="25"/>
      <c r="D161" s="75">
        <f t="shared" si="18"/>
        <v>46007</v>
      </c>
      <c r="E161" s="75">
        <f t="shared" si="19"/>
        <v>45991</v>
      </c>
      <c r="F161" s="75">
        <f t="shared" si="20"/>
        <v>45998</v>
      </c>
      <c r="G161" s="75">
        <f t="shared" si="21"/>
        <v>46004</v>
      </c>
      <c r="H161" s="75">
        <f t="shared" si="22"/>
        <v>45992</v>
      </c>
      <c r="I161" s="75">
        <f t="shared" si="23"/>
        <v>45999</v>
      </c>
      <c r="J161" s="75">
        <v>46010</v>
      </c>
      <c r="K161" s="76">
        <f t="shared" si="17"/>
        <v>26</v>
      </c>
      <c r="L161" s="79">
        <v>18.55</v>
      </c>
      <c r="M161" s="80">
        <v>16.36</v>
      </c>
      <c r="N161" s="25">
        <f t="shared" si="24"/>
        <v>2.1900000000000013</v>
      </c>
      <c r="O161" s="80" t="s">
        <v>545</v>
      </c>
    </row>
    <row r="162" spans="1:15" x14ac:dyDescent="0.25">
      <c r="A162" s="75">
        <v>45984</v>
      </c>
      <c r="B162" s="25" t="s">
        <v>342</v>
      </c>
      <c r="C162" s="25"/>
      <c r="D162" s="75">
        <f t="shared" si="18"/>
        <v>46007</v>
      </c>
      <c r="E162" s="75">
        <f t="shared" si="19"/>
        <v>45991</v>
      </c>
      <c r="F162" s="75">
        <f t="shared" si="20"/>
        <v>45998</v>
      </c>
      <c r="G162" s="75">
        <f t="shared" si="21"/>
        <v>46004</v>
      </c>
      <c r="H162" s="75">
        <f t="shared" si="22"/>
        <v>45992</v>
      </c>
      <c r="I162" s="75">
        <f t="shared" si="23"/>
        <v>45999</v>
      </c>
      <c r="J162" s="75">
        <v>46011</v>
      </c>
      <c r="K162" s="76">
        <f t="shared" si="17"/>
        <v>27</v>
      </c>
      <c r="L162" s="25">
        <v>18.93</v>
      </c>
      <c r="M162" s="25">
        <v>9.1300000000000008</v>
      </c>
      <c r="N162" s="25">
        <f t="shared" si="24"/>
        <v>9.7999999999999989</v>
      </c>
      <c r="O162" s="25" t="s">
        <v>544</v>
      </c>
    </row>
    <row r="163" spans="1:15" x14ac:dyDescent="0.25">
      <c r="A163" s="75">
        <v>45984</v>
      </c>
      <c r="B163" s="25" t="s">
        <v>343</v>
      </c>
      <c r="C163" s="25"/>
      <c r="D163" s="75">
        <f t="shared" si="18"/>
        <v>46007</v>
      </c>
      <c r="E163" s="75">
        <f t="shared" si="19"/>
        <v>45991</v>
      </c>
      <c r="F163" s="75">
        <f t="shared" si="20"/>
        <v>45998</v>
      </c>
      <c r="G163" s="75">
        <f t="shared" si="21"/>
        <v>46004</v>
      </c>
      <c r="H163" s="75">
        <f t="shared" si="22"/>
        <v>45992</v>
      </c>
      <c r="I163" s="75">
        <f t="shared" si="23"/>
        <v>45999</v>
      </c>
      <c r="J163" s="75">
        <v>46011</v>
      </c>
      <c r="K163" s="76">
        <f t="shared" ref="K163:K169" si="25">J163-A163</f>
        <v>27</v>
      </c>
      <c r="L163" s="25">
        <v>17.239999999999998</v>
      </c>
      <c r="M163" s="25">
        <v>8.7200000000000006</v>
      </c>
      <c r="N163" s="25">
        <f t="shared" si="24"/>
        <v>8.5199999999999978</v>
      </c>
      <c r="O163" s="25" t="s">
        <v>544</v>
      </c>
    </row>
    <row r="164" spans="1:15" x14ac:dyDescent="0.25">
      <c r="A164" s="75">
        <v>45984</v>
      </c>
      <c r="B164" s="25" t="s">
        <v>344</v>
      </c>
      <c r="C164" s="25"/>
      <c r="D164" s="75">
        <f t="shared" si="18"/>
        <v>46007</v>
      </c>
      <c r="E164" s="75">
        <f t="shared" si="19"/>
        <v>45991</v>
      </c>
      <c r="F164" s="75">
        <f t="shared" si="20"/>
        <v>45998</v>
      </c>
      <c r="G164" s="75">
        <f t="shared" si="21"/>
        <v>46004</v>
      </c>
      <c r="H164" s="75">
        <f t="shared" si="22"/>
        <v>45992</v>
      </c>
      <c r="I164" s="75">
        <f t="shared" si="23"/>
        <v>45999</v>
      </c>
      <c r="J164" s="75">
        <v>46011</v>
      </c>
      <c r="K164" s="76">
        <f t="shared" si="25"/>
        <v>27</v>
      </c>
      <c r="L164" s="25">
        <v>16.22</v>
      </c>
      <c r="M164" s="25">
        <v>8.1199999999999992</v>
      </c>
      <c r="N164" s="25">
        <f t="shared" si="24"/>
        <v>8.1</v>
      </c>
      <c r="O164" s="25" t="s">
        <v>544</v>
      </c>
    </row>
    <row r="165" spans="1:15" x14ac:dyDescent="0.25">
      <c r="A165" s="75">
        <v>45985</v>
      </c>
      <c r="B165" s="25" t="s">
        <v>325</v>
      </c>
      <c r="C165" s="25"/>
      <c r="D165" s="75">
        <f t="shared" si="18"/>
        <v>46008</v>
      </c>
      <c r="E165" s="75">
        <f t="shared" si="19"/>
        <v>45992</v>
      </c>
      <c r="F165" s="75">
        <f t="shared" si="20"/>
        <v>45999</v>
      </c>
      <c r="G165" s="75">
        <f t="shared" si="21"/>
        <v>46005</v>
      </c>
      <c r="H165" s="75">
        <f t="shared" si="22"/>
        <v>45993</v>
      </c>
      <c r="I165" s="75">
        <f t="shared" si="23"/>
        <v>46000</v>
      </c>
      <c r="J165" s="75">
        <v>46011</v>
      </c>
      <c r="K165" s="76">
        <f t="shared" si="25"/>
        <v>26</v>
      </c>
      <c r="L165" s="25">
        <v>15.2</v>
      </c>
      <c r="M165" s="25">
        <v>8.43</v>
      </c>
      <c r="N165" s="25">
        <f t="shared" si="24"/>
        <v>6.77</v>
      </c>
      <c r="O165" s="25" t="s">
        <v>544</v>
      </c>
    </row>
    <row r="166" spans="1:15" x14ac:dyDescent="0.25">
      <c r="A166" s="75">
        <v>45985</v>
      </c>
      <c r="B166" s="25" t="s">
        <v>326</v>
      </c>
      <c r="C166" s="25"/>
      <c r="D166" s="75">
        <f t="shared" si="18"/>
        <v>46008</v>
      </c>
      <c r="E166" s="75">
        <f t="shared" si="19"/>
        <v>45992</v>
      </c>
      <c r="F166" s="75">
        <f t="shared" si="20"/>
        <v>45999</v>
      </c>
      <c r="G166" s="75">
        <f t="shared" si="21"/>
        <v>46005</v>
      </c>
      <c r="H166" s="75">
        <f t="shared" si="22"/>
        <v>45993</v>
      </c>
      <c r="I166" s="75">
        <f t="shared" si="23"/>
        <v>46000</v>
      </c>
      <c r="J166" s="75">
        <v>46011</v>
      </c>
      <c r="K166" s="76">
        <f t="shared" si="25"/>
        <v>26</v>
      </c>
      <c r="L166" s="25">
        <v>17.41</v>
      </c>
      <c r="M166" s="25">
        <v>15.35</v>
      </c>
      <c r="N166" s="25">
        <f t="shared" si="24"/>
        <v>2.0600000000000005</v>
      </c>
      <c r="O166" s="25" t="s">
        <v>545</v>
      </c>
    </row>
    <row r="167" spans="1:15" x14ac:dyDescent="0.25">
      <c r="A167" s="75">
        <v>45985</v>
      </c>
      <c r="B167" s="25" t="s">
        <v>327</v>
      </c>
      <c r="C167" s="25"/>
      <c r="D167" s="75">
        <f t="shared" si="18"/>
        <v>46008</v>
      </c>
      <c r="E167" s="75">
        <f t="shared" si="19"/>
        <v>45992</v>
      </c>
      <c r="F167" s="75">
        <f t="shared" si="20"/>
        <v>45999</v>
      </c>
      <c r="G167" s="75">
        <f t="shared" si="21"/>
        <v>46005</v>
      </c>
      <c r="H167" s="75">
        <f t="shared" si="22"/>
        <v>45993</v>
      </c>
      <c r="I167" s="75">
        <f t="shared" si="23"/>
        <v>46000</v>
      </c>
      <c r="J167" s="75">
        <v>46011</v>
      </c>
      <c r="K167" s="76">
        <f t="shared" si="25"/>
        <v>26</v>
      </c>
      <c r="L167" s="25">
        <v>15.87</v>
      </c>
      <c r="M167" s="25">
        <v>14.92</v>
      </c>
      <c r="N167" s="25">
        <f t="shared" si="24"/>
        <v>0.94999999999999929</v>
      </c>
      <c r="O167" s="25" t="s">
        <v>545</v>
      </c>
    </row>
    <row r="168" spans="1:15" x14ac:dyDescent="0.25">
      <c r="A168" s="75">
        <v>45985</v>
      </c>
      <c r="B168" s="25" t="s">
        <v>328</v>
      </c>
      <c r="C168" s="25"/>
      <c r="D168" s="75">
        <f t="shared" si="18"/>
        <v>46008</v>
      </c>
      <c r="E168" s="75">
        <f t="shared" si="19"/>
        <v>45992</v>
      </c>
      <c r="F168" s="75">
        <f t="shared" si="20"/>
        <v>45999</v>
      </c>
      <c r="G168" s="75">
        <f t="shared" si="21"/>
        <v>46005</v>
      </c>
      <c r="H168" s="75">
        <f t="shared" si="22"/>
        <v>45993</v>
      </c>
      <c r="I168" s="75">
        <f t="shared" si="23"/>
        <v>46000</v>
      </c>
      <c r="J168" s="75">
        <v>46011</v>
      </c>
      <c r="K168" s="76">
        <f t="shared" si="25"/>
        <v>26</v>
      </c>
      <c r="L168" s="25">
        <v>14.73</v>
      </c>
      <c r="M168" s="25">
        <v>13.63</v>
      </c>
      <c r="N168" s="25">
        <f t="shared" si="24"/>
        <v>1.0999999999999996</v>
      </c>
      <c r="O168" s="25" t="s">
        <v>545</v>
      </c>
    </row>
    <row r="169" spans="1:15" x14ac:dyDescent="0.25">
      <c r="A169" s="75">
        <v>45985</v>
      </c>
      <c r="B169" s="25" t="s">
        <v>329</v>
      </c>
      <c r="C169" s="25"/>
      <c r="D169" s="75">
        <f t="shared" si="18"/>
        <v>46008</v>
      </c>
      <c r="E169" s="75">
        <f t="shared" si="19"/>
        <v>45992</v>
      </c>
      <c r="F169" s="75">
        <f t="shared" si="20"/>
        <v>45999</v>
      </c>
      <c r="G169" s="75">
        <f t="shared" si="21"/>
        <v>46005</v>
      </c>
      <c r="H169" s="75">
        <f t="shared" si="22"/>
        <v>45993</v>
      </c>
      <c r="I169" s="75">
        <f t="shared" si="23"/>
        <v>46000</v>
      </c>
      <c r="J169" s="75">
        <v>46011</v>
      </c>
      <c r="K169" s="76">
        <f t="shared" si="25"/>
        <v>26</v>
      </c>
      <c r="L169" s="25">
        <v>15.84</v>
      </c>
      <c r="M169" s="25">
        <v>13.82</v>
      </c>
      <c r="N169" s="25">
        <f t="shared" si="24"/>
        <v>2.0199999999999996</v>
      </c>
      <c r="O169" s="25" t="s">
        <v>545</v>
      </c>
    </row>
    <row r="170" spans="1:15" x14ac:dyDescent="0.25">
      <c r="A170" s="75">
        <v>45985</v>
      </c>
      <c r="B170" s="25" t="s">
        <v>345</v>
      </c>
      <c r="C170" s="25"/>
      <c r="D170" s="75">
        <f t="shared" ref="D170:D188" si="26">A170+23</f>
        <v>46008</v>
      </c>
      <c r="E170" s="75">
        <f t="shared" ref="E170:E188" si="27">A170+7</f>
        <v>45992</v>
      </c>
      <c r="F170" s="75">
        <f t="shared" ref="F170:F188" si="28">A170+14</f>
        <v>45999</v>
      </c>
      <c r="G170" s="75">
        <f t="shared" ref="G170:G188" si="29">A170+20</f>
        <v>46005</v>
      </c>
      <c r="H170" s="75">
        <f t="shared" ref="H170:H188" si="30">A170+8</f>
        <v>45993</v>
      </c>
      <c r="I170" s="75">
        <f t="shared" ref="I170:I188" si="31">A170+15</f>
        <v>46000</v>
      </c>
      <c r="J170" s="75">
        <v>46012</v>
      </c>
      <c r="K170" s="81">
        <f t="shared" ref="K170:K186" si="32">J170-A170</f>
        <v>27</v>
      </c>
      <c r="L170" s="79">
        <v>19.52</v>
      </c>
      <c r="M170" s="80">
        <v>9.18</v>
      </c>
      <c r="N170" s="25">
        <f t="shared" ref="N170:N211" si="33">L170-M170</f>
        <v>10.34</v>
      </c>
      <c r="O170" s="80" t="s">
        <v>544</v>
      </c>
    </row>
    <row r="171" spans="1:15" x14ac:dyDescent="0.25">
      <c r="A171" s="75">
        <v>45985</v>
      </c>
      <c r="B171" s="25" t="s">
        <v>346</v>
      </c>
      <c r="C171" s="25"/>
      <c r="D171" s="75">
        <f t="shared" si="26"/>
        <v>46008</v>
      </c>
      <c r="E171" s="75">
        <f t="shared" si="27"/>
        <v>45992</v>
      </c>
      <c r="F171" s="75">
        <f t="shared" si="28"/>
        <v>45999</v>
      </c>
      <c r="G171" s="75">
        <f t="shared" si="29"/>
        <v>46005</v>
      </c>
      <c r="H171" s="75">
        <f t="shared" si="30"/>
        <v>45993</v>
      </c>
      <c r="I171" s="75">
        <f t="shared" si="31"/>
        <v>46000</v>
      </c>
      <c r="J171" s="75">
        <v>46012</v>
      </c>
      <c r="K171" s="81">
        <f t="shared" si="32"/>
        <v>27</v>
      </c>
      <c r="L171" s="79">
        <v>18.739999999999998</v>
      </c>
      <c r="M171" s="80">
        <v>8.36</v>
      </c>
      <c r="N171" s="25">
        <f t="shared" si="33"/>
        <v>10.379999999999999</v>
      </c>
      <c r="O171" s="80" t="s">
        <v>544</v>
      </c>
    </row>
    <row r="172" spans="1:15" x14ac:dyDescent="0.25">
      <c r="A172" s="75">
        <v>45986</v>
      </c>
      <c r="B172" s="25" t="s">
        <v>347</v>
      </c>
      <c r="C172" s="25"/>
      <c r="D172" s="75">
        <f t="shared" si="26"/>
        <v>46009</v>
      </c>
      <c r="E172" s="75">
        <f t="shared" si="27"/>
        <v>45993</v>
      </c>
      <c r="F172" s="75">
        <f t="shared" si="28"/>
        <v>46000</v>
      </c>
      <c r="G172" s="75">
        <f t="shared" si="29"/>
        <v>46006</v>
      </c>
      <c r="H172" s="75">
        <f t="shared" si="30"/>
        <v>45994</v>
      </c>
      <c r="I172" s="75">
        <f t="shared" si="31"/>
        <v>46001</v>
      </c>
      <c r="J172" s="75">
        <v>46012</v>
      </c>
      <c r="K172" s="81">
        <f t="shared" si="32"/>
        <v>26</v>
      </c>
      <c r="L172" s="79">
        <v>14.17</v>
      </c>
      <c r="M172" s="80">
        <v>12.51</v>
      </c>
      <c r="N172" s="25">
        <f t="shared" si="33"/>
        <v>1.6600000000000001</v>
      </c>
      <c r="O172" s="80" t="s">
        <v>545</v>
      </c>
    </row>
    <row r="173" spans="1:15" x14ac:dyDescent="0.25">
      <c r="A173" s="75">
        <v>45986</v>
      </c>
      <c r="B173" s="25" t="s">
        <v>348</v>
      </c>
      <c r="C173" s="25"/>
      <c r="D173" s="75">
        <f t="shared" si="26"/>
        <v>46009</v>
      </c>
      <c r="E173" s="75">
        <f t="shared" si="27"/>
        <v>45993</v>
      </c>
      <c r="F173" s="75">
        <f t="shared" si="28"/>
        <v>46000</v>
      </c>
      <c r="G173" s="75">
        <f t="shared" si="29"/>
        <v>46006</v>
      </c>
      <c r="H173" s="75">
        <f t="shared" si="30"/>
        <v>45994</v>
      </c>
      <c r="I173" s="75">
        <f t="shared" si="31"/>
        <v>46001</v>
      </c>
      <c r="J173" s="75">
        <v>46012</v>
      </c>
      <c r="K173" s="81">
        <f t="shared" si="32"/>
        <v>26</v>
      </c>
      <c r="L173" s="79">
        <v>15.21</v>
      </c>
      <c r="M173" s="80">
        <v>13.78</v>
      </c>
      <c r="N173" s="25">
        <f t="shared" si="33"/>
        <v>1.4300000000000015</v>
      </c>
      <c r="O173" s="25" t="s">
        <v>545</v>
      </c>
    </row>
    <row r="174" spans="1:15" x14ac:dyDescent="0.25">
      <c r="A174" s="75">
        <v>45986</v>
      </c>
      <c r="B174" s="25" t="s">
        <v>349</v>
      </c>
      <c r="C174" s="25"/>
      <c r="D174" s="75">
        <f t="shared" si="26"/>
        <v>46009</v>
      </c>
      <c r="E174" s="75">
        <f t="shared" si="27"/>
        <v>45993</v>
      </c>
      <c r="F174" s="75">
        <f t="shared" si="28"/>
        <v>46000</v>
      </c>
      <c r="G174" s="75">
        <f t="shared" si="29"/>
        <v>46006</v>
      </c>
      <c r="H174" s="75">
        <f t="shared" si="30"/>
        <v>45994</v>
      </c>
      <c r="I174" s="75">
        <f t="shared" si="31"/>
        <v>46001</v>
      </c>
      <c r="J174" s="75">
        <v>46012</v>
      </c>
      <c r="K174" s="81">
        <f t="shared" si="32"/>
        <v>26</v>
      </c>
      <c r="L174" s="79">
        <v>17.86</v>
      </c>
      <c r="M174" s="80">
        <v>15.14</v>
      </c>
      <c r="N174" s="25">
        <f t="shared" si="33"/>
        <v>2.7199999999999989</v>
      </c>
      <c r="O174" s="25" t="s">
        <v>545</v>
      </c>
    </row>
    <row r="175" spans="1:15" x14ac:dyDescent="0.25">
      <c r="A175" s="75">
        <v>45986</v>
      </c>
      <c r="B175" s="25" t="s">
        <v>360</v>
      </c>
      <c r="C175" s="25"/>
      <c r="D175" s="75">
        <f t="shared" si="26"/>
        <v>46009</v>
      </c>
      <c r="E175" s="75">
        <f t="shared" si="27"/>
        <v>45993</v>
      </c>
      <c r="F175" s="75">
        <f t="shared" si="28"/>
        <v>46000</v>
      </c>
      <c r="G175" s="75">
        <f t="shared" si="29"/>
        <v>46006</v>
      </c>
      <c r="H175" s="75">
        <f t="shared" si="30"/>
        <v>45994</v>
      </c>
      <c r="I175" s="75">
        <f t="shared" si="31"/>
        <v>46001</v>
      </c>
      <c r="J175" s="75">
        <v>46013</v>
      </c>
      <c r="K175" s="81">
        <f t="shared" si="32"/>
        <v>27</v>
      </c>
      <c r="L175" s="79">
        <v>18.809999999999999</v>
      </c>
      <c r="M175" s="80">
        <v>8.51</v>
      </c>
      <c r="N175" s="25">
        <f t="shared" si="33"/>
        <v>10.299999999999999</v>
      </c>
      <c r="O175" s="25" t="s">
        <v>544</v>
      </c>
    </row>
    <row r="176" spans="1:15" x14ac:dyDescent="0.25">
      <c r="A176" s="75">
        <v>45986</v>
      </c>
      <c r="B176" s="25" t="s">
        <v>361</v>
      </c>
      <c r="C176" s="25"/>
      <c r="D176" s="75">
        <f t="shared" si="26"/>
        <v>46009</v>
      </c>
      <c r="E176" s="75">
        <f t="shared" si="27"/>
        <v>45993</v>
      </c>
      <c r="F176" s="75">
        <f t="shared" si="28"/>
        <v>46000</v>
      </c>
      <c r="G176" s="75">
        <f t="shared" si="29"/>
        <v>46006</v>
      </c>
      <c r="H176" s="75">
        <f t="shared" si="30"/>
        <v>45994</v>
      </c>
      <c r="I176" s="75">
        <f t="shared" si="31"/>
        <v>46001</v>
      </c>
      <c r="J176" s="75">
        <v>46013</v>
      </c>
      <c r="K176" s="81">
        <f t="shared" si="32"/>
        <v>27</v>
      </c>
      <c r="L176" s="79">
        <v>18.64</v>
      </c>
      <c r="M176" s="80">
        <v>8.49</v>
      </c>
      <c r="N176" s="25">
        <f t="shared" si="33"/>
        <v>10.15</v>
      </c>
      <c r="O176" s="25" t="s">
        <v>544</v>
      </c>
    </row>
    <row r="177" spans="1:15" x14ac:dyDescent="0.25">
      <c r="A177" s="75">
        <v>45986</v>
      </c>
      <c r="B177" s="25" t="s">
        <v>362</v>
      </c>
      <c r="C177" s="25"/>
      <c r="D177" s="75">
        <f t="shared" si="26"/>
        <v>46009</v>
      </c>
      <c r="E177" s="75">
        <f t="shared" si="27"/>
        <v>45993</v>
      </c>
      <c r="F177" s="75">
        <f t="shared" si="28"/>
        <v>46000</v>
      </c>
      <c r="G177" s="75">
        <f t="shared" si="29"/>
        <v>46006</v>
      </c>
      <c r="H177" s="75">
        <f t="shared" si="30"/>
        <v>45994</v>
      </c>
      <c r="I177" s="75">
        <f t="shared" si="31"/>
        <v>46001</v>
      </c>
      <c r="J177" s="75">
        <v>46012</v>
      </c>
      <c r="K177" s="81">
        <f t="shared" si="32"/>
        <v>26</v>
      </c>
      <c r="L177" s="79">
        <v>16.73</v>
      </c>
      <c r="M177" s="80">
        <v>14.42</v>
      </c>
      <c r="N177" s="25">
        <f t="shared" si="33"/>
        <v>2.3100000000000005</v>
      </c>
      <c r="O177" s="25" t="s">
        <v>545</v>
      </c>
    </row>
    <row r="178" spans="1:15" x14ac:dyDescent="0.25">
      <c r="A178" s="75">
        <v>45986</v>
      </c>
      <c r="B178" s="25" t="s">
        <v>363</v>
      </c>
      <c r="C178" s="25"/>
      <c r="D178" s="75">
        <f t="shared" si="26"/>
        <v>46009</v>
      </c>
      <c r="E178" s="75">
        <f t="shared" si="27"/>
        <v>45993</v>
      </c>
      <c r="F178" s="75">
        <f t="shared" si="28"/>
        <v>46000</v>
      </c>
      <c r="G178" s="75">
        <f t="shared" si="29"/>
        <v>46006</v>
      </c>
      <c r="H178" s="75">
        <f t="shared" si="30"/>
        <v>45994</v>
      </c>
      <c r="I178" s="75">
        <f t="shared" si="31"/>
        <v>46001</v>
      </c>
      <c r="J178" s="75">
        <v>46012</v>
      </c>
      <c r="K178" s="81">
        <f t="shared" si="32"/>
        <v>26</v>
      </c>
      <c r="L178" s="79">
        <v>18.89</v>
      </c>
      <c r="M178" s="80">
        <v>16.29</v>
      </c>
      <c r="N178" s="25">
        <f t="shared" si="33"/>
        <v>2.6000000000000014</v>
      </c>
      <c r="O178" s="25" t="s">
        <v>545</v>
      </c>
    </row>
    <row r="179" spans="1:15" x14ac:dyDescent="0.25">
      <c r="A179" s="75">
        <v>45987</v>
      </c>
      <c r="B179" s="25" t="s">
        <v>356</v>
      </c>
      <c r="C179" s="25"/>
      <c r="D179" s="75">
        <f t="shared" si="26"/>
        <v>46010</v>
      </c>
      <c r="E179" s="75">
        <f t="shared" si="27"/>
        <v>45994</v>
      </c>
      <c r="F179" s="75">
        <f t="shared" si="28"/>
        <v>46001</v>
      </c>
      <c r="G179" s="75">
        <f t="shared" si="29"/>
        <v>46007</v>
      </c>
      <c r="H179" s="75">
        <f t="shared" si="30"/>
        <v>45995</v>
      </c>
      <c r="I179" s="75">
        <f t="shared" si="31"/>
        <v>46002</v>
      </c>
      <c r="J179" s="75">
        <v>46013</v>
      </c>
      <c r="K179" s="81">
        <f t="shared" si="32"/>
        <v>26</v>
      </c>
      <c r="L179" s="79">
        <v>17.559999999999999</v>
      </c>
      <c r="M179" s="80">
        <v>15.3</v>
      </c>
      <c r="N179" s="25">
        <f t="shared" si="33"/>
        <v>2.259999999999998</v>
      </c>
      <c r="O179" s="25" t="s">
        <v>545</v>
      </c>
    </row>
    <row r="180" spans="1:15" x14ac:dyDescent="0.25">
      <c r="A180" s="75">
        <v>45987</v>
      </c>
      <c r="B180" s="25" t="s">
        <v>357</v>
      </c>
      <c r="C180" s="25"/>
      <c r="D180" s="75">
        <f t="shared" si="26"/>
        <v>46010</v>
      </c>
      <c r="E180" s="75">
        <f t="shared" si="27"/>
        <v>45994</v>
      </c>
      <c r="F180" s="75">
        <f t="shared" si="28"/>
        <v>46001</v>
      </c>
      <c r="G180" s="75">
        <f t="shared" si="29"/>
        <v>46007</v>
      </c>
      <c r="H180" s="75">
        <f t="shared" si="30"/>
        <v>45995</v>
      </c>
      <c r="I180" s="75">
        <f t="shared" si="31"/>
        <v>46002</v>
      </c>
      <c r="J180" s="75">
        <v>46013</v>
      </c>
      <c r="K180" s="81">
        <f t="shared" si="32"/>
        <v>26</v>
      </c>
      <c r="L180" s="79">
        <v>17.25</v>
      </c>
      <c r="M180" s="80">
        <v>15.19</v>
      </c>
      <c r="N180" s="25">
        <f t="shared" si="33"/>
        <v>2.0600000000000005</v>
      </c>
      <c r="O180" s="25" t="s">
        <v>545</v>
      </c>
    </row>
    <row r="181" spans="1:15" x14ac:dyDescent="0.25">
      <c r="A181" s="75">
        <v>45987</v>
      </c>
      <c r="B181" s="25" t="s">
        <v>358</v>
      </c>
      <c r="C181" s="25"/>
      <c r="D181" s="75">
        <f t="shared" si="26"/>
        <v>46010</v>
      </c>
      <c r="E181" s="75">
        <f t="shared" si="27"/>
        <v>45994</v>
      </c>
      <c r="F181" s="75">
        <f t="shared" si="28"/>
        <v>46001</v>
      </c>
      <c r="G181" s="75">
        <f t="shared" si="29"/>
        <v>46007</v>
      </c>
      <c r="H181" s="75">
        <f t="shared" si="30"/>
        <v>45995</v>
      </c>
      <c r="I181" s="75">
        <f t="shared" si="31"/>
        <v>46002</v>
      </c>
      <c r="J181" s="75">
        <v>46013</v>
      </c>
      <c r="K181" s="81">
        <f t="shared" si="32"/>
        <v>26</v>
      </c>
      <c r="L181" s="79">
        <v>16.12</v>
      </c>
      <c r="M181" s="80">
        <v>14.35</v>
      </c>
      <c r="N181" s="25">
        <f t="shared" si="33"/>
        <v>1.7700000000000014</v>
      </c>
      <c r="O181" s="25" t="s">
        <v>545</v>
      </c>
    </row>
    <row r="182" spans="1:15" x14ac:dyDescent="0.25">
      <c r="A182" s="75">
        <v>45987</v>
      </c>
      <c r="B182" s="25" t="s">
        <v>359</v>
      </c>
      <c r="C182" s="25"/>
      <c r="D182" s="75">
        <f t="shared" si="26"/>
        <v>46010</v>
      </c>
      <c r="E182" s="75">
        <f t="shared" si="27"/>
        <v>45994</v>
      </c>
      <c r="F182" s="75">
        <f t="shared" si="28"/>
        <v>46001</v>
      </c>
      <c r="G182" s="75">
        <f t="shared" si="29"/>
        <v>46007</v>
      </c>
      <c r="H182" s="75">
        <f t="shared" si="30"/>
        <v>45995</v>
      </c>
      <c r="I182" s="75">
        <f t="shared" si="31"/>
        <v>46002</v>
      </c>
      <c r="J182" s="75">
        <v>46013</v>
      </c>
      <c r="K182" s="81">
        <f t="shared" si="32"/>
        <v>26</v>
      </c>
      <c r="L182" s="79">
        <v>19.329999999999998</v>
      </c>
      <c r="M182" s="80">
        <v>9.27</v>
      </c>
      <c r="N182" s="25">
        <f t="shared" si="33"/>
        <v>10.059999999999999</v>
      </c>
      <c r="O182" s="25" t="s">
        <v>544</v>
      </c>
    </row>
    <row r="183" spans="1:15" x14ac:dyDescent="0.25">
      <c r="A183" s="75">
        <v>45987</v>
      </c>
      <c r="B183" s="25" t="s">
        <v>383</v>
      </c>
      <c r="C183" s="25"/>
      <c r="D183" s="75">
        <f t="shared" si="26"/>
        <v>46010</v>
      </c>
      <c r="E183" s="75">
        <f t="shared" si="27"/>
        <v>45994</v>
      </c>
      <c r="F183" s="75">
        <f t="shared" si="28"/>
        <v>46001</v>
      </c>
      <c r="G183" s="75">
        <f t="shared" si="29"/>
        <v>46007</v>
      </c>
      <c r="H183" s="75">
        <f t="shared" si="30"/>
        <v>45995</v>
      </c>
      <c r="I183" s="75">
        <f t="shared" si="31"/>
        <v>46002</v>
      </c>
      <c r="J183" s="75">
        <v>46014</v>
      </c>
      <c r="K183" s="81">
        <f t="shared" si="32"/>
        <v>27</v>
      </c>
      <c r="L183" s="25">
        <v>13.11</v>
      </c>
      <c r="M183" s="25">
        <v>5.99</v>
      </c>
      <c r="N183" s="25">
        <f t="shared" si="33"/>
        <v>7.1199999999999992</v>
      </c>
      <c r="O183" s="25" t="s">
        <v>544</v>
      </c>
    </row>
    <row r="184" spans="1:15" x14ac:dyDescent="0.25">
      <c r="A184" s="75">
        <v>45987</v>
      </c>
      <c r="B184" s="25" t="s">
        <v>384</v>
      </c>
      <c r="C184" s="25"/>
      <c r="D184" s="75">
        <f t="shared" si="26"/>
        <v>46010</v>
      </c>
      <c r="E184" s="75">
        <f t="shared" si="27"/>
        <v>45994</v>
      </c>
      <c r="F184" s="75">
        <f t="shared" si="28"/>
        <v>46001</v>
      </c>
      <c r="G184" s="75">
        <f t="shared" si="29"/>
        <v>46007</v>
      </c>
      <c r="H184" s="75">
        <f t="shared" si="30"/>
        <v>45995</v>
      </c>
      <c r="I184" s="75">
        <f t="shared" si="31"/>
        <v>46002</v>
      </c>
      <c r="J184" s="75">
        <v>46014</v>
      </c>
      <c r="K184" s="81">
        <f t="shared" si="32"/>
        <v>27</v>
      </c>
      <c r="L184" s="25">
        <v>14.26</v>
      </c>
      <c r="M184" s="25">
        <v>7.27</v>
      </c>
      <c r="N184" s="25">
        <f t="shared" si="33"/>
        <v>6.99</v>
      </c>
      <c r="O184" s="25" t="s">
        <v>544</v>
      </c>
    </row>
    <row r="185" spans="1:15" x14ac:dyDescent="0.25">
      <c r="A185" s="75">
        <v>45987</v>
      </c>
      <c r="B185" s="25" t="s">
        <v>385</v>
      </c>
      <c r="C185" s="25"/>
      <c r="D185" s="75">
        <f t="shared" si="26"/>
        <v>46010</v>
      </c>
      <c r="E185" s="75">
        <f t="shared" si="27"/>
        <v>45994</v>
      </c>
      <c r="F185" s="75">
        <f t="shared" si="28"/>
        <v>46001</v>
      </c>
      <c r="G185" s="75">
        <f t="shared" si="29"/>
        <v>46007</v>
      </c>
      <c r="H185" s="75">
        <f t="shared" si="30"/>
        <v>45995</v>
      </c>
      <c r="I185" s="75">
        <f t="shared" si="31"/>
        <v>46002</v>
      </c>
      <c r="J185" s="75">
        <v>46014</v>
      </c>
      <c r="K185" s="81">
        <f t="shared" si="32"/>
        <v>27</v>
      </c>
      <c r="L185" s="25">
        <v>15.03</v>
      </c>
      <c r="M185" s="25">
        <v>7.81</v>
      </c>
      <c r="N185" s="25">
        <f t="shared" si="33"/>
        <v>7.22</v>
      </c>
      <c r="O185" s="25" t="s">
        <v>544</v>
      </c>
    </row>
    <row r="186" spans="1:15" x14ac:dyDescent="0.25">
      <c r="A186" s="75">
        <v>45987</v>
      </c>
      <c r="B186" s="25" t="s">
        <v>386</v>
      </c>
      <c r="C186" s="25"/>
      <c r="D186" s="75">
        <f t="shared" si="26"/>
        <v>46010</v>
      </c>
      <c r="E186" s="75">
        <f t="shared" si="27"/>
        <v>45994</v>
      </c>
      <c r="F186" s="75">
        <f t="shared" si="28"/>
        <v>46001</v>
      </c>
      <c r="G186" s="75">
        <f t="shared" si="29"/>
        <v>46007</v>
      </c>
      <c r="H186" s="75">
        <f t="shared" si="30"/>
        <v>45995</v>
      </c>
      <c r="I186" s="75">
        <f t="shared" si="31"/>
        <v>46002</v>
      </c>
      <c r="J186" s="75">
        <v>46014</v>
      </c>
      <c r="K186" s="81">
        <f t="shared" si="32"/>
        <v>27</v>
      </c>
      <c r="L186" s="25">
        <v>13.78</v>
      </c>
      <c r="M186" s="25">
        <v>10.34</v>
      </c>
      <c r="N186" s="25">
        <f t="shared" si="33"/>
        <v>3.4399999999999995</v>
      </c>
      <c r="O186" s="25" t="s">
        <v>545</v>
      </c>
    </row>
    <row r="187" spans="1:15" x14ac:dyDescent="0.25">
      <c r="A187" s="75">
        <v>45988</v>
      </c>
      <c r="B187" s="25" t="s">
        <v>380</v>
      </c>
      <c r="C187" s="25"/>
      <c r="D187" s="75">
        <f t="shared" si="26"/>
        <v>46011</v>
      </c>
      <c r="E187" s="75">
        <f t="shared" si="27"/>
        <v>45995</v>
      </c>
      <c r="F187" s="75">
        <f t="shared" si="28"/>
        <v>46002</v>
      </c>
      <c r="G187" s="75">
        <f t="shared" si="29"/>
        <v>46008</v>
      </c>
      <c r="H187" s="75">
        <f t="shared" si="30"/>
        <v>45996</v>
      </c>
      <c r="I187" s="75">
        <f t="shared" si="31"/>
        <v>46003</v>
      </c>
      <c r="J187" s="75">
        <v>46013</v>
      </c>
      <c r="K187" s="81">
        <f>J187-A187</f>
        <v>25</v>
      </c>
      <c r="L187" s="79">
        <v>14.13</v>
      </c>
      <c r="M187" s="80">
        <v>12.72</v>
      </c>
      <c r="N187" s="25">
        <f t="shared" si="33"/>
        <v>1.4100000000000001</v>
      </c>
      <c r="O187" s="25" t="s">
        <v>545</v>
      </c>
    </row>
    <row r="188" spans="1:15" x14ac:dyDescent="0.25">
      <c r="A188" s="75">
        <v>45988</v>
      </c>
      <c r="B188" s="25" t="s">
        <v>381</v>
      </c>
      <c r="C188" s="25"/>
      <c r="D188" s="75">
        <f t="shared" si="26"/>
        <v>46011</v>
      </c>
      <c r="E188" s="75">
        <f t="shared" si="27"/>
        <v>45995</v>
      </c>
      <c r="F188" s="75">
        <f t="shared" si="28"/>
        <v>46002</v>
      </c>
      <c r="G188" s="75">
        <f t="shared" si="29"/>
        <v>46008</v>
      </c>
      <c r="H188" s="75">
        <f t="shared" si="30"/>
        <v>45996</v>
      </c>
      <c r="I188" s="75">
        <f t="shared" si="31"/>
        <v>46003</v>
      </c>
      <c r="J188" s="75">
        <v>46013</v>
      </c>
      <c r="K188" s="81">
        <f>J188-A188</f>
        <v>25</v>
      </c>
      <c r="L188" s="79">
        <v>14.02</v>
      </c>
      <c r="M188" s="80">
        <v>12.68</v>
      </c>
      <c r="N188" s="25">
        <f t="shared" si="33"/>
        <v>1.3399999999999999</v>
      </c>
      <c r="O188" s="25" t="s">
        <v>545</v>
      </c>
    </row>
    <row r="189" spans="1:15" x14ac:dyDescent="0.25">
      <c r="A189" s="75">
        <v>45988</v>
      </c>
      <c r="B189" s="25" t="s">
        <v>382</v>
      </c>
      <c r="C189" s="25"/>
      <c r="D189" s="75">
        <f t="shared" si="18"/>
        <v>46011</v>
      </c>
      <c r="E189" s="75">
        <f t="shared" si="19"/>
        <v>45995</v>
      </c>
      <c r="F189" s="75">
        <f t="shared" si="20"/>
        <v>46002</v>
      </c>
      <c r="G189" s="75">
        <f t="shared" si="21"/>
        <v>46008</v>
      </c>
      <c r="H189" s="75">
        <f t="shared" si="22"/>
        <v>45996</v>
      </c>
      <c r="I189" s="75">
        <f t="shared" si="23"/>
        <v>46003</v>
      </c>
      <c r="J189" s="75">
        <v>46014</v>
      </c>
      <c r="K189" s="81">
        <f>J189-A189</f>
        <v>26</v>
      </c>
      <c r="L189" s="25">
        <v>12.49</v>
      </c>
      <c r="M189" s="25">
        <v>5.65</v>
      </c>
      <c r="N189" s="25">
        <f t="shared" si="33"/>
        <v>6.84</v>
      </c>
      <c r="O189" s="25" t="s">
        <v>544</v>
      </c>
    </row>
    <row r="190" spans="1:15" x14ac:dyDescent="0.25">
      <c r="A190" s="75">
        <v>45988</v>
      </c>
      <c r="B190" s="25" t="s">
        <v>511</v>
      </c>
      <c r="C190" s="25"/>
      <c r="D190" s="75">
        <f t="shared" si="18"/>
        <v>46011</v>
      </c>
      <c r="E190" s="75">
        <f t="shared" si="19"/>
        <v>45995</v>
      </c>
      <c r="F190" s="75">
        <f t="shared" si="20"/>
        <v>46002</v>
      </c>
      <c r="G190" s="75">
        <f t="shared" si="21"/>
        <v>46008</v>
      </c>
      <c r="H190" s="75">
        <f t="shared" si="22"/>
        <v>45996</v>
      </c>
      <c r="I190" s="75">
        <f t="shared" si="23"/>
        <v>46003</v>
      </c>
      <c r="J190" s="75">
        <v>46014</v>
      </c>
      <c r="K190" s="81">
        <f>J190-A190</f>
        <v>26</v>
      </c>
      <c r="L190" s="25">
        <v>10.42</v>
      </c>
      <c r="M190" s="25">
        <v>8.56</v>
      </c>
      <c r="N190" s="25">
        <f t="shared" si="33"/>
        <v>1.8599999999999994</v>
      </c>
      <c r="O190" s="25" t="s">
        <v>545</v>
      </c>
    </row>
    <row r="191" spans="1:15" x14ac:dyDescent="0.25">
      <c r="A191" s="75">
        <v>45988</v>
      </c>
      <c r="B191" s="25" t="s">
        <v>512</v>
      </c>
      <c r="C191" s="25"/>
      <c r="D191" s="75">
        <f t="shared" si="18"/>
        <v>46011</v>
      </c>
      <c r="E191" s="75">
        <f t="shared" si="19"/>
        <v>45995</v>
      </c>
      <c r="F191" s="75">
        <f t="shared" si="20"/>
        <v>46002</v>
      </c>
      <c r="G191" s="75">
        <f t="shared" si="21"/>
        <v>46008</v>
      </c>
      <c r="H191" s="75">
        <f t="shared" si="22"/>
        <v>45996</v>
      </c>
      <c r="I191" s="75">
        <f t="shared" si="23"/>
        <v>46003</v>
      </c>
      <c r="J191" s="75">
        <v>46015</v>
      </c>
      <c r="K191" s="76">
        <f>J191-A191</f>
        <v>27</v>
      </c>
      <c r="L191" s="25">
        <v>15.79</v>
      </c>
      <c r="M191" s="25">
        <v>8.07</v>
      </c>
      <c r="N191" s="25">
        <f t="shared" si="33"/>
        <v>7.7199999999999989</v>
      </c>
      <c r="O191" s="25" t="s">
        <v>544</v>
      </c>
    </row>
    <row r="192" spans="1:15" x14ac:dyDescent="0.25">
      <c r="A192" s="75">
        <v>45988</v>
      </c>
      <c r="B192" s="25" t="s">
        <v>513</v>
      </c>
      <c r="C192" s="25"/>
      <c r="D192" s="75">
        <f t="shared" si="18"/>
        <v>46011</v>
      </c>
      <c r="E192" s="75">
        <f t="shared" si="19"/>
        <v>45995</v>
      </c>
      <c r="F192" s="75">
        <f t="shared" si="20"/>
        <v>46002</v>
      </c>
      <c r="G192" s="75">
        <f t="shared" si="21"/>
        <v>46008</v>
      </c>
      <c r="H192" s="75">
        <f t="shared" si="22"/>
        <v>45996</v>
      </c>
      <c r="I192" s="75">
        <f t="shared" si="23"/>
        <v>46003</v>
      </c>
      <c r="J192" s="75">
        <v>46015</v>
      </c>
      <c r="K192" s="76">
        <f t="shared" ref="K192:K207" si="34">J192-A192</f>
        <v>27</v>
      </c>
      <c r="L192" s="25">
        <v>15.83</v>
      </c>
      <c r="M192" s="25">
        <v>8.2100000000000009</v>
      </c>
      <c r="N192" s="25">
        <f t="shared" si="33"/>
        <v>7.6199999999999992</v>
      </c>
      <c r="O192" s="25" t="s">
        <v>544</v>
      </c>
    </row>
    <row r="193" spans="1:15" x14ac:dyDescent="0.25">
      <c r="A193" s="75">
        <v>45988</v>
      </c>
      <c r="B193" s="25" t="s">
        <v>514</v>
      </c>
      <c r="C193" s="25"/>
      <c r="D193" s="75">
        <f t="shared" si="18"/>
        <v>46011</v>
      </c>
      <c r="E193" s="75">
        <f t="shared" si="19"/>
        <v>45995</v>
      </c>
      <c r="F193" s="75">
        <f t="shared" si="20"/>
        <v>46002</v>
      </c>
      <c r="G193" s="75">
        <f t="shared" si="21"/>
        <v>46008</v>
      </c>
      <c r="H193" s="75">
        <f t="shared" si="22"/>
        <v>45996</v>
      </c>
      <c r="I193" s="75">
        <f t="shared" si="23"/>
        <v>46003</v>
      </c>
      <c r="J193" s="75">
        <v>46015</v>
      </c>
      <c r="K193" s="76">
        <f t="shared" si="34"/>
        <v>27</v>
      </c>
      <c r="L193" s="25">
        <v>9.31</v>
      </c>
      <c r="M193" s="25">
        <v>7.16</v>
      </c>
      <c r="N193" s="25">
        <f t="shared" si="33"/>
        <v>2.1500000000000004</v>
      </c>
      <c r="O193" s="25" t="s">
        <v>545</v>
      </c>
    </row>
    <row r="194" spans="1:15" x14ac:dyDescent="0.25">
      <c r="A194" s="75">
        <v>45989</v>
      </c>
      <c r="B194" s="25" t="s">
        <v>515</v>
      </c>
      <c r="C194" s="25"/>
      <c r="D194" s="75">
        <f t="shared" si="18"/>
        <v>46012</v>
      </c>
      <c r="E194" s="75">
        <f t="shared" si="19"/>
        <v>45996</v>
      </c>
      <c r="F194" s="75">
        <f t="shared" si="20"/>
        <v>46003</v>
      </c>
      <c r="G194" s="75">
        <f t="shared" si="21"/>
        <v>46009</v>
      </c>
      <c r="H194" s="75">
        <f t="shared" si="22"/>
        <v>45997</v>
      </c>
      <c r="I194" s="75">
        <f t="shared" si="23"/>
        <v>46004</v>
      </c>
      <c r="J194" s="75">
        <v>46015</v>
      </c>
      <c r="K194" s="76">
        <f t="shared" si="34"/>
        <v>26</v>
      </c>
      <c r="L194" s="25">
        <v>10.17</v>
      </c>
      <c r="M194" s="25">
        <v>8.31</v>
      </c>
      <c r="N194" s="25">
        <f t="shared" si="33"/>
        <v>1.8599999999999994</v>
      </c>
      <c r="O194" s="25" t="s">
        <v>545</v>
      </c>
    </row>
    <row r="195" spans="1:15" x14ac:dyDescent="0.25">
      <c r="A195" s="75">
        <v>45989</v>
      </c>
      <c r="B195" s="25" t="s">
        <v>516</v>
      </c>
      <c r="C195" s="25"/>
      <c r="D195" s="75">
        <f t="shared" ref="D195:D258" si="35">A195+23</f>
        <v>46012</v>
      </c>
      <c r="E195" s="75">
        <f t="shared" ref="E195:E258" si="36">A195+7</f>
        <v>45996</v>
      </c>
      <c r="F195" s="75">
        <f t="shared" ref="F195:F258" si="37">A195+14</f>
        <v>46003</v>
      </c>
      <c r="G195" s="75">
        <f t="shared" ref="G195:G258" si="38">A195+20</f>
        <v>46009</v>
      </c>
      <c r="H195" s="75">
        <f t="shared" ref="H195:H258" si="39">A195+8</f>
        <v>45997</v>
      </c>
      <c r="I195" s="75">
        <f t="shared" ref="I195:I258" si="40">A195+15</f>
        <v>46004</v>
      </c>
      <c r="J195" s="75">
        <v>46015</v>
      </c>
      <c r="K195" s="76">
        <f t="shared" si="34"/>
        <v>26</v>
      </c>
      <c r="L195" s="25">
        <v>9.6199999999999992</v>
      </c>
      <c r="M195" s="25">
        <v>7.56</v>
      </c>
      <c r="N195" s="25">
        <f t="shared" si="33"/>
        <v>2.0599999999999996</v>
      </c>
      <c r="O195" s="25" t="s">
        <v>545</v>
      </c>
    </row>
    <row r="196" spans="1:15" x14ac:dyDescent="0.25">
      <c r="A196" s="75">
        <v>45989</v>
      </c>
      <c r="B196" s="25" t="s">
        <v>517</v>
      </c>
      <c r="C196" s="25"/>
      <c r="D196" s="75">
        <f t="shared" si="35"/>
        <v>46012</v>
      </c>
      <c r="E196" s="75">
        <f t="shared" si="36"/>
        <v>45996</v>
      </c>
      <c r="F196" s="75">
        <f t="shared" si="37"/>
        <v>46003</v>
      </c>
      <c r="G196" s="75">
        <f t="shared" si="38"/>
        <v>46009</v>
      </c>
      <c r="H196" s="75">
        <f t="shared" si="39"/>
        <v>45997</v>
      </c>
      <c r="I196" s="75">
        <f t="shared" si="40"/>
        <v>46004</v>
      </c>
      <c r="J196" s="75">
        <v>46015</v>
      </c>
      <c r="K196" s="76">
        <f t="shared" si="34"/>
        <v>26</v>
      </c>
      <c r="L196" s="25">
        <v>10.45</v>
      </c>
      <c r="M196" s="25">
        <v>8.61</v>
      </c>
      <c r="N196" s="25">
        <f t="shared" si="33"/>
        <v>1.8399999999999999</v>
      </c>
      <c r="O196" s="25" t="s">
        <v>545</v>
      </c>
    </row>
    <row r="197" spans="1:15" x14ac:dyDescent="0.25">
      <c r="A197" s="75">
        <v>45989</v>
      </c>
      <c r="B197" s="25" t="s">
        <v>518</v>
      </c>
      <c r="C197" s="25"/>
      <c r="D197" s="75">
        <f t="shared" si="35"/>
        <v>46012</v>
      </c>
      <c r="E197" s="75">
        <f t="shared" si="36"/>
        <v>45996</v>
      </c>
      <c r="F197" s="75">
        <f t="shared" si="37"/>
        <v>46003</v>
      </c>
      <c r="G197" s="75">
        <f t="shared" si="38"/>
        <v>46009</v>
      </c>
      <c r="H197" s="75">
        <f t="shared" si="39"/>
        <v>45997</v>
      </c>
      <c r="I197" s="75">
        <f t="shared" si="40"/>
        <v>46004</v>
      </c>
      <c r="J197" s="75">
        <v>46015</v>
      </c>
      <c r="K197" s="76">
        <f t="shared" si="34"/>
        <v>26</v>
      </c>
      <c r="L197" s="25">
        <v>12.2</v>
      </c>
      <c r="M197" s="25">
        <v>10.18</v>
      </c>
      <c r="N197" s="25">
        <f t="shared" si="33"/>
        <v>2.0199999999999996</v>
      </c>
      <c r="O197" s="25" t="s">
        <v>545</v>
      </c>
    </row>
    <row r="198" spans="1:15" x14ac:dyDescent="0.25">
      <c r="A198" s="75">
        <v>45989</v>
      </c>
      <c r="B198" s="25" t="s">
        <v>519</v>
      </c>
      <c r="C198" s="25"/>
      <c r="D198" s="75">
        <f t="shared" si="35"/>
        <v>46012</v>
      </c>
      <c r="E198" s="75">
        <f t="shared" si="36"/>
        <v>45996</v>
      </c>
      <c r="F198" s="75">
        <f t="shared" si="37"/>
        <v>46003</v>
      </c>
      <c r="G198" s="75">
        <f t="shared" si="38"/>
        <v>46009</v>
      </c>
      <c r="H198" s="75">
        <f t="shared" si="39"/>
        <v>45997</v>
      </c>
      <c r="I198" s="75">
        <f t="shared" si="40"/>
        <v>46004</v>
      </c>
      <c r="J198" s="75">
        <v>46015</v>
      </c>
      <c r="K198" s="76">
        <f t="shared" si="34"/>
        <v>26</v>
      </c>
      <c r="L198" s="25">
        <v>14.91</v>
      </c>
      <c r="M198" s="25">
        <v>13.24</v>
      </c>
      <c r="N198" s="25">
        <f t="shared" si="33"/>
        <v>1.67</v>
      </c>
      <c r="O198" s="25" t="s">
        <v>545</v>
      </c>
    </row>
    <row r="199" spans="1:15" x14ac:dyDescent="0.25">
      <c r="A199" s="75">
        <v>45989</v>
      </c>
      <c r="B199" s="25" t="s">
        <v>520</v>
      </c>
      <c r="C199" s="25"/>
      <c r="D199" s="75">
        <f t="shared" si="35"/>
        <v>46012</v>
      </c>
      <c r="E199" s="75">
        <f t="shared" si="36"/>
        <v>45996</v>
      </c>
      <c r="F199" s="75">
        <f t="shared" si="37"/>
        <v>46003</v>
      </c>
      <c r="G199" s="75">
        <f t="shared" si="38"/>
        <v>46009</v>
      </c>
      <c r="H199" s="75">
        <f t="shared" si="39"/>
        <v>45997</v>
      </c>
      <c r="I199" s="75">
        <f t="shared" si="40"/>
        <v>46004</v>
      </c>
      <c r="J199" s="75">
        <v>46015</v>
      </c>
      <c r="K199" s="76">
        <f t="shared" si="34"/>
        <v>26</v>
      </c>
      <c r="L199" s="25">
        <v>15.18</v>
      </c>
      <c r="M199" s="25">
        <v>13.67</v>
      </c>
      <c r="N199" s="25">
        <f t="shared" si="33"/>
        <v>1.5099999999999998</v>
      </c>
      <c r="O199" s="25" t="s">
        <v>545</v>
      </c>
    </row>
    <row r="200" spans="1:15" x14ac:dyDescent="0.25">
      <c r="A200" s="75">
        <v>45989</v>
      </c>
      <c r="B200" s="25" t="s">
        <v>521</v>
      </c>
      <c r="C200" s="25"/>
      <c r="D200" s="75">
        <f t="shared" si="35"/>
        <v>46012</v>
      </c>
      <c r="E200" s="75">
        <f t="shared" si="36"/>
        <v>45996</v>
      </c>
      <c r="F200" s="75">
        <f t="shared" si="37"/>
        <v>46003</v>
      </c>
      <c r="G200" s="75">
        <f t="shared" si="38"/>
        <v>46009</v>
      </c>
      <c r="H200" s="75">
        <f t="shared" si="39"/>
        <v>45997</v>
      </c>
      <c r="I200" s="75">
        <f t="shared" si="40"/>
        <v>46004</v>
      </c>
      <c r="J200" s="75">
        <v>46015</v>
      </c>
      <c r="K200" s="76">
        <f t="shared" si="34"/>
        <v>26</v>
      </c>
      <c r="L200" s="25">
        <v>14.07</v>
      </c>
      <c r="M200" s="25">
        <v>13.58</v>
      </c>
      <c r="N200" s="25">
        <f t="shared" si="33"/>
        <v>0.49000000000000021</v>
      </c>
      <c r="O200" s="25" t="s">
        <v>545</v>
      </c>
    </row>
    <row r="201" spans="1:15" x14ac:dyDescent="0.25">
      <c r="A201" s="75">
        <v>45990</v>
      </c>
      <c r="B201" s="25" t="s">
        <v>522</v>
      </c>
      <c r="C201" s="25"/>
      <c r="D201" s="75">
        <f t="shared" si="35"/>
        <v>46013</v>
      </c>
      <c r="E201" s="75">
        <f t="shared" si="36"/>
        <v>45997</v>
      </c>
      <c r="F201" s="75">
        <f t="shared" si="37"/>
        <v>46004</v>
      </c>
      <c r="G201" s="75">
        <f t="shared" si="38"/>
        <v>46010</v>
      </c>
      <c r="H201" s="75">
        <f t="shared" si="39"/>
        <v>45998</v>
      </c>
      <c r="I201" s="75">
        <f t="shared" si="40"/>
        <v>46005</v>
      </c>
      <c r="J201" s="75">
        <v>46015</v>
      </c>
      <c r="K201" s="76">
        <f t="shared" si="34"/>
        <v>25</v>
      </c>
      <c r="L201" s="25">
        <v>16.100000000000001</v>
      </c>
      <c r="M201" s="25">
        <v>14.09</v>
      </c>
      <c r="N201" s="25">
        <f t="shared" si="33"/>
        <v>2.0100000000000016</v>
      </c>
      <c r="O201" s="25" t="s">
        <v>545</v>
      </c>
    </row>
    <row r="202" spans="1:15" x14ac:dyDescent="0.25">
      <c r="A202" s="75">
        <v>45990</v>
      </c>
      <c r="B202" s="25" t="s">
        <v>523</v>
      </c>
      <c r="C202" s="25"/>
      <c r="D202" s="75">
        <f t="shared" si="35"/>
        <v>46013</v>
      </c>
      <c r="E202" s="75">
        <f t="shared" si="36"/>
        <v>45997</v>
      </c>
      <c r="F202" s="75">
        <f t="shared" si="37"/>
        <v>46004</v>
      </c>
      <c r="G202" s="75">
        <f t="shared" si="38"/>
        <v>46010</v>
      </c>
      <c r="H202" s="75">
        <f t="shared" si="39"/>
        <v>45998</v>
      </c>
      <c r="I202" s="75">
        <f t="shared" si="40"/>
        <v>46005</v>
      </c>
      <c r="J202" s="75">
        <v>46015</v>
      </c>
      <c r="K202" s="76">
        <f t="shared" si="34"/>
        <v>25</v>
      </c>
      <c r="L202" s="25">
        <v>13.26</v>
      </c>
      <c r="M202" s="25">
        <v>11.12</v>
      </c>
      <c r="N202" s="25">
        <f t="shared" si="33"/>
        <v>2.1400000000000006</v>
      </c>
      <c r="O202" s="25" t="s">
        <v>545</v>
      </c>
    </row>
    <row r="203" spans="1:15" x14ac:dyDescent="0.25">
      <c r="A203" s="75">
        <v>45990</v>
      </c>
      <c r="B203" s="25" t="s">
        <v>524</v>
      </c>
      <c r="C203" s="25"/>
      <c r="D203" s="75">
        <f t="shared" si="35"/>
        <v>46013</v>
      </c>
      <c r="E203" s="75">
        <f t="shared" si="36"/>
        <v>45997</v>
      </c>
      <c r="F203" s="75">
        <f t="shared" si="37"/>
        <v>46004</v>
      </c>
      <c r="G203" s="75">
        <f t="shared" si="38"/>
        <v>46010</v>
      </c>
      <c r="H203" s="75">
        <f t="shared" si="39"/>
        <v>45998</v>
      </c>
      <c r="I203" s="75">
        <f t="shared" si="40"/>
        <v>46005</v>
      </c>
      <c r="J203" s="75">
        <v>46016</v>
      </c>
      <c r="K203" s="76">
        <f t="shared" si="34"/>
        <v>26</v>
      </c>
      <c r="L203" s="25">
        <v>16.39</v>
      </c>
      <c r="M203" s="25">
        <v>9.01</v>
      </c>
      <c r="N203" s="25">
        <f t="shared" si="33"/>
        <v>7.3800000000000008</v>
      </c>
      <c r="O203" s="25" t="s">
        <v>544</v>
      </c>
    </row>
    <row r="204" spans="1:15" x14ac:dyDescent="0.25">
      <c r="A204" s="75">
        <v>45990</v>
      </c>
      <c r="B204" s="25" t="s">
        <v>525</v>
      </c>
      <c r="C204" s="25"/>
      <c r="D204" s="75">
        <f t="shared" si="35"/>
        <v>46013</v>
      </c>
      <c r="E204" s="75">
        <f t="shared" si="36"/>
        <v>45997</v>
      </c>
      <c r="F204" s="75">
        <f t="shared" si="37"/>
        <v>46004</v>
      </c>
      <c r="G204" s="75">
        <f t="shared" si="38"/>
        <v>46010</v>
      </c>
      <c r="H204" s="75">
        <f t="shared" si="39"/>
        <v>45998</v>
      </c>
      <c r="I204" s="75">
        <f t="shared" si="40"/>
        <v>46005</v>
      </c>
      <c r="J204" s="75">
        <v>46016</v>
      </c>
      <c r="K204" s="76">
        <f t="shared" si="34"/>
        <v>26</v>
      </c>
      <c r="L204" s="25">
        <v>15.17</v>
      </c>
      <c r="M204" s="25">
        <v>8.24</v>
      </c>
      <c r="N204" s="25">
        <f t="shared" si="33"/>
        <v>6.93</v>
      </c>
      <c r="O204" s="25" t="s">
        <v>544</v>
      </c>
    </row>
    <row r="205" spans="1:15" x14ac:dyDescent="0.25">
      <c r="A205" s="75">
        <v>45990</v>
      </c>
      <c r="B205" s="25" t="s">
        <v>526</v>
      </c>
      <c r="C205" s="25"/>
      <c r="D205" s="75">
        <f t="shared" si="35"/>
        <v>46013</v>
      </c>
      <c r="E205" s="75">
        <f t="shared" si="36"/>
        <v>45997</v>
      </c>
      <c r="F205" s="75">
        <f t="shared" si="37"/>
        <v>46004</v>
      </c>
      <c r="G205" s="75">
        <f t="shared" si="38"/>
        <v>46010</v>
      </c>
      <c r="H205" s="75">
        <f t="shared" si="39"/>
        <v>45998</v>
      </c>
      <c r="I205" s="75">
        <f t="shared" si="40"/>
        <v>46005</v>
      </c>
      <c r="J205" s="75">
        <v>46016</v>
      </c>
      <c r="K205" s="76">
        <f t="shared" si="34"/>
        <v>26</v>
      </c>
      <c r="L205" s="25">
        <v>15.92</v>
      </c>
      <c r="M205" s="25">
        <v>8.76</v>
      </c>
      <c r="N205" s="25">
        <f t="shared" si="33"/>
        <v>7.16</v>
      </c>
      <c r="O205" s="25" t="s">
        <v>544</v>
      </c>
    </row>
    <row r="206" spans="1:15" x14ac:dyDescent="0.25">
      <c r="A206" s="75">
        <v>45990</v>
      </c>
      <c r="B206" s="25" t="s">
        <v>527</v>
      </c>
      <c r="C206" s="25"/>
      <c r="D206" s="75">
        <f t="shared" si="35"/>
        <v>46013</v>
      </c>
      <c r="E206" s="75">
        <f t="shared" si="36"/>
        <v>45997</v>
      </c>
      <c r="F206" s="75">
        <f t="shared" si="37"/>
        <v>46004</v>
      </c>
      <c r="G206" s="75">
        <f t="shared" si="38"/>
        <v>46010</v>
      </c>
      <c r="H206" s="75">
        <f t="shared" si="39"/>
        <v>45998</v>
      </c>
      <c r="I206" s="75">
        <f t="shared" si="40"/>
        <v>46005</v>
      </c>
      <c r="J206" s="75">
        <v>46016</v>
      </c>
      <c r="K206" s="76">
        <f t="shared" si="34"/>
        <v>26</v>
      </c>
      <c r="L206" s="25">
        <v>16.850000000000001</v>
      </c>
      <c r="M206" s="25">
        <v>9.8699999999999992</v>
      </c>
      <c r="N206" s="25">
        <f t="shared" si="33"/>
        <v>6.9800000000000022</v>
      </c>
      <c r="O206" s="25" t="s">
        <v>544</v>
      </c>
    </row>
    <row r="207" spans="1:15" x14ac:dyDescent="0.25">
      <c r="A207" s="75">
        <v>45990</v>
      </c>
      <c r="B207" s="25" t="s">
        <v>528</v>
      </c>
      <c r="C207" s="25"/>
      <c r="D207" s="75">
        <f t="shared" si="35"/>
        <v>46013</v>
      </c>
      <c r="E207" s="75">
        <f t="shared" si="36"/>
        <v>45997</v>
      </c>
      <c r="F207" s="75">
        <f t="shared" si="37"/>
        <v>46004</v>
      </c>
      <c r="G207" s="75">
        <f t="shared" si="38"/>
        <v>46010</v>
      </c>
      <c r="H207" s="75">
        <f t="shared" si="39"/>
        <v>45998</v>
      </c>
      <c r="I207" s="75">
        <f t="shared" si="40"/>
        <v>46005</v>
      </c>
      <c r="J207" s="75">
        <v>46016</v>
      </c>
      <c r="K207" s="76">
        <f t="shared" si="34"/>
        <v>26</v>
      </c>
      <c r="L207" s="25">
        <v>14.33</v>
      </c>
      <c r="M207" s="25">
        <v>12.78</v>
      </c>
      <c r="N207" s="25">
        <f t="shared" si="33"/>
        <v>1.5500000000000007</v>
      </c>
      <c r="O207" s="25" t="s">
        <v>545</v>
      </c>
    </row>
    <row r="208" spans="1:15" x14ac:dyDescent="0.25">
      <c r="A208" s="75">
        <v>45991</v>
      </c>
      <c r="B208" s="25" t="s">
        <v>410</v>
      </c>
      <c r="C208" s="25"/>
      <c r="D208" s="75">
        <f t="shared" si="35"/>
        <v>46014</v>
      </c>
      <c r="E208" s="75">
        <f t="shared" si="36"/>
        <v>45998</v>
      </c>
      <c r="F208" s="75">
        <f t="shared" si="37"/>
        <v>46005</v>
      </c>
      <c r="G208" s="75">
        <f t="shared" si="38"/>
        <v>46011</v>
      </c>
      <c r="H208" s="75">
        <f t="shared" si="39"/>
        <v>45999</v>
      </c>
      <c r="I208" s="75">
        <f t="shared" si="40"/>
        <v>46006</v>
      </c>
      <c r="J208" s="75">
        <v>46016</v>
      </c>
      <c r="K208" s="76">
        <f>J208-A208</f>
        <v>25</v>
      </c>
      <c r="L208" s="25">
        <v>17.11</v>
      </c>
      <c r="M208" s="25">
        <v>14.27</v>
      </c>
      <c r="N208" s="25">
        <f t="shared" si="33"/>
        <v>2.84</v>
      </c>
      <c r="O208" s="25" t="s">
        <v>545</v>
      </c>
    </row>
    <row r="209" spans="1:15" x14ac:dyDescent="0.25">
      <c r="A209" s="75">
        <v>45991</v>
      </c>
      <c r="B209" s="25" t="s">
        <v>411</v>
      </c>
      <c r="C209" s="25"/>
      <c r="D209" s="75">
        <f t="shared" si="35"/>
        <v>46014</v>
      </c>
      <c r="E209" s="75">
        <f t="shared" si="36"/>
        <v>45998</v>
      </c>
      <c r="F209" s="75">
        <f t="shared" si="37"/>
        <v>46005</v>
      </c>
      <c r="G209" s="75">
        <f t="shared" si="38"/>
        <v>46011</v>
      </c>
      <c r="H209" s="75">
        <f t="shared" si="39"/>
        <v>45999</v>
      </c>
      <c r="I209" s="75">
        <f t="shared" si="40"/>
        <v>46006</v>
      </c>
      <c r="J209" s="75">
        <v>46017</v>
      </c>
      <c r="K209" s="76">
        <f>J209-A209</f>
        <v>26</v>
      </c>
      <c r="L209" s="25">
        <v>17.510000000000002</v>
      </c>
      <c r="M209" s="25">
        <v>9.84</v>
      </c>
      <c r="N209" s="25">
        <f t="shared" si="33"/>
        <v>7.6700000000000017</v>
      </c>
      <c r="O209" s="25" t="s">
        <v>544</v>
      </c>
    </row>
    <row r="210" spans="1:15" x14ac:dyDescent="0.25">
      <c r="A210" s="75">
        <v>45991</v>
      </c>
      <c r="B210" s="25" t="s">
        <v>412</v>
      </c>
      <c r="C210" s="25"/>
      <c r="D210" s="75">
        <f t="shared" si="35"/>
        <v>46014</v>
      </c>
      <c r="E210" s="75">
        <f t="shared" si="36"/>
        <v>45998</v>
      </c>
      <c r="F210" s="75">
        <f t="shared" si="37"/>
        <v>46005</v>
      </c>
      <c r="G210" s="75">
        <f t="shared" si="38"/>
        <v>46011</v>
      </c>
      <c r="H210" s="75">
        <f t="shared" si="39"/>
        <v>45999</v>
      </c>
      <c r="I210" s="75">
        <f t="shared" si="40"/>
        <v>46006</v>
      </c>
      <c r="J210" s="75">
        <v>46017</v>
      </c>
      <c r="K210" s="76">
        <f>J210-A210</f>
        <v>26</v>
      </c>
      <c r="L210" s="25">
        <v>17.36</v>
      </c>
      <c r="M210" s="25">
        <v>9.56</v>
      </c>
      <c r="N210" s="25">
        <f t="shared" si="33"/>
        <v>7.7999999999999989</v>
      </c>
      <c r="O210" s="25" t="s">
        <v>544</v>
      </c>
    </row>
    <row r="211" spans="1:15" x14ac:dyDescent="0.25">
      <c r="A211" s="75">
        <v>45991</v>
      </c>
      <c r="B211" s="25" t="s">
        <v>413</v>
      </c>
      <c r="C211" s="25"/>
      <c r="D211" s="75">
        <f t="shared" si="35"/>
        <v>46014</v>
      </c>
      <c r="E211" s="75">
        <f t="shared" si="36"/>
        <v>45998</v>
      </c>
      <c r="F211" s="75">
        <f t="shared" si="37"/>
        <v>46005</v>
      </c>
      <c r="G211" s="75">
        <f t="shared" si="38"/>
        <v>46011</v>
      </c>
      <c r="H211" s="75">
        <f t="shared" si="39"/>
        <v>45999</v>
      </c>
      <c r="I211" s="75">
        <f t="shared" si="40"/>
        <v>46006</v>
      </c>
      <c r="J211" s="75">
        <v>46017</v>
      </c>
      <c r="K211" s="76">
        <f>J211-A211</f>
        <v>26</v>
      </c>
      <c r="L211" s="25">
        <v>16.91</v>
      </c>
      <c r="M211" s="25">
        <v>15.76</v>
      </c>
      <c r="N211" s="25">
        <f t="shared" si="33"/>
        <v>1.1500000000000004</v>
      </c>
      <c r="O211" s="25" t="s">
        <v>545</v>
      </c>
    </row>
    <row r="212" spans="1:15" x14ac:dyDescent="0.25">
      <c r="A212" s="75">
        <v>45991</v>
      </c>
      <c r="B212" s="25" t="s">
        <v>529</v>
      </c>
      <c r="C212" s="25"/>
      <c r="D212" s="75">
        <f t="shared" si="35"/>
        <v>46014</v>
      </c>
      <c r="E212" s="75">
        <f t="shared" si="36"/>
        <v>45998</v>
      </c>
      <c r="F212" s="75">
        <f t="shared" si="37"/>
        <v>46005</v>
      </c>
      <c r="G212" s="75">
        <f t="shared" si="38"/>
        <v>46011</v>
      </c>
      <c r="H212" s="75">
        <f t="shared" si="39"/>
        <v>45999</v>
      </c>
      <c r="I212" s="75">
        <f t="shared" si="40"/>
        <v>46006</v>
      </c>
      <c r="J212" s="75">
        <v>46016</v>
      </c>
      <c r="K212" s="76">
        <f t="shared" ref="K212:K218" si="41">J212-A212</f>
        <v>25</v>
      </c>
      <c r="L212" s="25">
        <v>15.16</v>
      </c>
      <c r="M212" s="25">
        <v>13.56</v>
      </c>
      <c r="N212" s="25">
        <f t="shared" ref="N212:N218" si="42">L212-M212</f>
        <v>1.5999999999999996</v>
      </c>
      <c r="O212" s="25" t="s">
        <v>545</v>
      </c>
    </row>
    <row r="213" spans="1:15" x14ac:dyDescent="0.25">
      <c r="A213" s="75">
        <v>45991</v>
      </c>
      <c r="B213" s="25" t="s">
        <v>530</v>
      </c>
      <c r="C213" s="25"/>
      <c r="D213" s="75">
        <f t="shared" si="35"/>
        <v>46014</v>
      </c>
      <c r="E213" s="75">
        <f t="shared" si="36"/>
        <v>45998</v>
      </c>
      <c r="F213" s="75">
        <f t="shared" si="37"/>
        <v>46005</v>
      </c>
      <c r="G213" s="75">
        <f t="shared" si="38"/>
        <v>46011</v>
      </c>
      <c r="H213" s="75">
        <f t="shared" si="39"/>
        <v>45999</v>
      </c>
      <c r="I213" s="75">
        <f t="shared" si="40"/>
        <v>46006</v>
      </c>
      <c r="J213" s="75">
        <v>46016</v>
      </c>
      <c r="K213" s="76">
        <f t="shared" si="41"/>
        <v>25</v>
      </c>
      <c r="L213" s="25">
        <v>14.18</v>
      </c>
      <c r="M213" s="25">
        <v>12.21</v>
      </c>
      <c r="N213" s="25">
        <f t="shared" si="42"/>
        <v>1.9699999999999989</v>
      </c>
      <c r="O213" s="25" t="s">
        <v>545</v>
      </c>
    </row>
    <row r="214" spans="1:15" x14ac:dyDescent="0.25">
      <c r="A214" s="75">
        <v>45991</v>
      </c>
      <c r="B214" s="25" t="s">
        <v>558</v>
      </c>
      <c r="C214" s="25"/>
      <c r="D214" s="75">
        <f t="shared" si="35"/>
        <v>46014</v>
      </c>
      <c r="E214" s="75">
        <f t="shared" si="36"/>
        <v>45998</v>
      </c>
      <c r="F214" s="75">
        <f t="shared" si="37"/>
        <v>46005</v>
      </c>
      <c r="G214" s="75">
        <f t="shared" si="38"/>
        <v>46011</v>
      </c>
      <c r="H214" s="75">
        <f t="shared" si="39"/>
        <v>45999</v>
      </c>
      <c r="I214" s="75">
        <f t="shared" si="40"/>
        <v>46006</v>
      </c>
      <c r="J214" s="75">
        <v>46016</v>
      </c>
      <c r="K214" s="76">
        <f t="shared" si="41"/>
        <v>25</v>
      </c>
      <c r="L214" s="25">
        <v>16.5</v>
      </c>
      <c r="M214" s="25">
        <v>14.19</v>
      </c>
      <c r="N214" s="25">
        <f t="shared" si="42"/>
        <v>2.3100000000000005</v>
      </c>
      <c r="O214" s="25" t="s">
        <v>545</v>
      </c>
    </row>
    <row r="215" spans="1:15" x14ac:dyDescent="0.25">
      <c r="A215" s="75">
        <v>45992</v>
      </c>
      <c r="B215" s="25" t="s">
        <v>414</v>
      </c>
      <c r="C215" s="25"/>
      <c r="D215" s="75">
        <f t="shared" si="35"/>
        <v>46015</v>
      </c>
      <c r="E215" s="75">
        <f t="shared" si="36"/>
        <v>45999</v>
      </c>
      <c r="F215" s="75">
        <f t="shared" si="37"/>
        <v>46006</v>
      </c>
      <c r="G215" s="75">
        <f t="shared" si="38"/>
        <v>46012</v>
      </c>
      <c r="H215" s="75">
        <f t="shared" si="39"/>
        <v>46000</v>
      </c>
      <c r="I215" s="75">
        <f t="shared" si="40"/>
        <v>46007</v>
      </c>
      <c r="J215" s="75">
        <v>46017</v>
      </c>
      <c r="K215" s="76">
        <f t="shared" si="41"/>
        <v>25</v>
      </c>
      <c r="L215" s="25">
        <v>15.8</v>
      </c>
      <c r="M215" s="25">
        <v>14.92</v>
      </c>
      <c r="N215" s="25">
        <f t="shared" si="42"/>
        <v>0.88000000000000078</v>
      </c>
      <c r="O215" s="25" t="s">
        <v>545</v>
      </c>
    </row>
    <row r="216" spans="1:15" x14ac:dyDescent="0.25">
      <c r="A216" s="75">
        <v>45992</v>
      </c>
      <c r="B216" s="25" t="s">
        <v>415</v>
      </c>
      <c r="C216" s="25"/>
      <c r="D216" s="75">
        <f t="shared" si="35"/>
        <v>46015</v>
      </c>
      <c r="E216" s="75">
        <f t="shared" si="36"/>
        <v>45999</v>
      </c>
      <c r="F216" s="75">
        <f t="shared" si="37"/>
        <v>46006</v>
      </c>
      <c r="G216" s="75">
        <f t="shared" si="38"/>
        <v>46012</v>
      </c>
      <c r="H216" s="75">
        <f t="shared" si="39"/>
        <v>46000</v>
      </c>
      <c r="I216" s="75">
        <f t="shared" si="40"/>
        <v>46007</v>
      </c>
      <c r="J216" s="75">
        <v>46017</v>
      </c>
      <c r="K216" s="76">
        <f t="shared" si="41"/>
        <v>25</v>
      </c>
      <c r="L216" s="25">
        <v>16.68</v>
      </c>
      <c r="M216" s="25">
        <v>15.51</v>
      </c>
      <c r="N216" s="25">
        <f t="shared" si="42"/>
        <v>1.17</v>
      </c>
      <c r="O216" s="25" t="s">
        <v>545</v>
      </c>
    </row>
    <row r="217" spans="1:15" x14ac:dyDescent="0.25">
      <c r="A217" s="75">
        <v>45992</v>
      </c>
      <c r="B217" s="25" t="s">
        <v>416</v>
      </c>
      <c r="C217" s="25"/>
      <c r="D217" s="75">
        <f t="shared" si="35"/>
        <v>46015</v>
      </c>
      <c r="E217" s="75">
        <f t="shared" si="36"/>
        <v>45999</v>
      </c>
      <c r="F217" s="75">
        <f t="shared" si="37"/>
        <v>46006</v>
      </c>
      <c r="G217" s="75">
        <f t="shared" si="38"/>
        <v>46012</v>
      </c>
      <c r="H217" s="75">
        <f t="shared" si="39"/>
        <v>46000</v>
      </c>
      <c r="I217" s="75">
        <f t="shared" si="40"/>
        <v>46007</v>
      </c>
      <c r="J217" s="75">
        <v>46017</v>
      </c>
      <c r="K217" s="76">
        <f t="shared" si="41"/>
        <v>25</v>
      </c>
      <c r="L217" s="25">
        <v>14.62</v>
      </c>
      <c r="M217" s="25">
        <v>13.04</v>
      </c>
      <c r="N217" s="25">
        <f t="shared" si="42"/>
        <v>1.58</v>
      </c>
      <c r="O217" s="25" t="s">
        <v>545</v>
      </c>
    </row>
    <row r="218" spans="1:15" x14ac:dyDescent="0.25">
      <c r="A218" s="75">
        <v>45992</v>
      </c>
      <c r="B218" s="25" t="s">
        <v>376</v>
      </c>
      <c r="C218" s="25"/>
      <c r="D218" s="75">
        <f t="shared" si="35"/>
        <v>46015</v>
      </c>
      <c r="E218" s="75">
        <f t="shared" si="36"/>
        <v>45999</v>
      </c>
      <c r="F218" s="75">
        <f t="shared" si="37"/>
        <v>46006</v>
      </c>
      <c r="G218" s="75">
        <f t="shared" si="38"/>
        <v>46012</v>
      </c>
      <c r="H218" s="75">
        <f t="shared" si="39"/>
        <v>46000</v>
      </c>
      <c r="I218" s="75">
        <f t="shared" si="40"/>
        <v>46007</v>
      </c>
      <c r="J218" s="75">
        <v>46018</v>
      </c>
      <c r="K218" s="76">
        <f t="shared" si="41"/>
        <v>26</v>
      </c>
      <c r="L218" s="25">
        <v>16.28</v>
      </c>
      <c r="M218" s="25">
        <v>8.23</v>
      </c>
      <c r="N218" s="25">
        <f t="shared" si="42"/>
        <v>8.0500000000000007</v>
      </c>
      <c r="O218" s="25" t="s">
        <v>544</v>
      </c>
    </row>
    <row r="219" spans="1:15" x14ac:dyDescent="0.25">
      <c r="A219" s="75">
        <v>45992</v>
      </c>
      <c r="B219" s="25" t="s">
        <v>377</v>
      </c>
      <c r="C219" s="25"/>
      <c r="D219" s="75">
        <f t="shared" si="35"/>
        <v>46015</v>
      </c>
      <c r="E219" s="75">
        <f t="shared" si="36"/>
        <v>45999</v>
      </c>
      <c r="F219" s="75">
        <f t="shared" si="37"/>
        <v>46006</v>
      </c>
      <c r="G219" s="75">
        <f t="shared" si="38"/>
        <v>46012</v>
      </c>
      <c r="H219" s="75">
        <f t="shared" si="39"/>
        <v>46000</v>
      </c>
      <c r="I219" s="75">
        <f t="shared" si="40"/>
        <v>46007</v>
      </c>
      <c r="J219" s="75">
        <v>46017</v>
      </c>
      <c r="K219" s="76">
        <f t="shared" ref="K219:K225" si="43">J219-A219</f>
        <v>25</v>
      </c>
      <c r="L219" s="25">
        <v>14.43</v>
      </c>
      <c r="M219" s="25">
        <v>12.77</v>
      </c>
      <c r="N219" s="25">
        <f t="shared" ref="N219:N230" si="44">L219-M219</f>
        <v>1.6600000000000001</v>
      </c>
      <c r="O219" s="25" t="s">
        <v>545</v>
      </c>
    </row>
    <row r="220" spans="1:15" x14ac:dyDescent="0.25">
      <c r="A220" s="75">
        <v>45992</v>
      </c>
      <c r="B220" s="25" t="s">
        <v>378</v>
      </c>
      <c r="C220" s="25"/>
      <c r="D220" s="75">
        <f t="shared" si="35"/>
        <v>46015</v>
      </c>
      <c r="E220" s="75">
        <f t="shared" si="36"/>
        <v>45999</v>
      </c>
      <c r="F220" s="75">
        <f t="shared" si="37"/>
        <v>46006</v>
      </c>
      <c r="G220" s="75">
        <f t="shared" si="38"/>
        <v>46012</v>
      </c>
      <c r="H220" s="75">
        <f t="shared" si="39"/>
        <v>46000</v>
      </c>
      <c r="I220" s="75">
        <f t="shared" si="40"/>
        <v>46007</v>
      </c>
      <c r="J220" s="75">
        <v>46017</v>
      </c>
      <c r="K220" s="76">
        <f t="shared" si="43"/>
        <v>25</v>
      </c>
      <c r="L220" s="25">
        <v>16.77</v>
      </c>
      <c r="M220" s="25">
        <v>14.85</v>
      </c>
      <c r="N220" s="25">
        <f t="shared" si="44"/>
        <v>1.92</v>
      </c>
      <c r="O220" s="25" t="s">
        <v>545</v>
      </c>
    </row>
    <row r="221" spans="1:15" x14ac:dyDescent="0.25">
      <c r="A221" s="75">
        <v>45992</v>
      </c>
      <c r="B221" s="25" t="s">
        <v>379</v>
      </c>
      <c r="C221" s="25"/>
      <c r="D221" s="75">
        <f t="shared" si="35"/>
        <v>46015</v>
      </c>
      <c r="E221" s="75">
        <f t="shared" si="36"/>
        <v>45999</v>
      </c>
      <c r="F221" s="75">
        <f t="shared" si="37"/>
        <v>46006</v>
      </c>
      <c r="G221" s="75">
        <f t="shared" si="38"/>
        <v>46012</v>
      </c>
      <c r="H221" s="75">
        <f t="shared" si="39"/>
        <v>46000</v>
      </c>
      <c r="I221" s="75">
        <f t="shared" si="40"/>
        <v>46007</v>
      </c>
      <c r="J221" s="75">
        <v>46017</v>
      </c>
      <c r="K221" s="76">
        <f t="shared" si="43"/>
        <v>25</v>
      </c>
      <c r="L221" s="25">
        <v>15.11</v>
      </c>
      <c r="M221" s="25">
        <v>13.79</v>
      </c>
      <c r="N221" s="25">
        <f t="shared" si="44"/>
        <v>1.3200000000000003</v>
      </c>
      <c r="O221" s="25" t="s">
        <v>545</v>
      </c>
    </row>
    <row r="222" spans="1:15" x14ac:dyDescent="0.25">
      <c r="A222" s="75">
        <v>45994</v>
      </c>
      <c r="B222" s="25" t="s">
        <v>373</v>
      </c>
      <c r="C222" s="25"/>
      <c r="D222" s="75">
        <f t="shared" si="35"/>
        <v>46017</v>
      </c>
      <c r="E222" s="75">
        <f t="shared" si="36"/>
        <v>46001</v>
      </c>
      <c r="F222" s="75">
        <f t="shared" si="37"/>
        <v>46008</v>
      </c>
      <c r="G222" s="75">
        <f t="shared" si="38"/>
        <v>46014</v>
      </c>
      <c r="H222" s="75">
        <f t="shared" si="39"/>
        <v>46002</v>
      </c>
      <c r="I222" s="75">
        <f t="shared" si="40"/>
        <v>46009</v>
      </c>
      <c r="J222" s="75">
        <v>46018</v>
      </c>
      <c r="K222" s="76">
        <f t="shared" si="43"/>
        <v>24</v>
      </c>
      <c r="L222" s="25">
        <v>16.170000000000002</v>
      </c>
      <c r="M222" s="25">
        <v>8.19</v>
      </c>
      <c r="N222" s="25">
        <f t="shared" si="44"/>
        <v>7.9800000000000022</v>
      </c>
      <c r="O222" s="25" t="s">
        <v>544</v>
      </c>
    </row>
    <row r="223" spans="1:15" x14ac:dyDescent="0.25">
      <c r="A223" s="75">
        <v>45994</v>
      </c>
      <c r="B223" s="25" t="s">
        <v>374</v>
      </c>
      <c r="C223" s="25"/>
      <c r="D223" s="75">
        <f t="shared" si="35"/>
        <v>46017</v>
      </c>
      <c r="E223" s="75">
        <f t="shared" si="36"/>
        <v>46001</v>
      </c>
      <c r="F223" s="75">
        <f t="shared" si="37"/>
        <v>46008</v>
      </c>
      <c r="G223" s="75">
        <f t="shared" si="38"/>
        <v>46014</v>
      </c>
      <c r="H223" s="75">
        <f t="shared" si="39"/>
        <v>46002</v>
      </c>
      <c r="I223" s="75">
        <f t="shared" si="40"/>
        <v>46009</v>
      </c>
      <c r="J223" s="75">
        <v>46018</v>
      </c>
      <c r="K223" s="76">
        <f t="shared" si="43"/>
        <v>24</v>
      </c>
      <c r="L223" s="25">
        <v>15.22</v>
      </c>
      <c r="M223" s="25">
        <v>7.81</v>
      </c>
      <c r="N223" s="25">
        <f t="shared" si="44"/>
        <v>7.410000000000001</v>
      </c>
      <c r="O223" s="25" t="s">
        <v>544</v>
      </c>
    </row>
    <row r="224" spans="1:15" x14ac:dyDescent="0.25">
      <c r="A224" s="75">
        <v>45994</v>
      </c>
      <c r="B224" s="25" t="s">
        <v>375</v>
      </c>
      <c r="C224" s="25"/>
      <c r="D224" s="75">
        <f t="shared" si="35"/>
        <v>46017</v>
      </c>
      <c r="E224" s="75">
        <f t="shared" si="36"/>
        <v>46001</v>
      </c>
      <c r="F224" s="75">
        <f t="shared" si="37"/>
        <v>46008</v>
      </c>
      <c r="G224" s="75">
        <f t="shared" si="38"/>
        <v>46014</v>
      </c>
      <c r="H224" s="75">
        <f t="shared" si="39"/>
        <v>46002</v>
      </c>
      <c r="I224" s="75">
        <f t="shared" si="40"/>
        <v>46009</v>
      </c>
      <c r="J224" s="75">
        <v>46018</v>
      </c>
      <c r="K224" s="76">
        <f t="shared" si="43"/>
        <v>24</v>
      </c>
      <c r="L224" s="25">
        <v>15.1</v>
      </c>
      <c r="M224" s="25">
        <v>7.56</v>
      </c>
      <c r="N224" s="25">
        <f t="shared" si="44"/>
        <v>7.54</v>
      </c>
      <c r="O224" s="25" t="s">
        <v>544</v>
      </c>
    </row>
    <row r="225" spans="1:15" x14ac:dyDescent="0.25">
      <c r="A225" s="75">
        <v>45994</v>
      </c>
      <c r="B225" s="25" t="s">
        <v>404</v>
      </c>
      <c r="C225" s="25"/>
      <c r="D225" s="75">
        <f t="shared" si="35"/>
        <v>46017</v>
      </c>
      <c r="E225" s="75">
        <f t="shared" si="36"/>
        <v>46001</v>
      </c>
      <c r="F225" s="75">
        <f t="shared" si="37"/>
        <v>46008</v>
      </c>
      <c r="G225" s="75">
        <f t="shared" si="38"/>
        <v>46014</v>
      </c>
      <c r="H225" s="75">
        <f t="shared" si="39"/>
        <v>46002</v>
      </c>
      <c r="I225" s="75">
        <f t="shared" si="40"/>
        <v>46009</v>
      </c>
      <c r="J225" s="75">
        <v>46018</v>
      </c>
      <c r="K225" s="76">
        <f t="shared" si="43"/>
        <v>24</v>
      </c>
      <c r="L225" s="25">
        <v>16.41</v>
      </c>
      <c r="M225" s="25">
        <v>14.18</v>
      </c>
      <c r="N225" s="25">
        <f t="shared" si="44"/>
        <v>2.2300000000000004</v>
      </c>
      <c r="O225" s="25" t="s">
        <v>545</v>
      </c>
    </row>
    <row r="226" spans="1:15" x14ac:dyDescent="0.25">
      <c r="A226" s="75">
        <v>45994</v>
      </c>
      <c r="B226" s="25" t="s">
        <v>405</v>
      </c>
      <c r="C226" s="25"/>
      <c r="D226" s="75">
        <f t="shared" si="35"/>
        <v>46017</v>
      </c>
      <c r="E226" s="75">
        <f t="shared" si="36"/>
        <v>46001</v>
      </c>
      <c r="F226" s="75">
        <f t="shared" si="37"/>
        <v>46008</v>
      </c>
      <c r="G226" s="75">
        <f t="shared" si="38"/>
        <v>46014</v>
      </c>
      <c r="H226" s="75">
        <f t="shared" si="39"/>
        <v>46002</v>
      </c>
      <c r="I226" s="75">
        <f t="shared" si="40"/>
        <v>46009</v>
      </c>
      <c r="J226" s="75">
        <v>46018</v>
      </c>
      <c r="K226" s="76">
        <f t="shared" ref="K226:K235" si="45">J226-A226</f>
        <v>24</v>
      </c>
      <c r="L226" s="25">
        <v>15.28</v>
      </c>
      <c r="M226" s="25">
        <v>13.98</v>
      </c>
      <c r="N226" s="25">
        <f t="shared" si="44"/>
        <v>1.2999999999999989</v>
      </c>
      <c r="O226" s="25" t="s">
        <v>545</v>
      </c>
    </row>
    <row r="227" spans="1:15" x14ac:dyDescent="0.25">
      <c r="A227" s="75">
        <v>45994</v>
      </c>
      <c r="B227" s="25" t="s">
        <v>406</v>
      </c>
      <c r="C227" s="25"/>
      <c r="D227" s="75">
        <f t="shared" si="35"/>
        <v>46017</v>
      </c>
      <c r="E227" s="75">
        <f t="shared" si="36"/>
        <v>46001</v>
      </c>
      <c r="F227" s="75">
        <f t="shared" si="37"/>
        <v>46008</v>
      </c>
      <c r="G227" s="75">
        <f t="shared" si="38"/>
        <v>46014</v>
      </c>
      <c r="H227" s="75">
        <f t="shared" si="39"/>
        <v>46002</v>
      </c>
      <c r="I227" s="75">
        <f t="shared" si="40"/>
        <v>46009</v>
      </c>
      <c r="J227" s="75">
        <v>46018</v>
      </c>
      <c r="K227" s="76">
        <f t="shared" si="45"/>
        <v>24</v>
      </c>
      <c r="L227" s="25">
        <v>17.36</v>
      </c>
      <c r="M227" s="25">
        <v>15.86</v>
      </c>
      <c r="N227" s="25">
        <f t="shared" si="44"/>
        <v>1.5</v>
      </c>
      <c r="O227" s="25" t="s">
        <v>545</v>
      </c>
    </row>
    <row r="228" spans="1:15" x14ac:dyDescent="0.25">
      <c r="A228" s="75">
        <v>45994</v>
      </c>
      <c r="B228" s="25" t="s">
        <v>407</v>
      </c>
      <c r="C228" s="25"/>
      <c r="D228" s="75">
        <f t="shared" si="35"/>
        <v>46017</v>
      </c>
      <c r="E228" s="75">
        <f t="shared" si="36"/>
        <v>46001</v>
      </c>
      <c r="F228" s="75">
        <f t="shared" si="37"/>
        <v>46008</v>
      </c>
      <c r="G228" s="75">
        <f t="shared" si="38"/>
        <v>46014</v>
      </c>
      <c r="H228" s="75">
        <f t="shared" si="39"/>
        <v>46002</v>
      </c>
      <c r="I228" s="75">
        <f t="shared" si="40"/>
        <v>46009</v>
      </c>
      <c r="J228" s="75">
        <v>46018</v>
      </c>
      <c r="K228" s="76">
        <f t="shared" si="45"/>
        <v>24</v>
      </c>
      <c r="L228" s="25">
        <v>15.13</v>
      </c>
      <c r="M228" s="25">
        <v>13.74</v>
      </c>
      <c r="N228" s="25">
        <f t="shared" si="44"/>
        <v>1.3900000000000006</v>
      </c>
      <c r="O228" s="25" t="s">
        <v>545</v>
      </c>
    </row>
    <row r="229" spans="1:15" x14ac:dyDescent="0.25">
      <c r="A229" s="75">
        <v>45994</v>
      </c>
      <c r="B229" s="25" t="s">
        <v>408</v>
      </c>
      <c r="C229" s="25"/>
      <c r="D229" s="75">
        <f t="shared" si="35"/>
        <v>46017</v>
      </c>
      <c r="E229" s="75">
        <f t="shared" si="36"/>
        <v>46001</v>
      </c>
      <c r="F229" s="75">
        <f t="shared" si="37"/>
        <v>46008</v>
      </c>
      <c r="G229" s="75">
        <f t="shared" si="38"/>
        <v>46014</v>
      </c>
      <c r="H229" s="75">
        <f t="shared" si="39"/>
        <v>46002</v>
      </c>
      <c r="I229" s="75">
        <f t="shared" si="40"/>
        <v>46009</v>
      </c>
      <c r="J229" s="75">
        <v>46018</v>
      </c>
      <c r="K229" s="76">
        <f t="shared" si="45"/>
        <v>24</v>
      </c>
      <c r="L229" s="25">
        <v>17.079999999999998</v>
      </c>
      <c r="M229" s="25">
        <v>14.91</v>
      </c>
      <c r="N229" s="25">
        <f t="shared" si="44"/>
        <v>2.1699999999999982</v>
      </c>
      <c r="O229" s="25" t="s">
        <v>545</v>
      </c>
    </row>
    <row r="230" spans="1:15" x14ac:dyDescent="0.25">
      <c r="A230" s="75">
        <v>45994</v>
      </c>
      <c r="B230" s="25" t="s">
        <v>409</v>
      </c>
      <c r="C230" s="25"/>
      <c r="D230" s="75">
        <f t="shared" si="35"/>
        <v>46017</v>
      </c>
      <c r="E230" s="75">
        <f t="shared" si="36"/>
        <v>46001</v>
      </c>
      <c r="F230" s="75">
        <f t="shared" si="37"/>
        <v>46008</v>
      </c>
      <c r="G230" s="75">
        <f t="shared" si="38"/>
        <v>46014</v>
      </c>
      <c r="H230" s="75">
        <f t="shared" si="39"/>
        <v>46002</v>
      </c>
      <c r="I230" s="75">
        <f t="shared" si="40"/>
        <v>46009</v>
      </c>
      <c r="J230" s="75">
        <v>46018</v>
      </c>
      <c r="K230" s="76">
        <f t="shared" si="45"/>
        <v>24</v>
      </c>
      <c r="L230" s="25">
        <v>16.850000000000001</v>
      </c>
      <c r="M230" s="25">
        <v>14.58</v>
      </c>
      <c r="N230" s="25">
        <f t="shared" si="44"/>
        <v>2.2700000000000014</v>
      </c>
      <c r="O230" s="25" t="s">
        <v>545</v>
      </c>
    </row>
    <row r="231" spans="1:15" x14ac:dyDescent="0.25">
      <c r="A231" s="75">
        <v>45995</v>
      </c>
      <c r="B231" s="25" t="s">
        <v>369</v>
      </c>
      <c r="C231" s="25"/>
      <c r="D231" s="75">
        <f t="shared" si="35"/>
        <v>46018</v>
      </c>
      <c r="E231" s="75">
        <f t="shared" si="36"/>
        <v>46002</v>
      </c>
      <c r="F231" s="75">
        <f t="shared" si="37"/>
        <v>46009</v>
      </c>
      <c r="G231" s="75">
        <f t="shared" si="38"/>
        <v>46015</v>
      </c>
      <c r="H231" s="75">
        <f t="shared" si="39"/>
        <v>46003</v>
      </c>
      <c r="I231" s="75">
        <f t="shared" si="40"/>
        <v>46010</v>
      </c>
      <c r="J231" s="75">
        <v>46019</v>
      </c>
      <c r="K231" s="76">
        <f t="shared" si="45"/>
        <v>24</v>
      </c>
      <c r="L231" s="25">
        <v>14.27</v>
      </c>
      <c r="M231" s="25">
        <v>7.16</v>
      </c>
      <c r="N231" s="25">
        <f>L231-M231</f>
        <v>7.1099999999999994</v>
      </c>
      <c r="O231" s="25" t="s">
        <v>544</v>
      </c>
    </row>
    <row r="232" spans="1:15" x14ac:dyDescent="0.25">
      <c r="A232" s="75">
        <v>45995</v>
      </c>
      <c r="B232" s="25" t="s">
        <v>370</v>
      </c>
      <c r="C232" s="25"/>
      <c r="D232" s="75">
        <f t="shared" si="35"/>
        <v>46018</v>
      </c>
      <c r="E232" s="75">
        <f t="shared" si="36"/>
        <v>46002</v>
      </c>
      <c r="F232" s="75">
        <f t="shared" si="37"/>
        <v>46009</v>
      </c>
      <c r="G232" s="75">
        <f t="shared" si="38"/>
        <v>46015</v>
      </c>
      <c r="H232" s="75">
        <f t="shared" si="39"/>
        <v>46003</v>
      </c>
      <c r="I232" s="75">
        <f t="shared" si="40"/>
        <v>46010</v>
      </c>
      <c r="J232" s="75">
        <v>46019</v>
      </c>
      <c r="K232" s="76">
        <f t="shared" si="45"/>
        <v>24</v>
      </c>
      <c r="L232" s="25">
        <v>14.39</v>
      </c>
      <c r="M232" s="25">
        <v>7.2</v>
      </c>
      <c r="N232" s="25">
        <f>L232-M232</f>
        <v>7.19</v>
      </c>
      <c r="O232" s="25" t="s">
        <v>544</v>
      </c>
    </row>
    <row r="233" spans="1:15" x14ac:dyDescent="0.25">
      <c r="A233" s="75">
        <v>45995</v>
      </c>
      <c r="B233" s="25" t="s">
        <v>371</v>
      </c>
      <c r="C233" s="25"/>
      <c r="D233" s="75">
        <f t="shared" si="35"/>
        <v>46018</v>
      </c>
      <c r="E233" s="75">
        <f t="shared" si="36"/>
        <v>46002</v>
      </c>
      <c r="F233" s="75">
        <f t="shared" si="37"/>
        <v>46009</v>
      </c>
      <c r="G233" s="75">
        <f t="shared" si="38"/>
        <v>46015</v>
      </c>
      <c r="H233" s="75">
        <f t="shared" si="39"/>
        <v>46003</v>
      </c>
      <c r="I233" s="75">
        <f t="shared" si="40"/>
        <v>46010</v>
      </c>
      <c r="J233" s="75">
        <v>46019</v>
      </c>
      <c r="K233" s="76">
        <f t="shared" si="45"/>
        <v>24</v>
      </c>
      <c r="L233" s="25">
        <v>13.56</v>
      </c>
      <c r="M233" s="25">
        <v>6.92</v>
      </c>
      <c r="N233" s="25">
        <f>L233-M233</f>
        <v>6.6400000000000006</v>
      </c>
      <c r="O233" s="25" t="s">
        <v>544</v>
      </c>
    </row>
    <row r="234" spans="1:15" x14ac:dyDescent="0.25">
      <c r="A234" s="75">
        <v>45995</v>
      </c>
      <c r="B234" s="25" t="s">
        <v>372</v>
      </c>
      <c r="C234" s="25"/>
      <c r="D234" s="75">
        <f t="shared" si="35"/>
        <v>46018</v>
      </c>
      <c r="E234" s="75">
        <f t="shared" si="36"/>
        <v>46002</v>
      </c>
      <c r="F234" s="75">
        <f t="shared" si="37"/>
        <v>46009</v>
      </c>
      <c r="G234" s="75">
        <f t="shared" si="38"/>
        <v>46015</v>
      </c>
      <c r="H234" s="75">
        <f t="shared" si="39"/>
        <v>46003</v>
      </c>
      <c r="I234" s="75">
        <f t="shared" si="40"/>
        <v>46010</v>
      </c>
      <c r="J234" s="75">
        <v>46019</v>
      </c>
      <c r="K234" s="76">
        <f t="shared" si="45"/>
        <v>24</v>
      </c>
      <c r="L234" s="25">
        <v>14.16</v>
      </c>
      <c r="M234" s="25">
        <v>7.03</v>
      </c>
      <c r="N234" s="25">
        <f>L234-M234</f>
        <v>7.13</v>
      </c>
      <c r="O234" s="25" t="s">
        <v>544</v>
      </c>
    </row>
    <row r="235" spans="1:15" x14ac:dyDescent="0.25">
      <c r="A235" s="75">
        <v>45995</v>
      </c>
      <c r="B235" s="25" t="s">
        <v>403</v>
      </c>
      <c r="C235" s="25"/>
      <c r="D235" s="75">
        <f t="shared" si="35"/>
        <v>46018</v>
      </c>
      <c r="E235" s="75">
        <f t="shared" si="36"/>
        <v>46002</v>
      </c>
      <c r="F235" s="75">
        <f t="shared" si="37"/>
        <v>46009</v>
      </c>
      <c r="G235" s="75">
        <f t="shared" si="38"/>
        <v>46015</v>
      </c>
      <c r="H235" s="75">
        <f t="shared" si="39"/>
        <v>46003</v>
      </c>
      <c r="I235" s="75">
        <f t="shared" si="40"/>
        <v>46010</v>
      </c>
      <c r="J235" s="75">
        <v>46019</v>
      </c>
      <c r="K235" s="76">
        <f t="shared" si="45"/>
        <v>24</v>
      </c>
      <c r="L235" s="25">
        <v>11.73</v>
      </c>
      <c r="M235" s="25">
        <v>5.56</v>
      </c>
      <c r="N235" s="25">
        <f>L235-M235</f>
        <v>6.1700000000000008</v>
      </c>
      <c r="O235" s="25" t="s">
        <v>544</v>
      </c>
    </row>
    <row r="236" spans="1:15" x14ac:dyDescent="0.25">
      <c r="A236" s="75">
        <v>45995</v>
      </c>
      <c r="B236" s="25" t="s">
        <v>417</v>
      </c>
      <c r="C236" s="25"/>
      <c r="D236" s="75">
        <f t="shared" ref="D236:D251" si="46">A236+23</f>
        <v>46018</v>
      </c>
      <c r="E236" s="75">
        <f t="shared" ref="E236:E251" si="47">A236+7</f>
        <v>46002</v>
      </c>
      <c r="F236" s="75">
        <f t="shared" ref="F236:F251" si="48">A236+14</f>
        <v>46009</v>
      </c>
      <c r="G236" s="75">
        <f t="shared" ref="G236:G251" si="49">A236+20</f>
        <v>46015</v>
      </c>
      <c r="H236" s="75">
        <f t="shared" ref="H236:H251" si="50">A236+8</f>
        <v>46003</v>
      </c>
      <c r="I236" s="75">
        <f t="shared" ref="I236:I251" si="51">A236+15</f>
        <v>46010</v>
      </c>
      <c r="J236" s="75">
        <v>46020</v>
      </c>
      <c r="K236" s="76">
        <f t="shared" ref="K236:K247" si="52">J236-A236</f>
        <v>25</v>
      </c>
      <c r="L236" s="25">
        <v>11.39</v>
      </c>
      <c r="M236" s="25">
        <v>5.25</v>
      </c>
      <c r="N236" s="25">
        <f t="shared" ref="N236:N249" si="53">L236-M236</f>
        <v>6.1400000000000006</v>
      </c>
      <c r="O236" s="25" t="s">
        <v>544</v>
      </c>
    </row>
    <row r="237" spans="1:15" x14ac:dyDescent="0.25">
      <c r="A237" s="75">
        <v>45995</v>
      </c>
      <c r="B237" s="25" t="s">
        <v>419</v>
      </c>
      <c r="C237" s="25"/>
      <c r="D237" s="75">
        <f t="shared" si="46"/>
        <v>46018</v>
      </c>
      <c r="E237" s="75">
        <f t="shared" si="47"/>
        <v>46002</v>
      </c>
      <c r="F237" s="75">
        <f t="shared" si="48"/>
        <v>46009</v>
      </c>
      <c r="G237" s="75">
        <f t="shared" si="49"/>
        <v>46015</v>
      </c>
      <c r="H237" s="75">
        <f t="shared" si="50"/>
        <v>46003</v>
      </c>
      <c r="I237" s="75">
        <f t="shared" si="51"/>
        <v>46010</v>
      </c>
      <c r="J237" s="75">
        <v>46020</v>
      </c>
      <c r="K237" s="76">
        <f t="shared" si="52"/>
        <v>25</v>
      </c>
      <c r="L237" s="25">
        <v>10.67</v>
      </c>
      <c r="M237" s="25">
        <v>4.1399999999999997</v>
      </c>
      <c r="N237" s="25">
        <f t="shared" si="53"/>
        <v>6.53</v>
      </c>
      <c r="O237" s="25" t="s">
        <v>544</v>
      </c>
    </row>
    <row r="238" spans="1:15" x14ac:dyDescent="0.25">
      <c r="A238" s="75">
        <v>45995</v>
      </c>
      <c r="B238" s="25" t="s">
        <v>421</v>
      </c>
      <c r="C238" s="25"/>
      <c r="D238" s="75">
        <f t="shared" si="46"/>
        <v>46018</v>
      </c>
      <c r="E238" s="75">
        <f t="shared" si="47"/>
        <v>46002</v>
      </c>
      <c r="F238" s="75">
        <f t="shared" si="48"/>
        <v>46009</v>
      </c>
      <c r="G238" s="75">
        <f t="shared" si="49"/>
        <v>46015</v>
      </c>
      <c r="H238" s="75">
        <f t="shared" si="50"/>
        <v>46003</v>
      </c>
      <c r="I238" s="75">
        <f t="shared" si="51"/>
        <v>46010</v>
      </c>
      <c r="J238" s="75">
        <v>46020</v>
      </c>
      <c r="K238" s="76">
        <f t="shared" si="52"/>
        <v>25</v>
      </c>
      <c r="L238" s="25">
        <v>10.210000000000001</v>
      </c>
      <c r="M238" s="25">
        <v>3.81</v>
      </c>
      <c r="N238" s="25">
        <f t="shared" si="53"/>
        <v>6.4</v>
      </c>
      <c r="O238" s="25" t="s">
        <v>544</v>
      </c>
    </row>
    <row r="239" spans="1:15" x14ac:dyDescent="0.25">
      <c r="A239" s="75">
        <v>45996</v>
      </c>
      <c r="B239" s="25" t="s">
        <v>418</v>
      </c>
      <c r="C239" s="25"/>
      <c r="D239" s="75">
        <f t="shared" si="46"/>
        <v>46019</v>
      </c>
      <c r="E239" s="75">
        <f t="shared" si="47"/>
        <v>46003</v>
      </c>
      <c r="F239" s="75">
        <f t="shared" si="48"/>
        <v>46010</v>
      </c>
      <c r="G239" s="75">
        <f t="shared" si="49"/>
        <v>46016</v>
      </c>
      <c r="H239" s="75">
        <f t="shared" si="50"/>
        <v>46004</v>
      </c>
      <c r="I239" s="75">
        <f t="shared" si="51"/>
        <v>46011</v>
      </c>
      <c r="J239" s="75">
        <v>46020</v>
      </c>
      <c r="K239" s="76">
        <f t="shared" si="52"/>
        <v>24</v>
      </c>
      <c r="L239" s="25">
        <v>11.12</v>
      </c>
      <c r="M239" s="25">
        <v>5.15</v>
      </c>
      <c r="N239" s="25">
        <f t="shared" si="53"/>
        <v>5.9699999999999989</v>
      </c>
      <c r="O239" s="25" t="s">
        <v>544</v>
      </c>
    </row>
    <row r="240" spans="1:15" x14ac:dyDescent="0.25">
      <c r="A240" s="75">
        <v>45996</v>
      </c>
      <c r="B240" s="25" t="s">
        <v>420</v>
      </c>
      <c r="C240" s="25"/>
      <c r="D240" s="75">
        <f t="shared" si="46"/>
        <v>46019</v>
      </c>
      <c r="E240" s="75">
        <f t="shared" si="47"/>
        <v>46003</v>
      </c>
      <c r="F240" s="75">
        <f t="shared" si="48"/>
        <v>46010</v>
      </c>
      <c r="G240" s="75">
        <f t="shared" si="49"/>
        <v>46016</v>
      </c>
      <c r="H240" s="75">
        <f t="shared" si="50"/>
        <v>46004</v>
      </c>
      <c r="I240" s="75">
        <f t="shared" si="51"/>
        <v>46011</v>
      </c>
      <c r="J240" s="75">
        <v>46020</v>
      </c>
      <c r="K240" s="76">
        <f t="shared" si="52"/>
        <v>24</v>
      </c>
      <c r="L240" s="25">
        <v>10.06</v>
      </c>
      <c r="M240" s="25">
        <v>3.38</v>
      </c>
      <c r="N240" s="25">
        <f t="shared" si="53"/>
        <v>6.6800000000000006</v>
      </c>
      <c r="O240" s="25" t="s">
        <v>544</v>
      </c>
    </row>
    <row r="241" spans="1:15" x14ac:dyDescent="0.25">
      <c r="A241" s="75">
        <v>45996</v>
      </c>
      <c r="B241" s="25" t="s">
        <v>366</v>
      </c>
      <c r="C241" s="25"/>
      <c r="D241" s="75">
        <f t="shared" si="46"/>
        <v>46019</v>
      </c>
      <c r="E241" s="75">
        <f t="shared" si="47"/>
        <v>46003</v>
      </c>
      <c r="F241" s="75">
        <f t="shared" si="48"/>
        <v>46010</v>
      </c>
      <c r="G241" s="75">
        <f t="shared" si="49"/>
        <v>46016</v>
      </c>
      <c r="H241" s="75">
        <f t="shared" si="50"/>
        <v>46004</v>
      </c>
      <c r="I241" s="75">
        <f t="shared" si="51"/>
        <v>46011</v>
      </c>
      <c r="J241" s="75">
        <v>46019</v>
      </c>
      <c r="K241" s="76">
        <f t="shared" si="52"/>
        <v>23</v>
      </c>
      <c r="L241" s="25">
        <v>14.46</v>
      </c>
      <c r="M241" s="25">
        <v>12.66</v>
      </c>
      <c r="N241" s="25">
        <f t="shared" si="53"/>
        <v>1.8000000000000007</v>
      </c>
      <c r="O241" s="25" t="s">
        <v>545</v>
      </c>
    </row>
    <row r="242" spans="1:15" x14ac:dyDescent="0.25">
      <c r="A242" s="75">
        <v>45996</v>
      </c>
      <c r="B242" s="25" t="s">
        <v>367</v>
      </c>
      <c r="C242" s="25"/>
      <c r="D242" s="75">
        <f t="shared" si="46"/>
        <v>46019</v>
      </c>
      <c r="E242" s="75">
        <f t="shared" si="47"/>
        <v>46003</v>
      </c>
      <c r="F242" s="75">
        <f t="shared" si="48"/>
        <v>46010</v>
      </c>
      <c r="G242" s="75">
        <f t="shared" si="49"/>
        <v>46016</v>
      </c>
      <c r="H242" s="75">
        <f t="shared" si="50"/>
        <v>46004</v>
      </c>
      <c r="I242" s="75">
        <f t="shared" si="51"/>
        <v>46011</v>
      </c>
      <c r="J242" s="75">
        <v>46019</v>
      </c>
      <c r="K242" s="76">
        <f t="shared" si="52"/>
        <v>23</v>
      </c>
      <c r="L242" s="25">
        <v>15.28</v>
      </c>
      <c r="M242" s="25">
        <v>13.36</v>
      </c>
      <c r="N242" s="25">
        <f t="shared" si="53"/>
        <v>1.92</v>
      </c>
      <c r="O242" s="25" t="s">
        <v>545</v>
      </c>
    </row>
    <row r="243" spans="1:15" x14ac:dyDescent="0.25">
      <c r="A243" s="75">
        <v>45996</v>
      </c>
      <c r="B243" s="25" t="s">
        <v>368</v>
      </c>
      <c r="C243" s="25"/>
      <c r="D243" s="75">
        <f t="shared" si="46"/>
        <v>46019</v>
      </c>
      <c r="E243" s="75">
        <f t="shared" si="47"/>
        <v>46003</v>
      </c>
      <c r="F243" s="75">
        <f t="shared" si="48"/>
        <v>46010</v>
      </c>
      <c r="G243" s="75">
        <f t="shared" si="49"/>
        <v>46016</v>
      </c>
      <c r="H243" s="75">
        <f t="shared" si="50"/>
        <v>46004</v>
      </c>
      <c r="I243" s="75">
        <f t="shared" si="51"/>
        <v>46011</v>
      </c>
      <c r="J243" s="75">
        <v>46019</v>
      </c>
      <c r="K243" s="76">
        <f t="shared" si="52"/>
        <v>23</v>
      </c>
      <c r="L243" s="25">
        <v>15.41</v>
      </c>
      <c r="M243" s="25">
        <v>13.51</v>
      </c>
      <c r="N243" s="25">
        <f t="shared" si="53"/>
        <v>1.9000000000000004</v>
      </c>
      <c r="O243" s="25" t="s">
        <v>545</v>
      </c>
    </row>
    <row r="244" spans="1:15" x14ac:dyDescent="0.25">
      <c r="A244" s="75">
        <v>45996</v>
      </c>
      <c r="B244" s="25" t="s">
        <v>400</v>
      </c>
      <c r="C244" s="25"/>
      <c r="D244" s="75">
        <f t="shared" si="46"/>
        <v>46019</v>
      </c>
      <c r="E244" s="75">
        <f t="shared" si="47"/>
        <v>46003</v>
      </c>
      <c r="F244" s="75">
        <f t="shared" si="48"/>
        <v>46010</v>
      </c>
      <c r="G244" s="75">
        <f t="shared" si="49"/>
        <v>46016</v>
      </c>
      <c r="H244" s="75">
        <f t="shared" si="50"/>
        <v>46004</v>
      </c>
      <c r="I244" s="75">
        <f t="shared" si="51"/>
        <v>46011</v>
      </c>
      <c r="J244" s="75">
        <v>46019</v>
      </c>
      <c r="K244" s="76">
        <f t="shared" si="52"/>
        <v>23</v>
      </c>
      <c r="L244" s="25">
        <v>15.19</v>
      </c>
      <c r="M244" s="25">
        <v>13.29</v>
      </c>
      <c r="N244" s="25">
        <f t="shared" si="53"/>
        <v>1.9000000000000004</v>
      </c>
      <c r="O244" s="25" t="s">
        <v>545</v>
      </c>
    </row>
    <row r="245" spans="1:15" x14ac:dyDescent="0.25">
      <c r="A245" s="75">
        <v>45996</v>
      </c>
      <c r="B245" s="25" t="s">
        <v>401</v>
      </c>
      <c r="C245" s="25"/>
      <c r="D245" s="75">
        <f t="shared" si="46"/>
        <v>46019</v>
      </c>
      <c r="E245" s="75">
        <f t="shared" si="47"/>
        <v>46003</v>
      </c>
      <c r="F245" s="75">
        <f t="shared" si="48"/>
        <v>46010</v>
      </c>
      <c r="G245" s="75">
        <f t="shared" si="49"/>
        <v>46016</v>
      </c>
      <c r="H245" s="75">
        <f t="shared" si="50"/>
        <v>46004</v>
      </c>
      <c r="I245" s="75">
        <f t="shared" si="51"/>
        <v>46011</v>
      </c>
      <c r="J245" s="75">
        <v>46019</v>
      </c>
      <c r="K245" s="76">
        <f t="shared" si="52"/>
        <v>23</v>
      </c>
      <c r="L245" s="25">
        <v>14.25</v>
      </c>
      <c r="M245" s="25">
        <v>12.54</v>
      </c>
      <c r="N245" s="25">
        <f t="shared" si="53"/>
        <v>1.7100000000000009</v>
      </c>
      <c r="O245" s="25" t="s">
        <v>545</v>
      </c>
    </row>
    <row r="246" spans="1:15" x14ac:dyDescent="0.25">
      <c r="A246" s="75">
        <v>45995</v>
      </c>
      <c r="B246" s="25" t="s">
        <v>422</v>
      </c>
      <c r="C246" s="25"/>
      <c r="D246" s="75">
        <f t="shared" si="46"/>
        <v>46018</v>
      </c>
      <c r="E246" s="75">
        <f t="shared" si="47"/>
        <v>46002</v>
      </c>
      <c r="F246" s="75">
        <f t="shared" si="48"/>
        <v>46009</v>
      </c>
      <c r="G246" s="75">
        <f t="shared" si="49"/>
        <v>46015</v>
      </c>
      <c r="H246" s="75">
        <f t="shared" si="50"/>
        <v>46003</v>
      </c>
      <c r="I246" s="75">
        <f t="shared" si="51"/>
        <v>46010</v>
      </c>
      <c r="J246" s="75">
        <v>46020</v>
      </c>
      <c r="K246" s="76">
        <f t="shared" si="52"/>
        <v>25</v>
      </c>
      <c r="L246" s="25">
        <v>12.43</v>
      </c>
      <c r="M246" s="25">
        <v>10.59</v>
      </c>
      <c r="N246" s="25">
        <f t="shared" si="53"/>
        <v>1.8399999999999999</v>
      </c>
      <c r="O246" s="25" t="s">
        <v>545</v>
      </c>
    </row>
    <row r="247" spans="1:15" x14ac:dyDescent="0.25">
      <c r="A247" s="75">
        <v>45995</v>
      </c>
      <c r="B247" s="25" t="s">
        <v>423</v>
      </c>
      <c r="C247" s="25"/>
      <c r="D247" s="75">
        <f t="shared" si="46"/>
        <v>46018</v>
      </c>
      <c r="E247" s="75">
        <f t="shared" si="47"/>
        <v>46002</v>
      </c>
      <c r="F247" s="75">
        <f t="shared" si="48"/>
        <v>46009</v>
      </c>
      <c r="G247" s="75">
        <f t="shared" si="49"/>
        <v>46015</v>
      </c>
      <c r="H247" s="75">
        <f t="shared" si="50"/>
        <v>46003</v>
      </c>
      <c r="I247" s="75">
        <f t="shared" si="51"/>
        <v>46010</v>
      </c>
      <c r="J247" s="75">
        <v>46020</v>
      </c>
      <c r="K247" s="76">
        <f t="shared" si="52"/>
        <v>25</v>
      </c>
      <c r="L247" s="25">
        <v>14.85</v>
      </c>
      <c r="M247" s="25">
        <v>12.71</v>
      </c>
      <c r="N247" s="25">
        <f t="shared" si="53"/>
        <v>2.1399999999999988</v>
      </c>
      <c r="O247" s="25" t="s">
        <v>545</v>
      </c>
    </row>
    <row r="248" spans="1:15" x14ac:dyDescent="0.25">
      <c r="A248" s="75">
        <v>45997</v>
      </c>
      <c r="B248" s="25" t="s">
        <v>364</v>
      </c>
      <c r="C248" s="25"/>
      <c r="D248" s="75">
        <f t="shared" si="46"/>
        <v>46020</v>
      </c>
      <c r="E248" s="75">
        <f t="shared" si="47"/>
        <v>46004</v>
      </c>
      <c r="F248" s="75">
        <f t="shared" si="48"/>
        <v>46011</v>
      </c>
      <c r="G248" s="75">
        <f t="shared" si="49"/>
        <v>46017</v>
      </c>
      <c r="H248" s="75">
        <f t="shared" si="50"/>
        <v>46005</v>
      </c>
      <c r="I248" s="75">
        <f t="shared" si="51"/>
        <v>46012</v>
      </c>
      <c r="J248" s="75">
        <v>46021</v>
      </c>
      <c r="K248" s="76">
        <f>J249-A248</f>
        <v>24</v>
      </c>
      <c r="L248" s="25">
        <v>13.24</v>
      </c>
      <c r="M248" s="25">
        <v>6.67</v>
      </c>
      <c r="N248" s="25">
        <f t="shared" si="53"/>
        <v>6.57</v>
      </c>
      <c r="O248" s="25" t="s">
        <v>544</v>
      </c>
    </row>
    <row r="249" spans="1:15" x14ac:dyDescent="0.25">
      <c r="A249" s="75">
        <v>45997</v>
      </c>
      <c r="B249" s="25" t="s">
        <v>365</v>
      </c>
      <c r="C249" s="25"/>
      <c r="D249" s="75">
        <f t="shared" si="46"/>
        <v>46020</v>
      </c>
      <c r="E249" s="75">
        <f t="shared" si="47"/>
        <v>46004</v>
      </c>
      <c r="F249" s="75">
        <f t="shared" si="48"/>
        <v>46011</v>
      </c>
      <c r="G249" s="75">
        <f t="shared" si="49"/>
        <v>46017</v>
      </c>
      <c r="H249" s="75">
        <f t="shared" si="50"/>
        <v>46005</v>
      </c>
      <c r="I249" s="75">
        <f t="shared" si="51"/>
        <v>46012</v>
      </c>
      <c r="J249" s="75">
        <v>46021</v>
      </c>
      <c r="K249" s="76">
        <f>J250-A249</f>
        <v>23</v>
      </c>
      <c r="L249" s="25">
        <v>14.2</v>
      </c>
      <c r="M249" s="25">
        <v>7.52</v>
      </c>
      <c r="N249" s="25">
        <f t="shared" si="53"/>
        <v>6.68</v>
      </c>
      <c r="O249" s="25" t="s">
        <v>544</v>
      </c>
    </row>
    <row r="250" spans="1:15" x14ac:dyDescent="0.25">
      <c r="A250" s="75">
        <v>45997</v>
      </c>
      <c r="B250" s="25" t="s">
        <v>396</v>
      </c>
      <c r="C250" s="25"/>
      <c r="D250" s="75">
        <f t="shared" si="46"/>
        <v>46020</v>
      </c>
      <c r="E250" s="75">
        <f t="shared" si="47"/>
        <v>46004</v>
      </c>
      <c r="F250" s="75">
        <f t="shared" si="48"/>
        <v>46011</v>
      </c>
      <c r="G250" s="75">
        <f t="shared" si="49"/>
        <v>46017</v>
      </c>
      <c r="H250" s="75">
        <f t="shared" si="50"/>
        <v>46005</v>
      </c>
      <c r="I250" s="75">
        <f t="shared" si="51"/>
        <v>46012</v>
      </c>
      <c r="J250" s="75">
        <v>46020</v>
      </c>
      <c r="K250" s="76">
        <f>J250-A250</f>
        <v>23</v>
      </c>
      <c r="L250" s="25">
        <v>16.63</v>
      </c>
      <c r="M250" s="25">
        <v>14.74</v>
      </c>
      <c r="N250" s="25">
        <f>L250-M250</f>
        <v>1.8899999999999988</v>
      </c>
      <c r="O250" s="25" t="s">
        <v>545</v>
      </c>
    </row>
    <row r="251" spans="1:15" x14ac:dyDescent="0.25">
      <c r="A251" s="75">
        <v>45997</v>
      </c>
      <c r="B251" s="25" t="s">
        <v>397</v>
      </c>
      <c r="C251" s="25"/>
      <c r="D251" s="75">
        <f t="shared" si="46"/>
        <v>46020</v>
      </c>
      <c r="E251" s="75">
        <f t="shared" si="47"/>
        <v>46004</v>
      </c>
      <c r="F251" s="75">
        <f t="shared" si="48"/>
        <v>46011</v>
      </c>
      <c r="G251" s="75">
        <f t="shared" si="49"/>
        <v>46017</v>
      </c>
      <c r="H251" s="75">
        <f t="shared" si="50"/>
        <v>46005</v>
      </c>
      <c r="I251" s="75">
        <f t="shared" si="51"/>
        <v>46012</v>
      </c>
      <c r="J251" s="75">
        <v>46020</v>
      </c>
      <c r="K251" s="76">
        <f>J251-A251</f>
        <v>23</v>
      </c>
      <c r="L251" s="25">
        <v>16.39</v>
      </c>
      <c r="M251" s="25">
        <v>14.19</v>
      </c>
      <c r="N251" s="25">
        <f>L251-M251</f>
        <v>2.2000000000000011</v>
      </c>
      <c r="O251" s="25" t="s">
        <v>545</v>
      </c>
    </row>
    <row r="252" spans="1:15" x14ac:dyDescent="0.25">
      <c r="A252" s="75">
        <v>45997</v>
      </c>
      <c r="B252" s="25" t="s">
        <v>398</v>
      </c>
      <c r="C252" s="25"/>
      <c r="D252" s="75">
        <f t="shared" si="35"/>
        <v>46020</v>
      </c>
      <c r="E252" s="75">
        <f t="shared" si="36"/>
        <v>46004</v>
      </c>
      <c r="F252" s="75">
        <f t="shared" si="37"/>
        <v>46011</v>
      </c>
      <c r="G252" s="75">
        <f t="shared" si="38"/>
        <v>46017</v>
      </c>
      <c r="H252" s="75">
        <f t="shared" si="39"/>
        <v>46005</v>
      </c>
      <c r="I252" s="75">
        <f t="shared" si="40"/>
        <v>46012</v>
      </c>
      <c r="J252" s="75">
        <v>46019</v>
      </c>
      <c r="K252" s="76">
        <f t="shared" ref="K252:K315" si="54">J252-A252</f>
        <v>22</v>
      </c>
      <c r="L252" s="25">
        <v>13.06</v>
      </c>
      <c r="M252" s="25">
        <v>11.31</v>
      </c>
      <c r="N252" s="25">
        <f t="shared" ref="N252:N315" si="55">L252-M252</f>
        <v>1.75</v>
      </c>
      <c r="O252" s="25" t="s">
        <v>545</v>
      </c>
    </row>
    <row r="253" spans="1:15" x14ac:dyDescent="0.25">
      <c r="A253" s="75">
        <v>45997</v>
      </c>
      <c r="B253" s="25" t="s">
        <v>399</v>
      </c>
      <c r="C253" s="25"/>
      <c r="D253" s="75">
        <f t="shared" si="35"/>
        <v>46020</v>
      </c>
      <c r="E253" s="75">
        <f t="shared" si="36"/>
        <v>46004</v>
      </c>
      <c r="F253" s="75">
        <f t="shared" si="37"/>
        <v>46011</v>
      </c>
      <c r="G253" s="75">
        <f t="shared" si="38"/>
        <v>46017</v>
      </c>
      <c r="H253" s="75">
        <f t="shared" si="39"/>
        <v>46005</v>
      </c>
      <c r="I253" s="75">
        <f t="shared" si="40"/>
        <v>46012</v>
      </c>
      <c r="J253" s="75">
        <v>46019</v>
      </c>
      <c r="K253" s="76">
        <f t="shared" si="54"/>
        <v>22</v>
      </c>
      <c r="L253" s="25">
        <v>14.18</v>
      </c>
      <c r="M253" s="25">
        <v>12.48</v>
      </c>
      <c r="N253" s="25">
        <f t="shared" si="55"/>
        <v>1.6999999999999993</v>
      </c>
      <c r="O253" s="25" t="s">
        <v>545</v>
      </c>
    </row>
    <row r="254" spans="1:15" x14ac:dyDescent="0.25">
      <c r="A254" s="75">
        <v>45997</v>
      </c>
      <c r="B254" s="25" t="s">
        <v>402</v>
      </c>
      <c r="C254" s="25"/>
      <c r="D254" s="75">
        <f t="shared" si="35"/>
        <v>46020</v>
      </c>
      <c r="E254" s="75">
        <f t="shared" si="36"/>
        <v>46004</v>
      </c>
      <c r="F254" s="75">
        <f t="shared" si="37"/>
        <v>46011</v>
      </c>
      <c r="G254" s="75">
        <f t="shared" si="38"/>
        <v>46017</v>
      </c>
      <c r="H254" s="75">
        <f t="shared" si="39"/>
        <v>46005</v>
      </c>
      <c r="I254" s="75">
        <f t="shared" si="40"/>
        <v>46012</v>
      </c>
      <c r="J254" s="75">
        <v>46019</v>
      </c>
      <c r="K254" s="76">
        <f t="shared" si="54"/>
        <v>22</v>
      </c>
      <c r="L254" s="25">
        <v>13.18</v>
      </c>
      <c r="M254" s="25">
        <v>11.73</v>
      </c>
      <c r="N254" s="25">
        <f t="shared" si="55"/>
        <v>1.4499999999999993</v>
      </c>
      <c r="O254" s="25" t="s">
        <v>545</v>
      </c>
    </row>
    <row r="255" spans="1:15" x14ac:dyDescent="0.25">
      <c r="A255" s="75">
        <v>45998</v>
      </c>
      <c r="B255" s="25" t="s">
        <v>394</v>
      </c>
      <c r="C255" s="25"/>
      <c r="D255" s="75">
        <f t="shared" si="35"/>
        <v>46021</v>
      </c>
      <c r="E255" s="75">
        <f t="shared" si="36"/>
        <v>46005</v>
      </c>
      <c r="F255" s="75">
        <f t="shared" si="37"/>
        <v>46012</v>
      </c>
      <c r="G255" s="75">
        <f t="shared" si="38"/>
        <v>46018</v>
      </c>
      <c r="H255" s="75">
        <f t="shared" si="39"/>
        <v>46006</v>
      </c>
      <c r="I255" s="75">
        <f t="shared" si="40"/>
        <v>46013</v>
      </c>
      <c r="J255" s="75">
        <v>46021</v>
      </c>
      <c r="K255" s="76">
        <f t="shared" si="54"/>
        <v>23</v>
      </c>
      <c r="L255" s="25">
        <v>14.11</v>
      </c>
      <c r="M255" s="25">
        <v>7.59</v>
      </c>
      <c r="N255" s="25">
        <f t="shared" si="55"/>
        <v>6.52</v>
      </c>
      <c r="O255" s="25" t="s">
        <v>544</v>
      </c>
    </row>
    <row r="256" spans="1:15" x14ac:dyDescent="0.25">
      <c r="A256" s="75">
        <v>45998</v>
      </c>
      <c r="B256" s="25" t="s">
        <v>395</v>
      </c>
      <c r="C256" s="25"/>
      <c r="D256" s="75">
        <f t="shared" si="35"/>
        <v>46021</v>
      </c>
      <c r="E256" s="75">
        <f t="shared" si="36"/>
        <v>46005</v>
      </c>
      <c r="F256" s="75">
        <f t="shared" si="37"/>
        <v>46012</v>
      </c>
      <c r="G256" s="75">
        <f t="shared" si="38"/>
        <v>46018</v>
      </c>
      <c r="H256" s="75">
        <f t="shared" si="39"/>
        <v>46006</v>
      </c>
      <c r="I256" s="75">
        <f t="shared" si="40"/>
        <v>46013</v>
      </c>
      <c r="J256" s="75">
        <v>46021</v>
      </c>
      <c r="K256" s="76">
        <f t="shared" si="54"/>
        <v>23</v>
      </c>
      <c r="L256" s="25">
        <v>14.67</v>
      </c>
      <c r="M256" s="25">
        <v>12.51</v>
      </c>
      <c r="N256" s="25">
        <f t="shared" si="55"/>
        <v>2.16</v>
      </c>
      <c r="O256" s="25" t="s">
        <v>545</v>
      </c>
    </row>
    <row r="257" spans="1:15" x14ac:dyDescent="0.25">
      <c r="A257" s="75">
        <v>45998</v>
      </c>
      <c r="B257" s="25" t="s">
        <v>428</v>
      </c>
      <c r="C257" s="25"/>
      <c r="D257" s="75">
        <f t="shared" si="35"/>
        <v>46021</v>
      </c>
      <c r="E257" s="75">
        <f t="shared" si="36"/>
        <v>46005</v>
      </c>
      <c r="F257" s="75">
        <f t="shared" si="37"/>
        <v>46012</v>
      </c>
      <c r="G257" s="75">
        <f t="shared" si="38"/>
        <v>46018</v>
      </c>
      <c r="H257" s="75">
        <f t="shared" si="39"/>
        <v>46006</v>
      </c>
      <c r="I257" s="75">
        <f t="shared" si="40"/>
        <v>46013</v>
      </c>
      <c r="J257" s="75">
        <v>46021</v>
      </c>
      <c r="K257" s="76">
        <f t="shared" si="54"/>
        <v>23</v>
      </c>
      <c r="L257" s="25">
        <v>12.38</v>
      </c>
      <c r="M257" s="25">
        <v>10.74</v>
      </c>
      <c r="N257" s="25">
        <f t="shared" si="55"/>
        <v>1.6400000000000006</v>
      </c>
      <c r="O257" s="25" t="s">
        <v>545</v>
      </c>
    </row>
    <row r="258" spans="1:15" x14ac:dyDescent="0.25">
      <c r="A258" s="75">
        <v>45998</v>
      </c>
      <c r="B258" s="25" t="s">
        <v>429</v>
      </c>
      <c r="C258" s="25"/>
      <c r="D258" s="75">
        <f t="shared" si="35"/>
        <v>46021</v>
      </c>
      <c r="E258" s="75">
        <f t="shared" si="36"/>
        <v>46005</v>
      </c>
      <c r="F258" s="75">
        <f t="shared" si="37"/>
        <v>46012</v>
      </c>
      <c r="G258" s="75">
        <f t="shared" si="38"/>
        <v>46018</v>
      </c>
      <c r="H258" s="75">
        <f t="shared" si="39"/>
        <v>46006</v>
      </c>
      <c r="I258" s="75">
        <f t="shared" si="40"/>
        <v>46013</v>
      </c>
      <c r="J258" s="75">
        <v>46021</v>
      </c>
      <c r="K258" s="76">
        <f t="shared" si="54"/>
        <v>23</v>
      </c>
      <c r="L258" s="25">
        <v>14.47</v>
      </c>
      <c r="M258" s="25">
        <v>12.58</v>
      </c>
      <c r="N258" s="25">
        <f t="shared" si="55"/>
        <v>1.8900000000000006</v>
      </c>
      <c r="O258" s="25" t="s">
        <v>545</v>
      </c>
    </row>
    <row r="259" spans="1:15" x14ac:dyDescent="0.25">
      <c r="A259" s="75">
        <v>45998</v>
      </c>
      <c r="B259" s="25" t="s">
        <v>430</v>
      </c>
      <c r="C259" s="25"/>
      <c r="D259" s="75">
        <f t="shared" ref="D259:D322" si="56">A259+23</f>
        <v>46021</v>
      </c>
      <c r="E259" s="75">
        <f t="shared" ref="E259:E322" si="57">A259+7</f>
        <v>46005</v>
      </c>
      <c r="F259" s="75">
        <f t="shared" ref="F259:F322" si="58">A259+14</f>
        <v>46012</v>
      </c>
      <c r="G259" s="75">
        <f t="shared" ref="G259:G322" si="59">A259+20</f>
        <v>46018</v>
      </c>
      <c r="H259" s="75">
        <f t="shared" ref="H259:H322" si="60">A259+8</f>
        <v>46006</v>
      </c>
      <c r="I259" s="75">
        <f t="shared" ref="I259:I322" si="61">A259+15</f>
        <v>46013</v>
      </c>
      <c r="J259" s="75">
        <v>46021</v>
      </c>
      <c r="K259" s="76">
        <f t="shared" si="54"/>
        <v>23</v>
      </c>
      <c r="L259" s="25">
        <v>13.56</v>
      </c>
      <c r="M259" s="25">
        <v>11.86</v>
      </c>
      <c r="N259" s="25">
        <f t="shared" si="55"/>
        <v>1.7000000000000011</v>
      </c>
      <c r="O259" s="25" t="s">
        <v>545</v>
      </c>
    </row>
    <row r="260" spans="1:15" x14ac:dyDescent="0.25">
      <c r="A260" s="75">
        <v>45998</v>
      </c>
      <c r="B260" s="25" t="s">
        <v>431</v>
      </c>
      <c r="C260" s="25"/>
      <c r="D260" s="75">
        <f t="shared" si="56"/>
        <v>46021</v>
      </c>
      <c r="E260" s="75">
        <f t="shared" si="57"/>
        <v>46005</v>
      </c>
      <c r="F260" s="75">
        <f t="shared" si="58"/>
        <v>46012</v>
      </c>
      <c r="G260" s="75">
        <f t="shared" si="59"/>
        <v>46018</v>
      </c>
      <c r="H260" s="75">
        <f t="shared" si="60"/>
        <v>46006</v>
      </c>
      <c r="I260" s="75">
        <f t="shared" si="61"/>
        <v>46013</v>
      </c>
      <c r="J260" s="75">
        <v>46021</v>
      </c>
      <c r="K260" s="76">
        <f t="shared" si="54"/>
        <v>23</v>
      </c>
      <c r="L260" s="25">
        <v>14.19</v>
      </c>
      <c r="M260" s="25">
        <v>12.1</v>
      </c>
      <c r="N260" s="25">
        <f t="shared" si="55"/>
        <v>2.09</v>
      </c>
      <c r="O260" s="25" t="s">
        <v>545</v>
      </c>
    </row>
    <row r="261" spans="1:15" x14ac:dyDescent="0.25">
      <c r="A261" s="75">
        <v>45998</v>
      </c>
      <c r="B261" s="25" t="s">
        <v>432</v>
      </c>
      <c r="C261" s="25"/>
      <c r="D261" s="75">
        <f t="shared" si="56"/>
        <v>46021</v>
      </c>
      <c r="E261" s="75">
        <f t="shared" si="57"/>
        <v>46005</v>
      </c>
      <c r="F261" s="75">
        <f t="shared" si="58"/>
        <v>46012</v>
      </c>
      <c r="G261" s="75">
        <f t="shared" si="59"/>
        <v>46018</v>
      </c>
      <c r="H261" s="75">
        <f t="shared" si="60"/>
        <v>46006</v>
      </c>
      <c r="I261" s="75">
        <f t="shared" si="61"/>
        <v>46013</v>
      </c>
      <c r="J261" s="75">
        <v>46023</v>
      </c>
      <c r="K261" s="76">
        <f t="shared" si="54"/>
        <v>25</v>
      </c>
      <c r="L261" s="25">
        <v>13.37</v>
      </c>
      <c r="M261" s="25">
        <v>11.24</v>
      </c>
      <c r="N261" s="25">
        <f t="shared" si="55"/>
        <v>2.129999999999999</v>
      </c>
      <c r="O261" s="25" t="s">
        <v>545</v>
      </c>
    </row>
    <row r="262" spans="1:15" x14ac:dyDescent="0.25">
      <c r="A262" s="75">
        <v>45998</v>
      </c>
      <c r="B262" s="25" t="s">
        <v>433</v>
      </c>
      <c r="C262" s="25"/>
      <c r="D262" s="75">
        <f t="shared" si="56"/>
        <v>46021</v>
      </c>
      <c r="E262" s="75">
        <f t="shared" si="57"/>
        <v>46005</v>
      </c>
      <c r="F262" s="75">
        <f t="shared" si="58"/>
        <v>46012</v>
      </c>
      <c r="G262" s="75">
        <f t="shared" si="59"/>
        <v>46018</v>
      </c>
      <c r="H262" s="75">
        <f t="shared" si="60"/>
        <v>46006</v>
      </c>
      <c r="I262" s="75">
        <f t="shared" si="61"/>
        <v>46013</v>
      </c>
      <c r="J262" s="75">
        <v>46023</v>
      </c>
      <c r="K262" s="76">
        <f t="shared" si="54"/>
        <v>25</v>
      </c>
      <c r="L262" s="25">
        <v>12.68</v>
      </c>
      <c r="M262" s="25">
        <v>10.37</v>
      </c>
      <c r="N262" s="25">
        <f t="shared" si="55"/>
        <v>2.3100000000000005</v>
      </c>
      <c r="O262" s="25" t="s">
        <v>545</v>
      </c>
    </row>
    <row r="263" spans="1:15" x14ac:dyDescent="0.25">
      <c r="A263" s="75">
        <v>45998</v>
      </c>
      <c r="B263" s="25" t="s">
        <v>434</v>
      </c>
      <c r="C263" s="25"/>
      <c r="D263" s="75">
        <f t="shared" si="56"/>
        <v>46021</v>
      </c>
      <c r="E263" s="75">
        <f t="shared" si="57"/>
        <v>46005</v>
      </c>
      <c r="F263" s="75">
        <f t="shared" si="58"/>
        <v>46012</v>
      </c>
      <c r="G263" s="75">
        <f t="shared" si="59"/>
        <v>46018</v>
      </c>
      <c r="H263" s="75">
        <f t="shared" si="60"/>
        <v>46006</v>
      </c>
      <c r="I263" s="75">
        <f t="shared" si="61"/>
        <v>46013</v>
      </c>
      <c r="J263" s="75">
        <v>46024</v>
      </c>
      <c r="K263" s="76">
        <f t="shared" si="54"/>
        <v>26</v>
      </c>
      <c r="L263" s="25">
        <v>8.5399999999999991</v>
      </c>
      <c r="M263" s="25">
        <v>7.42</v>
      </c>
      <c r="N263" s="25">
        <f t="shared" si="55"/>
        <v>1.1199999999999992</v>
      </c>
      <c r="O263" s="25" t="s">
        <v>545</v>
      </c>
    </row>
    <row r="264" spans="1:15" x14ac:dyDescent="0.25">
      <c r="A264" s="75">
        <v>45999</v>
      </c>
      <c r="B264" s="25" t="s">
        <v>435</v>
      </c>
      <c r="C264" s="25"/>
      <c r="D264" s="75">
        <f t="shared" si="56"/>
        <v>46022</v>
      </c>
      <c r="E264" s="75">
        <f t="shared" si="57"/>
        <v>46006</v>
      </c>
      <c r="F264" s="75">
        <f t="shared" si="58"/>
        <v>46013</v>
      </c>
      <c r="G264" s="75">
        <f t="shared" si="59"/>
        <v>46019</v>
      </c>
      <c r="H264" s="75">
        <f t="shared" si="60"/>
        <v>46007</v>
      </c>
      <c r="I264" s="75">
        <f t="shared" si="61"/>
        <v>46014</v>
      </c>
      <c r="J264" s="75">
        <v>46024</v>
      </c>
      <c r="K264" s="76">
        <f t="shared" si="54"/>
        <v>25</v>
      </c>
      <c r="L264" s="25">
        <v>6.81</v>
      </c>
      <c r="M264" s="25">
        <v>6.7</v>
      </c>
      <c r="N264" s="25">
        <f t="shared" si="55"/>
        <v>0.10999999999999943</v>
      </c>
      <c r="O264" s="25" t="s">
        <v>545</v>
      </c>
    </row>
    <row r="265" spans="1:15" x14ac:dyDescent="0.25">
      <c r="A265" s="75">
        <v>45999</v>
      </c>
      <c r="B265" s="25" t="s">
        <v>436</v>
      </c>
      <c r="C265" s="25"/>
      <c r="D265" s="75">
        <f t="shared" si="56"/>
        <v>46022</v>
      </c>
      <c r="E265" s="75">
        <f t="shared" si="57"/>
        <v>46006</v>
      </c>
      <c r="F265" s="75">
        <f t="shared" si="58"/>
        <v>46013</v>
      </c>
      <c r="G265" s="75">
        <f t="shared" si="59"/>
        <v>46019</v>
      </c>
      <c r="H265" s="75">
        <f t="shared" si="60"/>
        <v>46007</v>
      </c>
      <c r="I265" s="75">
        <f t="shared" si="61"/>
        <v>46014</v>
      </c>
      <c r="J265" s="75">
        <v>46024</v>
      </c>
      <c r="K265" s="76">
        <f t="shared" si="54"/>
        <v>25</v>
      </c>
      <c r="L265" s="25">
        <v>8.26</v>
      </c>
      <c r="M265" s="25">
        <v>7.23</v>
      </c>
      <c r="N265" s="25">
        <f t="shared" si="55"/>
        <v>1.0299999999999994</v>
      </c>
      <c r="O265" s="25" t="s">
        <v>545</v>
      </c>
    </row>
    <row r="266" spans="1:15" x14ac:dyDescent="0.25">
      <c r="A266" s="75">
        <v>45999</v>
      </c>
      <c r="B266" s="25" t="s">
        <v>437</v>
      </c>
      <c r="C266" s="25"/>
      <c r="D266" s="75">
        <f t="shared" si="56"/>
        <v>46022</v>
      </c>
      <c r="E266" s="75">
        <f t="shared" si="57"/>
        <v>46006</v>
      </c>
      <c r="F266" s="75">
        <f t="shared" si="58"/>
        <v>46013</v>
      </c>
      <c r="G266" s="75">
        <f t="shared" si="59"/>
        <v>46019</v>
      </c>
      <c r="H266" s="75">
        <f t="shared" si="60"/>
        <v>46007</v>
      </c>
      <c r="I266" s="75">
        <f t="shared" si="61"/>
        <v>46014</v>
      </c>
      <c r="J266" s="75">
        <v>46024</v>
      </c>
      <c r="K266" s="76">
        <f t="shared" si="54"/>
        <v>25</v>
      </c>
      <c r="L266" s="25">
        <v>7.63</v>
      </c>
      <c r="M266" s="25">
        <v>7.12</v>
      </c>
      <c r="N266" s="25">
        <f t="shared" si="55"/>
        <v>0.50999999999999979</v>
      </c>
      <c r="O266" s="25" t="s">
        <v>545</v>
      </c>
    </row>
    <row r="267" spans="1:15" x14ac:dyDescent="0.25">
      <c r="A267" s="75">
        <v>45999</v>
      </c>
      <c r="B267" s="25" t="s">
        <v>438</v>
      </c>
      <c r="C267" s="25"/>
      <c r="D267" s="75">
        <f t="shared" si="56"/>
        <v>46022</v>
      </c>
      <c r="E267" s="75">
        <f t="shared" si="57"/>
        <v>46006</v>
      </c>
      <c r="F267" s="75">
        <f t="shared" si="58"/>
        <v>46013</v>
      </c>
      <c r="G267" s="75">
        <f t="shared" si="59"/>
        <v>46019</v>
      </c>
      <c r="H267" s="75">
        <f t="shared" si="60"/>
        <v>46007</v>
      </c>
      <c r="I267" s="75">
        <f t="shared" si="61"/>
        <v>46014</v>
      </c>
      <c r="J267" s="75">
        <v>46025</v>
      </c>
      <c r="K267" s="76">
        <f t="shared" si="54"/>
        <v>26</v>
      </c>
      <c r="L267" s="25">
        <v>7.26</v>
      </c>
      <c r="M267" s="25">
        <v>5.54</v>
      </c>
      <c r="N267" s="25">
        <f t="shared" si="55"/>
        <v>1.7199999999999998</v>
      </c>
      <c r="O267" s="25" t="s">
        <v>545</v>
      </c>
    </row>
    <row r="268" spans="1:15" x14ac:dyDescent="0.25">
      <c r="A268" s="75">
        <v>45999</v>
      </c>
      <c r="B268" s="25" t="s">
        <v>439</v>
      </c>
      <c r="C268" s="25"/>
      <c r="D268" s="75">
        <f t="shared" si="56"/>
        <v>46022</v>
      </c>
      <c r="E268" s="75">
        <f t="shared" si="57"/>
        <v>46006</v>
      </c>
      <c r="F268" s="75">
        <f t="shared" si="58"/>
        <v>46013</v>
      </c>
      <c r="G268" s="75">
        <f t="shared" si="59"/>
        <v>46019</v>
      </c>
      <c r="H268" s="75">
        <f t="shared" si="60"/>
        <v>46007</v>
      </c>
      <c r="I268" s="75">
        <f t="shared" si="61"/>
        <v>46014</v>
      </c>
      <c r="J268" s="75">
        <v>46025</v>
      </c>
      <c r="K268" s="76">
        <f t="shared" si="54"/>
        <v>26</v>
      </c>
      <c r="L268" s="25">
        <v>6.93</v>
      </c>
      <c r="M268" s="25">
        <v>5.21</v>
      </c>
      <c r="N268" s="25">
        <f t="shared" si="55"/>
        <v>1.7199999999999998</v>
      </c>
      <c r="O268" s="25" t="s">
        <v>545</v>
      </c>
    </row>
    <row r="269" spans="1:15" x14ac:dyDescent="0.25">
      <c r="A269" s="75">
        <v>45999</v>
      </c>
      <c r="B269" s="25" t="s">
        <v>440</v>
      </c>
      <c r="C269" s="25"/>
      <c r="D269" s="75">
        <f t="shared" si="56"/>
        <v>46022</v>
      </c>
      <c r="E269" s="75">
        <f t="shared" si="57"/>
        <v>46006</v>
      </c>
      <c r="F269" s="75">
        <f t="shared" si="58"/>
        <v>46013</v>
      </c>
      <c r="G269" s="75">
        <f t="shared" si="59"/>
        <v>46019</v>
      </c>
      <c r="H269" s="75">
        <f t="shared" si="60"/>
        <v>46007</v>
      </c>
      <c r="I269" s="75">
        <f t="shared" si="61"/>
        <v>46014</v>
      </c>
      <c r="J269" s="75">
        <v>46025</v>
      </c>
      <c r="K269" s="76">
        <f t="shared" si="54"/>
        <v>26</v>
      </c>
      <c r="L269" s="25">
        <v>12.09</v>
      </c>
      <c r="M269" s="25">
        <v>12.09</v>
      </c>
      <c r="N269" s="25">
        <f t="shared" si="55"/>
        <v>0</v>
      </c>
      <c r="O269" s="25" t="s">
        <v>545</v>
      </c>
    </row>
    <row r="270" spans="1:15" x14ac:dyDescent="0.25">
      <c r="A270" s="75">
        <v>45999</v>
      </c>
      <c r="B270" s="25" t="s">
        <v>441</v>
      </c>
      <c r="C270" s="25"/>
      <c r="D270" s="75">
        <f t="shared" si="56"/>
        <v>46022</v>
      </c>
      <c r="E270" s="75">
        <f t="shared" si="57"/>
        <v>46006</v>
      </c>
      <c r="F270" s="75">
        <f t="shared" si="58"/>
        <v>46013</v>
      </c>
      <c r="G270" s="75">
        <f t="shared" si="59"/>
        <v>46019</v>
      </c>
      <c r="H270" s="75">
        <f t="shared" si="60"/>
        <v>46007</v>
      </c>
      <c r="I270" s="75">
        <f t="shared" si="61"/>
        <v>46014</v>
      </c>
      <c r="J270" s="75">
        <v>46026</v>
      </c>
      <c r="K270" s="76">
        <f t="shared" si="54"/>
        <v>27</v>
      </c>
      <c r="L270" s="25">
        <v>12.51</v>
      </c>
      <c r="M270" s="25">
        <v>10.26</v>
      </c>
      <c r="N270" s="25">
        <f t="shared" si="55"/>
        <v>2.25</v>
      </c>
      <c r="O270" s="25" t="s">
        <v>545</v>
      </c>
    </row>
    <row r="271" spans="1:15" x14ac:dyDescent="0.25">
      <c r="A271" s="75">
        <v>46000</v>
      </c>
      <c r="B271" s="25" t="s">
        <v>442</v>
      </c>
      <c r="C271" s="25"/>
      <c r="D271" s="75">
        <f t="shared" si="56"/>
        <v>46023</v>
      </c>
      <c r="E271" s="75">
        <f t="shared" si="57"/>
        <v>46007</v>
      </c>
      <c r="F271" s="75">
        <f t="shared" si="58"/>
        <v>46014</v>
      </c>
      <c r="G271" s="75">
        <f t="shared" si="59"/>
        <v>46020</v>
      </c>
      <c r="H271" s="75">
        <f t="shared" si="60"/>
        <v>46008</v>
      </c>
      <c r="I271" s="75">
        <f t="shared" si="61"/>
        <v>46015</v>
      </c>
      <c r="J271" s="75">
        <v>46027</v>
      </c>
      <c r="K271" s="76">
        <f t="shared" si="54"/>
        <v>27</v>
      </c>
      <c r="L271" s="25">
        <v>7.3</v>
      </c>
      <c r="M271" s="25">
        <v>7</v>
      </c>
      <c r="N271" s="25">
        <f t="shared" si="55"/>
        <v>0.29999999999999982</v>
      </c>
      <c r="O271" s="25" t="s">
        <v>545</v>
      </c>
    </row>
    <row r="272" spans="1:15" x14ac:dyDescent="0.25">
      <c r="A272" s="75">
        <v>46000</v>
      </c>
      <c r="B272" s="25" t="s">
        <v>443</v>
      </c>
      <c r="C272" s="25"/>
      <c r="D272" s="75">
        <f t="shared" si="56"/>
        <v>46023</v>
      </c>
      <c r="E272" s="75">
        <f t="shared" si="57"/>
        <v>46007</v>
      </c>
      <c r="F272" s="75">
        <f t="shared" si="58"/>
        <v>46014</v>
      </c>
      <c r="G272" s="75">
        <f t="shared" si="59"/>
        <v>46020</v>
      </c>
      <c r="H272" s="75">
        <f t="shared" si="60"/>
        <v>46008</v>
      </c>
      <c r="I272" s="75">
        <f t="shared" si="61"/>
        <v>46015</v>
      </c>
      <c r="J272" s="75">
        <v>46027</v>
      </c>
      <c r="K272" s="76">
        <f t="shared" si="54"/>
        <v>27</v>
      </c>
      <c r="L272" s="25">
        <v>9.17</v>
      </c>
      <c r="M272" s="25">
        <v>8.92</v>
      </c>
      <c r="N272" s="25">
        <f t="shared" si="55"/>
        <v>0.25</v>
      </c>
      <c r="O272" s="25" t="s">
        <v>545</v>
      </c>
    </row>
    <row r="273" spans="1:15" x14ac:dyDescent="0.25">
      <c r="A273" s="75">
        <v>46000</v>
      </c>
      <c r="B273" s="25" t="s">
        <v>444</v>
      </c>
      <c r="C273" s="25"/>
      <c r="D273" s="75">
        <f t="shared" si="56"/>
        <v>46023</v>
      </c>
      <c r="E273" s="75">
        <f t="shared" si="57"/>
        <v>46007</v>
      </c>
      <c r="F273" s="75">
        <f t="shared" si="58"/>
        <v>46014</v>
      </c>
      <c r="G273" s="75">
        <f t="shared" si="59"/>
        <v>46020</v>
      </c>
      <c r="H273" s="75">
        <f t="shared" si="60"/>
        <v>46008</v>
      </c>
      <c r="I273" s="75">
        <f t="shared" si="61"/>
        <v>46015</v>
      </c>
      <c r="J273" s="75">
        <v>46029</v>
      </c>
      <c r="K273" s="76">
        <f t="shared" si="54"/>
        <v>29</v>
      </c>
      <c r="L273" s="82">
        <v>12.67</v>
      </c>
      <c r="M273" s="80">
        <v>6.58</v>
      </c>
      <c r="N273" s="25">
        <f t="shared" si="55"/>
        <v>6.09</v>
      </c>
      <c r="O273" s="25" t="s">
        <v>544</v>
      </c>
    </row>
    <row r="274" spans="1:15" x14ac:dyDescent="0.25">
      <c r="A274" s="75">
        <v>46000</v>
      </c>
      <c r="B274" s="25" t="s">
        <v>445</v>
      </c>
      <c r="C274" s="25"/>
      <c r="D274" s="75">
        <f t="shared" si="56"/>
        <v>46023</v>
      </c>
      <c r="E274" s="75">
        <f t="shared" si="57"/>
        <v>46007</v>
      </c>
      <c r="F274" s="75">
        <f t="shared" si="58"/>
        <v>46014</v>
      </c>
      <c r="G274" s="75">
        <f t="shared" si="59"/>
        <v>46020</v>
      </c>
      <c r="H274" s="75">
        <f t="shared" si="60"/>
        <v>46008</v>
      </c>
      <c r="I274" s="75">
        <f t="shared" si="61"/>
        <v>46015</v>
      </c>
      <c r="J274" s="75">
        <v>46029</v>
      </c>
      <c r="K274" s="76">
        <f t="shared" si="54"/>
        <v>29</v>
      </c>
      <c r="L274" s="82">
        <v>13.73</v>
      </c>
      <c r="M274" s="80">
        <v>7.52</v>
      </c>
      <c r="N274" s="25">
        <f t="shared" si="55"/>
        <v>6.2100000000000009</v>
      </c>
      <c r="O274" s="25" t="s">
        <v>544</v>
      </c>
    </row>
    <row r="275" spans="1:15" x14ac:dyDescent="0.25">
      <c r="A275" s="75">
        <v>46000</v>
      </c>
      <c r="B275" s="25" t="s">
        <v>446</v>
      </c>
      <c r="C275" s="25"/>
      <c r="D275" s="75">
        <f t="shared" si="56"/>
        <v>46023</v>
      </c>
      <c r="E275" s="75">
        <f t="shared" si="57"/>
        <v>46007</v>
      </c>
      <c r="F275" s="75">
        <f t="shared" si="58"/>
        <v>46014</v>
      </c>
      <c r="G275" s="75">
        <f t="shared" si="59"/>
        <v>46020</v>
      </c>
      <c r="H275" s="75">
        <f t="shared" si="60"/>
        <v>46008</v>
      </c>
      <c r="I275" s="75">
        <f t="shared" si="61"/>
        <v>46015</v>
      </c>
      <c r="J275" s="75">
        <v>46029</v>
      </c>
      <c r="K275" s="76">
        <f t="shared" si="54"/>
        <v>29</v>
      </c>
      <c r="L275" s="82">
        <v>14.11</v>
      </c>
      <c r="M275" s="80">
        <v>7.8</v>
      </c>
      <c r="N275" s="25">
        <f t="shared" si="55"/>
        <v>6.31</v>
      </c>
      <c r="O275" s="25" t="s">
        <v>544</v>
      </c>
    </row>
    <row r="276" spans="1:15" x14ac:dyDescent="0.25">
      <c r="A276" s="75">
        <v>46000</v>
      </c>
      <c r="B276" s="25" t="s">
        <v>447</v>
      </c>
      <c r="C276" s="25"/>
      <c r="D276" s="75">
        <f t="shared" si="56"/>
        <v>46023</v>
      </c>
      <c r="E276" s="75">
        <f t="shared" si="57"/>
        <v>46007</v>
      </c>
      <c r="F276" s="75">
        <f t="shared" si="58"/>
        <v>46014</v>
      </c>
      <c r="G276" s="75">
        <f t="shared" si="59"/>
        <v>46020</v>
      </c>
      <c r="H276" s="75">
        <f t="shared" si="60"/>
        <v>46008</v>
      </c>
      <c r="I276" s="75">
        <f t="shared" si="61"/>
        <v>46015</v>
      </c>
      <c r="J276" s="75">
        <v>46029</v>
      </c>
      <c r="K276" s="76">
        <f t="shared" si="54"/>
        <v>29</v>
      </c>
      <c r="L276" s="82">
        <v>13.82</v>
      </c>
      <c r="M276" s="80">
        <v>12.54</v>
      </c>
      <c r="N276" s="25">
        <f t="shared" si="55"/>
        <v>1.2800000000000011</v>
      </c>
      <c r="O276" s="25" t="s">
        <v>545</v>
      </c>
    </row>
    <row r="277" spans="1:15" x14ac:dyDescent="0.25">
      <c r="A277" s="75">
        <v>46000</v>
      </c>
      <c r="B277" s="25" t="s">
        <v>448</v>
      </c>
      <c r="C277" s="25"/>
      <c r="D277" s="75">
        <f t="shared" si="56"/>
        <v>46023</v>
      </c>
      <c r="E277" s="75">
        <f t="shared" si="57"/>
        <v>46007</v>
      </c>
      <c r="F277" s="75">
        <f t="shared" si="58"/>
        <v>46014</v>
      </c>
      <c r="G277" s="75">
        <f t="shared" si="59"/>
        <v>46020</v>
      </c>
      <c r="H277" s="75">
        <f t="shared" si="60"/>
        <v>46008</v>
      </c>
      <c r="I277" s="75">
        <f t="shared" si="61"/>
        <v>46015</v>
      </c>
      <c r="J277" s="75">
        <v>46029</v>
      </c>
      <c r="K277" s="76">
        <f t="shared" si="54"/>
        <v>29</v>
      </c>
      <c r="L277" s="82">
        <v>14.75</v>
      </c>
      <c r="M277" s="80">
        <v>13.21</v>
      </c>
      <c r="N277" s="25">
        <f t="shared" si="55"/>
        <v>1.5399999999999991</v>
      </c>
      <c r="O277" s="25" t="s">
        <v>545</v>
      </c>
    </row>
    <row r="278" spans="1:15" x14ac:dyDescent="0.25">
      <c r="A278" s="75">
        <v>46001</v>
      </c>
      <c r="B278" s="25" t="s">
        <v>449</v>
      </c>
      <c r="C278" s="25"/>
      <c r="D278" s="75">
        <f t="shared" si="56"/>
        <v>46024</v>
      </c>
      <c r="E278" s="75">
        <f t="shared" si="57"/>
        <v>46008</v>
      </c>
      <c r="F278" s="75">
        <f t="shared" si="58"/>
        <v>46015</v>
      </c>
      <c r="G278" s="75">
        <f t="shared" si="59"/>
        <v>46021</v>
      </c>
      <c r="H278" s="75">
        <f t="shared" si="60"/>
        <v>46009</v>
      </c>
      <c r="I278" s="75">
        <f t="shared" si="61"/>
        <v>46016</v>
      </c>
      <c r="J278" s="75">
        <v>46029</v>
      </c>
      <c r="K278" s="76">
        <f t="shared" si="54"/>
        <v>28</v>
      </c>
      <c r="L278" s="82">
        <v>14.06</v>
      </c>
      <c r="M278" s="80">
        <v>12.88</v>
      </c>
      <c r="N278" s="25">
        <f t="shared" si="55"/>
        <v>1.1799999999999997</v>
      </c>
      <c r="O278" s="25" t="s">
        <v>545</v>
      </c>
    </row>
    <row r="279" spans="1:15" x14ac:dyDescent="0.25">
      <c r="A279" s="75">
        <v>46001</v>
      </c>
      <c r="B279" s="25" t="s">
        <v>450</v>
      </c>
      <c r="C279" s="25"/>
      <c r="D279" s="75">
        <f t="shared" si="56"/>
        <v>46024</v>
      </c>
      <c r="E279" s="75">
        <f t="shared" si="57"/>
        <v>46008</v>
      </c>
      <c r="F279" s="75">
        <f t="shared" si="58"/>
        <v>46015</v>
      </c>
      <c r="G279" s="75">
        <f t="shared" si="59"/>
        <v>46021</v>
      </c>
      <c r="H279" s="75">
        <f t="shared" si="60"/>
        <v>46009</v>
      </c>
      <c r="I279" s="75">
        <f t="shared" si="61"/>
        <v>46016</v>
      </c>
      <c r="J279" s="75">
        <v>46029</v>
      </c>
      <c r="K279" s="76">
        <f t="shared" si="54"/>
        <v>28</v>
      </c>
      <c r="L279" s="82">
        <v>12.3</v>
      </c>
      <c r="M279" s="80">
        <v>11.1</v>
      </c>
      <c r="N279" s="25">
        <f t="shared" si="55"/>
        <v>1.2000000000000011</v>
      </c>
      <c r="O279" s="25" t="s">
        <v>545</v>
      </c>
    </row>
    <row r="280" spans="1:15" x14ac:dyDescent="0.25">
      <c r="A280" s="75">
        <v>46001</v>
      </c>
      <c r="B280" s="25" t="s">
        <v>451</v>
      </c>
      <c r="C280" s="25"/>
      <c r="D280" s="75">
        <f t="shared" si="56"/>
        <v>46024</v>
      </c>
      <c r="E280" s="75">
        <f t="shared" si="57"/>
        <v>46008</v>
      </c>
      <c r="F280" s="75">
        <f t="shared" si="58"/>
        <v>46015</v>
      </c>
      <c r="G280" s="75">
        <f t="shared" si="59"/>
        <v>46021</v>
      </c>
      <c r="H280" s="75">
        <f t="shared" si="60"/>
        <v>46009</v>
      </c>
      <c r="I280" s="75">
        <f t="shared" si="61"/>
        <v>46016</v>
      </c>
      <c r="J280" s="75">
        <v>46029</v>
      </c>
      <c r="K280" s="76">
        <f t="shared" si="54"/>
        <v>28</v>
      </c>
      <c r="L280" s="82">
        <v>11.18</v>
      </c>
      <c r="M280" s="80">
        <v>9.2799999999999994</v>
      </c>
      <c r="N280" s="25">
        <f t="shared" si="55"/>
        <v>1.9000000000000004</v>
      </c>
      <c r="O280" s="25" t="s">
        <v>545</v>
      </c>
    </row>
    <row r="281" spans="1:15" x14ac:dyDescent="0.25">
      <c r="A281" s="75">
        <v>46001</v>
      </c>
      <c r="B281" s="25" t="s">
        <v>452</v>
      </c>
      <c r="C281" s="25"/>
      <c r="D281" s="75">
        <f t="shared" si="56"/>
        <v>46024</v>
      </c>
      <c r="E281" s="75">
        <f t="shared" si="57"/>
        <v>46008</v>
      </c>
      <c r="F281" s="75">
        <f t="shared" si="58"/>
        <v>46015</v>
      </c>
      <c r="G281" s="75">
        <f t="shared" si="59"/>
        <v>46021</v>
      </c>
      <c r="H281" s="75">
        <f t="shared" si="60"/>
        <v>46009</v>
      </c>
      <c r="I281" s="75">
        <f t="shared" si="61"/>
        <v>46016</v>
      </c>
      <c r="J281" s="75">
        <v>46030</v>
      </c>
      <c r="K281" s="76">
        <f t="shared" si="54"/>
        <v>29</v>
      </c>
      <c r="L281" s="82">
        <v>11.36</v>
      </c>
      <c r="M281" s="80">
        <v>5.21</v>
      </c>
      <c r="N281" s="25">
        <f t="shared" si="55"/>
        <v>6.1499999999999995</v>
      </c>
      <c r="O281" s="25" t="s">
        <v>544</v>
      </c>
    </row>
    <row r="282" spans="1:15" x14ac:dyDescent="0.25">
      <c r="A282" s="75">
        <v>46001</v>
      </c>
      <c r="B282" s="25" t="s">
        <v>453</v>
      </c>
      <c r="C282" s="25"/>
      <c r="D282" s="75">
        <f t="shared" si="56"/>
        <v>46024</v>
      </c>
      <c r="E282" s="75">
        <f t="shared" si="57"/>
        <v>46008</v>
      </c>
      <c r="F282" s="75">
        <f t="shared" si="58"/>
        <v>46015</v>
      </c>
      <c r="G282" s="75">
        <f t="shared" si="59"/>
        <v>46021</v>
      </c>
      <c r="H282" s="75">
        <f t="shared" si="60"/>
        <v>46009</v>
      </c>
      <c r="I282" s="75">
        <f t="shared" si="61"/>
        <v>46016</v>
      </c>
      <c r="J282" s="75">
        <v>46030</v>
      </c>
      <c r="K282" s="76">
        <f t="shared" si="54"/>
        <v>29</v>
      </c>
      <c r="L282" s="82">
        <v>10.85</v>
      </c>
      <c r="M282" s="80">
        <v>4.57</v>
      </c>
      <c r="N282" s="25">
        <f t="shared" si="55"/>
        <v>6.2799999999999994</v>
      </c>
      <c r="O282" s="25" t="s">
        <v>544</v>
      </c>
    </row>
    <row r="283" spans="1:15" x14ac:dyDescent="0.25">
      <c r="A283" s="75">
        <v>46001</v>
      </c>
      <c r="B283" s="25" t="s">
        <v>454</v>
      </c>
      <c r="C283" s="25"/>
      <c r="D283" s="75">
        <f t="shared" si="56"/>
        <v>46024</v>
      </c>
      <c r="E283" s="75">
        <f t="shared" si="57"/>
        <v>46008</v>
      </c>
      <c r="F283" s="75">
        <f t="shared" si="58"/>
        <v>46015</v>
      </c>
      <c r="G283" s="75">
        <f t="shared" si="59"/>
        <v>46021</v>
      </c>
      <c r="H283" s="75">
        <f t="shared" si="60"/>
        <v>46009</v>
      </c>
      <c r="I283" s="75">
        <f t="shared" si="61"/>
        <v>46016</v>
      </c>
      <c r="J283" s="75">
        <v>46030</v>
      </c>
      <c r="K283" s="76">
        <f t="shared" si="54"/>
        <v>29</v>
      </c>
      <c r="L283" s="82">
        <v>9.7899999999999991</v>
      </c>
      <c r="M283" s="80">
        <v>4.1500000000000004</v>
      </c>
      <c r="N283" s="25">
        <f t="shared" si="55"/>
        <v>5.6399999999999988</v>
      </c>
      <c r="O283" s="25" t="s">
        <v>544</v>
      </c>
    </row>
    <row r="284" spans="1:15" x14ac:dyDescent="0.25">
      <c r="A284" s="75">
        <v>46001</v>
      </c>
      <c r="B284" s="25" t="s">
        <v>455</v>
      </c>
      <c r="C284" s="25"/>
      <c r="D284" s="75">
        <f t="shared" si="56"/>
        <v>46024</v>
      </c>
      <c r="E284" s="75">
        <f t="shared" si="57"/>
        <v>46008</v>
      </c>
      <c r="F284" s="75">
        <f t="shared" si="58"/>
        <v>46015</v>
      </c>
      <c r="G284" s="75">
        <f t="shared" si="59"/>
        <v>46021</v>
      </c>
      <c r="H284" s="75">
        <f t="shared" si="60"/>
        <v>46009</v>
      </c>
      <c r="I284" s="75">
        <f t="shared" si="61"/>
        <v>46016</v>
      </c>
      <c r="J284" s="75">
        <v>46030</v>
      </c>
      <c r="K284" s="76">
        <f t="shared" si="54"/>
        <v>29</v>
      </c>
      <c r="L284" s="82">
        <v>11.68</v>
      </c>
      <c r="M284" s="80">
        <v>5.73</v>
      </c>
      <c r="N284" s="25">
        <f t="shared" si="55"/>
        <v>5.9499999999999993</v>
      </c>
      <c r="O284" s="25" t="s">
        <v>544</v>
      </c>
    </row>
    <row r="285" spans="1:15" x14ac:dyDescent="0.25">
      <c r="A285" s="75">
        <v>46002</v>
      </c>
      <c r="B285" s="25" t="s">
        <v>456</v>
      </c>
      <c r="C285" s="25"/>
      <c r="D285" s="75">
        <f t="shared" si="56"/>
        <v>46025</v>
      </c>
      <c r="E285" s="75">
        <f t="shared" si="57"/>
        <v>46009</v>
      </c>
      <c r="F285" s="75">
        <f t="shared" si="58"/>
        <v>46016</v>
      </c>
      <c r="G285" s="75">
        <f t="shared" si="59"/>
        <v>46022</v>
      </c>
      <c r="H285" s="75">
        <f t="shared" si="60"/>
        <v>46010</v>
      </c>
      <c r="I285" s="75">
        <f t="shared" si="61"/>
        <v>46017</v>
      </c>
      <c r="J285" s="75">
        <v>46030</v>
      </c>
      <c r="K285" s="76">
        <f t="shared" si="54"/>
        <v>28</v>
      </c>
      <c r="L285" s="82">
        <v>10.11</v>
      </c>
      <c r="M285" s="80">
        <v>8.59</v>
      </c>
      <c r="N285" s="25">
        <f t="shared" si="55"/>
        <v>1.5199999999999996</v>
      </c>
      <c r="O285" s="25" t="s">
        <v>545</v>
      </c>
    </row>
    <row r="286" spans="1:15" x14ac:dyDescent="0.25">
      <c r="A286" s="75">
        <v>46002</v>
      </c>
      <c r="B286" s="25" t="s">
        <v>457</v>
      </c>
      <c r="C286" s="25"/>
      <c r="D286" s="75">
        <f t="shared" si="56"/>
        <v>46025</v>
      </c>
      <c r="E286" s="75">
        <f t="shared" si="57"/>
        <v>46009</v>
      </c>
      <c r="F286" s="75">
        <f t="shared" si="58"/>
        <v>46016</v>
      </c>
      <c r="G286" s="75">
        <f t="shared" si="59"/>
        <v>46022</v>
      </c>
      <c r="H286" s="75">
        <f t="shared" si="60"/>
        <v>46010</v>
      </c>
      <c r="I286" s="75">
        <f t="shared" si="61"/>
        <v>46017</v>
      </c>
      <c r="J286" s="75">
        <v>46030</v>
      </c>
      <c r="K286" s="76">
        <f t="shared" si="54"/>
        <v>28</v>
      </c>
      <c r="L286" s="82">
        <v>11.57</v>
      </c>
      <c r="M286" s="80">
        <v>9.1199999999999992</v>
      </c>
      <c r="N286" s="25">
        <f t="shared" si="55"/>
        <v>2.4500000000000011</v>
      </c>
      <c r="O286" s="25" t="s">
        <v>545</v>
      </c>
    </row>
    <row r="287" spans="1:15" x14ac:dyDescent="0.25">
      <c r="A287" s="75">
        <v>46002</v>
      </c>
      <c r="B287" s="25" t="s">
        <v>458</v>
      </c>
      <c r="C287" s="25"/>
      <c r="D287" s="75">
        <f t="shared" si="56"/>
        <v>46025</v>
      </c>
      <c r="E287" s="75">
        <f t="shared" si="57"/>
        <v>46009</v>
      </c>
      <c r="F287" s="75">
        <f t="shared" si="58"/>
        <v>46016</v>
      </c>
      <c r="G287" s="75">
        <f t="shared" si="59"/>
        <v>46022</v>
      </c>
      <c r="H287" s="75">
        <f t="shared" si="60"/>
        <v>46010</v>
      </c>
      <c r="I287" s="75">
        <f t="shared" si="61"/>
        <v>46017</v>
      </c>
      <c r="J287" s="75">
        <v>46030</v>
      </c>
      <c r="K287" s="76">
        <f t="shared" si="54"/>
        <v>28</v>
      </c>
      <c r="L287" s="82">
        <v>10.98</v>
      </c>
      <c r="M287" s="80">
        <v>9.31</v>
      </c>
      <c r="N287" s="25">
        <f t="shared" si="55"/>
        <v>1.67</v>
      </c>
      <c r="O287" s="25" t="s">
        <v>545</v>
      </c>
    </row>
    <row r="288" spans="1:15" x14ac:dyDescent="0.25">
      <c r="A288" s="75">
        <v>46002</v>
      </c>
      <c r="B288" s="25" t="s">
        <v>459</v>
      </c>
      <c r="C288" s="25"/>
      <c r="D288" s="75">
        <f t="shared" si="56"/>
        <v>46025</v>
      </c>
      <c r="E288" s="75">
        <f t="shared" si="57"/>
        <v>46009</v>
      </c>
      <c r="F288" s="75">
        <f t="shared" si="58"/>
        <v>46016</v>
      </c>
      <c r="G288" s="75">
        <f t="shared" si="59"/>
        <v>46022</v>
      </c>
      <c r="H288" s="75">
        <f t="shared" si="60"/>
        <v>46010</v>
      </c>
      <c r="I288" s="75">
        <f t="shared" si="61"/>
        <v>46017</v>
      </c>
      <c r="J288" s="75">
        <v>46030</v>
      </c>
      <c r="K288" s="76">
        <f t="shared" si="54"/>
        <v>28</v>
      </c>
      <c r="L288" s="82">
        <v>13.24</v>
      </c>
      <c r="M288" s="80">
        <v>10.47</v>
      </c>
      <c r="N288" s="25">
        <f t="shared" si="55"/>
        <v>2.7699999999999996</v>
      </c>
      <c r="O288" s="25" t="s">
        <v>545</v>
      </c>
    </row>
    <row r="289" spans="1:15" x14ac:dyDescent="0.25">
      <c r="A289" s="75">
        <v>46002</v>
      </c>
      <c r="B289" s="25" t="s">
        <v>460</v>
      </c>
      <c r="C289" s="25"/>
      <c r="D289" s="75">
        <f t="shared" si="56"/>
        <v>46025</v>
      </c>
      <c r="E289" s="75">
        <f t="shared" si="57"/>
        <v>46009</v>
      </c>
      <c r="F289" s="75">
        <f t="shared" si="58"/>
        <v>46016</v>
      </c>
      <c r="G289" s="75">
        <f t="shared" si="59"/>
        <v>46022</v>
      </c>
      <c r="H289" s="75">
        <f t="shared" si="60"/>
        <v>46010</v>
      </c>
      <c r="I289" s="75">
        <f t="shared" si="61"/>
        <v>46017</v>
      </c>
      <c r="J289" s="75">
        <v>46031</v>
      </c>
      <c r="K289" s="76">
        <f t="shared" si="54"/>
        <v>29</v>
      </c>
      <c r="L289" s="25">
        <v>10.91</v>
      </c>
      <c r="M289" s="25">
        <v>5.69</v>
      </c>
      <c r="N289" s="25">
        <f t="shared" si="55"/>
        <v>5.22</v>
      </c>
      <c r="O289" s="25" t="s">
        <v>544</v>
      </c>
    </row>
    <row r="290" spans="1:15" x14ac:dyDescent="0.25">
      <c r="A290" s="75">
        <v>46002</v>
      </c>
      <c r="B290" s="25" t="s">
        <v>461</v>
      </c>
      <c r="C290" s="25"/>
      <c r="D290" s="75">
        <f t="shared" si="56"/>
        <v>46025</v>
      </c>
      <c r="E290" s="75">
        <f t="shared" si="57"/>
        <v>46009</v>
      </c>
      <c r="F290" s="75">
        <f t="shared" si="58"/>
        <v>46016</v>
      </c>
      <c r="G290" s="75">
        <f t="shared" si="59"/>
        <v>46022</v>
      </c>
      <c r="H290" s="75">
        <f t="shared" si="60"/>
        <v>46010</v>
      </c>
      <c r="I290" s="75">
        <f t="shared" si="61"/>
        <v>46017</v>
      </c>
      <c r="J290" s="75">
        <v>46031</v>
      </c>
      <c r="K290" s="76">
        <f t="shared" si="54"/>
        <v>29</v>
      </c>
      <c r="L290" s="25">
        <v>11.19</v>
      </c>
      <c r="M290" s="25">
        <v>5.87</v>
      </c>
      <c r="N290" s="25">
        <f t="shared" si="55"/>
        <v>5.3199999999999994</v>
      </c>
      <c r="O290" s="25" t="s">
        <v>544</v>
      </c>
    </row>
    <row r="291" spans="1:15" x14ac:dyDescent="0.25">
      <c r="A291" s="75">
        <v>46002</v>
      </c>
      <c r="B291" s="25" t="s">
        <v>462</v>
      </c>
      <c r="C291" s="25"/>
      <c r="D291" s="75">
        <f t="shared" si="56"/>
        <v>46025</v>
      </c>
      <c r="E291" s="75">
        <f t="shared" si="57"/>
        <v>46009</v>
      </c>
      <c r="F291" s="75">
        <f t="shared" si="58"/>
        <v>46016</v>
      </c>
      <c r="G291" s="75">
        <f t="shared" si="59"/>
        <v>46022</v>
      </c>
      <c r="H291" s="75">
        <f t="shared" si="60"/>
        <v>46010</v>
      </c>
      <c r="I291" s="75">
        <f t="shared" si="61"/>
        <v>46017</v>
      </c>
      <c r="J291" s="75">
        <v>46031</v>
      </c>
      <c r="K291" s="76">
        <f t="shared" si="54"/>
        <v>29</v>
      </c>
      <c r="L291" s="25">
        <v>10.24</v>
      </c>
      <c r="M291" s="25">
        <v>4.96</v>
      </c>
      <c r="N291" s="25">
        <f t="shared" si="55"/>
        <v>5.28</v>
      </c>
      <c r="O291" s="25" t="s">
        <v>544</v>
      </c>
    </row>
    <row r="292" spans="1:15" x14ac:dyDescent="0.25">
      <c r="A292" s="75">
        <v>46003</v>
      </c>
      <c r="B292" s="25" t="s">
        <v>504</v>
      </c>
      <c r="C292" s="25"/>
      <c r="D292" s="75">
        <f t="shared" si="56"/>
        <v>46026</v>
      </c>
      <c r="E292" s="75">
        <f t="shared" si="57"/>
        <v>46010</v>
      </c>
      <c r="F292" s="75">
        <f t="shared" si="58"/>
        <v>46017</v>
      </c>
      <c r="G292" s="75">
        <f t="shared" si="59"/>
        <v>46023</v>
      </c>
      <c r="H292" s="75">
        <f t="shared" si="60"/>
        <v>46011</v>
      </c>
      <c r="I292" s="75">
        <f t="shared" si="61"/>
        <v>46018</v>
      </c>
      <c r="J292" s="75">
        <v>46032</v>
      </c>
      <c r="K292" s="76">
        <f t="shared" si="54"/>
        <v>29</v>
      </c>
      <c r="L292" s="25">
        <v>12.74</v>
      </c>
      <c r="M292" s="25">
        <v>6.18</v>
      </c>
      <c r="N292" s="25">
        <f t="shared" si="55"/>
        <v>6.5600000000000005</v>
      </c>
      <c r="O292" s="25" t="s">
        <v>544</v>
      </c>
    </row>
    <row r="293" spans="1:15" x14ac:dyDescent="0.25">
      <c r="A293" s="75">
        <v>46003</v>
      </c>
      <c r="B293" s="25" t="s">
        <v>505</v>
      </c>
      <c r="C293" s="25"/>
      <c r="D293" s="75">
        <f t="shared" si="56"/>
        <v>46026</v>
      </c>
      <c r="E293" s="75">
        <f t="shared" si="57"/>
        <v>46010</v>
      </c>
      <c r="F293" s="75">
        <f t="shared" si="58"/>
        <v>46017</v>
      </c>
      <c r="G293" s="75">
        <f t="shared" si="59"/>
        <v>46023</v>
      </c>
      <c r="H293" s="75">
        <f t="shared" si="60"/>
        <v>46011</v>
      </c>
      <c r="I293" s="75">
        <f t="shared" si="61"/>
        <v>46018</v>
      </c>
      <c r="J293" s="75">
        <v>46031</v>
      </c>
      <c r="K293" s="76">
        <f t="shared" si="54"/>
        <v>28</v>
      </c>
      <c r="L293" s="25">
        <v>15.17</v>
      </c>
      <c r="M293" s="25">
        <v>14.81</v>
      </c>
      <c r="N293" s="25">
        <f t="shared" si="55"/>
        <v>0.35999999999999943</v>
      </c>
      <c r="O293" s="25" t="s">
        <v>545</v>
      </c>
    </row>
    <row r="294" spans="1:15" x14ac:dyDescent="0.25">
      <c r="A294" s="75">
        <v>46003</v>
      </c>
      <c r="B294" s="25" t="s">
        <v>506</v>
      </c>
      <c r="C294" s="25"/>
      <c r="D294" s="75">
        <f t="shared" si="56"/>
        <v>46026</v>
      </c>
      <c r="E294" s="75">
        <f t="shared" si="57"/>
        <v>46010</v>
      </c>
      <c r="F294" s="75">
        <f t="shared" si="58"/>
        <v>46017</v>
      </c>
      <c r="G294" s="75">
        <f t="shared" si="59"/>
        <v>46023</v>
      </c>
      <c r="H294" s="75">
        <f t="shared" si="60"/>
        <v>46011</v>
      </c>
      <c r="I294" s="75">
        <f t="shared" si="61"/>
        <v>46018</v>
      </c>
      <c r="J294" s="75">
        <v>46031</v>
      </c>
      <c r="K294" s="76">
        <f t="shared" si="54"/>
        <v>28</v>
      </c>
      <c r="L294" s="25">
        <v>13.98</v>
      </c>
      <c r="M294" s="25">
        <v>12.77</v>
      </c>
      <c r="N294" s="25">
        <f t="shared" si="55"/>
        <v>1.2100000000000009</v>
      </c>
      <c r="O294" s="25" t="s">
        <v>545</v>
      </c>
    </row>
    <row r="295" spans="1:15" x14ac:dyDescent="0.25">
      <c r="A295" s="75">
        <v>46003</v>
      </c>
      <c r="B295" s="25" t="s">
        <v>507</v>
      </c>
      <c r="C295" s="25"/>
      <c r="D295" s="75">
        <f t="shared" si="56"/>
        <v>46026</v>
      </c>
      <c r="E295" s="75">
        <f t="shared" si="57"/>
        <v>46010</v>
      </c>
      <c r="F295" s="75">
        <f t="shared" si="58"/>
        <v>46017</v>
      </c>
      <c r="G295" s="75">
        <f t="shared" si="59"/>
        <v>46023</v>
      </c>
      <c r="H295" s="75">
        <f t="shared" si="60"/>
        <v>46011</v>
      </c>
      <c r="I295" s="75">
        <f t="shared" si="61"/>
        <v>46018</v>
      </c>
      <c r="J295" s="75">
        <v>46031</v>
      </c>
      <c r="K295" s="76">
        <f t="shared" si="54"/>
        <v>28</v>
      </c>
      <c r="L295" s="25">
        <v>13.41</v>
      </c>
      <c r="M295" s="25">
        <v>12.1</v>
      </c>
      <c r="N295" s="25">
        <f t="shared" si="55"/>
        <v>1.3100000000000005</v>
      </c>
      <c r="O295" s="25" t="s">
        <v>545</v>
      </c>
    </row>
    <row r="296" spans="1:15" x14ac:dyDescent="0.25">
      <c r="A296" s="75">
        <v>46003</v>
      </c>
      <c r="B296" s="25" t="s">
        <v>508</v>
      </c>
      <c r="C296" s="25"/>
      <c r="D296" s="75">
        <f t="shared" si="56"/>
        <v>46026</v>
      </c>
      <c r="E296" s="75">
        <f t="shared" si="57"/>
        <v>46010</v>
      </c>
      <c r="F296" s="75">
        <f t="shared" si="58"/>
        <v>46017</v>
      </c>
      <c r="G296" s="75">
        <f t="shared" si="59"/>
        <v>46023</v>
      </c>
      <c r="H296" s="75">
        <f t="shared" si="60"/>
        <v>46011</v>
      </c>
      <c r="I296" s="75">
        <f t="shared" si="61"/>
        <v>46018</v>
      </c>
      <c r="J296" s="75">
        <v>46031</v>
      </c>
      <c r="K296" s="76">
        <f t="shared" si="54"/>
        <v>28</v>
      </c>
      <c r="L296" s="25">
        <v>12.86</v>
      </c>
      <c r="M296" s="25">
        <v>11.69</v>
      </c>
      <c r="N296" s="25">
        <f t="shared" si="55"/>
        <v>1.17</v>
      </c>
      <c r="O296" s="25" t="s">
        <v>545</v>
      </c>
    </row>
    <row r="297" spans="1:15" x14ac:dyDescent="0.25">
      <c r="A297" s="75">
        <v>46003</v>
      </c>
      <c r="B297" s="25" t="s">
        <v>509</v>
      </c>
      <c r="C297" s="25"/>
      <c r="D297" s="75">
        <f t="shared" si="56"/>
        <v>46026</v>
      </c>
      <c r="E297" s="75">
        <f t="shared" si="57"/>
        <v>46010</v>
      </c>
      <c r="F297" s="75">
        <f t="shared" si="58"/>
        <v>46017</v>
      </c>
      <c r="G297" s="75">
        <f t="shared" si="59"/>
        <v>46023</v>
      </c>
      <c r="H297" s="75">
        <f t="shared" si="60"/>
        <v>46011</v>
      </c>
      <c r="I297" s="75">
        <f t="shared" si="61"/>
        <v>46018</v>
      </c>
      <c r="J297" s="75">
        <v>46031</v>
      </c>
      <c r="K297" s="76">
        <f t="shared" si="54"/>
        <v>28</v>
      </c>
      <c r="L297" s="25">
        <v>13.47</v>
      </c>
      <c r="M297" s="25">
        <v>7.39</v>
      </c>
      <c r="N297" s="25">
        <f t="shared" si="55"/>
        <v>6.080000000000001</v>
      </c>
      <c r="O297" s="25" t="s">
        <v>544</v>
      </c>
    </row>
    <row r="298" spans="1:15" x14ac:dyDescent="0.25">
      <c r="A298" s="75">
        <v>46003</v>
      </c>
      <c r="B298" s="25" t="s">
        <v>510</v>
      </c>
      <c r="C298" s="25"/>
      <c r="D298" s="75">
        <f t="shared" si="56"/>
        <v>46026</v>
      </c>
      <c r="E298" s="75">
        <f t="shared" si="57"/>
        <v>46010</v>
      </c>
      <c r="F298" s="75">
        <f t="shared" si="58"/>
        <v>46017</v>
      </c>
      <c r="G298" s="75">
        <f t="shared" si="59"/>
        <v>46023</v>
      </c>
      <c r="H298" s="75">
        <f t="shared" si="60"/>
        <v>46011</v>
      </c>
      <c r="I298" s="75">
        <f t="shared" si="61"/>
        <v>46018</v>
      </c>
      <c r="J298" s="75">
        <v>46031</v>
      </c>
      <c r="K298" s="76">
        <f t="shared" si="54"/>
        <v>28</v>
      </c>
      <c r="L298" s="25">
        <v>11.58</v>
      </c>
      <c r="M298" s="25">
        <v>6.73</v>
      </c>
      <c r="N298" s="25">
        <f t="shared" si="55"/>
        <v>4.8499999999999996</v>
      </c>
      <c r="O298" s="25" t="s">
        <v>544</v>
      </c>
    </row>
    <row r="299" spans="1:15" x14ac:dyDescent="0.25">
      <c r="A299" s="75">
        <v>46004</v>
      </c>
      <c r="B299" s="25" t="s">
        <v>497</v>
      </c>
      <c r="C299" s="25"/>
      <c r="D299" s="75">
        <f t="shared" si="56"/>
        <v>46027</v>
      </c>
      <c r="E299" s="75">
        <f t="shared" si="57"/>
        <v>46011</v>
      </c>
      <c r="F299" s="75">
        <f t="shared" si="58"/>
        <v>46018</v>
      </c>
      <c r="G299" s="75">
        <f t="shared" si="59"/>
        <v>46024</v>
      </c>
      <c r="H299" s="75">
        <f t="shared" si="60"/>
        <v>46012</v>
      </c>
      <c r="I299" s="75">
        <f t="shared" si="61"/>
        <v>46019</v>
      </c>
      <c r="J299" s="75">
        <v>46032</v>
      </c>
      <c r="K299" s="76">
        <f t="shared" si="54"/>
        <v>28</v>
      </c>
      <c r="L299" s="25">
        <v>12.15</v>
      </c>
      <c r="M299" s="25">
        <v>10.96</v>
      </c>
      <c r="N299" s="25">
        <f t="shared" si="55"/>
        <v>1.1899999999999995</v>
      </c>
      <c r="O299" s="25" t="s">
        <v>545</v>
      </c>
    </row>
    <row r="300" spans="1:15" x14ac:dyDescent="0.25">
      <c r="A300" s="75">
        <v>46004</v>
      </c>
      <c r="B300" s="25" t="s">
        <v>498</v>
      </c>
      <c r="C300" s="25"/>
      <c r="D300" s="75">
        <f t="shared" si="56"/>
        <v>46027</v>
      </c>
      <c r="E300" s="75">
        <f t="shared" si="57"/>
        <v>46011</v>
      </c>
      <c r="F300" s="75">
        <f t="shared" si="58"/>
        <v>46018</v>
      </c>
      <c r="G300" s="75">
        <f t="shared" si="59"/>
        <v>46024</v>
      </c>
      <c r="H300" s="75">
        <f t="shared" si="60"/>
        <v>46012</v>
      </c>
      <c r="I300" s="75">
        <f t="shared" si="61"/>
        <v>46019</v>
      </c>
      <c r="J300" s="75">
        <v>46032</v>
      </c>
      <c r="K300" s="76">
        <f t="shared" si="54"/>
        <v>28</v>
      </c>
      <c r="L300" s="25">
        <v>12.91</v>
      </c>
      <c r="M300" s="25">
        <v>11.81</v>
      </c>
      <c r="N300" s="25">
        <f t="shared" si="55"/>
        <v>1.0999999999999996</v>
      </c>
      <c r="O300" s="25" t="s">
        <v>545</v>
      </c>
    </row>
    <row r="301" spans="1:15" x14ac:dyDescent="0.25">
      <c r="A301" s="75">
        <v>46004</v>
      </c>
      <c r="B301" s="25" t="s">
        <v>499</v>
      </c>
      <c r="C301" s="25"/>
      <c r="D301" s="75">
        <f t="shared" si="56"/>
        <v>46027</v>
      </c>
      <c r="E301" s="75">
        <f t="shared" si="57"/>
        <v>46011</v>
      </c>
      <c r="F301" s="75">
        <f t="shared" si="58"/>
        <v>46018</v>
      </c>
      <c r="G301" s="75">
        <f t="shared" si="59"/>
        <v>46024</v>
      </c>
      <c r="H301" s="75">
        <f t="shared" si="60"/>
        <v>46012</v>
      </c>
      <c r="I301" s="75">
        <f t="shared" si="61"/>
        <v>46019</v>
      </c>
      <c r="J301" s="75">
        <v>46032</v>
      </c>
      <c r="K301" s="76">
        <f t="shared" si="54"/>
        <v>28</v>
      </c>
      <c r="L301" s="25">
        <v>11.86</v>
      </c>
      <c r="M301" s="25">
        <v>10.54</v>
      </c>
      <c r="N301" s="25">
        <f t="shared" si="55"/>
        <v>1.3200000000000003</v>
      </c>
      <c r="O301" s="25" t="s">
        <v>545</v>
      </c>
    </row>
    <row r="302" spans="1:15" x14ac:dyDescent="0.25">
      <c r="A302" s="75">
        <v>46004</v>
      </c>
      <c r="B302" s="25" t="s">
        <v>500</v>
      </c>
      <c r="C302" s="25"/>
      <c r="D302" s="75">
        <f t="shared" si="56"/>
        <v>46027</v>
      </c>
      <c r="E302" s="75">
        <f t="shared" si="57"/>
        <v>46011</v>
      </c>
      <c r="F302" s="75">
        <f t="shared" si="58"/>
        <v>46018</v>
      </c>
      <c r="G302" s="75">
        <f t="shared" si="59"/>
        <v>46024</v>
      </c>
      <c r="H302" s="75">
        <f t="shared" si="60"/>
        <v>46012</v>
      </c>
      <c r="I302" s="75">
        <f t="shared" si="61"/>
        <v>46019</v>
      </c>
      <c r="J302" s="75">
        <v>46032</v>
      </c>
      <c r="K302" s="76">
        <f t="shared" si="54"/>
        <v>28</v>
      </c>
      <c r="L302" s="25">
        <v>11.17</v>
      </c>
      <c r="M302" s="25">
        <v>9.2799999999999994</v>
      </c>
      <c r="N302" s="25">
        <f t="shared" si="55"/>
        <v>1.8900000000000006</v>
      </c>
      <c r="O302" s="25" t="s">
        <v>545</v>
      </c>
    </row>
    <row r="303" spans="1:15" x14ac:dyDescent="0.25">
      <c r="A303" s="75">
        <v>46004</v>
      </c>
      <c r="B303" s="25" t="s">
        <v>501</v>
      </c>
      <c r="C303" s="25"/>
      <c r="D303" s="75">
        <f t="shared" si="56"/>
        <v>46027</v>
      </c>
      <c r="E303" s="75">
        <f t="shared" si="57"/>
        <v>46011</v>
      </c>
      <c r="F303" s="75">
        <f t="shared" si="58"/>
        <v>46018</v>
      </c>
      <c r="G303" s="75">
        <f t="shared" si="59"/>
        <v>46024</v>
      </c>
      <c r="H303" s="75">
        <f t="shared" si="60"/>
        <v>46012</v>
      </c>
      <c r="I303" s="75">
        <f t="shared" si="61"/>
        <v>46019</v>
      </c>
      <c r="J303" s="75">
        <v>46032</v>
      </c>
      <c r="K303" s="76">
        <f t="shared" si="54"/>
        <v>28</v>
      </c>
      <c r="L303" s="25">
        <v>10.98</v>
      </c>
      <c r="M303" s="25">
        <v>5.09</v>
      </c>
      <c r="N303" s="25">
        <f t="shared" si="55"/>
        <v>5.8900000000000006</v>
      </c>
      <c r="O303" s="25" t="s">
        <v>544</v>
      </c>
    </row>
    <row r="304" spans="1:15" x14ac:dyDescent="0.25">
      <c r="A304" s="75">
        <v>46004</v>
      </c>
      <c r="B304" s="25" t="s">
        <v>502</v>
      </c>
      <c r="C304" s="25"/>
      <c r="D304" s="75">
        <f t="shared" si="56"/>
        <v>46027</v>
      </c>
      <c r="E304" s="75">
        <f t="shared" si="57"/>
        <v>46011</v>
      </c>
      <c r="F304" s="75">
        <f t="shared" si="58"/>
        <v>46018</v>
      </c>
      <c r="G304" s="75">
        <f t="shared" si="59"/>
        <v>46024</v>
      </c>
      <c r="H304" s="75">
        <f t="shared" si="60"/>
        <v>46012</v>
      </c>
      <c r="I304" s="75">
        <f t="shared" si="61"/>
        <v>46019</v>
      </c>
      <c r="J304" s="75">
        <v>46032</v>
      </c>
      <c r="K304" s="76">
        <f t="shared" si="54"/>
        <v>28</v>
      </c>
      <c r="L304" s="25">
        <v>10.31</v>
      </c>
      <c r="M304" s="25">
        <v>4.17</v>
      </c>
      <c r="N304" s="25">
        <f t="shared" si="55"/>
        <v>6.1400000000000006</v>
      </c>
      <c r="O304" s="25" t="s">
        <v>544</v>
      </c>
    </row>
    <row r="305" spans="1:15" x14ac:dyDescent="0.25">
      <c r="A305" s="75">
        <v>46004</v>
      </c>
      <c r="B305" s="25" t="s">
        <v>503</v>
      </c>
      <c r="C305" s="25"/>
      <c r="D305" s="75">
        <f t="shared" si="56"/>
        <v>46027</v>
      </c>
      <c r="E305" s="75">
        <f t="shared" si="57"/>
        <v>46011</v>
      </c>
      <c r="F305" s="75">
        <f t="shared" si="58"/>
        <v>46018</v>
      </c>
      <c r="G305" s="75">
        <f t="shared" si="59"/>
        <v>46024</v>
      </c>
      <c r="H305" s="75">
        <f t="shared" si="60"/>
        <v>46012</v>
      </c>
      <c r="I305" s="75">
        <f t="shared" si="61"/>
        <v>46019</v>
      </c>
      <c r="J305" s="75">
        <v>46032</v>
      </c>
      <c r="K305" s="76">
        <f t="shared" si="54"/>
        <v>28</v>
      </c>
      <c r="L305" s="25">
        <v>11.45</v>
      </c>
      <c r="M305" s="25">
        <v>5.26</v>
      </c>
      <c r="N305" s="25">
        <f t="shared" si="55"/>
        <v>6.1899999999999995</v>
      </c>
      <c r="O305" s="25" t="s">
        <v>544</v>
      </c>
    </row>
    <row r="306" spans="1:15" x14ac:dyDescent="0.25">
      <c r="A306" s="75">
        <v>46005</v>
      </c>
      <c r="B306" s="25" t="s">
        <v>489</v>
      </c>
      <c r="C306" s="25"/>
      <c r="D306" s="75">
        <f t="shared" si="56"/>
        <v>46028</v>
      </c>
      <c r="E306" s="75">
        <f t="shared" si="57"/>
        <v>46012</v>
      </c>
      <c r="F306" s="75">
        <f t="shared" si="58"/>
        <v>46019</v>
      </c>
      <c r="G306" s="75">
        <f t="shared" si="59"/>
        <v>46025</v>
      </c>
      <c r="H306" s="75">
        <f t="shared" si="60"/>
        <v>46013</v>
      </c>
      <c r="I306" s="75">
        <f t="shared" si="61"/>
        <v>46020</v>
      </c>
      <c r="J306" s="75">
        <v>46033</v>
      </c>
      <c r="K306" s="76">
        <f t="shared" si="54"/>
        <v>28</v>
      </c>
      <c r="L306" s="25">
        <v>12.07</v>
      </c>
      <c r="M306" s="25">
        <v>10.78</v>
      </c>
      <c r="N306" s="25">
        <f t="shared" si="55"/>
        <v>1.2900000000000009</v>
      </c>
      <c r="O306" s="25" t="s">
        <v>545</v>
      </c>
    </row>
    <row r="307" spans="1:15" x14ac:dyDescent="0.25">
      <c r="A307" s="75">
        <v>46005</v>
      </c>
      <c r="B307" s="25" t="s">
        <v>490</v>
      </c>
      <c r="C307" s="25"/>
      <c r="D307" s="75">
        <f t="shared" si="56"/>
        <v>46028</v>
      </c>
      <c r="E307" s="75">
        <f t="shared" si="57"/>
        <v>46012</v>
      </c>
      <c r="F307" s="75">
        <f t="shared" si="58"/>
        <v>46019</v>
      </c>
      <c r="G307" s="75">
        <f t="shared" si="59"/>
        <v>46025</v>
      </c>
      <c r="H307" s="75">
        <f t="shared" si="60"/>
        <v>46013</v>
      </c>
      <c r="I307" s="75">
        <f t="shared" si="61"/>
        <v>46020</v>
      </c>
      <c r="J307" s="75">
        <v>46033</v>
      </c>
      <c r="K307" s="76">
        <f t="shared" si="54"/>
        <v>28</v>
      </c>
      <c r="L307" s="25">
        <v>12.51</v>
      </c>
      <c r="M307" s="25">
        <v>11.89</v>
      </c>
      <c r="N307" s="25">
        <f t="shared" si="55"/>
        <v>0.61999999999999922</v>
      </c>
      <c r="O307" s="25" t="s">
        <v>545</v>
      </c>
    </row>
    <row r="308" spans="1:15" x14ac:dyDescent="0.25">
      <c r="A308" s="75">
        <v>46005</v>
      </c>
      <c r="B308" s="25" t="s">
        <v>491</v>
      </c>
      <c r="C308" s="25"/>
      <c r="D308" s="75">
        <f t="shared" si="56"/>
        <v>46028</v>
      </c>
      <c r="E308" s="75">
        <f t="shared" si="57"/>
        <v>46012</v>
      </c>
      <c r="F308" s="75">
        <f t="shared" si="58"/>
        <v>46019</v>
      </c>
      <c r="G308" s="75">
        <f t="shared" si="59"/>
        <v>46025</v>
      </c>
      <c r="H308" s="75">
        <f t="shared" si="60"/>
        <v>46013</v>
      </c>
      <c r="I308" s="75">
        <f t="shared" si="61"/>
        <v>46020</v>
      </c>
      <c r="J308" s="75">
        <v>46033</v>
      </c>
      <c r="K308" s="76">
        <f t="shared" si="54"/>
        <v>28</v>
      </c>
      <c r="L308" s="25">
        <v>14.98</v>
      </c>
      <c r="M308" s="25">
        <v>13.51</v>
      </c>
      <c r="N308" s="25">
        <f t="shared" si="55"/>
        <v>1.4700000000000006</v>
      </c>
      <c r="O308" s="25" t="s">
        <v>545</v>
      </c>
    </row>
    <row r="309" spans="1:15" x14ac:dyDescent="0.25">
      <c r="A309" s="75">
        <v>46005</v>
      </c>
      <c r="B309" s="25" t="s">
        <v>492</v>
      </c>
      <c r="C309" s="25"/>
      <c r="D309" s="75">
        <f t="shared" si="56"/>
        <v>46028</v>
      </c>
      <c r="E309" s="75">
        <f t="shared" si="57"/>
        <v>46012</v>
      </c>
      <c r="F309" s="75">
        <f t="shared" si="58"/>
        <v>46019</v>
      </c>
      <c r="G309" s="75">
        <f t="shared" si="59"/>
        <v>46025</v>
      </c>
      <c r="H309" s="75">
        <f t="shared" si="60"/>
        <v>46013</v>
      </c>
      <c r="I309" s="75">
        <f t="shared" si="61"/>
        <v>46020</v>
      </c>
      <c r="J309" s="75">
        <v>46033</v>
      </c>
      <c r="K309" s="76">
        <f t="shared" si="54"/>
        <v>28</v>
      </c>
      <c r="L309" s="25">
        <v>14.08</v>
      </c>
      <c r="M309" s="25">
        <v>12.76</v>
      </c>
      <c r="N309" s="25">
        <f t="shared" si="55"/>
        <v>1.3200000000000003</v>
      </c>
      <c r="O309" s="25" t="s">
        <v>545</v>
      </c>
    </row>
    <row r="310" spans="1:15" x14ac:dyDescent="0.25">
      <c r="A310" s="75">
        <v>46005</v>
      </c>
      <c r="B310" s="25" t="s">
        <v>493</v>
      </c>
      <c r="C310" s="25"/>
      <c r="D310" s="75">
        <f t="shared" si="56"/>
        <v>46028</v>
      </c>
      <c r="E310" s="75">
        <f t="shared" si="57"/>
        <v>46012</v>
      </c>
      <c r="F310" s="75">
        <f t="shared" si="58"/>
        <v>46019</v>
      </c>
      <c r="G310" s="75">
        <f t="shared" si="59"/>
        <v>46025</v>
      </c>
      <c r="H310" s="75">
        <f t="shared" si="60"/>
        <v>46013</v>
      </c>
      <c r="I310" s="75">
        <f t="shared" si="61"/>
        <v>46020</v>
      </c>
      <c r="J310" s="75">
        <v>46033</v>
      </c>
      <c r="K310" s="76">
        <f t="shared" si="54"/>
        <v>28</v>
      </c>
      <c r="L310" s="25">
        <v>13.28</v>
      </c>
      <c r="M310" s="25">
        <v>6.42</v>
      </c>
      <c r="N310" s="25">
        <f t="shared" si="55"/>
        <v>6.8599999999999994</v>
      </c>
      <c r="O310" s="25" t="s">
        <v>544</v>
      </c>
    </row>
    <row r="311" spans="1:15" x14ac:dyDescent="0.25">
      <c r="A311" s="75">
        <v>46005</v>
      </c>
      <c r="B311" s="25" t="s">
        <v>494</v>
      </c>
      <c r="C311" s="25"/>
      <c r="D311" s="75">
        <f t="shared" si="56"/>
        <v>46028</v>
      </c>
      <c r="E311" s="75">
        <f t="shared" si="57"/>
        <v>46012</v>
      </c>
      <c r="F311" s="75">
        <f t="shared" si="58"/>
        <v>46019</v>
      </c>
      <c r="G311" s="75">
        <f t="shared" si="59"/>
        <v>46025</v>
      </c>
      <c r="H311" s="75">
        <f t="shared" si="60"/>
        <v>46013</v>
      </c>
      <c r="I311" s="75">
        <f t="shared" si="61"/>
        <v>46020</v>
      </c>
      <c r="J311" s="75">
        <v>46033</v>
      </c>
      <c r="K311" s="76">
        <f t="shared" si="54"/>
        <v>28</v>
      </c>
      <c r="L311" s="25">
        <v>11.13</v>
      </c>
      <c r="M311" s="25">
        <v>5.87</v>
      </c>
      <c r="N311" s="25">
        <f t="shared" si="55"/>
        <v>5.2600000000000007</v>
      </c>
      <c r="O311" s="25" t="s">
        <v>544</v>
      </c>
    </row>
    <row r="312" spans="1:15" x14ac:dyDescent="0.25">
      <c r="A312" s="75">
        <v>46005</v>
      </c>
      <c r="B312" s="25" t="s">
        <v>495</v>
      </c>
      <c r="C312" s="25"/>
      <c r="D312" s="75">
        <f t="shared" si="56"/>
        <v>46028</v>
      </c>
      <c r="E312" s="75">
        <f t="shared" si="57"/>
        <v>46012</v>
      </c>
      <c r="F312" s="75">
        <f t="shared" si="58"/>
        <v>46019</v>
      </c>
      <c r="G312" s="75">
        <f t="shared" si="59"/>
        <v>46025</v>
      </c>
      <c r="H312" s="75">
        <f t="shared" si="60"/>
        <v>46013</v>
      </c>
      <c r="I312" s="75">
        <f t="shared" si="61"/>
        <v>46020</v>
      </c>
      <c r="J312" s="75">
        <v>46033</v>
      </c>
      <c r="K312" s="76">
        <f t="shared" si="54"/>
        <v>28</v>
      </c>
      <c r="L312" s="25">
        <v>13.91</v>
      </c>
      <c r="M312" s="25">
        <v>7.11</v>
      </c>
      <c r="N312" s="25">
        <f t="shared" si="55"/>
        <v>6.8</v>
      </c>
      <c r="O312" s="25" t="s">
        <v>544</v>
      </c>
    </row>
    <row r="313" spans="1:15" x14ac:dyDescent="0.25">
      <c r="A313" s="75">
        <v>46005</v>
      </c>
      <c r="B313" s="25" t="s">
        <v>496</v>
      </c>
      <c r="C313" s="25"/>
      <c r="D313" s="75">
        <f t="shared" si="56"/>
        <v>46028</v>
      </c>
      <c r="E313" s="75">
        <f t="shared" si="57"/>
        <v>46012</v>
      </c>
      <c r="F313" s="75">
        <f t="shared" si="58"/>
        <v>46019</v>
      </c>
      <c r="G313" s="75">
        <f t="shared" si="59"/>
        <v>46025</v>
      </c>
      <c r="H313" s="75">
        <f t="shared" si="60"/>
        <v>46013</v>
      </c>
      <c r="I313" s="75">
        <f t="shared" si="61"/>
        <v>46020</v>
      </c>
      <c r="J313" s="75">
        <v>46033</v>
      </c>
      <c r="K313" s="76">
        <f t="shared" si="54"/>
        <v>28</v>
      </c>
      <c r="L313" s="25">
        <v>12.84</v>
      </c>
      <c r="M313" s="25">
        <v>6.25</v>
      </c>
      <c r="N313" s="25">
        <f t="shared" si="55"/>
        <v>6.59</v>
      </c>
      <c r="O313" s="25" t="s">
        <v>544</v>
      </c>
    </row>
    <row r="314" spans="1:15" x14ac:dyDescent="0.25">
      <c r="A314" s="75">
        <v>46006</v>
      </c>
      <c r="B314" s="25" t="s">
        <v>465</v>
      </c>
      <c r="C314" s="25"/>
      <c r="D314" s="75">
        <f t="shared" si="56"/>
        <v>46029</v>
      </c>
      <c r="E314" s="75">
        <f t="shared" si="57"/>
        <v>46013</v>
      </c>
      <c r="F314" s="75">
        <f t="shared" si="58"/>
        <v>46020</v>
      </c>
      <c r="G314" s="75">
        <f t="shared" si="59"/>
        <v>46026</v>
      </c>
      <c r="H314" s="75">
        <f t="shared" si="60"/>
        <v>46014</v>
      </c>
      <c r="I314" s="75">
        <f t="shared" si="61"/>
        <v>46021</v>
      </c>
      <c r="J314" s="75">
        <v>46034</v>
      </c>
      <c r="K314" s="76">
        <f t="shared" si="54"/>
        <v>28</v>
      </c>
      <c r="L314" s="82">
        <v>10.38</v>
      </c>
      <c r="M314" s="80">
        <v>5.17</v>
      </c>
      <c r="N314" s="25">
        <f t="shared" si="55"/>
        <v>5.2100000000000009</v>
      </c>
      <c r="O314" s="80" t="s">
        <v>544</v>
      </c>
    </row>
    <row r="315" spans="1:15" x14ac:dyDescent="0.25">
      <c r="A315" s="75">
        <v>46006</v>
      </c>
      <c r="B315" s="25" t="s">
        <v>466</v>
      </c>
      <c r="C315" s="25"/>
      <c r="D315" s="75">
        <f t="shared" si="56"/>
        <v>46029</v>
      </c>
      <c r="E315" s="75">
        <f t="shared" si="57"/>
        <v>46013</v>
      </c>
      <c r="F315" s="75">
        <f t="shared" si="58"/>
        <v>46020</v>
      </c>
      <c r="G315" s="75">
        <f t="shared" si="59"/>
        <v>46026</v>
      </c>
      <c r="H315" s="75">
        <f t="shared" si="60"/>
        <v>46014</v>
      </c>
      <c r="I315" s="75">
        <f t="shared" si="61"/>
        <v>46021</v>
      </c>
      <c r="J315" s="75">
        <v>46034</v>
      </c>
      <c r="K315" s="76">
        <f t="shared" si="54"/>
        <v>28</v>
      </c>
      <c r="L315" s="82">
        <v>11.52</v>
      </c>
      <c r="M315" s="80">
        <v>6.31</v>
      </c>
      <c r="N315" s="25">
        <f t="shared" si="55"/>
        <v>5.21</v>
      </c>
      <c r="O315" s="80" t="s">
        <v>544</v>
      </c>
    </row>
    <row r="316" spans="1:15" x14ac:dyDescent="0.25">
      <c r="A316" s="75">
        <v>46006</v>
      </c>
      <c r="B316" s="25" t="s">
        <v>467</v>
      </c>
      <c r="C316" s="25"/>
      <c r="D316" s="75">
        <f t="shared" si="56"/>
        <v>46029</v>
      </c>
      <c r="E316" s="75">
        <f t="shared" si="57"/>
        <v>46013</v>
      </c>
      <c r="F316" s="75">
        <f t="shared" si="58"/>
        <v>46020</v>
      </c>
      <c r="G316" s="75">
        <f t="shared" si="59"/>
        <v>46026</v>
      </c>
      <c r="H316" s="75">
        <f t="shared" si="60"/>
        <v>46014</v>
      </c>
      <c r="I316" s="75">
        <f t="shared" si="61"/>
        <v>46021</v>
      </c>
      <c r="J316" s="75">
        <v>46034</v>
      </c>
      <c r="K316" s="76">
        <f t="shared" ref="K316:K341" si="62">J316-A316</f>
        <v>28</v>
      </c>
      <c r="L316" s="82">
        <v>10.29</v>
      </c>
      <c r="M316" s="80">
        <v>5.0999999999999996</v>
      </c>
      <c r="N316" s="25">
        <f t="shared" ref="N316:N366" si="63">L316-M316</f>
        <v>5.1899999999999995</v>
      </c>
      <c r="O316" s="80" t="s">
        <v>544</v>
      </c>
    </row>
    <row r="317" spans="1:15" x14ac:dyDescent="0.25">
      <c r="A317" s="75">
        <v>46006</v>
      </c>
      <c r="B317" s="25" t="s">
        <v>468</v>
      </c>
      <c r="C317" s="25"/>
      <c r="D317" s="75">
        <f t="shared" si="56"/>
        <v>46029</v>
      </c>
      <c r="E317" s="75">
        <f t="shared" si="57"/>
        <v>46013</v>
      </c>
      <c r="F317" s="75">
        <f t="shared" si="58"/>
        <v>46020</v>
      </c>
      <c r="G317" s="75">
        <f t="shared" si="59"/>
        <v>46026</v>
      </c>
      <c r="H317" s="75">
        <f t="shared" si="60"/>
        <v>46014</v>
      </c>
      <c r="I317" s="75">
        <f t="shared" si="61"/>
        <v>46021</v>
      </c>
      <c r="J317" s="75">
        <v>46034</v>
      </c>
      <c r="K317" s="76">
        <f t="shared" si="62"/>
        <v>28</v>
      </c>
      <c r="L317" s="82">
        <v>10.07</v>
      </c>
      <c r="M317" s="80">
        <v>4.5199999999999996</v>
      </c>
      <c r="N317" s="25">
        <f t="shared" si="63"/>
        <v>5.5500000000000007</v>
      </c>
      <c r="O317" s="80" t="s">
        <v>544</v>
      </c>
    </row>
    <row r="318" spans="1:15" x14ac:dyDescent="0.25">
      <c r="A318" s="75">
        <v>46006</v>
      </c>
      <c r="B318" s="25" t="s">
        <v>469</v>
      </c>
      <c r="C318" s="25"/>
      <c r="D318" s="75">
        <f t="shared" si="56"/>
        <v>46029</v>
      </c>
      <c r="E318" s="75">
        <f t="shared" si="57"/>
        <v>46013</v>
      </c>
      <c r="F318" s="75">
        <f t="shared" si="58"/>
        <v>46020</v>
      </c>
      <c r="G318" s="75">
        <f t="shared" si="59"/>
        <v>46026</v>
      </c>
      <c r="H318" s="75">
        <f t="shared" si="60"/>
        <v>46014</v>
      </c>
      <c r="I318" s="75">
        <f t="shared" si="61"/>
        <v>46021</v>
      </c>
      <c r="J318" s="75">
        <v>46034</v>
      </c>
      <c r="K318" s="76">
        <f t="shared" si="62"/>
        <v>28</v>
      </c>
      <c r="L318" s="82">
        <v>13.24</v>
      </c>
      <c r="M318" s="80">
        <v>11.71</v>
      </c>
      <c r="N318" s="25">
        <f t="shared" si="63"/>
        <v>1.5299999999999994</v>
      </c>
      <c r="O318" s="80" t="s">
        <v>545</v>
      </c>
    </row>
    <row r="319" spans="1:15" x14ac:dyDescent="0.25">
      <c r="A319" s="75">
        <v>46006</v>
      </c>
      <c r="B319" s="25" t="s">
        <v>470</v>
      </c>
      <c r="C319" s="25"/>
      <c r="D319" s="75">
        <f t="shared" si="56"/>
        <v>46029</v>
      </c>
      <c r="E319" s="75">
        <f t="shared" si="57"/>
        <v>46013</v>
      </c>
      <c r="F319" s="75">
        <f t="shared" si="58"/>
        <v>46020</v>
      </c>
      <c r="G319" s="75">
        <f t="shared" si="59"/>
        <v>46026</v>
      </c>
      <c r="H319" s="75">
        <f t="shared" si="60"/>
        <v>46014</v>
      </c>
      <c r="I319" s="75">
        <f t="shared" si="61"/>
        <v>46021</v>
      </c>
      <c r="J319" s="75">
        <v>46034</v>
      </c>
      <c r="K319" s="76">
        <f t="shared" si="62"/>
        <v>28</v>
      </c>
      <c r="L319" s="82">
        <v>12.03</v>
      </c>
      <c r="M319" s="80">
        <v>10.86</v>
      </c>
      <c r="N319" s="25">
        <f t="shared" si="63"/>
        <v>1.17</v>
      </c>
      <c r="O319" s="80" t="s">
        <v>545</v>
      </c>
    </row>
    <row r="320" spans="1:15" x14ac:dyDescent="0.25">
      <c r="A320" s="75">
        <v>46006</v>
      </c>
      <c r="B320" s="25" t="s">
        <v>471</v>
      </c>
      <c r="C320" s="25"/>
      <c r="D320" s="75">
        <f t="shared" si="56"/>
        <v>46029</v>
      </c>
      <c r="E320" s="75">
        <f t="shared" si="57"/>
        <v>46013</v>
      </c>
      <c r="F320" s="75">
        <f t="shared" si="58"/>
        <v>46020</v>
      </c>
      <c r="G320" s="75">
        <f t="shared" si="59"/>
        <v>46026</v>
      </c>
      <c r="H320" s="75">
        <f t="shared" si="60"/>
        <v>46014</v>
      </c>
      <c r="I320" s="75">
        <f t="shared" si="61"/>
        <v>46021</v>
      </c>
      <c r="J320" s="75">
        <v>46034</v>
      </c>
      <c r="K320" s="76">
        <f t="shared" si="62"/>
        <v>28</v>
      </c>
      <c r="L320" s="82">
        <v>13.98</v>
      </c>
      <c r="M320" s="80">
        <v>12.14</v>
      </c>
      <c r="N320" s="25">
        <f t="shared" si="63"/>
        <v>1.8399999999999999</v>
      </c>
      <c r="O320" s="80" t="s">
        <v>545</v>
      </c>
    </row>
    <row r="321" spans="1:15" x14ac:dyDescent="0.25">
      <c r="A321" s="75">
        <v>46007</v>
      </c>
      <c r="B321" s="25" t="s">
        <v>472</v>
      </c>
      <c r="C321" s="25"/>
      <c r="D321" s="75">
        <f t="shared" si="56"/>
        <v>46030</v>
      </c>
      <c r="E321" s="75">
        <f t="shared" si="57"/>
        <v>46014</v>
      </c>
      <c r="F321" s="75">
        <f t="shared" si="58"/>
        <v>46021</v>
      </c>
      <c r="G321" s="75">
        <f t="shared" si="59"/>
        <v>46027</v>
      </c>
      <c r="H321" s="75">
        <f t="shared" si="60"/>
        <v>46015</v>
      </c>
      <c r="I321" s="75">
        <f t="shared" si="61"/>
        <v>46022</v>
      </c>
      <c r="J321" s="75">
        <v>46034</v>
      </c>
      <c r="K321" s="76">
        <f t="shared" si="62"/>
        <v>27</v>
      </c>
      <c r="L321" s="82">
        <v>12.55</v>
      </c>
      <c r="M321" s="80">
        <v>11.39</v>
      </c>
      <c r="N321" s="25">
        <f t="shared" si="63"/>
        <v>1.1600000000000001</v>
      </c>
      <c r="O321" s="80" t="s">
        <v>545</v>
      </c>
    </row>
    <row r="322" spans="1:15" x14ac:dyDescent="0.25">
      <c r="A322" s="75">
        <v>46007</v>
      </c>
      <c r="B322" s="25" t="s">
        <v>473</v>
      </c>
      <c r="C322" s="25"/>
      <c r="D322" s="75">
        <f t="shared" si="56"/>
        <v>46030</v>
      </c>
      <c r="E322" s="75">
        <f t="shared" si="57"/>
        <v>46014</v>
      </c>
      <c r="F322" s="75">
        <f t="shared" si="58"/>
        <v>46021</v>
      </c>
      <c r="G322" s="75">
        <f t="shared" si="59"/>
        <v>46027</v>
      </c>
      <c r="H322" s="75">
        <f t="shared" si="60"/>
        <v>46015</v>
      </c>
      <c r="I322" s="75">
        <f t="shared" si="61"/>
        <v>46022</v>
      </c>
      <c r="J322" s="75">
        <v>46035</v>
      </c>
      <c r="K322" s="76">
        <f t="shared" si="62"/>
        <v>28</v>
      </c>
      <c r="L322" s="82">
        <v>9.51</v>
      </c>
      <c r="M322" s="80">
        <v>4.12</v>
      </c>
      <c r="N322" s="25">
        <f t="shared" si="63"/>
        <v>5.39</v>
      </c>
      <c r="O322" s="80" t="s">
        <v>544</v>
      </c>
    </row>
    <row r="323" spans="1:15" x14ac:dyDescent="0.25">
      <c r="A323" s="75">
        <v>46007</v>
      </c>
      <c r="B323" s="25" t="s">
        <v>474</v>
      </c>
      <c r="C323" s="25"/>
      <c r="D323" s="75">
        <f t="shared" ref="D323:D334" si="64">A323+23</f>
        <v>46030</v>
      </c>
      <c r="E323" s="75">
        <f t="shared" ref="E323:E334" si="65">A323+7</f>
        <v>46014</v>
      </c>
      <c r="F323" s="75">
        <f t="shared" ref="F323:F334" si="66">A323+14</f>
        <v>46021</v>
      </c>
      <c r="G323" s="75">
        <f t="shared" ref="G323:G334" si="67">A323+20</f>
        <v>46027</v>
      </c>
      <c r="H323" s="75">
        <f t="shared" ref="H323:H334" si="68">A323+8</f>
        <v>46015</v>
      </c>
      <c r="I323" s="75">
        <f t="shared" ref="I323:I334" si="69">A323+15</f>
        <v>46022</v>
      </c>
      <c r="J323" s="75">
        <v>46035</v>
      </c>
      <c r="K323" s="76">
        <f t="shared" si="62"/>
        <v>28</v>
      </c>
      <c r="L323" s="82">
        <v>10.75</v>
      </c>
      <c r="M323" s="80">
        <v>5.24</v>
      </c>
      <c r="N323" s="25">
        <f t="shared" si="63"/>
        <v>5.51</v>
      </c>
      <c r="O323" s="80" t="s">
        <v>544</v>
      </c>
    </row>
    <row r="324" spans="1:15" x14ac:dyDescent="0.25">
      <c r="A324" s="75">
        <v>46007</v>
      </c>
      <c r="B324" s="25" t="s">
        <v>475</v>
      </c>
      <c r="C324" s="25"/>
      <c r="D324" s="75">
        <f t="shared" si="64"/>
        <v>46030</v>
      </c>
      <c r="E324" s="75">
        <f t="shared" si="65"/>
        <v>46014</v>
      </c>
      <c r="F324" s="75">
        <f t="shared" si="66"/>
        <v>46021</v>
      </c>
      <c r="G324" s="75">
        <f t="shared" si="67"/>
        <v>46027</v>
      </c>
      <c r="H324" s="75">
        <f t="shared" si="68"/>
        <v>46015</v>
      </c>
      <c r="I324" s="75">
        <f t="shared" si="69"/>
        <v>46022</v>
      </c>
      <c r="J324" s="75">
        <v>46035</v>
      </c>
      <c r="K324" s="76">
        <f t="shared" si="62"/>
        <v>28</v>
      </c>
      <c r="L324" s="82">
        <v>11.18</v>
      </c>
      <c r="M324" s="80">
        <v>5.58</v>
      </c>
      <c r="N324" s="25">
        <f t="shared" si="63"/>
        <v>5.6</v>
      </c>
      <c r="O324" s="80" t="s">
        <v>544</v>
      </c>
    </row>
    <row r="325" spans="1:15" x14ac:dyDescent="0.25">
      <c r="A325" s="75">
        <v>46007</v>
      </c>
      <c r="B325" s="25" t="s">
        <v>476</v>
      </c>
      <c r="C325" s="25"/>
      <c r="D325" s="75">
        <f t="shared" si="64"/>
        <v>46030</v>
      </c>
      <c r="E325" s="75">
        <f t="shared" si="65"/>
        <v>46014</v>
      </c>
      <c r="F325" s="75">
        <f t="shared" si="66"/>
        <v>46021</v>
      </c>
      <c r="G325" s="75">
        <f t="shared" si="67"/>
        <v>46027</v>
      </c>
      <c r="H325" s="75">
        <f t="shared" si="68"/>
        <v>46015</v>
      </c>
      <c r="I325" s="75">
        <f t="shared" si="69"/>
        <v>46022</v>
      </c>
      <c r="J325" s="75">
        <v>46035</v>
      </c>
      <c r="K325" s="76">
        <f t="shared" si="62"/>
        <v>28</v>
      </c>
      <c r="L325" s="82">
        <v>8.27</v>
      </c>
      <c r="M325" s="80">
        <v>7.17</v>
      </c>
      <c r="N325" s="25">
        <f t="shared" si="63"/>
        <v>1.0999999999999996</v>
      </c>
      <c r="O325" s="80" t="s">
        <v>545</v>
      </c>
    </row>
    <row r="326" spans="1:15" x14ac:dyDescent="0.25">
      <c r="A326" s="75">
        <v>46007</v>
      </c>
      <c r="B326" s="25" t="s">
        <v>477</v>
      </c>
      <c r="C326" s="25"/>
      <c r="D326" s="75">
        <f t="shared" si="64"/>
        <v>46030</v>
      </c>
      <c r="E326" s="75">
        <f t="shared" si="65"/>
        <v>46014</v>
      </c>
      <c r="F326" s="75">
        <f t="shared" si="66"/>
        <v>46021</v>
      </c>
      <c r="G326" s="75">
        <f t="shared" si="67"/>
        <v>46027</v>
      </c>
      <c r="H326" s="75">
        <f t="shared" si="68"/>
        <v>46015</v>
      </c>
      <c r="I326" s="75">
        <f t="shared" si="69"/>
        <v>46022</v>
      </c>
      <c r="J326" s="75">
        <v>46036</v>
      </c>
      <c r="K326" s="76">
        <f t="shared" si="62"/>
        <v>29</v>
      </c>
      <c r="L326" s="82">
        <v>9.73</v>
      </c>
      <c r="M326" s="80">
        <v>4.3</v>
      </c>
      <c r="N326" s="25">
        <f t="shared" si="63"/>
        <v>5.4300000000000006</v>
      </c>
      <c r="O326" s="80" t="s">
        <v>544</v>
      </c>
    </row>
    <row r="327" spans="1:15" x14ac:dyDescent="0.25">
      <c r="A327" s="75">
        <v>46007</v>
      </c>
      <c r="B327" s="25" t="s">
        <v>478</v>
      </c>
      <c r="C327" s="25"/>
      <c r="D327" s="75">
        <f t="shared" si="64"/>
        <v>46030</v>
      </c>
      <c r="E327" s="75">
        <f t="shared" si="65"/>
        <v>46014</v>
      </c>
      <c r="F327" s="75">
        <f t="shared" si="66"/>
        <v>46021</v>
      </c>
      <c r="G327" s="75">
        <f t="shared" si="67"/>
        <v>46027</v>
      </c>
      <c r="H327" s="75">
        <f t="shared" si="68"/>
        <v>46015</v>
      </c>
      <c r="I327" s="75">
        <f t="shared" si="69"/>
        <v>46022</v>
      </c>
      <c r="J327" s="75">
        <v>46036</v>
      </c>
      <c r="K327" s="76">
        <f t="shared" si="62"/>
        <v>29</v>
      </c>
      <c r="L327" s="82">
        <v>11.28</v>
      </c>
      <c r="M327" s="80">
        <v>5.58</v>
      </c>
      <c r="N327" s="25">
        <f t="shared" si="63"/>
        <v>5.6999999999999993</v>
      </c>
      <c r="O327" s="80" t="s">
        <v>544</v>
      </c>
    </row>
    <row r="328" spans="1:15" x14ac:dyDescent="0.25">
      <c r="A328" s="75">
        <v>46008</v>
      </c>
      <c r="B328" s="25" t="s">
        <v>479</v>
      </c>
      <c r="C328" s="25"/>
      <c r="D328" s="75">
        <f t="shared" si="64"/>
        <v>46031</v>
      </c>
      <c r="E328" s="75">
        <f t="shared" si="65"/>
        <v>46015</v>
      </c>
      <c r="F328" s="75">
        <f t="shared" si="66"/>
        <v>46022</v>
      </c>
      <c r="G328" s="75">
        <f t="shared" si="67"/>
        <v>46028</v>
      </c>
      <c r="H328" s="75">
        <f t="shared" si="68"/>
        <v>46016</v>
      </c>
      <c r="I328" s="75">
        <f t="shared" si="69"/>
        <v>46023</v>
      </c>
      <c r="J328" s="75">
        <v>46036</v>
      </c>
      <c r="K328" s="76">
        <f t="shared" si="62"/>
        <v>28</v>
      </c>
      <c r="L328" s="82">
        <v>10.91</v>
      </c>
      <c r="M328" s="80">
        <v>5.13</v>
      </c>
      <c r="N328" s="25">
        <f t="shared" si="63"/>
        <v>5.78</v>
      </c>
      <c r="O328" s="80" t="s">
        <v>544</v>
      </c>
    </row>
    <row r="329" spans="1:15" x14ac:dyDescent="0.25">
      <c r="A329" s="75">
        <v>46008</v>
      </c>
      <c r="B329" s="25" t="s">
        <v>480</v>
      </c>
      <c r="C329" s="25"/>
      <c r="D329" s="75">
        <f t="shared" si="64"/>
        <v>46031</v>
      </c>
      <c r="E329" s="75">
        <f t="shared" si="65"/>
        <v>46015</v>
      </c>
      <c r="F329" s="75">
        <f t="shared" si="66"/>
        <v>46022</v>
      </c>
      <c r="G329" s="75">
        <f t="shared" si="67"/>
        <v>46028</v>
      </c>
      <c r="H329" s="75">
        <f t="shared" si="68"/>
        <v>46016</v>
      </c>
      <c r="I329" s="75">
        <f t="shared" si="69"/>
        <v>46023</v>
      </c>
      <c r="J329" s="75">
        <v>46036</v>
      </c>
      <c r="K329" s="76">
        <f t="shared" si="62"/>
        <v>28</v>
      </c>
      <c r="L329" s="82">
        <v>10.06</v>
      </c>
      <c r="M329" s="80">
        <v>4.72</v>
      </c>
      <c r="N329" s="25">
        <f t="shared" si="63"/>
        <v>5.3400000000000007</v>
      </c>
      <c r="O329" s="80" t="s">
        <v>544</v>
      </c>
    </row>
    <row r="330" spans="1:15" x14ac:dyDescent="0.25">
      <c r="A330" s="75">
        <v>46008</v>
      </c>
      <c r="B330" s="25" t="s">
        <v>481</v>
      </c>
      <c r="C330" s="25"/>
      <c r="D330" s="75">
        <f t="shared" si="64"/>
        <v>46031</v>
      </c>
      <c r="E330" s="75">
        <f t="shared" si="65"/>
        <v>46015</v>
      </c>
      <c r="F330" s="75">
        <f t="shared" si="66"/>
        <v>46022</v>
      </c>
      <c r="G330" s="75">
        <f t="shared" si="67"/>
        <v>46028</v>
      </c>
      <c r="H330" s="75">
        <f t="shared" si="68"/>
        <v>46016</v>
      </c>
      <c r="I330" s="75">
        <f t="shared" si="69"/>
        <v>46023</v>
      </c>
      <c r="J330" s="75">
        <v>46036</v>
      </c>
      <c r="K330" s="76">
        <f t="shared" si="62"/>
        <v>28</v>
      </c>
      <c r="L330" s="82">
        <v>11.81</v>
      </c>
      <c r="M330" s="80">
        <v>10.51</v>
      </c>
      <c r="N330" s="25">
        <f t="shared" si="63"/>
        <v>1.3000000000000007</v>
      </c>
      <c r="O330" s="80" t="s">
        <v>545</v>
      </c>
    </row>
    <row r="331" spans="1:15" x14ac:dyDescent="0.25">
      <c r="A331" s="75">
        <v>46008</v>
      </c>
      <c r="B331" s="25" t="s">
        <v>482</v>
      </c>
      <c r="C331" s="25"/>
      <c r="D331" s="75">
        <f t="shared" si="64"/>
        <v>46031</v>
      </c>
      <c r="E331" s="75">
        <f t="shared" si="65"/>
        <v>46015</v>
      </c>
      <c r="F331" s="75">
        <f t="shared" si="66"/>
        <v>46022</v>
      </c>
      <c r="G331" s="75">
        <f t="shared" si="67"/>
        <v>46028</v>
      </c>
      <c r="H331" s="75">
        <f t="shared" si="68"/>
        <v>46016</v>
      </c>
      <c r="I331" s="75">
        <f t="shared" si="69"/>
        <v>46023</v>
      </c>
      <c r="J331" s="75">
        <v>46036</v>
      </c>
      <c r="K331" s="76">
        <f t="shared" si="62"/>
        <v>28</v>
      </c>
      <c r="L331" s="82">
        <v>12.75</v>
      </c>
      <c r="M331" s="80">
        <v>11.27</v>
      </c>
      <c r="N331" s="25">
        <f t="shared" si="63"/>
        <v>1.4800000000000004</v>
      </c>
      <c r="O331" s="80" t="s">
        <v>545</v>
      </c>
    </row>
    <row r="332" spans="1:15" x14ac:dyDescent="0.25">
      <c r="A332" s="75">
        <v>46008</v>
      </c>
      <c r="B332" s="25" t="s">
        <v>483</v>
      </c>
      <c r="C332" s="25"/>
      <c r="D332" s="75">
        <f t="shared" si="64"/>
        <v>46031</v>
      </c>
      <c r="E332" s="75">
        <f t="shared" si="65"/>
        <v>46015</v>
      </c>
      <c r="F332" s="75">
        <f t="shared" si="66"/>
        <v>46022</v>
      </c>
      <c r="G332" s="75">
        <f t="shared" si="67"/>
        <v>46028</v>
      </c>
      <c r="H332" s="75">
        <f t="shared" si="68"/>
        <v>46016</v>
      </c>
      <c r="I332" s="75">
        <f t="shared" si="69"/>
        <v>46023</v>
      </c>
      <c r="J332" s="75">
        <v>46036</v>
      </c>
      <c r="K332" s="76">
        <f t="shared" si="62"/>
        <v>28</v>
      </c>
      <c r="L332" s="82">
        <v>12.11</v>
      </c>
      <c r="M332" s="80">
        <v>10.73</v>
      </c>
      <c r="N332" s="25">
        <f t="shared" si="63"/>
        <v>1.379999999999999</v>
      </c>
      <c r="O332" s="80" t="s">
        <v>545</v>
      </c>
    </row>
    <row r="333" spans="1:15" x14ac:dyDescent="0.25">
      <c r="A333" s="75">
        <v>46008</v>
      </c>
      <c r="B333" s="25" t="s">
        <v>484</v>
      </c>
      <c r="C333" s="25"/>
      <c r="D333" s="75">
        <f t="shared" si="64"/>
        <v>46031</v>
      </c>
      <c r="E333" s="75">
        <f t="shared" si="65"/>
        <v>46015</v>
      </c>
      <c r="F333" s="75">
        <f t="shared" si="66"/>
        <v>46022</v>
      </c>
      <c r="G333" s="75">
        <f t="shared" si="67"/>
        <v>46028</v>
      </c>
      <c r="H333" s="75">
        <f t="shared" si="68"/>
        <v>46016</v>
      </c>
      <c r="I333" s="75">
        <f t="shared" si="69"/>
        <v>46023</v>
      </c>
      <c r="J333" s="75">
        <v>46036</v>
      </c>
      <c r="K333" s="76">
        <f t="shared" si="62"/>
        <v>28</v>
      </c>
      <c r="L333" s="82">
        <v>13.59</v>
      </c>
      <c r="M333" s="80">
        <v>12.54</v>
      </c>
      <c r="N333" s="25">
        <f t="shared" si="63"/>
        <v>1.0500000000000007</v>
      </c>
      <c r="O333" s="80" t="s">
        <v>545</v>
      </c>
    </row>
    <row r="334" spans="1:15" x14ac:dyDescent="0.25">
      <c r="A334" s="75">
        <v>46008</v>
      </c>
      <c r="B334" s="25" t="s">
        <v>485</v>
      </c>
      <c r="C334" s="25"/>
      <c r="D334" s="75">
        <f t="shared" si="64"/>
        <v>46031</v>
      </c>
      <c r="E334" s="75">
        <f t="shared" si="65"/>
        <v>46015</v>
      </c>
      <c r="F334" s="75">
        <f t="shared" si="66"/>
        <v>46022</v>
      </c>
      <c r="G334" s="75">
        <f t="shared" si="67"/>
        <v>46028</v>
      </c>
      <c r="H334" s="75">
        <f t="shared" si="68"/>
        <v>46016</v>
      </c>
      <c r="I334" s="75">
        <f t="shared" si="69"/>
        <v>46023</v>
      </c>
      <c r="J334" s="75">
        <v>46036</v>
      </c>
      <c r="K334" s="76">
        <f t="shared" si="62"/>
        <v>28</v>
      </c>
      <c r="L334" s="82">
        <v>11.42</v>
      </c>
      <c r="M334" s="80">
        <v>10.25</v>
      </c>
      <c r="N334" s="25">
        <f t="shared" si="63"/>
        <v>1.17</v>
      </c>
      <c r="O334" s="80" t="s">
        <v>545</v>
      </c>
    </row>
    <row r="335" spans="1:15" x14ac:dyDescent="0.25">
      <c r="A335" s="75">
        <v>46009</v>
      </c>
      <c r="B335" s="25" t="s">
        <v>311</v>
      </c>
      <c r="C335" s="25"/>
      <c r="D335" s="75">
        <f t="shared" ref="D335:D348" si="70">A335+23</f>
        <v>46032</v>
      </c>
      <c r="E335" s="75">
        <f t="shared" ref="E335:E348" si="71">A335+7</f>
        <v>46016</v>
      </c>
      <c r="F335" s="75">
        <f t="shared" ref="F335:F348" si="72">A335+14</f>
        <v>46023</v>
      </c>
      <c r="G335" s="75">
        <f t="shared" ref="G335:G348" si="73">A335+20</f>
        <v>46029</v>
      </c>
      <c r="H335" s="75">
        <f t="shared" ref="H335:H348" si="74">A335+8</f>
        <v>46017</v>
      </c>
      <c r="I335" s="75">
        <f t="shared" ref="I335:I348" si="75">A335+15</f>
        <v>46024</v>
      </c>
      <c r="J335" s="75">
        <v>46036</v>
      </c>
      <c r="K335" s="76">
        <f t="shared" si="62"/>
        <v>27</v>
      </c>
      <c r="L335" s="82">
        <v>14.66</v>
      </c>
      <c r="M335" s="80">
        <v>13.86</v>
      </c>
      <c r="N335" s="25">
        <f t="shared" si="63"/>
        <v>0.80000000000000071</v>
      </c>
      <c r="O335" s="80" t="s">
        <v>545</v>
      </c>
    </row>
    <row r="336" spans="1:15" x14ac:dyDescent="0.25">
      <c r="A336" s="75">
        <v>46009</v>
      </c>
      <c r="B336" s="25" t="s">
        <v>312</v>
      </c>
      <c r="C336" s="25"/>
      <c r="D336" s="75">
        <f t="shared" si="70"/>
        <v>46032</v>
      </c>
      <c r="E336" s="75">
        <f t="shared" si="71"/>
        <v>46016</v>
      </c>
      <c r="F336" s="75">
        <f t="shared" si="72"/>
        <v>46023</v>
      </c>
      <c r="G336" s="75">
        <f t="shared" si="73"/>
        <v>46029</v>
      </c>
      <c r="H336" s="75">
        <f t="shared" si="74"/>
        <v>46017</v>
      </c>
      <c r="I336" s="75">
        <f t="shared" si="75"/>
        <v>46024</v>
      </c>
      <c r="J336" s="75">
        <v>46037</v>
      </c>
      <c r="K336" s="76">
        <f t="shared" si="62"/>
        <v>28</v>
      </c>
      <c r="L336" s="82">
        <v>15.24</v>
      </c>
      <c r="M336" s="80">
        <v>7.38</v>
      </c>
      <c r="N336" s="25">
        <f t="shared" si="63"/>
        <v>7.86</v>
      </c>
      <c r="O336" s="80" t="s">
        <v>544</v>
      </c>
    </row>
    <row r="337" spans="1:15" x14ac:dyDescent="0.25">
      <c r="A337" s="75">
        <v>46009</v>
      </c>
      <c r="B337" s="25" t="s">
        <v>313</v>
      </c>
      <c r="C337" s="25"/>
      <c r="D337" s="75">
        <f t="shared" si="70"/>
        <v>46032</v>
      </c>
      <c r="E337" s="75">
        <f t="shared" si="71"/>
        <v>46016</v>
      </c>
      <c r="F337" s="75">
        <f t="shared" si="72"/>
        <v>46023</v>
      </c>
      <c r="G337" s="75">
        <f t="shared" si="73"/>
        <v>46029</v>
      </c>
      <c r="H337" s="75">
        <f t="shared" si="74"/>
        <v>46017</v>
      </c>
      <c r="I337" s="75">
        <f t="shared" si="75"/>
        <v>46024</v>
      </c>
      <c r="J337" s="75">
        <v>46037</v>
      </c>
      <c r="K337" s="76">
        <f t="shared" si="62"/>
        <v>28</v>
      </c>
      <c r="L337" s="82">
        <v>16.59</v>
      </c>
      <c r="M337" s="80">
        <v>8.86</v>
      </c>
      <c r="N337" s="25">
        <f t="shared" si="63"/>
        <v>7.73</v>
      </c>
      <c r="O337" s="80" t="s">
        <v>544</v>
      </c>
    </row>
    <row r="338" spans="1:15" x14ac:dyDescent="0.25">
      <c r="A338" s="75">
        <v>46009</v>
      </c>
      <c r="B338" s="25" t="s">
        <v>314</v>
      </c>
      <c r="C338" s="25"/>
      <c r="D338" s="75">
        <f t="shared" si="70"/>
        <v>46032</v>
      </c>
      <c r="E338" s="75">
        <f t="shared" si="71"/>
        <v>46016</v>
      </c>
      <c r="F338" s="75">
        <f t="shared" si="72"/>
        <v>46023</v>
      </c>
      <c r="G338" s="75">
        <f t="shared" si="73"/>
        <v>46029</v>
      </c>
      <c r="H338" s="75">
        <f t="shared" si="74"/>
        <v>46017</v>
      </c>
      <c r="I338" s="75">
        <f t="shared" si="75"/>
        <v>46024</v>
      </c>
      <c r="J338" s="75">
        <v>46037</v>
      </c>
      <c r="K338" s="76">
        <f t="shared" si="62"/>
        <v>28</v>
      </c>
      <c r="L338" s="82">
        <v>15.82</v>
      </c>
      <c r="M338" s="80">
        <v>14.96</v>
      </c>
      <c r="N338" s="25">
        <f t="shared" si="63"/>
        <v>0.85999999999999943</v>
      </c>
      <c r="O338" s="80" t="s">
        <v>545</v>
      </c>
    </row>
    <row r="339" spans="1:15" x14ac:dyDescent="0.25">
      <c r="A339" s="75">
        <v>46009</v>
      </c>
      <c r="B339" s="25" t="s">
        <v>315</v>
      </c>
      <c r="C339" s="25"/>
      <c r="D339" s="75">
        <f t="shared" si="70"/>
        <v>46032</v>
      </c>
      <c r="E339" s="75">
        <f t="shared" si="71"/>
        <v>46016</v>
      </c>
      <c r="F339" s="75">
        <f t="shared" si="72"/>
        <v>46023</v>
      </c>
      <c r="G339" s="75">
        <f t="shared" si="73"/>
        <v>46029</v>
      </c>
      <c r="H339" s="75">
        <f t="shared" si="74"/>
        <v>46017</v>
      </c>
      <c r="I339" s="75">
        <f t="shared" si="75"/>
        <v>46024</v>
      </c>
      <c r="J339" s="75">
        <v>46037</v>
      </c>
      <c r="K339" s="76">
        <f t="shared" si="62"/>
        <v>28</v>
      </c>
      <c r="L339" s="82">
        <v>18.16</v>
      </c>
      <c r="M339" s="80">
        <v>16.579999999999998</v>
      </c>
      <c r="N339" s="25">
        <f t="shared" si="63"/>
        <v>1.5800000000000018</v>
      </c>
      <c r="O339" s="80" t="s">
        <v>545</v>
      </c>
    </row>
    <row r="340" spans="1:15" x14ac:dyDescent="0.25">
      <c r="A340" s="75">
        <v>46009</v>
      </c>
      <c r="B340" s="25" t="s">
        <v>316</v>
      </c>
      <c r="C340" s="25"/>
      <c r="D340" s="75">
        <f t="shared" si="70"/>
        <v>46032</v>
      </c>
      <c r="E340" s="75">
        <f t="shared" si="71"/>
        <v>46016</v>
      </c>
      <c r="F340" s="75">
        <f t="shared" si="72"/>
        <v>46023</v>
      </c>
      <c r="G340" s="75">
        <f t="shared" si="73"/>
        <v>46029</v>
      </c>
      <c r="H340" s="75">
        <f t="shared" si="74"/>
        <v>46017</v>
      </c>
      <c r="I340" s="75">
        <f t="shared" si="75"/>
        <v>46024</v>
      </c>
      <c r="J340" s="75">
        <v>46037</v>
      </c>
      <c r="K340" s="76">
        <f t="shared" si="62"/>
        <v>28</v>
      </c>
      <c r="L340" s="82">
        <v>16.37</v>
      </c>
      <c r="M340" s="80">
        <v>15.49</v>
      </c>
      <c r="N340" s="25">
        <f t="shared" si="63"/>
        <v>0.88000000000000078</v>
      </c>
      <c r="O340" s="80" t="s">
        <v>545</v>
      </c>
    </row>
    <row r="341" spans="1:15" x14ac:dyDescent="0.25">
      <c r="A341" s="75">
        <v>46009</v>
      </c>
      <c r="B341" s="25" t="s">
        <v>317</v>
      </c>
      <c r="C341" s="25"/>
      <c r="D341" s="75">
        <f t="shared" si="70"/>
        <v>46032</v>
      </c>
      <c r="E341" s="75">
        <f t="shared" si="71"/>
        <v>46016</v>
      </c>
      <c r="F341" s="75">
        <f t="shared" si="72"/>
        <v>46023</v>
      </c>
      <c r="G341" s="75">
        <f t="shared" si="73"/>
        <v>46029</v>
      </c>
      <c r="H341" s="75">
        <f t="shared" si="74"/>
        <v>46017</v>
      </c>
      <c r="I341" s="75">
        <f t="shared" si="75"/>
        <v>46024</v>
      </c>
      <c r="J341" s="75">
        <v>46038</v>
      </c>
      <c r="K341" s="76">
        <f t="shared" si="62"/>
        <v>29</v>
      </c>
      <c r="L341" s="82">
        <v>13.71</v>
      </c>
      <c r="M341" s="80">
        <v>6.26</v>
      </c>
      <c r="N341" s="25">
        <f t="shared" si="63"/>
        <v>7.4500000000000011</v>
      </c>
      <c r="O341" s="80" t="s">
        <v>544</v>
      </c>
    </row>
    <row r="342" spans="1:15" x14ac:dyDescent="0.25">
      <c r="A342" s="75">
        <v>46010</v>
      </c>
      <c r="B342" s="25" t="s">
        <v>331</v>
      </c>
      <c r="C342" s="25"/>
      <c r="D342" s="75">
        <f t="shared" si="70"/>
        <v>46033</v>
      </c>
      <c r="E342" s="75">
        <f t="shared" si="71"/>
        <v>46017</v>
      </c>
      <c r="F342" s="75">
        <f t="shared" si="72"/>
        <v>46024</v>
      </c>
      <c r="G342" s="75">
        <f t="shared" si="73"/>
        <v>46030</v>
      </c>
      <c r="H342" s="75">
        <f t="shared" si="74"/>
        <v>46018</v>
      </c>
      <c r="I342" s="75">
        <f t="shared" si="75"/>
        <v>46025</v>
      </c>
      <c r="J342" s="75">
        <v>46038</v>
      </c>
      <c r="K342" s="76">
        <f t="shared" ref="K342:K349" si="76">J342-A342</f>
        <v>28</v>
      </c>
      <c r="L342" s="82">
        <v>13.68</v>
      </c>
      <c r="M342" s="80">
        <v>6.21</v>
      </c>
      <c r="N342" s="25">
        <f t="shared" si="63"/>
        <v>7.47</v>
      </c>
      <c r="O342" s="80" t="s">
        <v>544</v>
      </c>
    </row>
    <row r="343" spans="1:15" x14ac:dyDescent="0.25">
      <c r="A343" s="75">
        <v>46010</v>
      </c>
      <c r="B343" s="25" t="s">
        <v>332</v>
      </c>
      <c r="C343" s="25"/>
      <c r="D343" s="75">
        <f t="shared" si="70"/>
        <v>46033</v>
      </c>
      <c r="E343" s="75">
        <f t="shared" si="71"/>
        <v>46017</v>
      </c>
      <c r="F343" s="75">
        <f t="shared" si="72"/>
        <v>46024</v>
      </c>
      <c r="G343" s="75">
        <f t="shared" si="73"/>
        <v>46030</v>
      </c>
      <c r="H343" s="75">
        <f t="shared" si="74"/>
        <v>46018</v>
      </c>
      <c r="I343" s="75">
        <f t="shared" si="75"/>
        <v>46025</v>
      </c>
      <c r="J343" s="75">
        <v>46038</v>
      </c>
      <c r="K343" s="76">
        <f t="shared" si="76"/>
        <v>28</v>
      </c>
      <c r="L343" s="82">
        <v>15.26</v>
      </c>
      <c r="M343" s="80">
        <v>7.1</v>
      </c>
      <c r="N343" s="25">
        <f t="shared" si="63"/>
        <v>8.16</v>
      </c>
      <c r="O343" s="80" t="s">
        <v>544</v>
      </c>
    </row>
    <row r="344" spans="1:15" x14ac:dyDescent="0.25">
      <c r="A344" s="75">
        <v>46010</v>
      </c>
      <c r="B344" s="25" t="s">
        <v>333</v>
      </c>
      <c r="C344" s="25"/>
      <c r="D344" s="75">
        <f t="shared" si="70"/>
        <v>46033</v>
      </c>
      <c r="E344" s="75">
        <f t="shared" si="71"/>
        <v>46017</v>
      </c>
      <c r="F344" s="75">
        <f t="shared" si="72"/>
        <v>46024</v>
      </c>
      <c r="G344" s="75">
        <f t="shared" si="73"/>
        <v>46030</v>
      </c>
      <c r="H344" s="75">
        <f t="shared" si="74"/>
        <v>46018</v>
      </c>
      <c r="I344" s="75">
        <f t="shared" si="75"/>
        <v>46025</v>
      </c>
      <c r="J344" s="75">
        <v>46038</v>
      </c>
      <c r="K344" s="76">
        <f t="shared" si="76"/>
        <v>28</v>
      </c>
      <c r="L344" s="82">
        <v>15.34</v>
      </c>
      <c r="M344" s="80">
        <v>7.13</v>
      </c>
      <c r="N344" s="25">
        <f t="shared" si="63"/>
        <v>8.2100000000000009</v>
      </c>
      <c r="O344" s="80" t="s">
        <v>544</v>
      </c>
    </row>
    <row r="345" spans="1:15" x14ac:dyDescent="0.25">
      <c r="A345" s="75">
        <v>46010</v>
      </c>
      <c r="B345" s="25" t="s">
        <v>334</v>
      </c>
      <c r="C345" s="25"/>
      <c r="D345" s="75">
        <f t="shared" si="70"/>
        <v>46033</v>
      </c>
      <c r="E345" s="75">
        <f t="shared" si="71"/>
        <v>46017</v>
      </c>
      <c r="F345" s="75">
        <f t="shared" si="72"/>
        <v>46024</v>
      </c>
      <c r="G345" s="75">
        <f t="shared" si="73"/>
        <v>46030</v>
      </c>
      <c r="H345" s="75">
        <f t="shared" si="74"/>
        <v>46018</v>
      </c>
      <c r="I345" s="75">
        <f t="shared" si="75"/>
        <v>46025</v>
      </c>
      <c r="J345" s="75">
        <v>46038</v>
      </c>
      <c r="K345" s="76">
        <f t="shared" si="76"/>
        <v>28</v>
      </c>
      <c r="L345" s="82">
        <v>15.67</v>
      </c>
      <c r="M345" s="80">
        <v>14.32</v>
      </c>
      <c r="N345" s="25">
        <f t="shared" si="63"/>
        <v>1.3499999999999996</v>
      </c>
      <c r="O345" s="80" t="s">
        <v>545</v>
      </c>
    </row>
    <row r="346" spans="1:15" x14ac:dyDescent="0.25">
      <c r="A346" s="75">
        <v>46010</v>
      </c>
      <c r="B346" s="25" t="s">
        <v>335</v>
      </c>
      <c r="C346" s="25"/>
      <c r="D346" s="75">
        <f t="shared" si="70"/>
        <v>46033</v>
      </c>
      <c r="E346" s="75">
        <f t="shared" si="71"/>
        <v>46017</v>
      </c>
      <c r="F346" s="75">
        <f t="shared" si="72"/>
        <v>46024</v>
      </c>
      <c r="G346" s="75">
        <f t="shared" si="73"/>
        <v>46030</v>
      </c>
      <c r="H346" s="75">
        <f t="shared" si="74"/>
        <v>46018</v>
      </c>
      <c r="I346" s="75">
        <f t="shared" si="75"/>
        <v>46025</v>
      </c>
      <c r="J346" s="75">
        <v>46038</v>
      </c>
      <c r="K346" s="76">
        <f t="shared" si="76"/>
        <v>28</v>
      </c>
      <c r="L346" s="82">
        <v>16.12</v>
      </c>
      <c r="M346" s="80">
        <v>14.78</v>
      </c>
      <c r="N346" s="25">
        <f t="shared" si="63"/>
        <v>1.3400000000000016</v>
      </c>
      <c r="O346" s="80" t="s">
        <v>545</v>
      </c>
    </row>
    <row r="347" spans="1:15" x14ac:dyDescent="0.25">
      <c r="A347" s="75">
        <v>46010</v>
      </c>
      <c r="B347" s="25" t="s">
        <v>336</v>
      </c>
      <c r="C347" s="25"/>
      <c r="D347" s="75">
        <f t="shared" si="70"/>
        <v>46033</v>
      </c>
      <c r="E347" s="75">
        <f t="shared" si="71"/>
        <v>46017</v>
      </c>
      <c r="F347" s="75">
        <f t="shared" si="72"/>
        <v>46024</v>
      </c>
      <c r="G347" s="75">
        <f t="shared" si="73"/>
        <v>46030</v>
      </c>
      <c r="H347" s="75">
        <f t="shared" si="74"/>
        <v>46018</v>
      </c>
      <c r="I347" s="75">
        <f t="shared" si="75"/>
        <v>46025</v>
      </c>
      <c r="J347" s="75">
        <v>46038</v>
      </c>
      <c r="K347" s="76">
        <f t="shared" si="76"/>
        <v>28</v>
      </c>
      <c r="L347" s="82">
        <v>16.18</v>
      </c>
      <c r="M347" s="80">
        <v>15.03</v>
      </c>
      <c r="N347" s="25">
        <f t="shared" si="63"/>
        <v>1.1500000000000004</v>
      </c>
      <c r="O347" s="80" t="s">
        <v>545</v>
      </c>
    </row>
    <row r="348" spans="1:15" x14ac:dyDescent="0.25">
      <c r="A348" s="75">
        <v>46010</v>
      </c>
      <c r="B348" s="25" t="s">
        <v>337</v>
      </c>
      <c r="C348" s="25"/>
      <c r="D348" s="75">
        <f t="shared" si="70"/>
        <v>46033</v>
      </c>
      <c r="E348" s="75">
        <f t="shared" si="71"/>
        <v>46017</v>
      </c>
      <c r="F348" s="75">
        <f t="shared" si="72"/>
        <v>46024</v>
      </c>
      <c r="G348" s="75">
        <f t="shared" si="73"/>
        <v>46030</v>
      </c>
      <c r="H348" s="75">
        <f t="shared" si="74"/>
        <v>46018</v>
      </c>
      <c r="I348" s="75">
        <f t="shared" si="75"/>
        <v>46025</v>
      </c>
      <c r="J348" s="75">
        <v>46038</v>
      </c>
      <c r="K348" s="76">
        <f t="shared" si="76"/>
        <v>28</v>
      </c>
      <c r="L348" s="82">
        <v>17.059999999999999</v>
      </c>
      <c r="M348" s="80">
        <v>15.27</v>
      </c>
      <c r="N348" s="25">
        <f t="shared" si="63"/>
        <v>1.7899999999999991</v>
      </c>
      <c r="O348" s="80" t="s">
        <v>545</v>
      </c>
    </row>
    <row r="349" spans="1:15" x14ac:dyDescent="0.25">
      <c r="A349" s="75">
        <v>46011</v>
      </c>
      <c r="B349" s="25" t="s">
        <v>318</v>
      </c>
      <c r="C349" s="25"/>
      <c r="D349" s="75">
        <f t="shared" ref="D349:D362" si="77">A349+23</f>
        <v>46034</v>
      </c>
      <c r="E349" s="75">
        <f t="shared" ref="E349:E362" si="78">A349+7</f>
        <v>46018</v>
      </c>
      <c r="F349" s="75">
        <f t="shared" ref="F349:F362" si="79">A349+14</f>
        <v>46025</v>
      </c>
      <c r="G349" s="75">
        <f t="shared" ref="G349:G362" si="80">A349+20</f>
        <v>46031</v>
      </c>
      <c r="H349" s="75">
        <f t="shared" ref="H349:H362" si="81">A349+8</f>
        <v>46019</v>
      </c>
      <c r="I349" s="75">
        <f t="shared" ref="I349:I362" si="82">A349+15</f>
        <v>46026</v>
      </c>
      <c r="J349" s="75">
        <v>46039</v>
      </c>
      <c r="K349" s="76">
        <f t="shared" si="76"/>
        <v>28</v>
      </c>
      <c r="L349" s="82">
        <v>14.3</v>
      </c>
      <c r="M349" s="80">
        <v>7.58</v>
      </c>
      <c r="N349" s="25">
        <f t="shared" si="63"/>
        <v>6.7200000000000006</v>
      </c>
      <c r="O349" s="80" t="s">
        <v>544</v>
      </c>
    </row>
    <row r="350" spans="1:15" x14ac:dyDescent="0.25">
      <c r="A350" s="75">
        <v>46011</v>
      </c>
      <c r="B350" s="25" t="s">
        <v>319</v>
      </c>
      <c r="C350" s="25"/>
      <c r="D350" s="75">
        <f t="shared" si="77"/>
        <v>46034</v>
      </c>
      <c r="E350" s="75">
        <f t="shared" si="78"/>
        <v>46018</v>
      </c>
      <c r="F350" s="75">
        <f t="shared" si="79"/>
        <v>46025</v>
      </c>
      <c r="G350" s="75">
        <f t="shared" si="80"/>
        <v>46031</v>
      </c>
      <c r="H350" s="75">
        <f t="shared" si="81"/>
        <v>46019</v>
      </c>
      <c r="I350" s="75">
        <f t="shared" si="82"/>
        <v>46026</v>
      </c>
      <c r="J350" s="75">
        <v>46039</v>
      </c>
      <c r="K350" s="76">
        <f>J350-A350</f>
        <v>28</v>
      </c>
      <c r="L350" s="82">
        <v>15.28</v>
      </c>
      <c r="M350" s="80">
        <v>8.69</v>
      </c>
      <c r="N350" s="25">
        <f t="shared" si="63"/>
        <v>6.59</v>
      </c>
      <c r="O350" s="80" t="s">
        <v>544</v>
      </c>
    </row>
    <row r="351" spans="1:15" x14ac:dyDescent="0.25">
      <c r="A351" s="75">
        <v>46011</v>
      </c>
      <c r="B351" s="25" t="s">
        <v>320</v>
      </c>
      <c r="C351" s="25"/>
      <c r="D351" s="75">
        <f t="shared" si="77"/>
        <v>46034</v>
      </c>
      <c r="E351" s="75">
        <f t="shared" si="78"/>
        <v>46018</v>
      </c>
      <c r="F351" s="75">
        <f t="shared" si="79"/>
        <v>46025</v>
      </c>
      <c r="G351" s="75">
        <f t="shared" si="80"/>
        <v>46031</v>
      </c>
      <c r="H351" s="75">
        <f t="shared" si="81"/>
        <v>46019</v>
      </c>
      <c r="I351" s="75">
        <f t="shared" si="82"/>
        <v>46026</v>
      </c>
      <c r="J351" s="75">
        <v>46039</v>
      </c>
      <c r="K351" s="76">
        <f>J351-A351</f>
        <v>28</v>
      </c>
      <c r="L351" s="82">
        <v>15.45</v>
      </c>
      <c r="M351" s="80">
        <v>8.7100000000000009</v>
      </c>
      <c r="N351" s="25">
        <f t="shared" si="63"/>
        <v>6.7399999999999984</v>
      </c>
      <c r="O351" s="80" t="s">
        <v>544</v>
      </c>
    </row>
    <row r="352" spans="1:15" x14ac:dyDescent="0.25">
      <c r="A352" s="75">
        <v>46011</v>
      </c>
      <c r="B352" s="25" t="s">
        <v>321</v>
      </c>
      <c r="C352" s="25"/>
      <c r="D352" s="75">
        <f t="shared" si="77"/>
        <v>46034</v>
      </c>
      <c r="E352" s="75">
        <f t="shared" si="78"/>
        <v>46018</v>
      </c>
      <c r="F352" s="75">
        <f t="shared" si="79"/>
        <v>46025</v>
      </c>
      <c r="G352" s="75">
        <f t="shared" si="80"/>
        <v>46031</v>
      </c>
      <c r="H352" s="75">
        <f t="shared" si="81"/>
        <v>46019</v>
      </c>
      <c r="I352" s="75">
        <f t="shared" si="82"/>
        <v>46026</v>
      </c>
      <c r="J352" s="75">
        <v>46039</v>
      </c>
      <c r="K352" s="76">
        <f>J352-A352</f>
        <v>28</v>
      </c>
      <c r="L352" s="82">
        <v>16.89</v>
      </c>
      <c r="M352" s="80">
        <v>15.32</v>
      </c>
      <c r="N352" s="25">
        <f t="shared" si="63"/>
        <v>1.5700000000000003</v>
      </c>
      <c r="O352" s="80" t="s">
        <v>545</v>
      </c>
    </row>
    <row r="353" spans="1:17" x14ac:dyDescent="0.25">
      <c r="A353" s="75">
        <v>46011</v>
      </c>
      <c r="B353" s="25" t="s">
        <v>322</v>
      </c>
      <c r="C353" s="25"/>
      <c r="D353" s="75">
        <f t="shared" si="77"/>
        <v>46034</v>
      </c>
      <c r="E353" s="75">
        <f t="shared" si="78"/>
        <v>46018</v>
      </c>
      <c r="F353" s="75">
        <f t="shared" si="79"/>
        <v>46025</v>
      </c>
      <c r="G353" s="75">
        <f t="shared" si="80"/>
        <v>46031</v>
      </c>
      <c r="H353" s="75">
        <f t="shared" si="81"/>
        <v>46019</v>
      </c>
      <c r="I353" s="75">
        <f t="shared" si="82"/>
        <v>46026</v>
      </c>
      <c r="J353" s="75">
        <v>46039</v>
      </c>
      <c r="K353" s="76">
        <f>J353-A353</f>
        <v>28</v>
      </c>
      <c r="L353" s="82">
        <v>15.63</v>
      </c>
      <c r="M353" s="80">
        <v>14.76</v>
      </c>
      <c r="N353" s="25">
        <f t="shared" si="63"/>
        <v>0.87000000000000099</v>
      </c>
      <c r="O353" s="80" t="s">
        <v>545</v>
      </c>
    </row>
    <row r="354" spans="1:17" x14ac:dyDescent="0.25">
      <c r="A354" s="75">
        <v>46011</v>
      </c>
      <c r="B354" s="25" t="s">
        <v>323</v>
      </c>
      <c r="C354" s="25"/>
      <c r="D354" s="75">
        <f t="shared" si="77"/>
        <v>46034</v>
      </c>
      <c r="E354" s="75">
        <f t="shared" si="78"/>
        <v>46018</v>
      </c>
      <c r="F354" s="75">
        <f t="shared" si="79"/>
        <v>46025</v>
      </c>
      <c r="G354" s="75">
        <f t="shared" si="80"/>
        <v>46031</v>
      </c>
      <c r="H354" s="75">
        <f t="shared" si="81"/>
        <v>46019</v>
      </c>
      <c r="I354" s="75">
        <f t="shared" si="82"/>
        <v>46026</v>
      </c>
      <c r="J354" s="75">
        <v>46039</v>
      </c>
      <c r="K354" s="76">
        <f>J354-A354</f>
        <v>28</v>
      </c>
      <c r="L354" s="82">
        <v>16.91</v>
      </c>
      <c r="M354" s="80">
        <v>15.89</v>
      </c>
      <c r="N354" s="25">
        <f t="shared" si="63"/>
        <v>1.0199999999999996</v>
      </c>
      <c r="O354" s="80" t="s">
        <v>545</v>
      </c>
    </row>
    <row r="355" spans="1:17" x14ac:dyDescent="0.25">
      <c r="A355" s="75">
        <v>46011</v>
      </c>
      <c r="B355" s="25" t="s">
        <v>324</v>
      </c>
      <c r="C355" s="25"/>
      <c r="D355" s="75">
        <f t="shared" si="77"/>
        <v>46034</v>
      </c>
      <c r="E355" s="75">
        <f t="shared" si="78"/>
        <v>46018</v>
      </c>
      <c r="F355" s="75">
        <f t="shared" si="79"/>
        <v>46025</v>
      </c>
      <c r="G355" s="75">
        <f t="shared" si="80"/>
        <v>46031</v>
      </c>
      <c r="H355" s="75">
        <f t="shared" si="81"/>
        <v>46019</v>
      </c>
      <c r="I355" s="75">
        <f t="shared" si="82"/>
        <v>46026</v>
      </c>
      <c r="J355" s="75">
        <v>46040</v>
      </c>
      <c r="K355" s="76">
        <f t="shared" ref="K355:K366" si="83">J355-A355</f>
        <v>29</v>
      </c>
      <c r="L355" s="82">
        <v>16.52</v>
      </c>
      <c r="M355" s="80">
        <v>9.2100000000000009</v>
      </c>
      <c r="N355" s="25">
        <f t="shared" si="63"/>
        <v>7.3099999999999987</v>
      </c>
      <c r="O355" s="80" t="s">
        <v>544</v>
      </c>
    </row>
    <row r="356" spans="1:17" x14ac:dyDescent="0.25">
      <c r="A356" s="75">
        <v>46012</v>
      </c>
      <c r="B356" s="25" t="s">
        <v>338</v>
      </c>
      <c r="C356" s="25"/>
      <c r="D356" s="75">
        <f t="shared" si="77"/>
        <v>46035</v>
      </c>
      <c r="E356" s="75">
        <f t="shared" si="78"/>
        <v>46019</v>
      </c>
      <c r="F356" s="75">
        <f t="shared" si="79"/>
        <v>46026</v>
      </c>
      <c r="G356" s="75">
        <f t="shared" si="80"/>
        <v>46032</v>
      </c>
      <c r="H356" s="75">
        <f t="shared" si="81"/>
        <v>46020</v>
      </c>
      <c r="I356" s="75">
        <f t="shared" si="82"/>
        <v>46027</v>
      </c>
      <c r="J356" s="75">
        <v>46040</v>
      </c>
      <c r="K356" s="76">
        <f t="shared" si="83"/>
        <v>28</v>
      </c>
      <c r="L356" s="82">
        <v>17.34</v>
      </c>
      <c r="M356" s="80">
        <v>10.32</v>
      </c>
      <c r="N356" s="25">
        <f t="shared" si="63"/>
        <v>7.02</v>
      </c>
      <c r="O356" s="80" t="s">
        <v>544</v>
      </c>
    </row>
    <row r="357" spans="1:17" x14ac:dyDescent="0.25">
      <c r="A357" s="75">
        <v>46012</v>
      </c>
      <c r="B357" s="25" t="s">
        <v>339</v>
      </c>
      <c r="C357" s="25"/>
      <c r="D357" s="75">
        <f t="shared" si="77"/>
        <v>46035</v>
      </c>
      <c r="E357" s="75">
        <f t="shared" si="78"/>
        <v>46019</v>
      </c>
      <c r="F357" s="75">
        <f t="shared" si="79"/>
        <v>46026</v>
      </c>
      <c r="G357" s="75">
        <f t="shared" si="80"/>
        <v>46032</v>
      </c>
      <c r="H357" s="75">
        <f t="shared" si="81"/>
        <v>46020</v>
      </c>
      <c r="I357" s="75">
        <f t="shared" si="82"/>
        <v>46027</v>
      </c>
      <c r="J357" s="75">
        <v>46040</v>
      </c>
      <c r="K357" s="76">
        <f t="shared" si="83"/>
        <v>28</v>
      </c>
      <c r="L357" s="82">
        <v>17.850000000000001</v>
      </c>
      <c r="M357" s="80">
        <v>11.7</v>
      </c>
      <c r="N357" s="25">
        <f t="shared" si="63"/>
        <v>6.1500000000000021</v>
      </c>
      <c r="O357" s="80" t="s">
        <v>544</v>
      </c>
    </row>
    <row r="358" spans="1:17" x14ac:dyDescent="0.25">
      <c r="A358" s="75">
        <v>46012</v>
      </c>
      <c r="B358" s="25" t="s">
        <v>340</v>
      </c>
      <c r="C358" s="25"/>
      <c r="D358" s="75">
        <f t="shared" si="77"/>
        <v>46035</v>
      </c>
      <c r="E358" s="75">
        <f t="shared" si="78"/>
        <v>46019</v>
      </c>
      <c r="F358" s="75">
        <f t="shared" si="79"/>
        <v>46026</v>
      </c>
      <c r="G358" s="75">
        <f t="shared" si="80"/>
        <v>46032</v>
      </c>
      <c r="H358" s="75">
        <f t="shared" si="81"/>
        <v>46020</v>
      </c>
      <c r="I358" s="75">
        <f t="shared" si="82"/>
        <v>46027</v>
      </c>
      <c r="J358" s="75">
        <v>46040</v>
      </c>
      <c r="K358" s="76">
        <f t="shared" si="83"/>
        <v>28</v>
      </c>
      <c r="L358" s="82">
        <v>18.190000000000001</v>
      </c>
      <c r="M358" s="80">
        <v>10.18</v>
      </c>
      <c r="N358" s="25">
        <f t="shared" si="63"/>
        <v>8.0100000000000016</v>
      </c>
      <c r="O358" s="80" t="s">
        <v>544</v>
      </c>
    </row>
    <row r="359" spans="1:17" x14ac:dyDescent="0.25">
      <c r="A359" s="75">
        <v>46012</v>
      </c>
      <c r="B359" s="25" t="s">
        <v>341</v>
      </c>
      <c r="C359" s="25"/>
      <c r="D359" s="75">
        <f t="shared" si="77"/>
        <v>46035</v>
      </c>
      <c r="E359" s="75">
        <f t="shared" si="78"/>
        <v>46019</v>
      </c>
      <c r="F359" s="75">
        <f t="shared" si="79"/>
        <v>46026</v>
      </c>
      <c r="G359" s="75">
        <f t="shared" si="80"/>
        <v>46032</v>
      </c>
      <c r="H359" s="75">
        <f t="shared" si="81"/>
        <v>46020</v>
      </c>
      <c r="I359" s="75">
        <f t="shared" si="82"/>
        <v>46027</v>
      </c>
      <c r="J359" s="75">
        <v>46040</v>
      </c>
      <c r="K359" s="76">
        <f t="shared" si="83"/>
        <v>28</v>
      </c>
      <c r="L359" s="82">
        <v>18.03</v>
      </c>
      <c r="M359" s="80">
        <v>9.99</v>
      </c>
      <c r="N359" s="25">
        <f t="shared" si="63"/>
        <v>8.0400000000000009</v>
      </c>
      <c r="O359" s="80" t="s">
        <v>544</v>
      </c>
    </row>
    <row r="360" spans="1:17" x14ac:dyDescent="0.25">
      <c r="A360" s="75">
        <v>46012</v>
      </c>
      <c r="B360" s="25" t="s">
        <v>342</v>
      </c>
      <c r="C360" s="25"/>
      <c r="D360" s="75">
        <f t="shared" si="77"/>
        <v>46035</v>
      </c>
      <c r="E360" s="75">
        <f t="shared" si="78"/>
        <v>46019</v>
      </c>
      <c r="F360" s="75">
        <f t="shared" si="79"/>
        <v>46026</v>
      </c>
      <c r="G360" s="75">
        <f t="shared" si="80"/>
        <v>46032</v>
      </c>
      <c r="H360" s="75">
        <f t="shared" si="81"/>
        <v>46020</v>
      </c>
      <c r="I360" s="75">
        <f t="shared" si="82"/>
        <v>46027</v>
      </c>
      <c r="J360" s="75">
        <v>46040</v>
      </c>
      <c r="K360" s="76">
        <f t="shared" si="83"/>
        <v>28</v>
      </c>
      <c r="L360" s="82">
        <v>17.16</v>
      </c>
      <c r="M360" s="80">
        <v>9.89</v>
      </c>
      <c r="N360" s="25">
        <f t="shared" si="63"/>
        <v>7.27</v>
      </c>
      <c r="O360" s="80" t="s">
        <v>544</v>
      </c>
    </row>
    <row r="361" spans="1:17" x14ac:dyDescent="0.25">
      <c r="A361" s="75">
        <v>46012</v>
      </c>
      <c r="B361" s="25" t="s">
        <v>343</v>
      </c>
      <c r="C361" s="25"/>
      <c r="D361" s="75">
        <f t="shared" si="77"/>
        <v>46035</v>
      </c>
      <c r="E361" s="75">
        <f t="shared" si="78"/>
        <v>46019</v>
      </c>
      <c r="F361" s="75">
        <f t="shared" si="79"/>
        <v>46026</v>
      </c>
      <c r="G361" s="75">
        <f t="shared" si="80"/>
        <v>46032</v>
      </c>
      <c r="H361" s="75">
        <f t="shared" si="81"/>
        <v>46020</v>
      </c>
      <c r="I361" s="75">
        <f t="shared" si="82"/>
        <v>46027</v>
      </c>
      <c r="J361" s="75">
        <v>46040</v>
      </c>
      <c r="K361" s="76">
        <f t="shared" si="83"/>
        <v>28</v>
      </c>
      <c r="L361" s="82">
        <v>19.82</v>
      </c>
      <c r="M361" s="80">
        <v>18.54</v>
      </c>
      <c r="N361" s="25">
        <f t="shared" si="63"/>
        <v>1.2800000000000011</v>
      </c>
      <c r="O361" s="80" t="s">
        <v>545</v>
      </c>
    </row>
    <row r="362" spans="1:17" x14ac:dyDescent="0.25">
      <c r="A362" s="75">
        <v>46012</v>
      </c>
      <c r="B362" s="25" t="s">
        <v>344</v>
      </c>
      <c r="C362" s="25"/>
      <c r="D362" s="75">
        <f t="shared" si="77"/>
        <v>46035</v>
      </c>
      <c r="E362" s="75">
        <f t="shared" si="78"/>
        <v>46019</v>
      </c>
      <c r="F362" s="75">
        <f t="shared" si="79"/>
        <v>46026</v>
      </c>
      <c r="G362" s="75">
        <f t="shared" si="80"/>
        <v>46032</v>
      </c>
      <c r="H362" s="75">
        <f t="shared" si="81"/>
        <v>46020</v>
      </c>
      <c r="I362" s="75">
        <f t="shared" si="82"/>
        <v>46027</v>
      </c>
      <c r="J362" s="75">
        <v>46040</v>
      </c>
      <c r="K362" s="76">
        <f t="shared" si="83"/>
        <v>28</v>
      </c>
      <c r="L362" s="82">
        <v>18.91</v>
      </c>
      <c r="M362" s="80">
        <v>17.32</v>
      </c>
      <c r="N362" s="25">
        <f t="shared" si="63"/>
        <v>1.5899999999999999</v>
      </c>
      <c r="O362" s="80" t="s">
        <v>545</v>
      </c>
    </row>
    <row r="363" spans="1:17" x14ac:dyDescent="0.25">
      <c r="A363" s="75">
        <v>46013</v>
      </c>
      <c r="B363" s="25" t="s">
        <v>345</v>
      </c>
      <c r="C363" s="25"/>
      <c r="D363" s="75">
        <f t="shared" ref="D363:D373" si="84">A363+23</f>
        <v>46036</v>
      </c>
      <c r="E363" s="75">
        <f t="shared" ref="E363:E373" si="85">A363+7</f>
        <v>46020</v>
      </c>
      <c r="F363" s="75">
        <f t="shared" ref="F363:F373" si="86">A363+14</f>
        <v>46027</v>
      </c>
      <c r="G363" s="75">
        <f t="shared" ref="G363:G373" si="87">A363+20</f>
        <v>46033</v>
      </c>
      <c r="H363" s="75">
        <f t="shared" ref="H363:H373" si="88">A363+8</f>
        <v>46021</v>
      </c>
      <c r="I363" s="75">
        <f t="shared" ref="I363:I373" si="89">A363+15</f>
        <v>46028</v>
      </c>
      <c r="J363" s="75">
        <v>46040</v>
      </c>
      <c r="K363" s="76">
        <f t="shared" si="83"/>
        <v>27</v>
      </c>
      <c r="L363" s="82">
        <v>18.670000000000002</v>
      </c>
      <c r="M363" s="80">
        <v>17.18</v>
      </c>
      <c r="N363" s="25">
        <f t="shared" si="63"/>
        <v>1.490000000000002</v>
      </c>
      <c r="O363" s="80" t="s">
        <v>545</v>
      </c>
    </row>
    <row r="364" spans="1:17" x14ac:dyDescent="0.25">
      <c r="A364" s="75">
        <v>46013</v>
      </c>
      <c r="B364" s="25" t="s">
        <v>346</v>
      </c>
      <c r="C364" s="25"/>
      <c r="D364" s="75">
        <f t="shared" si="84"/>
        <v>46036</v>
      </c>
      <c r="E364" s="75">
        <f t="shared" si="85"/>
        <v>46020</v>
      </c>
      <c r="F364" s="75">
        <f t="shared" si="86"/>
        <v>46027</v>
      </c>
      <c r="G364" s="75">
        <f t="shared" si="87"/>
        <v>46033</v>
      </c>
      <c r="H364" s="75">
        <f t="shared" si="88"/>
        <v>46021</v>
      </c>
      <c r="I364" s="75">
        <f t="shared" si="89"/>
        <v>46028</v>
      </c>
      <c r="J364" s="75">
        <v>46040</v>
      </c>
      <c r="K364" s="76">
        <f t="shared" si="83"/>
        <v>27</v>
      </c>
      <c r="L364" s="82">
        <v>19.78</v>
      </c>
      <c r="M364" s="80">
        <v>18.100000000000001</v>
      </c>
      <c r="N364" s="25">
        <f t="shared" si="63"/>
        <v>1.6799999999999997</v>
      </c>
      <c r="O364" s="80" t="s">
        <v>545</v>
      </c>
    </row>
    <row r="365" spans="1:17" x14ac:dyDescent="0.25">
      <c r="A365" s="75">
        <v>46013</v>
      </c>
      <c r="B365" s="25" t="s">
        <v>325</v>
      </c>
      <c r="C365" s="25"/>
      <c r="D365" s="75">
        <f t="shared" si="84"/>
        <v>46036</v>
      </c>
      <c r="E365" s="75">
        <f t="shared" si="85"/>
        <v>46020</v>
      </c>
      <c r="F365" s="75">
        <f t="shared" si="86"/>
        <v>46027</v>
      </c>
      <c r="G365" s="75">
        <f t="shared" si="87"/>
        <v>46033</v>
      </c>
      <c r="H365" s="75">
        <f t="shared" si="88"/>
        <v>46021</v>
      </c>
      <c r="I365" s="75">
        <f t="shared" si="89"/>
        <v>46028</v>
      </c>
      <c r="J365" s="75">
        <v>46042</v>
      </c>
      <c r="K365" s="76">
        <f t="shared" si="83"/>
        <v>29</v>
      </c>
      <c r="L365" s="82">
        <v>16.73</v>
      </c>
      <c r="M365" s="80">
        <v>8.5399999999999991</v>
      </c>
      <c r="N365" s="25">
        <f t="shared" si="63"/>
        <v>8.1900000000000013</v>
      </c>
      <c r="O365" s="25" t="s">
        <v>544</v>
      </c>
      <c r="Q365" s="83"/>
    </row>
    <row r="366" spans="1:17" x14ac:dyDescent="0.25">
      <c r="A366" s="75">
        <v>46013</v>
      </c>
      <c r="B366" s="25" t="s">
        <v>326</v>
      </c>
      <c r="C366" s="25"/>
      <c r="D366" s="75">
        <f t="shared" si="84"/>
        <v>46036</v>
      </c>
      <c r="E366" s="75">
        <f t="shared" si="85"/>
        <v>46020</v>
      </c>
      <c r="F366" s="75">
        <f t="shared" si="86"/>
        <v>46027</v>
      </c>
      <c r="G366" s="75">
        <f t="shared" si="87"/>
        <v>46033</v>
      </c>
      <c r="H366" s="75">
        <f t="shared" si="88"/>
        <v>46021</v>
      </c>
      <c r="I366" s="75">
        <f t="shared" si="89"/>
        <v>46028</v>
      </c>
      <c r="J366" s="75">
        <v>46042</v>
      </c>
      <c r="K366" s="76">
        <f t="shared" si="83"/>
        <v>29</v>
      </c>
      <c r="L366" s="82">
        <v>17.059999999999999</v>
      </c>
      <c r="M366" s="80">
        <v>8.9700000000000006</v>
      </c>
      <c r="N366" s="25">
        <f t="shared" si="63"/>
        <v>8.0899999999999981</v>
      </c>
      <c r="O366" s="25" t="s">
        <v>544</v>
      </c>
      <c r="Q366" s="83"/>
    </row>
    <row r="367" spans="1:17" x14ac:dyDescent="0.25">
      <c r="A367" s="75">
        <v>46013</v>
      </c>
      <c r="B367" s="25" t="s">
        <v>327</v>
      </c>
      <c r="C367" s="25"/>
      <c r="D367" s="75">
        <f t="shared" si="84"/>
        <v>46036</v>
      </c>
      <c r="E367" s="75">
        <f t="shared" si="85"/>
        <v>46020</v>
      </c>
      <c r="F367" s="75">
        <f t="shared" si="86"/>
        <v>46027</v>
      </c>
      <c r="G367" s="75">
        <f t="shared" si="87"/>
        <v>46033</v>
      </c>
      <c r="H367" s="75">
        <f t="shared" si="88"/>
        <v>46021</v>
      </c>
      <c r="I367" s="75">
        <f t="shared" si="89"/>
        <v>46028</v>
      </c>
      <c r="J367" s="75">
        <v>46041</v>
      </c>
      <c r="K367" s="76">
        <f t="shared" ref="K367:K381" si="90">J367-A367</f>
        <v>28</v>
      </c>
      <c r="L367" s="82">
        <v>18.54</v>
      </c>
      <c r="M367" s="80">
        <v>17.21</v>
      </c>
      <c r="N367" s="25">
        <f t="shared" ref="N367:N376" si="91">L367-M367</f>
        <v>1.3299999999999983</v>
      </c>
      <c r="O367" s="80" t="s">
        <v>545</v>
      </c>
      <c r="Q367" s="83"/>
    </row>
    <row r="368" spans="1:17" x14ac:dyDescent="0.25">
      <c r="A368" s="75">
        <v>46013</v>
      </c>
      <c r="B368" s="25" t="s">
        <v>328</v>
      </c>
      <c r="C368" s="25"/>
      <c r="D368" s="75">
        <f t="shared" si="84"/>
        <v>46036</v>
      </c>
      <c r="E368" s="75">
        <f t="shared" si="85"/>
        <v>46020</v>
      </c>
      <c r="F368" s="75">
        <f t="shared" si="86"/>
        <v>46027</v>
      </c>
      <c r="G368" s="75">
        <f t="shared" si="87"/>
        <v>46033</v>
      </c>
      <c r="H368" s="75">
        <f t="shared" si="88"/>
        <v>46021</v>
      </c>
      <c r="I368" s="75">
        <f t="shared" si="89"/>
        <v>46028</v>
      </c>
      <c r="J368" s="75">
        <v>46041</v>
      </c>
      <c r="K368" s="76">
        <f t="shared" si="90"/>
        <v>28</v>
      </c>
      <c r="L368" s="82">
        <v>19.78</v>
      </c>
      <c r="M368" s="80">
        <v>18.829999999999998</v>
      </c>
      <c r="N368" s="25">
        <f t="shared" si="91"/>
        <v>0.95000000000000284</v>
      </c>
      <c r="O368" s="80" t="s">
        <v>545</v>
      </c>
      <c r="Q368" s="83"/>
    </row>
    <row r="369" spans="1:17" x14ac:dyDescent="0.25">
      <c r="A369" s="75">
        <v>46013</v>
      </c>
      <c r="B369" s="25" t="s">
        <v>329</v>
      </c>
      <c r="C369" s="25"/>
      <c r="D369" s="75">
        <f t="shared" si="84"/>
        <v>46036</v>
      </c>
      <c r="E369" s="75">
        <f t="shared" si="85"/>
        <v>46020</v>
      </c>
      <c r="F369" s="75">
        <f t="shared" si="86"/>
        <v>46027</v>
      </c>
      <c r="G369" s="75">
        <f t="shared" si="87"/>
        <v>46033</v>
      </c>
      <c r="H369" s="75">
        <f t="shared" si="88"/>
        <v>46021</v>
      </c>
      <c r="I369" s="75">
        <f t="shared" si="89"/>
        <v>46028</v>
      </c>
      <c r="J369" s="75">
        <v>46041</v>
      </c>
      <c r="K369" s="76">
        <f t="shared" si="90"/>
        <v>28</v>
      </c>
      <c r="L369" s="82">
        <v>18.059999999999999</v>
      </c>
      <c r="M369" s="80">
        <v>16.98</v>
      </c>
      <c r="N369" s="25">
        <f t="shared" si="91"/>
        <v>1.0799999999999983</v>
      </c>
      <c r="O369" s="80" t="s">
        <v>545</v>
      </c>
      <c r="Q369" s="83"/>
    </row>
    <row r="370" spans="1:17" x14ac:dyDescent="0.25">
      <c r="A370" s="75">
        <v>46014</v>
      </c>
      <c r="B370" s="25" t="s">
        <v>347</v>
      </c>
      <c r="C370" s="25"/>
      <c r="D370" s="75">
        <f t="shared" si="84"/>
        <v>46037</v>
      </c>
      <c r="E370" s="75">
        <f t="shared" si="85"/>
        <v>46021</v>
      </c>
      <c r="F370" s="75">
        <f t="shared" si="86"/>
        <v>46028</v>
      </c>
      <c r="G370" s="75">
        <f t="shared" si="87"/>
        <v>46034</v>
      </c>
      <c r="H370" s="75">
        <f t="shared" si="88"/>
        <v>46022</v>
      </c>
      <c r="I370" s="75">
        <f t="shared" si="89"/>
        <v>46029</v>
      </c>
      <c r="J370" s="75">
        <v>46042</v>
      </c>
      <c r="K370" s="76">
        <f t="shared" si="90"/>
        <v>28</v>
      </c>
      <c r="L370" s="82">
        <v>16.25</v>
      </c>
      <c r="M370" s="80">
        <v>7.81</v>
      </c>
      <c r="N370" s="25">
        <f t="shared" si="91"/>
        <v>8.4400000000000013</v>
      </c>
      <c r="O370" s="80" t="s">
        <v>544</v>
      </c>
      <c r="Q370" s="83"/>
    </row>
    <row r="371" spans="1:17" x14ac:dyDescent="0.25">
      <c r="A371" s="75">
        <v>46014</v>
      </c>
      <c r="B371" s="25" t="s">
        <v>348</v>
      </c>
      <c r="C371" s="25"/>
      <c r="D371" s="75">
        <f t="shared" si="84"/>
        <v>46037</v>
      </c>
      <c r="E371" s="75">
        <f t="shared" si="85"/>
        <v>46021</v>
      </c>
      <c r="F371" s="75">
        <f t="shared" si="86"/>
        <v>46028</v>
      </c>
      <c r="G371" s="75">
        <f t="shared" si="87"/>
        <v>46034</v>
      </c>
      <c r="H371" s="75">
        <f t="shared" si="88"/>
        <v>46022</v>
      </c>
      <c r="I371" s="75">
        <f t="shared" si="89"/>
        <v>46029</v>
      </c>
      <c r="J371" s="75">
        <v>46043</v>
      </c>
      <c r="K371" s="76">
        <f t="shared" si="90"/>
        <v>29</v>
      </c>
      <c r="L371" s="82">
        <v>14.52</v>
      </c>
      <c r="M371" s="80">
        <v>7.81</v>
      </c>
      <c r="N371" s="25">
        <f t="shared" si="91"/>
        <v>6.71</v>
      </c>
      <c r="O371" s="80" t="s">
        <v>544</v>
      </c>
    </row>
    <row r="372" spans="1:17" x14ac:dyDescent="0.25">
      <c r="A372" s="75">
        <v>46014</v>
      </c>
      <c r="B372" s="25" t="s">
        <v>349</v>
      </c>
      <c r="C372" s="25"/>
      <c r="D372" s="75">
        <f t="shared" si="84"/>
        <v>46037</v>
      </c>
      <c r="E372" s="75">
        <f t="shared" si="85"/>
        <v>46021</v>
      </c>
      <c r="F372" s="75">
        <f t="shared" si="86"/>
        <v>46028</v>
      </c>
      <c r="G372" s="75">
        <f t="shared" si="87"/>
        <v>46034</v>
      </c>
      <c r="H372" s="75">
        <f t="shared" si="88"/>
        <v>46022</v>
      </c>
      <c r="I372" s="75">
        <f t="shared" si="89"/>
        <v>46029</v>
      </c>
      <c r="J372" s="75">
        <v>46043</v>
      </c>
      <c r="K372" s="76">
        <f t="shared" si="90"/>
        <v>29</v>
      </c>
      <c r="L372" s="82">
        <v>16.170000000000002</v>
      </c>
      <c r="M372" s="80">
        <v>8.66</v>
      </c>
      <c r="N372" s="25">
        <f t="shared" si="91"/>
        <v>7.5100000000000016</v>
      </c>
      <c r="O372" s="80" t="s">
        <v>544</v>
      </c>
    </row>
    <row r="373" spans="1:17" x14ac:dyDescent="0.25">
      <c r="A373" s="75">
        <v>46014</v>
      </c>
      <c r="B373" s="25" t="s">
        <v>356</v>
      </c>
      <c r="C373" s="25"/>
      <c r="D373" s="75">
        <f t="shared" si="84"/>
        <v>46037</v>
      </c>
      <c r="E373" s="75">
        <f t="shared" si="85"/>
        <v>46021</v>
      </c>
      <c r="F373" s="75">
        <f t="shared" si="86"/>
        <v>46028</v>
      </c>
      <c r="G373" s="75">
        <f t="shared" si="87"/>
        <v>46034</v>
      </c>
      <c r="H373" s="75">
        <f t="shared" si="88"/>
        <v>46022</v>
      </c>
      <c r="I373" s="75">
        <f t="shared" si="89"/>
        <v>46029</v>
      </c>
      <c r="J373" s="75">
        <v>46044</v>
      </c>
      <c r="K373" s="76">
        <f t="shared" si="90"/>
        <v>30</v>
      </c>
      <c r="L373" s="82">
        <v>15.37</v>
      </c>
      <c r="M373" s="80">
        <v>7.59</v>
      </c>
      <c r="N373" s="25">
        <f t="shared" si="91"/>
        <v>7.7799999999999994</v>
      </c>
      <c r="O373" s="80" t="s">
        <v>544</v>
      </c>
    </row>
    <row r="374" spans="1:17" x14ac:dyDescent="0.25">
      <c r="A374" s="75">
        <v>46014</v>
      </c>
      <c r="B374" s="25" t="s">
        <v>357</v>
      </c>
      <c r="C374" s="25"/>
      <c r="D374" s="75">
        <f t="shared" ref="D374:D380" si="92">A374+23</f>
        <v>46037</v>
      </c>
      <c r="E374" s="75">
        <f t="shared" ref="E374:E380" si="93">A374+7</f>
        <v>46021</v>
      </c>
      <c r="F374" s="75">
        <f t="shared" ref="F374:F380" si="94">A374+14</f>
        <v>46028</v>
      </c>
      <c r="G374" s="75">
        <f t="shared" ref="G374:G380" si="95">A374+20</f>
        <v>46034</v>
      </c>
      <c r="H374" s="75">
        <f t="shared" ref="H374:H380" si="96">A374+8</f>
        <v>46022</v>
      </c>
      <c r="I374" s="75">
        <f t="shared" ref="I374:I380" si="97">A374+15</f>
        <v>46029</v>
      </c>
      <c r="J374" s="75">
        <v>46044</v>
      </c>
      <c r="K374" s="76">
        <f t="shared" si="90"/>
        <v>30</v>
      </c>
      <c r="L374" s="82">
        <v>16.84</v>
      </c>
      <c r="M374" s="80">
        <v>8.31</v>
      </c>
      <c r="N374" s="25">
        <f t="shared" si="91"/>
        <v>8.5299999999999994</v>
      </c>
      <c r="O374" s="80" t="s">
        <v>544</v>
      </c>
    </row>
    <row r="375" spans="1:17" x14ac:dyDescent="0.25">
      <c r="A375" s="75">
        <v>46014</v>
      </c>
      <c r="B375" s="25" t="s">
        <v>358</v>
      </c>
      <c r="C375" s="25"/>
      <c r="D375" s="75">
        <f t="shared" si="92"/>
        <v>46037</v>
      </c>
      <c r="E375" s="75">
        <f t="shared" si="93"/>
        <v>46021</v>
      </c>
      <c r="F375" s="75">
        <f t="shared" si="94"/>
        <v>46028</v>
      </c>
      <c r="G375" s="75">
        <f t="shared" si="95"/>
        <v>46034</v>
      </c>
      <c r="H375" s="75">
        <f t="shared" si="96"/>
        <v>46022</v>
      </c>
      <c r="I375" s="75">
        <f t="shared" si="97"/>
        <v>46029</v>
      </c>
      <c r="J375" s="75">
        <v>46044</v>
      </c>
      <c r="K375" s="76">
        <f t="shared" si="90"/>
        <v>30</v>
      </c>
      <c r="L375" s="82">
        <v>19.11</v>
      </c>
      <c r="M375" s="80">
        <v>17.87</v>
      </c>
      <c r="N375" s="25">
        <f t="shared" si="91"/>
        <v>1.2399999999999984</v>
      </c>
      <c r="O375" s="80" t="s">
        <v>545</v>
      </c>
    </row>
    <row r="376" spans="1:17" x14ac:dyDescent="0.25">
      <c r="A376" s="75">
        <v>46014</v>
      </c>
      <c r="B376" s="25" t="s">
        <v>359</v>
      </c>
      <c r="C376" s="25"/>
      <c r="D376" s="75">
        <f t="shared" si="92"/>
        <v>46037</v>
      </c>
      <c r="E376" s="75">
        <f t="shared" si="93"/>
        <v>46021</v>
      </c>
      <c r="F376" s="75">
        <f t="shared" si="94"/>
        <v>46028</v>
      </c>
      <c r="G376" s="75">
        <f t="shared" si="95"/>
        <v>46034</v>
      </c>
      <c r="H376" s="75">
        <f t="shared" si="96"/>
        <v>46022</v>
      </c>
      <c r="I376" s="75">
        <f t="shared" si="97"/>
        <v>46029</v>
      </c>
      <c r="J376" s="75">
        <v>46044</v>
      </c>
      <c r="K376" s="76">
        <f t="shared" si="90"/>
        <v>30</v>
      </c>
      <c r="L376" s="82">
        <v>19.93</v>
      </c>
      <c r="M376" s="80">
        <v>18.059999999999999</v>
      </c>
      <c r="N376" s="25">
        <f t="shared" si="91"/>
        <v>1.870000000000001</v>
      </c>
      <c r="O376" s="80" t="s">
        <v>545</v>
      </c>
    </row>
    <row r="377" spans="1:17" x14ac:dyDescent="0.25">
      <c r="A377" s="75">
        <v>46014</v>
      </c>
      <c r="B377" s="25" t="s">
        <v>360</v>
      </c>
      <c r="C377" s="25"/>
      <c r="D377" s="75">
        <f t="shared" si="92"/>
        <v>46037</v>
      </c>
      <c r="E377" s="75">
        <f t="shared" si="93"/>
        <v>46021</v>
      </c>
      <c r="F377" s="75">
        <f t="shared" si="94"/>
        <v>46028</v>
      </c>
      <c r="G377" s="75">
        <f t="shared" si="95"/>
        <v>46034</v>
      </c>
      <c r="H377" s="75">
        <f t="shared" si="96"/>
        <v>46022</v>
      </c>
      <c r="I377" s="75">
        <f t="shared" si="97"/>
        <v>46029</v>
      </c>
      <c r="J377" s="75">
        <v>46043</v>
      </c>
      <c r="K377" s="76">
        <f t="shared" si="90"/>
        <v>29</v>
      </c>
      <c r="L377" s="82">
        <v>19.86</v>
      </c>
      <c r="M377" s="80">
        <v>18.559999999999999</v>
      </c>
      <c r="N377" s="25">
        <f t="shared" ref="N377:N440" si="98">L377-M377</f>
        <v>1.3000000000000007</v>
      </c>
      <c r="O377" s="80" t="s">
        <v>545</v>
      </c>
    </row>
    <row r="378" spans="1:17" x14ac:dyDescent="0.25">
      <c r="A378" s="75">
        <v>46014</v>
      </c>
      <c r="B378" s="25" t="s">
        <v>361</v>
      </c>
      <c r="C378" s="25"/>
      <c r="D378" s="75">
        <f t="shared" si="92"/>
        <v>46037</v>
      </c>
      <c r="E378" s="75">
        <f t="shared" si="93"/>
        <v>46021</v>
      </c>
      <c r="F378" s="75">
        <f t="shared" si="94"/>
        <v>46028</v>
      </c>
      <c r="G378" s="75">
        <f t="shared" si="95"/>
        <v>46034</v>
      </c>
      <c r="H378" s="75">
        <f t="shared" si="96"/>
        <v>46022</v>
      </c>
      <c r="I378" s="75">
        <f t="shared" si="97"/>
        <v>46029</v>
      </c>
      <c r="J378" s="75">
        <v>46043</v>
      </c>
      <c r="K378" s="76">
        <f t="shared" si="90"/>
        <v>29</v>
      </c>
      <c r="L378" s="82">
        <v>18.93</v>
      </c>
      <c r="M378" s="80">
        <v>17.91</v>
      </c>
      <c r="N378" s="25">
        <f t="shared" si="98"/>
        <v>1.0199999999999996</v>
      </c>
      <c r="O378" s="80" t="s">
        <v>545</v>
      </c>
    </row>
    <row r="379" spans="1:17" x14ac:dyDescent="0.25">
      <c r="A379" s="75">
        <v>46014</v>
      </c>
      <c r="B379" s="25" t="s">
        <v>362</v>
      </c>
      <c r="C379" s="25"/>
      <c r="D379" s="75">
        <f t="shared" si="92"/>
        <v>46037</v>
      </c>
      <c r="E379" s="75">
        <f t="shared" si="93"/>
        <v>46021</v>
      </c>
      <c r="F379" s="75">
        <f t="shared" si="94"/>
        <v>46028</v>
      </c>
      <c r="G379" s="75">
        <f t="shared" si="95"/>
        <v>46034</v>
      </c>
      <c r="H379" s="75">
        <f t="shared" si="96"/>
        <v>46022</v>
      </c>
      <c r="I379" s="75">
        <f t="shared" si="97"/>
        <v>46029</v>
      </c>
      <c r="J379" s="75">
        <v>46043</v>
      </c>
      <c r="K379" s="76">
        <f t="shared" si="90"/>
        <v>29</v>
      </c>
      <c r="L379" s="82">
        <v>19.75</v>
      </c>
      <c r="M379" s="80">
        <v>18.34</v>
      </c>
      <c r="N379" s="25">
        <f t="shared" si="98"/>
        <v>1.4100000000000001</v>
      </c>
      <c r="O379" s="80" t="s">
        <v>545</v>
      </c>
    </row>
    <row r="380" spans="1:17" x14ac:dyDescent="0.25">
      <c r="A380" s="75">
        <v>46014</v>
      </c>
      <c r="B380" s="25" t="s">
        <v>363</v>
      </c>
      <c r="C380" s="25"/>
      <c r="D380" s="75">
        <f t="shared" si="92"/>
        <v>46037</v>
      </c>
      <c r="E380" s="75">
        <f t="shared" si="93"/>
        <v>46021</v>
      </c>
      <c r="F380" s="75">
        <f t="shared" si="94"/>
        <v>46028</v>
      </c>
      <c r="G380" s="75">
        <f t="shared" si="95"/>
        <v>46034</v>
      </c>
      <c r="H380" s="75">
        <f t="shared" si="96"/>
        <v>46022</v>
      </c>
      <c r="I380" s="75">
        <f t="shared" si="97"/>
        <v>46029</v>
      </c>
      <c r="J380" s="75">
        <v>46043</v>
      </c>
      <c r="K380" s="76">
        <f t="shared" si="90"/>
        <v>29</v>
      </c>
      <c r="L380" s="82">
        <v>13.38</v>
      </c>
      <c r="M380" s="80">
        <v>7.3</v>
      </c>
      <c r="N380" s="25">
        <f t="shared" si="98"/>
        <v>6.080000000000001</v>
      </c>
      <c r="O380" s="80" t="s">
        <v>545</v>
      </c>
    </row>
    <row r="381" spans="1:17" x14ac:dyDescent="0.25">
      <c r="A381" s="75">
        <v>46015</v>
      </c>
      <c r="B381" s="25" t="s">
        <v>387</v>
      </c>
      <c r="C381" s="25"/>
      <c r="D381" s="75">
        <f t="shared" ref="D381:D394" si="99">A381+23</f>
        <v>46038</v>
      </c>
      <c r="E381" s="75">
        <f t="shared" ref="E381:E394" si="100">A381+7</f>
        <v>46022</v>
      </c>
      <c r="F381" s="75">
        <f t="shared" ref="F381:F394" si="101">A381+14</f>
        <v>46029</v>
      </c>
      <c r="G381" s="75">
        <f t="shared" ref="G381:G387" si="102">A381+20</f>
        <v>46035</v>
      </c>
      <c r="H381" s="75">
        <f t="shared" ref="H381:H387" si="103">A381+8</f>
        <v>46023</v>
      </c>
      <c r="I381" s="75">
        <f t="shared" ref="I381:I387" si="104">A381+15</f>
        <v>46030</v>
      </c>
      <c r="J381" s="75">
        <v>46045</v>
      </c>
      <c r="K381" s="76">
        <f t="shared" si="90"/>
        <v>30</v>
      </c>
      <c r="L381" s="82">
        <v>12.56</v>
      </c>
      <c r="M381" s="80">
        <v>6.7</v>
      </c>
      <c r="N381" s="25">
        <f t="shared" si="98"/>
        <v>5.86</v>
      </c>
      <c r="O381" s="80" t="s">
        <v>544</v>
      </c>
    </row>
    <row r="382" spans="1:17" x14ac:dyDescent="0.25">
      <c r="A382" s="75">
        <v>46015</v>
      </c>
      <c r="B382" s="25" t="s">
        <v>388</v>
      </c>
      <c r="C382" s="25"/>
      <c r="D382" s="75">
        <f t="shared" si="99"/>
        <v>46038</v>
      </c>
      <c r="E382" s="75">
        <f t="shared" si="100"/>
        <v>46022</v>
      </c>
      <c r="F382" s="75">
        <f t="shared" si="101"/>
        <v>46029</v>
      </c>
      <c r="G382" s="75">
        <f t="shared" si="102"/>
        <v>46035</v>
      </c>
      <c r="H382" s="75">
        <f t="shared" si="103"/>
        <v>46023</v>
      </c>
      <c r="I382" s="75">
        <f t="shared" si="104"/>
        <v>46030</v>
      </c>
      <c r="J382" s="75">
        <v>46045</v>
      </c>
      <c r="K382" s="76">
        <f t="shared" ref="K382:K416" si="105">J382-A382</f>
        <v>30</v>
      </c>
      <c r="L382" s="82">
        <v>13.18</v>
      </c>
      <c r="M382" s="80">
        <v>7.03</v>
      </c>
      <c r="N382" s="25">
        <f t="shared" si="98"/>
        <v>6.1499999999999995</v>
      </c>
      <c r="O382" s="80" t="s">
        <v>544</v>
      </c>
    </row>
    <row r="383" spans="1:17" x14ac:dyDescent="0.25">
      <c r="A383" s="75">
        <v>46015</v>
      </c>
      <c r="B383" s="25" t="s">
        <v>389</v>
      </c>
      <c r="C383" s="25"/>
      <c r="D383" s="75">
        <f t="shared" si="99"/>
        <v>46038</v>
      </c>
      <c r="E383" s="75">
        <f t="shared" si="100"/>
        <v>46022</v>
      </c>
      <c r="F383" s="75">
        <f t="shared" si="101"/>
        <v>46029</v>
      </c>
      <c r="G383" s="75">
        <f t="shared" si="102"/>
        <v>46035</v>
      </c>
      <c r="H383" s="75">
        <f t="shared" si="103"/>
        <v>46023</v>
      </c>
      <c r="I383" s="75">
        <f t="shared" si="104"/>
        <v>46030</v>
      </c>
      <c r="J383" s="75">
        <v>46045</v>
      </c>
      <c r="K383" s="76">
        <f t="shared" si="105"/>
        <v>30</v>
      </c>
      <c r="L383" s="82">
        <v>12.83</v>
      </c>
      <c r="M383" s="80">
        <v>6.21</v>
      </c>
      <c r="N383" s="25">
        <f t="shared" si="98"/>
        <v>6.62</v>
      </c>
      <c r="O383" s="80" t="s">
        <v>544</v>
      </c>
    </row>
    <row r="384" spans="1:17" x14ac:dyDescent="0.25">
      <c r="A384" s="75">
        <v>46015</v>
      </c>
      <c r="B384" s="25" t="s">
        <v>390</v>
      </c>
      <c r="C384" s="25"/>
      <c r="D384" s="75">
        <f t="shared" si="99"/>
        <v>46038</v>
      </c>
      <c r="E384" s="75">
        <f t="shared" si="100"/>
        <v>46022</v>
      </c>
      <c r="F384" s="75">
        <f t="shared" si="101"/>
        <v>46029</v>
      </c>
      <c r="G384" s="75">
        <f t="shared" si="102"/>
        <v>46035</v>
      </c>
      <c r="H384" s="75">
        <f t="shared" si="103"/>
        <v>46023</v>
      </c>
      <c r="I384" s="75">
        <f t="shared" si="104"/>
        <v>46030</v>
      </c>
      <c r="J384" s="75">
        <v>46045</v>
      </c>
      <c r="K384" s="76">
        <f t="shared" si="105"/>
        <v>30</v>
      </c>
      <c r="L384" s="82">
        <v>13.16</v>
      </c>
      <c r="M384" s="80">
        <v>11.73</v>
      </c>
      <c r="N384" s="25">
        <f t="shared" si="98"/>
        <v>1.4299999999999997</v>
      </c>
      <c r="O384" s="80" t="s">
        <v>545</v>
      </c>
    </row>
    <row r="385" spans="1:15" x14ac:dyDescent="0.25">
      <c r="A385" s="75">
        <v>46015</v>
      </c>
      <c r="B385" s="25" t="s">
        <v>391</v>
      </c>
      <c r="C385" s="25"/>
      <c r="D385" s="75">
        <f t="shared" si="99"/>
        <v>46038</v>
      </c>
      <c r="E385" s="75">
        <f t="shared" si="100"/>
        <v>46022</v>
      </c>
      <c r="F385" s="75">
        <f t="shared" si="101"/>
        <v>46029</v>
      </c>
      <c r="G385" s="75">
        <f t="shared" si="102"/>
        <v>46035</v>
      </c>
      <c r="H385" s="75">
        <f t="shared" si="103"/>
        <v>46023</v>
      </c>
      <c r="I385" s="75">
        <f t="shared" si="104"/>
        <v>46030</v>
      </c>
      <c r="J385" s="75">
        <v>46045</v>
      </c>
      <c r="K385" s="76">
        <f t="shared" si="105"/>
        <v>30</v>
      </c>
      <c r="L385" s="82">
        <v>13.95</v>
      </c>
      <c r="M385" s="80">
        <v>12.54</v>
      </c>
      <c r="N385" s="25">
        <f t="shared" si="98"/>
        <v>1.4100000000000001</v>
      </c>
      <c r="O385" s="80" t="s">
        <v>545</v>
      </c>
    </row>
    <row r="386" spans="1:15" x14ac:dyDescent="0.25">
      <c r="A386" s="75">
        <v>46015</v>
      </c>
      <c r="B386" s="25" t="s">
        <v>392</v>
      </c>
      <c r="C386" s="25"/>
      <c r="D386" s="75">
        <f t="shared" si="99"/>
        <v>46038</v>
      </c>
      <c r="E386" s="75">
        <f t="shared" si="100"/>
        <v>46022</v>
      </c>
      <c r="F386" s="75">
        <f t="shared" si="101"/>
        <v>46029</v>
      </c>
      <c r="G386" s="75">
        <f t="shared" si="102"/>
        <v>46035</v>
      </c>
      <c r="H386" s="75">
        <f t="shared" si="103"/>
        <v>46023</v>
      </c>
      <c r="I386" s="75">
        <f t="shared" si="104"/>
        <v>46030</v>
      </c>
      <c r="J386" s="75">
        <v>46045</v>
      </c>
      <c r="K386" s="76">
        <f t="shared" si="105"/>
        <v>30</v>
      </c>
      <c r="L386" s="82">
        <v>14.15</v>
      </c>
      <c r="M386" s="80">
        <v>12.61</v>
      </c>
      <c r="N386" s="25">
        <f t="shared" si="98"/>
        <v>1.5400000000000009</v>
      </c>
      <c r="O386" s="80" t="s">
        <v>545</v>
      </c>
    </row>
    <row r="387" spans="1:15" x14ac:dyDescent="0.25">
      <c r="A387" s="75">
        <v>46015</v>
      </c>
      <c r="B387" s="25" t="s">
        <v>393</v>
      </c>
      <c r="C387" s="25"/>
      <c r="D387" s="75">
        <f t="shared" si="99"/>
        <v>46038</v>
      </c>
      <c r="E387" s="75">
        <f t="shared" si="100"/>
        <v>46022</v>
      </c>
      <c r="F387" s="75">
        <f t="shared" si="101"/>
        <v>46029</v>
      </c>
      <c r="G387" s="75">
        <f t="shared" si="102"/>
        <v>46035</v>
      </c>
      <c r="H387" s="75">
        <f t="shared" si="103"/>
        <v>46023</v>
      </c>
      <c r="I387" s="75">
        <f t="shared" si="104"/>
        <v>46030</v>
      </c>
      <c r="J387" s="75">
        <v>46045</v>
      </c>
      <c r="K387" s="76">
        <f t="shared" si="105"/>
        <v>30</v>
      </c>
      <c r="L387" s="82">
        <v>14.87</v>
      </c>
      <c r="M387" s="80">
        <v>13.1</v>
      </c>
      <c r="N387" s="25">
        <f t="shared" si="98"/>
        <v>1.7699999999999996</v>
      </c>
      <c r="O387" s="80" t="s">
        <v>545</v>
      </c>
    </row>
    <row r="388" spans="1:15" x14ac:dyDescent="0.25">
      <c r="A388" s="75">
        <v>46016</v>
      </c>
      <c r="B388" s="25" t="s">
        <v>380</v>
      </c>
      <c r="C388" s="25"/>
      <c r="D388" s="75">
        <f t="shared" si="99"/>
        <v>46039</v>
      </c>
      <c r="E388" s="75">
        <f t="shared" si="100"/>
        <v>46023</v>
      </c>
      <c r="F388" s="75">
        <f t="shared" si="101"/>
        <v>46030</v>
      </c>
      <c r="G388" s="75">
        <f t="shared" ref="G388:G394" si="106">A388+20</f>
        <v>46036</v>
      </c>
      <c r="H388" s="75">
        <f t="shared" ref="H388:H394" si="107">A388+8</f>
        <v>46024</v>
      </c>
      <c r="I388" s="75">
        <f t="shared" ref="I388:I394" si="108">A388+15</f>
        <v>46031</v>
      </c>
      <c r="J388" s="75">
        <v>46046</v>
      </c>
      <c r="K388" s="76">
        <f t="shared" si="105"/>
        <v>30</v>
      </c>
      <c r="L388" s="82">
        <v>12.69</v>
      </c>
      <c r="M388" s="80">
        <v>6.51</v>
      </c>
      <c r="N388" s="25">
        <f t="shared" si="98"/>
        <v>6.18</v>
      </c>
      <c r="O388" s="80" t="s">
        <v>544</v>
      </c>
    </row>
    <row r="389" spans="1:15" x14ac:dyDescent="0.25">
      <c r="A389" s="75">
        <v>46016</v>
      </c>
      <c r="B389" s="25" t="s">
        <v>381</v>
      </c>
      <c r="C389" s="25"/>
      <c r="D389" s="75">
        <f t="shared" si="99"/>
        <v>46039</v>
      </c>
      <c r="E389" s="75">
        <f t="shared" si="100"/>
        <v>46023</v>
      </c>
      <c r="F389" s="75">
        <f t="shared" si="101"/>
        <v>46030</v>
      </c>
      <c r="G389" s="75">
        <f t="shared" si="106"/>
        <v>46036</v>
      </c>
      <c r="H389" s="75">
        <f t="shared" si="107"/>
        <v>46024</v>
      </c>
      <c r="I389" s="75">
        <f t="shared" si="108"/>
        <v>46031</v>
      </c>
      <c r="J389" s="75">
        <v>46046</v>
      </c>
      <c r="K389" s="76">
        <f t="shared" si="105"/>
        <v>30</v>
      </c>
      <c r="L389" s="82">
        <v>11.15</v>
      </c>
      <c r="M389" s="80">
        <v>5.74</v>
      </c>
      <c r="N389" s="25">
        <f t="shared" si="98"/>
        <v>5.41</v>
      </c>
      <c r="O389" s="80" t="s">
        <v>544</v>
      </c>
    </row>
    <row r="390" spans="1:15" x14ac:dyDescent="0.25">
      <c r="A390" s="75">
        <v>46016</v>
      </c>
      <c r="B390" s="25" t="s">
        <v>382</v>
      </c>
      <c r="C390" s="25"/>
      <c r="D390" s="75">
        <f t="shared" si="99"/>
        <v>46039</v>
      </c>
      <c r="E390" s="75">
        <f t="shared" si="100"/>
        <v>46023</v>
      </c>
      <c r="F390" s="75">
        <f t="shared" si="101"/>
        <v>46030</v>
      </c>
      <c r="G390" s="75">
        <f t="shared" si="106"/>
        <v>46036</v>
      </c>
      <c r="H390" s="75">
        <f t="shared" si="107"/>
        <v>46024</v>
      </c>
      <c r="I390" s="75">
        <f t="shared" si="108"/>
        <v>46031</v>
      </c>
      <c r="J390" s="75">
        <v>46046</v>
      </c>
      <c r="K390" s="76">
        <f t="shared" si="105"/>
        <v>30</v>
      </c>
      <c r="L390" s="82">
        <v>10.44</v>
      </c>
      <c r="M390" s="80">
        <v>4.7300000000000004</v>
      </c>
      <c r="N390" s="25">
        <f t="shared" si="98"/>
        <v>5.7099999999999991</v>
      </c>
      <c r="O390" s="80" t="s">
        <v>544</v>
      </c>
    </row>
    <row r="391" spans="1:15" x14ac:dyDescent="0.25">
      <c r="A391" s="75">
        <v>46016</v>
      </c>
      <c r="B391" s="25" t="s">
        <v>383</v>
      </c>
      <c r="C391" s="25"/>
      <c r="D391" s="75">
        <f t="shared" si="99"/>
        <v>46039</v>
      </c>
      <c r="E391" s="75">
        <f t="shared" si="100"/>
        <v>46023</v>
      </c>
      <c r="F391" s="75">
        <f t="shared" si="101"/>
        <v>46030</v>
      </c>
      <c r="G391" s="75">
        <f t="shared" si="106"/>
        <v>46036</v>
      </c>
      <c r="H391" s="75">
        <f t="shared" si="107"/>
        <v>46024</v>
      </c>
      <c r="I391" s="75">
        <f t="shared" si="108"/>
        <v>46031</v>
      </c>
      <c r="J391" s="75">
        <v>46046</v>
      </c>
      <c r="K391" s="76">
        <f t="shared" si="105"/>
        <v>30</v>
      </c>
      <c r="L391" s="82">
        <v>10.119999999999999</v>
      </c>
      <c r="M391" s="80">
        <v>4.26</v>
      </c>
      <c r="N391" s="25">
        <f t="shared" si="98"/>
        <v>5.8599999999999994</v>
      </c>
      <c r="O391" s="80" t="s">
        <v>544</v>
      </c>
    </row>
    <row r="392" spans="1:15" x14ac:dyDescent="0.25">
      <c r="A392" s="75">
        <v>46016</v>
      </c>
      <c r="B392" s="25" t="s">
        <v>384</v>
      </c>
      <c r="C392" s="25"/>
      <c r="D392" s="75">
        <f t="shared" si="99"/>
        <v>46039</v>
      </c>
      <c r="E392" s="75">
        <f t="shared" si="100"/>
        <v>46023</v>
      </c>
      <c r="F392" s="75">
        <f t="shared" si="101"/>
        <v>46030</v>
      </c>
      <c r="G392" s="75">
        <f t="shared" si="106"/>
        <v>46036</v>
      </c>
      <c r="H392" s="75">
        <f t="shared" si="107"/>
        <v>46024</v>
      </c>
      <c r="I392" s="75">
        <f t="shared" si="108"/>
        <v>46031</v>
      </c>
      <c r="J392" s="75">
        <v>46046</v>
      </c>
      <c r="K392" s="76">
        <f t="shared" si="105"/>
        <v>30</v>
      </c>
      <c r="L392" s="82">
        <v>12.17</v>
      </c>
      <c r="M392" s="80">
        <v>10.23</v>
      </c>
      <c r="N392" s="25">
        <f t="shared" si="98"/>
        <v>1.9399999999999995</v>
      </c>
      <c r="O392" s="80" t="s">
        <v>545</v>
      </c>
    </row>
    <row r="393" spans="1:15" x14ac:dyDescent="0.25">
      <c r="A393" s="75">
        <v>46016</v>
      </c>
      <c r="B393" s="25" t="s">
        <v>385</v>
      </c>
      <c r="C393" s="25"/>
      <c r="D393" s="75">
        <f t="shared" si="99"/>
        <v>46039</v>
      </c>
      <c r="E393" s="75">
        <f t="shared" si="100"/>
        <v>46023</v>
      </c>
      <c r="F393" s="75">
        <f t="shared" si="101"/>
        <v>46030</v>
      </c>
      <c r="G393" s="75">
        <f t="shared" si="106"/>
        <v>46036</v>
      </c>
      <c r="H393" s="75">
        <f t="shared" si="107"/>
        <v>46024</v>
      </c>
      <c r="I393" s="75">
        <f t="shared" si="108"/>
        <v>46031</v>
      </c>
      <c r="J393" s="75">
        <v>46046</v>
      </c>
      <c r="K393" s="76">
        <f t="shared" si="105"/>
        <v>30</v>
      </c>
      <c r="L393" s="82">
        <v>13.06</v>
      </c>
      <c r="M393" s="80">
        <v>11.15</v>
      </c>
      <c r="N393" s="25">
        <f t="shared" si="98"/>
        <v>1.9100000000000001</v>
      </c>
      <c r="O393" s="80" t="s">
        <v>545</v>
      </c>
    </row>
    <row r="394" spans="1:15" x14ac:dyDescent="0.25">
      <c r="A394" s="75">
        <v>46016</v>
      </c>
      <c r="B394" s="25" t="s">
        <v>386</v>
      </c>
      <c r="C394" s="25"/>
      <c r="D394" s="75">
        <f t="shared" si="99"/>
        <v>46039</v>
      </c>
      <c r="E394" s="75">
        <f t="shared" si="100"/>
        <v>46023</v>
      </c>
      <c r="F394" s="75">
        <f t="shared" si="101"/>
        <v>46030</v>
      </c>
      <c r="G394" s="75">
        <f t="shared" si="106"/>
        <v>46036</v>
      </c>
      <c r="H394" s="75">
        <f t="shared" si="107"/>
        <v>46024</v>
      </c>
      <c r="I394" s="75">
        <f t="shared" si="108"/>
        <v>46031</v>
      </c>
      <c r="J394" s="75">
        <v>46046</v>
      </c>
      <c r="K394" s="76">
        <f t="shared" si="105"/>
        <v>30</v>
      </c>
      <c r="L394" s="82">
        <v>13.89</v>
      </c>
      <c r="M394" s="80">
        <v>12.01</v>
      </c>
      <c r="N394" s="25">
        <f t="shared" si="98"/>
        <v>1.8800000000000008</v>
      </c>
      <c r="O394" s="80" t="s">
        <v>545</v>
      </c>
    </row>
    <row r="395" spans="1:15" x14ac:dyDescent="0.25">
      <c r="A395" s="75">
        <v>46017</v>
      </c>
      <c r="B395" s="25" t="s">
        <v>511</v>
      </c>
      <c r="C395" s="25"/>
      <c r="D395" s="75">
        <f t="shared" ref="D395:D401" si="109">A395+23</f>
        <v>46040</v>
      </c>
      <c r="E395" s="75">
        <f t="shared" ref="E395:E401" si="110">A395+7</f>
        <v>46024</v>
      </c>
      <c r="F395" s="75">
        <f t="shared" ref="F395:F401" si="111">A395+14</f>
        <v>46031</v>
      </c>
      <c r="G395" s="75">
        <f t="shared" ref="G395:G401" si="112">A395+20</f>
        <v>46037</v>
      </c>
      <c r="H395" s="75">
        <f t="shared" ref="H395:H401" si="113">A395+8</f>
        <v>46025</v>
      </c>
      <c r="I395" s="75">
        <f t="shared" ref="I395:I401" si="114">A395+15</f>
        <v>46032</v>
      </c>
      <c r="J395" s="75">
        <v>46046</v>
      </c>
      <c r="K395" s="76">
        <f t="shared" si="105"/>
        <v>29</v>
      </c>
      <c r="L395" s="82">
        <v>14.19</v>
      </c>
      <c r="M395" s="80">
        <v>12.19</v>
      </c>
      <c r="N395" s="25">
        <f t="shared" si="98"/>
        <v>2</v>
      </c>
      <c r="O395" s="80" t="s">
        <v>545</v>
      </c>
    </row>
    <row r="396" spans="1:15" x14ac:dyDescent="0.25">
      <c r="A396" s="75">
        <v>46017</v>
      </c>
      <c r="B396" s="25" t="s">
        <v>512</v>
      </c>
      <c r="C396" s="25"/>
      <c r="D396" s="75">
        <f t="shared" si="109"/>
        <v>46040</v>
      </c>
      <c r="E396" s="75">
        <f t="shared" si="110"/>
        <v>46024</v>
      </c>
      <c r="F396" s="75">
        <f t="shared" si="111"/>
        <v>46031</v>
      </c>
      <c r="G396" s="75">
        <f t="shared" si="112"/>
        <v>46037</v>
      </c>
      <c r="H396" s="75">
        <f t="shared" si="113"/>
        <v>46025</v>
      </c>
      <c r="I396" s="75">
        <f t="shared" si="114"/>
        <v>46032</v>
      </c>
      <c r="J396" s="75">
        <v>46046</v>
      </c>
      <c r="K396" s="76">
        <f t="shared" si="105"/>
        <v>29</v>
      </c>
      <c r="L396" s="82">
        <v>11.73</v>
      </c>
      <c r="M396" s="80">
        <v>10.58</v>
      </c>
      <c r="N396" s="25">
        <f t="shared" si="98"/>
        <v>1.1500000000000004</v>
      </c>
      <c r="O396" s="80" t="s">
        <v>545</v>
      </c>
    </row>
    <row r="397" spans="1:15" x14ac:dyDescent="0.25">
      <c r="A397" s="75">
        <v>46017</v>
      </c>
      <c r="B397" s="25" t="s">
        <v>513</v>
      </c>
      <c r="C397" s="25"/>
      <c r="D397" s="75">
        <f t="shared" si="109"/>
        <v>46040</v>
      </c>
      <c r="E397" s="75">
        <f t="shared" si="110"/>
        <v>46024</v>
      </c>
      <c r="F397" s="75">
        <f t="shared" si="111"/>
        <v>46031</v>
      </c>
      <c r="G397" s="75">
        <f t="shared" si="112"/>
        <v>46037</v>
      </c>
      <c r="H397" s="75">
        <f t="shared" si="113"/>
        <v>46025</v>
      </c>
      <c r="I397" s="75">
        <f t="shared" si="114"/>
        <v>46032</v>
      </c>
      <c r="J397" s="75">
        <v>46046</v>
      </c>
      <c r="K397" s="76">
        <f t="shared" si="105"/>
        <v>29</v>
      </c>
      <c r="L397" s="82">
        <v>12.58</v>
      </c>
      <c r="M397" s="80">
        <v>11.2</v>
      </c>
      <c r="N397" s="25">
        <f t="shared" si="98"/>
        <v>1.3800000000000008</v>
      </c>
      <c r="O397" s="80" t="s">
        <v>545</v>
      </c>
    </row>
    <row r="398" spans="1:15" x14ac:dyDescent="0.25">
      <c r="A398" s="75">
        <v>46017</v>
      </c>
      <c r="B398" s="25" t="s">
        <v>514</v>
      </c>
      <c r="C398" s="25"/>
      <c r="D398" s="75">
        <f t="shared" si="109"/>
        <v>46040</v>
      </c>
      <c r="E398" s="75">
        <f t="shared" si="110"/>
        <v>46024</v>
      </c>
      <c r="F398" s="75">
        <f t="shared" si="111"/>
        <v>46031</v>
      </c>
      <c r="G398" s="75">
        <f t="shared" si="112"/>
        <v>46037</v>
      </c>
      <c r="H398" s="75">
        <f t="shared" si="113"/>
        <v>46025</v>
      </c>
      <c r="I398" s="75">
        <f t="shared" si="114"/>
        <v>46032</v>
      </c>
      <c r="J398" s="75">
        <v>46047</v>
      </c>
      <c r="K398" s="76">
        <f t="shared" si="105"/>
        <v>30</v>
      </c>
      <c r="L398" s="25">
        <v>7.12</v>
      </c>
      <c r="M398" s="25">
        <v>4.9800000000000004</v>
      </c>
      <c r="N398" s="25">
        <f t="shared" si="98"/>
        <v>2.1399999999999997</v>
      </c>
      <c r="O398" s="25" t="s">
        <v>544</v>
      </c>
    </row>
    <row r="399" spans="1:15" x14ac:dyDescent="0.25">
      <c r="A399" s="75">
        <v>46017</v>
      </c>
      <c r="B399" s="25" t="s">
        <v>515</v>
      </c>
      <c r="C399" s="25"/>
      <c r="D399" s="75">
        <f t="shared" si="109"/>
        <v>46040</v>
      </c>
      <c r="E399" s="75">
        <f t="shared" si="110"/>
        <v>46024</v>
      </c>
      <c r="F399" s="75">
        <f t="shared" si="111"/>
        <v>46031</v>
      </c>
      <c r="G399" s="75">
        <f t="shared" si="112"/>
        <v>46037</v>
      </c>
      <c r="H399" s="75">
        <f t="shared" si="113"/>
        <v>46025</v>
      </c>
      <c r="I399" s="75">
        <f t="shared" si="114"/>
        <v>46032</v>
      </c>
      <c r="J399" s="75">
        <v>46047</v>
      </c>
      <c r="K399" s="76">
        <f t="shared" si="105"/>
        <v>30</v>
      </c>
      <c r="L399" s="25">
        <v>8.19</v>
      </c>
      <c r="M399" s="25">
        <v>4.72</v>
      </c>
      <c r="N399" s="25">
        <f t="shared" si="98"/>
        <v>3.4699999999999998</v>
      </c>
      <c r="O399" s="25" t="s">
        <v>544</v>
      </c>
    </row>
    <row r="400" spans="1:15" x14ac:dyDescent="0.25">
      <c r="A400" s="75">
        <v>46017</v>
      </c>
      <c r="B400" s="25" t="s">
        <v>516</v>
      </c>
      <c r="C400" s="25"/>
      <c r="D400" s="75">
        <f t="shared" si="109"/>
        <v>46040</v>
      </c>
      <c r="E400" s="75">
        <f t="shared" si="110"/>
        <v>46024</v>
      </c>
      <c r="F400" s="75">
        <f t="shared" si="111"/>
        <v>46031</v>
      </c>
      <c r="G400" s="75">
        <f t="shared" si="112"/>
        <v>46037</v>
      </c>
      <c r="H400" s="75">
        <f t="shared" si="113"/>
        <v>46025</v>
      </c>
      <c r="I400" s="75">
        <f t="shared" si="114"/>
        <v>46032</v>
      </c>
      <c r="J400" s="75">
        <v>46047</v>
      </c>
      <c r="K400" s="76">
        <f t="shared" si="105"/>
        <v>30</v>
      </c>
      <c r="L400" s="25">
        <v>8.23</v>
      </c>
      <c r="M400" s="25">
        <v>4.1900000000000004</v>
      </c>
      <c r="N400" s="25">
        <f t="shared" si="98"/>
        <v>4.04</v>
      </c>
      <c r="O400" s="25" t="s">
        <v>544</v>
      </c>
    </row>
    <row r="401" spans="1:17" x14ac:dyDescent="0.25">
      <c r="A401" s="75">
        <v>46017</v>
      </c>
      <c r="B401" s="25" t="s">
        <v>517</v>
      </c>
      <c r="C401" s="25"/>
      <c r="D401" s="75">
        <f t="shared" si="109"/>
        <v>46040</v>
      </c>
      <c r="E401" s="75">
        <f t="shared" si="110"/>
        <v>46024</v>
      </c>
      <c r="F401" s="75">
        <f t="shared" si="111"/>
        <v>46031</v>
      </c>
      <c r="G401" s="75">
        <f t="shared" si="112"/>
        <v>46037</v>
      </c>
      <c r="H401" s="75">
        <f t="shared" si="113"/>
        <v>46025</v>
      </c>
      <c r="I401" s="75">
        <f t="shared" si="114"/>
        <v>46032</v>
      </c>
      <c r="J401" s="75">
        <v>46047</v>
      </c>
      <c r="K401" s="76">
        <f t="shared" si="105"/>
        <v>30</v>
      </c>
      <c r="L401" s="25">
        <v>6.15</v>
      </c>
      <c r="M401" s="25">
        <v>3.71</v>
      </c>
      <c r="N401" s="25">
        <f t="shared" si="98"/>
        <v>2.4400000000000004</v>
      </c>
      <c r="O401" s="25" t="s">
        <v>544</v>
      </c>
    </row>
    <row r="402" spans="1:17" x14ac:dyDescent="0.25">
      <c r="A402" s="75">
        <v>46018</v>
      </c>
      <c r="B402" s="25" t="s">
        <v>518</v>
      </c>
      <c r="C402" s="25"/>
      <c r="D402" s="75">
        <f t="shared" ref="D402:D408" si="115">A402+23</f>
        <v>46041</v>
      </c>
      <c r="E402" s="75">
        <f t="shared" ref="E402:E408" si="116">A402+7</f>
        <v>46025</v>
      </c>
      <c r="F402" s="75">
        <f t="shared" ref="F402:F408" si="117">A402+14</f>
        <v>46032</v>
      </c>
      <c r="G402" s="75">
        <f t="shared" ref="G402:G408" si="118">A402+20</f>
        <v>46038</v>
      </c>
      <c r="H402" s="75">
        <f t="shared" ref="H402:H408" si="119">A402+8</f>
        <v>46026</v>
      </c>
      <c r="I402" s="75">
        <f t="shared" ref="I402:I408" si="120">A402+15</f>
        <v>46033</v>
      </c>
      <c r="J402" s="75">
        <v>46047</v>
      </c>
      <c r="K402" s="76">
        <f t="shared" si="105"/>
        <v>29</v>
      </c>
      <c r="L402" s="25">
        <v>8.19</v>
      </c>
      <c r="M402" s="25">
        <v>4.2699999999999996</v>
      </c>
      <c r="N402" s="25">
        <f t="shared" si="98"/>
        <v>3.92</v>
      </c>
      <c r="O402" s="25" t="s">
        <v>544</v>
      </c>
    </row>
    <row r="403" spans="1:17" x14ac:dyDescent="0.25">
      <c r="A403" s="75">
        <v>46018</v>
      </c>
      <c r="B403" s="25" t="s">
        <v>519</v>
      </c>
      <c r="C403" s="25"/>
      <c r="D403" s="75">
        <f t="shared" si="115"/>
        <v>46041</v>
      </c>
      <c r="E403" s="75">
        <f t="shared" si="116"/>
        <v>46025</v>
      </c>
      <c r="F403" s="75">
        <f t="shared" si="117"/>
        <v>46032</v>
      </c>
      <c r="G403" s="75">
        <f t="shared" si="118"/>
        <v>46038</v>
      </c>
      <c r="H403" s="75">
        <f t="shared" si="119"/>
        <v>46026</v>
      </c>
      <c r="I403" s="75">
        <f t="shared" si="120"/>
        <v>46033</v>
      </c>
      <c r="J403" s="75">
        <v>46047</v>
      </c>
      <c r="K403" s="76">
        <f t="shared" si="105"/>
        <v>29</v>
      </c>
      <c r="L403" s="25">
        <v>8.23</v>
      </c>
      <c r="M403" s="25">
        <v>4.29</v>
      </c>
      <c r="N403" s="25">
        <f t="shared" si="98"/>
        <v>3.9400000000000004</v>
      </c>
      <c r="O403" s="25" t="s">
        <v>544</v>
      </c>
    </row>
    <row r="404" spans="1:17" x14ac:dyDescent="0.25">
      <c r="A404" s="75">
        <v>46018</v>
      </c>
      <c r="B404" s="25" t="s">
        <v>520</v>
      </c>
      <c r="C404" s="25"/>
      <c r="D404" s="75">
        <f t="shared" si="115"/>
        <v>46041</v>
      </c>
      <c r="E404" s="75">
        <f t="shared" si="116"/>
        <v>46025</v>
      </c>
      <c r="F404" s="75">
        <f t="shared" si="117"/>
        <v>46032</v>
      </c>
      <c r="G404" s="75">
        <f t="shared" si="118"/>
        <v>46038</v>
      </c>
      <c r="H404" s="75">
        <f t="shared" si="119"/>
        <v>46026</v>
      </c>
      <c r="I404" s="75">
        <f t="shared" si="120"/>
        <v>46033</v>
      </c>
      <c r="J404" s="75">
        <v>46047</v>
      </c>
      <c r="K404" s="76">
        <f t="shared" si="105"/>
        <v>29</v>
      </c>
      <c r="L404" s="25">
        <v>10.74</v>
      </c>
      <c r="M404" s="25">
        <v>5.63</v>
      </c>
      <c r="N404" s="25">
        <f t="shared" si="98"/>
        <v>5.1100000000000003</v>
      </c>
      <c r="O404" s="25" t="s">
        <v>544</v>
      </c>
    </row>
    <row r="405" spans="1:17" x14ac:dyDescent="0.25">
      <c r="A405" s="75">
        <v>46018</v>
      </c>
      <c r="B405" s="25" t="s">
        <v>521</v>
      </c>
      <c r="C405" s="25"/>
      <c r="D405" s="75">
        <f t="shared" si="115"/>
        <v>46041</v>
      </c>
      <c r="E405" s="75">
        <f t="shared" si="116"/>
        <v>46025</v>
      </c>
      <c r="F405" s="75">
        <f t="shared" si="117"/>
        <v>46032</v>
      </c>
      <c r="G405" s="75">
        <f t="shared" si="118"/>
        <v>46038</v>
      </c>
      <c r="H405" s="75">
        <f t="shared" si="119"/>
        <v>46026</v>
      </c>
      <c r="I405" s="75">
        <f t="shared" si="120"/>
        <v>46033</v>
      </c>
      <c r="J405" s="75">
        <v>46047</v>
      </c>
      <c r="K405" s="76">
        <f t="shared" si="105"/>
        <v>29</v>
      </c>
      <c r="L405" s="25">
        <v>11.16</v>
      </c>
      <c r="M405" s="25">
        <v>5.84</v>
      </c>
      <c r="N405" s="25">
        <f t="shared" si="98"/>
        <v>5.32</v>
      </c>
      <c r="O405" s="25" t="s">
        <v>544</v>
      </c>
    </row>
    <row r="406" spans="1:17" x14ac:dyDescent="0.25">
      <c r="A406" s="75">
        <v>46018</v>
      </c>
      <c r="B406" s="25" t="s">
        <v>522</v>
      </c>
      <c r="C406" s="25"/>
      <c r="D406" s="75">
        <f t="shared" si="115"/>
        <v>46041</v>
      </c>
      <c r="E406" s="75">
        <f t="shared" si="116"/>
        <v>46025</v>
      </c>
      <c r="F406" s="75">
        <f t="shared" si="117"/>
        <v>46032</v>
      </c>
      <c r="G406" s="75">
        <f t="shared" si="118"/>
        <v>46038</v>
      </c>
      <c r="H406" s="75">
        <f t="shared" si="119"/>
        <v>46026</v>
      </c>
      <c r="I406" s="75">
        <f t="shared" si="120"/>
        <v>46033</v>
      </c>
      <c r="J406" s="75">
        <v>46047</v>
      </c>
      <c r="K406" s="76">
        <f t="shared" si="105"/>
        <v>29</v>
      </c>
      <c r="L406" s="25">
        <v>10.08</v>
      </c>
      <c r="M406" s="25">
        <v>8.19</v>
      </c>
      <c r="N406" s="25">
        <f t="shared" si="98"/>
        <v>1.8900000000000006</v>
      </c>
      <c r="O406" s="25" t="s">
        <v>545</v>
      </c>
    </row>
    <row r="407" spans="1:17" x14ac:dyDescent="0.25">
      <c r="A407" s="75">
        <v>46018</v>
      </c>
      <c r="B407" s="25" t="s">
        <v>523</v>
      </c>
      <c r="C407" s="25"/>
      <c r="D407" s="75">
        <f t="shared" si="115"/>
        <v>46041</v>
      </c>
      <c r="E407" s="75">
        <f t="shared" si="116"/>
        <v>46025</v>
      </c>
      <c r="F407" s="75">
        <f t="shared" si="117"/>
        <v>46032</v>
      </c>
      <c r="G407" s="75">
        <f t="shared" si="118"/>
        <v>46038</v>
      </c>
      <c r="H407" s="75">
        <f t="shared" si="119"/>
        <v>46026</v>
      </c>
      <c r="I407" s="75">
        <f t="shared" si="120"/>
        <v>46033</v>
      </c>
      <c r="J407" s="75">
        <v>46047</v>
      </c>
      <c r="K407" s="76">
        <f t="shared" si="105"/>
        <v>29</v>
      </c>
      <c r="L407" s="25">
        <v>10.92</v>
      </c>
      <c r="M407" s="25">
        <v>9.43</v>
      </c>
      <c r="N407" s="25">
        <f t="shared" si="98"/>
        <v>1.4900000000000002</v>
      </c>
      <c r="O407" s="25" t="s">
        <v>545</v>
      </c>
    </row>
    <row r="408" spans="1:17" x14ac:dyDescent="0.25">
      <c r="A408" s="75">
        <v>46018</v>
      </c>
      <c r="B408" s="25" t="s">
        <v>524</v>
      </c>
      <c r="C408" s="25"/>
      <c r="D408" s="75">
        <f t="shared" si="115"/>
        <v>46041</v>
      </c>
      <c r="E408" s="75">
        <f t="shared" si="116"/>
        <v>46025</v>
      </c>
      <c r="F408" s="75">
        <f t="shared" si="117"/>
        <v>46032</v>
      </c>
      <c r="G408" s="75">
        <f t="shared" si="118"/>
        <v>46038</v>
      </c>
      <c r="H408" s="75">
        <f t="shared" si="119"/>
        <v>46026</v>
      </c>
      <c r="I408" s="75">
        <f t="shared" si="120"/>
        <v>46033</v>
      </c>
      <c r="J408" s="75">
        <v>46047</v>
      </c>
      <c r="K408" s="76">
        <f t="shared" si="105"/>
        <v>29</v>
      </c>
      <c r="L408" s="25">
        <v>10.27</v>
      </c>
      <c r="M408" s="25">
        <v>8.76</v>
      </c>
      <c r="N408" s="25">
        <f t="shared" si="98"/>
        <v>1.5099999999999998</v>
      </c>
      <c r="O408" s="25" t="s">
        <v>545</v>
      </c>
    </row>
    <row r="409" spans="1:17" x14ac:dyDescent="0.25">
      <c r="A409" s="75">
        <v>46019</v>
      </c>
      <c r="B409" s="25" t="s">
        <v>525</v>
      </c>
      <c r="C409" s="25"/>
      <c r="D409" s="75">
        <f t="shared" ref="D409:D415" si="121">A409+23</f>
        <v>46042</v>
      </c>
      <c r="E409" s="75">
        <f t="shared" ref="E409:E415" si="122">A409+7</f>
        <v>46026</v>
      </c>
      <c r="F409" s="75">
        <f t="shared" ref="F409:F415" si="123">A409+14</f>
        <v>46033</v>
      </c>
      <c r="G409" s="75">
        <f t="shared" ref="G409:G415" si="124">A409+20</f>
        <v>46039</v>
      </c>
      <c r="H409" s="75">
        <f t="shared" ref="H409:H415" si="125">A409+8</f>
        <v>46027</v>
      </c>
      <c r="I409" s="75">
        <f t="shared" ref="I409:I415" si="126">A409+15</f>
        <v>46034</v>
      </c>
      <c r="J409" s="75">
        <v>46047</v>
      </c>
      <c r="K409" s="76">
        <f t="shared" si="105"/>
        <v>28</v>
      </c>
      <c r="L409" s="25">
        <v>9.76</v>
      </c>
      <c r="M409" s="25">
        <v>7.83</v>
      </c>
      <c r="N409" s="25">
        <f t="shared" si="98"/>
        <v>1.9299999999999997</v>
      </c>
      <c r="O409" s="25" t="s">
        <v>545</v>
      </c>
    </row>
    <row r="410" spans="1:17" x14ac:dyDescent="0.25">
      <c r="A410" s="75">
        <v>46019</v>
      </c>
      <c r="B410" s="25" t="s">
        <v>526</v>
      </c>
      <c r="C410" s="25"/>
      <c r="D410" s="75">
        <f t="shared" si="121"/>
        <v>46042</v>
      </c>
      <c r="E410" s="75">
        <f t="shared" si="122"/>
        <v>46026</v>
      </c>
      <c r="F410" s="75">
        <f t="shared" si="123"/>
        <v>46033</v>
      </c>
      <c r="G410" s="75">
        <f t="shared" si="124"/>
        <v>46039</v>
      </c>
      <c r="H410" s="75">
        <f t="shared" si="125"/>
        <v>46027</v>
      </c>
      <c r="I410" s="75">
        <f t="shared" si="126"/>
        <v>46034</v>
      </c>
      <c r="J410" s="75">
        <v>46047</v>
      </c>
      <c r="K410" s="76">
        <f t="shared" si="105"/>
        <v>28</v>
      </c>
      <c r="L410" s="25">
        <v>9.92</v>
      </c>
      <c r="M410" s="25">
        <v>8.1199999999999992</v>
      </c>
      <c r="N410" s="25">
        <f t="shared" si="98"/>
        <v>1.8000000000000007</v>
      </c>
      <c r="O410" s="25" t="s">
        <v>545</v>
      </c>
    </row>
    <row r="411" spans="1:17" x14ac:dyDescent="0.25">
      <c r="A411" s="75">
        <v>46019</v>
      </c>
      <c r="B411" s="25" t="s">
        <v>527</v>
      </c>
      <c r="C411" s="25"/>
      <c r="D411" s="75">
        <f t="shared" si="121"/>
        <v>46042</v>
      </c>
      <c r="E411" s="75">
        <f t="shared" si="122"/>
        <v>46026</v>
      </c>
      <c r="F411" s="75">
        <f t="shared" si="123"/>
        <v>46033</v>
      </c>
      <c r="G411" s="75">
        <f t="shared" si="124"/>
        <v>46039</v>
      </c>
      <c r="H411" s="75">
        <f t="shared" si="125"/>
        <v>46027</v>
      </c>
      <c r="I411" s="75">
        <f t="shared" si="126"/>
        <v>46034</v>
      </c>
      <c r="J411" s="75">
        <v>46047</v>
      </c>
      <c r="K411" s="76">
        <f t="shared" si="105"/>
        <v>28</v>
      </c>
      <c r="L411" s="25">
        <v>8.33</v>
      </c>
      <c r="M411" s="25">
        <v>7.24</v>
      </c>
      <c r="N411" s="25">
        <f t="shared" si="98"/>
        <v>1.0899999999999999</v>
      </c>
      <c r="O411" s="25" t="s">
        <v>545</v>
      </c>
    </row>
    <row r="412" spans="1:17" x14ac:dyDescent="0.25">
      <c r="A412" s="75">
        <v>46019</v>
      </c>
      <c r="B412" s="25" t="s">
        <v>528</v>
      </c>
      <c r="C412" s="25"/>
      <c r="D412" s="75">
        <f t="shared" si="121"/>
        <v>46042</v>
      </c>
      <c r="E412" s="75">
        <f t="shared" si="122"/>
        <v>46026</v>
      </c>
      <c r="F412" s="75">
        <f t="shared" si="123"/>
        <v>46033</v>
      </c>
      <c r="G412" s="75">
        <f t="shared" si="124"/>
        <v>46039</v>
      </c>
      <c r="H412" s="75">
        <f t="shared" si="125"/>
        <v>46027</v>
      </c>
      <c r="I412" s="75">
        <f t="shared" si="126"/>
        <v>46034</v>
      </c>
      <c r="J412" s="75">
        <v>46047</v>
      </c>
      <c r="K412" s="76">
        <f t="shared" si="105"/>
        <v>28</v>
      </c>
      <c r="L412" s="25">
        <v>7.68</v>
      </c>
      <c r="M412" s="25">
        <v>6.27</v>
      </c>
      <c r="N412" s="25">
        <f t="shared" si="98"/>
        <v>1.4100000000000001</v>
      </c>
      <c r="O412" s="25" t="s">
        <v>545</v>
      </c>
    </row>
    <row r="413" spans="1:17" x14ac:dyDescent="0.25">
      <c r="A413" s="75">
        <v>46019</v>
      </c>
      <c r="B413" s="25" t="s">
        <v>529</v>
      </c>
      <c r="C413" s="25"/>
      <c r="D413" s="75">
        <f t="shared" si="121"/>
        <v>46042</v>
      </c>
      <c r="E413" s="75">
        <f t="shared" si="122"/>
        <v>46026</v>
      </c>
      <c r="F413" s="75">
        <f t="shared" si="123"/>
        <v>46033</v>
      </c>
      <c r="G413" s="75">
        <f t="shared" si="124"/>
        <v>46039</v>
      </c>
      <c r="H413" s="75">
        <f t="shared" si="125"/>
        <v>46027</v>
      </c>
      <c r="I413" s="75">
        <f t="shared" si="126"/>
        <v>46034</v>
      </c>
      <c r="J413" s="75">
        <v>46047</v>
      </c>
      <c r="K413" s="76">
        <f t="shared" si="105"/>
        <v>28</v>
      </c>
      <c r="L413" s="25">
        <v>6.19</v>
      </c>
      <c r="M413" s="25">
        <v>4.51</v>
      </c>
      <c r="N413" s="25">
        <f t="shared" si="98"/>
        <v>1.6800000000000006</v>
      </c>
      <c r="O413" s="25" t="s">
        <v>545</v>
      </c>
    </row>
    <row r="414" spans="1:17" x14ac:dyDescent="0.25">
      <c r="A414" s="75">
        <v>46019</v>
      </c>
      <c r="B414" s="25" t="s">
        <v>530</v>
      </c>
      <c r="C414" s="25"/>
      <c r="D414" s="75">
        <f t="shared" si="121"/>
        <v>46042</v>
      </c>
      <c r="E414" s="75">
        <f t="shared" si="122"/>
        <v>46026</v>
      </c>
      <c r="F414" s="75">
        <f t="shared" si="123"/>
        <v>46033</v>
      </c>
      <c r="G414" s="75">
        <f t="shared" si="124"/>
        <v>46039</v>
      </c>
      <c r="H414" s="75">
        <f t="shared" si="125"/>
        <v>46027</v>
      </c>
      <c r="I414" s="75">
        <f t="shared" si="126"/>
        <v>46034</v>
      </c>
      <c r="J414" s="75">
        <v>46047</v>
      </c>
      <c r="K414" s="76">
        <f t="shared" si="105"/>
        <v>28</v>
      </c>
      <c r="L414" s="25">
        <v>6.83</v>
      </c>
      <c r="M414" s="25">
        <v>4.8600000000000003</v>
      </c>
      <c r="N414" s="25">
        <f t="shared" si="98"/>
        <v>1.9699999999999998</v>
      </c>
      <c r="O414" s="25" t="s">
        <v>545</v>
      </c>
    </row>
    <row r="415" spans="1:17" x14ac:dyDescent="0.25">
      <c r="A415" s="75">
        <v>46019</v>
      </c>
      <c r="B415" s="25" t="s">
        <v>558</v>
      </c>
      <c r="C415" s="25"/>
      <c r="D415" s="75">
        <f t="shared" si="121"/>
        <v>46042</v>
      </c>
      <c r="E415" s="75">
        <f t="shared" si="122"/>
        <v>46026</v>
      </c>
      <c r="F415" s="75">
        <f t="shared" si="123"/>
        <v>46033</v>
      </c>
      <c r="G415" s="75">
        <f t="shared" si="124"/>
        <v>46039</v>
      </c>
      <c r="H415" s="75">
        <f t="shared" si="125"/>
        <v>46027</v>
      </c>
      <c r="I415" s="75">
        <f t="shared" si="126"/>
        <v>46034</v>
      </c>
      <c r="J415" s="75">
        <v>46048</v>
      </c>
      <c r="K415" s="76">
        <f t="shared" si="105"/>
        <v>29</v>
      </c>
      <c r="L415" s="25">
        <v>14.53</v>
      </c>
      <c r="M415" s="25">
        <v>7.64</v>
      </c>
      <c r="N415" s="25">
        <f t="shared" si="98"/>
        <v>6.89</v>
      </c>
      <c r="O415" s="25" t="s">
        <v>544</v>
      </c>
    </row>
    <row r="416" spans="1:17" x14ac:dyDescent="0.25">
      <c r="A416" s="75">
        <v>46020</v>
      </c>
      <c r="B416" s="25" t="s">
        <v>417</v>
      </c>
      <c r="C416" s="25"/>
      <c r="D416" s="75">
        <f>A416+23</f>
        <v>46043</v>
      </c>
      <c r="E416" s="75">
        <f>A416+7</f>
        <v>46027</v>
      </c>
      <c r="F416" s="75">
        <f>A416+14</f>
        <v>46034</v>
      </c>
      <c r="G416" s="75">
        <f>A416+20</f>
        <v>46040</v>
      </c>
      <c r="H416" s="75">
        <f>A416+8</f>
        <v>46028</v>
      </c>
      <c r="I416" s="75">
        <f>A416+15</f>
        <v>46035</v>
      </c>
      <c r="J416" s="75">
        <v>46049</v>
      </c>
      <c r="K416" s="76">
        <f t="shared" si="105"/>
        <v>29</v>
      </c>
      <c r="L416" s="25">
        <v>0</v>
      </c>
      <c r="M416" s="25">
        <v>0</v>
      </c>
      <c r="N416" s="25">
        <f t="shared" si="98"/>
        <v>0</v>
      </c>
      <c r="O416" s="25"/>
      <c r="Q416" s="83"/>
    </row>
    <row r="417" spans="1:17" x14ac:dyDescent="0.25">
      <c r="A417" s="75">
        <v>46020</v>
      </c>
      <c r="B417" s="25" t="s">
        <v>418</v>
      </c>
      <c r="C417" s="25"/>
      <c r="D417" s="75">
        <f t="shared" ref="D417:D422" si="127">A417+23</f>
        <v>46043</v>
      </c>
      <c r="E417" s="75">
        <f t="shared" ref="E417:E422" si="128">A417+7</f>
        <v>46027</v>
      </c>
      <c r="F417" s="75">
        <f t="shared" ref="F417:F422" si="129">A417+14</f>
        <v>46034</v>
      </c>
      <c r="G417" s="75">
        <f t="shared" ref="G417:G422" si="130">A417+20</f>
        <v>46040</v>
      </c>
      <c r="H417" s="75">
        <f t="shared" ref="H417:H422" si="131">A417+8</f>
        <v>46028</v>
      </c>
      <c r="I417" s="75">
        <f t="shared" ref="I417:I422" si="132">A417+15</f>
        <v>46035</v>
      </c>
      <c r="J417" s="75">
        <v>46049</v>
      </c>
      <c r="K417" s="76">
        <f t="shared" ref="K417:K422" si="133">J417-A417</f>
        <v>29</v>
      </c>
      <c r="L417" s="25">
        <v>0</v>
      </c>
      <c r="M417" s="25">
        <v>0</v>
      </c>
      <c r="N417" s="25">
        <f t="shared" ref="N417:N422" si="134">L417-M417</f>
        <v>0</v>
      </c>
      <c r="O417" s="25"/>
      <c r="Q417" s="83"/>
    </row>
    <row r="418" spans="1:17" x14ac:dyDescent="0.25">
      <c r="A418" s="75">
        <v>46020</v>
      </c>
      <c r="B418" s="25" t="s">
        <v>419</v>
      </c>
      <c r="C418" s="25"/>
      <c r="D418" s="75">
        <f t="shared" si="127"/>
        <v>46043</v>
      </c>
      <c r="E418" s="75">
        <f t="shared" si="128"/>
        <v>46027</v>
      </c>
      <c r="F418" s="75">
        <f t="shared" si="129"/>
        <v>46034</v>
      </c>
      <c r="G418" s="75">
        <f t="shared" si="130"/>
        <v>46040</v>
      </c>
      <c r="H418" s="75">
        <f t="shared" si="131"/>
        <v>46028</v>
      </c>
      <c r="I418" s="75">
        <f t="shared" si="132"/>
        <v>46035</v>
      </c>
      <c r="J418" s="75">
        <v>46049</v>
      </c>
      <c r="K418" s="76">
        <f t="shared" si="133"/>
        <v>29</v>
      </c>
      <c r="L418" s="25">
        <v>0</v>
      </c>
      <c r="M418" s="25">
        <v>0</v>
      </c>
      <c r="N418" s="25">
        <f t="shared" si="134"/>
        <v>0</v>
      </c>
      <c r="O418" s="25"/>
      <c r="Q418" s="83"/>
    </row>
    <row r="419" spans="1:17" x14ac:dyDescent="0.25">
      <c r="A419" s="75">
        <v>46020</v>
      </c>
      <c r="B419" s="25" t="s">
        <v>420</v>
      </c>
      <c r="C419" s="25"/>
      <c r="D419" s="75">
        <f t="shared" si="127"/>
        <v>46043</v>
      </c>
      <c r="E419" s="75">
        <f t="shared" si="128"/>
        <v>46027</v>
      </c>
      <c r="F419" s="75">
        <f t="shared" si="129"/>
        <v>46034</v>
      </c>
      <c r="G419" s="75">
        <f t="shared" si="130"/>
        <v>46040</v>
      </c>
      <c r="H419" s="75">
        <f t="shared" si="131"/>
        <v>46028</v>
      </c>
      <c r="I419" s="75">
        <f t="shared" si="132"/>
        <v>46035</v>
      </c>
      <c r="J419" s="75">
        <v>46049</v>
      </c>
      <c r="K419" s="76">
        <f t="shared" si="133"/>
        <v>29</v>
      </c>
      <c r="L419" s="25">
        <v>0</v>
      </c>
      <c r="M419" s="25">
        <v>0</v>
      </c>
      <c r="N419" s="25">
        <f t="shared" si="134"/>
        <v>0</v>
      </c>
      <c r="O419" s="25"/>
      <c r="Q419" s="83"/>
    </row>
    <row r="420" spans="1:17" x14ac:dyDescent="0.25">
      <c r="A420" s="75">
        <v>46020</v>
      </c>
      <c r="B420" s="25" t="s">
        <v>421</v>
      </c>
      <c r="C420" s="25"/>
      <c r="D420" s="75">
        <f t="shared" si="127"/>
        <v>46043</v>
      </c>
      <c r="E420" s="75">
        <f t="shared" si="128"/>
        <v>46027</v>
      </c>
      <c r="F420" s="75">
        <f t="shared" si="129"/>
        <v>46034</v>
      </c>
      <c r="G420" s="75">
        <f t="shared" si="130"/>
        <v>46040</v>
      </c>
      <c r="H420" s="75">
        <f t="shared" si="131"/>
        <v>46028</v>
      </c>
      <c r="I420" s="75">
        <f t="shared" si="132"/>
        <v>46035</v>
      </c>
      <c r="J420" s="75">
        <v>46049</v>
      </c>
      <c r="K420" s="76">
        <f t="shared" si="133"/>
        <v>29</v>
      </c>
      <c r="L420" s="25">
        <v>0</v>
      </c>
      <c r="M420" s="25">
        <v>0</v>
      </c>
      <c r="N420" s="25">
        <f t="shared" si="134"/>
        <v>0</v>
      </c>
      <c r="O420" s="25"/>
      <c r="Q420" s="83"/>
    </row>
    <row r="421" spans="1:17" x14ac:dyDescent="0.25">
      <c r="A421" s="75">
        <v>46020</v>
      </c>
      <c r="B421" s="25" t="s">
        <v>422</v>
      </c>
      <c r="C421" s="25"/>
      <c r="D421" s="75">
        <f t="shared" si="127"/>
        <v>46043</v>
      </c>
      <c r="E421" s="75">
        <f t="shared" si="128"/>
        <v>46027</v>
      </c>
      <c r="F421" s="75">
        <f t="shared" si="129"/>
        <v>46034</v>
      </c>
      <c r="G421" s="75">
        <f t="shared" si="130"/>
        <v>46040</v>
      </c>
      <c r="H421" s="75">
        <f t="shared" si="131"/>
        <v>46028</v>
      </c>
      <c r="I421" s="75">
        <f t="shared" si="132"/>
        <v>46035</v>
      </c>
      <c r="J421" s="75">
        <v>46049</v>
      </c>
      <c r="K421" s="76">
        <f t="shared" si="133"/>
        <v>29</v>
      </c>
      <c r="L421" s="25">
        <v>0</v>
      </c>
      <c r="M421" s="25">
        <v>0</v>
      </c>
      <c r="N421" s="25">
        <f t="shared" si="134"/>
        <v>0</v>
      </c>
      <c r="O421" s="25"/>
    </row>
    <row r="422" spans="1:17" x14ac:dyDescent="0.25">
      <c r="A422" s="75">
        <v>46020</v>
      </c>
      <c r="B422" s="25" t="s">
        <v>423</v>
      </c>
      <c r="C422" s="25"/>
      <c r="D422" s="75">
        <f t="shared" si="127"/>
        <v>46043</v>
      </c>
      <c r="E422" s="75">
        <f t="shared" si="128"/>
        <v>46027</v>
      </c>
      <c r="F422" s="75">
        <f t="shared" si="129"/>
        <v>46034</v>
      </c>
      <c r="G422" s="75">
        <f t="shared" si="130"/>
        <v>46040</v>
      </c>
      <c r="H422" s="75">
        <f t="shared" si="131"/>
        <v>46028</v>
      </c>
      <c r="I422" s="75">
        <f t="shared" si="132"/>
        <v>46035</v>
      </c>
      <c r="J422" s="75">
        <v>46049</v>
      </c>
      <c r="K422" s="76">
        <f t="shared" si="133"/>
        <v>29</v>
      </c>
      <c r="L422" s="25">
        <v>0</v>
      </c>
      <c r="M422" s="25">
        <v>0</v>
      </c>
      <c r="N422" s="25">
        <f t="shared" si="134"/>
        <v>0</v>
      </c>
      <c r="O422" s="25"/>
    </row>
    <row r="423" spans="1:17" x14ac:dyDescent="0.25">
      <c r="A423" s="75">
        <v>46021</v>
      </c>
      <c r="B423" s="25" t="s">
        <v>410</v>
      </c>
      <c r="C423" s="25"/>
      <c r="D423" s="75">
        <f t="shared" ref="D423:D429" si="135">A423+23</f>
        <v>46044</v>
      </c>
      <c r="E423" s="75">
        <f t="shared" ref="E423:E429" si="136">A423+7</f>
        <v>46028</v>
      </c>
      <c r="F423" s="75">
        <f t="shared" ref="F423:F429" si="137">A423+14</f>
        <v>46035</v>
      </c>
      <c r="G423" s="75">
        <f t="shared" ref="G423:G429" si="138">A423+20</f>
        <v>46041</v>
      </c>
      <c r="H423" s="75">
        <f t="shared" ref="H423:H429" si="139">A423+8</f>
        <v>46029</v>
      </c>
      <c r="I423" s="75">
        <f t="shared" ref="I423:I429" si="140">A423+15</f>
        <v>46036</v>
      </c>
      <c r="J423" s="75">
        <v>46048</v>
      </c>
      <c r="K423" s="76">
        <f t="shared" ref="K423:K430" si="141">J423-A423</f>
        <v>27</v>
      </c>
      <c r="L423" s="25">
        <v>12.87</v>
      </c>
      <c r="M423" s="25">
        <v>6.17</v>
      </c>
      <c r="N423" s="25">
        <f t="shared" si="98"/>
        <v>6.6999999999999993</v>
      </c>
      <c r="O423" s="25" t="s">
        <v>544</v>
      </c>
    </row>
    <row r="424" spans="1:17" x14ac:dyDescent="0.25">
      <c r="A424" s="75">
        <v>46021</v>
      </c>
      <c r="B424" s="25" t="s">
        <v>411</v>
      </c>
      <c r="C424" s="25"/>
      <c r="D424" s="75">
        <f t="shared" si="135"/>
        <v>46044</v>
      </c>
      <c r="E424" s="75">
        <f t="shared" si="136"/>
        <v>46028</v>
      </c>
      <c r="F424" s="75">
        <f t="shared" si="137"/>
        <v>46035</v>
      </c>
      <c r="G424" s="75">
        <f t="shared" si="138"/>
        <v>46041</v>
      </c>
      <c r="H424" s="75">
        <f t="shared" si="139"/>
        <v>46029</v>
      </c>
      <c r="I424" s="75">
        <f t="shared" si="140"/>
        <v>46036</v>
      </c>
      <c r="J424" s="75">
        <v>46048</v>
      </c>
      <c r="K424" s="76">
        <f t="shared" si="141"/>
        <v>27</v>
      </c>
      <c r="L424" s="25">
        <v>13.89</v>
      </c>
      <c r="M424" s="25">
        <v>7.28</v>
      </c>
      <c r="N424" s="25">
        <f t="shared" si="98"/>
        <v>6.61</v>
      </c>
      <c r="O424" s="25" t="s">
        <v>544</v>
      </c>
    </row>
    <row r="425" spans="1:17" x14ac:dyDescent="0.25">
      <c r="A425" s="75">
        <v>46021</v>
      </c>
      <c r="B425" s="25" t="s">
        <v>412</v>
      </c>
      <c r="C425" s="25"/>
      <c r="D425" s="75">
        <f t="shared" si="135"/>
        <v>46044</v>
      </c>
      <c r="E425" s="75">
        <f t="shared" si="136"/>
        <v>46028</v>
      </c>
      <c r="F425" s="75">
        <f t="shared" si="137"/>
        <v>46035</v>
      </c>
      <c r="G425" s="75">
        <f t="shared" si="138"/>
        <v>46041</v>
      </c>
      <c r="H425" s="75">
        <f t="shared" si="139"/>
        <v>46029</v>
      </c>
      <c r="I425" s="75">
        <f t="shared" si="140"/>
        <v>46036</v>
      </c>
      <c r="J425" s="75">
        <v>46048</v>
      </c>
      <c r="K425" s="76">
        <f t="shared" si="141"/>
        <v>27</v>
      </c>
      <c r="L425" s="25">
        <v>13.74</v>
      </c>
      <c r="M425" s="25">
        <v>12.06</v>
      </c>
      <c r="N425" s="25">
        <f t="shared" si="98"/>
        <v>1.6799999999999997</v>
      </c>
      <c r="O425" s="25" t="s">
        <v>545</v>
      </c>
    </row>
    <row r="426" spans="1:17" x14ac:dyDescent="0.25">
      <c r="A426" s="75">
        <v>46021</v>
      </c>
      <c r="B426" s="25" t="s">
        <v>413</v>
      </c>
      <c r="C426" s="25"/>
      <c r="D426" s="75">
        <f t="shared" si="135"/>
        <v>46044</v>
      </c>
      <c r="E426" s="75">
        <f t="shared" si="136"/>
        <v>46028</v>
      </c>
      <c r="F426" s="75">
        <f t="shared" si="137"/>
        <v>46035</v>
      </c>
      <c r="G426" s="75">
        <f t="shared" si="138"/>
        <v>46041</v>
      </c>
      <c r="H426" s="75">
        <f t="shared" si="139"/>
        <v>46029</v>
      </c>
      <c r="I426" s="75">
        <f t="shared" si="140"/>
        <v>46036</v>
      </c>
      <c r="J426" s="75">
        <v>46048</v>
      </c>
      <c r="K426" s="76">
        <f t="shared" si="141"/>
        <v>27</v>
      </c>
      <c r="L426" s="25">
        <v>12.68</v>
      </c>
      <c r="M426" s="25">
        <v>11.54</v>
      </c>
      <c r="N426" s="25">
        <f t="shared" si="98"/>
        <v>1.1400000000000006</v>
      </c>
      <c r="O426" s="25" t="s">
        <v>545</v>
      </c>
    </row>
    <row r="427" spans="1:17" x14ac:dyDescent="0.25">
      <c r="A427" s="75">
        <v>46021</v>
      </c>
      <c r="B427" s="25" t="s">
        <v>414</v>
      </c>
      <c r="C427" s="25"/>
      <c r="D427" s="75">
        <f t="shared" si="135"/>
        <v>46044</v>
      </c>
      <c r="E427" s="75">
        <f t="shared" si="136"/>
        <v>46028</v>
      </c>
      <c r="F427" s="75">
        <f t="shared" si="137"/>
        <v>46035</v>
      </c>
      <c r="G427" s="75">
        <f t="shared" si="138"/>
        <v>46041</v>
      </c>
      <c r="H427" s="75">
        <f t="shared" si="139"/>
        <v>46029</v>
      </c>
      <c r="I427" s="75">
        <f t="shared" si="140"/>
        <v>46036</v>
      </c>
      <c r="J427" s="75">
        <v>46048</v>
      </c>
      <c r="K427" s="76">
        <f t="shared" si="141"/>
        <v>27</v>
      </c>
      <c r="L427" s="25">
        <v>12.23</v>
      </c>
      <c r="M427" s="25">
        <v>11.31</v>
      </c>
      <c r="N427" s="25">
        <f t="shared" si="98"/>
        <v>0.91999999999999993</v>
      </c>
      <c r="O427" s="25" t="s">
        <v>545</v>
      </c>
    </row>
    <row r="428" spans="1:17" x14ac:dyDescent="0.25">
      <c r="A428" s="75">
        <v>46021</v>
      </c>
      <c r="B428" s="25" t="s">
        <v>415</v>
      </c>
      <c r="C428" s="25"/>
      <c r="D428" s="75">
        <f t="shared" si="135"/>
        <v>46044</v>
      </c>
      <c r="E428" s="75">
        <f t="shared" si="136"/>
        <v>46028</v>
      </c>
      <c r="F428" s="75">
        <f t="shared" si="137"/>
        <v>46035</v>
      </c>
      <c r="G428" s="75">
        <f t="shared" si="138"/>
        <v>46041</v>
      </c>
      <c r="H428" s="75">
        <f t="shared" si="139"/>
        <v>46029</v>
      </c>
      <c r="I428" s="75">
        <f t="shared" si="140"/>
        <v>46036</v>
      </c>
      <c r="J428" s="75">
        <v>46048</v>
      </c>
      <c r="K428" s="76">
        <f t="shared" si="141"/>
        <v>27</v>
      </c>
      <c r="L428" s="25">
        <v>14.19</v>
      </c>
      <c r="M428" s="25">
        <v>12.51</v>
      </c>
      <c r="N428" s="25">
        <f t="shared" si="98"/>
        <v>1.6799999999999997</v>
      </c>
      <c r="O428" s="25" t="s">
        <v>545</v>
      </c>
    </row>
    <row r="429" spans="1:17" x14ac:dyDescent="0.25">
      <c r="A429" s="75">
        <v>46021</v>
      </c>
      <c r="B429" s="25" t="s">
        <v>416</v>
      </c>
      <c r="C429" s="25"/>
      <c r="D429" s="75">
        <f t="shared" si="135"/>
        <v>46044</v>
      </c>
      <c r="E429" s="75">
        <f t="shared" si="136"/>
        <v>46028</v>
      </c>
      <c r="F429" s="75">
        <f t="shared" si="137"/>
        <v>46035</v>
      </c>
      <c r="G429" s="75">
        <f t="shared" si="138"/>
        <v>46041</v>
      </c>
      <c r="H429" s="75">
        <f t="shared" si="139"/>
        <v>46029</v>
      </c>
      <c r="I429" s="75">
        <f t="shared" si="140"/>
        <v>46036</v>
      </c>
      <c r="J429" s="75">
        <v>46048</v>
      </c>
      <c r="K429" s="76">
        <f t="shared" si="141"/>
        <v>27</v>
      </c>
      <c r="L429" s="25">
        <v>14.35</v>
      </c>
      <c r="M429" s="25">
        <v>12.73</v>
      </c>
      <c r="N429" s="25">
        <f t="shared" si="98"/>
        <v>1.6199999999999992</v>
      </c>
      <c r="O429" s="25" t="s">
        <v>545</v>
      </c>
    </row>
    <row r="430" spans="1:17" x14ac:dyDescent="0.25">
      <c r="A430" s="75">
        <v>46022</v>
      </c>
      <c r="B430" s="25" t="s">
        <v>373</v>
      </c>
      <c r="C430" s="25"/>
      <c r="D430" s="75">
        <f t="shared" ref="D430:D459" si="142">A430+23</f>
        <v>46045</v>
      </c>
      <c r="E430" s="75">
        <f t="shared" ref="E430:E459" si="143">A430+7</f>
        <v>46029</v>
      </c>
      <c r="F430" s="75">
        <f t="shared" ref="F430:F459" si="144">A430+14</f>
        <v>46036</v>
      </c>
      <c r="G430" s="75">
        <f t="shared" ref="G430:G453" si="145">A430+20</f>
        <v>46042</v>
      </c>
      <c r="H430" s="75">
        <f t="shared" ref="H430:H453" si="146">A430+8</f>
        <v>46030</v>
      </c>
      <c r="I430" s="75">
        <f t="shared" ref="I430:I453" si="147">A430+15</f>
        <v>46037</v>
      </c>
      <c r="J430" s="75">
        <v>46049</v>
      </c>
      <c r="K430" s="76">
        <f t="shared" si="141"/>
        <v>27</v>
      </c>
      <c r="L430" s="82">
        <v>14.75</v>
      </c>
      <c r="M430" s="80">
        <v>12.53</v>
      </c>
      <c r="N430" s="25">
        <f t="shared" si="98"/>
        <v>2.2200000000000006</v>
      </c>
      <c r="O430" s="80" t="s">
        <v>545</v>
      </c>
    </row>
    <row r="431" spans="1:17" x14ac:dyDescent="0.25">
      <c r="A431" s="75">
        <v>46022</v>
      </c>
      <c r="B431" s="25" t="s">
        <v>374</v>
      </c>
      <c r="C431" s="25"/>
      <c r="D431" s="75">
        <f t="shared" si="142"/>
        <v>46045</v>
      </c>
      <c r="E431" s="75">
        <f t="shared" si="143"/>
        <v>46029</v>
      </c>
      <c r="F431" s="75">
        <f t="shared" si="144"/>
        <v>46036</v>
      </c>
      <c r="G431" s="75">
        <f t="shared" si="145"/>
        <v>46042</v>
      </c>
      <c r="H431" s="75">
        <f t="shared" si="146"/>
        <v>46030</v>
      </c>
      <c r="I431" s="75">
        <f t="shared" si="147"/>
        <v>46037</v>
      </c>
      <c r="J431" s="75">
        <v>46049</v>
      </c>
      <c r="K431" s="76">
        <f t="shared" ref="K431:K437" si="148">J431-A431</f>
        <v>27</v>
      </c>
      <c r="L431" s="82">
        <v>13.06</v>
      </c>
      <c r="M431" s="80">
        <v>6.33</v>
      </c>
      <c r="N431" s="25">
        <f t="shared" si="98"/>
        <v>6.73</v>
      </c>
      <c r="O431" s="80" t="s">
        <v>544</v>
      </c>
    </row>
    <row r="432" spans="1:17" x14ac:dyDescent="0.25">
      <c r="A432" s="75">
        <v>46022</v>
      </c>
      <c r="B432" s="25" t="s">
        <v>375</v>
      </c>
      <c r="C432" s="25"/>
      <c r="D432" s="75">
        <f t="shared" si="142"/>
        <v>46045</v>
      </c>
      <c r="E432" s="75">
        <f t="shared" si="143"/>
        <v>46029</v>
      </c>
      <c r="F432" s="75">
        <f t="shared" si="144"/>
        <v>46036</v>
      </c>
      <c r="G432" s="75">
        <f t="shared" si="145"/>
        <v>46042</v>
      </c>
      <c r="H432" s="75">
        <f t="shared" si="146"/>
        <v>46030</v>
      </c>
      <c r="I432" s="75">
        <f t="shared" si="147"/>
        <v>46037</v>
      </c>
      <c r="J432" s="75">
        <v>46049</v>
      </c>
      <c r="K432" s="76">
        <f t="shared" si="148"/>
        <v>27</v>
      </c>
      <c r="L432" s="82">
        <v>12.42</v>
      </c>
      <c r="M432" s="80">
        <v>6.1</v>
      </c>
      <c r="N432" s="25">
        <f t="shared" si="98"/>
        <v>6.32</v>
      </c>
      <c r="O432" s="80" t="s">
        <v>544</v>
      </c>
    </row>
    <row r="433" spans="1:17" x14ac:dyDescent="0.25">
      <c r="A433" s="75">
        <v>46022</v>
      </c>
      <c r="B433" s="25" t="s">
        <v>376</v>
      </c>
      <c r="C433" s="25"/>
      <c r="D433" s="75">
        <f t="shared" si="142"/>
        <v>46045</v>
      </c>
      <c r="E433" s="75">
        <f t="shared" si="143"/>
        <v>46029</v>
      </c>
      <c r="F433" s="75">
        <f t="shared" si="144"/>
        <v>46036</v>
      </c>
      <c r="G433" s="75">
        <f t="shared" si="145"/>
        <v>46042</v>
      </c>
      <c r="H433" s="75">
        <f t="shared" si="146"/>
        <v>46030</v>
      </c>
      <c r="I433" s="75">
        <f t="shared" si="147"/>
        <v>46037</v>
      </c>
      <c r="J433" s="75">
        <v>46049</v>
      </c>
      <c r="K433" s="76">
        <f t="shared" si="148"/>
        <v>27</v>
      </c>
      <c r="L433" s="82">
        <v>13.86</v>
      </c>
      <c r="M433" s="80">
        <v>7.11</v>
      </c>
      <c r="N433" s="25">
        <f t="shared" si="98"/>
        <v>6.7499999999999991</v>
      </c>
      <c r="O433" s="80" t="s">
        <v>544</v>
      </c>
    </row>
    <row r="434" spans="1:17" x14ac:dyDescent="0.25">
      <c r="A434" s="75">
        <v>46022</v>
      </c>
      <c r="B434" s="25" t="s">
        <v>377</v>
      </c>
      <c r="C434" s="25"/>
      <c r="D434" s="75">
        <f t="shared" si="142"/>
        <v>46045</v>
      </c>
      <c r="E434" s="75">
        <f t="shared" si="143"/>
        <v>46029</v>
      </c>
      <c r="F434" s="75">
        <f t="shared" si="144"/>
        <v>46036</v>
      </c>
      <c r="G434" s="75">
        <f t="shared" si="145"/>
        <v>46042</v>
      </c>
      <c r="H434" s="75">
        <f t="shared" si="146"/>
        <v>46030</v>
      </c>
      <c r="I434" s="75">
        <f t="shared" si="147"/>
        <v>46037</v>
      </c>
      <c r="J434" s="75">
        <v>46049</v>
      </c>
      <c r="K434" s="76">
        <f t="shared" si="148"/>
        <v>27</v>
      </c>
      <c r="L434" s="82">
        <v>12.51</v>
      </c>
      <c r="M434" s="80">
        <v>6.25</v>
      </c>
      <c r="N434" s="25">
        <f t="shared" si="98"/>
        <v>6.26</v>
      </c>
      <c r="O434" s="80" t="s">
        <v>544</v>
      </c>
    </row>
    <row r="435" spans="1:17" x14ac:dyDescent="0.25">
      <c r="A435" s="75">
        <v>46022</v>
      </c>
      <c r="B435" s="25" t="s">
        <v>378</v>
      </c>
      <c r="C435" s="25"/>
      <c r="D435" s="75">
        <f t="shared" si="142"/>
        <v>46045</v>
      </c>
      <c r="E435" s="75">
        <f t="shared" si="143"/>
        <v>46029</v>
      </c>
      <c r="F435" s="75">
        <f t="shared" si="144"/>
        <v>46036</v>
      </c>
      <c r="G435" s="75">
        <f t="shared" si="145"/>
        <v>46042</v>
      </c>
      <c r="H435" s="75">
        <f t="shared" si="146"/>
        <v>46030</v>
      </c>
      <c r="I435" s="75">
        <f t="shared" si="147"/>
        <v>46037</v>
      </c>
      <c r="J435" s="75">
        <v>46048</v>
      </c>
      <c r="K435" s="76">
        <f t="shared" si="148"/>
        <v>26</v>
      </c>
      <c r="L435" s="25">
        <v>12.22</v>
      </c>
      <c r="M435" s="25">
        <v>10.48</v>
      </c>
      <c r="N435" s="25">
        <f t="shared" si="98"/>
        <v>1.7400000000000002</v>
      </c>
      <c r="O435" s="25" t="s">
        <v>545</v>
      </c>
    </row>
    <row r="436" spans="1:17" x14ac:dyDescent="0.25">
      <c r="A436" s="75">
        <v>46022</v>
      </c>
      <c r="B436" s="25" t="s">
        <v>379</v>
      </c>
      <c r="C436" s="25"/>
      <c r="D436" s="75">
        <f t="shared" si="142"/>
        <v>46045</v>
      </c>
      <c r="E436" s="75">
        <f t="shared" si="143"/>
        <v>46029</v>
      </c>
      <c r="F436" s="75">
        <f t="shared" si="144"/>
        <v>46036</v>
      </c>
      <c r="G436" s="75">
        <f t="shared" si="145"/>
        <v>46042</v>
      </c>
      <c r="H436" s="75">
        <f t="shared" si="146"/>
        <v>46030</v>
      </c>
      <c r="I436" s="75">
        <f t="shared" si="147"/>
        <v>46037</v>
      </c>
      <c r="J436" s="75">
        <v>46048</v>
      </c>
      <c r="K436" s="76">
        <f t="shared" si="148"/>
        <v>26</v>
      </c>
      <c r="L436" s="25">
        <v>12.04</v>
      </c>
      <c r="M436" s="25">
        <v>10.210000000000001</v>
      </c>
      <c r="N436" s="25">
        <f t="shared" si="98"/>
        <v>1.8299999999999983</v>
      </c>
      <c r="O436" s="25" t="s">
        <v>545</v>
      </c>
    </row>
    <row r="437" spans="1:17" x14ac:dyDescent="0.25">
      <c r="A437" s="75">
        <v>46023</v>
      </c>
      <c r="B437" s="25" t="s">
        <v>403</v>
      </c>
      <c r="C437" s="25"/>
      <c r="D437" s="75">
        <f t="shared" si="142"/>
        <v>46046</v>
      </c>
      <c r="E437" s="75">
        <f t="shared" si="143"/>
        <v>46030</v>
      </c>
      <c r="F437" s="75">
        <f t="shared" si="144"/>
        <v>46037</v>
      </c>
      <c r="G437" s="75">
        <f t="shared" si="145"/>
        <v>46043</v>
      </c>
      <c r="H437" s="75">
        <f t="shared" si="146"/>
        <v>46031</v>
      </c>
      <c r="I437" s="75">
        <f t="shared" si="147"/>
        <v>46038</v>
      </c>
      <c r="J437" s="75">
        <v>46050</v>
      </c>
      <c r="K437" s="76">
        <f t="shared" si="148"/>
        <v>27</v>
      </c>
      <c r="L437" s="82">
        <v>6.91</v>
      </c>
      <c r="M437" s="80">
        <v>5.24</v>
      </c>
      <c r="N437" s="25">
        <f t="shared" si="98"/>
        <v>1.67</v>
      </c>
      <c r="O437" s="80" t="s">
        <v>544</v>
      </c>
      <c r="Q437" s="83"/>
    </row>
    <row r="438" spans="1:17" x14ac:dyDescent="0.25">
      <c r="A438" s="75">
        <v>46023</v>
      </c>
      <c r="B438" s="25" t="s">
        <v>404</v>
      </c>
      <c r="C438" s="25"/>
      <c r="D438" s="75">
        <f t="shared" si="142"/>
        <v>46046</v>
      </c>
      <c r="E438" s="75">
        <f t="shared" si="143"/>
        <v>46030</v>
      </c>
      <c r="F438" s="75">
        <f t="shared" si="144"/>
        <v>46037</v>
      </c>
      <c r="G438" s="75">
        <f t="shared" si="145"/>
        <v>46043</v>
      </c>
      <c r="H438" s="75">
        <f t="shared" si="146"/>
        <v>46031</v>
      </c>
      <c r="I438" s="75">
        <f t="shared" si="147"/>
        <v>46038</v>
      </c>
      <c r="J438" s="75">
        <v>46050</v>
      </c>
      <c r="K438" s="76">
        <f t="shared" ref="K438:K443" si="149">J438-A438</f>
        <v>27</v>
      </c>
      <c r="L438" s="82">
        <v>7.86</v>
      </c>
      <c r="M438" s="80">
        <v>6.58</v>
      </c>
      <c r="N438" s="25">
        <f t="shared" si="98"/>
        <v>1.2800000000000002</v>
      </c>
      <c r="O438" s="80" t="s">
        <v>544</v>
      </c>
      <c r="Q438" s="83"/>
    </row>
    <row r="439" spans="1:17" x14ac:dyDescent="0.25">
      <c r="A439" s="75">
        <v>46023</v>
      </c>
      <c r="B439" s="25" t="s">
        <v>405</v>
      </c>
      <c r="C439" s="25"/>
      <c r="D439" s="75">
        <f t="shared" si="142"/>
        <v>46046</v>
      </c>
      <c r="E439" s="75">
        <f t="shared" si="143"/>
        <v>46030</v>
      </c>
      <c r="F439" s="75">
        <f t="shared" si="144"/>
        <v>46037</v>
      </c>
      <c r="G439" s="75">
        <f t="shared" si="145"/>
        <v>46043</v>
      </c>
      <c r="H439" s="75">
        <f t="shared" si="146"/>
        <v>46031</v>
      </c>
      <c r="I439" s="75">
        <f t="shared" si="147"/>
        <v>46038</v>
      </c>
      <c r="J439" s="75">
        <v>46050</v>
      </c>
      <c r="K439" s="76">
        <f t="shared" si="149"/>
        <v>27</v>
      </c>
      <c r="L439" s="82">
        <v>8.94</v>
      </c>
      <c r="M439" s="80">
        <v>7.12</v>
      </c>
      <c r="N439" s="25">
        <f t="shared" si="98"/>
        <v>1.8199999999999994</v>
      </c>
      <c r="O439" s="80" t="s">
        <v>544</v>
      </c>
      <c r="Q439" s="83"/>
    </row>
    <row r="440" spans="1:17" x14ac:dyDescent="0.25">
      <c r="A440" s="75">
        <v>46023</v>
      </c>
      <c r="B440" s="25" t="s">
        <v>406</v>
      </c>
      <c r="C440" s="25"/>
      <c r="D440" s="75">
        <f t="shared" si="142"/>
        <v>46046</v>
      </c>
      <c r="E440" s="75">
        <f t="shared" si="143"/>
        <v>46030</v>
      </c>
      <c r="F440" s="75">
        <f t="shared" si="144"/>
        <v>46037</v>
      </c>
      <c r="G440" s="75">
        <f t="shared" si="145"/>
        <v>46043</v>
      </c>
      <c r="H440" s="75">
        <f t="shared" si="146"/>
        <v>46031</v>
      </c>
      <c r="I440" s="75">
        <f t="shared" si="147"/>
        <v>46038</v>
      </c>
      <c r="J440" s="75">
        <v>46050</v>
      </c>
      <c r="K440" s="76">
        <f t="shared" si="149"/>
        <v>27</v>
      </c>
      <c r="L440" s="82">
        <v>11.07</v>
      </c>
      <c r="M440" s="80">
        <v>9.6</v>
      </c>
      <c r="N440" s="25">
        <f t="shared" si="98"/>
        <v>1.4700000000000006</v>
      </c>
      <c r="O440" s="80" t="s">
        <v>544</v>
      </c>
      <c r="Q440" s="83"/>
    </row>
    <row r="441" spans="1:17" x14ac:dyDescent="0.25">
      <c r="A441" s="75">
        <v>46023</v>
      </c>
      <c r="B441" s="25" t="s">
        <v>407</v>
      </c>
      <c r="C441" s="25"/>
      <c r="D441" s="75">
        <f t="shared" si="142"/>
        <v>46046</v>
      </c>
      <c r="E441" s="75">
        <f t="shared" si="143"/>
        <v>46030</v>
      </c>
      <c r="F441" s="75">
        <f t="shared" si="144"/>
        <v>46037</v>
      </c>
      <c r="G441" s="75">
        <f t="shared" si="145"/>
        <v>46043</v>
      </c>
      <c r="H441" s="75">
        <f t="shared" si="146"/>
        <v>46031</v>
      </c>
      <c r="I441" s="75">
        <f t="shared" si="147"/>
        <v>46038</v>
      </c>
      <c r="J441" s="75">
        <v>46050</v>
      </c>
      <c r="K441" s="76">
        <f t="shared" si="149"/>
        <v>27</v>
      </c>
      <c r="L441" s="82">
        <v>11.84</v>
      </c>
      <c r="M441" s="80">
        <v>10.71</v>
      </c>
      <c r="N441" s="25">
        <f t="shared" ref="N441:N493" si="150">L441-M441</f>
        <v>1.129999999999999</v>
      </c>
      <c r="O441" s="80" t="s">
        <v>545</v>
      </c>
      <c r="Q441" s="83"/>
    </row>
    <row r="442" spans="1:17" x14ac:dyDescent="0.25">
      <c r="A442" s="75">
        <v>46023</v>
      </c>
      <c r="B442" s="25" t="s">
        <v>408</v>
      </c>
      <c r="C442" s="25"/>
      <c r="D442" s="75">
        <f t="shared" si="142"/>
        <v>46046</v>
      </c>
      <c r="E442" s="75">
        <f t="shared" si="143"/>
        <v>46030</v>
      </c>
      <c r="F442" s="75">
        <f t="shared" si="144"/>
        <v>46037</v>
      </c>
      <c r="G442" s="75">
        <f t="shared" si="145"/>
        <v>46043</v>
      </c>
      <c r="H442" s="75">
        <f t="shared" si="146"/>
        <v>46031</v>
      </c>
      <c r="I442" s="75">
        <f t="shared" si="147"/>
        <v>46038</v>
      </c>
      <c r="J442" s="75">
        <v>46050</v>
      </c>
      <c r="K442" s="76">
        <f t="shared" si="149"/>
        <v>27</v>
      </c>
      <c r="L442" s="82">
        <v>15.71</v>
      </c>
      <c r="M442" s="80">
        <v>11.33</v>
      </c>
      <c r="N442" s="25">
        <f t="shared" si="150"/>
        <v>4.3800000000000008</v>
      </c>
      <c r="O442" s="80" t="s">
        <v>545</v>
      </c>
      <c r="Q442" s="83"/>
    </row>
    <row r="443" spans="1:17" x14ac:dyDescent="0.25">
      <c r="A443" s="75">
        <v>46023</v>
      </c>
      <c r="B443" s="25" t="s">
        <v>409</v>
      </c>
      <c r="C443" s="25"/>
      <c r="D443" s="75">
        <f t="shared" si="142"/>
        <v>46046</v>
      </c>
      <c r="E443" s="75">
        <f t="shared" si="143"/>
        <v>46030</v>
      </c>
      <c r="F443" s="75">
        <f t="shared" si="144"/>
        <v>46037</v>
      </c>
      <c r="G443" s="75">
        <f t="shared" si="145"/>
        <v>46043</v>
      </c>
      <c r="H443" s="75">
        <f t="shared" si="146"/>
        <v>46031</v>
      </c>
      <c r="I443" s="75">
        <f t="shared" si="147"/>
        <v>46038</v>
      </c>
      <c r="J443" s="75">
        <v>46050</v>
      </c>
      <c r="K443" s="76">
        <f t="shared" si="149"/>
        <v>27</v>
      </c>
      <c r="L443" s="82">
        <v>13.16</v>
      </c>
      <c r="M443" s="80">
        <v>11.27</v>
      </c>
      <c r="N443" s="25">
        <f t="shared" si="150"/>
        <v>1.8900000000000006</v>
      </c>
      <c r="O443" s="80" t="s">
        <v>545</v>
      </c>
      <c r="Q443" s="83"/>
    </row>
    <row r="444" spans="1:17" x14ac:dyDescent="0.25">
      <c r="A444" s="75">
        <v>46024</v>
      </c>
      <c r="B444" s="25" t="s">
        <v>366</v>
      </c>
      <c r="C444" s="25"/>
      <c r="D444" s="75">
        <f t="shared" si="142"/>
        <v>46047</v>
      </c>
      <c r="E444" s="75">
        <f t="shared" si="143"/>
        <v>46031</v>
      </c>
      <c r="F444" s="75">
        <f t="shared" si="144"/>
        <v>46038</v>
      </c>
      <c r="G444" s="75">
        <f t="shared" si="145"/>
        <v>46044</v>
      </c>
      <c r="H444" s="75">
        <f t="shared" si="146"/>
        <v>46032</v>
      </c>
      <c r="I444" s="75">
        <f t="shared" si="147"/>
        <v>46039</v>
      </c>
      <c r="J444" s="75">
        <v>46051</v>
      </c>
      <c r="K444" s="76">
        <f t="shared" ref="K444:K449" si="151">J444-A444</f>
        <v>27</v>
      </c>
      <c r="L444" s="82">
        <v>11.37</v>
      </c>
      <c r="M444" s="80">
        <v>10.59</v>
      </c>
      <c r="N444" s="25">
        <f t="shared" si="150"/>
        <v>0.77999999999999936</v>
      </c>
      <c r="O444" s="80" t="s">
        <v>545</v>
      </c>
      <c r="Q444" s="83"/>
    </row>
    <row r="445" spans="1:17" x14ac:dyDescent="0.25">
      <c r="A445" s="75">
        <v>46024</v>
      </c>
      <c r="B445" s="25" t="s">
        <v>367</v>
      </c>
      <c r="C445" s="25"/>
      <c r="D445" s="75">
        <f t="shared" si="142"/>
        <v>46047</v>
      </c>
      <c r="E445" s="75">
        <f t="shared" si="143"/>
        <v>46031</v>
      </c>
      <c r="F445" s="75">
        <f t="shared" si="144"/>
        <v>46038</v>
      </c>
      <c r="G445" s="75">
        <f t="shared" si="145"/>
        <v>46044</v>
      </c>
      <c r="H445" s="75">
        <f t="shared" si="146"/>
        <v>46032</v>
      </c>
      <c r="I445" s="75">
        <f t="shared" si="147"/>
        <v>46039</v>
      </c>
      <c r="J445" s="75">
        <v>46051</v>
      </c>
      <c r="K445" s="76">
        <f t="shared" si="151"/>
        <v>27</v>
      </c>
      <c r="L445" s="82">
        <v>12.74</v>
      </c>
      <c r="M445" s="80">
        <v>11.2</v>
      </c>
      <c r="N445" s="25">
        <f t="shared" si="150"/>
        <v>1.5400000000000009</v>
      </c>
      <c r="O445" s="80" t="s">
        <v>545</v>
      </c>
      <c r="Q445" s="83"/>
    </row>
    <row r="446" spans="1:17" x14ac:dyDescent="0.25">
      <c r="A446" s="75">
        <v>46024</v>
      </c>
      <c r="B446" s="25" t="s">
        <v>368</v>
      </c>
      <c r="C446" s="25"/>
      <c r="D446" s="75">
        <f t="shared" si="142"/>
        <v>46047</v>
      </c>
      <c r="E446" s="75">
        <f t="shared" si="143"/>
        <v>46031</v>
      </c>
      <c r="F446" s="75">
        <f t="shared" si="144"/>
        <v>46038</v>
      </c>
      <c r="G446" s="75">
        <f t="shared" si="145"/>
        <v>46044</v>
      </c>
      <c r="H446" s="75">
        <f t="shared" si="146"/>
        <v>46032</v>
      </c>
      <c r="I446" s="75">
        <f t="shared" si="147"/>
        <v>46039</v>
      </c>
      <c r="J446" s="75">
        <v>46051</v>
      </c>
      <c r="K446" s="76">
        <f t="shared" si="151"/>
        <v>27</v>
      </c>
      <c r="L446" s="82">
        <v>11.86</v>
      </c>
      <c r="M446" s="80">
        <v>5.61</v>
      </c>
      <c r="N446" s="25">
        <f t="shared" si="150"/>
        <v>6.2499999999999991</v>
      </c>
      <c r="O446" s="80" t="s">
        <v>544</v>
      </c>
      <c r="Q446" s="83"/>
    </row>
    <row r="447" spans="1:17" x14ac:dyDescent="0.25">
      <c r="A447" s="75">
        <v>46024</v>
      </c>
      <c r="B447" s="25" t="s">
        <v>369</v>
      </c>
      <c r="C447" s="25"/>
      <c r="D447" s="75">
        <f t="shared" si="142"/>
        <v>46047</v>
      </c>
      <c r="E447" s="75">
        <f t="shared" si="143"/>
        <v>46031</v>
      </c>
      <c r="F447" s="75">
        <f t="shared" si="144"/>
        <v>46038</v>
      </c>
      <c r="G447" s="75">
        <f t="shared" si="145"/>
        <v>46044</v>
      </c>
      <c r="H447" s="75">
        <f t="shared" si="146"/>
        <v>46032</v>
      </c>
      <c r="I447" s="75">
        <f t="shared" si="147"/>
        <v>46039</v>
      </c>
      <c r="J447" s="75">
        <v>46051</v>
      </c>
      <c r="K447" s="76">
        <f t="shared" si="151"/>
        <v>27</v>
      </c>
      <c r="L447" s="82">
        <v>10.41</v>
      </c>
      <c r="M447" s="80">
        <v>4.58</v>
      </c>
      <c r="N447" s="25">
        <f t="shared" si="150"/>
        <v>5.83</v>
      </c>
      <c r="O447" s="80" t="s">
        <v>544</v>
      </c>
      <c r="Q447" s="83"/>
    </row>
    <row r="448" spans="1:17" x14ac:dyDescent="0.25">
      <c r="A448" s="75">
        <v>46024</v>
      </c>
      <c r="B448" s="25" t="s">
        <v>370</v>
      </c>
      <c r="C448" s="25"/>
      <c r="D448" s="75">
        <f t="shared" si="142"/>
        <v>46047</v>
      </c>
      <c r="E448" s="75">
        <f t="shared" si="143"/>
        <v>46031</v>
      </c>
      <c r="F448" s="75">
        <f t="shared" si="144"/>
        <v>46038</v>
      </c>
      <c r="G448" s="75">
        <f t="shared" si="145"/>
        <v>46044</v>
      </c>
      <c r="H448" s="75">
        <f t="shared" si="146"/>
        <v>46032</v>
      </c>
      <c r="I448" s="75">
        <f t="shared" si="147"/>
        <v>46039</v>
      </c>
      <c r="J448" s="75">
        <v>46051</v>
      </c>
      <c r="K448" s="76">
        <f t="shared" si="151"/>
        <v>27</v>
      </c>
      <c r="L448" s="82">
        <v>11.17</v>
      </c>
      <c r="M448" s="80">
        <v>5.12</v>
      </c>
      <c r="N448" s="25">
        <f t="shared" si="150"/>
        <v>6.05</v>
      </c>
      <c r="O448" s="80" t="s">
        <v>544</v>
      </c>
      <c r="Q448" s="83"/>
    </row>
    <row r="449" spans="1:17" x14ac:dyDescent="0.25">
      <c r="A449" s="75">
        <v>46024</v>
      </c>
      <c r="B449" s="25" t="s">
        <v>371</v>
      </c>
      <c r="C449" s="25"/>
      <c r="D449" s="75">
        <f t="shared" si="142"/>
        <v>46047</v>
      </c>
      <c r="E449" s="75">
        <f t="shared" si="143"/>
        <v>46031</v>
      </c>
      <c r="F449" s="75">
        <f t="shared" si="144"/>
        <v>46038</v>
      </c>
      <c r="G449" s="75">
        <f t="shared" si="145"/>
        <v>46044</v>
      </c>
      <c r="H449" s="75">
        <f t="shared" si="146"/>
        <v>46032</v>
      </c>
      <c r="I449" s="75">
        <f t="shared" si="147"/>
        <v>46039</v>
      </c>
      <c r="J449" s="75">
        <v>46051</v>
      </c>
      <c r="K449" s="76">
        <f t="shared" si="151"/>
        <v>27</v>
      </c>
      <c r="L449" s="82">
        <v>11.68</v>
      </c>
      <c r="M449" s="80">
        <v>5.73</v>
      </c>
      <c r="N449" s="25">
        <f t="shared" si="150"/>
        <v>5.9499999999999993</v>
      </c>
      <c r="O449" s="80" t="s">
        <v>544</v>
      </c>
      <c r="Q449" s="83"/>
    </row>
    <row r="450" spans="1:17" x14ac:dyDescent="0.25">
      <c r="A450" s="75">
        <v>46024</v>
      </c>
      <c r="B450" s="25" t="s">
        <v>372</v>
      </c>
      <c r="C450" s="25"/>
      <c r="D450" s="75">
        <f t="shared" si="142"/>
        <v>46047</v>
      </c>
      <c r="E450" s="75">
        <f t="shared" si="143"/>
        <v>46031</v>
      </c>
      <c r="F450" s="75">
        <f t="shared" si="144"/>
        <v>46038</v>
      </c>
      <c r="G450" s="75">
        <f t="shared" si="145"/>
        <v>46044</v>
      </c>
      <c r="H450" s="75">
        <f t="shared" si="146"/>
        <v>46032</v>
      </c>
      <c r="I450" s="75">
        <f t="shared" si="147"/>
        <v>46039</v>
      </c>
      <c r="J450" s="75">
        <v>46050</v>
      </c>
      <c r="K450" s="76">
        <f t="shared" ref="K450:K456" si="152">J450-A450</f>
        <v>26</v>
      </c>
      <c r="L450" s="82">
        <v>10.27</v>
      </c>
      <c r="M450" s="80">
        <v>8.41</v>
      </c>
      <c r="N450" s="25">
        <f t="shared" si="150"/>
        <v>1.8599999999999994</v>
      </c>
      <c r="O450" s="80" t="s">
        <v>545</v>
      </c>
      <c r="Q450" s="83"/>
    </row>
    <row r="451" spans="1:17" x14ac:dyDescent="0.25">
      <c r="A451" s="75">
        <v>46025</v>
      </c>
      <c r="B451" s="25" t="s">
        <v>396</v>
      </c>
      <c r="C451" s="25"/>
      <c r="D451" s="75">
        <f t="shared" si="142"/>
        <v>46048</v>
      </c>
      <c r="E451" s="75">
        <f t="shared" si="143"/>
        <v>46032</v>
      </c>
      <c r="F451" s="75">
        <f t="shared" si="144"/>
        <v>46039</v>
      </c>
      <c r="G451" s="75">
        <f t="shared" si="145"/>
        <v>46045</v>
      </c>
      <c r="H451" s="75">
        <f t="shared" si="146"/>
        <v>46033</v>
      </c>
      <c r="I451" s="75">
        <f t="shared" si="147"/>
        <v>46040</v>
      </c>
      <c r="J451" s="75">
        <v>46052</v>
      </c>
      <c r="K451" s="76">
        <f t="shared" si="152"/>
        <v>27</v>
      </c>
      <c r="L451" s="82">
        <v>13.02</v>
      </c>
      <c r="M451" s="80">
        <v>11.73</v>
      </c>
      <c r="N451" s="25">
        <f t="shared" si="150"/>
        <v>1.2899999999999991</v>
      </c>
      <c r="O451" s="80" t="s">
        <v>545</v>
      </c>
      <c r="Q451" s="83"/>
    </row>
    <row r="452" spans="1:17" x14ac:dyDescent="0.25">
      <c r="A452" s="75">
        <v>46025</v>
      </c>
      <c r="B452" s="25" t="s">
        <v>397</v>
      </c>
      <c r="C452" s="25"/>
      <c r="D452" s="75">
        <f t="shared" si="142"/>
        <v>46048</v>
      </c>
      <c r="E452" s="75">
        <f t="shared" si="143"/>
        <v>46032</v>
      </c>
      <c r="F452" s="75">
        <f t="shared" si="144"/>
        <v>46039</v>
      </c>
      <c r="G452" s="75">
        <f t="shared" si="145"/>
        <v>46045</v>
      </c>
      <c r="H452" s="75">
        <f t="shared" si="146"/>
        <v>46033</v>
      </c>
      <c r="I452" s="75">
        <f t="shared" si="147"/>
        <v>46040</v>
      </c>
      <c r="J452" s="75">
        <v>46052</v>
      </c>
      <c r="K452" s="76">
        <f t="shared" si="152"/>
        <v>27</v>
      </c>
      <c r="L452" s="82">
        <v>13.81</v>
      </c>
      <c r="M452" s="80">
        <v>12.54</v>
      </c>
      <c r="N452" s="25">
        <f t="shared" si="150"/>
        <v>1.2700000000000014</v>
      </c>
      <c r="O452" s="80" t="s">
        <v>545</v>
      </c>
      <c r="Q452" s="83"/>
    </row>
    <row r="453" spans="1:17" x14ac:dyDescent="0.25">
      <c r="A453" s="75">
        <v>46025</v>
      </c>
      <c r="B453" s="25" t="s">
        <v>398</v>
      </c>
      <c r="C453" s="25"/>
      <c r="D453" s="75">
        <f t="shared" si="142"/>
        <v>46048</v>
      </c>
      <c r="E453" s="75">
        <f t="shared" si="143"/>
        <v>46032</v>
      </c>
      <c r="F453" s="75">
        <f t="shared" si="144"/>
        <v>46039</v>
      </c>
      <c r="G453" s="75">
        <f t="shared" si="145"/>
        <v>46045</v>
      </c>
      <c r="H453" s="75">
        <f t="shared" si="146"/>
        <v>46033</v>
      </c>
      <c r="I453" s="75">
        <f t="shared" si="147"/>
        <v>46040</v>
      </c>
      <c r="J453" s="75">
        <v>46052</v>
      </c>
      <c r="K453" s="76">
        <f t="shared" si="152"/>
        <v>27</v>
      </c>
      <c r="L453" s="82">
        <v>12.85</v>
      </c>
      <c r="M453" s="80">
        <v>6.93</v>
      </c>
      <c r="N453" s="25">
        <f t="shared" si="150"/>
        <v>5.92</v>
      </c>
      <c r="O453" s="80" t="s">
        <v>544</v>
      </c>
      <c r="Q453" s="83"/>
    </row>
    <row r="454" spans="1:17" x14ac:dyDescent="0.25">
      <c r="A454" s="75">
        <v>46025</v>
      </c>
      <c r="B454" s="25" t="s">
        <v>399</v>
      </c>
      <c r="C454" s="25"/>
      <c r="D454" s="75">
        <f t="shared" si="142"/>
        <v>46048</v>
      </c>
      <c r="E454" s="75">
        <f t="shared" si="143"/>
        <v>46032</v>
      </c>
      <c r="F454" s="75">
        <f t="shared" si="144"/>
        <v>46039</v>
      </c>
      <c r="G454" s="75">
        <f t="shared" ref="G454:G465" si="153">A454+20</f>
        <v>46045</v>
      </c>
      <c r="H454" s="75">
        <f t="shared" ref="H454:H465" si="154">A454+8</f>
        <v>46033</v>
      </c>
      <c r="I454" s="75">
        <f t="shared" ref="I454:I465" si="155">A454+15</f>
        <v>46040</v>
      </c>
      <c r="J454" s="75">
        <v>46052</v>
      </c>
      <c r="K454" s="76">
        <f t="shared" si="152"/>
        <v>27</v>
      </c>
      <c r="L454" s="82">
        <v>13.36</v>
      </c>
      <c r="M454" s="80">
        <v>7.51</v>
      </c>
      <c r="N454" s="25">
        <f t="shared" si="150"/>
        <v>5.85</v>
      </c>
      <c r="O454" s="80" t="s">
        <v>544</v>
      </c>
      <c r="Q454" s="83"/>
    </row>
    <row r="455" spans="1:17" x14ac:dyDescent="0.25">
      <c r="A455" s="75">
        <v>46025</v>
      </c>
      <c r="B455" s="25" t="s">
        <v>400</v>
      </c>
      <c r="C455" s="25"/>
      <c r="D455" s="75">
        <f t="shared" si="142"/>
        <v>46048</v>
      </c>
      <c r="E455" s="75">
        <f t="shared" si="143"/>
        <v>46032</v>
      </c>
      <c r="F455" s="75">
        <f t="shared" si="144"/>
        <v>46039</v>
      </c>
      <c r="G455" s="75">
        <f t="shared" si="153"/>
        <v>46045</v>
      </c>
      <c r="H455" s="75">
        <f t="shared" si="154"/>
        <v>46033</v>
      </c>
      <c r="I455" s="75">
        <f t="shared" si="155"/>
        <v>46040</v>
      </c>
      <c r="J455" s="75">
        <v>46052</v>
      </c>
      <c r="K455" s="76">
        <f t="shared" si="152"/>
        <v>27</v>
      </c>
      <c r="L455" s="82">
        <v>12.62</v>
      </c>
      <c r="M455" s="80">
        <v>7.78</v>
      </c>
      <c r="N455" s="25">
        <f t="shared" si="150"/>
        <v>4.839999999999999</v>
      </c>
      <c r="O455" s="80" t="s">
        <v>544</v>
      </c>
      <c r="Q455" s="83"/>
    </row>
    <row r="456" spans="1:17" x14ac:dyDescent="0.25">
      <c r="A456" s="75">
        <v>46025</v>
      </c>
      <c r="B456" s="25" t="s">
        <v>401</v>
      </c>
      <c r="C456" s="25"/>
      <c r="D456" s="75">
        <f t="shared" si="142"/>
        <v>46048</v>
      </c>
      <c r="E456" s="75">
        <f t="shared" si="143"/>
        <v>46032</v>
      </c>
      <c r="F456" s="75">
        <f t="shared" si="144"/>
        <v>46039</v>
      </c>
      <c r="G456" s="75">
        <f t="shared" si="153"/>
        <v>46045</v>
      </c>
      <c r="H456" s="75">
        <f t="shared" si="154"/>
        <v>46033</v>
      </c>
      <c r="I456" s="75">
        <f t="shared" si="155"/>
        <v>46040</v>
      </c>
      <c r="J456" s="75">
        <v>46051</v>
      </c>
      <c r="K456" s="76">
        <f t="shared" si="152"/>
        <v>26</v>
      </c>
      <c r="L456" s="82">
        <v>13.53</v>
      </c>
      <c r="M456" s="80">
        <v>12.08</v>
      </c>
      <c r="N456" s="25">
        <f t="shared" si="150"/>
        <v>1.4499999999999993</v>
      </c>
      <c r="O456" s="80" t="s">
        <v>545</v>
      </c>
      <c r="Q456" s="83"/>
    </row>
    <row r="457" spans="1:17" x14ac:dyDescent="0.25">
      <c r="A457" s="75">
        <v>46025</v>
      </c>
      <c r="B457" s="25" t="s">
        <v>402</v>
      </c>
      <c r="C457" s="25"/>
      <c r="D457" s="75">
        <f t="shared" si="142"/>
        <v>46048</v>
      </c>
      <c r="E457" s="75">
        <f t="shared" si="143"/>
        <v>46032</v>
      </c>
      <c r="F457" s="75">
        <f t="shared" si="144"/>
        <v>46039</v>
      </c>
      <c r="G457" s="75">
        <f t="shared" si="153"/>
        <v>46045</v>
      </c>
      <c r="H457" s="75">
        <f t="shared" si="154"/>
        <v>46033</v>
      </c>
      <c r="I457" s="75">
        <f t="shared" si="155"/>
        <v>46040</v>
      </c>
      <c r="J457" s="75">
        <v>46051</v>
      </c>
      <c r="K457" s="76">
        <f t="shared" ref="K457:K464" si="156">J457-A457</f>
        <v>26</v>
      </c>
      <c r="L457" s="82">
        <v>12.05</v>
      </c>
      <c r="M457" s="80">
        <v>10.74</v>
      </c>
      <c r="N457" s="25">
        <f t="shared" si="150"/>
        <v>1.3100000000000005</v>
      </c>
      <c r="O457" s="80" t="s">
        <v>545</v>
      </c>
      <c r="Q457" s="83"/>
    </row>
    <row r="458" spans="1:17" x14ac:dyDescent="0.25">
      <c r="A458" s="75">
        <v>46026</v>
      </c>
      <c r="B458" s="25" t="s">
        <v>364</v>
      </c>
      <c r="C458" s="25"/>
      <c r="D458" s="75">
        <f t="shared" si="142"/>
        <v>46049</v>
      </c>
      <c r="E458" s="75">
        <f t="shared" si="143"/>
        <v>46033</v>
      </c>
      <c r="F458" s="75">
        <f t="shared" si="144"/>
        <v>46040</v>
      </c>
      <c r="G458" s="75">
        <f t="shared" si="153"/>
        <v>46046</v>
      </c>
      <c r="H458" s="75">
        <f t="shared" si="154"/>
        <v>46034</v>
      </c>
      <c r="I458" s="75">
        <f t="shared" si="155"/>
        <v>46041</v>
      </c>
      <c r="J458" s="75">
        <v>46052</v>
      </c>
      <c r="K458" s="76">
        <f t="shared" si="156"/>
        <v>26</v>
      </c>
      <c r="L458" s="82">
        <v>11.89</v>
      </c>
      <c r="M458" s="80">
        <v>10.119999999999999</v>
      </c>
      <c r="N458" s="25">
        <f t="shared" si="150"/>
        <v>1.7700000000000014</v>
      </c>
      <c r="O458" s="80" t="s">
        <v>545</v>
      </c>
      <c r="Q458" s="83"/>
    </row>
    <row r="459" spans="1:17" x14ac:dyDescent="0.25">
      <c r="A459" s="75">
        <v>46026</v>
      </c>
      <c r="B459" s="25" t="s">
        <v>365</v>
      </c>
      <c r="C459" s="25"/>
      <c r="D459" s="75">
        <f t="shared" si="142"/>
        <v>46049</v>
      </c>
      <c r="E459" s="75">
        <f t="shared" si="143"/>
        <v>46033</v>
      </c>
      <c r="F459" s="75">
        <f t="shared" si="144"/>
        <v>46040</v>
      </c>
      <c r="G459" s="75">
        <f t="shared" si="153"/>
        <v>46046</v>
      </c>
      <c r="H459" s="75">
        <f t="shared" si="154"/>
        <v>46034</v>
      </c>
      <c r="I459" s="75">
        <f t="shared" si="155"/>
        <v>46041</v>
      </c>
      <c r="J459" s="75">
        <v>46052</v>
      </c>
      <c r="K459" s="76">
        <f t="shared" si="156"/>
        <v>26</v>
      </c>
      <c r="L459" s="82">
        <v>12.17</v>
      </c>
      <c r="M459" s="80">
        <v>10.54</v>
      </c>
      <c r="N459" s="25">
        <f t="shared" si="150"/>
        <v>1.6300000000000008</v>
      </c>
      <c r="O459" s="80" t="s">
        <v>545</v>
      </c>
      <c r="Q459" s="83"/>
    </row>
    <row r="460" spans="1:17" x14ac:dyDescent="0.25">
      <c r="A460" s="75">
        <v>46026</v>
      </c>
      <c r="B460" s="25" t="s">
        <v>394</v>
      </c>
      <c r="C460" s="25"/>
      <c r="D460" s="75">
        <f t="shared" ref="D460:D465" si="157">A460+23</f>
        <v>46049</v>
      </c>
      <c r="E460" s="75">
        <f t="shared" ref="E460:E465" si="158">A460+7</f>
        <v>46033</v>
      </c>
      <c r="F460" s="75">
        <f t="shared" ref="F460:F465" si="159">A460+14</f>
        <v>46040</v>
      </c>
      <c r="G460" s="75">
        <f t="shared" si="153"/>
        <v>46046</v>
      </c>
      <c r="H460" s="75">
        <f t="shared" si="154"/>
        <v>46034</v>
      </c>
      <c r="I460" s="75">
        <f t="shared" si="155"/>
        <v>46041</v>
      </c>
      <c r="J460" s="75">
        <v>46052</v>
      </c>
      <c r="K460" s="76">
        <f t="shared" si="156"/>
        <v>26</v>
      </c>
      <c r="L460" s="82">
        <v>12.91</v>
      </c>
      <c r="M460" s="80">
        <v>11.06</v>
      </c>
      <c r="N460" s="25">
        <f t="shared" si="150"/>
        <v>1.8499999999999996</v>
      </c>
      <c r="O460" s="80" t="s">
        <v>545</v>
      </c>
      <c r="Q460" s="83"/>
    </row>
    <row r="461" spans="1:17" x14ac:dyDescent="0.25">
      <c r="A461" s="75">
        <v>46026</v>
      </c>
      <c r="B461" s="25" t="s">
        <v>395</v>
      </c>
      <c r="C461" s="25"/>
      <c r="D461" s="75">
        <f t="shared" si="157"/>
        <v>46049</v>
      </c>
      <c r="E461" s="75">
        <f t="shared" si="158"/>
        <v>46033</v>
      </c>
      <c r="F461" s="75">
        <f t="shared" si="159"/>
        <v>46040</v>
      </c>
      <c r="G461" s="75">
        <f t="shared" si="153"/>
        <v>46046</v>
      </c>
      <c r="H461" s="75">
        <f t="shared" si="154"/>
        <v>46034</v>
      </c>
      <c r="I461" s="75">
        <f t="shared" si="155"/>
        <v>46041</v>
      </c>
      <c r="J461" s="75">
        <v>46052</v>
      </c>
      <c r="K461" s="76">
        <f t="shared" si="156"/>
        <v>26</v>
      </c>
      <c r="L461" s="82">
        <v>11.78</v>
      </c>
      <c r="M461" s="80">
        <v>10.24</v>
      </c>
      <c r="N461" s="25">
        <f t="shared" si="150"/>
        <v>1.5399999999999991</v>
      </c>
      <c r="O461" s="80" t="s">
        <v>545</v>
      </c>
    </row>
    <row r="462" spans="1:17" x14ac:dyDescent="0.25">
      <c r="A462" s="75">
        <v>46026</v>
      </c>
      <c r="B462" s="25" t="s">
        <v>559</v>
      </c>
      <c r="C462" s="25"/>
      <c r="D462" s="75">
        <f t="shared" si="157"/>
        <v>46049</v>
      </c>
      <c r="E462" s="75">
        <f t="shared" si="158"/>
        <v>46033</v>
      </c>
      <c r="F462" s="75">
        <f t="shared" si="159"/>
        <v>46040</v>
      </c>
      <c r="G462" s="75">
        <f t="shared" si="153"/>
        <v>46046</v>
      </c>
      <c r="H462" s="75">
        <f t="shared" si="154"/>
        <v>46034</v>
      </c>
      <c r="I462" s="75">
        <f t="shared" si="155"/>
        <v>46041</v>
      </c>
      <c r="J462" s="75">
        <v>46052</v>
      </c>
      <c r="K462" s="76">
        <f t="shared" si="156"/>
        <v>26</v>
      </c>
      <c r="L462" s="82">
        <v>10.66</v>
      </c>
      <c r="M462" s="80">
        <v>9.81</v>
      </c>
      <c r="N462" s="25">
        <f t="shared" si="150"/>
        <v>0.84999999999999964</v>
      </c>
      <c r="O462" s="80" t="s">
        <v>545</v>
      </c>
    </row>
    <row r="463" spans="1:17" x14ac:dyDescent="0.25">
      <c r="A463" s="75">
        <v>46026</v>
      </c>
      <c r="B463" s="25" t="s">
        <v>560</v>
      </c>
      <c r="C463" s="25"/>
      <c r="D463" s="75">
        <f t="shared" si="157"/>
        <v>46049</v>
      </c>
      <c r="E463" s="75">
        <f t="shared" si="158"/>
        <v>46033</v>
      </c>
      <c r="F463" s="75">
        <f t="shared" si="159"/>
        <v>46040</v>
      </c>
      <c r="G463" s="75">
        <f t="shared" si="153"/>
        <v>46046</v>
      </c>
      <c r="H463" s="75">
        <f t="shared" si="154"/>
        <v>46034</v>
      </c>
      <c r="I463" s="75">
        <f t="shared" si="155"/>
        <v>46041</v>
      </c>
      <c r="J463" s="75">
        <v>46052</v>
      </c>
      <c r="K463" s="76">
        <f t="shared" si="156"/>
        <v>26</v>
      </c>
      <c r="L463" s="25">
        <v>0</v>
      </c>
      <c r="M463" s="25">
        <v>0</v>
      </c>
      <c r="N463" s="25">
        <v>0</v>
      </c>
      <c r="O463" s="25"/>
      <c r="Q463" s="83"/>
    </row>
    <row r="464" spans="1:17" x14ac:dyDescent="0.25">
      <c r="A464" s="75">
        <v>46026</v>
      </c>
      <c r="B464" s="25" t="s">
        <v>426</v>
      </c>
      <c r="C464" s="25"/>
      <c r="D464" s="75">
        <f t="shared" si="157"/>
        <v>46049</v>
      </c>
      <c r="E464" s="75">
        <f t="shared" si="158"/>
        <v>46033</v>
      </c>
      <c r="F464" s="75">
        <f t="shared" si="159"/>
        <v>46040</v>
      </c>
      <c r="G464" s="75">
        <f t="shared" si="153"/>
        <v>46046</v>
      </c>
      <c r="H464" s="75">
        <f t="shared" si="154"/>
        <v>46034</v>
      </c>
      <c r="I464" s="75">
        <f t="shared" si="155"/>
        <v>46041</v>
      </c>
      <c r="J464" s="75">
        <v>46053</v>
      </c>
      <c r="K464" s="76">
        <f t="shared" si="156"/>
        <v>27</v>
      </c>
      <c r="L464" s="82">
        <v>11.54</v>
      </c>
      <c r="M464" s="80">
        <v>6.24</v>
      </c>
      <c r="N464" s="25">
        <f t="shared" si="150"/>
        <v>5.2999999999999989</v>
      </c>
      <c r="O464" s="80" t="s">
        <v>544</v>
      </c>
      <c r="Q464" s="83"/>
    </row>
    <row r="465" spans="1:17" x14ac:dyDescent="0.25">
      <c r="A465" s="75">
        <v>46026</v>
      </c>
      <c r="B465" s="25" t="s">
        <v>427</v>
      </c>
      <c r="C465" s="25"/>
      <c r="D465" s="75">
        <f t="shared" si="157"/>
        <v>46049</v>
      </c>
      <c r="E465" s="75">
        <f t="shared" si="158"/>
        <v>46033</v>
      </c>
      <c r="F465" s="75">
        <f t="shared" si="159"/>
        <v>46040</v>
      </c>
      <c r="G465" s="75">
        <f t="shared" si="153"/>
        <v>46046</v>
      </c>
      <c r="H465" s="75">
        <f t="shared" si="154"/>
        <v>46034</v>
      </c>
      <c r="I465" s="75">
        <f t="shared" si="155"/>
        <v>46041</v>
      </c>
      <c r="J465" s="75">
        <v>46053</v>
      </c>
      <c r="K465" s="76">
        <f t="shared" ref="K465:K472" si="160">J465-A465</f>
        <v>27</v>
      </c>
      <c r="L465" s="82">
        <v>11.27</v>
      </c>
      <c r="M465" s="80">
        <v>5.68</v>
      </c>
      <c r="N465" s="25">
        <f t="shared" si="150"/>
        <v>5.59</v>
      </c>
      <c r="O465" s="80" t="s">
        <v>544</v>
      </c>
      <c r="Q465" s="83"/>
    </row>
    <row r="466" spans="1:17" x14ac:dyDescent="0.25">
      <c r="A466" s="75">
        <v>46027</v>
      </c>
      <c r="B466" s="25" t="s">
        <v>428</v>
      </c>
      <c r="C466" s="25"/>
      <c r="D466" s="75">
        <f>A466+23</f>
        <v>46050</v>
      </c>
      <c r="E466" s="75">
        <f>A466+7</f>
        <v>46034</v>
      </c>
      <c r="F466" s="75">
        <f>A466+14</f>
        <v>46041</v>
      </c>
      <c r="G466" s="75">
        <f>A466+20</f>
        <v>46047</v>
      </c>
      <c r="H466" s="75">
        <f>A466+8</f>
        <v>46035</v>
      </c>
      <c r="I466" s="75">
        <f>A466+15</f>
        <v>46042</v>
      </c>
      <c r="J466" s="75">
        <v>46053</v>
      </c>
      <c r="K466" s="76">
        <f t="shared" si="160"/>
        <v>26</v>
      </c>
      <c r="L466" s="82">
        <v>12.92</v>
      </c>
      <c r="M466" s="80">
        <v>6.73</v>
      </c>
      <c r="N466" s="25">
        <f t="shared" si="150"/>
        <v>6.1899999999999995</v>
      </c>
      <c r="O466" s="80" t="s">
        <v>544</v>
      </c>
      <c r="Q466" s="83"/>
    </row>
    <row r="467" spans="1:17" x14ac:dyDescent="0.25">
      <c r="A467" s="75">
        <v>46027</v>
      </c>
      <c r="B467" s="25" t="s">
        <v>429</v>
      </c>
      <c r="C467" s="25"/>
      <c r="D467" s="75">
        <f t="shared" ref="D467:D472" si="161">A467+23</f>
        <v>46050</v>
      </c>
      <c r="E467" s="75">
        <f t="shared" ref="E467:E472" si="162">A467+7</f>
        <v>46034</v>
      </c>
      <c r="F467" s="75">
        <f t="shared" ref="F467:F472" si="163">A467+14</f>
        <v>46041</v>
      </c>
      <c r="G467" s="75">
        <f t="shared" ref="G467:G472" si="164">A467+20</f>
        <v>46047</v>
      </c>
      <c r="H467" s="75">
        <f t="shared" ref="H467:H472" si="165">A467+8</f>
        <v>46035</v>
      </c>
      <c r="I467" s="75">
        <f t="shared" ref="I467:I472" si="166">A467+15</f>
        <v>46042</v>
      </c>
      <c r="J467" s="75">
        <v>46053</v>
      </c>
      <c r="K467" s="76">
        <f t="shared" si="160"/>
        <v>26</v>
      </c>
      <c r="L467" s="82">
        <v>12.99</v>
      </c>
      <c r="M467" s="80">
        <v>6.81</v>
      </c>
      <c r="N467" s="25">
        <f t="shared" si="150"/>
        <v>6.1800000000000006</v>
      </c>
      <c r="O467" s="80" t="s">
        <v>544</v>
      </c>
      <c r="Q467" s="83"/>
    </row>
    <row r="468" spans="1:17" x14ac:dyDescent="0.25">
      <c r="A468" s="75">
        <v>46027</v>
      </c>
      <c r="B468" s="25" t="s">
        <v>430</v>
      </c>
      <c r="C468" s="25"/>
      <c r="D468" s="75">
        <f t="shared" si="161"/>
        <v>46050</v>
      </c>
      <c r="E468" s="75">
        <f t="shared" si="162"/>
        <v>46034</v>
      </c>
      <c r="F468" s="75">
        <f t="shared" si="163"/>
        <v>46041</v>
      </c>
      <c r="G468" s="75">
        <f t="shared" si="164"/>
        <v>46047</v>
      </c>
      <c r="H468" s="75">
        <f t="shared" si="165"/>
        <v>46035</v>
      </c>
      <c r="I468" s="75">
        <f t="shared" si="166"/>
        <v>46042</v>
      </c>
      <c r="J468" s="75">
        <v>46053</v>
      </c>
      <c r="K468" s="76">
        <f t="shared" si="160"/>
        <v>26</v>
      </c>
      <c r="L468" s="82">
        <v>14.15</v>
      </c>
      <c r="M468" s="80">
        <v>7.33</v>
      </c>
      <c r="N468" s="25">
        <f t="shared" si="150"/>
        <v>6.82</v>
      </c>
      <c r="O468" s="80" t="s">
        <v>544</v>
      </c>
      <c r="Q468" s="83"/>
    </row>
    <row r="469" spans="1:17" x14ac:dyDescent="0.25">
      <c r="A469" s="75">
        <v>46027</v>
      </c>
      <c r="B469" s="25" t="s">
        <v>431</v>
      </c>
      <c r="C469" s="25"/>
      <c r="D469" s="75">
        <f t="shared" si="161"/>
        <v>46050</v>
      </c>
      <c r="E469" s="75">
        <f t="shared" si="162"/>
        <v>46034</v>
      </c>
      <c r="F469" s="75">
        <f t="shared" si="163"/>
        <v>46041</v>
      </c>
      <c r="G469" s="75">
        <f t="shared" si="164"/>
        <v>46047</v>
      </c>
      <c r="H469" s="75">
        <f t="shared" si="165"/>
        <v>46035</v>
      </c>
      <c r="I469" s="75">
        <f t="shared" si="166"/>
        <v>46042</v>
      </c>
      <c r="J469" s="75">
        <v>46053</v>
      </c>
      <c r="K469" s="76">
        <f t="shared" si="160"/>
        <v>26</v>
      </c>
      <c r="L469" s="82">
        <v>15.22</v>
      </c>
      <c r="M469" s="80">
        <v>13.95</v>
      </c>
      <c r="N469" s="25">
        <f t="shared" si="150"/>
        <v>1.2700000000000014</v>
      </c>
      <c r="O469" s="80" t="s">
        <v>545</v>
      </c>
      <c r="Q469" s="83"/>
    </row>
    <row r="470" spans="1:17" x14ac:dyDescent="0.25">
      <c r="A470" s="75">
        <v>46027</v>
      </c>
      <c r="B470" s="25" t="s">
        <v>432</v>
      </c>
      <c r="C470" s="25"/>
      <c r="D470" s="75">
        <f t="shared" si="161"/>
        <v>46050</v>
      </c>
      <c r="E470" s="75">
        <f t="shared" si="162"/>
        <v>46034</v>
      </c>
      <c r="F470" s="75">
        <f t="shared" si="163"/>
        <v>46041</v>
      </c>
      <c r="G470" s="75">
        <f t="shared" si="164"/>
        <v>46047</v>
      </c>
      <c r="H470" s="75">
        <f t="shared" si="165"/>
        <v>46035</v>
      </c>
      <c r="I470" s="75">
        <f t="shared" si="166"/>
        <v>46042</v>
      </c>
      <c r="J470" s="75">
        <v>46053</v>
      </c>
      <c r="K470" s="76">
        <f t="shared" si="160"/>
        <v>26</v>
      </c>
      <c r="L470" s="82">
        <v>15.67</v>
      </c>
      <c r="M470" s="80">
        <v>13.69</v>
      </c>
      <c r="N470" s="25">
        <f t="shared" si="150"/>
        <v>1.9800000000000004</v>
      </c>
      <c r="O470" s="80" t="s">
        <v>545</v>
      </c>
      <c r="Q470" s="83"/>
    </row>
    <row r="471" spans="1:17" x14ac:dyDescent="0.25">
      <c r="A471" s="75">
        <v>46027</v>
      </c>
      <c r="B471" s="25" t="s">
        <v>433</v>
      </c>
      <c r="C471" s="25"/>
      <c r="D471" s="75">
        <f t="shared" si="161"/>
        <v>46050</v>
      </c>
      <c r="E471" s="75">
        <f t="shared" si="162"/>
        <v>46034</v>
      </c>
      <c r="F471" s="75">
        <f t="shared" si="163"/>
        <v>46041</v>
      </c>
      <c r="G471" s="75">
        <f t="shared" si="164"/>
        <v>46047</v>
      </c>
      <c r="H471" s="75">
        <f t="shared" si="165"/>
        <v>46035</v>
      </c>
      <c r="I471" s="75">
        <f t="shared" si="166"/>
        <v>46042</v>
      </c>
      <c r="J471" s="75">
        <v>46053</v>
      </c>
      <c r="K471" s="76">
        <f t="shared" si="160"/>
        <v>26</v>
      </c>
      <c r="L471" s="82">
        <v>15.9</v>
      </c>
      <c r="M471" s="80">
        <v>14.87</v>
      </c>
      <c r="N471" s="25">
        <f t="shared" si="150"/>
        <v>1.0300000000000011</v>
      </c>
      <c r="O471" s="80" t="s">
        <v>545</v>
      </c>
    </row>
    <row r="472" spans="1:17" x14ac:dyDescent="0.25">
      <c r="A472" s="75">
        <v>46027</v>
      </c>
      <c r="B472" s="25" t="s">
        <v>434</v>
      </c>
      <c r="C472" s="25"/>
      <c r="D472" s="75">
        <f t="shared" si="161"/>
        <v>46050</v>
      </c>
      <c r="E472" s="75">
        <f t="shared" si="162"/>
        <v>46034</v>
      </c>
      <c r="F472" s="75">
        <f t="shared" si="163"/>
        <v>46041</v>
      </c>
      <c r="G472" s="75">
        <f t="shared" si="164"/>
        <v>46047</v>
      </c>
      <c r="H472" s="75">
        <f t="shared" si="165"/>
        <v>46035</v>
      </c>
      <c r="I472" s="75">
        <f t="shared" si="166"/>
        <v>46042</v>
      </c>
      <c r="J472" s="75">
        <v>46054</v>
      </c>
      <c r="K472" s="76">
        <f t="shared" si="160"/>
        <v>27</v>
      </c>
      <c r="L472" s="82">
        <v>14.3</v>
      </c>
      <c r="M472" s="80">
        <v>7.51</v>
      </c>
      <c r="N472" s="25">
        <f t="shared" si="150"/>
        <v>6.7900000000000009</v>
      </c>
      <c r="O472" s="80" t="s">
        <v>544</v>
      </c>
      <c r="Q472" s="83"/>
    </row>
    <row r="473" spans="1:17" x14ac:dyDescent="0.25">
      <c r="A473" s="75">
        <v>46028</v>
      </c>
      <c r="B473" s="25" t="s">
        <v>435</v>
      </c>
      <c r="C473" s="25"/>
      <c r="D473" s="75">
        <f t="shared" ref="D473:D479" si="167">A473+23</f>
        <v>46051</v>
      </c>
      <c r="E473" s="75">
        <f t="shared" ref="E473:E479" si="168">A473+7</f>
        <v>46035</v>
      </c>
      <c r="F473" s="75">
        <f t="shared" ref="F473:F479" si="169">A473+14</f>
        <v>46042</v>
      </c>
      <c r="G473" s="75">
        <f t="shared" ref="G473:G479" si="170">A473+20</f>
        <v>46048</v>
      </c>
      <c r="H473" s="75">
        <f t="shared" ref="H473:H479" si="171">A473+8</f>
        <v>46036</v>
      </c>
      <c r="I473" s="75">
        <f t="shared" ref="I473:I479" si="172">A473+15</f>
        <v>46043</v>
      </c>
      <c r="J473" s="75">
        <v>46054</v>
      </c>
      <c r="K473" s="76">
        <f t="shared" ref="K473:K483" si="173">J473-A473</f>
        <v>26</v>
      </c>
      <c r="L473" s="82">
        <v>13.91</v>
      </c>
      <c r="M473" s="80">
        <v>7.18</v>
      </c>
      <c r="N473" s="25">
        <f t="shared" si="150"/>
        <v>6.73</v>
      </c>
      <c r="O473" s="80" t="s">
        <v>544</v>
      </c>
      <c r="Q473" s="83"/>
    </row>
    <row r="474" spans="1:17" x14ac:dyDescent="0.25">
      <c r="A474" s="75">
        <v>46028</v>
      </c>
      <c r="B474" s="25" t="s">
        <v>436</v>
      </c>
      <c r="C474" s="25"/>
      <c r="D474" s="75">
        <f t="shared" si="167"/>
        <v>46051</v>
      </c>
      <c r="E474" s="75">
        <f t="shared" si="168"/>
        <v>46035</v>
      </c>
      <c r="F474" s="75">
        <f t="shared" si="169"/>
        <v>46042</v>
      </c>
      <c r="G474" s="75">
        <f t="shared" si="170"/>
        <v>46048</v>
      </c>
      <c r="H474" s="75">
        <f t="shared" si="171"/>
        <v>46036</v>
      </c>
      <c r="I474" s="75">
        <f t="shared" si="172"/>
        <v>46043</v>
      </c>
      <c r="J474" s="75">
        <v>46054</v>
      </c>
      <c r="K474" s="76">
        <f t="shared" si="173"/>
        <v>26</v>
      </c>
      <c r="L474" s="82">
        <v>13.07</v>
      </c>
      <c r="M474" s="80">
        <v>6.91</v>
      </c>
      <c r="N474" s="25">
        <f t="shared" si="150"/>
        <v>6.16</v>
      </c>
      <c r="O474" s="80" t="s">
        <v>544</v>
      </c>
      <c r="Q474" s="83"/>
    </row>
    <row r="475" spans="1:17" x14ac:dyDescent="0.25">
      <c r="A475" s="75">
        <v>46028</v>
      </c>
      <c r="B475" s="25" t="s">
        <v>437</v>
      </c>
      <c r="C475" s="25"/>
      <c r="D475" s="75">
        <f t="shared" si="167"/>
        <v>46051</v>
      </c>
      <c r="E475" s="75">
        <f t="shared" si="168"/>
        <v>46035</v>
      </c>
      <c r="F475" s="75">
        <f t="shared" si="169"/>
        <v>46042</v>
      </c>
      <c r="G475" s="75">
        <f t="shared" si="170"/>
        <v>46048</v>
      </c>
      <c r="H475" s="75">
        <f t="shared" si="171"/>
        <v>46036</v>
      </c>
      <c r="I475" s="75">
        <f t="shared" si="172"/>
        <v>46043</v>
      </c>
      <c r="J475" s="75">
        <v>46054</v>
      </c>
      <c r="K475" s="76">
        <f t="shared" si="173"/>
        <v>26</v>
      </c>
      <c r="L475" s="82">
        <v>14.43</v>
      </c>
      <c r="M475" s="80">
        <v>7.55</v>
      </c>
      <c r="N475" s="25">
        <f t="shared" si="150"/>
        <v>6.88</v>
      </c>
      <c r="O475" s="80" t="s">
        <v>544</v>
      </c>
      <c r="Q475" s="83"/>
    </row>
    <row r="476" spans="1:17" x14ac:dyDescent="0.25">
      <c r="A476" s="75">
        <v>46028</v>
      </c>
      <c r="B476" s="25" t="s">
        <v>438</v>
      </c>
      <c r="C476" s="25"/>
      <c r="D476" s="75">
        <f t="shared" si="167"/>
        <v>46051</v>
      </c>
      <c r="E476" s="75">
        <f t="shared" si="168"/>
        <v>46035</v>
      </c>
      <c r="F476" s="75">
        <f t="shared" si="169"/>
        <v>46042</v>
      </c>
      <c r="G476" s="75">
        <f t="shared" si="170"/>
        <v>46048</v>
      </c>
      <c r="H476" s="75">
        <f t="shared" si="171"/>
        <v>46036</v>
      </c>
      <c r="I476" s="75">
        <f t="shared" si="172"/>
        <v>46043</v>
      </c>
      <c r="J476" s="75">
        <v>46054</v>
      </c>
      <c r="K476" s="76">
        <f t="shared" si="173"/>
        <v>26</v>
      </c>
      <c r="L476" s="82">
        <v>14.15</v>
      </c>
      <c r="M476" s="80">
        <v>7.38</v>
      </c>
      <c r="N476" s="25">
        <f t="shared" si="150"/>
        <v>6.7700000000000005</v>
      </c>
      <c r="O476" s="80" t="s">
        <v>544</v>
      </c>
      <c r="Q476" s="83"/>
    </row>
    <row r="477" spans="1:17" x14ac:dyDescent="0.25">
      <c r="A477" s="75">
        <v>46028</v>
      </c>
      <c r="B477" s="25" t="s">
        <v>439</v>
      </c>
      <c r="C477" s="25"/>
      <c r="D477" s="75">
        <f t="shared" si="167"/>
        <v>46051</v>
      </c>
      <c r="E477" s="75">
        <f t="shared" si="168"/>
        <v>46035</v>
      </c>
      <c r="F477" s="75">
        <f t="shared" si="169"/>
        <v>46042</v>
      </c>
      <c r="G477" s="75">
        <f t="shared" si="170"/>
        <v>46048</v>
      </c>
      <c r="H477" s="75">
        <f t="shared" si="171"/>
        <v>46036</v>
      </c>
      <c r="I477" s="75">
        <f t="shared" si="172"/>
        <v>46043</v>
      </c>
      <c r="J477" s="75">
        <v>46054</v>
      </c>
      <c r="K477" s="76">
        <f t="shared" si="173"/>
        <v>26</v>
      </c>
      <c r="L477" s="82">
        <v>11.86</v>
      </c>
      <c r="M477" s="80">
        <v>10.56</v>
      </c>
      <c r="N477" s="25">
        <f t="shared" si="150"/>
        <v>1.2999999999999989</v>
      </c>
      <c r="O477" s="80" t="s">
        <v>545</v>
      </c>
      <c r="Q477" s="83"/>
    </row>
    <row r="478" spans="1:17" x14ac:dyDescent="0.25">
      <c r="A478" s="75">
        <v>46028</v>
      </c>
      <c r="B478" s="25" t="s">
        <v>440</v>
      </c>
      <c r="C478" s="25"/>
      <c r="D478" s="75">
        <f t="shared" si="167"/>
        <v>46051</v>
      </c>
      <c r="E478" s="75">
        <f t="shared" si="168"/>
        <v>46035</v>
      </c>
      <c r="F478" s="75">
        <f t="shared" si="169"/>
        <v>46042</v>
      </c>
      <c r="G478" s="75">
        <f t="shared" si="170"/>
        <v>46048</v>
      </c>
      <c r="H478" s="75">
        <f t="shared" si="171"/>
        <v>46036</v>
      </c>
      <c r="I478" s="75">
        <f t="shared" si="172"/>
        <v>46043</v>
      </c>
      <c r="J478" s="75">
        <v>46054</v>
      </c>
      <c r="K478" s="76">
        <f t="shared" si="173"/>
        <v>26</v>
      </c>
      <c r="L478" s="82">
        <v>13.92</v>
      </c>
      <c r="M478" s="80">
        <v>12.74</v>
      </c>
      <c r="N478" s="25">
        <f t="shared" si="150"/>
        <v>1.1799999999999997</v>
      </c>
      <c r="O478" s="80" t="s">
        <v>545</v>
      </c>
      <c r="Q478" s="83"/>
    </row>
    <row r="479" spans="1:17" x14ac:dyDescent="0.25">
      <c r="A479" s="75">
        <v>46028</v>
      </c>
      <c r="B479" s="25" t="s">
        <v>441</v>
      </c>
      <c r="C479" s="25"/>
      <c r="D479" s="75">
        <f t="shared" si="167"/>
        <v>46051</v>
      </c>
      <c r="E479" s="75">
        <f t="shared" si="168"/>
        <v>46035</v>
      </c>
      <c r="F479" s="75">
        <f t="shared" si="169"/>
        <v>46042</v>
      </c>
      <c r="G479" s="75">
        <f t="shared" si="170"/>
        <v>46048</v>
      </c>
      <c r="H479" s="75">
        <f t="shared" si="171"/>
        <v>46036</v>
      </c>
      <c r="I479" s="75">
        <f t="shared" si="172"/>
        <v>46043</v>
      </c>
      <c r="J479" s="75">
        <v>46054</v>
      </c>
      <c r="K479" s="76">
        <f t="shared" si="173"/>
        <v>26</v>
      </c>
      <c r="L479" s="82">
        <v>14.77</v>
      </c>
      <c r="M479" s="80">
        <v>13.52</v>
      </c>
      <c r="N479" s="25">
        <f t="shared" si="150"/>
        <v>1.25</v>
      </c>
      <c r="O479" s="80" t="s">
        <v>545</v>
      </c>
      <c r="Q479" s="83"/>
    </row>
    <row r="480" spans="1:17" x14ac:dyDescent="0.25">
      <c r="A480" s="75">
        <v>46029</v>
      </c>
      <c r="B480" s="25" t="s">
        <v>442</v>
      </c>
      <c r="C480" s="25"/>
      <c r="D480" s="75">
        <f t="shared" ref="D480:D486" si="174">A480+23</f>
        <v>46052</v>
      </c>
      <c r="E480" s="75">
        <f t="shared" ref="E480:E486" si="175">A480+7</f>
        <v>46036</v>
      </c>
      <c r="F480" s="75">
        <f t="shared" ref="F480:F486" si="176">A480+14</f>
        <v>46043</v>
      </c>
      <c r="G480" s="75">
        <f t="shared" ref="G480:G486" si="177">A480+20</f>
        <v>46049</v>
      </c>
      <c r="H480" s="75">
        <f t="shared" ref="H480:H486" si="178">A480+8</f>
        <v>46037</v>
      </c>
      <c r="I480" s="75">
        <f t="shared" ref="I480:I486" si="179">A480+15</f>
        <v>46044</v>
      </c>
      <c r="J480" s="75">
        <v>46054</v>
      </c>
      <c r="K480" s="76">
        <f t="shared" si="173"/>
        <v>25</v>
      </c>
      <c r="L480" s="82">
        <v>15.09</v>
      </c>
      <c r="M480" s="80">
        <v>13.71</v>
      </c>
      <c r="N480" s="25">
        <f t="shared" si="150"/>
        <v>1.379999999999999</v>
      </c>
      <c r="O480" s="80" t="s">
        <v>545</v>
      </c>
      <c r="Q480" s="83"/>
    </row>
    <row r="481" spans="1:20" x14ac:dyDescent="0.25">
      <c r="A481" s="75">
        <v>46029</v>
      </c>
      <c r="B481" s="25" t="s">
        <v>443</v>
      </c>
      <c r="C481" s="25"/>
      <c r="D481" s="75">
        <f t="shared" si="174"/>
        <v>46052</v>
      </c>
      <c r="E481" s="75">
        <f t="shared" si="175"/>
        <v>46036</v>
      </c>
      <c r="F481" s="75">
        <f t="shared" si="176"/>
        <v>46043</v>
      </c>
      <c r="G481" s="75">
        <f t="shared" si="177"/>
        <v>46049</v>
      </c>
      <c r="H481" s="75">
        <f t="shared" si="178"/>
        <v>46037</v>
      </c>
      <c r="I481" s="75">
        <f t="shared" si="179"/>
        <v>46044</v>
      </c>
      <c r="J481" s="75">
        <v>46054</v>
      </c>
      <c r="K481" s="76">
        <f t="shared" si="173"/>
        <v>25</v>
      </c>
      <c r="L481" s="82">
        <v>13.21</v>
      </c>
      <c r="M481" s="80">
        <v>12.1</v>
      </c>
      <c r="N481" s="25">
        <f t="shared" si="150"/>
        <v>1.1100000000000012</v>
      </c>
      <c r="O481" s="80" t="s">
        <v>545</v>
      </c>
      <c r="Q481" s="83"/>
    </row>
    <row r="482" spans="1:20" x14ac:dyDescent="0.25">
      <c r="A482" s="75">
        <v>46029</v>
      </c>
      <c r="B482" s="25" t="s">
        <v>444</v>
      </c>
      <c r="C482" s="25"/>
      <c r="D482" s="75">
        <f t="shared" si="174"/>
        <v>46052</v>
      </c>
      <c r="E482" s="75">
        <f t="shared" si="175"/>
        <v>46036</v>
      </c>
      <c r="F482" s="75">
        <f t="shared" si="176"/>
        <v>46043</v>
      </c>
      <c r="G482" s="75">
        <f t="shared" si="177"/>
        <v>46049</v>
      </c>
      <c r="H482" s="75">
        <f t="shared" si="178"/>
        <v>46037</v>
      </c>
      <c r="I482" s="75">
        <f t="shared" si="179"/>
        <v>46044</v>
      </c>
      <c r="J482" s="75">
        <v>46054</v>
      </c>
      <c r="K482" s="76">
        <f t="shared" si="173"/>
        <v>25</v>
      </c>
      <c r="L482" s="82">
        <v>13.02</v>
      </c>
      <c r="M482" s="80">
        <v>11.87</v>
      </c>
      <c r="N482" s="25">
        <f t="shared" si="150"/>
        <v>1.1500000000000004</v>
      </c>
      <c r="O482" s="80" t="s">
        <v>545</v>
      </c>
      <c r="Q482" s="83"/>
    </row>
    <row r="483" spans="1:20" x14ac:dyDescent="0.25">
      <c r="A483" s="75">
        <v>46029</v>
      </c>
      <c r="B483" s="25" t="s">
        <v>445</v>
      </c>
      <c r="C483" s="25"/>
      <c r="D483" s="75">
        <f t="shared" si="174"/>
        <v>46052</v>
      </c>
      <c r="E483" s="75">
        <f t="shared" si="175"/>
        <v>46036</v>
      </c>
      <c r="F483" s="75">
        <f t="shared" si="176"/>
        <v>46043</v>
      </c>
      <c r="G483" s="75">
        <f t="shared" si="177"/>
        <v>46049</v>
      </c>
      <c r="H483" s="75">
        <f t="shared" si="178"/>
        <v>46037</v>
      </c>
      <c r="I483" s="75">
        <f t="shared" si="179"/>
        <v>46044</v>
      </c>
      <c r="J483" s="75">
        <v>46055</v>
      </c>
      <c r="K483" s="76">
        <f t="shared" si="173"/>
        <v>26</v>
      </c>
      <c r="L483" s="82">
        <v>11.58</v>
      </c>
      <c r="M483" s="80">
        <v>5.73</v>
      </c>
      <c r="N483" s="25">
        <f t="shared" si="150"/>
        <v>5.85</v>
      </c>
      <c r="O483" s="80" t="s">
        <v>544</v>
      </c>
      <c r="Q483" s="83"/>
      <c r="R483" s="84"/>
      <c r="S483" s="85"/>
      <c r="T483" s="85"/>
    </row>
    <row r="484" spans="1:20" x14ac:dyDescent="0.25">
      <c r="A484" s="75">
        <v>46029</v>
      </c>
      <c r="B484" s="25" t="s">
        <v>446</v>
      </c>
      <c r="C484" s="25"/>
      <c r="D484" s="75">
        <f t="shared" si="174"/>
        <v>46052</v>
      </c>
      <c r="E484" s="75">
        <f t="shared" si="175"/>
        <v>46036</v>
      </c>
      <c r="F484" s="75">
        <f t="shared" si="176"/>
        <v>46043</v>
      </c>
      <c r="G484" s="75">
        <f t="shared" si="177"/>
        <v>46049</v>
      </c>
      <c r="H484" s="75">
        <f t="shared" si="178"/>
        <v>46037</v>
      </c>
      <c r="I484" s="75">
        <f t="shared" si="179"/>
        <v>46044</v>
      </c>
      <c r="J484" s="75">
        <v>46055</v>
      </c>
      <c r="K484" s="76">
        <f t="shared" ref="K484:K494" si="180">J484-A484</f>
        <v>26</v>
      </c>
      <c r="L484" s="82">
        <v>15.9</v>
      </c>
      <c r="M484" s="80">
        <v>13.21</v>
      </c>
      <c r="N484" s="25">
        <f t="shared" si="150"/>
        <v>2.6899999999999995</v>
      </c>
      <c r="O484" s="80" t="s">
        <v>545</v>
      </c>
      <c r="Q484" s="83"/>
      <c r="R484" s="84"/>
      <c r="S484" s="85"/>
      <c r="T484" s="85"/>
    </row>
    <row r="485" spans="1:20" x14ac:dyDescent="0.25">
      <c r="A485" s="75">
        <v>46029</v>
      </c>
      <c r="B485" s="25" t="s">
        <v>447</v>
      </c>
      <c r="C485" s="25"/>
      <c r="D485" s="75">
        <f t="shared" si="174"/>
        <v>46052</v>
      </c>
      <c r="E485" s="75">
        <f t="shared" si="175"/>
        <v>46036</v>
      </c>
      <c r="F485" s="75">
        <f t="shared" si="176"/>
        <v>46043</v>
      </c>
      <c r="G485" s="75">
        <f t="shared" si="177"/>
        <v>46049</v>
      </c>
      <c r="H485" s="75">
        <f t="shared" si="178"/>
        <v>46037</v>
      </c>
      <c r="I485" s="75">
        <f t="shared" si="179"/>
        <v>46044</v>
      </c>
      <c r="J485" s="75">
        <v>46055</v>
      </c>
      <c r="K485" s="76">
        <f t="shared" si="180"/>
        <v>26</v>
      </c>
      <c r="L485" s="82">
        <v>14.83</v>
      </c>
      <c r="M485" s="80">
        <v>13.65</v>
      </c>
      <c r="N485" s="25">
        <f t="shared" si="150"/>
        <v>1.1799999999999997</v>
      </c>
      <c r="O485" s="80" t="s">
        <v>545</v>
      </c>
      <c r="Q485" s="83"/>
      <c r="R485" s="84"/>
      <c r="S485" s="85"/>
      <c r="T485" s="85"/>
    </row>
    <row r="486" spans="1:20" x14ac:dyDescent="0.25">
      <c r="A486" s="75">
        <v>46029</v>
      </c>
      <c r="B486" s="25" t="s">
        <v>448</v>
      </c>
      <c r="C486" s="25"/>
      <c r="D486" s="75">
        <f t="shared" si="174"/>
        <v>46052</v>
      </c>
      <c r="E486" s="75">
        <f t="shared" si="175"/>
        <v>46036</v>
      </c>
      <c r="F486" s="75">
        <f t="shared" si="176"/>
        <v>46043</v>
      </c>
      <c r="G486" s="75">
        <f t="shared" si="177"/>
        <v>46049</v>
      </c>
      <c r="H486" s="75">
        <f t="shared" si="178"/>
        <v>46037</v>
      </c>
      <c r="I486" s="75">
        <f t="shared" si="179"/>
        <v>46044</v>
      </c>
      <c r="J486" s="75">
        <v>46055</v>
      </c>
      <c r="K486" s="76">
        <f t="shared" si="180"/>
        <v>26</v>
      </c>
      <c r="L486" s="82">
        <v>14.52</v>
      </c>
      <c r="M486" s="80">
        <v>13.49</v>
      </c>
      <c r="N486" s="25">
        <f t="shared" si="150"/>
        <v>1.0299999999999994</v>
      </c>
      <c r="O486" s="80" t="s">
        <v>545</v>
      </c>
      <c r="Q486" s="83"/>
      <c r="R486" s="84"/>
      <c r="S486" s="85"/>
      <c r="T486" s="85"/>
    </row>
    <row r="487" spans="1:20" x14ac:dyDescent="0.25">
      <c r="A487" s="75">
        <v>46030</v>
      </c>
      <c r="B487" s="25" t="s">
        <v>449</v>
      </c>
      <c r="C487" s="25"/>
      <c r="D487" s="75">
        <f t="shared" ref="D487:D502" si="181">A487+23</f>
        <v>46053</v>
      </c>
      <c r="E487" s="75">
        <f t="shared" ref="E487:E502" si="182">A487+7</f>
        <v>46037</v>
      </c>
      <c r="F487" s="75">
        <f t="shared" ref="F487:F502" si="183">A487+14</f>
        <v>46044</v>
      </c>
      <c r="G487" s="75">
        <f t="shared" ref="G487:G502" si="184">A487+20</f>
        <v>46050</v>
      </c>
      <c r="H487" s="75">
        <f t="shared" ref="H487:H502" si="185">A487+8</f>
        <v>46038</v>
      </c>
      <c r="I487" s="75">
        <f t="shared" ref="I487:I502" si="186">A487+15</f>
        <v>46045</v>
      </c>
      <c r="J487" s="75">
        <v>46055</v>
      </c>
      <c r="K487" s="76">
        <f t="shared" si="180"/>
        <v>25</v>
      </c>
      <c r="L487" s="82">
        <v>13.66</v>
      </c>
      <c r="M487" s="80">
        <v>12.21</v>
      </c>
      <c r="N487" s="25">
        <f t="shared" si="150"/>
        <v>1.4499999999999993</v>
      </c>
      <c r="O487" s="80" t="s">
        <v>545</v>
      </c>
      <c r="Q487" s="83"/>
      <c r="R487" s="84"/>
      <c r="S487" s="85"/>
      <c r="T487" s="85"/>
    </row>
    <row r="488" spans="1:20" x14ac:dyDescent="0.25">
      <c r="A488" s="75">
        <v>46030</v>
      </c>
      <c r="B488" s="25" t="s">
        <v>450</v>
      </c>
      <c r="C488" s="25"/>
      <c r="D488" s="75">
        <f t="shared" si="181"/>
        <v>46053</v>
      </c>
      <c r="E488" s="75">
        <f t="shared" si="182"/>
        <v>46037</v>
      </c>
      <c r="F488" s="75">
        <f t="shared" si="183"/>
        <v>46044</v>
      </c>
      <c r="G488" s="75">
        <f t="shared" si="184"/>
        <v>46050</v>
      </c>
      <c r="H488" s="75">
        <f t="shared" si="185"/>
        <v>46038</v>
      </c>
      <c r="I488" s="75">
        <f t="shared" si="186"/>
        <v>46045</v>
      </c>
      <c r="J488" s="75">
        <v>46055</v>
      </c>
      <c r="K488" s="76">
        <f t="shared" si="180"/>
        <v>25</v>
      </c>
      <c r="L488" s="82">
        <v>12.81</v>
      </c>
      <c r="M488" s="80">
        <v>11.76</v>
      </c>
      <c r="N488" s="25">
        <f t="shared" si="150"/>
        <v>1.0500000000000007</v>
      </c>
      <c r="O488" s="80" t="s">
        <v>545</v>
      </c>
      <c r="Q488" s="83"/>
      <c r="R488" s="84"/>
      <c r="S488" s="85"/>
      <c r="T488" s="85"/>
    </row>
    <row r="489" spans="1:20" x14ac:dyDescent="0.25">
      <c r="A489" s="75">
        <v>46030</v>
      </c>
      <c r="B489" s="25" t="s">
        <v>451</v>
      </c>
      <c r="C489" s="25"/>
      <c r="D489" s="75">
        <f t="shared" si="181"/>
        <v>46053</v>
      </c>
      <c r="E489" s="75">
        <f t="shared" si="182"/>
        <v>46037</v>
      </c>
      <c r="F489" s="75">
        <f t="shared" si="183"/>
        <v>46044</v>
      </c>
      <c r="G489" s="75">
        <f t="shared" si="184"/>
        <v>46050</v>
      </c>
      <c r="H489" s="75">
        <f t="shared" si="185"/>
        <v>46038</v>
      </c>
      <c r="I489" s="75">
        <f t="shared" si="186"/>
        <v>46045</v>
      </c>
      <c r="J489" s="75">
        <v>46059</v>
      </c>
      <c r="K489" s="76">
        <f t="shared" si="180"/>
        <v>29</v>
      </c>
      <c r="L489" s="25">
        <v>6</v>
      </c>
      <c r="M489" s="25">
        <v>3</v>
      </c>
      <c r="N489" s="25">
        <f t="shared" si="150"/>
        <v>3</v>
      </c>
      <c r="O489" s="25" t="s">
        <v>544</v>
      </c>
    </row>
    <row r="490" spans="1:20" x14ac:dyDescent="0.25">
      <c r="A490" s="75">
        <v>46030</v>
      </c>
      <c r="B490" s="25" t="s">
        <v>452</v>
      </c>
      <c r="C490" s="25"/>
      <c r="D490" s="75">
        <f t="shared" si="181"/>
        <v>46053</v>
      </c>
      <c r="E490" s="75">
        <f t="shared" si="182"/>
        <v>46037</v>
      </c>
      <c r="F490" s="75">
        <f t="shared" si="183"/>
        <v>46044</v>
      </c>
      <c r="G490" s="75">
        <f t="shared" si="184"/>
        <v>46050</v>
      </c>
      <c r="H490" s="75">
        <f t="shared" si="185"/>
        <v>46038</v>
      </c>
      <c r="I490" s="75">
        <f t="shared" si="186"/>
        <v>46045</v>
      </c>
      <c r="J490" s="75">
        <v>46060</v>
      </c>
      <c r="K490" s="76">
        <f t="shared" si="180"/>
        <v>30</v>
      </c>
      <c r="L490" s="25">
        <v>5.2</v>
      </c>
      <c r="M490" s="25">
        <v>5</v>
      </c>
      <c r="N490" s="25">
        <f t="shared" si="150"/>
        <v>0.20000000000000018</v>
      </c>
      <c r="O490" s="25" t="s">
        <v>545</v>
      </c>
    </row>
    <row r="491" spans="1:20" x14ac:dyDescent="0.25">
      <c r="A491" s="75">
        <v>46030</v>
      </c>
      <c r="B491" s="25" t="s">
        <v>453</v>
      </c>
      <c r="C491" s="25"/>
      <c r="D491" s="75">
        <f t="shared" si="181"/>
        <v>46053</v>
      </c>
      <c r="E491" s="75">
        <f t="shared" si="182"/>
        <v>46037</v>
      </c>
      <c r="F491" s="75">
        <f t="shared" si="183"/>
        <v>46044</v>
      </c>
      <c r="G491" s="75">
        <f t="shared" si="184"/>
        <v>46050</v>
      </c>
      <c r="H491" s="75">
        <f t="shared" si="185"/>
        <v>46038</v>
      </c>
      <c r="I491" s="75">
        <f t="shared" si="186"/>
        <v>46045</v>
      </c>
      <c r="J491" s="75">
        <v>46060</v>
      </c>
      <c r="K491" s="76">
        <f t="shared" si="180"/>
        <v>30</v>
      </c>
      <c r="L491" s="25">
        <v>4.92</v>
      </c>
      <c r="M491" s="25">
        <v>2.8</v>
      </c>
      <c r="N491" s="25">
        <f t="shared" si="150"/>
        <v>2.12</v>
      </c>
      <c r="O491" s="25" t="s">
        <v>544</v>
      </c>
    </row>
    <row r="492" spans="1:20" x14ac:dyDescent="0.25">
      <c r="A492" s="75">
        <v>46030</v>
      </c>
      <c r="B492" s="25" t="s">
        <v>454</v>
      </c>
      <c r="C492" s="25"/>
      <c r="D492" s="75">
        <f t="shared" si="181"/>
        <v>46053</v>
      </c>
      <c r="E492" s="75">
        <f t="shared" si="182"/>
        <v>46037</v>
      </c>
      <c r="F492" s="75">
        <f t="shared" si="183"/>
        <v>46044</v>
      </c>
      <c r="G492" s="75">
        <f t="shared" si="184"/>
        <v>46050</v>
      </c>
      <c r="H492" s="75">
        <f t="shared" si="185"/>
        <v>46038</v>
      </c>
      <c r="I492" s="75">
        <f t="shared" si="186"/>
        <v>46045</v>
      </c>
      <c r="J492" s="75">
        <v>46060</v>
      </c>
      <c r="K492" s="76">
        <f t="shared" si="180"/>
        <v>30</v>
      </c>
      <c r="L492" s="25">
        <v>8.99</v>
      </c>
      <c r="M492" s="25">
        <v>4.7</v>
      </c>
      <c r="N492" s="25">
        <f t="shared" si="150"/>
        <v>4.29</v>
      </c>
      <c r="O492" s="25" t="s">
        <v>544</v>
      </c>
    </row>
    <row r="493" spans="1:20" x14ac:dyDescent="0.25">
      <c r="A493" s="75">
        <v>46030</v>
      </c>
      <c r="B493" s="25" t="s">
        <v>455</v>
      </c>
      <c r="C493" s="25"/>
      <c r="D493" s="75">
        <f t="shared" si="181"/>
        <v>46053</v>
      </c>
      <c r="E493" s="75">
        <f t="shared" si="182"/>
        <v>46037</v>
      </c>
      <c r="F493" s="75">
        <f t="shared" si="183"/>
        <v>46044</v>
      </c>
      <c r="G493" s="75">
        <f t="shared" si="184"/>
        <v>46050</v>
      </c>
      <c r="H493" s="75">
        <f t="shared" si="185"/>
        <v>46038</v>
      </c>
      <c r="I493" s="75">
        <f t="shared" si="186"/>
        <v>46045</v>
      </c>
      <c r="J493" s="75">
        <v>46060</v>
      </c>
      <c r="K493" s="76">
        <f t="shared" si="180"/>
        <v>30</v>
      </c>
      <c r="L493" s="25">
        <v>4.82</v>
      </c>
      <c r="M493" s="25">
        <v>3</v>
      </c>
      <c r="N493" s="25">
        <f t="shared" si="150"/>
        <v>1.8200000000000003</v>
      </c>
      <c r="O493" s="25" t="s">
        <v>544</v>
      </c>
    </row>
    <row r="494" spans="1:20" x14ac:dyDescent="0.25">
      <c r="A494" s="75">
        <v>46031</v>
      </c>
      <c r="B494" s="25" t="s">
        <v>456</v>
      </c>
      <c r="C494" s="25"/>
      <c r="D494" s="75">
        <f t="shared" si="181"/>
        <v>46054</v>
      </c>
      <c r="E494" s="75">
        <f t="shared" si="182"/>
        <v>46038</v>
      </c>
      <c r="F494" s="75">
        <f t="shared" si="183"/>
        <v>46045</v>
      </c>
      <c r="G494" s="75">
        <f t="shared" si="184"/>
        <v>46051</v>
      </c>
      <c r="H494" s="75">
        <f t="shared" si="185"/>
        <v>46039</v>
      </c>
      <c r="I494" s="75">
        <f t="shared" si="186"/>
        <v>46046</v>
      </c>
      <c r="J494" s="75">
        <v>46060</v>
      </c>
      <c r="K494" s="76">
        <f t="shared" si="180"/>
        <v>29</v>
      </c>
      <c r="L494" s="25">
        <v>0</v>
      </c>
      <c r="M494" s="25">
        <v>0</v>
      </c>
      <c r="N494" s="25">
        <v>0</v>
      </c>
      <c r="O494" s="25"/>
    </row>
    <row r="495" spans="1:20" x14ac:dyDescent="0.25">
      <c r="A495" s="75">
        <v>46031</v>
      </c>
      <c r="B495" s="25" t="s">
        <v>457</v>
      </c>
      <c r="C495" s="25"/>
      <c r="D495" s="75">
        <f t="shared" si="181"/>
        <v>46054</v>
      </c>
      <c r="E495" s="75">
        <f t="shared" si="182"/>
        <v>46038</v>
      </c>
      <c r="F495" s="75">
        <f t="shared" si="183"/>
        <v>46045</v>
      </c>
      <c r="G495" s="75">
        <f t="shared" si="184"/>
        <v>46051</v>
      </c>
      <c r="H495" s="75">
        <f t="shared" si="185"/>
        <v>46039</v>
      </c>
      <c r="I495" s="75">
        <f t="shared" si="186"/>
        <v>46046</v>
      </c>
      <c r="J495" s="75">
        <v>46060</v>
      </c>
      <c r="K495" s="76">
        <f t="shared" ref="K495:K504" si="187">J495-A495</f>
        <v>29</v>
      </c>
      <c r="L495" s="25">
        <v>0</v>
      </c>
      <c r="M495" s="25">
        <v>0</v>
      </c>
      <c r="N495" s="25">
        <v>0</v>
      </c>
      <c r="O495" s="25"/>
    </row>
    <row r="496" spans="1:20" x14ac:dyDescent="0.25">
      <c r="A496" s="75">
        <v>46031</v>
      </c>
      <c r="B496" s="25" t="s">
        <v>458</v>
      </c>
      <c r="C496" s="25"/>
      <c r="D496" s="75">
        <f t="shared" si="181"/>
        <v>46054</v>
      </c>
      <c r="E496" s="75">
        <f t="shared" si="182"/>
        <v>46038</v>
      </c>
      <c r="F496" s="75">
        <f t="shared" si="183"/>
        <v>46045</v>
      </c>
      <c r="G496" s="75">
        <f t="shared" si="184"/>
        <v>46051</v>
      </c>
      <c r="H496" s="75">
        <f t="shared" si="185"/>
        <v>46039</v>
      </c>
      <c r="I496" s="75">
        <f t="shared" si="186"/>
        <v>46046</v>
      </c>
      <c r="J496" s="75">
        <v>46060</v>
      </c>
      <c r="K496" s="76">
        <f t="shared" si="187"/>
        <v>29</v>
      </c>
      <c r="L496" s="25">
        <v>0</v>
      </c>
      <c r="M496" s="25">
        <v>0</v>
      </c>
      <c r="N496" s="25">
        <v>0</v>
      </c>
      <c r="O496" s="25"/>
    </row>
    <row r="497" spans="1:15" x14ac:dyDescent="0.25">
      <c r="A497" s="75">
        <v>46031</v>
      </c>
      <c r="B497" s="25" t="s">
        <v>459</v>
      </c>
      <c r="C497" s="25"/>
      <c r="D497" s="75">
        <f t="shared" si="181"/>
        <v>46054</v>
      </c>
      <c r="E497" s="75">
        <f t="shared" si="182"/>
        <v>46038</v>
      </c>
      <c r="F497" s="75">
        <f t="shared" si="183"/>
        <v>46045</v>
      </c>
      <c r="G497" s="75">
        <f t="shared" si="184"/>
        <v>46051</v>
      </c>
      <c r="H497" s="75">
        <f t="shared" si="185"/>
        <v>46039</v>
      </c>
      <c r="I497" s="75">
        <f t="shared" si="186"/>
        <v>46046</v>
      </c>
      <c r="J497" s="75">
        <v>46060</v>
      </c>
      <c r="K497" s="76">
        <f t="shared" si="187"/>
        <v>29</v>
      </c>
      <c r="L497" s="25">
        <v>0</v>
      </c>
      <c r="M497" s="25">
        <v>0</v>
      </c>
      <c r="N497" s="25">
        <v>0</v>
      </c>
      <c r="O497" s="25"/>
    </row>
    <row r="498" spans="1:15" x14ac:dyDescent="0.25">
      <c r="A498" s="75">
        <v>46031</v>
      </c>
      <c r="B498" s="25" t="s">
        <v>460</v>
      </c>
      <c r="C498" s="25"/>
      <c r="D498" s="75">
        <f t="shared" si="181"/>
        <v>46054</v>
      </c>
      <c r="E498" s="75">
        <f t="shared" si="182"/>
        <v>46038</v>
      </c>
      <c r="F498" s="75">
        <f t="shared" si="183"/>
        <v>46045</v>
      </c>
      <c r="G498" s="75">
        <f t="shared" si="184"/>
        <v>46051</v>
      </c>
      <c r="H498" s="75">
        <f t="shared" si="185"/>
        <v>46039</v>
      </c>
      <c r="I498" s="75">
        <f t="shared" si="186"/>
        <v>46046</v>
      </c>
      <c r="J498" s="75">
        <v>46060</v>
      </c>
      <c r="K498" s="76">
        <f t="shared" si="187"/>
        <v>29</v>
      </c>
      <c r="L498" s="25">
        <v>0</v>
      </c>
      <c r="M498" s="25">
        <v>0</v>
      </c>
      <c r="N498" s="25">
        <v>0</v>
      </c>
      <c r="O498" s="25"/>
    </row>
    <row r="499" spans="1:15" x14ac:dyDescent="0.25">
      <c r="A499" s="75">
        <v>46031</v>
      </c>
      <c r="B499" s="25" t="s">
        <v>461</v>
      </c>
      <c r="C499" s="25"/>
      <c r="D499" s="75">
        <f t="shared" si="181"/>
        <v>46054</v>
      </c>
      <c r="E499" s="75">
        <f t="shared" si="182"/>
        <v>46038</v>
      </c>
      <c r="F499" s="75">
        <f t="shared" si="183"/>
        <v>46045</v>
      </c>
      <c r="G499" s="75">
        <f t="shared" si="184"/>
        <v>46051</v>
      </c>
      <c r="H499" s="75">
        <f t="shared" si="185"/>
        <v>46039</v>
      </c>
      <c r="I499" s="75">
        <f t="shared" si="186"/>
        <v>46046</v>
      </c>
      <c r="J499" s="75">
        <v>46060</v>
      </c>
      <c r="K499" s="76">
        <f t="shared" si="187"/>
        <v>29</v>
      </c>
      <c r="L499" s="25">
        <v>0</v>
      </c>
      <c r="M499" s="25">
        <v>0</v>
      </c>
      <c r="N499" s="25">
        <v>0</v>
      </c>
      <c r="O499" s="25"/>
    </row>
    <row r="500" spans="1:15" x14ac:dyDescent="0.25">
      <c r="A500" s="75">
        <v>46031</v>
      </c>
      <c r="B500" s="25" t="s">
        <v>462</v>
      </c>
      <c r="C500" s="25"/>
      <c r="D500" s="75">
        <f t="shared" si="181"/>
        <v>46054</v>
      </c>
      <c r="E500" s="75">
        <f t="shared" si="182"/>
        <v>46038</v>
      </c>
      <c r="F500" s="75">
        <f t="shared" si="183"/>
        <v>46045</v>
      </c>
      <c r="G500" s="75">
        <f t="shared" si="184"/>
        <v>46051</v>
      </c>
      <c r="H500" s="75">
        <f t="shared" si="185"/>
        <v>46039</v>
      </c>
      <c r="I500" s="75">
        <f t="shared" si="186"/>
        <v>46046</v>
      </c>
      <c r="J500" s="75">
        <v>46060</v>
      </c>
      <c r="K500" s="76">
        <f t="shared" si="187"/>
        <v>29</v>
      </c>
      <c r="L500" s="25">
        <v>0</v>
      </c>
      <c r="M500" s="25">
        <v>0</v>
      </c>
      <c r="N500" s="25">
        <v>0</v>
      </c>
      <c r="O500" s="25"/>
    </row>
    <row r="501" spans="1:15" x14ac:dyDescent="0.25">
      <c r="A501" s="75">
        <v>46032</v>
      </c>
      <c r="B501" s="25" t="s">
        <v>504</v>
      </c>
      <c r="C501" s="25"/>
      <c r="D501" s="75">
        <f t="shared" si="181"/>
        <v>46055</v>
      </c>
      <c r="E501" s="75">
        <f t="shared" si="182"/>
        <v>46039</v>
      </c>
      <c r="F501" s="75">
        <f t="shared" si="183"/>
        <v>46046</v>
      </c>
      <c r="G501" s="75">
        <f t="shared" si="184"/>
        <v>46052</v>
      </c>
      <c r="H501" s="75">
        <f t="shared" si="185"/>
        <v>46040</v>
      </c>
      <c r="I501" s="75">
        <f t="shared" si="186"/>
        <v>46047</v>
      </c>
      <c r="J501" s="75">
        <v>46062</v>
      </c>
      <c r="K501" s="76">
        <f t="shared" si="187"/>
        <v>30</v>
      </c>
      <c r="L501" s="25">
        <v>12.9</v>
      </c>
      <c r="M501" s="25">
        <v>11.52</v>
      </c>
      <c r="N501" s="25">
        <f>L501-M501</f>
        <v>1.3800000000000008</v>
      </c>
      <c r="O501" s="25" t="s">
        <v>545</v>
      </c>
    </row>
    <row r="502" spans="1:15" x14ac:dyDescent="0.25">
      <c r="A502" s="75">
        <v>46032</v>
      </c>
      <c r="B502" s="25" t="s">
        <v>505</v>
      </c>
      <c r="C502" s="25"/>
      <c r="D502" s="75">
        <f t="shared" si="181"/>
        <v>46055</v>
      </c>
      <c r="E502" s="75">
        <f t="shared" si="182"/>
        <v>46039</v>
      </c>
      <c r="F502" s="75">
        <f t="shared" si="183"/>
        <v>46046</v>
      </c>
      <c r="G502" s="75">
        <f t="shared" si="184"/>
        <v>46052</v>
      </c>
      <c r="H502" s="75">
        <f t="shared" si="185"/>
        <v>46040</v>
      </c>
      <c r="I502" s="75">
        <f t="shared" si="186"/>
        <v>46047</v>
      </c>
      <c r="J502" s="75">
        <v>46062</v>
      </c>
      <c r="K502" s="76">
        <f t="shared" si="187"/>
        <v>30</v>
      </c>
      <c r="L502" s="25">
        <v>11.73</v>
      </c>
      <c r="M502" s="25">
        <v>10.26</v>
      </c>
      <c r="N502" s="25">
        <f>L502-M502</f>
        <v>1.4700000000000006</v>
      </c>
      <c r="O502" s="25" t="s">
        <v>545</v>
      </c>
    </row>
    <row r="503" spans="1:15" x14ac:dyDescent="0.25">
      <c r="A503" s="75">
        <v>46032</v>
      </c>
      <c r="B503" s="25" t="s">
        <v>506</v>
      </c>
      <c r="C503" s="25"/>
      <c r="D503" s="75">
        <f t="shared" ref="D503:D514" si="188">A503+23</f>
        <v>46055</v>
      </c>
      <c r="E503" s="75">
        <f t="shared" ref="E503:E514" si="189">A503+7</f>
        <v>46039</v>
      </c>
      <c r="F503" s="75">
        <f t="shared" ref="F503:F514" si="190">A503+14</f>
        <v>46046</v>
      </c>
      <c r="G503" s="75">
        <f t="shared" ref="G503:G514" si="191">A503+20</f>
        <v>46052</v>
      </c>
      <c r="H503" s="75">
        <f t="shared" ref="H503:H514" si="192">A503+8</f>
        <v>46040</v>
      </c>
      <c r="I503" s="75">
        <f t="shared" ref="I503:I514" si="193">A503+15</f>
        <v>46047</v>
      </c>
      <c r="J503" s="75">
        <v>46062</v>
      </c>
      <c r="K503" s="76">
        <f t="shared" si="187"/>
        <v>30</v>
      </c>
      <c r="L503" s="25">
        <v>10.210000000000001</v>
      </c>
      <c r="M503" s="25">
        <v>8.58</v>
      </c>
      <c r="N503" s="25">
        <f>L503-M503</f>
        <v>1.6300000000000008</v>
      </c>
      <c r="O503" s="25" t="s">
        <v>545</v>
      </c>
    </row>
    <row r="504" spans="1:15" x14ac:dyDescent="0.25">
      <c r="A504" s="75">
        <v>46032</v>
      </c>
      <c r="B504" s="25" t="s">
        <v>507</v>
      </c>
      <c r="C504" s="25"/>
      <c r="D504" s="75">
        <f t="shared" si="188"/>
        <v>46055</v>
      </c>
      <c r="E504" s="75">
        <f t="shared" si="189"/>
        <v>46039</v>
      </c>
      <c r="F504" s="75">
        <f t="shared" si="190"/>
        <v>46046</v>
      </c>
      <c r="G504" s="75">
        <f t="shared" si="191"/>
        <v>46052</v>
      </c>
      <c r="H504" s="75">
        <f t="shared" si="192"/>
        <v>46040</v>
      </c>
      <c r="I504" s="75">
        <f t="shared" si="193"/>
        <v>46047</v>
      </c>
      <c r="J504" s="75">
        <v>46062</v>
      </c>
      <c r="K504" s="76">
        <f t="shared" si="187"/>
        <v>30</v>
      </c>
      <c r="L504" s="25">
        <v>9.1</v>
      </c>
      <c r="M504" s="25">
        <v>7.21</v>
      </c>
      <c r="N504" s="25">
        <f>L504-M504</f>
        <v>1.8899999999999997</v>
      </c>
      <c r="O504" s="25" t="s">
        <v>545</v>
      </c>
    </row>
    <row r="505" spans="1:15" x14ac:dyDescent="0.25">
      <c r="A505" s="75">
        <v>46032</v>
      </c>
      <c r="B505" s="25" t="s">
        <v>508</v>
      </c>
      <c r="C505" s="25"/>
      <c r="D505" s="75">
        <f t="shared" si="188"/>
        <v>46055</v>
      </c>
      <c r="E505" s="75">
        <f t="shared" si="189"/>
        <v>46039</v>
      </c>
      <c r="F505" s="75">
        <f t="shared" si="190"/>
        <v>46046</v>
      </c>
      <c r="G505" s="75">
        <f t="shared" si="191"/>
        <v>46052</v>
      </c>
      <c r="H505" s="75">
        <f t="shared" si="192"/>
        <v>46040</v>
      </c>
      <c r="I505" s="75">
        <f t="shared" si="193"/>
        <v>46047</v>
      </c>
      <c r="J505" s="75">
        <v>46061</v>
      </c>
      <c r="K505" s="76">
        <f t="shared" ref="K505:K515" si="194">J505-A505</f>
        <v>29</v>
      </c>
      <c r="L505" s="25">
        <v>6.93</v>
      </c>
      <c r="M505" s="25">
        <v>3.35</v>
      </c>
      <c r="N505" s="25">
        <f t="shared" ref="N505:N511" si="195">L505-M505</f>
        <v>3.5799999999999996</v>
      </c>
      <c r="O505" s="25" t="s">
        <v>544</v>
      </c>
    </row>
    <row r="506" spans="1:15" x14ac:dyDescent="0.25">
      <c r="A506" s="75">
        <v>46032</v>
      </c>
      <c r="B506" s="25" t="s">
        <v>509</v>
      </c>
      <c r="C506" s="25"/>
      <c r="D506" s="75">
        <f t="shared" si="188"/>
        <v>46055</v>
      </c>
      <c r="E506" s="75">
        <f t="shared" si="189"/>
        <v>46039</v>
      </c>
      <c r="F506" s="75">
        <f t="shared" si="190"/>
        <v>46046</v>
      </c>
      <c r="G506" s="75">
        <f t="shared" si="191"/>
        <v>46052</v>
      </c>
      <c r="H506" s="75">
        <f t="shared" si="192"/>
        <v>46040</v>
      </c>
      <c r="I506" s="75">
        <f t="shared" si="193"/>
        <v>46047</v>
      </c>
      <c r="J506" s="75">
        <v>46061</v>
      </c>
      <c r="K506" s="76">
        <f t="shared" si="194"/>
        <v>29</v>
      </c>
      <c r="L506" s="25">
        <v>6.99</v>
      </c>
      <c r="M506" s="25">
        <v>3.64</v>
      </c>
      <c r="N506" s="25">
        <f t="shared" si="195"/>
        <v>3.35</v>
      </c>
      <c r="O506" s="25" t="s">
        <v>544</v>
      </c>
    </row>
    <row r="507" spans="1:15" x14ac:dyDescent="0.25">
      <c r="A507" s="75">
        <v>46032</v>
      </c>
      <c r="B507" s="25" t="s">
        <v>510</v>
      </c>
      <c r="C507" s="25"/>
      <c r="D507" s="75">
        <f t="shared" si="188"/>
        <v>46055</v>
      </c>
      <c r="E507" s="75">
        <f t="shared" si="189"/>
        <v>46039</v>
      </c>
      <c r="F507" s="75">
        <f t="shared" si="190"/>
        <v>46046</v>
      </c>
      <c r="G507" s="75">
        <f t="shared" si="191"/>
        <v>46052</v>
      </c>
      <c r="H507" s="75">
        <f t="shared" si="192"/>
        <v>46040</v>
      </c>
      <c r="I507" s="75">
        <f t="shared" si="193"/>
        <v>46047</v>
      </c>
      <c r="J507" s="75">
        <v>46061</v>
      </c>
      <c r="K507" s="76">
        <f t="shared" si="194"/>
        <v>29</v>
      </c>
      <c r="L507" s="25">
        <v>4.8099999999999996</v>
      </c>
      <c r="M507" s="25">
        <v>2.11</v>
      </c>
      <c r="N507" s="25">
        <f t="shared" si="195"/>
        <v>2.6999999999999997</v>
      </c>
      <c r="O507" s="25" t="s">
        <v>544</v>
      </c>
    </row>
    <row r="508" spans="1:15" x14ac:dyDescent="0.25">
      <c r="A508" s="75">
        <v>46033</v>
      </c>
      <c r="B508" s="25" t="s">
        <v>497</v>
      </c>
      <c r="C508" s="25"/>
      <c r="D508" s="75">
        <f t="shared" si="188"/>
        <v>46056</v>
      </c>
      <c r="E508" s="75">
        <f t="shared" si="189"/>
        <v>46040</v>
      </c>
      <c r="F508" s="75">
        <f t="shared" si="190"/>
        <v>46047</v>
      </c>
      <c r="G508" s="75">
        <f t="shared" si="191"/>
        <v>46053</v>
      </c>
      <c r="H508" s="75">
        <f t="shared" si="192"/>
        <v>46041</v>
      </c>
      <c r="I508" s="75">
        <f t="shared" si="193"/>
        <v>46048</v>
      </c>
      <c r="J508" s="75">
        <v>46063</v>
      </c>
      <c r="K508" s="76">
        <f t="shared" si="194"/>
        <v>30</v>
      </c>
      <c r="L508" s="25">
        <v>10.19</v>
      </c>
      <c r="M508" s="25">
        <v>4.2300000000000004</v>
      </c>
      <c r="N508" s="25">
        <f t="shared" si="195"/>
        <v>5.9599999999999991</v>
      </c>
      <c r="O508" s="25" t="s">
        <v>544</v>
      </c>
    </row>
    <row r="509" spans="1:15" x14ac:dyDescent="0.25">
      <c r="A509" s="75">
        <v>46033</v>
      </c>
      <c r="B509" s="25" t="s">
        <v>498</v>
      </c>
      <c r="C509" s="25"/>
      <c r="D509" s="75">
        <f t="shared" si="188"/>
        <v>46056</v>
      </c>
      <c r="E509" s="75">
        <f t="shared" si="189"/>
        <v>46040</v>
      </c>
      <c r="F509" s="75">
        <f t="shared" si="190"/>
        <v>46047</v>
      </c>
      <c r="G509" s="75">
        <f t="shared" si="191"/>
        <v>46053</v>
      </c>
      <c r="H509" s="75">
        <f t="shared" si="192"/>
        <v>46041</v>
      </c>
      <c r="I509" s="75">
        <f t="shared" si="193"/>
        <v>46048</v>
      </c>
      <c r="J509" s="75">
        <v>46063</v>
      </c>
      <c r="K509" s="76">
        <f t="shared" si="194"/>
        <v>30</v>
      </c>
      <c r="L509" s="25">
        <v>10.17</v>
      </c>
      <c r="M509" s="25">
        <v>4.82</v>
      </c>
      <c r="N509" s="25">
        <f t="shared" si="195"/>
        <v>5.35</v>
      </c>
      <c r="O509" s="25" t="s">
        <v>544</v>
      </c>
    </row>
    <row r="510" spans="1:15" x14ac:dyDescent="0.25">
      <c r="A510" s="75">
        <v>46033</v>
      </c>
      <c r="B510" s="25" t="s">
        <v>499</v>
      </c>
      <c r="C510" s="25"/>
      <c r="D510" s="75">
        <f t="shared" si="188"/>
        <v>46056</v>
      </c>
      <c r="E510" s="75">
        <f t="shared" si="189"/>
        <v>46040</v>
      </c>
      <c r="F510" s="75">
        <f t="shared" si="190"/>
        <v>46047</v>
      </c>
      <c r="G510" s="75">
        <f t="shared" si="191"/>
        <v>46053</v>
      </c>
      <c r="H510" s="75">
        <f t="shared" si="192"/>
        <v>46041</v>
      </c>
      <c r="I510" s="75">
        <f t="shared" si="193"/>
        <v>46048</v>
      </c>
      <c r="J510" s="75">
        <v>46063</v>
      </c>
      <c r="K510" s="76">
        <f t="shared" si="194"/>
        <v>30</v>
      </c>
      <c r="L510" s="25">
        <v>9.36</v>
      </c>
      <c r="M510" s="25">
        <v>7.54</v>
      </c>
      <c r="N510" s="25">
        <f t="shared" si="195"/>
        <v>1.8199999999999994</v>
      </c>
      <c r="O510" s="25" t="s">
        <v>545</v>
      </c>
    </row>
    <row r="511" spans="1:15" x14ac:dyDescent="0.25">
      <c r="A511" s="75">
        <v>46033</v>
      </c>
      <c r="B511" s="25" t="s">
        <v>500</v>
      </c>
      <c r="C511" s="25"/>
      <c r="D511" s="75">
        <f t="shared" si="188"/>
        <v>46056</v>
      </c>
      <c r="E511" s="75">
        <f t="shared" si="189"/>
        <v>46040</v>
      </c>
      <c r="F511" s="75">
        <f t="shared" si="190"/>
        <v>46047</v>
      </c>
      <c r="G511" s="75">
        <f t="shared" si="191"/>
        <v>46053</v>
      </c>
      <c r="H511" s="75">
        <f t="shared" si="192"/>
        <v>46041</v>
      </c>
      <c r="I511" s="75">
        <f t="shared" si="193"/>
        <v>46048</v>
      </c>
      <c r="J511" s="75">
        <v>46063</v>
      </c>
      <c r="K511" s="76">
        <f t="shared" si="194"/>
        <v>30</v>
      </c>
      <c r="L511" s="25">
        <v>9.02</v>
      </c>
      <c r="M511" s="25">
        <v>7.31</v>
      </c>
      <c r="N511" s="25">
        <f t="shared" si="195"/>
        <v>1.71</v>
      </c>
      <c r="O511" s="25" t="s">
        <v>545</v>
      </c>
    </row>
    <row r="512" spans="1:15" x14ac:dyDescent="0.25">
      <c r="A512" s="75">
        <v>46033</v>
      </c>
      <c r="B512" s="25" t="s">
        <v>501</v>
      </c>
      <c r="C512" s="25"/>
      <c r="D512" s="75">
        <f t="shared" si="188"/>
        <v>46056</v>
      </c>
      <c r="E512" s="75">
        <f t="shared" si="189"/>
        <v>46040</v>
      </c>
      <c r="F512" s="75">
        <f t="shared" si="190"/>
        <v>46047</v>
      </c>
      <c r="G512" s="75">
        <f t="shared" si="191"/>
        <v>46053</v>
      </c>
      <c r="H512" s="75">
        <f t="shared" si="192"/>
        <v>46041</v>
      </c>
      <c r="I512" s="75">
        <f t="shared" si="193"/>
        <v>46048</v>
      </c>
      <c r="J512" s="75">
        <v>46061</v>
      </c>
      <c r="K512" s="76">
        <f t="shared" si="194"/>
        <v>28</v>
      </c>
      <c r="L512" s="25">
        <v>10.35</v>
      </c>
      <c r="M512" s="25">
        <v>8.6300000000000008</v>
      </c>
      <c r="N512" s="25">
        <f t="shared" ref="N512:N522" si="196">L512-M512</f>
        <v>1.7199999999999989</v>
      </c>
      <c r="O512" s="25" t="s">
        <v>545</v>
      </c>
    </row>
    <row r="513" spans="1:15" x14ac:dyDescent="0.25">
      <c r="A513" s="75">
        <v>46033</v>
      </c>
      <c r="B513" s="25" t="s">
        <v>502</v>
      </c>
      <c r="C513" s="25"/>
      <c r="D513" s="75">
        <f t="shared" si="188"/>
        <v>46056</v>
      </c>
      <c r="E513" s="75">
        <f t="shared" si="189"/>
        <v>46040</v>
      </c>
      <c r="F513" s="75">
        <f t="shared" si="190"/>
        <v>46047</v>
      </c>
      <c r="G513" s="75">
        <f t="shared" si="191"/>
        <v>46053</v>
      </c>
      <c r="H513" s="75">
        <f t="shared" si="192"/>
        <v>46041</v>
      </c>
      <c r="I513" s="75">
        <f t="shared" si="193"/>
        <v>46048</v>
      </c>
      <c r="J513" s="75">
        <v>46061</v>
      </c>
      <c r="K513" s="76">
        <f t="shared" si="194"/>
        <v>28</v>
      </c>
      <c r="L513" s="25">
        <v>10.09</v>
      </c>
      <c r="M513" s="25">
        <v>8.4700000000000006</v>
      </c>
      <c r="N513" s="25">
        <f t="shared" si="196"/>
        <v>1.6199999999999992</v>
      </c>
      <c r="O513" s="25" t="s">
        <v>545</v>
      </c>
    </row>
    <row r="514" spans="1:15" x14ac:dyDescent="0.25">
      <c r="A514" s="75">
        <v>46033</v>
      </c>
      <c r="B514" s="25" t="s">
        <v>503</v>
      </c>
      <c r="C514" s="25"/>
      <c r="D514" s="75">
        <f t="shared" si="188"/>
        <v>46056</v>
      </c>
      <c r="E514" s="75">
        <f t="shared" si="189"/>
        <v>46040</v>
      </c>
      <c r="F514" s="75">
        <f t="shared" si="190"/>
        <v>46047</v>
      </c>
      <c r="G514" s="75">
        <f t="shared" si="191"/>
        <v>46053</v>
      </c>
      <c r="H514" s="75">
        <f t="shared" si="192"/>
        <v>46041</v>
      </c>
      <c r="I514" s="75">
        <f t="shared" si="193"/>
        <v>46048</v>
      </c>
      <c r="J514" s="75">
        <v>46062</v>
      </c>
      <c r="K514" s="76">
        <f t="shared" si="194"/>
        <v>29</v>
      </c>
      <c r="L514" s="25">
        <v>11.84</v>
      </c>
      <c r="M514" s="25">
        <v>10.3</v>
      </c>
      <c r="N514" s="25">
        <f t="shared" si="196"/>
        <v>1.5399999999999991</v>
      </c>
      <c r="O514" s="25" t="s">
        <v>545</v>
      </c>
    </row>
    <row r="515" spans="1:15" x14ac:dyDescent="0.25">
      <c r="A515" s="75">
        <v>46034</v>
      </c>
      <c r="B515" s="25" t="s">
        <v>490</v>
      </c>
      <c r="C515" s="25"/>
      <c r="D515" s="75">
        <f t="shared" ref="D515:D521" si="197">A515+23</f>
        <v>46057</v>
      </c>
      <c r="E515" s="75">
        <f t="shared" ref="E515:E521" si="198">A515+7</f>
        <v>46041</v>
      </c>
      <c r="F515" s="75">
        <f t="shared" ref="F515:F521" si="199">A515+14</f>
        <v>46048</v>
      </c>
      <c r="G515" s="75">
        <f t="shared" ref="G515:G521" si="200">A515+20</f>
        <v>46054</v>
      </c>
      <c r="H515" s="75">
        <f t="shared" ref="H515:H521" si="201">A515+8</f>
        <v>46042</v>
      </c>
      <c r="I515" s="75">
        <f t="shared" ref="I515:I521" si="202">A515+15</f>
        <v>46049</v>
      </c>
      <c r="J515" s="75">
        <v>46064</v>
      </c>
      <c r="K515" s="76">
        <f t="shared" si="194"/>
        <v>30</v>
      </c>
      <c r="L515" s="25">
        <v>12.9</v>
      </c>
      <c r="M515" s="25">
        <v>12.01</v>
      </c>
      <c r="N515" s="25">
        <f t="shared" si="196"/>
        <v>0.89000000000000057</v>
      </c>
      <c r="O515" s="25" t="s">
        <v>545</v>
      </c>
    </row>
    <row r="516" spans="1:15" x14ac:dyDescent="0.25">
      <c r="A516" s="75">
        <v>46034</v>
      </c>
      <c r="B516" s="25" t="s">
        <v>491</v>
      </c>
      <c r="C516" s="25"/>
      <c r="D516" s="75">
        <f t="shared" si="197"/>
        <v>46057</v>
      </c>
      <c r="E516" s="75">
        <f t="shared" si="198"/>
        <v>46041</v>
      </c>
      <c r="F516" s="75">
        <f t="shared" si="199"/>
        <v>46048</v>
      </c>
      <c r="G516" s="75">
        <f t="shared" si="200"/>
        <v>46054</v>
      </c>
      <c r="H516" s="75">
        <f t="shared" si="201"/>
        <v>46042</v>
      </c>
      <c r="I516" s="75">
        <f t="shared" si="202"/>
        <v>46049</v>
      </c>
      <c r="J516" s="75">
        <v>46064</v>
      </c>
      <c r="K516" s="76">
        <f t="shared" ref="K516:K523" si="203">J516-A516</f>
        <v>30</v>
      </c>
      <c r="L516" s="25">
        <v>12.06</v>
      </c>
      <c r="M516" s="25">
        <v>10.74</v>
      </c>
      <c r="N516" s="25">
        <f t="shared" si="196"/>
        <v>1.3200000000000003</v>
      </c>
      <c r="O516" s="25" t="s">
        <v>545</v>
      </c>
    </row>
    <row r="517" spans="1:15" x14ac:dyDescent="0.25">
      <c r="A517" s="75">
        <v>46034</v>
      </c>
      <c r="B517" s="25" t="s">
        <v>492</v>
      </c>
      <c r="C517" s="25"/>
      <c r="D517" s="75">
        <f t="shared" si="197"/>
        <v>46057</v>
      </c>
      <c r="E517" s="75">
        <f t="shared" si="198"/>
        <v>46041</v>
      </c>
      <c r="F517" s="75">
        <f t="shared" si="199"/>
        <v>46048</v>
      </c>
      <c r="G517" s="75">
        <f t="shared" si="200"/>
        <v>46054</v>
      </c>
      <c r="H517" s="75">
        <f t="shared" si="201"/>
        <v>46042</v>
      </c>
      <c r="I517" s="75">
        <f t="shared" si="202"/>
        <v>46049</v>
      </c>
      <c r="J517" s="75">
        <v>46064</v>
      </c>
      <c r="K517" s="76">
        <f t="shared" si="203"/>
        <v>30</v>
      </c>
      <c r="L517" s="25">
        <v>12.71</v>
      </c>
      <c r="M517" s="25">
        <v>11.15</v>
      </c>
      <c r="N517" s="25">
        <f t="shared" si="196"/>
        <v>1.5600000000000005</v>
      </c>
      <c r="O517" s="25" t="s">
        <v>545</v>
      </c>
    </row>
    <row r="518" spans="1:15" x14ac:dyDescent="0.25">
      <c r="A518" s="75">
        <v>46034</v>
      </c>
      <c r="B518" s="25" t="s">
        <v>493</v>
      </c>
      <c r="C518" s="25"/>
      <c r="D518" s="75">
        <f t="shared" si="197"/>
        <v>46057</v>
      </c>
      <c r="E518" s="75">
        <f t="shared" si="198"/>
        <v>46041</v>
      </c>
      <c r="F518" s="75">
        <f t="shared" si="199"/>
        <v>46048</v>
      </c>
      <c r="G518" s="75">
        <f t="shared" si="200"/>
        <v>46054</v>
      </c>
      <c r="H518" s="75">
        <f t="shared" si="201"/>
        <v>46042</v>
      </c>
      <c r="I518" s="75">
        <f t="shared" si="202"/>
        <v>46049</v>
      </c>
      <c r="J518" s="75">
        <v>46064</v>
      </c>
      <c r="K518" s="76">
        <f t="shared" si="203"/>
        <v>30</v>
      </c>
      <c r="L518" s="25">
        <v>13.38</v>
      </c>
      <c r="M518" s="25">
        <v>12.71</v>
      </c>
      <c r="N518" s="25">
        <f t="shared" si="196"/>
        <v>0.66999999999999993</v>
      </c>
      <c r="O518" s="25" t="s">
        <v>545</v>
      </c>
    </row>
    <row r="519" spans="1:15" x14ac:dyDescent="0.25">
      <c r="A519" s="75">
        <v>46034</v>
      </c>
      <c r="B519" s="25" t="s">
        <v>494</v>
      </c>
      <c r="C519" s="25"/>
      <c r="D519" s="75">
        <f t="shared" si="197"/>
        <v>46057</v>
      </c>
      <c r="E519" s="75">
        <f t="shared" si="198"/>
        <v>46041</v>
      </c>
      <c r="F519" s="75">
        <f t="shared" si="199"/>
        <v>46048</v>
      </c>
      <c r="G519" s="75">
        <f t="shared" si="200"/>
        <v>46054</v>
      </c>
      <c r="H519" s="75">
        <f t="shared" si="201"/>
        <v>46042</v>
      </c>
      <c r="I519" s="75">
        <f t="shared" si="202"/>
        <v>46049</v>
      </c>
      <c r="J519" s="75">
        <v>46064</v>
      </c>
      <c r="K519" s="76">
        <f t="shared" si="203"/>
        <v>30</v>
      </c>
      <c r="L519" s="25">
        <v>11.96</v>
      </c>
      <c r="M519" s="25">
        <v>10.54</v>
      </c>
      <c r="N519" s="25">
        <f t="shared" si="196"/>
        <v>1.4200000000000017</v>
      </c>
      <c r="O519" s="25" t="s">
        <v>545</v>
      </c>
    </row>
    <row r="520" spans="1:15" x14ac:dyDescent="0.25">
      <c r="A520" s="75">
        <v>46034</v>
      </c>
      <c r="B520" s="25" t="s">
        <v>495</v>
      </c>
      <c r="C520" s="25"/>
      <c r="D520" s="75">
        <f t="shared" si="197"/>
        <v>46057</v>
      </c>
      <c r="E520" s="75">
        <f t="shared" si="198"/>
        <v>46041</v>
      </c>
      <c r="F520" s="75">
        <f t="shared" si="199"/>
        <v>46048</v>
      </c>
      <c r="G520" s="75">
        <f t="shared" si="200"/>
        <v>46054</v>
      </c>
      <c r="H520" s="75">
        <f t="shared" si="201"/>
        <v>46042</v>
      </c>
      <c r="I520" s="75">
        <f t="shared" si="202"/>
        <v>46049</v>
      </c>
      <c r="J520" s="75">
        <v>46064</v>
      </c>
      <c r="K520" s="76">
        <f t="shared" si="203"/>
        <v>30</v>
      </c>
      <c r="L520" s="25">
        <v>11.73</v>
      </c>
      <c r="M520" s="25">
        <v>10.119999999999999</v>
      </c>
      <c r="N520" s="25">
        <f t="shared" si="196"/>
        <v>1.6100000000000012</v>
      </c>
      <c r="O520" s="25" t="s">
        <v>545</v>
      </c>
    </row>
    <row r="521" spans="1:15" x14ac:dyDescent="0.25">
      <c r="A521" s="75">
        <v>46034</v>
      </c>
      <c r="B521" s="25" t="s">
        <v>496</v>
      </c>
      <c r="C521" s="25"/>
      <c r="D521" s="75">
        <f t="shared" si="197"/>
        <v>46057</v>
      </c>
      <c r="E521" s="75">
        <f t="shared" si="198"/>
        <v>46041</v>
      </c>
      <c r="F521" s="75">
        <f t="shared" si="199"/>
        <v>46048</v>
      </c>
      <c r="G521" s="75">
        <f t="shared" si="200"/>
        <v>46054</v>
      </c>
      <c r="H521" s="75">
        <f t="shared" si="201"/>
        <v>46042</v>
      </c>
      <c r="I521" s="75">
        <f t="shared" si="202"/>
        <v>46049</v>
      </c>
      <c r="J521" s="75">
        <v>46064</v>
      </c>
      <c r="K521" s="76">
        <f t="shared" si="203"/>
        <v>30</v>
      </c>
      <c r="L521" s="25">
        <v>13.45</v>
      </c>
      <c r="M521" s="25">
        <v>12.17</v>
      </c>
      <c r="N521" s="25">
        <f t="shared" si="196"/>
        <v>1.2799999999999994</v>
      </c>
      <c r="O521" s="25" t="s">
        <v>545</v>
      </c>
    </row>
    <row r="522" spans="1:15" x14ac:dyDescent="0.25">
      <c r="A522" s="75">
        <v>46035</v>
      </c>
      <c r="B522" s="25" t="s">
        <v>489</v>
      </c>
      <c r="C522" s="25"/>
      <c r="D522" s="75">
        <f t="shared" ref="D522:D529" si="204">A522+23</f>
        <v>46058</v>
      </c>
      <c r="E522" s="75">
        <f t="shared" ref="E522:E529" si="205">A522+7</f>
        <v>46042</v>
      </c>
      <c r="F522" s="75">
        <f t="shared" ref="F522:F529" si="206">A522+14</f>
        <v>46049</v>
      </c>
      <c r="G522" s="75">
        <f t="shared" ref="G522:G529" si="207">A522+20</f>
        <v>46055</v>
      </c>
      <c r="H522" s="75">
        <f t="shared" ref="H522:H529" si="208">A522+8</f>
        <v>46043</v>
      </c>
      <c r="I522" s="75">
        <f t="shared" ref="I522:I529" si="209">A522+15</f>
        <v>46050</v>
      </c>
      <c r="J522" s="75">
        <v>46064</v>
      </c>
      <c r="K522" s="76">
        <f t="shared" si="203"/>
        <v>29</v>
      </c>
      <c r="L522" s="25">
        <v>12.65</v>
      </c>
      <c r="M522" s="25">
        <v>11.38</v>
      </c>
      <c r="N522" s="25">
        <f t="shared" si="196"/>
        <v>1.2699999999999996</v>
      </c>
      <c r="O522" s="25" t="s">
        <v>545</v>
      </c>
    </row>
    <row r="523" spans="1:15" x14ac:dyDescent="0.25">
      <c r="A523" s="75">
        <v>46035</v>
      </c>
      <c r="B523" s="25" t="s">
        <v>465</v>
      </c>
      <c r="C523" s="25"/>
      <c r="D523" s="75">
        <f t="shared" si="204"/>
        <v>46058</v>
      </c>
      <c r="E523" s="75">
        <f t="shared" si="205"/>
        <v>46042</v>
      </c>
      <c r="F523" s="75">
        <f t="shared" si="206"/>
        <v>46049</v>
      </c>
      <c r="G523" s="75">
        <f t="shared" si="207"/>
        <v>46055</v>
      </c>
      <c r="H523" s="75">
        <f t="shared" si="208"/>
        <v>46043</v>
      </c>
      <c r="I523" s="75">
        <f t="shared" si="209"/>
        <v>46050</v>
      </c>
      <c r="J523" s="75">
        <v>46065</v>
      </c>
      <c r="K523" s="76">
        <f t="shared" si="203"/>
        <v>30</v>
      </c>
      <c r="L523" s="82">
        <v>13.65</v>
      </c>
      <c r="M523" s="80">
        <v>12.36</v>
      </c>
      <c r="N523" s="25">
        <f t="shared" ref="N523:N529" si="210">L523-M523</f>
        <v>1.2900000000000009</v>
      </c>
      <c r="O523" s="25" t="s">
        <v>545</v>
      </c>
    </row>
    <row r="524" spans="1:15" x14ac:dyDescent="0.25">
      <c r="A524" s="75">
        <v>46035</v>
      </c>
      <c r="B524" s="25" t="s">
        <v>466</v>
      </c>
      <c r="C524" s="25"/>
      <c r="D524" s="75">
        <f t="shared" si="204"/>
        <v>46058</v>
      </c>
      <c r="E524" s="75">
        <f t="shared" si="205"/>
        <v>46042</v>
      </c>
      <c r="F524" s="75">
        <f t="shared" si="206"/>
        <v>46049</v>
      </c>
      <c r="G524" s="75">
        <f t="shared" si="207"/>
        <v>46055</v>
      </c>
      <c r="H524" s="75">
        <f t="shared" si="208"/>
        <v>46043</v>
      </c>
      <c r="I524" s="75">
        <f t="shared" si="209"/>
        <v>46050</v>
      </c>
      <c r="J524" s="75">
        <v>46065</v>
      </c>
      <c r="K524" s="76">
        <f t="shared" ref="K524:K530" si="211">J524-A524</f>
        <v>30</v>
      </c>
      <c r="L524" s="82">
        <v>12.74</v>
      </c>
      <c r="M524" s="80">
        <v>11.58</v>
      </c>
      <c r="N524" s="25">
        <f t="shared" si="210"/>
        <v>1.1600000000000001</v>
      </c>
      <c r="O524" s="25" t="s">
        <v>545</v>
      </c>
    </row>
    <row r="525" spans="1:15" x14ac:dyDescent="0.25">
      <c r="A525" s="75">
        <v>46035</v>
      </c>
      <c r="B525" s="25" t="s">
        <v>467</v>
      </c>
      <c r="C525" s="25"/>
      <c r="D525" s="75">
        <f t="shared" si="204"/>
        <v>46058</v>
      </c>
      <c r="E525" s="75">
        <f t="shared" si="205"/>
        <v>46042</v>
      </c>
      <c r="F525" s="75">
        <f t="shared" si="206"/>
        <v>46049</v>
      </c>
      <c r="G525" s="75">
        <f t="shared" si="207"/>
        <v>46055</v>
      </c>
      <c r="H525" s="75">
        <f t="shared" si="208"/>
        <v>46043</v>
      </c>
      <c r="I525" s="75">
        <f t="shared" si="209"/>
        <v>46050</v>
      </c>
      <c r="J525" s="75">
        <v>46065</v>
      </c>
      <c r="K525" s="76">
        <f t="shared" si="211"/>
        <v>30</v>
      </c>
      <c r="L525" s="82">
        <v>13.04</v>
      </c>
      <c r="M525" s="80">
        <v>11.82</v>
      </c>
      <c r="N525" s="25">
        <f t="shared" si="210"/>
        <v>1.2199999999999989</v>
      </c>
      <c r="O525" s="25" t="s">
        <v>545</v>
      </c>
    </row>
    <row r="526" spans="1:15" x14ac:dyDescent="0.25">
      <c r="A526" s="75">
        <v>46035</v>
      </c>
      <c r="B526" s="25" t="s">
        <v>468</v>
      </c>
      <c r="C526" s="25"/>
      <c r="D526" s="75">
        <f t="shared" si="204"/>
        <v>46058</v>
      </c>
      <c r="E526" s="75">
        <f t="shared" si="205"/>
        <v>46042</v>
      </c>
      <c r="F526" s="75">
        <f t="shared" si="206"/>
        <v>46049</v>
      </c>
      <c r="G526" s="75">
        <f t="shared" si="207"/>
        <v>46055</v>
      </c>
      <c r="H526" s="75">
        <f t="shared" si="208"/>
        <v>46043</v>
      </c>
      <c r="I526" s="75">
        <f t="shared" si="209"/>
        <v>46050</v>
      </c>
      <c r="J526" s="75">
        <v>46065</v>
      </c>
      <c r="K526" s="76">
        <f t="shared" si="211"/>
        <v>30</v>
      </c>
      <c r="L526" s="82">
        <v>13.93</v>
      </c>
      <c r="M526" s="80">
        <v>13.1</v>
      </c>
      <c r="N526" s="25">
        <f t="shared" si="210"/>
        <v>0.83000000000000007</v>
      </c>
      <c r="O526" s="25" t="s">
        <v>545</v>
      </c>
    </row>
    <row r="527" spans="1:15" x14ac:dyDescent="0.25">
      <c r="A527" s="75">
        <v>46035</v>
      </c>
      <c r="B527" s="25" t="s">
        <v>469</v>
      </c>
      <c r="C527" s="25"/>
      <c r="D527" s="75">
        <f t="shared" si="204"/>
        <v>46058</v>
      </c>
      <c r="E527" s="75">
        <f t="shared" si="205"/>
        <v>46042</v>
      </c>
      <c r="F527" s="75">
        <f t="shared" si="206"/>
        <v>46049</v>
      </c>
      <c r="G527" s="75">
        <f t="shared" si="207"/>
        <v>46055</v>
      </c>
      <c r="H527" s="75">
        <f t="shared" si="208"/>
        <v>46043</v>
      </c>
      <c r="I527" s="75">
        <f t="shared" si="209"/>
        <v>46050</v>
      </c>
      <c r="J527" s="75">
        <v>46065</v>
      </c>
      <c r="K527" s="76">
        <f t="shared" si="211"/>
        <v>30</v>
      </c>
      <c r="L527" s="82">
        <v>12.87</v>
      </c>
      <c r="M527" s="80">
        <v>12.18</v>
      </c>
      <c r="N527" s="25">
        <f t="shared" si="210"/>
        <v>0.6899999999999995</v>
      </c>
      <c r="O527" s="25" t="s">
        <v>545</v>
      </c>
    </row>
    <row r="528" spans="1:15" x14ac:dyDescent="0.25">
      <c r="A528" s="75">
        <v>46035</v>
      </c>
      <c r="B528" s="25" t="s">
        <v>470</v>
      </c>
      <c r="C528" s="25"/>
      <c r="D528" s="75">
        <f t="shared" si="204"/>
        <v>46058</v>
      </c>
      <c r="E528" s="75">
        <f t="shared" si="205"/>
        <v>46042</v>
      </c>
      <c r="F528" s="75">
        <f t="shared" si="206"/>
        <v>46049</v>
      </c>
      <c r="G528" s="75">
        <f t="shared" si="207"/>
        <v>46055</v>
      </c>
      <c r="H528" s="75">
        <f t="shared" si="208"/>
        <v>46043</v>
      </c>
      <c r="I528" s="75">
        <f t="shared" si="209"/>
        <v>46050</v>
      </c>
      <c r="J528" s="75">
        <v>46065</v>
      </c>
      <c r="K528" s="76">
        <f t="shared" si="211"/>
        <v>30</v>
      </c>
      <c r="L528" s="82">
        <v>13.61</v>
      </c>
      <c r="M528" s="80">
        <v>12.67</v>
      </c>
      <c r="N528" s="25">
        <f t="shared" si="210"/>
        <v>0.9399999999999995</v>
      </c>
      <c r="O528" s="25" t="s">
        <v>545</v>
      </c>
    </row>
    <row r="529" spans="1:15" x14ac:dyDescent="0.25">
      <c r="A529" s="75">
        <v>46035</v>
      </c>
      <c r="B529" s="25" t="s">
        <v>471</v>
      </c>
      <c r="C529" s="25"/>
      <c r="D529" s="75">
        <f t="shared" si="204"/>
        <v>46058</v>
      </c>
      <c r="E529" s="75">
        <f t="shared" si="205"/>
        <v>46042</v>
      </c>
      <c r="F529" s="75">
        <f t="shared" si="206"/>
        <v>46049</v>
      </c>
      <c r="G529" s="75">
        <f t="shared" si="207"/>
        <v>46055</v>
      </c>
      <c r="H529" s="75">
        <f t="shared" si="208"/>
        <v>46043</v>
      </c>
      <c r="I529" s="75">
        <f t="shared" si="209"/>
        <v>46050</v>
      </c>
      <c r="J529" s="75">
        <v>46065</v>
      </c>
      <c r="K529" s="76">
        <f t="shared" si="211"/>
        <v>30</v>
      </c>
      <c r="L529" s="82">
        <v>14.18</v>
      </c>
      <c r="M529" s="80">
        <v>13.25</v>
      </c>
      <c r="N529" s="25">
        <f t="shared" si="210"/>
        <v>0.92999999999999972</v>
      </c>
      <c r="O529" s="25" t="s">
        <v>545</v>
      </c>
    </row>
    <row r="530" spans="1:15" x14ac:dyDescent="0.25">
      <c r="A530" s="75">
        <v>46036</v>
      </c>
      <c r="B530" s="25" t="s">
        <v>472</v>
      </c>
      <c r="C530" s="25"/>
      <c r="D530" s="75">
        <f>A530+23</f>
        <v>46059</v>
      </c>
      <c r="E530" s="75">
        <f>A530+7</f>
        <v>46043</v>
      </c>
      <c r="F530" s="75">
        <f>A530+14</f>
        <v>46050</v>
      </c>
      <c r="G530" s="75">
        <f>A530+20</f>
        <v>46056</v>
      </c>
      <c r="H530" s="75">
        <f>A530+8</f>
        <v>46044</v>
      </c>
      <c r="I530" s="75">
        <f>A530+15</f>
        <v>46051</v>
      </c>
      <c r="J530" s="75">
        <v>46066</v>
      </c>
      <c r="K530" s="76">
        <f t="shared" si="211"/>
        <v>30</v>
      </c>
      <c r="L530" s="82">
        <v>12.41</v>
      </c>
      <c r="M530" s="80">
        <v>11.73</v>
      </c>
      <c r="N530" s="25">
        <f t="shared" ref="N530:N538" si="212">L530-M530</f>
        <v>0.67999999999999972</v>
      </c>
      <c r="O530" s="25" t="s">
        <v>545</v>
      </c>
    </row>
    <row r="531" spans="1:15" x14ac:dyDescent="0.25">
      <c r="A531" s="75">
        <v>46036</v>
      </c>
      <c r="B531" s="25" t="s">
        <v>473</v>
      </c>
      <c r="C531" s="25"/>
      <c r="D531" s="75">
        <f t="shared" ref="D531:D537" si="213">A531+23</f>
        <v>46059</v>
      </c>
      <c r="E531" s="75">
        <f t="shared" ref="E531:E537" si="214">A531+7</f>
        <v>46043</v>
      </c>
      <c r="F531" s="75">
        <f t="shared" ref="F531:F537" si="215">A531+14</f>
        <v>46050</v>
      </c>
      <c r="G531" s="75">
        <f t="shared" ref="G531:G537" si="216">A531+20</f>
        <v>46056</v>
      </c>
      <c r="H531" s="75">
        <f t="shared" ref="H531:H537" si="217">A531+8</f>
        <v>46044</v>
      </c>
      <c r="I531" s="75">
        <f t="shared" ref="I531:I537" si="218">A531+15</f>
        <v>46051</v>
      </c>
      <c r="J531" s="75">
        <v>46066</v>
      </c>
      <c r="K531" s="76">
        <f t="shared" ref="K531:K539" si="219">J531-A531</f>
        <v>30</v>
      </c>
      <c r="L531" s="82">
        <v>11.75</v>
      </c>
      <c r="M531" s="80">
        <v>10.58</v>
      </c>
      <c r="N531" s="25">
        <f t="shared" si="212"/>
        <v>1.17</v>
      </c>
      <c r="O531" s="25" t="s">
        <v>545</v>
      </c>
    </row>
    <row r="532" spans="1:15" x14ac:dyDescent="0.25">
      <c r="A532" s="75">
        <v>46036</v>
      </c>
      <c r="B532" s="25" t="s">
        <v>474</v>
      </c>
      <c r="C532" s="25"/>
      <c r="D532" s="75">
        <f t="shared" si="213"/>
        <v>46059</v>
      </c>
      <c r="E532" s="75">
        <f t="shared" si="214"/>
        <v>46043</v>
      </c>
      <c r="F532" s="75">
        <f t="shared" si="215"/>
        <v>46050</v>
      </c>
      <c r="G532" s="75">
        <f t="shared" si="216"/>
        <v>46056</v>
      </c>
      <c r="H532" s="75">
        <f t="shared" si="217"/>
        <v>46044</v>
      </c>
      <c r="I532" s="75">
        <f t="shared" si="218"/>
        <v>46051</v>
      </c>
      <c r="J532" s="75">
        <v>46066</v>
      </c>
      <c r="K532" s="76">
        <f t="shared" si="219"/>
        <v>30</v>
      </c>
      <c r="L532" s="82">
        <v>13.84</v>
      </c>
      <c r="M532" s="80">
        <v>12.24</v>
      </c>
      <c r="N532" s="25">
        <f t="shared" si="212"/>
        <v>1.5999999999999996</v>
      </c>
      <c r="O532" s="25" t="s">
        <v>545</v>
      </c>
    </row>
    <row r="533" spans="1:15" x14ac:dyDescent="0.25">
      <c r="A533" s="75">
        <v>46036</v>
      </c>
      <c r="B533" s="25" t="s">
        <v>475</v>
      </c>
      <c r="C533" s="25"/>
      <c r="D533" s="75">
        <f t="shared" si="213"/>
        <v>46059</v>
      </c>
      <c r="E533" s="75">
        <f t="shared" si="214"/>
        <v>46043</v>
      </c>
      <c r="F533" s="75">
        <f t="shared" si="215"/>
        <v>46050</v>
      </c>
      <c r="G533" s="75">
        <f t="shared" si="216"/>
        <v>46056</v>
      </c>
      <c r="H533" s="75">
        <f t="shared" si="217"/>
        <v>46044</v>
      </c>
      <c r="I533" s="75">
        <f t="shared" si="218"/>
        <v>46051</v>
      </c>
      <c r="J533" s="75">
        <v>46066</v>
      </c>
      <c r="K533" s="76">
        <f t="shared" si="219"/>
        <v>30</v>
      </c>
      <c r="L533" s="82">
        <v>13.97</v>
      </c>
      <c r="M533" s="80">
        <v>12.52</v>
      </c>
      <c r="N533" s="25">
        <f t="shared" si="212"/>
        <v>1.4500000000000011</v>
      </c>
      <c r="O533" s="25" t="s">
        <v>545</v>
      </c>
    </row>
    <row r="534" spans="1:15" x14ac:dyDescent="0.25">
      <c r="A534" s="75">
        <v>46036</v>
      </c>
      <c r="B534" s="25" t="s">
        <v>476</v>
      </c>
      <c r="C534" s="25"/>
      <c r="D534" s="75">
        <f t="shared" si="213"/>
        <v>46059</v>
      </c>
      <c r="E534" s="75">
        <f t="shared" si="214"/>
        <v>46043</v>
      </c>
      <c r="F534" s="75">
        <f t="shared" si="215"/>
        <v>46050</v>
      </c>
      <c r="G534" s="75">
        <f t="shared" si="216"/>
        <v>46056</v>
      </c>
      <c r="H534" s="75">
        <f t="shared" si="217"/>
        <v>46044</v>
      </c>
      <c r="I534" s="75">
        <f t="shared" si="218"/>
        <v>46051</v>
      </c>
      <c r="J534" s="75">
        <v>46066</v>
      </c>
      <c r="K534" s="76">
        <f t="shared" si="219"/>
        <v>30</v>
      </c>
      <c r="L534" s="82">
        <v>12.33</v>
      </c>
      <c r="M534" s="80">
        <v>11.47</v>
      </c>
      <c r="N534" s="25">
        <f t="shared" si="212"/>
        <v>0.85999999999999943</v>
      </c>
      <c r="O534" s="25" t="s">
        <v>545</v>
      </c>
    </row>
    <row r="535" spans="1:15" x14ac:dyDescent="0.25">
      <c r="A535" s="75">
        <v>46036</v>
      </c>
      <c r="B535" s="25" t="s">
        <v>477</v>
      </c>
      <c r="C535" s="25"/>
      <c r="D535" s="75">
        <f t="shared" si="213"/>
        <v>46059</v>
      </c>
      <c r="E535" s="75">
        <f t="shared" si="214"/>
        <v>46043</v>
      </c>
      <c r="F535" s="75">
        <f t="shared" si="215"/>
        <v>46050</v>
      </c>
      <c r="G535" s="75">
        <f t="shared" si="216"/>
        <v>46056</v>
      </c>
      <c r="H535" s="75">
        <f t="shared" si="217"/>
        <v>46044</v>
      </c>
      <c r="I535" s="75">
        <f t="shared" si="218"/>
        <v>46051</v>
      </c>
      <c r="J535" s="75">
        <v>46066</v>
      </c>
      <c r="K535" s="76">
        <f t="shared" si="219"/>
        <v>30</v>
      </c>
      <c r="L535" s="82">
        <v>10.11</v>
      </c>
      <c r="M535" s="80">
        <v>8.6300000000000008</v>
      </c>
      <c r="N535" s="25">
        <f t="shared" si="212"/>
        <v>1.4799999999999986</v>
      </c>
      <c r="O535" s="25" t="s">
        <v>545</v>
      </c>
    </row>
    <row r="536" spans="1:15" x14ac:dyDescent="0.25">
      <c r="A536" s="75">
        <v>46036</v>
      </c>
      <c r="B536" s="25" t="s">
        <v>478</v>
      </c>
      <c r="C536" s="25"/>
      <c r="D536" s="75">
        <f t="shared" si="213"/>
        <v>46059</v>
      </c>
      <c r="E536" s="75">
        <f t="shared" si="214"/>
        <v>46043</v>
      </c>
      <c r="F536" s="75">
        <f t="shared" si="215"/>
        <v>46050</v>
      </c>
      <c r="G536" s="75">
        <f t="shared" si="216"/>
        <v>46056</v>
      </c>
      <c r="H536" s="75">
        <f t="shared" si="217"/>
        <v>46044</v>
      </c>
      <c r="I536" s="75">
        <f t="shared" si="218"/>
        <v>46051</v>
      </c>
      <c r="J536" s="75">
        <v>46066</v>
      </c>
      <c r="K536" s="76">
        <f t="shared" si="219"/>
        <v>30</v>
      </c>
      <c r="L536" s="82">
        <v>10.72</v>
      </c>
      <c r="M536" s="80">
        <v>9.35</v>
      </c>
      <c r="N536" s="25">
        <f t="shared" si="212"/>
        <v>1.370000000000001</v>
      </c>
      <c r="O536" s="25" t="s">
        <v>545</v>
      </c>
    </row>
    <row r="537" spans="1:15" x14ac:dyDescent="0.25">
      <c r="A537" s="75">
        <v>46037</v>
      </c>
      <c r="B537" s="25" t="s">
        <v>479</v>
      </c>
      <c r="C537" s="25"/>
      <c r="D537" s="75">
        <f t="shared" si="213"/>
        <v>46060</v>
      </c>
      <c r="E537" s="75">
        <f t="shared" si="214"/>
        <v>46044</v>
      </c>
      <c r="F537" s="75">
        <f t="shared" si="215"/>
        <v>46051</v>
      </c>
      <c r="G537" s="75">
        <f t="shared" si="216"/>
        <v>46057</v>
      </c>
      <c r="H537" s="75">
        <f t="shared" si="217"/>
        <v>46045</v>
      </c>
      <c r="I537" s="75">
        <f t="shared" si="218"/>
        <v>46052</v>
      </c>
      <c r="J537" s="75">
        <v>46066</v>
      </c>
      <c r="K537" s="76">
        <f t="shared" si="219"/>
        <v>29</v>
      </c>
      <c r="L537" s="82">
        <v>10.66</v>
      </c>
      <c r="M537" s="80">
        <v>9.2100000000000009</v>
      </c>
      <c r="N537" s="25">
        <f t="shared" si="212"/>
        <v>1.4499999999999993</v>
      </c>
      <c r="O537" s="25" t="s">
        <v>545</v>
      </c>
    </row>
    <row r="538" spans="1:15" x14ac:dyDescent="0.25">
      <c r="A538" s="75">
        <v>46037</v>
      </c>
      <c r="B538" s="25" t="s">
        <v>480</v>
      </c>
      <c r="C538" s="25"/>
      <c r="D538" s="75">
        <f t="shared" ref="D538:D545" si="220">A538+23</f>
        <v>46060</v>
      </c>
      <c r="E538" s="75">
        <f t="shared" ref="E538:E545" si="221">A538+7</f>
        <v>46044</v>
      </c>
      <c r="F538" s="75">
        <f t="shared" ref="F538:F545" si="222">A538+14</f>
        <v>46051</v>
      </c>
      <c r="G538" s="75">
        <f t="shared" ref="G538:G545" si="223">A538+20</f>
        <v>46057</v>
      </c>
      <c r="H538" s="75">
        <f t="shared" ref="H538:H545" si="224">A538+8</f>
        <v>46045</v>
      </c>
      <c r="I538" s="75">
        <f t="shared" ref="I538:I545" si="225">A538+15</f>
        <v>46052</v>
      </c>
      <c r="J538" s="75">
        <v>46066</v>
      </c>
      <c r="K538" s="76">
        <f t="shared" si="219"/>
        <v>29</v>
      </c>
      <c r="L538" s="82">
        <v>13.19</v>
      </c>
      <c r="M538" s="80">
        <v>11.68</v>
      </c>
      <c r="N538" s="25">
        <f t="shared" si="212"/>
        <v>1.5099999999999998</v>
      </c>
      <c r="O538" s="25" t="s">
        <v>545</v>
      </c>
    </row>
    <row r="539" spans="1:15" x14ac:dyDescent="0.25">
      <c r="A539" s="75">
        <v>46037</v>
      </c>
      <c r="B539" s="25" t="s">
        <v>481</v>
      </c>
      <c r="C539" s="25"/>
      <c r="D539" s="75">
        <f t="shared" si="220"/>
        <v>46060</v>
      </c>
      <c r="E539" s="75">
        <f t="shared" si="221"/>
        <v>46044</v>
      </c>
      <c r="F539" s="75">
        <f t="shared" si="222"/>
        <v>46051</v>
      </c>
      <c r="G539" s="75">
        <f t="shared" si="223"/>
        <v>46057</v>
      </c>
      <c r="H539" s="75">
        <f t="shared" si="224"/>
        <v>46045</v>
      </c>
      <c r="I539" s="75">
        <f t="shared" si="225"/>
        <v>46052</v>
      </c>
      <c r="J539" s="75">
        <v>46067</v>
      </c>
      <c r="K539" s="76">
        <f t="shared" si="219"/>
        <v>30</v>
      </c>
      <c r="L539" s="82">
        <v>10.18</v>
      </c>
      <c r="M539" s="80">
        <v>8.24</v>
      </c>
      <c r="N539" s="25">
        <f t="shared" ref="N539:N549" si="226">L539-M539</f>
        <v>1.9399999999999995</v>
      </c>
      <c r="O539" s="25" t="s">
        <v>545</v>
      </c>
    </row>
    <row r="540" spans="1:15" x14ac:dyDescent="0.25">
      <c r="A540" s="75">
        <v>46037</v>
      </c>
      <c r="B540" s="25" t="s">
        <v>482</v>
      </c>
      <c r="C540" s="25"/>
      <c r="D540" s="75">
        <f t="shared" si="220"/>
        <v>46060</v>
      </c>
      <c r="E540" s="75">
        <f t="shared" si="221"/>
        <v>46044</v>
      </c>
      <c r="F540" s="75">
        <f t="shared" si="222"/>
        <v>46051</v>
      </c>
      <c r="G540" s="75">
        <f t="shared" si="223"/>
        <v>46057</v>
      </c>
      <c r="H540" s="75">
        <f t="shared" si="224"/>
        <v>46045</v>
      </c>
      <c r="I540" s="75">
        <f t="shared" si="225"/>
        <v>46052</v>
      </c>
      <c r="J540" s="75">
        <v>46067</v>
      </c>
      <c r="K540" s="76">
        <f t="shared" ref="K540:K550" si="227">J540-A540</f>
        <v>30</v>
      </c>
      <c r="L540" s="82">
        <v>10.36</v>
      </c>
      <c r="M540" s="80">
        <v>8.73</v>
      </c>
      <c r="N540" s="25">
        <f t="shared" si="226"/>
        <v>1.629999999999999</v>
      </c>
      <c r="O540" s="25" t="s">
        <v>545</v>
      </c>
    </row>
    <row r="541" spans="1:15" x14ac:dyDescent="0.25">
      <c r="A541" s="75">
        <v>46037</v>
      </c>
      <c r="B541" s="25" t="s">
        <v>483</v>
      </c>
      <c r="C541" s="25"/>
      <c r="D541" s="75">
        <f t="shared" si="220"/>
        <v>46060</v>
      </c>
      <c r="E541" s="75">
        <f t="shared" si="221"/>
        <v>46044</v>
      </c>
      <c r="F541" s="75">
        <f t="shared" si="222"/>
        <v>46051</v>
      </c>
      <c r="G541" s="75">
        <f t="shared" si="223"/>
        <v>46057</v>
      </c>
      <c r="H541" s="75">
        <f t="shared" si="224"/>
        <v>46045</v>
      </c>
      <c r="I541" s="75">
        <f t="shared" si="225"/>
        <v>46052</v>
      </c>
      <c r="J541" s="75">
        <v>46067</v>
      </c>
      <c r="K541" s="76">
        <f t="shared" si="227"/>
        <v>30</v>
      </c>
      <c r="L541" s="82">
        <v>11.83</v>
      </c>
      <c r="M541" s="80">
        <v>10.29</v>
      </c>
      <c r="N541" s="25">
        <f t="shared" si="226"/>
        <v>1.5400000000000009</v>
      </c>
      <c r="O541" s="25" t="s">
        <v>545</v>
      </c>
    </row>
    <row r="542" spans="1:15" x14ac:dyDescent="0.25">
      <c r="A542" s="75">
        <v>46037</v>
      </c>
      <c r="B542" s="25" t="s">
        <v>484</v>
      </c>
      <c r="C542" s="25"/>
      <c r="D542" s="75">
        <f t="shared" si="220"/>
        <v>46060</v>
      </c>
      <c r="E542" s="75">
        <f t="shared" si="221"/>
        <v>46044</v>
      </c>
      <c r="F542" s="75">
        <f t="shared" si="222"/>
        <v>46051</v>
      </c>
      <c r="G542" s="75">
        <f t="shared" si="223"/>
        <v>46057</v>
      </c>
      <c r="H542" s="75">
        <f t="shared" si="224"/>
        <v>46045</v>
      </c>
      <c r="I542" s="75">
        <f t="shared" si="225"/>
        <v>46052</v>
      </c>
      <c r="J542" s="75">
        <v>46067</v>
      </c>
      <c r="K542" s="76">
        <f t="shared" si="227"/>
        <v>30</v>
      </c>
      <c r="L542" s="82">
        <v>11.57</v>
      </c>
      <c r="M542" s="80">
        <v>10.119999999999999</v>
      </c>
      <c r="N542" s="25">
        <f t="shared" si="226"/>
        <v>1.4500000000000011</v>
      </c>
      <c r="O542" s="25" t="s">
        <v>545</v>
      </c>
    </row>
    <row r="543" spans="1:15" x14ac:dyDescent="0.25">
      <c r="A543" s="75">
        <v>46037</v>
      </c>
      <c r="B543" s="25" t="s">
        <v>485</v>
      </c>
      <c r="C543" s="25"/>
      <c r="D543" s="75">
        <f t="shared" si="220"/>
        <v>46060</v>
      </c>
      <c r="E543" s="75">
        <f t="shared" si="221"/>
        <v>46044</v>
      </c>
      <c r="F543" s="75">
        <f t="shared" si="222"/>
        <v>46051</v>
      </c>
      <c r="G543" s="75">
        <f t="shared" si="223"/>
        <v>46057</v>
      </c>
      <c r="H543" s="75">
        <f t="shared" si="224"/>
        <v>46045</v>
      </c>
      <c r="I543" s="75">
        <f t="shared" si="225"/>
        <v>46052</v>
      </c>
      <c r="J543" s="75">
        <v>46067</v>
      </c>
      <c r="K543" s="76">
        <f t="shared" si="227"/>
        <v>30</v>
      </c>
      <c r="L543" s="82">
        <v>10.68</v>
      </c>
      <c r="M543" s="80">
        <v>9.33</v>
      </c>
      <c r="N543" s="25">
        <f t="shared" si="226"/>
        <v>1.3499999999999996</v>
      </c>
      <c r="O543" s="25" t="s">
        <v>545</v>
      </c>
    </row>
    <row r="544" spans="1:15" x14ac:dyDescent="0.25">
      <c r="A544" s="75">
        <v>46038</v>
      </c>
      <c r="B544" s="25" t="s">
        <v>311</v>
      </c>
      <c r="C544" s="25"/>
      <c r="D544" s="75">
        <f t="shared" si="220"/>
        <v>46061</v>
      </c>
      <c r="E544" s="75">
        <f t="shared" si="221"/>
        <v>46045</v>
      </c>
      <c r="F544" s="75">
        <f t="shared" si="222"/>
        <v>46052</v>
      </c>
      <c r="G544" s="75">
        <f t="shared" si="223"/>
        <v>46058</v>
      </c>
      <c r="H544" s="75">
        <f t="shared" si="224"/>
        <v>46046</v>
      </c>
      <c r="I544" s="75">
        <f t="shared" si="225"/>
        <v>46053</v>
      </c>
      <c r="J544" s="75">
        <v>46067</v>
      </c>
      <c r="K544" s="76">
        <f t="shared" si="227"/>
        <v>29</v>
      </c>
      <c r="L544" s="82">
        <v>12.02</v>
      </c>
      <c r="M544" s="80">
        <v>10.73</v>
      </c>
      <c r="N544" s="25">
        <f t="shared" si="226"/>
        <v>1.2899999999999991</v>
      </c>
      <c r="O544" s="25" t="s">
        <v>545</v>
      </c>
    </row>
    <row r="545" spans="1:15" x14ac:dyDescent="0.25">
      <c r="A545" s="75">
        <v>46038</v>
      </c>
      <c r="B545" s="25" t="s">
        <v>312</v>
      </c>
      <c r="C545" s="25"/>
      <c r="D545" s="75">
        <f t="shared" si="220"/>
        <v>46061</v>
      </c>
      <c r="E545" s="75">
        <f t="shared" si="221"/>
        <v>46045</v>
      </c>
      <c r="F545" s="75">
        <f t="shared" si="222"/>
        <v>46052</v>
      </c>
      <c r="G545" s="75">
        <f t="shared" si="223"/>
        <v>46058</v>
      </c>
      <c r="H545" s="75">
        <f t="shared" si="224"/>
        <v>46046</v>
      </c>
      <c r="I545" s="75">
        <f t="shared" si="225"/>
        <v>46053</v>
      </c>
      <c r="J545" s="75">
        <v>46067</v>
      </c>
      <c r="K545" s="76">
        <f t="shared" si="227"/>
        <v>29</v>
      </c>
      <c r="L545" s="82">
        <v>12.43</v>
      </c>
      <c r="M545" s="80">
        <v>11.15</v>
      </c>
      <c r="N545" s="25">
        <f t="shared" si="226"/>
        <v>1.2799999999999994</v>
      </c>
      <c r="O545" s="25" t="s">
        <v>545</v>
      </c>
    </row>
    <row r="546" spans="1:15" x14ac:dyDescent="0.25">
      <c r="A546" s="75">
        <v>46038</v>
      </c>
      <c r="B546" s="25" t="s">
        <v>313</v>
      </c>
      <c r="C546" s="25"/>
      <c r="D546" s="75">
        <f t="shared" ref="D546:D553" si="228">A546+23</f>
        <v>46061</v>
      </c>
      <c r="E546" s="75">
        <f t="shared" ref="E546:E553" si="229">A546+7</f>
        <v>46045</v>
      </c>
      <c r="F546" s="75">
        <f t="shared" ref="F546:F553" si="230">A546+14</f>
        <v>46052</v>
      </c>
      <c r="G546" s="75">
        <f t="shared" ref="G546:G553" si="231">A546+20</f>
        <v>46058</v>
      </c>
      <c r="H546" s="75">
        <f t="shared" ref="H546:H553" si="232">A546+8</f>
        <v>46046</v>
      </c>
      <c r="I546" s="75">
        <f t="shared" ref="I546:I553" si="233">A546+15</f>
        <v>46053</v>
      </c>
      <c r="J546" s="75">
        <v>46067</v>
      </c>
      <c r="K546" s="76">
        <f t="shared" si="227"/>
        <v>29</v>
      </c>
      <c r="L546" s="82">
        <v>12.91</v>
      </c>
      <c r="M546" s="80">
        <v>11.51</v>
      </c>
      <c r="N546" s="25">
        <f t="shared" si="226"/>
        <v>1.4000000000000004</v>
      </c>
      <c r="O546" s="25" t="s">
        <v>545</v>
      </c>
    </row>
    <row r="547" spans="1:15" x14ac:dyDescent="0.25">
      <c r="A547" s="75">
        <v>46038</v>
      </c>
      <c r="B547" s="25" t="s">
        <v>314</v>
      </c>
      <c r="C547" s="25"/>
      <c r="D547" s="75">
        <f t="shared" si="228"/>
        <v>46061</v>
      </c>
      <c r="E547" s="75">
        <f t="shared" si="229"/>
        <v>46045</v>
      </c>
      <c r="F547" s="75">
        <f t="shared" si="230"/>
        <v>46052</v>
      </c>
      <c r="G547" s="75">
        <f t="shared" si="231"/>
        <v>46058</v>
      </c>
      <c r="H547" s="75">
        <f t="shared" si="232"/>
        <v>46046</v>
      </c>
      <c r="I547" s="75">
        <f t="shared" si="233"/>
        <v>46053</v>
      </c>
      <c r="J547" s="75">
        <v>46067</v>
      </c>
      <c r="K547" s="76">
        <f t="shared" si="227"/>
        <v>29</v>
      </c>
      <c r="L547" s="82">
        <v>11.85</v>
      </c>
      <c r="M547" s="80">
        <v>10.82</v>
      </c>
      <c r="N547" s="25">
        <f t="shared" si="226"/>
        <v>1.0299999999999994</v>
      </c>
      <c r="O547" s="25" t="s">
        <v>545</v>
      </c>
    </row>
    <row r="548" spans="1:15" x14ac:dyDescent="0.25">
      <c r="A548" s="75">
        <v>46038</v>
      </c>
      <c r="B548" s="25" t="s">
        <v>315</v>
      </c>
      <c r="C548" s="25"/>
      <c r="D548" s="75">
        <f t="shared" si="228"/>
        <v>46061</v>
      </c>
      <c r="E548" s="75">
        <f t="shared" si="229"/>
        <v>46045</v>
      </c>
      <c r="F548" s="75">
        <f t="shared" si="230"/>
        <v>46052</v>
      </c>
      <c r="G548" s="75">
        <f t="shared" si="231"/>
        <v>46058</v>
      </c>
      <c r="H548" s="75">
        <f t="shared" si="232"/>
        <v>46046</v>
      </c>
      <c r="I548" s="75">
        <f t="shared" si="233"/>
        <v>46053</v>
      </c>
      <c r="J548" s="75">
        <v>46067</v>
      </c>
      <c r="K548" s="76">
        <f t="shared" si="227"/>
        <v>29</v>
      </c>
      <c r="L548" s="82">
        <v>11.57</v>
      </c>
      <c r="M548" s="80">
        <v>10.34</v>
      </c>
      <c r="N548" s="25">
        <f t="shared" si="226"/>
        <v>1.2300000000000004</v>
      </c>
      <c r="O548" s="25" t="s">
        <v>545</v>
      </c>
    </row>
    <row r="549" spans="1:15" x14ac:dyDescent="0.25">
      <c r="A549" s="75">
        <v>46038</v>
      </c>
      <c r="B549" s="25" t="s">
        <v>316</v>
      </c>
      <c r="C549" s="25"/>
      <c r="D549" s="75">
        <f t="shared" si="228"/>
        <v>46061</v>
      </c>
      <c r="E549" s="75">
        <f t="shared" si="229"/>
        <v>46045</v>
      </c>
      <c r="F549" s="75">
        <f t="shared" si="230"/>
        <v>46052</v>
      </c>
      <c r="G549" s="75">
        <f t="shared" si="231"/>
        <v>46058</v>
      </c>
      <c r="H549" s="75">
        <f t="shared" si="232"/>
        <v>46046</v>
      </c>
      <c r="I549" s="75">
        <f t="shared" si="233"/>
        <v>46053</v>
      </c>
      <c r="J549" s="75">
        <v>46067</v>
      </c>
      <c r="K549" s="76">
        <f t="shared" si="227"/>
        <v>29</v>
      </c>
      <c r="L549" s="82">
        <v>12.49</v>
      </c>
      <c r="M549" s="80">
        <v>11.22</v>
      </c>
      <c r="N549" s="25">
        <f t="shared" si="226"/>
        <v>1.2699999999999996</v>
      </c>
      <c r="O549" s="25" t="s">
        <v>545</v>
      </c>
    </row>
    <row r="550" spans="1:15" x14ac:dyDescent="0.25">
      <c r="A550" s="75">
        <v>46038</v>
      </c>
      <c r="B550" s="25" t="s">
        <v>317</v>
      </c>
      <c r="C550" s="25"/>
      <c r="D550" s="75">
        <f t="shared" si="228"/>
        <v>46061</v>
      </c>
      <c r="E550" s="75">
        <f t="shared" si="229"/>
        <v>46045</v>
      </c>
      <c r="F550" s="75">
        <f t="shared" si="230"/>
        <v>46052</v>
      </c>
      <c r="G550" s="75">
        <f t="shared" si="231"/>
        <v>46058</v>
      </c>
      <c r="H550" s="75">
        <f t="shared" si="232"/>
        <v>46046</v>
      </c>
      <c r="I550" s="75">
        <f t="shared" si="233"/>
        <v>46053</v>
      </c>
      <c r="J550" s="75">
        <v>46068</v>
      </c>
      <c r="K550" s="76">
        <f t="shared" si="227"/>
        <v>30</v>
      </c>
      <c r="L550" s="82">
        <v>15.87</v>
      </c>
      <c r="M550" s="80">
        <v>14.43</v>
      </c>
      <c r="N550" s="25">
        <f t="shared" ref="N550:N557" si="234">L550-M550</f>
        <v>1.4399999999999995</v>
      </c>
      <c r="O550" s="25" t="s">
        <v>545</v>
      </c>
    </row>
    <row r="551" spans="1:15" x14ac:dyDescent="0.25">
      <c r="A551" s="75">
        <v>46039</v>
      </c>
      <c r="B551" s="25" t="s">
        <v>331</v>
      </c>
      <c r="C551" s="25"/>
      <c r="D551" s="75">
        <f t="shared" si="228"/>
        <v>46062</v>
      </c>
      <c r="E551" s="75">
        <f t="shared" si="229"/>
        <v>46046</v>
      </c>
      <c r="F551" s="75">
        <f t="shared" si="230"/>
        <v>46053</v>
      </c>
      <c r="G551" s="75">
        <f t="shared" si="231"/>
        <v>46059</v>
      </c>
      <c r="H551" s="75">
        <f t="shared" si="232"/>
        <v>46047</v>
      </c>
      <c r="I551" s="75">
        <f t="shared" si="233"/>
        <v>46054</v>
      </c>
      <c r="J551" s="75">
        <v>46068</v>
      </c>
      <c r="K551" s="76">
        <f t="shared" ref="K551:K558" si="235">J551-A551</f>
        <v>29</v>
      </c>
      <c r="L551" s="82">
        <v>15.49</v>
      </c>
      <c r="M551" s="80">
        <v>14.92</v>
      </c>
      <c r="N551" s="25">
        <f t="shared" si="234"/>
        <v>0.57000000000000028</v>
      </c>
      <c r="O551" s="25" t="s">
        <v>545</v>
      </c>
    </row>
    <row r="552" spans="1:15" x14ac:dyDescent="0.25">
      <c r="A552" s="75">
        <v>46039</v>
      </c>
      <c r="B552" s="25" t="s">
        <v>332</v>
      </c>
      <c r="C552" s="25"/>
      <c r="D552" s="75">
        <f t="shared" si="228"/>
        <v>46062</v>
      </c>
      <c r="E552" s="75">
        <f t="shared" si="229"/>
        <v>46046</v>
      </c>
      <c r="F552" s="75">
        <f t="shared" si="230"/>
        <v>46053</v>
      </c>
      <c r="G552" s="75">
        <f t="shared" si="231"/>
        <v>46059</v>
      </c>
      <c r="H552" s="75">
        <f t="shared" si="232"/>
        <v>46047</v>
      </c>
      <c r="I552" s="75">
        <f t="shared" si="233"/>
        <v>46054</v>
      </c>
      <c r="J552" s="75">
        <v>46068</v>
      </c>
      <c r="K552" s="76">
        <f t="shared" si="235"/>
        <v>29</v>
      </c>
      <c r="L552" s="82">
        <v>16.36</v>
      </c>
      <c r="M552" s="80">
        <v>15.23</v>
      </c>
      <c r="N552" s="25">
        <f t="shared" si="234"/>
        <v>1.129999999999999</v>
      </c>
      <c r="O552" s="25" t="s">
        <v>545</v>
      </c>
    </row>
    <row r="553" spans="1:15" x14ac:dyDescent="0.25">
      <c r="A553" s="75">
        <v>46039</v>
      </c>
      <c r="B553" s="25" t="s">
        <v>333</v>
      </c>
      <c r="C553" s="25"/>
      <c r="D553" s="75">
        <f t="shared" si="228"/>
        <v>46062</v>
      </c>
      <c r="E553" s="75">
        <f t="shared" si="229"/>
        <v>46046</v>
      </c>
      <c r="F553" s="75">
        <f t="shared" si="230"/>
        <v>46053</v>
      </c>
      <c r="G553" s="75">
        <f t="shared" si="231"/>
        <v>46059</v>
      </c>
      <c r="H553" s="75">
        <f t="shared" si="232"/>
        <v>46047</v>
      </c>
      <c r="I553" s="75">
        <f t="shared" si="233"/>
        <v>46054</v>
      </c>
      <c r="J553" s="75">
        <v>46068</v>
      </c>
      <c r="K553" s="76">
        <f t="shared" si="235"/>
        <v>29</v>
      </c>
      <c r="L553" s="82">
        <v>15.31</v>
      </c>
      <c r="M553" s="80">
        <v>14.73</v>
      </c>
      <c r="N553" s="25">
        <f t="shared" si="234"/>
        <v>0.58000000000000007</v>
      </c>
      <c r="O553" s="25" t="s">
        <v>545</v>
      </c>
    </row>
    <row r="554" spans="1:15" x14ac:dyDescent="0.25">
      <c r="A554" s="75">
        <v>46039</v>
      </c>
      <c r="B554" s="25" t="s">
        <v>334</v>
      </c>
      <c r="C554" s="25"/>
      <c r="D554" s="75">
        <f>A554+23</f>
        <v>46062</v>
      </c>
      <c r="E554" s="75">
        <f>A554+7</f>
        <v>46046</v>
      </c>
      <c r="F554" s="75">
        <f>A554+14</f>
        <v>46053</v>
      </c>
      <c r="G554" s="75">
        <f>A554+20</f>
        <v>46059</v>
      </c>
      <c r="H554" s="75">
        <f>A554+8</f>
        <v>46047</v>
      </c>
      <c r="I554" s="75">
        <f>A554+15</f>
        <v>46054</v>
      </c>
      <c r="J554" s="75">
        <v>46068</v>
      </c>
      <c r="K554" s="76">
        <f t="shared" si="235"/>
        <v>29</v>
      </c>
      <c r="L554" s="82">
        <v>15.1</v>
      </c>
      <c r="M554" s="80">
        <v>14.1</v>
      </c>
      <c r="N554" s="25">
        <f t="shared" si="234"/>
        <v>1</v>
      </c>
      <c r="O554" s="25" t="s">
        <v>545</v>
      </c>
    </row>
    <row r="555" spans="1:15" x14ac:dyDescent="0.25">
      <c r="A555" s="75">
        <v>46039</v>
      </c>
      <c r="B555" s="25" t="s">
        <v>335</v>
      </c>
      <c r="C555" s="25"/>
      <c r="D555" s="75">
        <f>A555+23</f>
        <v>46062</v>
      </c>
      <c r="E555" s="75">
        <f>A555+7</f>
        <v>46046</v>
      </c>
      <c r="F555" s="75">
        <f>A555+14</f>
        <v>46053</v>
      </c>
      <c r="G555" s="75">
        <f>A555+20</f>
        <v>46059</v>
      </c>
      <c r="H555" s="75">
        <f>A555+8</f>
        <v>46047</v>
      </c>
      <c r="I555" s="75">
        <f>A555+15</f>
        <v>46054</v>
      </c>
      <c r="J555" s="75">
        <v>46068</v>
      </c>
      <c r="K555" s="76">
        <f t="shared" si="235"/>
        <v>29</v>
      </c>
      <c r="L555" s="82">
        <v>16.87</v>
      </c>
      <c r="M555" s="80">
        <v>15.74</v>
      </c>
      <c r="N555" s="25">
        <f t="shared" si="234"/>
        <v>1.1300000000000008</v>
      </c>
      <c r="O555" s="25" t="s">
        <v>545</v>
      </c>
    </row>
    <row r="556" spans="1:15" x14ac:dyDescent="0.25">
      <c r="A556" s="75">
        <v>46039</v>
      </c>
      <c r="B556" s="25" t="s">
        <v>336</v>
      </c>
      <c r="C556" s="25"/>
      <c r="D556" s="75">
        <f>A556+23</f>
        <v>46062</v>
      </c>
      <c r="E556" s="75">
        <f>A556+7</f>
        <v>46046</v>
      </c>
      <c r="F556" s="75">
        <f>A556+14</f>
        <v>46053</v>
      </c>
      <c r="G556" s="75">
        <f>A556+20</f>
        <v>46059</v>
      </c>
      <c r="H556" s="75">
        <f>A556+8</f>
        <v>46047</v>
      </c>
      <c r="I556" s="75">
        <f>A556+15</f>
        <v>46054</v>
      </c>
      <c r="J556" s="75">
        <v>46068</v>
      </c>
      <c r="K556" s="76">
        <f t="shared" si="235"/>
        <v>29</v>
      </c>
      <c r="L556" s="82">
        <v>15.35</v>
      </c>
      <c r="M556" s="80">
        <v>14.81</v>
      </c>
      <c r="N556" s="25">
        <f t="shared" si="234"/>
        <v>0.53999999999999915</v>
      </c>
      <c r="O556" s="25" t="s">
        <v>545</v>
      </c>
    </row>
    <row r="557" spans="1:15" x14ac:dyDescent="0.25">
      <c r="A557" s="75">
        <v>46039</v>
      </c>
      <c r="B557" s="25" t="s">
        <v>337</v>
      </c>
      <c r="C557" s="25"/>
      <c r="D557" s="75">
        <f>A557+23</f>
        <v>46062</v>
      </c>
      <c r="E557" s="75">
        <f>A557+7</f>
        <v>46046</v>
      </c>
      <c r="F557" s="75">
        <f>A557+14</f>
        <v>46053</v>
      </c>
      <c r="G557" s="75">
        <f>A557+20</f>
        <v>46059</v>
      </c>
      <c r="H557" s="75">
        <f>A557+8</f>
        <v>46047</v>
      </c>
      <c r="I557" s="75">
        <f>A557+15</f>
        <v>46054</v>
      </c>
      <c r="J557" s="75">
        <v>46068</v>
      </c>
      <c r="K557" s="76">
        <f t="shared" si="235"/>
        <v>29</v>
      </c>
      <c r="L557" s="82">
        <v>16.98</v>
      </c>
      <c r="M557" s="80">
        <v>15.93</v>
      </c>
      <c r="N557" s="25">
        <f t="shared" si="234"/>
        <v>1.0500000000000007</v>
      </c>
      <c r="O557" s="25" t="s">
        <v>545</v>
      </c>
    </row>
    <row r="558" spans="1:15" x14ac:dyDescent="0.25">
      <c r="A558" s="75">
        <v>46040</v>
      </c>
      <c r="B558" s="25" t="s">
        <v>318</v>
      </c>
      <c r="C558" s="25"/>
      <c r="D558" s="75">
        <f>A558+23</f>
        <v>46063</v>
      </c>
      <c r="E558" s="75">
        <f>A558+7</f>
        <v>46047</v>
      </c>
      <c r="F558" s="75">
        <f>A558+14</f>
        <v>46054</v>
      </c>
      <c r="G558" s="75">
        <f>A558+20</f>
        <v>46060</v>
      </c>
      <c r="H558" s="75">
        <f>A558+8</f>
        <v>46048</v>
      </c>
      <c r="I558" s="75">
        <f>A558+15</f>
        <v>46055</v>
      </c>
      <c r="J558" s="75">
        <v>46069</v>
      </c>
      <c r="K558" s="76">
        <f t="shared" si="235"/>
        <v>29</v>
      </c>
      <c r="L558" s="82">
        <v>11.84</v>
      </c>
      <c r="M558" s="80">
        <v>10.73</v>
      </c>
      <c r="N558" s="25">
        <f t="shared" ref="N558:N571" si="236">L558-M558</f>
        <v>1.1099999999999994</v>
      </c>
      <c r="O558" s="25" t="s">
        <v>545</v>
      </c>
    </row>
    <row r="559" spans="1:15" x14ac:dyDescent="0.25">
      <c r="A559" s="75">
        <v>46040</v>
      </c>
      <c r="B559" s="25" t="s">
        <v>319</v>
      </c>
      <c r="C559" s="25"/>
      <c r="D559" s="75">
        <f t="shared" ref="D559:D566" si="237">A559+23</f>
        <v>46063</v>
      </c>
      <c r="E559" s="75">
        <f t="shared" ref="E559:E566" si="238">A559+7</f>
        <v>46047</v>
      </c>
      <c r="F559" s="75">
        <f t="shared" ref="F559:F566" si="239">A559+14</f>
        <v>46054</v>
      </c>
      <c r="G559" s="75">
        <f t="shared" ref="G559:G566" si="240">A559+20</f>
        <v>46060</v>
      </c>
      <c r="H559" s="75">
        <f t="shared" ref="H559:H566" si="241">A559+8</f>
        <v>46048</v>
      </c>
      <c r="I559" s="75">
        <f t="shared" ref="I559:I566" si="242">A559+15</f>
        <v>46055</v>
      </c>
      <c r="J559" s="75">
        <v>46069</v>
      </c>
      <c r="K559" s="76">
        <f t="shared" ref="K559:K616" si="243">J559-A559</f>
        <v>29</v>
      </c>
      <c r="L559" s="82">
        <v>12.51</v>
      </c>
      <c r="M559" s="80">
        <v>11.28</v>
      </c>
      <c r="N559" s="25">
        <f t="shared" si="236"/>
        <v>1.2300000000000004</v>
      </c>
      <c r="O559" s="25" t="s">
        <v>545</v>
      </c>
    </row>
    <row r="560" spans="1:15" x14ac:dyDescent="0.25">
      <c r="A560" s="75">
        <v>46040</v>
      </c>
      <c r="B560" s="25" t="s">
        <v>320</v>
      </c>
      <c r="C560" s="25"/>
      <c r="D560" s="75">
        <f t="shared" si="237"/>
        <v>46063</v>
      </c>
      <c r="E560" s="75">
        <f t="shared" si="238"/>
        <v>46047</v>
      </c>
      <c r="F560" s="75">
        <f t="shared" si="239"/>
        <v>46054</v>
      </c>
      <c r="G560" s="75">
        <f t="shared" si="240"/>
        <v>46060</v>
      </c>
      <c r="H560" s="75">
        <f t="shared" si="241"/>
        <v>46048</v>
      </c>
      <c r="I560" s="75">
        <f t="shared" si="242"/>
        <v>46055</v>
      </c>
      <c r="J560" s="75">
        <v>46069</v>
      </c>
      <c r="K560" s="76">
        <f t="shared" si="243"/>
        <v>29</v>
      </c>
      <c r="L560" s="82">
        <v>12.73</v>
      </c>
      <c r="M560" s="80">
        <v>11.54</v>
      </c>
      <c r="N560" s="25">
        <f t="shared" si="236"/>
        <v>1.1900000000000013</v>
      </c>
      <c r="O560" s="25" t="s">
        <v>545</v>
      </c>
    </row>
    <row r="561" spans="1:15" x14ac:dyDescent="0.25">
      <c r="A561" s="75">
        <v>46040</v>
      </c>
      <c r="B561" s="25" t="s">
        <v>321</v>
      </c>
      <c r="C561" s="25"/>
      <c r="D561" s="75">
        <f t="shared" si="237"/>
        <v>46063</v>
      </c>
      <c r="E561" s="75">
        <f t="shared" si="238"/>
        <v>46047</v>
      </c>
      <c r="F561" s="75">
        <f t="shared" si="239"/>
        <v>46054</v>
      </c>
      <c r="G561" s="75">
        <f t="shared" si="240"/>
        <v>46060</v>
      </c>
      <c r="H561" s="75">
        <f t="shared" si="241"/>
        <v>46048</v>
      </c>
      <c r="I561" s="75">
        <f t="shared" si="242"/>
        <v>46055</v>
      </c>
      <c r="J561" s="75">
        <v>46069</v>
      </c>
      <c r="K561" s="76">
        <f t="shared" si="243"/>
        <v>29</v>
      </c>
      <c r="L561" s="82">
        <v>11.68</v>
      </c>
      <c r="M561" s="80">
        <v>10.7</v>
      </c>
      <c r="N561" s="25">
        <f t="shared" si="236"/>
        <v>0.98000000000000043</v>
      </c>
      <c r="O561" s="25" t="s">
        <v>545</v>
      </c>
    </row>
    <row r="562" spans="1:15" x14ac:dyDescent="0.25">
      <c r="A562" s="75">
        <v>46040</v>
      </c>
      <c r="B562" s="25" t="s">
        <v>322</v>
      </c>
      <c r="C562" s="25"/>
      <c r="D562" s="75">
        <f t="shared" si="237"/>
        <v>46063</v>
      </c>
      <c r="E562" s="75">
        <f t="shared" si="238"/>
        <v>46047</v>
      </c>
      <c r="F562" s="75">
        <f t="shared" si="239"/>
        <v>46054</v>
      </c>
      <c r="G562" s="75">
        <f t="shared" si="240"/>
        <v>46060</v>
      </c>
      <c r="H562" s="75">
        <f t="shared" si="241"/>
        <v>46048</v>
      </c>
      <c r="I562" s="75">
        <f t="shared" si="242"/>
        <v>46055</v>
      </c>
      <c r="J562" s="75">
        <v>46069</v>
      </c>
      <c r="K562" s="76">
        <f t="shared" si="243"/>
        <v>29</v>
      </c>
      <c r="L562" s="82">
        <v>13.39</v>
      </c>
      <c r="M562" s="80">
        <v>12.1</v>
      </c>
      <c r="N562" s="25">
        <f t="shared" si="236"/>
        <v>1.2900000000000009</v>
      </c>
      <c r="O562" s="25" t="s">
        <v>545</v>
      </c>
    </row>
    <row r="563" spans="1:15" x14ac:dyDescent="0.25">
      <c r="A563" s="75">
        <v>46040</v>
      </c>
      <c r="B563" s="25" t="s">
        <v>323</v>
      </c>
      <c r="C563" s="25"/>
      <c r="D563" s="75">
        <f t="shared" si="237"/>
        <v>46063</v>
      </c>
      <c r="E563" s="75">
        <f t="shared" si="238"/>
        <v>46047</v>
      </c>
      <c r="F563" s="75">
        <f t="shared" si="239"/>
        <v>46054</v>
      </c>
      <c r="G563" s="75">
        <f t="shared" si="240"/>
        <v>46060</v>
      </c>
      <c r="H563" s="75">
        <f t="shared" si="241"/>
        <v>46048</v>
      </c>
      <c r="I563" s="75">
        <f t="shared" si="242"/>
        <v>46055</v>
      </c>
      <c r="J563" s="75">
        <v>46069</v>
      </c>
      <c r="K563" s="76">
        <f t="shared" si="243"/>
        <v>29</v>
      </c>
      <c r="L563" s="82">
        <v>13.46</v>
      </c>
      <c r="M563" s="80">
        <v>12.15</v>
      </c>
      <c r="N563" s="25">
        <f t="shared" si="236"/>
        <v>1.3100000000000005</v>
      </c>
      <c r="O563" s="25" t="s">
        <v>545</v>
      </c>
    </row>
    <row r="564" spans="1:15" x14ac:dyDescent="0.25">
      <c r="A564" s="75">
        <v>46040</v>
      </c>
      <c r="B564" s="25" t="s">
        <v>324</v>
      </c>
      <c r="C564" s="25"/>
      <c r="D564" s="75">
        <f t="shared" si="237"/>
        <v>46063</v>
      </c>
      <c r="E564" s="75">
        <f t="shared" si="238"/>
        <v>46047</v>
      </c>
      <c r="F564" s="75">
        <f t="shared" si="239"/>
        <v>46054</v>
      </c>
      <c r="G564" s="75">
        <f t="shared" si="240"/>
        <v>46060</v>
      </c>
      <c r="H564" s="75">
        <f t="shared" si="241"/>
        <v>46048</v>
      </c>
      <c r="I564" s="75">
        <f t="shared" si="242"/>
        <v>46055</v>
      </c>
      <c r="J564" s="75">
        <v>46069</v>
      </c>
      <c r="K564" s="76">
        <f t="shared" si="243"/>
        <v>29</v>
      </c>
      <c r="L564" s="82">
        <v>11.53</v>
      </c>
      <c r="M564" s="80">
        <v>10.84</v>
      </c>
      <c r="N564" s="25">
        <f t="shared" si="236"/>
        <v>0.6899999999999995</v>
      </c>
      <c r="O564" s="25" t="s">
        <v>545</v>
      </c>
    </row>
    <row r="565" spans="1:15" x14ac:dyDescent="0.25">
      <c r="A565" s="75">
        <v>46041</v>
      </c>
      <c r="B565" s="25" t="s">
        <v>338</v>
      </c>
      <c r="C565" s="25"/>
      <c r="D565" s="75">
        <f t="shared" si="237"/>
        <v>46064</v>
      </c>
      <c r="E565" s="75">
        <f t="shared" si="238"/>
        <v>46048</v>
      </c>
      <c r="F565" s="75">
        <f t="shared" si="239"/>
        <v>46055</v>
      </c>
      <c r="G565" s="75">
        <f t="shared" si="240"/>
        <v>46061</v>
      </c>
      <c r="H565" s="75">
        <f t="shared" si="241"/>
        <v>46049</v>
      </c>
      <c r="I565" s="75">
        <f t="shared" si="242"/>
        <v>46056</v>
      </c>
      <c r="J565" s="75">
        <v>46070</v>
      </c>
      <c r="K565" s="76">
        <f t="shared" si="243"/>
        <v>29</v>
      </c>
      <c r="L565" s="82">
        <v>15.87</v>
      </c>
      <c r="M565" s="80">
        <v>14.56</v>
      </c>
      <c r="N565" s="25">
        <f t="shared" si="236"/>
        <v>1.3099999999999987</v>
      </c>
      <c r="O565" s="25" t="s">
        <v>545</v>
      </c>
    </row>
    <row r="566" spans="1:15" x14ac:dyDescent="0.25">
      <c r="A566" s="75">
        <v>46041</v>
      </c>
      <c r="B566" s="25" t="s">
        <v>339</v>
      </c>
      <c r="C566" s="25"/>
      <c r="D566" s="75">
        <f t="shared" si="237"/>
        <v>46064</v>
      </c>
      <c r="E566" s="75">
        <f t="shared" si="238"/>
        <v>46048</v>
      </c>
      <c r="F566" s="75">
        <f t="shared" si="239"/>
        <v>46055</v>
      </c>
      <c r="G566" s="75">
        <f t="shared" si="240"/>
        <v>46061</v>
      </c>
      <c r="H566" s="75">
        <f t="shared" si="241"/>
        <v>46049</v>
      </c>
      <c r="I566" s="75">
        <f t="shared" si="242"/>
        <v>46056</v>
      </c>
      <c r="J566" s="75">
        <v>46070</v>
      </c>
      <c r="K566" s="76">
        <f t="shared" si="243"/>
        <v>29</v>
      </c>
      <c r="L566" s="82">
        <v>14.31</v>
      </c>
      <c r="M566" s="80">
        <v>13.28</v>
      </c>
      <c r="N566" s="25">
        <f t="shared" si="236"/>
        <v>1.0300000000000011</v>
      </c>
      <c r="O566" s="25" t="s">
        <v>545</v>
      </c>
    </row>
    <row r="567" spans="1:15" x14ac:dyDescent="0.25">
      <c r="A567" s="75">
        <v>46041</v>
      </c>
      <c r="B567" s="25" t="s">
        <v>340</v>
      </c>
      <c r="C567" s="25"/>
      <c r="D567" s="75">
        <f t="shared" ref="D567:D574" si="244">A567+23</f>
        <v>46064</v>
      </c>
      <c r="E567" s="75">
        <f t="shared" ref="E567:E574" si="245">A567+7</f>
        <v>46048</v>
      </c>
      <c r="F567" s="75">
        <f t="shared" ref="F567:F574" si="246">A567+14</f>
        <v>46055</v>
      </c>
      <c r="G567" s="75">
        <f t="shared" ref="G567:G574" si="247">A567+20</f>
        <v>46061</v>
      </c>
      <c r="H567" s="75">
        <f t="shared" ref="H567:H574" si="248">A567+8</f>
        <v>46049</v>
      </c>
      <c r="I567" s="75">
        <f t="shared" ref="I567:I574" si="249">A567+15</f>
        <v>46056</v>
      </c>
      <c r="J567" s="75">
        <v>46070</v>
      </c>
      <c r="K567" s="76">
        <f t="shared" si="243"/>
        <v>29</v>
      </c>
      <c r="L567" s="82">
        <v>15.29</v>
      </c>
      <c r="M567" s="80">
        <v>14.1</v>
      </c>
      <c r="N567" s="25">
        <f t="shared" si="236"/>
        <v>1.1899999999999995</v>
      </c>
      <c r="O567" s="25" t="s">
        <v>545</v>
      </c>
    </row>
    <row r="568" spans="1:15" x14ac:dyDescent="0.25">
      <c r="A568" s="75">
        <v>46041</v>
      </c>
      <c r="B568" s="25" t="s">
        <v>341</v>
      </c>
      <c r="C568" s="25"/>
      <c r="D568" s="75">
        <f t="shared" si="244"/>
        <v>46064</v>
      </c>
      <c r="E568" s="75">
        <f t="shared" si="245"/>
        <v>46048</v>
      </c>
      <c r="F568" s="75">
        <f t="shared" si="246"/>
        <v>46055</v>
      </c>
      <c r="G568" s="75">
        <f t="shared" si="247"/>
        <v>46061</v>
      </c>
      <c r="H568" s="75">
        <f t="shared" si="248"/>
        <v>46049</v>
      </c>
      <c r="I568" s="75">
        <f t="shared" si="249"/>
        <v>46056</v>
      </c>
      <c r="J568" s="75">
        <v>46070</v>
      </c>
      <c r="K568" s="76">
        <f t="shared" si="243"/>
        <v>29</v>
      </c>
      <c r="L568" s="82">
        <v>14.73</v>
      </c>
      <c r="M568" s="80">
        <v>13.66</v>
      </c>
      <c r="N568" s="25">
        <f t="shared" si="236"/>
        <v>1.0700000000000003</v>
      </c>
      <c r="O568" s="25" t="s">
        <v>545</v>
      </c>
    </row>
    <row r="569" spans="1:15" x14ac:dyDescent="0.25">
      <c r="A569" s="75">
        <v>46041</v>
      </c>
      <c r="B569" s="25" t="s">
        <v>342</v>
      </c>
      <c r="C569" s="25"/>
      <c r="D569" s="75">
        <f t="shared" si="244"/>
        <v>46064</v>
      </c>
      <c r="E569" s="75">
        <f t="shared" si="245"/>
        <v>46048</v>
      </c>
      <c r="F569" s="75">
        <f t="shared" si="246"/>
        <v>46055</v>
      </c>
      <c r="G569" s="75">
        <f t="shared" si="247"/>
        <v>46061</v>
      </c>
      <c r="H569" s="75">
        <f t="shared" si="248"/>
        <v>46049</v>
      </c>
      <c r="I569" s="75">
        <f t="shared" si="249"/>
        <v>46056</v>
      </c>
      <c r="J569" s="75">
        <v>46070</v>
      </c>
      <c r="K569" s="76">
        <f t="shared" si="243"/>
        <v>29</v>
      </c>
      <c r="L569" s="82">
        <v>14.95</v>
      </c>
      <c r="M569" s="80">
        <v>13.78</v>
      </c>
      <c r="N569" s="25">
        <f t="shared" si="236"/>
        <v>1.17</v>
      </c>
      <c r="O569" s="25" t="s">
        <v>545</v>
      </c>
    </row>
    <row r="570" spans="1:15" x14ac:dyDescent="0.25">
      <c r="A570" s="75">
        <v>46041</v>
      </c>
      <c r="B570" s="25" t="s">
        <v>343</v>
      </c>
      <c r="C570" s="25"/>
      <c r="D570" s="75">
        <f t="shared" si="244"/>
        <v>46064</v>
      </c>
      <c r="E570" s="75">
        <f t="shared" si="245"/>
        <v>46048</v>
      </c>
      <c r="F570" s="75">
        <f t="shared" si="246"/>
        <v>46055</v>
      </c>
      <c r="G570" s="75">
        <f t="shared" si="247"/>
        <v>46061</v>
      </c>
      <c r="H570" s="75">
        <f t="shared" si="248"/>
        <v>46049</v>
      </c>
      <c r="I570" s="75">
        <f t="shared" si="249"/>
        <v>46056</v>
      </c>
      <c r="J570" s="75">
        <v>46070</v>
      </c>
      <c r="K570" s="76">
        <f t="shared" si="243"/>
        <v>29</v>
      </c>
      <c r="L570" s="82">
        <v>16.559999999999999</v>
      </c>
      <c r="M570" s="80">
        <v>15.22</v>
      </c>
      <c r="N570" s="25">
        <f t="shared" si="236"/>
        <v>1.3399999999999981</v>
      </c>
      <c r="O570" s="25" t="s">
        <v>545</v>
      </c>
    </row>
    <row r="571" spans="1:15" x14ac:dyDescent="0.25">
      <c r="A571" s="75">
        <v>46041</v>
      </c>
      <c r="B571" s="25" t="s">
        <v>344</v>
      </c>
      <c r="C571" s="25"/>
      <c r="D571" s="75">
        <f t="shared" si="244"/>
        <v>46064</v>
      </c>
      <c r="E571" s="75">
        <f t="shared" si="245"/>
        <v>46048</v>
      </c>
      <c r="F571" s="75">
        <f t="shared" si="246"/>
        <v>46055</v>
      </c>
      <c r="G571" s="75">
        <f t="shared" si="247"/>
        <v>46061</v>
      </c>
      <c r="H571" s="75">
        <f t="shared" si="248"/>
        <v>46049</v>
      </c>
      <c r="I571" s="75">
        <f t="shared" si="249"/>
        <v>46056</v>
      </c>
      <c r="J571" s="75">
        <v>46069</v>
      </c>
      <c r="K571" s="76">
        <f t="shared" si="243"/>
        <v>28</v>
      </c>
      <c r="L571" s="82">
        <v>13.77</v>
      </c>
      <c r="M571" s="80">
        <v>12.37</v>
      </c>
      <c r="N571" s="25">
        <f t="shared" si="236"/>
        <v>1.4000000000000004</v>
      </c>
      <c r="O571" s="25" t="s">
        <v>545</v>
      </c>
    </row>
    <row r="572" spans="1:15" x14ac:dyDescent="0.25">
      <c r="A572" s="75">
        <v>46042</v>
      </c>
      <c r="B572" s="25" t="s">
        <v>325</v>
      </c>
      <c r="C572" s="25"/>
      <c r="D572" s="75">
        <f t="shared" si="244"/>
        <v>46065</v>
      </c>
      <c r="E572" s="75">
        <f t="shared" si="245"/>
        <v>46049</v>
      </c>
      <c r="F572" s="75">
        <f t="shared" si="246"/>
        <v>46056</v>
      </c>
      <c r="G572" s="75">
        <f t="shared" si="247"/>
        <v>46062</v>
      </c>
      <c r="H572" s="75">
        <f t="shared" si="248"/>
        <v>46050</v>
      </c>
      <c r="I572" s="75">
        <f t="shared" si="249"/>
        <v>46057</v>
      </c>
      <c r="J572" s="75">
        <v>46071</v>
      </c>
      <c r="K572" s="76">
        <f t="shared" si="243"/>
        <v>29</v>
      </c>
      <c r="L572" s="82">
        <v>16.28</v>
      </c>
      <c r="M572" s="80">
        <v>14.81</v>
      </c>
      <c r="N572" s="25">
        <f t="shared" ref="N572:N616" si="250">L572-M572</f>
        <v>1.4700000000000006</v>
      </c>
      <c r="O572" s="25" t="s">
        <v>545</v>
      </c>
    </row>
    <row r="573" spans="1:15" x14ac:dyDescent="0.25">
      <c r="A573" s="75">
        <v>46042</v>
      </c>
      <c r="B573" s="25" t="s">
        <v>326</v>
      </c>
      <c r="C573" s="25"/>
      <c r="D573" s="75">
        <f t="shared" si="244"/>
        <v>46065</v>
      </c>
      <c r="E573" s="75">
        <f t="shared" si="245"/>
        <v>46049</v>
      </c>
      <c r="F573" s="75">
        <f t="shared" si="246"/>
        <v>46056</v>
      </c>
      <c r="G573" s="75">
        <f t="shared" si="247"/>
        <v>46062</v>
      </c>
      <c r="H573" s="75">
        <f t="shared" si="248"/>
        <v>46050</v>
      </c>
      <c r="I573" s="75">
        <f t="shared" si="249"/>
        <v>46057</v>
      </c>
      <c r="J573" s="75">
        <v>46071</v>
      </c>
      <c r="K573" s="76">
        <f t="shared" si="243"/>
        <v>29</v>
      </c>
      <c r="L573" s="82">
        <v>16.100000000000001</v>
      </c>
      <c r="M573" s="80">
        <v>15.24</v>
      </c>
      <c r="N573" s="25">
        <f t="shared" si="250"/>
        <v>0.86000000000000121</v>
      </c>
      <c r="O573" s="25" t="s">
        <v>545</v>
      </c>
    </row>
    <row r="574" spans="1:15" x14ac:dyDescent="0.25">
      <c r="A574" s="75">
        <v>46042</v>
      </c>
      <c r="B574" s="25" t="s">
        <v>327</v>
      </c>
      <c r="C574" s="25"/>
      <c r="D574" s="75">
        <f t="shared" si="244"/>
        <v>46065</v>
      </c>
      <c r="E574" s="75">
        <f t="shared" si="245"/>
        <v>46049</v>
      </c>
      <c r="F574" s="75">
        <f t="shared" si="246"/>
        <v>46056</v>
      </c>
      <c r="G574" s="75">
        <f t="shared" si="247"/>
        <v>46062</v>
      </c>
      <c r="H574" s="75">
        <f t="shared" si="248"/>
        <v>46050</v>
      </c>
      <c r="I574" s="75">
        <f t="shared" si="249"/>
        <v>46057</v>
      </c>
      <c r="J574" s="75">
        <v>46071</v>
      </c>
      <c r="K574" s="76">
        <f t="shared" si="243"/>
        <v>29</v>
      </c>
      <c r="L574" s="82">
        <v>17.25</v>
      </c>
      <c r="M574" s="80">
        <v>15.63</v>
      </c>
      <c r="N574" s="25">
        <f t="shared" si="250"/>
        <v>1.6199999999999992</v>
      </c>
      <c r="O574" s="25" t="s">
        <v>545</v>
      </c>
    </row>
    <row r="575" spans="1:15" x14ac:dyDescent="0.25">
      <c r="A575" s="75">
        <v>46042</v>
      </c>
      <c r="B575" s="25" t="s">
        <v>328</v>
      </c>
      <c r="C575" s="25"/>
      <c r="D575" s="75">
        <f t="shared" ref="D575:D627" si="251">A575+23</f>
        <v>46065</v>
      </c>
      <c r="E575" s="75">
        <f t="shared" ref="E575:E627" si="252">A575+7</f>
        <v>46049</v>
      </c>
      <c r="F575" s="75">
        <f t="shared" ref="F575:F627" si="253">A575+14</f>
        <v>46056</v>
      </c>
      <c r="G575" s="75">
        <f t="shared" ref="G575:G627" si="254">A575+20</f>
        <v>46062</v>
      </c>
      <c r="H575" s="75">
        <f t="shared" ref="H575:H627" si="255">A575+8</f>
        <v>46050</v>
      </c>
      <c r="I575" s="75">
        <f t="shared" ref="I575:I627" si="256">A575+15</f>
        <v>46057</v>
      </c>
      <c r="J575" s="75">
        <v>46071</v>
      </c>
      <c r="K575" s="76">
        <f t="shared" si="243"/>
        <v>29</v>
      </c>
      <c r="L575" s="82">
        <v>15.93</v>
      </c>
      <c r="M575" s="80">
        <v>14.28</v>
      </c>
      <c r="N575" s="25">
        <f t="shared" si="250"/>
        <v>1.6500000000000004</v>
      </c>
      <c r="O575" s="25" t="s">
        <v>545</v>
      </c>
    </row>
    <row r="576" spans="1:15" x14ac:dyDescent="0.25">
      <c r="A576" s="75">
        <v>46042</v>
      </c>
      <c r="B576" s="25" t="s">
        <v>329</v>
      </c>
      <c r="C576" s="25"/>
      <c r="D576" s="75">
        <f t="shared" si="251"/>
        <v>46065</v>
      </c>
      <c r="E576" s="75">
        <f t="shared" si="252"/>
        <v>46049</v>
      </c>
      <c r="F576" s="75">
        <f t="shared" si="253"/>
        <v>46056</v>
      </c>
      <c r="G576" s="75">
        <f t="shared" si="254"/>
        <v>46062</v>
      </c>
      <c r="H576" s="75">
        <f t="shared" si="255"/>
        <v>46050</v>
      </c>
      <c r="I576" s="75">
        <f t="shared" si="256"/>
        <v>46057</v>
      </c>
      <c r="J576" s="75">
        <v>46071</v>
      </c>
      <c r="K576" s="76">
        <f t="shared" si="243"/>
        <v>29</v>
      </c>
      <c r="L576" s="82">
        <v>16.079999999999998</v>
      </c>
      <c r="M576" s="80">
        <v>14.71</v>
      </c>
      <c r="N576" s="25">
        <f t="shared" si="250"/>
        <v>1.3699999999999974</v>
      </c>
      <c r="O576" s="25" t="s">
        <v>545</v>
      </c>
    </row>
    <row r="577" spans="1:15" x14ac:dyDescent="0.25">
      <c r="A577" s="75">
        <v>46042</v>
      </c>
      <c r="B577" s="25" t="s">
        <v>345</v>
      </c>
      <c r="C577" s="25"/>
      <c r="D577" s="75">
        <f t="shared" si="251"/>
        <v>46065</v>
      </c>
      <c r="E577" s="75">
        <f t="shared" si="252"/>
        <v>46049</v>
      </c>
      <c r="F577" s="75">
        <f t="shared" si="253"/>
        <v>46056</v>
      </c>
      <c r="G577" s="75">
        <f t="shared" si="254"/>
        <v>46062</v>
      </c>
      <c r="H577" s="75">
        <f t="shared" si="255"/>
        <v>46050</v>
      </c>
      <c r="I577" s="75">
        <f t="shared" si="256"/>
        <v>46057</v>
      </c>
      <c r="J577" s="75">
        <v>46071</v>
      </c>
      <c r="K577" s="76">
        <f t="shared" si="243"/>
        <v>29</v>
      </c>
      <c r="L577" s="82">
        <v>16.32</v>
      </c>
      <c r="M577" s="80">
        <v>15.12</v>
      </c>
      <c r="N577" s="25">
        <f t="shared" si="250"/>
        <v>1.2000000000000011</v>
      </c>
      <c r="O577" s="25" t="s">
        <v>545</v>
      </c>
    </row>
    <row r="578" spans="1:15" x14ac:dyDescent="0.25">
      <c r="A578" s="75">
        <v>46042</v>
      </c>
      <c r="B578" s="25" t="s">
        <v>346</v>
      </c>
      <c r="C578" s="25"/>
      <c r="D578" s="75">
        <f t="shared" si="251"/>
        <v>46065</v>
      </c>
      <c r="E578" s="75">
        <f t="shared" si="252"/>
        <v>46049</v>
      </c>
      <c r="F578" s="75">
        <f t="shared" si="253"/>
        <v>46056</v>
      </c>
      <c r="G578" s="75">
        <f t="shared" si="254"/>
        <v>46062</v>
      </c>
      <c r="H578" s="75">
        <f t="shared" si="255"/>
        <v>46050</v>
      </c>
      <c r="I578" s="75">
        <f t="shared" si="256"/>
        <v>46057</v>
      </c>
      <c r="J578" s="75">
        <v>46071</v>
      </c>
      <c r="K578" s="76">
        <f t="shared" si="243"/>
        <v>29</v>
      </c>
      <c r="L578" s="82">
        <v>16.57</v>
      </c>
      <c r="M578" s="80">
        <v>15.22</v>
      </c>
      <c r="N578" s="25">
        <f t="shared" si="250"/>
        <v>1.3499999999999996</v>
      </c>
      <c r="O578" s="25" t="s">
        <v>545</v>
      </c>
    </row>
    <row r="579" spans="1:15" x14ac:dyDescent="0.25">
      <c r="A579" s="75">
        <v>46043</v>
      </c>
      <c r="B579" s="25" t="s">
        <v>347</v>
      </c>
      <c r="C579" s="25"/>
      <c r="D579" s="75">
        <f t="shared" si="251"/>
        <v>46066</v>
      </c>
      <c r="E579" s="75">
        <f t="shared" si="252"/>
        <v>46050</v>
      </c>
      <c r="F579" s="75">
        <f t="shared" si="253"/>
        <v>46057</v>
      </c>
      <c r="G579" s="75">
        <f t="shared" si="254"/>
        <v>46063</v>
      </c>
      <c r="H579" s="75">
        <f t="shared" si="255"/>
        <v>46051</v>
      </c>
      <c r="I579" s="75">
        <f t="shared" si="256"/>
        <v>46058</v>
      </c>
      <c r="J579" s="75">
        <v>46072</v>
      </c>
      <c r="K579" s="81">
        <f t="shared" si="243"/>
        <v>29</v>
      </c>
      <c r="L579" s="79">
        <v>14.51</v>
      </c>
      <c r="M579" s="80">
        <v>13.07</v>
      </c>
      <c r="N579" s="25">
        <f t="shared" si="250"/>
        <v>1.4399999999999995</v>
      </c>
      <c r="O579" s="25" t="s">
        <v>545</v>
      </c>
    </row>
    <row r="580" spans="1:15" x14ac:dyDescent="0.25">
      <c r="A580" s="75">
        <v>46043</v>
      </c>
      <c r="B580" s="25" t="s">
        <v>348</v>
      </c>
      <c r="C580" s="25"/>
      <c r="D580" s="75">
        <f t="shared" si="251"/>
        <v>46066</v>
      </c>
      <c r="E580" s="75">
        <f t="shared" si="252"/>
        <v>46050</v>
      </c>
      <c r="F580" s="75">
        <f t="shared" si="253"/>
        <v>46057</v>
      </c>
      <c r="G580" s="75">
        <f t="shared" si="254"/>
        <v>46063</v>
      </c>
      <c r="H580" s="75">
        <f t="shared" si="255"/>
        <v>46051</v>
      </c>
      <c r="I580" s="75">
        <f t="shared" si="256"/>
        <v>46058</v>
      </c>
      <c r="J580" s="75">
        <v>46072</v>
      </c>
      <c r="K580" s="81">
        <f t="shared" si="243"/>
        <v>29</v>
      </c>
      <c r="L580" s="79">
        <v>13.3</v>
      </c>
      <c r="M580" s="80">
        <v>12.1</v>
      </c>
      <c r="N580" s="25">
        <f t="shared" si="250"/>
        <v>1.2000000000000011</v>
      </c>
      <c r="O580" s="25" t="s">
        <v>545</v>
      </c>
    </row>
    <row r="581" spans="1:15" x14ac:dyDescent="0.25">
      <c r="A581" s="75">
        <v>46043</v>
      </c>
      <c r="B581" s="25" t="s">
        <v>349</v>
      </c>
      <c r="C581" s="25"/>
      <c r="D581" s="75">
        <f t="shared" si="251"/>
        <v>46066</v>
      </c>
      <c r="E581" s="75">
        <f t="shared" si="252"/>
        <v>46050</v>
      </c>
      <c r="F581" s="75">
        <f t="shared" si="253"/>
        <v>46057</v>
      </c>
      <c r="G581" s="75">
        <f t="shared" si="254"/>
        <v>46063</v>
      </c>
      <c r="H581" s="75">
        <f t="shared" si="255"/>
        <v>46051</v>
      </c>
      <c r="I581" s="75">
        <f t="shared" si="256"/>
        <v>46058</v>
      </c>
      <c r="J581" s="75">
        <v>46072</v>
      </c>
      <c r="K581" s="81">
        <f t="shared" si="243"/>
        <v>29</v>
      </c>
      <c r="L581" s="79">
        <v>13.54</v>
      </c>
      <c r="M581" s="80">
        <v>12.35</v>
      </c>
      <c r="N581" s="25">
        <f t="shared" si="250"/>
        <v>1.1899999999999995</v>
      </c>
      <c r="O581" s="25" t="s">
        <v>545</v>
      </c>
    </row>
    <row r="582" spans="1:15" x14ac:dyDescent="0.25">
      <c r="A582" s="75">
        <v>46043</v>
      </c>
      <c r="B582" s="25" t="s">
        <v>360</v>
      </c>
      <c r="C582" s="25"/>
      <c r="D582" s="75">
        <f t="shared" si="251"/>
        <v>46066</v>
      </c>
      <c r="E582" s="75">
        <f t="shared" si="252"/>
        <v>46050</v>
      </c>
      <c r="F582" s="75">
        <f t="shared" si="253"/>
        <v>46057</v>
      </c>
      <c r="G582" s="75">
        <f t="shared" si="254"/>
        <v>46063</v>
      </c>
      <c r="H582" s="75">
        <f t="shared" si="255"/>
        <v>46051</v>
      </c>
      <c r="I582" s="75">
        <f t="shared" si="256"/>
        <v>46058</v>
      </c>
      <c r="J582" s="75">
        <v>46073</v>
      </c>
      <c r="K582" s="81">
        <f t="shared" si="243"/>
        <v>30</v>
      </c>
      <c r="L582" s="25">
        <v>15.11</v>
      </c>
      <c r="M582" s="25">
        <v>14.15</v>
      </c>
      <c r="N582" s="25">
        <f t="shared" si="250"/>
        <v>0.95999999999999908</v>
      </c>
      <c r="O582" s="25" t="s">
        <v>545</v>
      </c>
    </row>
    <row r="583" spans="1:15" x14ac:dyDescent="0.25">
      <c r="A583" s="75">
        <v>46043</v>
      </c>
      <c r="B583" s="25" t="s">
        <v>361</v>
      </c>
      <c r="C583" s="25"/>
      <c r="D583" s="75">
        <f t="shared" si="251"/>
        <v>46066</v>
      </c>
      <c r="E583" s="75">
        <f t="shared" si="252"/>
        <v>46050</v>
      </c>
      <c r="F583" s="75">
        <f t="shared" si="253"/>
        <v>46057</v>
      </c>
      <c r="G583" s="75">
        <f t="shared" si="254"/>
        <v>46063</v>
      </c>
      <c r="H583" s="75">
        <f t="shared" si="255"/>
        <v>46051</v>
      </c>
      <c r="I583" s="75">
        <f t="shared" si="256"/>
        <v>46058</v>
      </c>
      <c r="J583" s="75">
        <v>46073</v>
      </c>
      <c r="K583" s="81">
        <f t="shared" si="243"/>
        <v>30</v>
      </c>
      <c r="L583" s="25">
        <v>14.35</v>
      </c>
      <c r="M583" s="25">
        <v>13.87</v>
      </c>
      <c r="N583" s="25">
        <f t="shared" si="250"/>
        <v>0.48000000000000043</v>
      </c>
      <c r="O583" s="25" t="s">
        <v>545</v>
      </c>
    </row>
    <row r="584" spans="1:15" x14ac:dyDescent="0.25">
      <c r="A584" s="75">
        <v>46043</v>
      </c>
      <c r="B584" s="25" t="s">
        <v>362</v>
      </c>
      <c r="C584" s="25"/>
      <c r="D584" s="75">
        <f t="shared" si="251"/>
        <v>46066</v>
      </c>
      <c r="E584" s="75">
        <f t="shared" si="252"/>
        <v>46050</v>
      </c>
      <c r="F584" s="75">
        <f t="shared" si="253"/>
        <v>46057</v>
      </c>
      <c r="G584" s="75">
        <f t="shared" si="254"/>
        <v>46063</v>
      </c>
      <c r="H584" s="75">
        <f t="shared" si="255"/>
        <v>46051</v>
      </c>
      <c r="I584" s="75">
        <f t="shared" si="256"/>
        <v>46058</v>
      </c>
      <c r="J584" s="75">
        <v>46073</v>
      </c>
      <c r="K584" s="81">
        <f t="shared" si="243"/>
        <v>30</v>
      </c>
      <c r="L584" s="25">
        <v>15.64</v>
      </c>
      <c r="M584" s="25">
        <v>14.51</v>
      </c>
      <c r="N584" s="25">
        <f t="shared" si="250"/>
        <v>1.1300000000000008</v>
      </c>
      <c r="O584" s="25" t="s">
        <v>545</v>
      </c>
    </row>
    <row r="585" spans="1:15" x14ac:dyDescent="0.25">
      <c r="A585" s="75">
        <v>46044</v>
      </c>
      <c r="B585" s="25" t="s">
        <v>353</v>
      </c>
      <c r="C585" s="25"/>
      <c r="D585" s="75">
        <f t="shared" si="251"/>
        <v>46067</v>
      </c>
      <c r="E585" s="75">
        <f t="shared" si="252"/>
        <v>46051</v>
      </c>
      <c r="F585" s="75">
        <f t="shared" si="253"/>
        <v>46058</v>
      </c>
      <c r="G585" s="75">
        <f t="shared" si="254"/>
        <v>46064</v>
      </c>
      <c r="H585" s="75">
        <f t="shared" si="255"/>
        <v>46052</v>
      </c>
      <c r="I585" s="75">
        <f t="shared" si="256"/>
        <v>46059</v>
      </c>
      <c r="J585" s="75">
        <v>46074</v>
      </c>
      <c r="K585" s="81">
        <f t="shared" si="243"/>
        <v>30</v>
      </c>
      <c r="L585" s="79">
        <v>14.58</v>
      </c>
      <c r="M585" s="80">
        <v>13.12</v>
      </c>
      <c r="N585" s="25">
        <f t="shared" si="250"/>
        <v>1.4600000000000009</v>
      </c>
      <c r="O585" s="25" t="s">
        <v>545</v>
      </c>
    </row>
    <row r="586" spans="1:15" x14ac:dyDescent="0.25">
      <c r="A586" s="75">
        <v>46044</v>
      </c>
      <c r="B586" s="25" t="s">
        <v>354</v>
      </c>
      <c r="C586" s="25"/>
      <c r="D586" s="75">
        <f t="shared" si="251"/>
        <v>46067</v>
      </c>
      <c r="E586" s="75">
        <f t="shared" si="252"/>
        <v>46051</v>
      </c>
      <c r="F586" s="75">
        <f t="shared" si="253"/>
        <v>46058</v>
      </c>
      <c r="G586" s="75">
        <f t="shared" si="254"/>
        <v>46064</v>
      </c>
      <c r="H586" s="75">
        <f t="shared" si="255"/>
        <v>46052</v>
      </c>
      <c r="I586" s="75">
        <f t="shared" si="256"/>
        <v>46059</v>
      </c>
      <c r="J586" s="75">
        <v>46074</v>
      </c>
      <c r="K586" s="81">
        <f t="shared" si="243"/>
        <v>30</v>
      </c>
      <c r="L586" s="79">
        <v>13.41</v>
      </c>
      <c r="M586" s="80">
        <v>12.1</v>
      </c>
      <c r="N586" s="25">
        <f t="shared" si="250"/>
        <v>1.3100000000000005</v>
      </c>
      <c r="O586" s="25" t="s">
        <v>545</v>
      </c>
    </row>
    <row r="587" spans="1:15" x14ac:dyDescent="0.25">
      <c r="A587" s="75">
        <v>46044</v>
      </c>
      <c r="B587" s="25" t="s">
        <v>355</v>
      </c>
      <c r="C587" s="25"/>
      <c r="D587" s="75">
        <f t="shared" si="251"/>
        <v>46067</v>
      </c>
      <c r="E587" s="75">
        <f t="shared" si="252"/>
        <v>46051</v>
      </c>
      <c r="F587" s="75">
        <f t="shared" si="253"/>
        <v>46058</v>
      </c>
      <c r="G587" s="75">
        <f t="shared" si="254"/>
        <v>46064</v>
      </c>
      <c r="H587" s="75">
        <f t="shared" si="255"/>
        <v>46052</v>
      </c>
      <c r="I587" s="75">
        <f t="shared" si="256"/>
        <v>46059</v>
      </c>
      <c r="J587" s="75">
        <v>46074</v>
      </c>
      <c r="K587" s="81">
        <f t="shared" si="243"/>
        <v>30</v>
      </c>
      <c r="L587" s="79">
        <v>12.95</v>
      </c>
      <c r="M587" s="80">
        <v>11.54</v>
      </c>
      <c r="N587" s="25">
        <f t="shared" si="250"/>
        <v>1.4100000000000001</v>
      </c>
      <c r="O587" s="25" t="s">
        <v>545</v>
      </c>
    </row>
    <row r="588" spans="1:15" x14ac:dyDescent="0.25">
      <c r="A588" s="75">
        <v>46044</v>
      </c>
      <c r="B588" s="25" t="s">
        <v>356</v>
      </c>
      <c r="C588" s="25"/>
      <c r="D588" s="75">
        <f t="shared" si="251"/>
        <v>46067</v>
      </c>
      <c r="E588" s="75">
        <f t="shared" si="252"/>
        <v>46051</v>
      </c>
      <c r="F588" s="75">
        <f t="shared" si="253"/>
        <v>46058</v>
      </c>
      <c r="G588" s="75">
        <f t="shared" si="254"/>
        <v>46064</v>
      </c>
      <c r="H588" s="75">
        <f t="shared" si="255"/>
        <v>46052</v>
      </c>
      <c r="I588" s="75">
        <f t="shared" si="256"/>
        <v>46059</v>
      </c>
      <c r="J588" s="75">
        <v>46073</v>
      </c>
      <c r="K588" s="81">
        <f t="shared" si="243"/>
        <v>29</v>
      </c>
      <c r="L588" s="79">
        <v>13.63</v>
      </c>
      <c r="M588" s="80">
        <v>12.52</v>
      </c>
      <c r="N588" s="25">
        <f t="shared" si="250"/>
        <v>1.1100000000000012</v>
      </c>
      <c r="O588" s="25" t="s">
        <v>545</v>
      </c>
    </row>
    <row r="589" spans="1:15" x14ac:dyDescent="0.25">
      <c r="A589" s="75">
        <v>46044</v>
      </c>
      <c r="B589" s="25" t="s">
        <v>357</v>
      </c>
      <c r="C589" s="25"/>
      <c r="D589" s="75">
        <f t="shared" si="251"/>
        <v>46067</v>
      </c>
      <c r="E589" s="75">
        <f t="shared" si="252"/>
        <v>46051</v>
      </c>
      <c r="F589" s="75">
        <f t="shared" si="253"/>
        <v>46058</v>
      </c>
      <c r="G589" s="75">
        <f t="shared" si="254"/>
        <v>46064</v>
      </c>
      <c r="H589" s="75">
        <f t="shared" si="255"/>
        <v>46052</v>
      </c>
      <c r="I589" s="75">
        <f t="shared" si="256"/>
        <v>46059</v>
      </c>
      <c r="J589" s="75">
        <v>46073</v>
      </c>
      <c r="K589" s="81">
        <f t="shared" si="243"/>
        <v>29</v>
      </c>
      <c r="L589" s="79">
        <v>14.21</v>
      </c>
      <c r="M589" s="80">
        <v>13.16</v>
      </c>
      <c r="N589" s="25">
        <f t="shared" si="250"/>
        <v>1.0500000000000007</v>
      </c>
      <c r="O589" s="25" t="s">
        <v>545</v>
      </c>
    </row>
    <row r="590" spans="1:15" x14ac:dyDescent="0.25">
      <c r="A590" s="75">
        <v>46044</v>
      </c>
      <c r="B590" s="25" t="s">
        <v>358</v>
      </c>
      <c r="C590" s="25"/>
      <c r="D590" s="75">
        <f t="shared" si="251"/>
        <v>46067</v>
      </c>
      <c r="E590" s="75">
        <f t="shared" si="252"/>
        <v>46051</v>
      </c>
      <c r="F590" s="75">
        <f t="shared" si="253"/>
        <v>46058</v>
      </c>
      <c r="G590" s="75">
        <f t="shared" si="254"/>
        <v>46064</v>
      </c>
      <c r="H590" s="75">
        <f t="shared" si="255"/>
        <v>46052</v>
      </c>
      <c r="I590" s="75">
        <f t="shared" si="256"/>
        <v>46059</v>
      </c>
      <c r="J590" s="75">
        <v>46073</v>
      </c>
      <c r="K590" s="81">
        <f t="shared" si="243"/>
        <v>29</v>
      </c>
      <c r="L590" s="79">
        <v>15.08</v>
      </c>
      <c r="M590" s="80">
        <v>14.12</v>
      </c>
      <c r="N590" s="25">
        <f t="shared" si="250"/>
        <v>0.96000000000000085</v>
      </c>
      <c r="O590" s="25" t="s">
        <v>545</v>
      </c>
    </row>
    <row r="591" spans="1:15" x14ac:dyDescent="0.25">
      <c r="A591" s="75">
        <v>46044</v>
      </c>
      <c r="B591" s="25" t="s">
        <v>359</v>
      </c>
      <c r="C591" s="25"/>
      <c r="D591" s="75">
        <f t="shared" si="251"/>
        <v>46067</v>
      </c>
      <c r="E591" s="75">
        <f t="shared" si="252"/>
        <v>46051</v>
      </c>
      <c r="F591" s="75">
        <f t="shared" si="253"/>
        <v>46058</v>
      </c>
      <c r="G591" s="75">
        <f t="shared" si="254"/>
        <v>46064</v>
      </c>
      <c r="H591" s="75">
        <f t="shared" si="255"/>
        <v>46052</v>
      </c>
      <c r="I591" s="75">
        <f t="shared" si="256"/>
        <v>46059</v>
      </c>
      <c r="J591" s="75">
        <v>46073</v>
      </c>
      <c r="K591" s="81">
        <f t="shared" si="243"/>
        <v>29</v>
      </c>
      <c r="L591" s="79">
        <v>14.58</v>
      </c>
      <c r="M591" s="80">
        <v>13.22</v>
      </c>
      <c r="N591" s="25">
        <f t="shared" si="250"/>
        <v>1.3599999999999994</v>
      </c>
      <c r="O591" s="25" t="s">
        <v>545</v>
      </c>
    </row>
    <row r="592" spans="1:15" x14ac:dyDescent="0.25">
      <c r="A592" s="75">
        <v>46044</v>
      </c>
      <c r="B592" s="25" t="s">
        <v>360</v>
      </c>
      <c r="C592" s="25"/>
      <c r="D592" s="75">
        <f t="shared" si="251"/>
        <v>46067</v>
      </c>
      <c r="E592" s="75">
        <f t="shared" si="252"/>
        <v>46051</v>
      </c>
      <c r="F592" s="75">
        <f t="shared" si="253"/>
        <v>46058</v>
      </c>
      <c r="G592" s="75">
        <f t="shared" si="254"/>
        <v>46064</v>
      </c>
      <c r="H592" s="75">
        <f t="shared" si="255"/>
        <v>46052</v>
      </c>
      <c r="I592" s="75">
        <f t="shared" si="256"/>
        <v>46059</v>
      </c>
      <c r="J592" s="75">
        <v>46073</v>
      </c>
      <c r="K592" s="81">
        <f t="shared" si="243"/>
        <v>29</v>
      </c>
      <c r="L592" s="79">
        <v>15.11</v>
      </c>
      <c r="M592" s="80">
        <v>14.15</v>
      </c>
      <c r="N592" s="25">
        <f t="shared" si="250"/>
        <v>0.95999999999999908</v>
      </c>
      <c r="O592" s="25" t="s">
        <v>545</v>
      </c>
    </row>
    <row r="593" spans="1:15" x14ac:dyDescent="0.25">
      <c r="A593" s="75">
        <v>46044</v>
      </c>
      <c r="B593" s="25" t="s">
        <v>361</v>
      </c>
      <c r="C593" s="25"/>
      <c r="D593" s="75">
        <f t="shared" si="251"/>
        <v>46067</v>
      </c>
      <c r="E593" s="75">
        <f t="shared" si="252"/>
        <v>46051</v>
      </c>
      <c r="F593" s="75">
        <f t="shared" si="253"/>
        <v>46058</v>
      </c>
      <c r="G593" s="75">
        <f t="shared" si="254"/>
        <v>46064</v>
      </c>
      <c r="H593" s="75">
        <f t="shared" si="255"/>
        <v>46052</v>
      </c>
      <c r="I593" s="75">
        <f t="shared" si="256"/>
        <v>46059</v>
      </c>
      <c r="J593" s="75">
        <v>46073</v>
      </c>
      <c r="K593" s="81">
        <f t="shared" si="243"/>
        <v>29</v>
      </c>
      <c r="L593" s="79">
        <v>14.35</v>
      </c>
      <c r="M593" s="80">
        <v>13.87</v>
      </c>
      <c r="N593" s="25">
        <f t="shared" si="250"/>
        <v>0.48000000000000043</v>
      </c>
      <c r="O593" s="25" t="s">
        <v>545</v>
      </c>
    </row>
    <row r="594" spans="1:15" x14ac:dyDescent="0.25">
      <c r="A594" s="75">
        <v>46044</v>
      </c>
      <c r="B594" s="25" t="s">
        <v>362</v>
      </c>
      <c r="C594" s="25"/>
      <c r="D594" s="75">
        <f t="shared" si="251"/>
        <v>46067</v>
      </c>
      <c r="E594" s="75">
        <f t="shared" si="252"/>
        <v>46051</v>
      </c>
      <c r="F594" s="75">
        <f t="shared" si="253"/>
        <v>46058</v>
      </c>
      <c r="G594" s="75">
        <f t="shared" si="254"/>
        <v>46064</v>
      </c>
      <c r="H594" s="75">
        <f t="shared" si="255"/>
        <v>46052</v>
      </c>
      <c r="I594" s="75">
        <f t="shared" si="256"/>
        <v>46059</v>
      </c>
      <c r="J594" s="75">
        <v>46073</v>
      </c>
      <c r="K594" s="81">
        <f t="shared" si="243"/>
        <v>29</v>
      </c>
      <c r="L594" s="79">
        <v>15.64</v>
      </c>
      <c r="M594" s="80">
        <v>14.51</v>
      </c>
      <c r="N594" s="25">
        <f t="shared" si="250"/>
        <v>1.1300000000000008</v>
      </c>
      <c r="O594" s="25" t="s">
        <v>545</v>
      </c>
    </row>
    <row r="595" spans="1:15" x14ac:dyDescent="0.25">
      <c r="A595" s="75">
        <v>46044</v>
      </c>
      <c r="B595" s="25" t="s">
        <v>363</v>
      </c>
      <c r="C595" s="25"/>
      <c r="D595" s="75">
        <f t="shared" si="251"/>
        <v>46067</v>
      </c>
      <c r="E595" s="75">
        <f t="shared" si="252"/>
        <v>46051</v>
      </c>
      <c r="F595" s="75">
        <f t="shared" si="253"/>
        <v>46058</v>
      </c>
      <c r="G595" s="75">
        <f t="shared" si="254"/>
        <v>46064</v>
      </c>
      <c r="H595" s="75">
        <f t="shared" si="255"/>
        <v>46052</v>
      </c>
      <c r="I595" s="75">
        <f t="shared" si="256"/>
        <v>46059</v>
      </c>
      <c r="J595" s="75">
        <v>46073</v>
      </c>
      <c r="K595" s="81">
        <f t="shared" si="243"/>
        <v>29</v>
      </c>
      <c r="L595" s="79">
        <v>15.81</v>
      </c>
      <c r="M595" s="80">
        <v>14.73</v>
      </c>
      <c r="N595" s="25">
        <f t="shared" si="250"/>
        <v>1.08</v>
      </c>
      <c r="O595" s="25" t="s">
        <v>545</v>
      </c>
    </row>
    <row r="596" spans="1:15" x14ac:dyDescent="0.25">
      <c r="A596" s="75">
        <v>46045</v>
      </c>
      <c r="B596" s="25" t="s">
        <v>387</v>
      </c>
      <c r="C596" s="25"/>
      <c r="D596" s="75">
        <f t="shared" si="251"/>
        <v>46068</v>
      </c>
      <c r="E596" s="75">
        <f t="shared" si="252"/>
        <v>46052</v>
      </c>
      <c r="F596" s="75">
        <f t="shared" si="253"/>
        <v>46059</v>
      </c>
      <c r="G596" s="75">
        <f t="shared" si="254"/>
        <v>46065</v>
      </c>
      <c r="H596" s="75">
        <f t="shared" si="255"/>
        <v>46053</v>
      </c>
      <c r="I596" s="75">
        <f t="shared" si="256"/>
        <v>46060</v>
      </c>
      <c r="J596" s="75">
        <v>46075</v>
      </c>
      <c r="K596" s="81">
        <f t="shared" si="243"/>
        <v>30</v>
      </c>
      <c r="L596" s="79">
        <v>14.05</v>
      </c>
      <c r="M596" s="80">
        <v>12.74</v>
      </c>
      <c r="N596" s="25">
        <f t="shared" si="250"/>
        <v>1.3100000000000005</v>
      </c>
      <c r="O596" s="25" t="s">
        <v>545</v>
      </c>
    </row>
    <row r="597" spans="1:15" x14ac:dyDescent="0.25">
      <c r="A597" s="75">
        <v>46045</v>
      </c>
      <c r="B597" s="25" t="s">
        <v>388</v>
      </c>
      <c r="C597" s="25"/>
      <c r="D597" s="75">
        <f t="shared" si="251"/>
        <v>46068</v>
      </c>
      <c r="E597" s="75">
        <f t="shared" si="252"/>
        <v>46052</v>
      </c>
      <c r="F597" s="75">
        <f t="shared" si="253"/>
        <v>46059</v>
      </c>
      <c r="G597" s="75">
        <f t="shared" si="254"/>
        <v>46065</v>
      </c>
      <c r="H597" s="75">
        <f t="shared" si="255"/>
        <v>46053</v>
      </c>
      <c r="I597" s="75">
        <f t="shared" si="256"/>
        <v>46060</v>
      </c>
      <c r="J597" s="75">
        <v>46075</v>
      </c>
      <c r="K597" s="81">
        <f t="shared" si="243"/>
        <v>30</v>
      </c>
      <c r="L597" s="79">
        <v>14.73</v>
      </c>
      <c r="M597" s="80">
        <v>13.51</v>
      </c>
      <c r="N597" s="25">
        <f t="shared" si="250"/>
        <v>1.2200000000000006</v>
      </c>
      <c r="O597" s="25" t="s">
        <v>545</v>
      </c>
    </row>
    <row r="598" spans="1:15" x14ac:dyDescent="0.25">
      <c r="A598" s="75">
        <v>46045</v>
      </c>
      <c r="B598" s="25" t="s">
        <v>389</v>
      </c>
      <c r="C598" s="25"/>
      <c r="D598" s="75">
        <f t="shared" si="251"/>
        <v>46068</v>
      </c>
      <c r="E598" s="75">
        <f t="shared" si="252"/>
        <v>46052</v>
      </c>
      <c r="F598" s="75">
        <f t="shared" si="253"/>
        <v>46059</v>
      </c>
      <c r="G598" s="75">
        <f t="shared" si="254"/>
        <v>46065</v>
      </c>
      <c r="H598" s="75">
        <f t="shared" si="255"/>
        <v>46053</v>
      </c>
      <c r="I598" s="75">
        <f t="shared" si="256"/>
        <v>46060</v>
      </c>
      <c r="J598" s="75">
        <v>46075</v>
      </c>
      <c r="K598" s="81">
        <f t="shared" si="243"/>
        <v>30</v>
      </c>
      <c r="L598" s="79">
        <v>15.81</v>
      </c>
      <c r="M598" s="80">
        <v>14.32</v>
      </c>
      <c r="N598" s="25">
        <f t="shared" si="250"/>
        <v>1.4900000000000002</v>
      </c>
      <c r="O598" s="25" t="s">
        <v>545</v>
      </c>
    </row>
    <row r="599" spans="1:15" x14ac:dyDescent="0.25">
      <c r="A599" s="75">
        <v>46045</v>
      </c>
      <c r="B599" s="25" t="s">
        <v>390</v>
      </c>
      <c r="C599" s="25"/>
      <c r="D599" s="75">
        <f t="shared" si="251"/>
        <v>46068</v>
      </c>
      <c r="E599" s="75">
        <f t="shared" si="252"/>
        <v>46052</v>
      </c>
      <c r="F599" s="75">
        <f t="shared" si="253"/>
        <v>46059</v>
      </c>
      <c r="G599" s="75">
        <f t="shared" si="254"/>
        <v>46065</v>
      </c>
      <c r="H599" s="75">
        <f t="shared" si="255"/>
        <v>46053</v>
      </c>
      <c r="I599" s="75">
        <f t="shared" si="256"/>
        <v>46060</v>
      </c>
      <c r="J599" s="75">
        <v>46074</v>
      </c>
      <c r="K599" s="81">
        <f t="shared" si="243"/>
        <v>29</v>
      </c>
      <c r="L599" s="79">
        <v>12.19</v>
      </c>
      <c r="M599" s="80">
        <v>11.53</v>
      </c>
      <c r="N599" s="25">
        <f t="shared" si="250"/>
        <v>0.66000000000000014</v>
      </c>
      <c r="O599" s="25" t="s">
        <v>545</v>
      </c>
    </row>
    <row r="600" spans="1:15" x14ac:dyDescent="0.25">
      <c r="A600" s="75">
        <v>46045</v>
      </c>
      <c r="B600" s="25" t="s">
        <v>391</v>
      </c>
      <c r="C600" s="25"/>
      <c r="D600" s="75">
        <f t="shared" si="251"/>
        <v>46068</v>
      </c>
      <c r="E600" s="75">
        <f t="shared" si="252"/>
        <v>46052</v>
      </c>
      <c r="F600" s="75">
        <f t="shared" si="253"/>
        <v>46059</v>
      </c>
      <c r="G600" s="75">
        <f t="shared" si="254"/>
        <v>46065</v>
      </c>
      <c r="H600" s="75">
        <f t="shared" si="255"/>
        <v>46053</v>
      </c>
      <c r="I600" s="75">
        <f t="shared" si="256"/>
        <v>46060</v>
      </c>
      <c r="J600" s="75">
        <v>46074</v>
      </c>
      <c r="K600" s="81">
        <f t="shared" si="243"/>
        <v>29</v>
      </c>
      <c r="L600" s="79">
        <v>13.87</v>
      </c>
      <c r="M600" s="80">
        <v>12.74</v>
      </c>
      <c r="N600" s="25">
        <f t="shared" si="250"/>
        <v>1.129999999999999</v>
      </c>
      <c r="O600" s="25" t="s">
        <v>545</v>
      </c>
    </row>
    <row r="601" spans="1:15" x14ac:dyDescent="0.25">
      <c r="A601" s="75">
        <v>46045</v>
      </c>
      <c r="B601" s="25" t="s">
        <v>392</v>
      </c>
      <c r="C601" s="25"/>
      <c r="D601" s="75">
        <f t="shared" si="251"/>
        <v>46068</v>
      </c>
      <c r="E601" s="75">
        <f t="shared" si="252"/>
        <v>46052</v>
      </c>
      <c r="F601" s="75">
        <f t="shared" si="253"/>
        <v>46059</v>
      </c>
      <c r="G601" s="75">
        <f t="shared" si="254"/>
        <v>46065</v>
      </c>
      <c r="H601" s="75">
        <f t="shared" si="255"/>
        <v>46053</v>
      </c>
      <c r="I601" s="75">
        <f t="shared" si="256"/>
        <v>46060</v>
      </c>
      <c r="J601" s="75">
        <v>46074</v>
      </c>
      <c r="K601" s="81">
        <f t="shared" si="243"/>
        <v>29</v>
      </c>
      <c r="L601" s="79">
        <v>13.52</v>
      </c>
      <c r="M601" s="80">
        <v>12.35</v>
      </c>
      <c r="N601" s="25">
        <f t="shared" si="250"/>
        <v>1.17</v>
      </c>
      <c r="O601" s="25" t="s">
        <v>545</v>
      </c>
    </row>
    <row r="602" spans="1:15" x14ac:dyDescent="0.25">
      <c r="A602" s="75">
        <v>46045</v>
      </c>
      <c r="B602" s="25" t="s">
        <v>393</v>
      </c>
      <c r="C602" s="25"/>
      <c r="D602" s="75">
        <f t="shared" si="251"/>
        <v>46068</v>
      </c>
      <c r="E602" s="75">
        <f t="shared" si="252"/>
        <v>46052</v>
      </c>
      <c r="F602" s="75">
        <f t="shared" si="253"/>
        <v>46059</v>
      </c>
      <c r="G602" s="75">
        <f t="shared" si="254"/>
        <v>46065</v>
      </c>
      <c r="H602" s="75">
        <f t="shared" si="255"/>
        <v>46053</v>
      </c>
      <c r="I602" s="75">
        <f t="shared" si="256"/>
        <v>46060</v>
      </c>
      <c r="J602" s="75">
        <v>46073</v>
      </c>
      <c r="K602" s="81">
        <f t="shared" si="243"/>
        <v>28</v>
      </c>
      <c r="L602" s="86">
        <v>12.7</v>
      </c>
      <c r="M602" s="85">
        <v>11.42</v>
      </c>
      <c r="N602" s="25">
        <f t="shared" si="250"/>
        <v>1.2799999999999994</v>
      </c>
      <c r="O602" s="25" t="s">
        <v>545</v>
      </c>
    </row>
    <row r="603" spans="1:15" x14ac:dyDescent="0.25">
      <c r="A603" s="75">
        <v>46046</v>
      </c>
      <c r="B603" s="25" t="s">
        <v>380</v>
      </c>
      <c r="C603" s="25"/>
      <c r="D603" s="75">
        <f t="shared" si="251"/>
        <v>46069</v>
      </c>
      <c r="E603" s="75">
        <f t="shared" si="252"/>
        <v>46053</v>
      </c>
      <c r="F603" s="75">
        <f t="shared" si="253"/>
        <v>46060</v>
      </c>
      <c r="G603" s="75">
        <f t="shared" si="254"/>
        <v>46066</v>
      </c>
      <c r="H603" s="75">
        <f t="shared" si="255"/>
        <v>46054</v>
      </c>
      <c r="I603" s="75">
        <f t="shared" si="256"/>
        <v>46061</v>
      </c>
      <c r="J603" s="75">
        <v>46076</v>
      </c>
      <c r="K603" s="81">
        <f t="shared" si="243"/>
        <v>30</v>
      </c>
      <c r="L603" s="79">
        <v>13.92</v>
      </c>
      <c r="M603" s="79">
        <v>12.78</v>
      </c>
      <c r="N603" s="25">
        <f t="shared" si="250"/>
        <v>1.1400000000000006</v>
      </c>
      <c r="O603" s="25" t="s">
        <v>545</v>
      </c>
    </row>
    <row r="604" spans="1:15" x14ac:dyDescent="0.25">
      <c r="A604" s="75">
        <v>46046</v>
      </c>
      <c r="B604" s="25" t="s">
        <v>381</v>
      </c>
      <c r="C604" s="25"/>
      <c r="D604" s="75">
        <f t="shared" si="251"/>
        <v>46069</v>
      </c>
      <c r="E604" s="75">
        <f t="shared" si="252"/>
        <v>46053</v>
      </c>
      <c r="F604" s="75">
        <f t="shared" si="253"/>
        <v>46060</v>
      </c>
      <c r="G604" s="75">
        <f t="shared" si="254"/>
        <v>46066</v>
      </c>
      <c r="H604" s="75">
        <f t="shared" si="255"/>
        <v>46054</v>
      </c>
      <c r="I604" s="75">
        <f t="shared" si="256"/>
        <v>46061</v>
      </c>
      <c r="J604" s="75">
        <v>46076</v>
      </c>
      <c r="K604" s="81">
        <f t="shared" si="243"/>
        <v>30</v>
      </c>
      <c r="L604" s="79">
        <v>13.41</v>
      </c>
      <c r="M604" s="79">
        <v>12.54</v>
      </c>
      <c r="N604" s="25">
        <f t="shared" si="250"/>
        <v>0.87000000000000099</v>
      </c>
      <c r="O604" s="25" t="s">
        <v>545</v>
      </c>
    </row>
    <row r="605" spans="1:15" x14ac:dyDescent="0.25">
      <c r="A605" s="75">
        <v>46046</v>
      </c>
      <c r="B605" s="25" t="s">
        <v>382</v>
      </c>
      <c r="C605" s="25"/>
      <c r="D605" s="75">
        <f t="shared" si="251"/>
        <v>46069</v>
      </c>
      <c r="E605" s="75">
        <f t="shared" si="252"/>
        <v>46053</v>
      </c>
      <c r="F605" s="75">
        <f t="shared" si="253"/>
        <v>46060</v>
      </c>
      <c r="G605" s="75">
        <f t="shared" si="254"/>
        <v>46066</v>
      </c>
      <c r="H605" s="75">
        <f t="shared" si="255"/>
        <v>46054</v>
      </c>
      <c r="I605" s="75">
        <f t="shared" si="256"/>
        <v>46061</v>
      </c>
      <c r="J605" s="75">
        <v>46076</v>
      </c>
      <c r="K605" s="81">
        <f t="shared" si="243"/>
        <v>30</v>
      </c>
      <c r="L605" s="79">
        <v>13.05</v>
      </c>
      <c r="M605" s="79">
        <v>11.73</v>
      </c>
      <c r="N605" s="25">
        <f t="shared" si="250"/>
        <v>1.3200000000000003</v>
      </c>
      <c r="O605" s="25" t="s">
        <v>545</v>
      </c>
    </row>
    <row r="606" spans="1:15" x14ac:dyDescent="0.25">
      <c r="A606" s="75">
        <v>46046</v>
      </c>
      <c r="B606" s="25" t="s">
        <v>383</v>
      </c>
      <c r="C606" s="25"/>
      <c r="D606" s="75">
        <f t="shared" si="251"/>
        <v>46069</v>
      </c>
      <c r="E606" s="75">
        <f t="shared" si="252"/>
        <v>46053</v>
      </c>
      <c r="F606" s="75">
        <f t="shared" si="253"/>
        <v>46060</v>
      </c>
      <c r="G606" s="75">
        <f t="shared" si="254"/>
        <v>46066</v>
      </c>
      <c r="H606" s="75">
        <f t="shared" si="255"/>
        <v>46054</v>
      </c>
      <c r="I606" s="75">
        <f t="shared" si="256"/>
        <v>46061</v>
      </c>
      <c r="J606" s="75">
        <v>46076</v>
      </c>
      <c r="K606" s="81">
        <f t="shared" si="243"/>
        <v>30</v>
      </c>
      <c r="L606" s="79">
        <v>12.36</v>
      </c>
      <c r="M606" s="79">
        <v>11.54</v>
      </c>
      <c r="N606" s="25">
        <f t="shared" si="250"/>
        <v>0.82000000000000028</v>
      </c>
      <c r="O606" s="25" t="s">
        <v>545</v>
      </c>
    </row>
    <row r="607" spans="1:15" x14ac:dyDescent="0.25">
      <c r="A607" s="75">
        <v>46046</v>
      </c>
      <c r="B607" s="25" t="s">
        <v>384</v>
      </c>
      <c r="C607" s="25"/>
      <c r="D607" s="75">
        <f t="shared" si="251"/>
        <v>46069</v>
      </c>
      <c r="E607" s="75">
        <f t="shared" si="252"/>
        <v>46053</v>
      </c>
      <c r="F607" s="75">
        <f t="shared" si="253"/>
        <v>46060</v>
      </c>
      <c r="G607" s="75">
        <f t="shared" si="254"/>
        <v>46066</v>
      </c>
      <c r="H607" s="75">
        <f t="shared" si="255"/>
        <v>46054</v>
      </c>
      <c r="I607" s="75">
        <f t="shared" si="256"/>
        <v>46061</v>
      </c>
      <c r="J607" s="75">
        <v>46075</v>
      </c>
      <c r="K607" s="81">
        <f t="shared" si="243"/>
        <v>29</v>
      </c>
      <c r="L607" s="79">
        <v>14.39</v>
      </c>
      <c r="M607" s="79">
        <v>13.24</v>
      </c>
      <c r="N607" s="25">
        <f t="shared" si="250"/>
        <v>1.1500000000000004</v>
      </c>
      <c r="O607" s="25" t="s">
        <v>545</v>
      </c>
    </row>
    <row r="608" spans="1:15" x14ac:dyDescent="0.25">
      <c r="A608" s="75">
        <v>46046</v>
      </c>
      <c r="B608" s="25" t="s">
        <v>385</v>
      </c>
      <c r="C608" s="25"/>
      <c r="D608" s="75">
        <f t="shared" si="251"/>
        <v>46069</v>
      </c>
      <c r="E608" s="75">
        <f t="shared" si="252"/>
        <v>46053</v>
      </c>
      <c r="F608" s="75">
        <f t="shared" si="253"/>
        <v>46060</v>
      </c>
      <c r="G608" s="75">
        <f t="shared" si="254"/>
        <v>46066</v>
      </c>
      <c r="H608" s="75">
        <f t="shared" si="255"/>
        <v>46054</v>
      </c>
      <c r="I608" s="75">
        <f t="shared" si="256"/>
        <v>46061</v>
      </c>
      <c r="J608" s="75">
        <v>46075</v>
      </c>
      <c r="K608" s="81">
        <f t="shared" si="243"/>
        <v>29</v>
      </c>
      <c r="L608" s="79">
        <v>14.28</v>
      </c>
      <c r="M608" s="79">
        <v>13.97</v>
      </c>
      <c r="N608" s="25">
        <f t="shared" si="250"/>
        <v>0.30999999999999872</v>
      </c>
      <c r="O608" s="25" t="s">
        <v>545</v>
      </c>
    </row>
    <row r="609" spans="1:15" x14ac:dyDescent="0.25">
      <c r="A609" s="75">
        <v>46046</v>
      </c>
      <c r="B609" s="25" t="s">
        <v>386</v>
      </c>
      <c r="C609" s="25"/>
      <c r="D609" s="75">
        <f t="shared" si="251"/>
        <v>46069</v>
      </c>
      <c r="E609" s="75">
        <f t="shared" si="252"/>
        <v>46053</v>
      </c>
      <c r="F609" s="75">
        <f t="shared" si="253"/>
        <v>46060</v>
      </c>
      <c r="G609" s="75">
        <f t="shared" si="254"/>
        <v>46066</v>
      </c>
      <c r="H609" s="75">
        <f t="shared" si="255"/>
        <v>46054</v>
      </c>
      <c r="I609" s="75">
        <f t="shared" si="256"/>
        <v>46061</v>
      </c>
      <c r="J609" s="75">
        <v>46075</v>
      </c>
      <c r="K609" s="81">
        <f t="shared" si="243"/>
        <v>29</v>
      </c>
      <c r="L609" s="79">
        <v>13.9</v>
      </c>
      <c r="M609" s="79">
        <v>12.38</v>
      </c>
      <c r="N609" s="25">
        <f t="shared" si="250"/>
        <v>1.5199999999999996</v>
      </c>
      <c r="O609" s="25" t="s">
        <v>545</v>
      </c>
    </row>
    <row r="610" spans="1:15" x14ac:dyDescent="0.25">
      <c r="A610" s="75">
        <v>46047</v>
      </c>
      <c r="B610" s="25" t="s">
        <v>417</v>
      </c>
      <c r="C610" s="25"/>
      <c r="D610" s="75">
        <f t="shared" si="251"/>
        <v>46070</v>
      </c>
      <c r="E610" s="75">
        <f t="shared" si="252"/>
        <v>46054</v>
      </c>
      <c r="F610" s="75">
        <f t="shared" si="253"/>
        <v>46061</v>
      </c>
      <c r="G610" s="75">
        <f t="shared" si="254"/>
        <v>46067</v>
      </c>
      <c r="H610" s="75">
        <f t="shared" si="255"/>
        <v>46055</v>
      </c>
      <c r="I610" s="75">
        <f t="shared" si="256"/>
        <v>46062</v>
      </c>
      <c r="J610" s="75">
        <v>46078</v>
      </c>
      <c r="K610" s="81">
        <f t="shared" si="243"/>
        <v>31</v>
      </c>
      <c r="L610" s="79">
        <v>12.59</v>
      </c>
      <c r="M610" s="79">
        <v>11.36</v>
      </c>
      <c r="N610" s="25">
        <f t="shared" si="250"/>
        <v>1.2300000000000004</v>
      </c>
      <c r="O610" s="25" t="s">
        <v>545</v>
      </c>
    </row>
    <row r="611" spans="1:15" x14ac:dyDescent="0.25">
      <c r="A611" s="75">
        <v>46047</v>
      </c>
      <c r="B611" s="25" t="s">
        <v>418</v>
      </c>
      <c r="C611" s="25"/>
      <c r="D611" s="75">
        <f t="shared" si="251"/>
        <v>46070</v>
      </c>
      <c r="E611" s="75">
        <f t="shared" si="252"/>
        <v>46054</v>
      </c>
      <c r="F611" s="75">
        <f t="shared" si="253"/>
        <v>46061</v>
      </c>
      <c r="G611" s="75">
        <f t="shared" si="254"/>
        <v>46067</v>
      </c>
      <c r="H611" s="75">
        <f t="shared" si="255"/>
        <v>46055</v>
      </c>
      <c r="I611" s="75">
        <f t="shared" si="256"/>
        <v>46062</v>
      </c>
      <c r="J611" s="75">
        <v>46078</v>
      </c>
      <c r="K611" s="81">
        <f t="shared" si="243"/>
        <v>31</v>
      </c>
      <c r="L611" s="79">
        <v>11.78</v>
      </c>
      <c r="M611" s="79">
        <v>10.65</v>
      </c>
      <c r="N611" s="25">
        <f t="shared" si="250"/>
        <v>1.129999999999999</v>
      </c>
      <c r="O611" s="25" t="s">
        <v>545</v>
      </c>
    </row>
    <row r="612" spans="1:15" x14ac:dyDescent="0.25">
      <c r="A612" s="75">
        <v>46047</v>
      </c>
      <c r="B612" s="25" t="s">
        <v>419</v>
      </c>
      <c r="C612" s="25"/>
      <c r="D612" s="75">
        <f t="shared" si="251"/>
        <v>46070</v>
      </c>
      <c r="E612" s="75">
        <f t="shared" si="252"/>
        <v>46054</v>
      </c>
      <c r="F612" s="75">
        <f t="shared" si="253"/>
        <v>46061</v>
      </c>
      <c r="G612" s="75">
        <f t="shared" si="254"/>
        <v>46067</v>
      </c>
      <c r="H612" s="75">
        <f t="shared" si="255"/>
        <v>46055</v>
      </c>
      <c r="I612" s="75">
        <f t="shared" si="256"/>
        <v>46062</v>
      </c>
      <c r="J612" s="75">
        <v>46078</v>
      </c>
      <c r="K612" s="81">
        <f t="shared" si="243"/>
        <v>31</v>
      </c>
      <c r="L612" s="79">
        <v>12.63</v>
      </c>
      <c r="M612" s="79">
        <v>11.48</v>
      </c>
      <c r="N612" s="25">
        <f t="shared" si="250"/>
        <v>1.1500000000000004</v>
      </c>
      <c r="O612" s="25" t="s">
        <v>545</v>
      </c>
    </row>
    <row r="613" spans="1:15" x14ac:dyDescent="0.25">
      <c r="A613" s="75">
        <v>46047</v>
      </c>
      <c r="B613" s="25" t="s">
        <v>420</v>
      </c>
      <c r="C613" s="25"/>
      <c r="D613" s="75">
        <f t="shared" si="251"/>
        <v>46070</v>
      </c>
      <c r="E613" s="75">
        <f t="shared" si="252"/>
        <v>46054</v>
      </c>
      <c r="F613" s="75">
        <f t="shared" si="253"/>
        <v>46061</v>
      </c>
      <c r="G613" s="75">
        <f t="shared" si="254"/>
        <v>46067</v>
      </c>
      <c r="H613" s="75">
        <f t="shared" si="255"/>
        <v>46055</v>
      </c>
      <c r="I613" s="75">
        <f t="shared" si="256"/>
        <v>46062</v>
      </c>
      <c r="J613" s="75">
        <v>46078</v>
      </c>
      <c r="K613" s="81">
        <f t="shared" si="243"/>
        <v>31</v>
      </c>
      <c r="L613" s="79">
        <v>11.48</v>
      </c>
      <c r="M613" s="79">
        <v>10.81</v>
      </c>
      <c r="N613" s="25">
        <f t="shared" si="250"/>
        <v>0.66999999999999993</v>
      </c>
      <c r="O613" s="25" t="s">
        <v>545</v>
      </c>
    </row>
    <row r="614" spans="1:15" x14ac:dyDescent="0.25">
      <c r="A614" s="75">
        <v>46047</v>
      </c>
      <c r="B614" s="25" t="s">
        <v>421</v>
      </c>
      <c r="C614" s="25"/>
      <c r="D614" s="75">
        <f t="shared" si="251"/>
        <v>46070</v>
      </c>
      <c r="E614" s="75">
        <f t="shared" si="252"/>
        <v>46054</v>
      </c>
      <c r="F614" s="75">
        <f t="shared" si="253"/>
        <v>46061</v>
      </c>
      <c r="G614" s="75">
        <f t="shared" si="254"/>
        <v>46067</v>
      </c>
      <c r="H614" s="75">
        <f t="shared" si="255"/>
        <v>46055</v>
      </c>
      <c r="I614" s="75">
        <f t="shared" si="256"/>
        <v>46062</v>
      </c>
      <c r="J614" s="75">
        <v>46079</v>
      </c>
      <c r="K614" s="81">
        <f t="shared" si="243"/>
        <v>32</v>
      </c>
      <c r="L614" s="87">
        <v>11.73</v>
      </c>
      <c r="M614" s="87">
        <v>10.58</v>
      </c>
      <c r="N614" s="88">
        <f t="shared" si="250"/>
        <v>1.1500000000000004</v>
      </c>
      <c r="O614" s="80" t="s">
        <v>545</v>
      </c>
    </row>
    <row r="615" spans="1:15" x14ac:dyDescent="0.25">
      <c r="A615" s="75">
        <v>46047</v>
      </c>
      <c r="B615" s="25" t="s">
        <v>422</v>
      </c>
      <c r="C615" s="25"/>
      <c r="D615" s="75">
        <f t="shared" si="251"/>
        <v>46070</v>
      </c>
      <c r="E615" s="75">
        <f t="shared" si="252"/>
        <v>46054</v>
      </c>
      <c r="F615" s="75">
        <f t="shared" si="253"/>
        <v>46061</v>
      </c>
      <c r="G615" s="75">
        <f t="shared" si="254"/>
        <v>46067</v>
      </c>
      <c r="H615" s="75">
        <f t="shared" si="255"/>
        <v>46055</v>
      </c>
      <c r="I615" s="75">
        <f t="shared" si="256"/>
        <v>46062</v>
      </c>
      <c r="J615" s="75">
        <v>46079</v>
      </c>
      <c r="K615" s="81">
        <f t="shared" si="243"/>
        <v>32</v>
      </c>
      <c r="L615" s="87">
        <v>12.38</v>
      </c>
      <c r="M615" s="87">
        <v>11.21</v>
      </c>
      <c r="N615" s="88">
        <f t="shared" si="250"/>
        <v>1.17</v>
      </c>
      <c r="O615" s="80" t="s">
        <v>545</v>
      </c>
    </row>
    <row r="616" spans="1:15" x14ac:dyDescent="0.25">
      <c r="A616" s="75">
        <v>46047</v>
      </c>
      <c r="B616" s="25" t="s">
        <v>423</v>
      </c>
      <c r="C616" s="25"/>
      <c r="D616" s="75">
        <f t="shared" si="251"/>
        <v>46070</v>
      </c>
      <c r="E616" s="75">
        <f t="shared" si="252"/>
        <v>46054</v>
      </c>
      <c r="F616" s="75">
        <f t="shared" si="253"/>
        <v>46061</v>
      </c>
      <c r="G616" s="75">
        <f t="shared" si="254"/>
        <v>46067</v>
      </c>
      <c r="H616" s="75">
        <f t="shared" si="255"/>
        <v>46055</v>
      </c>
      <c r="I616" s="75">
        <f t="shared" si="256"/>
        <v>46062</v>
      </c>
      <c r="J616" s="75">
        <v>46079</v>
      </c>
      <c r="K616" s="81">
        <f t="shared" si="243"/>
        <v>32</v>
      </c>
      <c r="L616" s="87">
        <v>11.84</v>
      </c>
      <c r="M616" s="87">
        <v>10.63</v>
      </c>
      <c r="N616" s="88">
        <f t="shared" si="250"/>
        <v>1.2099999999999991</v>
      </c>
      <c r="O616" s="80" t="s">
        <v>545</v>
      </c>
    </row>
    <row r="617" spans="1:15" x14ac:dyDescent="0.25">
      <c r="A617" s="75">
        <v>46048</v>
      </c>
      <c r="B617" s="25" t="s">
        <v>511</v>
      </c>
      <c r="C617" s="25"/>
      <c r="D617" s="75">
        <f t="shared" si="251"/>
        <v>46071</v>
      </c>
      <c r="E617" s="75">
        <f t="shared" si="252"/>
        <v>46055</v>
      </c>
      <c r="F617" s="75">
        <f t="shared" si="253"/>
        <v>46062</v>
      </c>
      <c r="G617" s="75">
        <f t="shared" si="254"/>
        <v>46068</v>
      </c>
      <c r="H617" s="75">
        <f t="shared" si="255"/>
        <v>46056</v>
      </c>
      <c r="I617" s="75">
        <f t="shared" si="256"/>
        <v>46063</v>
      </c>
      <c r="J617" s="75">
        <v>46079</v>
      </c>
      <c r="K617" s="81">
        <f>J617-A617</f>
        <v>31</v>
      </c>
      <c r="L617" s="87">
        <v>13.51</v>
      </c>
      <c r="M617" s="87">
        <v>12.36</v>
      </c>
      <c r="N617" s="88">
        <f>L617-M617</f>
        <v>1.1500000000000004</v>
      </c>
      <c r="O617" s="80" t="s">
        <v>545</v>
      </c>
    </row>
    <row r="618" spans="1:15" x14ac:dyDescent="0.25">
      <c r="A618" s="75">
        <v>46048</v>
      </c>
      <c r="B618" s="25" t="s">
        <v>512</v>
      </c>
      <c r="C618" s="25"/>
      <c r="D618" s="75">
        <f t="shared" si="251"/>
        <v>46071</v>
      </c>
      <c r="E618" s="75">
        <f t="shared" si="252"/>
        <v>46055</v>
      </c>
      <c r="F618" s="75">
        <f t="shared" si="253"/>
        <v>46062</v>
      </c>
      <c r="G618" s="75">
        <f t="shared" si="254"/>
        <v>46068</v>
      </c>
      <c r="H618" s="75">
        <f t="shared" si="255"/>
        <v>46056</v>
      </c>
      <c r="I618" s="75">
        <f t="shared" si="256"/>
        <v>46063</v>
      </c>
      <c r="J618" s="75">
        <v>46080</v>
      </c>
      <c r="K618" s="81">
        <f>J618-A618</f>
        <v>32</v>
      </c>
      <c r="L618" s="79">
        <v>12.41</v>
      </c>
      <c r="M618" s="79">
        <v>11.73</v>
      </c>
      <c r="N618" s="25">
        <v>0.67999999999999972</v>
      </c>
      <c r="O618" s="25" t="s">
        <v>545</v>
      </c>
    </row>
    <row r="619" spans="1:15" x14ac:dyDescent="0.25">
      <c r="A619" s="75">
        <v>46048</v>
      </c>
      <c r="B619" s="25" t="s">
        <v>513</v>
      </c>
      <c r="C619" s="25"/>
      <c r="D619" s="75">
        <f t="shared" si="251"/>
        <v>46071</v>
      </c>
      <c r="E619" s="75">
        <f t="shared" si="252"/>
        <v>46055</v>
      </c>
      <c r="F619" s="75">
        <f t="shared" si="253"/>
        <v>46062</v>
      </c>
      <c r="G619" s="75">
        <f t="shared" si="254"/>
        <v>46068</v>
      </c>
      <c r="H619" s="75">
        <f t="shared" si="255"/>
        <v>46056</v>
      </c>
      <c r="I619" s="75">
        <f t="shared" si="256"/>
        <v>46063</v>
      </c>
      <c r="J619" s="75">
        <v>46080</v>
      </c>
      <c r="K619" s="81">
        <f t="shared" ref="K619:K627" si="257">J619-A619</f>
        <v>32</v>
      </c>
      <c r="L619" s="79">
        <v>11.58</v>
      </c>
      <c r="M619" s="79">
        <v>10.24</v>
      </c>
      <c r="N619" s="25">
        <v>1.3399999999999999</v>
      </c>
      <c r="O619" s="25" t="s">
        <v>545</v>
      </c>
    </row>
    <row r="620" spans="1:15" x14ac:dyDescent="0.25">
      <c r="A620" s="75">
        <v>46048</v>
      </c>
      <c r="B620" s="25" t="s">
        <v>514</v>
      </c>
      <c r="C620" s="25"/>
      <c r="D620" s="75">
        <f t="shared" si="251"/>
        <v>46071</v>
      </c>
      <c r="E620" s="75">
        <f t="shared" si="252"/>
        <v>46055</v>
      </c>
      <c r="F620" s="75">
        <f t="shared" si="253"/>
        <v>46062</v>
      </c>
      <c r="G620" s="75">
        <f t="shared" si="254"/>
        <v>46068</v>
      </c>
      <c r="H620" s="75">
        <f t="shared" si="255"/>
        <v>46056</v>
      </c>
      <c r="I620" s="75">
        <f t="shared" si="256"/>
        <v>46063</v>
      </c>
      <c r="J620" s="75">
        <v>46080</v>
      </c>
      <c r="K620" s="81">
        <f t="shared" si="257"/>
        <v>32</v>
      </c>
      <c r="L620" s="79">
        <v>10.73</v>
      </c>
      <c r="M620" s="79">
        <v>9.31</v>
      </c>
      <c r="N620" s="25">
        <v>1.42</v>
      </c>
      <c r="O620" s="25" t="s">
        <v>545</v>
      </c>
    </row>
    <row r="621" spans="1:15" x14ac:dyDescent="0.25">
      <c r="A621" s="75">
        <v>46048</v>
      </c>
      <c r="B621" s="25" t="s">
        <v>515</v>
      </c>
      <c r="C621" s="25"/>
      <c r="D621" s="75">
        <f t="shared" si="251"/>
        <v>46071</v>
      </c>
      <c r="E621" s="75">
        <f t="shared" si="252"/>
        <v>46055</v>
      </c>
      <c r="F621" s="75">
        <f t="shared" si="253"/>
        <v>46062</v>
      </c>
      <c r="G621" s="75">
        <f t="shared" si="254"/>
        <v>46068</v>
      </c>
      <c r="H621" s="75">
        <f t="shared" si="255"/>
        <v>46056</v>
      </c>
      <c r="I621" s="75">
        <f t="shared" si="256"/>
        <v>46063</v>
      </c>
      <c r="J621" s="75">
        <v>46080</v>
      </c>
      <c r="K621" s="81">
        <f t="shared" si="257"/>
        <v>32</v>
      </c>
      <c r="L621" s="79">
        <v>9.58</v>
      </c>
      <c r="M621" s="79">
        <v>8.1999999999999993</v>
      </c>
      <c r="N621" s="25">
        <v>1.3800000000000008</v>
      </c>
      <c r="O621" s="25" t="s">
        <v>545</v>
      </c>
    </row>
    <row r="622" spans="1:15" x14ac:dyDescent="0.25">
      <c r="A622" s="75">
        <v>46048</v>
      </c>
      <c r="B622" s="25" t="s">
        <v>516</v>
      </c>
      <c r="C622" s="25"/>
      <c r="D622" s="75">
        <f t="shared" si="251"/>
        <v>46071</v>
      </c>
      <c r="E622" s="75">
        <f t="shared" si="252"/>
        <v>46055</v>
      </c>
      <c r="F622" s="75">
        <f t="shared" si="253"/>
        <v>46062</v>
      </c>
      <c r="G622" s="75">
        <f t="shared" si="254"/>
        <v>46068</v>
      </c>
      <c r="H622" s="75">
        <f t="shared" si="255"/>
        <v>46056</v>
      </c>
      <c r="I622" s="75">
        <f t="shared" si="256"/>
        <v>46063</v>
      </c>
      <c r="J622" s="75">
        <v>46080</v>
      </c>
      <c r="K622" s="81">
        <f t="shared" si="257"/>
        <v>32</v>
      </c>
      <c r="L622" s="79">
        <v>10.71</v>
      </c>
      <c r="M622" s="79">
        <v>9.11</v>
      </c>
      <c r="N622" s="25">
        <v>1.6000000000000014</v>
      </c>
      <c r="O622" s="25" t="s">
        <v>545</v>
      </c>
    </row>
    <row r="623" spans="1:15" x14ac:dyDescent="0.25">
      <c r="A623" s="75">
        <v>46048</v>
      </c>
      <c r="B623" s="25" t="s">
        <v>517</v>
      </c>
      <c r="C623" s="25"/>
      <c r="D623" s="75">
        <f t="shared" si="251"/>
        <v>46071</v>
      </c>
      <c r="E623" s="75">
        <f t="shared" si="252"/>
        <v>46055</v>
      </c>
      <c r="F623" s="75">
        <f t="shared" si="253"/>
        <v>46062</v>
      </c>
      <c r="G623" s="75">
        <f t="shared" si="254"/>
        <v>46068</v>
      </c>
      <c r="H623" s="75">
        <f t="shared" si="255"/>
        <v>46056</v>
      </c>
      <c r="I623" s="75">
        <f t="shared" si="256"/>
        <v>46063</v>
      </c>
      <c r="J623" s="75">
        <v>46080</v>
      </c>
      <c r="K623" s="81">
        <f t="shared" si="257"/>
        <v>32</v>
      </c>
      <c r="L623" s="79">
        <v>11.35</v>
      </c>
      <c r="M623" s="79">
        <v>10.56</v>
      </c>
      <c r="N623" s="25">
        <v>0.78999999999999915</v>
      </c>
      <c r="O623" s="25" t="s">
        <v>545</v>
      </c>
    </row>
    <row r="624" spans="1:15" x14ac:dyDescent="0.25">
      <c r="A624" s="75">
        <v>46049</v>
      </c>
      <c r="B624" s="25" t="s">
        <v>518</v>
      </c>
      <c r="C624" s="25"/>
      <c r="D624" s="75">
        <f t="shared" si="251"/>
        <v>46072</v>
      </c>
      <c r="E624" s="75">
        <f t="shared" si="252"/>
        <v>46056</v>
      </c>
      <c r="F624" s="75">
        <f t="shared" si="253"/>
        <v>46063</v>
      </c>
      <c r="G624" s="75">
        <f t="shared" si="254"/>
        <v>46069</v>
      </c>
      <c r="H624" s="75">
        <f t="shared" si="255"/>
        <v>46057</v>
      </c>
      <c r="I624" s="75">
        <f t="shared" si="256"/>
        <v>46064</v>
      </c>
      <c r="J624" s="75">
        <v>46080</v>
      </c>
      <c r="K624" s="81">
        <f t="shared" si="257"/>
        <v>31</v>
      </c>
      <c r="L624" s="79">
        <v>12.49</v>
      </c>
      <c r="M624" s="79">
        <v>11.81</v>
      </c>
      <c r="N624" s="25">
        <v>0.67999999999999972</v>
      </c>
      <c r="O624" s="25" t="s">
        <v>545</v>
      </c>
    </row>
    <row r="625" spans="1:15" x14ac:dyDescent="0.25">
      <c r="A625" s="75">
        <v>46049</v>
      </c>
      <c r="B625" s="25" t="s">
        <v>519</v>
      </c>
      <c r="C625" s="25"/>
      <c r="D625" s="75">
        <f t="shared" si="251"/>
        <v>46072</v>
      </c>
      <c r="E625" s="75">
        <f t="shared" si="252"/>
        <v>46056</v>
      </c>
      <c r="F625" s="75">
        <f t="shared" si="253"/>
        <v>46063</v>
      </c>
      <c r="G625" s="75">
        <f t="shared" si="254"/>
        <v>46069</v>
      </c>
      <c r="H625" s="75">
        <f t="shared" si="255"/>
        <v>46057</v>
      </c>
      <c r="I625" s="75">
        <f t="shared" si="256"/>
        <v>46064</v>
      </c>
      <c r="J625" s="75">
        <v>46080</v>
      </c>
      <c r="K625" s="81">
        <f t="shared" si="257"/>
        <v>31</v>
      </c>
      <c r="L625" s="79">
        <v>13.62</v>
      </c>
      <c r="M625" s="79">
        <v>12.24</v>
      </c>
      <c r="N625" s="25">
        <v>1.379999999999999</v>
      </c>
      <c r="O625" s="25" t="s">
        <v>545</v>
      </c>
    </row>
    <row r="626" spans="1:15" x14ac:dyDescent="0.25">
      <c r="A626" s="75">
        <v>46049</v>
      </c>
      <c r="B626" s="25" t="s">
        <v>520</v>
      </c>
      <c r="C626" s="25"/>
      <c r="D626" s="75">
        <f t="shared" si="251"/>
        <v>46072</v>
      </c>
      <c r="E626" s="75">
        <f t="shared" si="252"/>
        <v>46056</v>
      </c>
      <c r="F626" s="75">
        <f t="shared" si="253"/>
        <v>46063</v>
      </c>
      <c r="G626" s="75">
        <f t="shared" si="254"/>
        <v>46069</v>
      </c>
      <c r="H626" s="75">
        <f t="shared" si="255"/>
        <v>46057</v>
      </c>
      <c r="I626" s="75">
        <f t="shared" si="256"/>
        <v>46064</v>
      </c>
      <c r="J626" s="75">
        <v>46080</v>
      </c>
      <c r="K626" s="81">
        <f t="shared" si="257"/>
        <v>31</v>
      </c>
      <c r="L626" s="79">
        <v>13.87</v>
      </c>
      <c r="M626" s="79">
        <v>12.56</v>
      </c>
      <c r="N626" s="25">
        <v>1.3099999999999987</v>
      </c>
      <c r="O626" s="25" t="s">
        <v>545</v>
      </c>
    </row>
    <row r="627" spans="1:15" x14ac:dyDescent="0.25">
      <c r="A627" s="75">
        <v>46049</v>
      </c>
      <c r="B627" s="25" t="s">
        <v>521</v>
      </c>
      <c r="C627" s="25"/>
      <c r="D627" s="75">
        <f t="shared" si="251"/>
        <v>46072</v>
      </c>
      <c r="E627" s="75">
        <f t="shared" si="252"/>
        <v>46056</v>
      </c>
      <c r="F627" s="75">
        <f t="shared" si="253"/>
        <v>46063</v>
      </c>
      <c r="G627" s="75">
        <f t="shared" si="254"/>
        <v>46069</v>
      </c>
      <c r="H627" s="75">
        <f t="shared" si="255"/>
        <v>46057</v>
      </c>
      <c r="I627" s="75">
        <f t="shared" si="256"/>
        <v>46064</v>
      </c>
      <c r="J627" s="75">
        <v>46080</v>
      </c>
      <c r="K627" s="81">
        <f t="shared" si="257"/>
        <v>31</v>
      </c>
      <c r="L627" s="79">
        <v>14.26</v>
      </c>
      <c r="M627" s="79">
        <v>13.38</v>
      </c>
      <c r="N627" s="25">
        <v>0.87999999999999901</v>
      </c>
      <c r="O627" s="25" t="s">
        <v>545</v>
      </c>
    </row>
    <row r="628" spans="1:15" x14ac:dyDescent="0.25">
      <c r="A628" s="75">
        <v>46049</v>
      </c>
      <c r="B628" s="25" t="s">
        <v>522</v>
      </c>
      <c r="C628" s="25" t="s">
        <v>567</v>
      </c>
      <c r="D628" s="75">
        <v>46072</v>
      </c>
      <c r="E628" s="75">
        <v>46056</v>
      </c>
      <c r="F628" s="75">
        <v>46063</v>
      </c>
      <c r="G628" s="75">
        <v>46069</v>
      </c>
      <c r="H628" s="75">
        <v>46057</v>
      </c>
      <c r="I628" s="75">
        <v>46064</v>
      </c>
      <c r="J628" s="75">
        <v>46080</v>
      </c>
      <c r="K628" s="81">
        <v>31</v>
      </c>
      <c r="L628" s="79">
        <v>14.19</v>
      </c>
      <c r="M628" s="79">
        <v>13.1</v>
      </c>
      <c r="N628" s="25">
        <v>1.0899999999999999</v>
      </c>
      <c r="O628" s="25" t="s">
        <v>545</v>
      </c>
    </row>
    <row r="629" spans="1:15" x14ac:dyDescent="0.25">
      <c r="A629" s="75">
        <v>46049</v>
      </c>
      <c r="B629" s="25" t="s">
        <v>523</v>
      </c>
      <c r="C629" s="25" t="s">
        <v>568</v>
      </c>
      <c r="D629" s="75">
        <v>46072</v>
      </c>
      <c r="E629" s="75">
        <v>46056</v>
      </c>
      <c r="F629" s="75">
        <v>46063</v>
      </c>
      <c r="G629" s="75">
        <v>46069</v>
      </c>
      <c r="H629" s="75">
        <v>46057</v>
      </c>
      <c r="I629" s="75">
        <v>46064</v>
      </c>
      <c r="J629" s="75">
        <v>46081</v>
      </c>
      <c r="K629" s="25">
        <v>32</v>
      </c>
      <c r="L629" s="79">
        <v>12.67</v>
      </c>
      <c r="M629" s="79">
        <v>11.35</v>
      </c>
      <c r="N629" s="25">
        <v>1.3200000000000003</v>
      </c>
      <c r="O629" s="25" t="s">
        <v>545</v>
      </c>
    </row>
    <row r="630" spans="1:15" x14ac:dyDescent="0.25">
      <c r="A630" s="75">
        <v>46049</v>
      </c>
      <c r="B630" s="25" t="s">
        <v>524</v>
      </c>
      <c r="C630" s="25" t="s">
        <v>569</v>
      </c>
      <c r="D630" s="75">
        <v>46072</v>
      </c>
      <c r="E630" s="75">
        <v>46056</v>
      </c>
      <c r="F630" s="75">
        <v>46063</v>
      </c>
      <c r="G630" s="75">
        <v>46069</v>
      </c>
      <c r="H630" s="75">
        <v>46057</v>
      </c>
      <c r="I630" s="75">
        <v>46064</v>
      </c>
      <c r="J630" s="75">
        <v>46081</v>
      </c>
      <c r="K630" s="25">
        <v>32</v>
      </c>
      <c r="L630" s="79">
        <v>13.06</v>
      </c>
      <c r="M630" s="79">
        <v>11.73</v>
      </c>
      <c r="N630" s="25">
        <v>1.33</v>
      </c>
      <c r="O630" s="25" t="s">
        <v>545</v>
      </c>
    </row>
    <row r="631" spans="1:15" x14ac:dyDescent="0.25">
      <c r="A631" s="75">
        <v>46050</v>
      </c>
      <c r="B631" s="25" t="s">
        <v>525</v>
      </c>
      <c r="C631" s="25" t="s">
        <v>570</v>
      </c>
      <c r="D631" s="75">
        <v>46073</v>
      </c>
      <c r="E631" s="75">
        <v>46057</v>
      </c>
      <c r="F631" s="75">
        <v>46064</v>
      </c>
      <c r="G631" s="75">
        <v>46070</v>
      </c>
      <c r="H631" s="75">
        <v>46058</v>
      </c>
      <c r="I631" s="75">
        <v>46065</v>
      </c>
      <c r="J631" s="75">
        <v>46081</v>
      </c>
      <c r="K631" s="25">
        <v>31</v>
      </c>
      <c r="L631" s="79">
        <v>11.52</v>
      </c>
      <c r="M631" s="79">
        <v>10.28</v>
      </c>
      <c r="N631" s="25">
        <v>1.2400000000000002</v>
      </c>
      <c r="O631" s="25" t="s">
        <v>545</v>
      </c>
    </row>
    <row r="632" spans="1:15" x14ac:dyDescent="0.25">
      <c r="A632" s="75">
        <v>46050</v>
      </c>
      <c r="B632" s="25" t="s">
        <v>526</v>
      </c>
      <c r="C632" s="25" t="s">
        <v>571</v>
      </c>
      <c r="D632" s="75">
        <v>46073</v>
      </c>
      <c r="E632" s="75">
        <v>46057</v>
      </c>
      <c r="F632" s="75">
        <v>46064</v>
      </c>
      <c r="G632" s="75">
        <v>46070</v>
      </c>
      <c r="H632" s="75">
        <v>46058</v>
      </c>
      <c r="I632" s="75">
        <v>46065</v>
      </c>
      <c r="J632" s="75">
        <v>46081</v>
      </c>
      <c r="K632" s="25">
        <v>31</v>
      </c>
      <c r="L632" s="79">
        <v>11.43</v>
      </c>
      <c r="M632" s="79">
        <v>10.15</v>
      </c>
      <c r="N632" s="25">
        <v>1.2799999999999994</v>
      </c>
      <c r="O632" s="25" t="s">
        <v>545</v>
      </c>
    </row>
    <row r="633" spans="1:15" x14ac:dyDescent="0.25">
      <c r="A633" s="75">
        <v>46050</v>
      </c>
      <c r="B633" s="25" t="s">
        <v>527</v>
      </c>
      <c r="C633" s="25" t="s">
        <v>572</v>
      </c>
      <c r="D633" s="75">
        <v>46073</v>
      </c>
      <c r="E633" s="75">
        <v>46057</v>
      </c>
      <c r="F633" s="75">
        <v>46064</v>
      </c>
      <c r="G633" s="75">
        <v>46070</v>
      </c>
      <c r="H633" s="75">
        <v>46058</v>
      </c>
      <c r="I633" s="75">
        <v>46065</v>
      </c>
      <c r="J633" s="75">
        <v>46081</v>
      </c>
      <c r="K633" s="25">
        <v>31</v>
      </c>
      <c r="L633" s="79">
        <v>12.58</v>
      </c>
      <c r="M633" s="79">
        <v>11.21</v>
      </c>
      <c r="N633" s="25">
        <v>1.3699999999999992</v>
      </c>
      <c r="O633" s="25" t="s">
        <v>545</v>
      </c>
    </row>
    <row r="634" spans="1:15" x14ac:dyDescent="0.25">
      <c r="A634" s="75">
        <v>46050</v>
      </c>
      <c r="B634" s="25" t="s">
        <v>528</v>
      </c>
      <c r="C634" s="25" t="s">
        <v>573</v>
      </c>
      <c r="D634" s="75">
        <v>46073</v>
      </c>
      <c r="E634" s="75">
        <v>46057</v>
      </c>
      <c r="F634" s="75">
        <v>46064</v>
      </c>
      <c r="G634" s="75">
        <v>46070</v>
      </c>
      <c r="H634" s="75">
        <v>46058</v>
      </c>
      <c r="I634" s="75">
        <v>46065</v>
      </c>
      <c r="J634" s="75">
        <v>46081</v>
      </c>
      <c r="K634" s="25">
        <v>31</v>
      </c>
      <c r="L634" s="79">
        <v>10.17</v>
      </c>
      <c r="M634" s="79">
        <v>9.9700000000000006</v>
      </c>
      <c r="N634" s="25">
        <v>0.19999999999999929</v>
      </c>
      <c r="O634" s="25" t="s">
        <v>545</v>
      </c>
    </row>
    <row r="635" spans="1:15" x14ac:dyDescent="0.25">
      <c r="A635" s="75">
        <v>46050</v>
      </c>
      <c r="B635" s="25" t="s">
        <v>529</v>
      </c>
      <c r="C635" s="25" t="s">
        <v>574</v>
      </c>
      <c r="D635" s="75">
        <v>46073</v>
      </c>
      <c r="E635" s="75">
        <v>46057</v>
      </c>
      <c r="F635" s="75">
        <v>46064</v>
      </c>
      <c r="G635" s="75">
        <v>46070</v>
      </c>
      <c r="H635" s="75">
        <v>46058</v>
      </c>
      <c r="I635" s="75">
        <v>46065</v>
      </c>
      <c r="J635" s="75">
        <v>46081</v>
      </c>
      <c r="K635" s="25">
        <v>31</v>
      </c>
      <c r="L635" s="79">
        <v>10.86</v>
      </c>
      <c r="M635" s="79">
        <v>9.2799999999999994</v>
      </c>
      <c r="N635" s="25">
        <v>1.58</v>
      </c>
      <c r="O635" s="25" t="s">
        <v>545</v>
      </c>
    </row>
    <row r="636" spans="1:15" x14ac:dyDescent="0.25">
      <c r="A636" s="75">
        <v>46050</v>
      </c>
      <c r="B636" s="25" t="s">
        <v>530</v>
      </c>
      <c r="C636" s="25" t="s">
        <v>575</v>
      </c>
      <c r="D636" s="75">
        <v>46073</v>
      </c>
      <c r="E636" s="75">
        <v>46057</v>
      </c>
      <c r="F636" s="75">
        <v>46064</v>
      </c>
      <c r="G636" s="75">
        <v>46070</v>
      </c>
      <c r="H636" s="75">
        <v>46058</v>
      </c>
      <c r="I636" s="75">
        <v>46065</v>
      </c>
      <c r="J636" s="75">
        <v>46081</v>
      </c>
      <c r="K636" s="81">
        <v>31</v>
      </c>
      <c r="L636" s="87">
        <v>11.73</v>
      </c>
      <c r="M636" s="87">
        <v>11.15</v>
      </c>
      <c r="N636" s="88">
        <v>0.58000000000000007</v>
      </c>
      <c r="O636" s="80" t="s">
        <v>545</v>
      </c>
    </row>
    <row r="637" spans="1:15" x14ac:dyDescent="0.25">
      <c r="A637" s="75">
        <v>46050</v>
      </c>
      <c r="B637" s="25" t="s">
        <v>558</v>
      </c>
      <c r="C637" s="25" t="s">
        <v>576</v>
      </c>
      <c r="D637" s="75">
        <v>46073</v>
      </c>
      <c r="E637" s="75">
        <v>46057</v>
      </c>
      <c r="F637" s="75">
        <v>46064</v>
      </c>
      <c r="G637" s="75">
        <v>46070</v>
      </c>
      <c r="H637" s="75">
        <v>46058</v>
      </c>
      <c r="I637" s="75">
        <v>46065</v>
      </c>
      <c r="J637" s="75">
        <v>46079</v>
      </c>
      <c r="K637" s="81">
        <v>29</v>
      </c>
      <c r="L637" s="87">
        <v>12.39</v>
      </c>
      <c r="M637" s="87">
        <v>11.1</v>
      </c>
      <c r="N637" s="88">
        <v>1.2900000000000009</v>
      </c>
      <c r="O637" s="80" t="s">
        <v>545</v>
      </c>
    </row>
    <row r="638" spans="1:15" x14ac:dyDescent="0.25">
      <c r="A638" s="75">
        <v>46051</v>
      </c>
      <c r="B638" s="25" t="s">
        <v>410</v>
      </c>
      <c r="C638" s="25" t="s">
        <v>577</v>
      </c>
      <c r="D638" s="75">
        <v>46074</v>
      </c>
      <c r="E638" s="75">
        <v>46058</v>
      </c>
      <c r="F638" s="75">
        <v>46065</v>
      </c>
      <c r="G638" s="75">
        <v>46071</v>
      </c>
      <c r="H638" s="75">
        <v>46059</v>
      </c>
      <c r="I638" s="75">
        <v>46066</v>
      </c>
      <c r="J638" s="75">
        <v>46076</v>
      </c>
      <c r="K638" s="81">
        <v>25</v>
      </c>
      <c r="L638" s="79">
        <v>14.27</v>
      </c>
      <c r="M638" s="79">
        <v>13.11</v>
      </c>
      <c r="N638" s="25">
        <v>1.1600000000000001</v>
      </c>
      <c r="O638" s="25" t="s">
        <v>545</v>
      </c>
    </row>
    <row r="639" spans="1:15" x14ac:dyDescent="0.25">
      <c r="A639" s="75">
        <v>46051</v>
      </c>
      <c r="B639" s="25" t="s">
        <v>411</v>
      </c>
      <c r="C639" s="25" t="s">
        <v>578</v>
      </c>
      <c r="D639" s="75">
        <v>46074</v>
      </c>
      <c r="E639" s="75">
        <v>46058</v>
      </c>
      <c r="F639" s="75">
        <v>46065</v>
      </c>
      <c r="G639" s="75">
        <v>46071</v>
      </c>
      <c r="H639" s="75">
        <v>46059</v>
      </c>
      <c r="I639" s="75">
        <v>46066</v>
      </c>
      <c r="J639" s="75">
        <v>46076</v>
      </c>
      <c r="K639" s="81">
        <v>25</v>
      </c>
      <c r="L639" s="79">
        <v>15.31</v>
      </c>
      <c r="M639" s="79">
        <v>14.19</v>
      </c>
      <c r="N639" s="25">
        <v>1.120000000000001</v>
      </c>
      <c r="O639" s="25" t="s">
        <v>545</v>
      </c>
    </row>
    <row r="640" spans="1:15" x14ac:dyDescent="0.25">
      <c r="A640" s="75">
        <v>46051</v>
      </c>
      <c r="B640" s="25" t="s">
        <v>412</v>
      </c>
      <c r="C640" s="25" t="s">
        <v>579</v>
      </c>
      <c r="D640" s="75">
        <v>46074</v>
      </c>
      <c r="E640" s="75">
        <v>46058</v>
      </c>
      <c r="F640" s="75">
        <v>46065</v>
      </c>
      <c r="G640" s="75">
        <v>46071</v>
      </c>
      <c r="H640" s="75">
        <v>46059</v>
      </c>
      <c r="I640" s="75">
        <v>46066</v>
      </c>
      <c r="J640" s="75">
        <v>46077</v>
      </c>
      <c r="K640" s="81">
        <v>26</v>
      </c>
      <c r="L640" s="79">
        <v>14.51</v>
      </c>
      <c r="M640" s="79">
        <v>13.54</v>
      </c>
      <c r="N640" s="25">
        <v>0.97000000000000064</v>
      </c>
      <c r="O640" s="25" t="s">
        <v>545</v>
      </c>
    </row>
    <row r="641" spans="1:15" x14ac:dyDescent="0.25">
      <c r="A641" s="75">
        <v>46051</v>
      </c>
      <c r="B641" s="25" t="s">
        <v>413</v>
      </c>
      <c r="C641" s="25" t="s">
        <v>580</v>
      </c>
      <c r="D641" s="75">
        <v>46074</v>
      </c>
      <c r="E641" s="75">
        <v>46058</v>
      </c>
      <c r="F641" s="75">
        <v>46065</v>
      </c>
      <c r="G641" s="75">
        <v>46071</v>
      </c>
      <c r="H641" s="75">
        <v>46059</v>
      </c>
      <c r="I641" s="75">
        <v>46066</v>
      </c>
      <c r="J641" s="75">
        <v>46077</v>
      </c>
      <c r="K641" s="81">
        <v>26</v>
      </c>
      <c r="L641" s="79">
        <v>13.64</v>
      </c>
      <c r="M641" s="79">
        <v>12.72</v>
      </c>
      <c r="N641" s="25">
        <v>0.91999999999999993</v>
      </c>
      <c r="O641" s="25" t="s">
        <v>545</v>
      </c>
    </row>
    <row r="642" spans="1:15" x14ac:dyDescent="0.25">
      <c r="A642" s="75">
        <v>46051</v>
      </c>
      <c r="B642" s="25" t="s">
        <v>414</v>
      </c>
      <c r="C642" s="25" t="s">
        <v>581</v>
      </c>
      <c r="D642" s="75">
        <v>46074</v>
      </c>
      <c r="E642" s="75">
        <v>46058</v>
      </c>
      <c r="F642" s="75">
        <v>46065</v>
      </c>
      <c r="G642" s="75">
        <v>46071</v>
      </c>
      <c r="H642" s="75">
        <v>46059</v>
      </c>
      <c r="I642" s="75">
        <v>46066</v>
      </c>
      <c r="J642" s="75">
        <v>46077</v>
      </c>
      <c r="K642" s="81">
        <v>26</v>
      </c>
      <c r="L642" s="79">
        <v>15.37</v>
      </c>
      <c r="M642" s="79">
        <v>14.26</v>
      </c>
      <c r="N642" s="25">
        <v>1.1099999999999994</v>
      </c>
      <c r="O642" s="25" t="s">
        <v>545</v>
      </c>
    </row>
    <row r="643" spans="1:15" x14ac:dyDescent="0.25">
      <c r="A643" s="75">
        <v>46051</v>
      </c>
      <c r="B643" s="25" t="s">
        <v>415</v>
      </c>
      <c r="C643" s="25" t="s">
        <v>582</v>
      </c>
      <c r="D643" s="75">
        <v>46074</v>
      </c>
      <c r="E643" s="75">
        <v>46058</v>
      </c>
      <c r="F643" s="75">
        <v>46065</v>
      </c>
      <c r="G643" s="75">
        <v>46071</v>
      </c>
      <c r="H643" s="75">
        <v>46059</v>
      </c>
      <c r="I643" s="75">
        <v>46066</v>
      </c>
      <c r="J643" s="75">
        <v>46078</v>
      </c>
      <c r="K643" s="25">
        <v>27</v>
      </c>
      <c r="L643" s="79">
        <v>13.48</v>
      </c>
      <c r="M643" s="79">
        <v>12.73</v>
      </c>
      <c r="N643" s="25">
        <v>0.75</v>
      </c>
      <c r="O643" s="25" t="s">
        <v>545</v>
      </c>
    </row>
    <row r="644" spans="1:15" x14ac:dyDescent="0.25">
      <c r="A644" s="75">
        <v>46051</v>
      </c>
      <c r="B644" s="25" t="s">
        <v>416</v>
      </c>
      <c r="C644" s="25" t="s">
        <v>583</v>
      </c>
      <c r="D644" s="75">
        <v>46074</v>
      </c>
      <c r="E644" s="75">
        <v>46058</v>
      </c>
      <c r="F644" s="75">
        <v>46065</v>
      </c>
      <c r="G644" s="75">
        <v>46071</v>
      </c>
      <c r="H644" s="75">
        <v>46059</v>
      </c>
      <c r="I644" s="75">
        <v>46066</v>
      </c>
      <c r="J644" s="75">
        <v>46078</v>
      </c>
      <c r="K644" s="25">
        <v>27</v>
      </c>
      <c r="L644" s="79">
        <v>13.16</v>
      </c>
      <c r="M644" s="79">
        <v>12.26</v>
      </c>
      <c r="N644" s="25">
        <v>0.90000000000000036</v>
      </c>
      <c r="O644" s="25" t="s">
        <v>545</v>
      </c>
    </row>
    <row r="645" spans="1:15" x14ac:dyDescent="0.25">
      <c r="A645" s="75">
        <v>46052</v>
      </c>
      <c r="B645" s="25" t="s">
        <v>373</v>
      </c>
      <c r="C645" s="25" t="s">
        <v>584</v>
      </c>
      <c r="D645" s="75">
        <v>46075</v>
      </c>
      <c r="E645" s="75">
        <v>46059</v>
      </c>
      <c r="F645" s="75">
        <v>46066</v>
      </c>
      <c r="G645" s="75">
        <v>46072</v>
      </c>
      <c r="H645" s="75">
        <v>46060</v>
      </c>
      <c r="I645" s="75">
        <v>46067</v>
      </c>
      <c r="J645" s="75">
        <v>46082</v>
      </c>
      <c r="K645" s="25">
        <v>30</v>
      </c>
      <c r="L645" s="79">
        <v>13.58</v>
      </c>
      <c r="M645" s="79">
        <v>12.35</v>
      </c>
      <c r="N645" s="25">
        <v>1.2300000000000004</v>
      </c>
      <c r="O645" s="25" t="s">
        <v>545</v>
      </c>
    </row>
    <row r="646" spans="1:15" x14ac:dyDescent="0.25">
      <c r="A646" s="75">
        <v>46052</v>
      </c>
      <c r="B646" s="25" t="s">
        <v>374</v>
      </c>
      <c r="C646" s="25" t="s">
        <v>585</v>
      </c>
      <c r="D646" s="75">
        <v>46075</v>
      </c>
      <c r="E646" s="75">
        <v>46059</v>
      </c>
      <c r="F646" s="75">
        <v>46066</v>
      </c>
      <c r="G646" s="75">
        <v>46072</v>
      </c>
      <c r="H646" s="75">
        <v>46060</v>
      </c>
      <c r="I646" s="75">
        <v>46067</v>
      </c>
      <c r="J646" s="75">
        <v>46082</v>
      </c>
      <c r="K646" s="25">
        <v>30</v>
      </c>
      <c r="L646" s="79">
        <v>13.92</v>
      </c>
      <c r="M646" s="79">
        <v>12.73</v>
      </c>
      <c r="N646" s="25">
        <v>1.1899999999999995</v>
      </c>
      <c r="O646" s="25" t="s">
        <v>545</v>
      </c>
    </row>
    <row r="647" spans="1:15" x14ac:dyDescent="0.25">
      <c r="A647" s="75">
        <v>46052</v>
      </c>
      <c r="B647" s="25" t="s">
        <v>375</v>
      </c>
      <c r="C647" s="25" t="s">
        <v>586</v>
      </c>
      <c r="D647" s="75">
        <v>46075</v>
      </c>
      <c r="E647" s="75">
        <v>46059</v>
      </c>
      <c r="F647" s="75">
        <v>46066</v>
      </c>
      <c r="G647" s="75">
        <v>46072</v>
      </c>
      <c r="H647" s="75">
        <v>46060</v>
      </c>
      <c r="I647" s="75">
        <v>46067</v>
      </c>
      <c r="J647" s="75">
        <v>46082</v>
      </c>
      <c r="K647" s="25">
        <v>30</v>
      </c>
      <c r="L647" s="79">
        <v>14.41</v>
      </c>
      <c r="M647" s="79">
        <v>13.1</v>
      </c>
      <c r="N647" s="25">
        <v>1.3100000000000005</v>
      </c>
      <c r="O647" s="25" t="s">
        <v>545</v>
      </c>
    </row>
    <row r="648" spans="1:15" x14ac:dyDescent="0.25">
      <c r="A648" s="75">
        <v>46052</v>
      </c>
      <c r="B648" s="25" t="s">
        <v>376</v>
      </c>
      <c r="C648" s="25" t="s">
        <v>587</v>
      </c>
      <c r="D648" s="75">
        <v>46075</v>
      </c>
      <c r="E648" s="75">
        <v>46059</v>
      </c>
      <c r="F648" s="75">
        <v>46066</v>
      </c>
      <c r="G648" s="75">
        <v>46072</v>
      </c>
      <c r="H648" s="75">
        <v>46060</v>
      </c>
      <c r="I648" s="75">
        <v>46067</v>
      </c>
      <c r="J648" s="75">
        <v>46082</v>
      </c>
      <c r="K648" s="25">
        <v>30</v>
      </c>
      <c r="L648" s="79">
        <v>13.83</v>
      </c>
      <c r="M648" s="79">
        <v>12.54</v>
      </c>
      <c r="N648" s="25">
        <v>1.2900000000000009</v>
      </c>
      <c r="O648" s="25" t="s">
        <v>545</v>
      </c>
    </row>
    <row r="649" spans="1:15" x14ac:dyDescent="0.25">
      <c r="A649" s="75">
        <v>46052</v>
      </c>
      <c r="B649" s="25" t="s">
        <v>377</v>
      </c>
      <c r="C649" s="25" t="s">
        <v>588</v>
      </c>
      <c r="D649" s="75">
        <v>46075</v>
      </c>
      <c r="E649" s="75">
        <v>46059</v>
      </c>
      <c r="F649" s="75">
        <v>46066</v>
      </c>
      <c r="G649" s="75">
        <v>46072</v>
      </c>
      <c r="H649" s="75">
        <v>46060</v>
      </c>
      <c r="I649" s="75">
        <v>46067</v>
      </c>
      <c r="J649" s="75">
        <v>46082</v>
      </c>
      <c r="K649" s="25">
        <v>30</v>
      </c>
      <c r="L649" s="79">
        <v>13.67</v>
      </c>
      <c r="M649" s="79">
        <v>12.19</v>
      </c>
      <c r="N649" s="25">
        <v>1.4800000000000004</v>
      </c>
      <c r="O649" s="25" t="s">
        <v>545</v>
      </c>
    </row>
    <row r="650" spans="1:15" x14ac:dyDescent="0.25">
      <c r="A650" s="75">
        <v>46052</v>
      </c>
      <c r="B650" s="25" t="s">
        <v>378</v>
      </c>
      <c r="C650" s="25" t="s">
        <v>589</v>
      </c>
      <c r="D650" s="75">
        <v>46075</v>
      </c>
      <c r="E650" s="75">
        <v>46059</v>
      </c>
      <c r="F650" s="75">
        <v>46066</v>
      </c>
      <c r="G650" s="75">
        <v>46072</v>
      </c>
      <c r="H650" s="75">
        <v>46060</v>
      </c>
      <c r="I650" s="75">
        <v>46067</v>
      </c>
      <c r="J650" s="75">
        <v>46081</v>
      </c>
      <c r="K650" s="25">
        <v>29</v>
      </c>
      <c r="L650" s="79">
        <v>13.89</v>
      </c>
      <c r="M650" s="79">
        <v>12.26</v>
      </c>
      <c r="N650" s="25">
        <v>1.6300000000000008</v>
      </c>
      <c r="O650" s="25" t="s">
        <v>545</v>
      </c>
    </row>
    <row r="651" spans="1:15" x14ac:dyDescent="0.25">
      <c r="A651" s="75">
        <v>46052</v>
      </c>
      <c r="B651" s="25" t="s">
        <v>379</v>
      </c>
      <c r="C651" s="25" t="s">
        <v>590</v>
      </c>
      <c r="D651" s="75">
        <v>46075</v>
      </c>
      <c r="E651" s="75">
        <v>46059</v>
      </c>
      <c r="F651" s="75">
        <v>46066</v>
      </c>
      <c r="G651" s="75">
        <v>46072</v>
      </c>
      <c r="H651" s="75">
        <v>46060</v>
      </c>
      <c r="I651" s="75">
        <v>46067</v>
      </c>
      <c r="J651" s="75">
        <v>46081</v>
      </c>
      <c r="K651" s="25">
        <v>29</v>
      </c>
      <c r="L651" s="79">
        <v>13.42</v>
      </c>
      <c r="M651" s="79">
        <v>12.51</v>
      </c>
      <c r="N651" s="25">
        <v>0.91000000000000014</v>
      </c>
      <c r="O651" s="25" t="s">
        <v>545</v>
      </c>
    </row>
    <row r="652" spans="1:15" x14ac:dyDescent="0.25">
      <c r="A652" s="75">
        <v>46053</v>
      </c>
      <c r="B652" s="25" t="s">
        <v>403</v>
      </c>
      <c r="C652" s="25" t="s">
        <v>591</v>
      </c>
      <c r="D652" s="75">
        <v>46076</v>
      </c>
      <c r="E652" s="75">
        <v>46060</v>
      </c>
      <c r="F652" s="75">
        <v>46067</v>
      </c>
      <c r="G652" s="75">
        <v>46073</v>
      </c>
      <c r="H652" s="75">
        <v>46061</v>
      </c>
      <c r="I652" s="75">
        <v>46068</v>
      </c>
      <c r="J652" s="75">
        <v>46083</v>
      </c>
      <c r="K652" s="25">
        <v>30</v>
      </c>
      <c r="L652" s="79">
        <v>13.39</v>
      </c>
      <c r="M652" s="79">
        <v>12.71</v>
      </c>
      <c r="N652" s="25">
        <v>0.67999999999999972</v>
      </c>
      <c r="O652" s="25" t="s">
        <v>545</v>
      </c>
    </row>
    <row r="653" spans="1:15" x14ac:dyDescent="0.25">
      <c r="A653" s="75">
        <v>46053</v>
      </c>
      <c r="B653" s="25" t="s">
        <v>404</v>
      </c>
      <c r="C653" s="25" t="s">
        <v>592</v>
      </c>
      <c r="D653" s="75">
        <v>46076</v>
      </c>
      <c r="E653" s="75">
        <v>46060</v>
      </c>
      <c r="F653" s="75">
        <v>46067</v>
      </c>
      <c r="G653" s="75">
        <v>46073</v>
      </c>
      <c r="H653" s="75">
        <v>46061</v>
      </c>
      <c r="I653" s="75">
        <v>46068</v>
      </c>
      <c r="J653" s="75">
        <v>46083</v>
      </c>
      <c r="K653" s="25">
        <v>30</v>
      </c>
      <c r="L653" s="79">
        <v>13.65</v>
      </c>
      <c r="M653" s="79">
        <v>12.54</v>
      </c>
      <c r="N653" s="25">
        <v>1.1100000000000012</v>
      </c>
      <c r="O653" s="25" t="s">
        <v>545</v>
      </c>
    </row>
    <row r="654" spans="1:15" x14ac:dyDescent="0.25">
      <c r="A654" s="75">
        <v>46053</v>
      </c>
      <c r="B654" s="25" t="s">
        <v>405</v>
      </c>
      <c r="C654" s="25" t="s">
        <v>593</v>
      </c>
      <c r="D654" s="75">
        <v>46076</v>
      </c>
      <c r="E654" s="75">
        <v>46060</v>
      </c>
      <c r="F654" s="75">
        <v>46067</v>
      </c>
      <c r="G654" s="75">
        <v>46073</v>
      </c>
      <c r="H654" s="75">
        <v>46061</v>
      </c>
      <c r="I654" s="75">
        <v>46068</v>
      </c>
      <c r="J654" s="75">
        <v>46083</v>
      </c>
      <c r="K654" s="25">
        <v>30</v>
      </c>
      <c r="L654" s="79">
        <v>12.43</v>
      </c>
      <c r="M654" s="79">
        <v>11.28</v>
      </c>
      <c r="N654" s="25">
        <v>1.1500000000000004</v>
      </c>
      <c r="O654" s="25" t="s">
        <v>545</v>
      </c>
    </row>
    <row r="655" spans="1:15" x14ac:dyDescent="0.25">
      <c r="A655" s="75">
        <v>46053</v>
      </c>
      <c r="B655" s="25" t="s">
        <v>406</v>
      </c>
      <c r="C655" s="25" t="s">
        <v>594</v>
      </c>
      <c r="D655" s="75">
        <v>46076</v>
      </c>
      <c r="E655" s="75">
        <v>46060</v>
      </c>
      <c r="F655" s="75">
        <v>46067</v>
      </c>
      <c r="G655" s="75">
        <v>46073</v>
      </c>
      <c r="H655" s="75">
        <v>46061</v>
      </c>
      <c r="I655" s="75">
        <v>46068</v>
      </c>
      <c r="J655" s="75">
        <v>46083</v>
      </c>
      <c r="K655" s="25">
        <v>30</v>
      </c>
      <c r="L655" s="79">
        <v>13.86</v>
      </c>
      <c r="M655" s="79">
        <v>12.41</v>
      </c>
      <c r="N655" s="25">
        <v>1.4499999999999993</v>
      </c>
      <c r="O655" s="25" t="s">
        <v>545</v>
      </c>
    </row>
    <row r="656" spans="1:15" x14ac:dyDescent="0.25">
      <c r="A656" s="75">
        <v>46053</v>
      </c>
      <c r="B656" s="25" t="s">
        <v>407</v>
      </c>
      <c r="C656" s="25" t="s">
        <v>595</v>
      </c>
      <c r="D656" s="75">
        <v>46076</v>
      </c>
      <c r="E656" s="75">
        <v>46060</v>
      </c>
      <c r="F656" s="75">
        <v>46067</v>
      </c>
      <c r="G656" s="75">
        <v>46073</v>
      </c>
      <c r="H656" s="75">
        <v>46061</v>
      </c>
      <c r="I656" s="75">
        <v>46068</v>
      </c>
      <c r="J656" s="75">
        <v>46083</v>
      </c>
      <c r="K656" s="25">
        <v>30</v>
      </c>
      <c r="L656" s="79">
        <v>13.71</v>
      </c>
      <c r="M656" s="79">
        <v>12.34</v>
      </c>
      <c r="N656" s="25">
        <v>1.370000000000001</v>
      </c>
      <c r="O656" s="25" t="s">
        <v>545</v>
      </c>
    </row>
    <row r="657" spans="1:15" x14ac:dyDescent="0.25">
      <c r="A657" s="75">
        <v>46053</v>
      </c>
      <c r="B657" s="25" t="s">
        <v>408</v>
      </c>
      <c r="C657" s="25" t="s">
        <v>596</v>
      </c>
      <c r="D657" s="75">
        <v>46076</v>
      </c>
      <c r="E657" s="75">
        <v>46060</v>
      </c>
      <c r="F657" s="75">
        <v>46067</v>
      </c>
      <c r="G657" s="75">
        <v>46073</v>
      </c>
      <c r="H657" s="75">
        <v>46061</v>
      </c>
      <c r="I657" s="75">
        <v>46068</v>
      </c>
      <c r="J657" s="75">
        <v>46082</v>
      </c>
      <c r="K657" s="25">
        <v>29</v>
      </c>
      <c r="L657" s="79">
        <v>13.54</v>
      </c>
      <c r="M657" s="79">
        <v>12.68</v>
      </c>
      <c r="N657" s="25">
        <v>0.85999999999999943</v>
      </c>
      <c r="O657" s="25" t="s">
        <v>545</v>
      </c>
    </row>
    <row r="658" spans="1:15" x14ac:dyDescent="0.25">
      <c r="A658" s="75">
        <v>46053</v>
      </c>
      <c r="B658" s="25" t="s">
        <v>409</v>
      </c>
      <c r="C658" s="25" t="s">
        <v>597</v>
      </c>
      <c r="D658" s="75">
        <v>46076</v>
      </c>
      <c r="E658" s="75">
        <v>46060</v>
      </c>
      <c r="F658" s="75">
        <v>46067</v>
      </c>
      <c r="G658" s="75">
        <v>46073</v>
      </c>
      <c r="H658" s="75">
        <v>46061</v>
      </c>
      <c r="I658" s="75">
        <v>46068</v>
      </c>
      <c r="J658" s="75">
        <v>46082</v>
      </c>
      <c r="K658" s="25">
        <v>29</v>
      </c>
      <c r="L658" s="79">
        <v>14.72</v>
      </c>
      <c r="M658" s="79">
        <v>13.24</v>
      </c>
      <c r="N658" s="25">
        <v>1.4800000000000004</v>
      </c>
      <c r="O658" s="25" t="s">
        <v>545</v>
      </c>
    </row>
    <row r="659" spans="1:15" x14ac:dyDescent="0.25">
      <c r="A659" s="75">
        <v>46054</v>
      </c>
      <c r="B659" s="25" t="s">
        <v>366</v>
      </c>
      <c r="C659" s="25" t="s">
        <v>598</v>
      </c>
      <c r="D659" s="75">
        <v>46077</v>
      </c>
      <c r="E659" s="75">
        <v>46061</v>
      </c>
      <c r="F659" s="75">
        <v>46068</v>
      </c>
      <c r="G659" s="75">
        <v>46074</v>
      </c>
      <c r="H659" s="75">
        <v>46062</v>
      </c>
      <c r="I659" s="75">
        <v>46069</v>
      </c>
      <c r="J659" s="75">
        <v>46084</v>
      </c>
      <c r="K659" s="25">
        <v>30</v>
      </c>
      <c r="L659" s="79">
        <v>12.67</v>
      </c>
      <c r="M659" s="79">
        <v>11.54</v>
      </c>
      <c r="N659" s="25">
        <v>1.1300000000000008</v>
      </c>
      <c r="O659" s="25" t="s">
        <v>545</v>
      </c>
    </row>
    <row r="660" spans="1:15" x14ac:dyDescent="0.25">
      <c r="A660" s="75">
        <v>46054</v>
      </c>
      <c r="B660" s="25" t="s">
        <v>367</v>
      </c>
      <c r="C660" s="25" t="s">
        <v>599</v>
      </c>
      <c r="D660" s="75">
        <v>46077</v>
      </c>
      <c r="E660" s="75">
        <v>46061</v>
      </c>
      <c r="F660" s="75">
        <v>46068</v>
      </c>
      <c r="G660" s="75">
        <v>46074</v>
      </c>
      <c r="H660" s="75">
        <v>46062</v>
      </c>
      <c r="I660" s="75">
        <v>46069</v>
      </c>
      <c r="J660" s="75">
        <v>46084</v>
      </c>
      <c r="K660" s="25">
        <v>30</v>
      </c>
      <c r="L660" s="79">
        <v>13.46</v>
      </c>
      <c r="M660" s="79">
        <v>12.72</v>
      </c>
      <c r="N660" s="25">
        <v>0.74000000000000021</v>
      </c>
      <c r="O660" s="25" t="s">
        <v>545</v>
      </c>
    </row>
    <row r="661" spans="1:15" x14ac:dyDescent="0.25">
      <c r="A661" s="75">
        <v>46054</v>
      </c>
      <c r="B661" s="25" t="s">
        <v>368</v>
      </c>
      <c r="C661" s="25" t="s">
        <v>600</v>
      </c>
      <c r="D661" s="75">
        <v>46077</v>
      </c>
      <c r="E661" s="75">
        <v>46061</v>
      </c>
      <c r="F661" s="75">
        <v>46068</v>
      </c>
      <c r="G661" s="75">
        <v>46074</v>
      </c>
      <c r="H661" s="75">
        <v>46062</v>
      </c>
      <c r="I661" s="75">
        <v>46069</v>
      </c>
      <c r="J661" s="75">
        <v>46084</v>
      </c>
      <c r="K661" s="25">
        <v>30</v>
      </c>
      <c r="L661" s="79">
        <v>13.58</v>
      </c>
      <c r="M661" s="79">
        <v>12.16</v>
      </c>
      <c r="N661" s="25">
        <v>1.42</v>
      </c>
      <c r="O661" s="25" t="s">
        <v>545</v>
      </c>
    </row>
    <row r="662" spans="1:15" x14ac:dyDescent="0.25">
      <c r="A662" s="75">
        <v>46054</v>
      </c>
      <c r="B662" s="25" t="s">
        <v>369</v>
      </c>
      <c r="C662" s="25" t="s">
        <v>601</v>
      </c>
      <c r="D662" s="75">
        <v>46077</v>
      </c>
      <c r="E662" s="75">
        <v>46061</v>
      </c>
      <c r="F662" s="75">
        <v>46068</v>
      </c>
      <c r="G662" s="75">
        <v>46074</v>
      </c>
      <c r="H662" s="75">
        <v>46062</v>
      </c>
      <c r="I662" s="75">
        <v>46069</v>
      </c>
      <c r="J662" s="75">
        <v>46083</v>
      </c>
      <c r="K662" s="25">
        <v>29</v>
      </c>
      <c r="L662" s="79">
        <v>13.72</v>
      </c>
      <c r="M662" s="79">
        <v>12.63</v>
      </c>
      <c r="N662" s="25">
        <v>1.0899999999999999</v>
      </c>
      <c r="O662" s="25" t="s">
        <v>545</v>
      </c>
    </row>
    <row r="663" spans="1:15" x14ac:dyDescent="0.25">
      <c r="A663" s="75">
        <v>46054</v>
      </c>
      <c r="B663" s="25" t="s">
        <v>370</v>
      </c>
      <c r="C663" s="25" t="s">
        <v>602</v>
      </c>
      <c r="D663" s="75">
        <v>46077</v>
      </c>
      <c r="E663" s="75">
        <v>46061</v>
      </c>
      <c r="F663" s="75">
        <v>46068</v>
      </c>
      <c r="G663" s="75">
        <v>46074</v>
      </c>
      <c r="H663" s="75">
        <v>46062</v>
      </c>
      <c r="I663" s="75">
        <v>46069</v>
      </c>
      <c r="J663" s="75">
        <v>46083</v>
      </c>
      <c r="K663" s="25">
        <v>29</v>
      </c>
      <c r="L663" s="79">
        <v>14.19</v>
      </c>
      <c r="M663" s="79">
        <v>13.16</v>
      </c>
      <c r="N663" s="25">
        <v>1.0299999999999994</v>
      </c>
      <c r="O663" s="25" t="s">
        <v>545</v>
      </c>
    </row>
    <row r="664" spans="1:15" x14ac:dyDescent="0.25">
      <c r="A664" s="75">
        <v>46054</v>
      </c>
      <c r="B664" s="25" t="s">
        <v>371</v>
      </c>
      <c r="C664" s="25" t="s">
        <v>603</v>
      </c>
      <c r="D664" s="75">
        <v>46077</v>
      </c>
      <c r="E664" s="75">
        <v>46061</v>
      </c>
      <c r="F664" s="75">
        <v>46068</v>
      </c>
      <c r="G664" s="75">
        <v>46074</v>
      </c>
      <c r="H664" s="75">
        <v>46062</v>
      </c>
      <c r="I664" s="75">
        <v>46069</v>
      </c>
      <c r="J664" s="75">
        <v>46084</v>
      </c>
      <c r="K664" s="25">
        <v>30</v>
      </c>
      <c r="L664" s="79">
        <v>12.81</v>
      </c>
      <c r="M664" s="79">
        <v>11.27</v>
      </c>
      <c r="N664" s="25">
        <v>1.5400000000000009</v>
      </c>
      <c r="O664" s="25" t="s">
        <v>545</v>
      </c>
    </row>
    <row r="665" spans="1:15" x14ac:dyDescent="0.25">
      <c r="A665" s="75">
        <v>46054</v>
      </c>
      <c r="B665" s="25" t="s">
        <v>372</v>
      </c>
      <c r="C665" s="25" t="s">
        <v>604</v>
      </c>
      <c r="D665" s="75">
        <v>46077</v>
      </c>
      <c r="E665" s="75">
        <v>46061</v>
      </c>
      <c r="F665" s="75">
        <v>46068</v>
      </c>
      <c r="G665" s="75">
        <v>46074</v>
      </c>
      <c r="H665" s="75">
        <v>46062</v>
      </c>
      <c r="I665" s="75">
        <v>46069</v>
      </c>
      <c r="J665" s="75">
        <v>46083</v>
      </c>
      <c r="K665" s="25">
        <v>29</v>
      </c>
      <c r="L665" s="79">
        <v>12.58</v>
      </c>
      <c r="M665" s="79">
        <v>11.83</v>
      </c>
      <c r="N665" s="25">
        <v>0.75</v>
      </c>
      <c r="O665" s="25" t="s">
        <v>545</v>
      </c>
    </row>
    <row r="666" spans="1:15" x14ac:dyDescent="0.25">
      <c r="A666" s="75">
        <v>46055</v>
      </c>
      <c r="B666" s="25" t="s">
        <v>396</v>
      </c>
      <c r="C666" s="25" t="s">
        <v>614</v>
      </c>
      <c r="D666" s="75">
        <f t="shared" ref="D666:D713" si="258">A666+23</f>
        <v>46078</v>
      </c>
      <c r="E666" s="75">
        <f t="shared" ref="E666:E713" si="259">A666+7</f>
        <v>46062</v>
      </c>
      <c r="F666" s="75">
        <f t="shared" ref="F666:F713" si="260">A666+14</f>
        <v>46069</v>
      </c>
      <c r="G666" s="75">
        <f t="shared" ref="G666:G713" si="261">A666+20</f>
        <v>46075</v>
      </c>
      <c r="H666" s="75">
        <f t="shared" ref="H666:H713" si="262">A666+8</f>
        <v>46063</v>
      </c>
      <c r="I666" s="75">
        <f t="shared" ref="I666:I713" si="263">A666+15</f>
        <v>46070</v>
      </c>
      <c r="J666" s="75">
        <v>46085</v>
      </c>
      <c r="K666" s="25">
        <f t="shared" ref="K666:K673" si="264">J666-A666</f>
        <v>30</v>
      </c>
      <c r="L666" s="79">
        <v>13.82</v>
      </c>
      <c r="M666" s="79">
        <v>12.93</v>
      </c>
      <c r="N666" s="25">
        <f t="shared" ref="N666:N678" si="265">L666-M666</f>
        <v>0.89000000000000057</v>
      </c>
      <c r="O666" s="25" t="s">
        <v>545</v>
      </c>
    </row>
    <row r="667" spans="1:15" x14ac:dyDescent="0.25">
      <c r="A667" s="75">
        <v>46055</v>
      </c>
      <c r="B667" s="25" t="s">
        <v>397</v>
      </c>
      <c r="C667" s="25" t="s">
        <v>615</v>
      </c>
      <c r="D667" s="75">
        <f t="shared" si="258"/>
        <v>46078</v>
      </c>
      <c r="E667" s="75">
        <f t="shared" si="259"/>
        <v>46062</v>
      </c>
      <c r="F667" s="75">
        <f t="shared" si="260"/>
        <v>46069</v>
      </c>
      <c r="G667" s="75">
        <f t="shared" si="261"/>
        <v>46075</v>
      </c>
      <c r="H667" s="75">
        <f t="shared" si="262"/>
        <v>46063</v>
      </c>
      <c r="I667" s="75">
        <f t="shared" si="263"/>
        <v>46070</v>
      </c>
      <c r="J667" s="75">
        <v>46085</v>
      </c>
      <c r="K667" s="25">
        <f t="shared" si="264"/>
        <v>30</v>
      </c>
      <c r="L667" s="79">
        <v>14.55</v>
      </c>
      <c r="M667" s="79">
        <v>13.78</v>
      </c>
      <c r="N667" s="25">
        <f t="shared" si="265"/>
        <v>0.77000000000000135</v>
      </c>
      <c r="O667" s="25" t="s">
        <v>545</v>
      </c>
    </row>
    <row r="668" spans="1:15" x14ac:dyDescent="0.25">
      <c r="A668" s="75">
        <v>46055</v>
      </c>
      <c r="B668" s="25" t="s">
        <v>398</v>
      </c>
      <c r="C668" s="25" t="s">
        <v>616</v>
      </c>
      <c r="D668" s="75">
        <f t="shared" si="258"/>
        <v>46078</v>
      </c>
      <c r="E668" s="75">
        <f t="shared" si="259"/>
        <v>46062</v>
      </c>
      <c r="F668" s="75">
        <f t="shared" si="260"/>
        <v>46069</v>
      </c>
      <c r="G668" s="75">
        <f t="shared" si="261"/>
        <v>46075</v>
      </c>
      <c r="H668" s="75">
        <f t="shared" si="262"/>
        <v>46063</v>
      </c>
      <c r="I668" s="75">
        <f t="shared" si="263"/>
        <v>46070</v>
      </c>
      <c r="J668" s="75">
        <v>46085</v>
      </c>
      <c r="K668" s="25">
        <f t="shared" si="264"/>
        <v>30</v>
      </c>
      <c r="L668" s="79">
        <v>14.1</v>
      </c>
      <c r="M668" s="79">
        <v>13.23</v>
      </c>
      <c r="N668" s="25">
        <f t="shared" si="265"/>
        <v>0.86999999999999922</v>
      </c>
      <c r="O668" s="25" t="s">
        <v>545</v>
      </c>
    </row>
    <row r="669" spans="1:15" x14ac:dyDescent="0.25">
      <c r="A669" s="75">
        <v>46055</v>
      </c>
      <c r="B669" s="25" t="s">
        <v>399</v>
      </c>
      <c r="C669" s="25" t="s">
        <v>617</v>
      </c>
      <c r="D669" s="75">
        <f t="shared" si="258"/>
        <v>46078</v>
      </c>
      <c r="E669" s="75">
        <f t="shared" si="259"/>
        <v>46062</v>
      </c>
      <c r="F669" s="75">
        <f t="shared" si="260"/>
        <v>46069</v>
      </c>
      <c r="G669" s="75">
        <f t="shared" si="261"/>
        <v>46075</v>
      </c>
      <c r="H669" s="75">
        <f t="shared" si="262"/>
        <v>46063</v>
      </c>
      <c r="I669" s="75">
        <f t="shared" si="263"/>
        <v>46070</v>
      </c>
      <c r="J669" s="75">
        <v>46085</v>
      </c>
      <c r="K669" s="25">
        <f t="shared" si="264"/>
        <v>30</v>
      </c>
      <c r="L669" s="79">
        <v>14.23</v>
      </c>
      <c r="M669" s="79">
        <v>13.58</v>
      </c>
      <c r="N669" s="25">
        <f t="shared" si="265"/>
        <v>0.65000000000000036</v>
      </c>
      <c r="O669" s="25" t="s">
        <v>545</v>
      </c>
    </row>
    <row r="670" spans="1:15" x14ac:dyDescent="0.25">
      <c r="A670" s="75">
        <v>46055</v>
      </c>
      <c r="B670" s="25" t="s">
        <v>400</v>
      </c>
      <c r="C670" s="25" t="s">
        <v>618</v>
      </c>
      <c r="D670" s="75">
        <f t="shared" si="258"/>
        <v>46078</v>
      </c>
      <c r="E670" s="75">
        <f t="shared" si="259"/>
        <v>46062</v>
      </c>
      <c r="F670" s="75">
        <f t="shared" si="260"/>
        <v>46069</v>
      </c>
      <c r="G670" s="75">
        <f t="shared" si="261"/>
        <v>46075</v>
      </c>
      <c r="H670" s="75">
        <f t="shared" si="262"/>
        <v>46063</v>
      </c>
      <c r="I670" s="75">
        <f t="shared" si="263"/>
        <v>46070</v>
      </c>
      <c r="J670" s="75">
        <v>46085</v>
      </c>
      <c r="K670" s="25">
        <f t="shared" si="264"/>
        <v>30</v>
      </c>
      <c r="L670" s="79">
        <v>15.32</v>
      </c>
      <c r="M670" s="79">
        <v>14.1</v>
      </c>
      <c r="N670" s="25">
        <f t="shared" si="265"/>
        <v>1.2200000000000006</v>
      </c>
      <c r="O670" s="25" t="s">
        <v>545</v>
      </c>
    </row>
    <row r="671" spans="1:15" x14ac:dyDescent="0.25">
      <c r="A671" s="75">
        <v>46055</v>
      </c>
      <c r="B671" s="25" t="s">
        <v>401</v>
      </c>
      <c r="C671" s="25" t="s">
        <v>619</v>
      </c>
      <c r="D671" s="75">
        <f t="shared" si="258"/>
        <v>46078</v>
      </c>
      <c r="E671" s="75">
        <f t="shared" si="259"/>
        <v>46062</v>
      </c>
      <c r="F671" s="75">
        <f t="shared" si="260"/>
        <v>46069</v>
      </c>
      <c r="G671" s="75">
        <f t="shared" si="261"/>
        <v>46075</v>
      </c>
      <c r="H671" s="75">
        <f t="shared" si="262"/>
        <v>46063</v>
      </c>
      <c r="I671" s="75">
        <f t="shared" si="263"/>
        <v>46070</v>
      </c>
      <c r="J671" s="75">
        <v>46085</v>
      </c>
      <c r="K671" s="25">
        <f t="shared" si="264"/>
        <v>30</v>
      </c>
      <c r="L671" s="79">
        <v>13.26</v>
      </c>
      <c r="M671" s="79">
        <v>12.54</v>
      </c>
      <c r="N671" s="25">
        <f t="shared" si="265"/>
        <v>0.72000000000000064</v>
      </c>
      <c r="O671" s="25" t="s">
        <v>545</v>
      </c>
    </row>
    <row r="672" spans="1:15" x14ac:dyDescent="0.25">
      <c r="A672" s="75">
        <v>46055</v>
      </c>
      <c r="B672" s="25" t="s">
        <v>402</v>
      </c>
      <c r="C672" s="25" t="s">
        <v>620</v>
      </c>
      <c r="D672" s="75">
        <f t="shared" si="258"/>
        <v>46078</v>
      </c>
      <c r="E672" s="75">
        <f t="shared" si="259"/>
        <v>46062</v>
      </c>
      <c r="F672" s="75">
        <f t="shared" si="260"/>
        <v>46069</v>
      </c>
      <c r="G672" s="75">
        <f t="shared" si="261"/>
        <v>46075</v>
      </c>
      <c r="H672" s="75">
        <f t="shared" si="262"/>
        <v>46063</v>
      </c>
      <c r="I672" s="75">
        <f t="shared" si="263"/>
        <v>46070</v>
      </c>
      <c r="J672" s="75">
        <v>46085</v>
      </c>
      <c r="K672" s="25">
        <f t="shared" si="264"/>
        <v>30</v>
      </c>
      <c r="L672" s="79">
        <v>15.41</v>
      </c>
      <c r="M672" s="79">
        <v>14.76</v>
      </c>
      <c r="N672" s="25">
        <f t="shared" si="265"/>
        <v>0.65000000000000036</v>
      </c>
      <c r="O672" s="25" t="s">
        <v>545</v>
      </c>
    </row>
    <row r="673" spans="1:15" x14ac:dyDescent="0.25">
      <c r="A673" s="75">
        <v>46056</v>
      </c>
      <c r="B673" s="25" t="s">
        <v>364</v>
      </c>
      <c r="C673" s="25" t="s">
        <v>621</v>
      </c>
      <c r="D673" s="75">
        <f t="shared" si="258"/>
        <v>46079</v>
      </c>
      <c r="E673" s="75">
        <f t="shared" si="259"/>
        <v>46063</v>
      </c>
      <c r="F673" s="75">
        <f t="shared" si="260"/>
        <v>46070</v>
      </c>
      <c r="G673" s="75">
        <f t="shared" si="261"/>
        <v>46076</v>
      </c>
      <c r="H673" s="75">
        <f t="shared" si="262"/>
        <v>46064</v>
      </c>
      <c r="I673" s="75">
        <f t="shared" si="263"/>
        <v>46071</v>
      </c>
      <c r="J673" s="75">
        <v>46086</v>
      </c>
      <c r="K673" s="25">
        <f t="shared" si="264"/>
        <v>30</v>
      </c>
      <c r="L673" s="79">
        <v>14.52</v>
      </c>
      <c r="M673" s="79">
        <v>13.67</v>
      </c>
      <c r="N673" s="25">
        <f t="shared" si="265"/>
        <v>0.84999999999999964</v>
      </c>
      <c r="O673" s="25" t="s">
        <v>545</v>
      </c>
    </row>
    <row r="674" spans="1:15" x14ac:dyDescent="0.25">
      <c r="A674" s="75">
        <v>46056</v>
      </c>
      <c r="B674" s="25" t="s">
        <v>365</v>
      </c>
      <c r="C674" s="25" t="s">
        <v>622</v>
      </c>
      <c r="D674" s="75">
        <f t="shared" si="258"/>
        <v>46079</v>
      </c>
      <c r="E674" s="75">
        <f t="shared" si="259"/>
        <v>46063</v>
      </c>
      <c r="F674" s="75">
        <f t="shared" si="260"/>
        <v>46070</v>
      </c>
      <c r="G674" s="75">
        <f t="shared" si="261"/>
        <v>46076</v>
      </c>
      <c r="H674" s="75">
        <f t="shared" si="262"/>
        <v>46064</v>
      </c>
      <c r="I674" s="75">
        <f t="shared" si="263"/>
        <v>46071</v>
      </c>
      <c r="J674" s="75">
        <v>46086</v>
      </c>
      <c r="K674" s="25">
        <f>J674-A674</f>
        <v>30</v>
      </c>
      <c r="L674" s="79">
        <v>15.31</v>
      </c>
      <c r="M674" s="79">
        <v>14.28</v>
      </c>
      <c r="N674" s="25">
        <f t="shared" si="265"/>
        <v>1.0300000000000011</v>
      </c>
      <c r="O674" s="25" t="s">
        <v>545</v>
      </c>
    </row>
    <row r="675" spans="1:15" x14ac:dyDescent="0.25">
      <c r="A675" s="75">
        <v>46056</v>
      </c>
      <c r="B675" s="25" t="s">
        <v>394</v>
      </c>
      <c r="C675" s="25" t="s">
        <v>623</v>
      </c>
      <c r="D675" s="75">
        <f t="shared" si="258"/>
        <v>46079</v>
      </c>
      <c r="E675" s="75">
        <f t="shared" si="259"/>
        <v>46063</v>
      </c>
      <c r="F675" s="75">
        <f t="shared" si="260"/>
        <v>46070</v>
      </c>
      <c r="G675" s="75">
        <f t="shared" si="261"/>
        <v>46076</v>
      </c>
      <c r="H675" s="75">
        <f t="shared" si="262"/>
        <v>46064</v>
      </c>
      <c r="I675" s="75">
        <f t="shared" si="263"/>
        <v>46071</v>
      </c>
      <c r="J675" s="75">
        <v>46086</v>
      </c>
      <c r="K675" s="25">
        <f>J675-A675</f>
        <v>30</v>
      </c>
      <c r="L675" s="79">
        <v>15.63</v>
      </c>
      <c r="M675" s="79">
        <v>14.21</v>
      </c>
      <c r="N675" s="25">
        <f t="shared" si="265"/>
        <v>1.42</v>
      </c>
      <c r="O675" s="25" t="s">
        <v>545</v>
      </c>
    </row>
    <row r="676" spans="1:15" x14ac:dyDescent="0.25">
      <c r="A676" s="75">
        <v>46056</v>
      </c>
      <c r="B676" s="25" t="s">
        <v>395</v>
      </c>
      <c r="C676" s="25" t="s">
        <v>624</v>
      </c>
      <c r="D676" s="75">
        <f t="shared" si="258"/>
        <v>46079</v>
      </c>
      <c r="E676" s="75">
        <f t="shared" si="259"/>
        <v>46063</v>
      </c>
      <c r="F676" s="75">
        <f t="shared" si="260"/>
        <v>46070</v>
      </c>
      <c r="G676" s="75">
        <f t="shared" si="261"/>
        <v>46076</v>
      </c>
      <c r="H676" s="75">
        <f t="shared" si="262"/>
        <v>46064</v>
      </c>
      <c r="I676" s="75">
        <f t="shared" si="263"/>
        <v>46071</v>
      </c>
      <c r="J676" s="75">
        <v>46086</v>
      </c>
      <c r="K676" s="25">
        <f>J676-A676</f>
        <v>30</v>
      </c>
      <c r="L676" s="79">
        <v>14.87</v>
      </c>
      <c r="M676" s="79">
        <v>13.98</v>
      </c>
      <c r="N676" s="25">
        <f t="shared" si="265"/>
        <v>0.88999999999999879</v>
      </c>
      <c r="O676" s="25" t="s">
        <v>545</v>
      </c>
    </row>
    <row r="677" spans="1:15" x14ac:dyDescent="0.25">
      <c r="A677" s="75">
        <v>46056</v>
      </c>
      <c r="B677" s="25" t="s">
        <v>559</v>
      </c>
      <c r="C677" s="25" t="s">
        <v>625</v>
      </c>
      <c r="D677" s="75">
        <f t="shared" si="258"/>
        <v>46079</v>
      </c>
      <c r="E677" s="75">
        <f t="shared" si="259"/>
        <v>46063</v>
      </c>
      <c r="F677" s="75">
        <f t="shared" si="260"/>
        <v>46070</v>
      </c>
      <c r="G677" s="75">
        <f t="shared" si="261"/>
        <v>46076</v>
      </c>
      <c r="H677" s="75">
        <f t="shared" si="262"/>
        <v>46064</v>
      </c>
      <c r="I677" s="75">
        <f t="shared" si="263"/>
        <v>46071</v>
      </c>
      <c r="J677" s="75">
        <v>46086</v>
      </c>
      <c r="K677" s="25">
        <f>J677-A677</f>
        <v>30</v>
      </c>
      <c r="L677" s="79">
        <v>15.74</v>
      </c>
      <c r="M677" s="79">
        <v>14.91</v>
      </c>
      <c r="N677" s="25">
        <f t="shared" si="265"/>
        <v>0.83000000000000007</v>
      </c>
      <c r="O677" s="25" t="s">
        <v>545</v>
      </c>
    </row>
    <row r="678" spans="1:15" x14ac:dyDescent="0.25">
      <c r="A678" s="75">
        <v>46056</v>
      </c>
      <c r="B678" s="25" t="s">
        <v>560</v>
      </c>
      <c r="C678" s="25" t="s">
        <v>626</v>
      </c>
      <c r="D678" s="75">
        <f t="shared" si="258"/>
        <v>46079</v>
      </c>
      <c r="E678" s="75">
        <f t="shared" si="259"/>
        <v>46063</v>
      </c>
      <c r="F678" s="75">
        <f t="shared" si="260"/>
        <v>46070</v>
      </c>
      <c r="G678" s="75">
        <f t="shared" si="261"/>
        <v>46076</v>
      </c>
      <c r="H678" s="75">
        <f t="shared" si="262"/>
        <v>46064</v>
      </c>
      <c r="I678" s="75">
        <f t="shared" si="263"/>
        <v>46071</v>
      </c>
      <c r="J678" s="75">
        <v>46086</v>
      </c>
      <c r="K678" s="25">
        <f>J678-A678</f>
        <v>30</v>
      </c>
      <c r="L678" s="79">
        <v>14.29</v>
      </c>
      <c r="M678" s="79">
        <v>13.34</v>
      </c>
      <c r="N678" s="25">
        <f t="shared" si="265"/>
        <v>0.94999999999999929</v>
      </c>
      <c r="O678" s="25" t="s">
        <v>545</v>
      </c>
    </row>
    <row r="679" spans="1:15" x14ac:dyDescent="0.25">
      <c r="A679" s="75">
        <v>46056</v>
      </c>
      <c r="B679" s="25" t="s">
        <v>426</v>
      </c>
      <c r="C679" s="25" t="s">
        <v>627</v>
      </c>
      <c r="D679" s="75">
        <f t="shared" si="258"/>
        <v>46079</v>
      </c>
      <c r="E679" s="75">
        <f t="shared" si="259"/>
        <v>46063</v>
      </c>
      <c r="F679" s="75">
        <f t="shared" si="260"/>
        <v>46070</v>
      </c>
      <c r="G679" s="75">
        <f t="shared" si="261"/>
        <v>46076</v>
      </c>
      <c r="H679" s="75">
        <f t="shared" si="262"/>
        <v>46064</v>
      </c>
      <c r="I679" s="75">
        <f t="shared" si="263"/>
        <v>46071</v>
      </c>
      <c r="J679" s="75">
        <v>46085</v>
      </c>
      <c r="K679" s="25">
        <f t="shared" ref="K679:K686" si="266">J679-A679</f>
        <v>29</v>
      </c>
      <c r="L679" s="79">
        <v>15.29</v>
      </c>
      <c r="M679" s="79">
        <v>14.51</v>
      </c>
      <c r="N679" s="25">
        <f t="shared" ref="N679:N686" si="267">L679-M679</f>
        <v>0.77999999999999936</v>
      </c>
      <c r="O679" s="25" t="s">
        <v>545</v>
      </c>
    </row>
    <row r="680" spans="1:15" x14ac:dyDescent="0.25">
      <c r="A680" s="75">
        <v>46056</v>
      </c>
      <c r="B680" s="25" t="s">
        <v>427</v>
      </c>
      <c r="C680" s="25" t="s">
        <v>628</v>
      </c>
      <c r="D680" s="75">
        <f t="shared" si="258"/>
        <v>46079</v>
      </c>
      <c r="E680" s="75">
        <f t="shared" si="259"/>
        <v>46063</v>
      </c>
      <c r="F680" s="75">
        <f t="shared" si="260"/>
        <v>46070</v>
      </c>
      <c r="G680" s="75">
        <f t="shared" si="261"/>
        <v>46076</v>
      </c>
      <c r="H680" s="75">
        <f t="shared" si="262"/>
        <v>46064</v>
      </c>
      <c r="I680" s="75">
        <f t="shared" si="263"/>
        <v>46071</v>
      </c>
      <c r="J680" s="75">
        <v>46085</v>
      </c>
      <c r="K680" s="25">
        <f t="shared" si="266"/>
        <v>29</v>
      </c>
      <c r="L680" s="79">
        <v>14.64</v>
      </c>
      <c r="M680" s="79">
        <v>13.81</v>
      </c>
      <c r="N680" s="25">
        <f t="shared" si="267"/>
        <v>0.83000000000000007</v>
      </c>
      <c r="O680" s="25" t="s">
        <v>545</v>
      </c>
    </row>
    <row r="681" spans="1:15" x14ac:dyDescent="0.25">
      <c r="A681" s="75">
        <v>46057</v>
      </c>
      <c r="B681" s="25" t="s">
        <v>428</v>
      </c>
      <c r="C681" s="25" t="s">
        <v>629</v>
      </c>
      <c r="D681" s="75">
        <f t="shared" si="258"/>
        <v>46080</v>
      </c>
      <c r="E681" s="75">
        <f t="shared" si="259"/>
        <v>46064</v>
      </c>
      <c r="F681" s="75">
        <f t="shared" si="260"/>
        <v>46071</v>
      </c>
      <c r="G681" s="75">
        <f t="shared" si="261"/>
        <v>46077</v>
      </c>
      <c r="H681" s="75">
        <f t="shared" si="262"/>
        <v>46065</v>
      </c>
      <c r="I681" s="75">
        <f t="shared" si="263"/>
        <v>46072</v>
      </c>
      <c r="J681" s="75">
        <v>46087</v>
      </c>
      <c r="K681" s="25">
        <f t="shared" si="266"/>
        <v>30</v>
      </c>
      <c r="L681" s="79">
        <v>16.62</v>
      </c>
      <c r="M681" s="79">
        <v>15.51</v>
      </c>
      <c r="N681" s="25">
        <f t="shared" si="267"/>
        <v>1.1100000000000012</v>
      </c>
      <c r="O681" s="25" t="s">
        <v>545</v>
      </c>
    </row>
    <row r="682" spans="1:15" x14ac:dyDescent="0.25">
      <c r="A682" s="75">
        <v>46057</v>
      </c>
      <c r="B682" s="25" t="s">
        <v>429</v>
      </c>
      <c r="C682" s="25" t="s">
        <v>630</v>
      </c>
      <c r="D682" s="75">
        <f t="shared" si="258"/>
        <v>46080</v>
      </c>
      <c r="E682" s="75">
        <f t="shared" si="259"/>
        <v>46064</v>
      </c>
      <c r="F682" s="75">
        <f t="shared" si="260"/>
        <v>46071</v>
      </c>
      <c r="G682" s="75">
        <f t="shared" si="261"/>
        <v>46077</v>
      </c>
      <c r="H682" s="75">
        <f t="shared" si="262"/>
        <v>46065</v>
      </c>
      <c r="I682" s="75">
        <f t="shared" si="263"/>
        <v>46072</v>
      </c>
      <c r="J682" s="75">
        <v>46087</v>
      </c>
      <c r="K682" s="25">
        <f t="shared" si="266"/>
        <v>30</v>
      </c>
      <c r="L682" s="79">
        <v>15.87</v>
      </c>
      <c r="M682" s="79">
        <v>14.73</v>
      </c>
      <c r="N682" s="25">
        <f t="shared" si="267"/>
        <v>1.1399999999999988</v>
      </c>
      <c r="O682" s="25" t="s">
        <v>545</v>
      </c>
    </row>
    <row r="683" spans="1:15" x14ac:dyDescent="0.25">
      <c r="A683" s="75">
        <v>46057</v>
      </c>
      <c r="B683" s="25" t="s">
        <v>430</v>
      </c>
      <c r="C683" s="25" t="s">
        <v>631</v>
      </c>
      <c r="D683" s="75">
        <f t="shared" si="258"/>
        <v>46080</v>
      </c>
      <c r="E683" s="75">
        <f t="shared" si="259"/>
        <v>46064</v>
      </c>
      <c r="F683" s="75">
        <f t="shared" si="260"/>
        <v>46071</v>
      </c>
      <c r="G683" s="75">
        <f t="shared" si="261"/>
        <v>46077</v>
      </c>
      <c r="H683" s="75">
        <f t="shared" si="262"/>
        <v>46065</v>
      </c>
      <c r="I683" s="75">
        <f t="shared" si="263"/>
        <v>46072</v>
      </c>
      <c r="J683" s="75">
        <v>46087</v>
      </c>
      <c r="K683" s="25">
        <f t="shared" si="266"/>
        <v>30</v>
      </c>
      <c r="L683" s="79">
        <v>14.66</v>
      </c>
      <c r="M683" s="79">
        <v>13.58</v>
      </c>
      <c r="N683" s="25">
        <f t="shared" si="267"/>
        <v>1.08</v>
      </c>
      <c r="O683" s="25" t="s">
        <v>545</v>
      </c>
    </row>
    <row r="684" spans="1:15" x14ac:dyDescent="0.25">
      <c r="A684" s="75">
        <v>46057</v>
      </c>
      <c r="B684" s="25" t="s">
        <v>431</v>
      </c>
      <c r="C684" s="25" t="s">
        <v>632</v>
      </c>
      <c r="D684" s="75">
        <f t="shared" si="258"/>
        <v>46080</v>
      </c>
      <c r="E684" s="75">
        <f t="shared" si="259"/>
        <v>46064</v>
      </c>
      <c r="F684" s="75">
        <f t="shared" si="260"/>
        <v>46071</v>
      </c>
      <c r="G684" s="75">
        <f t="shared" si="261"/>
        <v>46077</v>
      </c>
      <c r="H684" s="75">
        <f t="shared" si="262"/>
        <v>46065</v>
      </c>
      <c r="I684" s="75">
        <f t="shared" si="263"/>
        <v>46072</v>
      </c>
      <c r="J684" s="75">
        <v>46087</v>
      </c>
      <c r="K684" s="25">
        <f t="shared" si="266"/>
        <v>30</v>
      </c>
      <c r="L684" s="79">
        <v>15.9</v>
      </c>
      <c r="M684" s="79">
        <v>14.71</v>
      </c>
      <c r="N684" s="25">
        <f t="shared" si="267"/>
        <v>1.1899999999999995</v>
      </c>
      <c r="O684" s="25" t="s">
        <v>545</v>
      </c>
    </row>
    <row r="685" spans="1:15" x14ac:dyDescent="0.25">
      <c r="A685" s="75">
        <v>46057</v>
      </c>
      <c r="B685" s="25" t="s">
        <v>432</v>
      </c>
      <c r="C685" s="25" t="s">
        <v>633</v>
      </c>
      <c r="D685" s="75">
        <f t="shared" si="258"/>
        <v>46080</v>
      </c>
      <c r="E685" s="75">
        <f t="shared" si="259"/>
        <v>46064</v>
      </c>
      <c r="F685" s="75">
        <f t="shared" si="260"/>
        <v>46071</v>
      </c>
      <c r="G685" s="75">
        <f t="shared" si="261"/>
        <v>46077</v>
      </c>
      <c r="H685" s="75">
        <f t="shared" si="262"/>
        <v>46065</v>
      </c>
      <c r="I685" s="75">
        <f t="shared" si="263"/>
        <v>46072</v>
      </c>
      <c r="J685" s="75">
        <v>46087</v>
      </c>
      <c r="K685" s="25">
        <f t="shared" si="266"/>
        <v>30</v>
      </c>
      <c r="L685" s="79">
        <v>14.78</v>
      </c>
      <c r="M685" s="79">
        <v>13.63</v>
      </c>
      <c r="N685" s="25">
        <f t="shared" si="267"/>
        <v>1.1499999999999986</v>
      </c>
      <c r="O685" s="25" t="s">
        <v>545</v>
      </c>
    </row>
    <row r="686" spans="1:15" x14ac:dyDescent="0.25">
      <c r="A686" s="75">
        <v>46057</v>
      </c>
      <c r="B686" s="25" t="s">
        <v>433</v>
      </c>
      <c r="C686" s="25" t="s">
        <v>634</v>
      </c>
      <c r="D686" s="75">
        <f t="shared" si="258"/>
        <v>46080</v>
      </c>
      <c r="E686" s="75">
        <f t="shared" si="259"/>
        <v>46064</v>
      </c>
      <c r="F686" s="75">
        <f t="shared" si="260"/>
        <v>46071</v>
      </c>
      <c r="G686" s="75">
        <f t="shared" si="261"/>
        <v>46077</v>
      </c>
      <c r="H686" s="75">
        <f t="shared" si="262"/>
        <v>46065</v>
      </c>
      <c r="I686" s="75">
        <f t="shared" si="263"/>
        <v>46072</v>
      </c>
      <c r="J686" s="75">
        <v>46087</v>
      </c>
      <c r="K686" s="25">
        <f t="shared" si="266"/>
        <v>30</v>
      </c>
      <c r="L686" s="79">
        <v>15.1</v>
      </c>
      <c r="M686" s="79">
        <v>14.19</v>
      </c>
      <c r="N686" s="25">
        <f t="shared" si="267"/>
        <v>0.91000000000000014</v>
      </c>
      <c r="O686" s="25" t="s">
        <v>545</v>
      </c>
    </row>
    <row r="687" spans="1:15" x14ac:dyDescent="0.25">
      <c r="A687" s="75">
        <v>46057</v>
      </c>
      <c r="B687" s="25" t="s">
        <v>434</v>
      </c>
      <c r="C687" s="25" t="s">
        <v>635</v>
      </c>
      <c r="D687" s="75">
        <f t="shared" si="258"/>
        <v>46080</v>
      </c>
      <c r="E687" s="75">
        <f t="shared" si="259"/>
        <v>46064</v>
      </c>
      <c r="F687" s="75">
        <f t="shared" si="260"/>
        <v>46071</v>
      </c>
      <c r="G687" s="75">
        <f t="shared" si="261"/>
        <v>46077</v>
      </c>
      <c r="H687" s="75">
        <f t="shared" si="262"/>
        <v>46065</v>
      </c>
      <c r="I687" s="75">
        <f t="shared" si="263"/>
        <v>46072</v>
      </c>
      <c r="J687" s="75">
        <v>46086</v>
      </c>
      <c r="K687" s="25">
        <f t="shared" ref="K687:K713" si="268">J687-A687</f>
        <v>29</v>
      </c>
      <c r="L687" s="79">
        <v>15.16</v>
      </c>
      <c r="M687" s="79">
        <v>14.12</v>
      </c>
      <c r="N687" s="25">
        <f t="shared" ref="N687:N713" si="269">L687-M687</f>
        <v>1.0400000000000009</v>
      </c>
      <c r="O687" s="25" t="s">
        <v>545</v>
      </c>
    </row>
    <row r="688" spans="1:15" x14ac:dyDescent="0.25">
      <c r="A688" s="75">
        <v>46058</v>
      </c>
      <c r="B688" s="25" t="s">
        <v>435</v>
      </c>
      <c r="C688" s="25" t="s">
        <v>636</v>
      </c>
      <c r="D688" s="75">
        <f t="shared" si="258"/>
        <v>46081</v>
      </c>
      <c r="E688" s="75">
        <f t="shared" si="259"/>
        <v>46065</v>
      </c>
      <c r="F688" s="75">
        <f t="shared" si="260"/>
        <v>46072</v>
      </c>
      <c r="G688" s="75">
        <f t="shared" si="261"/>
        <v>46078</v>
      </c>
      <c r="H688" s="75">
        <f t="shared" si="262"/>
        <v>46066</v>
      </c>
      <c r="I688" s="75">
        <f t="shared" si="263"/>
        <v>46073</v>
      </c>
      <c r="J688" s="75">
        <v>46087</v>
      </c>
      <c r="K688" s="25">
        <f t="shared" si="268"/>
        <v>29</v>
      </c>
      <c r="L688" s="79">
        <v>14.36</v>
      </c>
      <c r="M688" s="79">
        <v>13.24</v>
      </c>
      <c r="N688" s="25">
        <f t="shared" si="269"/>
        <v>1.1199999999999992</v>
      </c>
      <c r="O688" s="25" t="s">
        <v>545</v>
      </c>
    </row>
    <row r="689" spans="1:15" x14ac:dyDescent="0.25">
      <c r="A689" s="75">
        <v>46058</v>
      </c>
      <c r="B689" s="25" t="s">
        <v>436</v>
      </c>
      <c r="C689" s="25" t="s">
        <v>637</v>
      </c>
      <c r="D689" s="75">
        <f t="shared" si="258"/>
        <v>46081</v>
      </c>
      <c r="E689" s="75">
        <f t="shared" si="259"/>
        <v>46065</v>
      </c>
      <c r="F689" s="75">
        <f t="shared" si="260"/>
        <v>46072</v>
      </c>
      <c r="G689" s="75">
        <f t="shared" si="261"/>
        <v>46078</v>
      </c>
      <c r="H689" s="75">
        <f t="shared" si="262"/>
        <v>46066</v>
      </c>
      <c r="I689" s="75">
        <f t="shared" si="263"/>
        <v>46073</v>
      </c>
      <c r="J689" s="75">
        <v>46087</v>
      </c>
      <c r="K689" s="25">
        <f t="shared" si="268"/>
        <v>29</v>
      </c>
      <c r="L689" s="79">
        <v>15.08</v>
      </c>
      <c r="M689" s="79">
        <v>14.1</v>
      </c>
      <c r="N689" s="25">
        <f t="shared" si="269"/>
        <v>0.98000000000000043</v>
      </c>
      <c r="O689" s="25" t="s">
        <v>545</v>
      </c>
    </row>
    <row r="690" spans="1:15" x14ac:dyDescent="0.25">
      <c r="A690" s="75">
        <v>46058</v>
      </c>
      <c r="B690" s="25" t="s">
        <v>437</v>
      </c>
      <c r="C690" s="25" t="s">
        <v>638</v>
      </c>
      <c r="D690" s="75">
        <f t="shared" si="258"/>
        <v>46081</v>
      </c>
      <c r="E690" s="75">
        <f t="shared" si="259"/>
        <v>46065</v>
      </c>
      <c r="F690" s="75">
        <f t="shared" si="260"/>
        <v>46072</v>
      </c>
      <c r="G690" s="75">
        <f t="shared" si="261"/>
        <v>46078</v>
      </c>
      <c r="H690" s="75">
        <f t="shared" si="262"/>
        <v>46066</v>
      </c>
      <c r="I690" s="75">
        <f t="shared" si="263"/>
        <v>46073</v>
      </c>
      <c r="J690" s="75">
        <v>46087</v>
      </c>
      <c r="K690" s="25">
        <f t="shared" si="268"/>
        <v>29</v>
      </c>
      <c r="L690" s="79">
        <v>14.59</v>
      </c>
      <c r="M690" s="79">
        <v>13.24</v>
      </c>
      <c r="N690" s="25">
        <f t="shared" si="269"/>
        <v>1.3499999999999996</v>
      </c>
      <c r="O690" s="25" t="s">
        <v>545</v>
      </c>
    </row>
    <row r="691" spans="1:15" x14ac:dyDescent="0.25">
      <c r="A691" s="75">
        <v>46058</v>
      </c>
      <c r="B691" s="25" t="s">
        <v>438</v>
      </c>
      <c r="C691" s="25" t="s">
        <v>639</v>
      </c>
      <c r="D691" s="75">
        <f t="shared" si="258"/>
        <v>46081</v>
      </c>
      <c r="E691" s="75">
        <f t="shared" si="259"/>
        <v>46065</v>
      </c>
      <c r="F691" s="75">
        <f t="shared" si="260"/>
        <v>46072</v>
      </c>
      <c r="G691" s="75">
        <f t="shared" si="261"/>
        <v>46078</v>
      </c>
      <c r="H691" s="75">
        <f t="shared" si="262"/>
        <v>46066</v>
      </c>
      <c r="I691" s="75">
        <f t="shared" si="263"/>
        <v>46073</v>
      </c>
      <c r="J691" s="75">
        <v>46088</v>
      </c>
      <c r="K691" s="25">
        <f t="shared" si="268"/>
        <v>30</v>
      </c>
      <c r="L691" s="79">
        <v>15.83</v>
      </c>
      <c r="M691" s="79">
        <v>14.26</v>
      </c>
      <c r="N691" s="25">
        <f t="shared" si="269"/>
        <v>1.5700000000000003</v>
      </c>
      <c r="O691" s="25" t="s">
        <v>545</v>
      </c>
    </row>
    <row r="692" spans="1:15" x14ac:dyDescent="0.25">
      <c r="A692" s="75">
        <v>46058</v>
      </c>
      <c r="B692" s="25" t="s">
        <v>439</v>
      </c>
      <c r="C692" s="25" t="s">
        <v>640</v>
      </c>
      <c r="D692" s="75">
        <f t="shared" si="258"/>
        <v>46081</v>
      </c>
      <c r="E692" s="75">
        <f t="shared" si="259"/>
        <v>46065</v>
      </c>
      <c r="F692" s="75">
        <f t="shared" si="260"/>
        <v>46072</v>
      </c>
      <c r="G692" s="75">
        <f t="shared" si="261"/>
        <v>46078</v>
      </c>
      <c r="H692" s="75">
        <f t="shared" si="262"/>
        <v>46066</v>
      </c>
      <c r="I692" s="75">
        <f t="shared" si="263"/>
        <v>46073</v>
      </c>
      <c r="J692" s="75">
        <v>46088</v>
      </c>
      <c r="K692" s="25">
        <f t="shared" si="268"/>
        <v>30</v>
      </c>
      <c r="L692" s="79">
        <v>15.64</v>
      </c>
      <c r="M692" s="79">
        <v>14.91</v>
      </c>
      <c r="N692" s="25">
        <f t="shared" si="269"/>
        <v>0.73000000000000043</v>
      </c>
      <c r="O692" s="25" t="s">
        <v>545</v>
      </c>
    </row>
    <row r="693" spans="1:15" x14ac:dyDescent="0.25">
      <c r="A693" s="75">
        <v>46058</v>
      </c>
      <c r="B693" s="25" t="s">
        <v>440</v>
      </c>
      <c r="C693" s="25" t="s">
        <v>641</v>
      </c>
      <c r="D693" s="75">
        <f t="shared" si="258"/>
        <v>46081</v>
      </c>
      <c r="E693" s="75">
        <f t="shared" si="259"/>
        <v>46065</v>
      </c>
      <c r="F693" s="75">
        <f t="shared" si="260"/>
        <v>46072</v>
      </c>
      <c r="G693" s="75">
        <f t="shared" si="261"/>
        <v>46078</v>
      </c>
      <c r="H693" s="75">
        <f t="shared" si="262"/>
        <v>46066</v>
      </c>
      <c r="I693" s="75">
        <f t="shared" si="263"/>
        <v>46073</v>
      </c>
      <c r="J693" s="75">
        <v>46088</v>
      </c>
      <c r="K693" s="25">
        <f t="shared" si="268"/>
        <v>30</v>
      </c>
      <c r="L693" s="79">
        <v>16.82</v>
      </c>
      <c r="M693" s="79">
        <v>15.74</v>
      </c>
      <c r="N693" s="25">
        <f t="shared" si="269"/>
        <v>1.08</v>
      </c>
      <c r="O693" s="25" t="s">
        <v>545</v>
      </c>
    </row>
    <row r="694" spans="1:15" x14ac:dyDescent="0.25">
      <c r="A694" s="75">
        <v>46058</v>
      </c>
      <c r="B694" s="25" t="s">
        <v>441</v>
      </c>
      <c r="C694" s="25" t="s">
        <v>642</v>
      </c>
      <c r="D694" s="75">
        <f t="shared" si="258"/>
        <v>46081</v>
      </c>
      <c r="E694" s="75">
        <f t="shared" si="259"/>
        <v>46065</v>
      </c>
      <c r="F694" s="75">
        <f t="shared" si="260"/>
        <v>46072</v>
      </c>
      <c r="G694" s="75">
        <f t="shared" si="261"/>
        <v>46078</v>
      </c>
      <c r="H694" s="75">
        <f t="shared" si="262"/>
        <v>46066</v>
      </c>
      <c r="I694" s="75">
        <f t="shared" si="263"/>
        <v>46073</v>
      </c>
      <c r="J694" s="75">
        <v>46088</v>
      </c>
      <c r="K694" s="25">
        <f t="shared" si="268"/>
        <v>30</v>
      </c>
      <c r="L694" s="79">
        <v>16.989999999999998</v>
      </c>
      <c r="M694" s="79">
        <v>15.21</v>
      </c>
      <c r="N694" s="25">
        <f t="shared" si="269"/>
        <v>1.7799999999999976</v>
      </c>
      <c r="O694" s="25" t="s">
        <v>545</v>
      </c>
    </row>
    <row r="695" spans="1:15" x14ac:dyDescent="0.25">
      <c r="A695" s="75">
        <v>46059</v>
      </c>
      <c r="B695" s="25" t="s">
        <v>548</v>
      </c>
      <c r="C695" s="25" t="s">
        <v>643</v>
      </c>
      <c r="D695" s="75">
        <f t="shared" si="258"/>
        <v>46082</v>
      </c>
      <c r="E695" s="75">
        <f t="shared" si="259"/>
        <v>46066</v>
      </c>
      <c r="F695" s="75">
        <f t="shared" si="260"/>
        <v>46073</v>
      </c>
      <c r="G695" s="75">
        <f t="shared" si="261"/>
        <v>46079</v>
      </c>
      <c r="H695" s="75">
        <f t="shared" si="262"/>
        <v>46067</v>
      </c>
      <c r="I695" s="75">
        <f t="shared" si="263"/>
        <v>46074</v>
      </c>
      <c r="J695" s="75">
        <v>46090</v>
      </c>
      <c r="K695" s="25">
        <f t="shared" si="268"/>
        <v>31</v>
      </c>
      <c r="L695" s="79">
        <v>15.26</v>
      </c>
      <c r="M695" s="79">
        <v>14.31</v>
      </c>
      <c r="N695" s="25">
        <f t="shared" si="269"/>
        <v>0.94999999999999929</v>
      </c>
      <c r="O695" s="25" t="s">
        <v>545</v>
      </c>
    </row>
    <row r="696" spans="1:15" x14ac:dyDescent="0.25">
      <c r="A696" s="75">
        <v>46059</v>
      </c>
      <c r="B696" s="25" t="s">
        <v>549</v>
      </c>
      <c r="C696" s="25" t="s">
        <v>644</v>
      </c>
      <c r="D696" s="75">
        <f t="shared" si="258"/>
        <v>46082</v>
      </c>
      <c r="E696" s="75">
        <f t="shared" si="259"/>
        <v>46066</v>
      </c>
      <c r="F696" s="75">
        <f t="shared" si="260"/>
        <v>46073</v>
      </c>
      <c r="G696" s="75">
        <f t="shared" si="261"/>
        <v>46079</v>
      </c>
      <c r="H696" s="75">
        <f t="shared" si="262"/>
        <v>46067</v>
      </c>
      <c r="I696" s="75">
        <f t="shared" si="263"/>
        <v>46074</v>
      </c>
      <c r="J696" s="75">
        <v>46089</v>
      </c>
      <c r="K696" s="25">
        <f t="shared" si="268"/>
        <v>30</v>
      </c>
      <c r="L696" s="79">
        <v>15.91</v>
      </c>
      <c r="M696" s="79">
        <v>14.77</v>
      </c>
      <c r="N696" s="25">
        <f t="shared" si="269"/>
        <v>1.1400000000000006</v>
      </c>
      <c r="O696" s="25" t="s">
        <v>545</v>
      </c>
    </row>
    <row r="697" spans="1:15" x14ac:dyDescent="0.25">
      <c r="A697" s="75">
        <v>46059</v>
      </c>
      <c r="B697" s="25" t="s">
        <v>550</v>
      </c>
      <c r="C697" s="25" t="s">
        <v>645</v>
      </c>
      <c r="D697" s="75">
        <f t="shared" si="258"/>
        <v>46082</v>
      </c>
      <c r="E697" s="75">
        <f t="shared" si="259"/>
        <v>46066</v>
      </c>
      <c r="F697" s="75">
        <f t="shared" si="260"/>
        <v>46073</v>
      </c>
      <c r="G697" s="75">
        <f t="shared" si="261"/>
        <v>46079</v>
      </c>
      <c r="H697" s="75">
        <f t="shared" si="262"/>
        <v>46067</v>
      </c>
      <c r="I697" s="75">
        <f t="shared" si="263"/>
        <v>46074</v>
      </c>
      <c r="J697" s="75">
        <v>46089</v>
      </c>
      <c r="K697" s="25">
        <f t="shared" si="268"/>
        <v>30</v>
      </c>
      <c r="L697" s="79">
        <v>16.38</v>
      </c>
      <c r="M697" s="79">
        <v>15.11</v>
      </c>
      <c r="N697" s="25">
        <f t="shared" si="269"/>
        <v>1.2699999999999996</v>
      </c>
      <c r="O697" s="25" t="s">
        <v>545</v>
      </c>
    </row>
    <row r="698" spans="1:15" x14ac:dyDescent="0.25">
      <c r="A698" s="75">
        <v>46059</v>
      </c>
      <c r="B698" s="25" t="s">
        <v>551</v>
      </c>
      <c r="C698" s="25" t="s">
        <v>646</v>
      </c>
      <c r="D698" s="75">
        <f t="shared" si="258"/>
        <v>46082</v>
      </c>
      <c r="E698" s="75">
        <f t="shared" si="259"/>
        <v>46066</v>
      </c>
      <c r="F698" s="75">
        <f t="shared" si="260"/>
        <v>46073</v>
      </c>
      <c r="G698" s="75">
        <f t="shared" si="261"/>
        <v>46079</v>
      </c>
      <c r="H698" s="75">
        <f t="shared" si="262"/>
        <v>46067</v>
      </c>
      <c r="I698" s="75">
        <f t="shared" si="263"/>
        <v>46074</v>
      </c>
      <c r="J698" s="75">
        <v>46089</v>
      </c>
      <c r="K698" s="25">
        <f t="shared" si="268"/>
        <v>30</v>
      </c>
      <c r="L698" s="79">
        <v>16.16</v>
      </c>
      <c r="M698" s="79">
        <v>15.96</v>
      </c>
      <c r="N698" s="25">
        <f t="shared" si="269"/>
        <v>0.19999999999999929</v>
      </c>
      <c r="O698" s="25" t="s">
        <v>545</v>
      </c>
    </row>
    <row r="699" spans="1:15" x14ac:dyDescent="0.25">
      <c r="A699" s="75">
        <v>46059</v>
      </c>
      <c r="B699" s="25" t="s">
        <v>552</v>
      </c>
      <c r="C699" s="25" t="s">
        <v>647</v>
      </c>
      <c r="D699" s="75">
        <f t="shared" si="258"/>
        <v>46082</v>
      </c>
      <c r="E699" s="75">
        <f t="shared" si="259"/>
        <v>46066</v>
      </c>
      <c r="F699" s="75">
        <f t="shared" si="260"/>
        <v>46073</v>
      </c>
      <c r="G699" s="75">
        <f t="shared" si="261"/>
        <v>46079</v>
      </c>
      <c r="H699" s="75">
        <f t="shared" si="262"/>
        <v>46067</v>
      </c>
      <c r="I699" s="75">
        <f t="shared" si="263"/>
        <v>46074</v>
      </c>
      <c r="J699" s="75">
        <v>46089</v>
      </c>
      <c r="K699" s="25">
        <f t="shared" si="268"/>
        <v>30</v>
      </c>
      <c r="L699" s="79">
        <v>15.31</v>
      </c>
      <c r="M699" s="79">
        <v>14.11</v>
      </c>
      <c r="N699" s="25">
        <f t="shared" si="269"/>
        <v>1.2000000000000011</v>
      </c>
      <c r="O699" s="25" t="s">
        <v>545</v>
      </c>
    </row>
    <row r="700" spans="1:15" x14ac:dyDescent="0.25">
      <c r="A700" s="75">
        <v>46059</v>
      </c>
      <c r="B700" s="25" t="s">
        <v>553</v>
      </c>
      <c r="C700" s="25" t="s">
        <v>648</v>
      </c>
      <c r="D700" s="75">
        <f t="shared" si="258"/>
        <v>46082</v>
      </c>
      <c r="E700" s="75">
        <f t="shared" si="259"/>
        <v>46066</v>
      </c>
      <c r="F700" s="75">
        <f t="shared" si="260"/>
        <v>46073</v>
      </c>
      <c r="G700" s="75">
        <f t="shared" si="261"/>
        <v>46079</v>
      </c>
      <c r="H700" s="75">
        <f t="shared" si="262"/>
        <v>46067</v>
      </c>
      <c r="I700" s="75">
        <f t="shared" si="263"/>
        <v>46074</v>
      </c>
      <c r="J700" s="75">
        <v>46089</v>
      </c>
      <c r="K700" s="25">
        <f t="shared" si="268"/>
        <v>30</v>
      </c>
      <c r="L700" s="79">
        <v>16.100000000000001</v>
      </c>
      <c r="M700" s="79">
        <v>15.28</v>
      </c>
      <c r="N700" s="25">
        <f t="shared" si="269"/>
        <v>0.82000000000000206</v>
      </c>
      <c r="O700" s="25" t="s">
        <v>545</v>
      </c>
    </row>
    <row r="701" spans="1:15" x14ac:dyDescent="0.25">
      <c r="A701" s="75">
        <v>46059</v>
      </c>
      <c r="B701" s="25" t="s">
        <v>554</v>
      </c>
      <c r="C701" s="25" t="s">
        <v>649</v>
      </c>
      <c r="D701" s="75">
        <f t="shared" si="258"/>
        <v>46082</v>
      </c>
      <c r="E701" s="75">
        <f t="shared" si="259"/>
        <v>46066</v>
      </c>
      <c r="F701" s="75">
        <f t="shared" si="260"/>
        <v>46073</v>
      </c>
      <c r="G701" s="75">
        <f t="shared" si="261"/>
        <v>46079</v>
      </c>
      <c r="H701" s="75">
        <f t="shared" si="262"/>
        <v>46067</v>
      </c>
      <c r="I701" s="75">
        <f t="shared" si="263"/>
        <v>46074</v>
      </c>
      <c r="J701" s="75">
        <v>46089</v>
      </c>
      <c r="K701" s="25">
        <f t="shared" si="268"/>
        <v>30</v>
      </c>
      <c r="L701" s="79">
        <v>15.24</v>
      </c>
      <c r="M701" s="79">
        <v>14.53</v>
      </c>
      <c r="N701" s="25">
        <f t="shared" si="269"/>
        <v>0.71000000000000085</v>
      </c>
      <c r="O701" s="25" t="s">
        <v>545</v>
      </c>
    </row>
    <row r="702" spans="1:15" x14ac:dyDescent="0.25">
      <c r="A702" s="75">
        <v>46060</v>
      </c>
      <c r="B702" s="25" t="s">
        <v>555</v>
      </c>
      <c r="C702" s="25" t="s">
        <v>650</v>
      </c>
      <c r="D702" s="75">
        <f t="shared" si="258"/>
        <v>46083</v>
      </c>
      <c r="E702" s="75">
        <f t="shared" si="259"/>
        <v>46067</v>
      </c>
      <c r="F702" s="75">
        <f t="shared" si="260"/>
        <v>46074</v>
      </c>
      <c r="G702" s="75">
        <f t="shared" si="261"/>
        <v>46080</v>
      </c>
      <c r="H702" s="75">
        <f t="shared" si="262"/>
        <v>46068</v>
      </c>
      <c r="I702" s="75">
        <f t="shared" si="263"/>
        <v>46075</v>
      </c>
      <c r="J702" s="75">
        <v>46088</v>
      </c>
      <c r="K702" s="25">
        <f t="shared" si="268"/>
        <v>28</v>
      </c>
      <c r="L702" s="79">
        <v>17.14</v>
      </c>
      <c r="M702" s="79">
        <v>16.75</v>
      </c>
      <c r="N702" s="25">
        <f t="shared" si="269"/>
        <v>0.39000000000000057</v>
      </c>
      <c r="O702" s="25" t="s">
        <v>545</v>
      </c>
    </row>
    <row r="703" spans="1:15" x14ac:dyDescent="0.25">
      <c r="A703" s="75">
        <v>46060</v>
      </c>
      <c r="B703" s="25" t="s">
        <v>556</v>
      </c>
      <c r="C703" s="25" t="s">
        <v>651</v>
      </c>
      <c r="D703" s="75">
        <f t="shared" si="258"/>
        <v>46083</v>
      </c>
      <c r="E703" s="75">
        <f t="shared" si="259"/>
        <v>46067</v>
      </c>
      <c r="F703" s="75">
        <f t="shared" si="260"/>
        <v>46074</v>
      </c>
      <c r="G703" s="75">
        <f t="shared" si="261"/>
        <v>46080</v>
      </c>
      <c r="H703" s="75">
        <f t="shared" si="262"/>
        <v>46068</v>
      </c>
      <c r="I703" s="75">
        <f t="shared" si="263"/>
        <v>46075</v>
      </c>
      <c r="J703" s="75">
        <v>46088</v>
      </c>
      <c r="K703" s="25">
        <f t="shared" si="268"/>
        <v>28</v>
      </c>
      <c r="L703" s="79">
        <v>16.190000000000001</v>
      </c>
      <c r="M703" s="79">
        <v>15.83</v>
      </c>
      <c r="N703" s="25">
        <f t="shared" si="269"/>
        <v>0.36000000000000121</v>
      </c>
      <c r="O703" s="25" t="s">
        <v>545</v>
      </c>
    </row>
    <row r="704" spans="1:15" x14ac:dyDescent="0.25">
      <c r="A704" s="75">
        <v>46060</v>
      </c>
      <c r="B704" s="25" t="s">
        <v>557</v>
      </c>
      <c r="C704" s="25" t="s">
        <v>652</v>
      </c>
      <c r="D704" s="75">
        <f t="shared" si="258"/>
        <v>46083</v>
      </c>
      <c r="E704" s="75">
        <f t="shared" si="259"/>
        <v>46067</v>
      </c>
      <c r="F704" s="75">
        <f t="shared" si="260"/>
        <v>46074</v>
      </c>
      <c r="G704" s="75">
        <f t="shared" si="261"/>
        <v>46080</v>
      </c>
      <c r="H704" s="75">
        <f t="shared" si="262"/>
        <v>46068</v>
      </c>
      <c r="I704" s="75">
        <f t="shared" si="263"/>
        <v>46075</v>
      </c>
      <c r="J704" s="75">
        <v>46088</v>
      </c>
      <c r="K704" s="25">
        <f t="shared" si="268"/>
        <v>28</v>
      </c>
      <c r="L704" s="79">
        <v>17.61</v>
      </c>
      <c r="M704" s="79">
        <v>16.96</v>
      </c>
      <c r="N704" s="25">
        <f t="shared" si="269"/>
        <v>0.64999999999999858</v>
      </c>
      <c r="O704" s="25" t="s">
        <v>545</v>
      </c>
    </row>
    <row r="705" spans="1:15" x14ac:dyDescent="0.25">
      <c r="A705" s="75">
        <v>46060</v>
      </c>
      <c r="B705" s="25" t="s">
        <v>561</v>
      </c>
      <c r="C705" s="25" t="s">
        <v>653</v>
      </c>
      <c r="D705" s="75">
        <f t="shared" si="258"/>
        <v>46083</v>
      </c>
      <c r="E705" s="75">
        <f t="shared" si="259"/>
        <v>46067</v>
      </c>
      <c r="F705" s="75">
        <f t="shared" si="260"/>
        <v>46074</v>
      </c>
      <c r="G705" s="75">
        <f t="shared" si="261"/>
        <v>46080</v>
      </c>
      <c r="H705" s="75">
        <f t="shared" si="262"/>
        <v>46068</v>
      </c>
      <c r="I705" s="75">
        <f t="shared" si="263"/>
        <v>46075</v>
      </c>
      <c r="J705" s="75">
        <v>46090</v>
      </c>
      <c r="K705" s="25">
        <f t="shared" si="268"/>
        <v>30</v>
      </c>
      <c r="L705" s="79">
        <v>15.42</v>
      </c>
      <c r="M705" s="79">
        <v>14.74</v>
      </c>
      <c r="N705" s="25">
        <f t="shared" si="269"/>
        <v>0.67999999999999972</v>
      </c>
      <c r="O705" s="25" t="s">
        <v>545</v>
      </c>
    </row>
    <row r="706" spans="1:15" x14ac:dyDescent="0.25">
      <c r="A706" s="75">
        <v>46060</v>
      </c>
      <c r="B706" s="25" t="s">
        <v>562</v>
      </c>
      <c r="C706" s="25" t="s">
        <v>654</v>
      </c>
      <c r="D706" s="75">
        <f t="shared" si="258"/>
        <v>46083</v>
      </c>
      <c r="E706" s="75">
        <f t="shared" si="259"/>
        <v>46067</v>
      </c>
      <c r="F706" s="75">
        <f t="shared" si="260"/>
        <v>46074</v>
      </c>
      <c r="G706" s="75">
        <f t="shared" si="261"/>
        <v>46080</v>
      </c>
      <c r="H706" s="75">
        <f t="shared" si="262"/>
        <v>46068</v>
      </c>
      <c r="I706" s="75">
        <f t="shared" si="263"/>
        <v>46075</v>
      </c>
      <c r="J706" s="75">
        <v>46090</v>
      </c>
      <c r="K706" s="25">
        <f t="shared" si="268"/>
        <v>30</v>
      </c>
      <c r="L706" s="79">
        <v>14.74</v>
      </c>
      <c r="M706" s="79">
        <v>13.28</v>
      </c>
      <c r="N706" s="25">
        <f t="shared" si="269"/>
        <v>1.4600000000000009</v>
      </c>
      <c r="O706" s="25" t="s">
        <v>545</v>
      </c>
    </row>
    <row r="707" spans="1:15" x14ac:dyDescent="0.25">
      <c r="A707" s="75">
        <v>46060</v>
      </c>
      <c r="B707" s="25" t="s">
        <v>563</v>
      </c>
      <c r="C707" s="25" t="s">
        <v>655</v>
      </c>
      <c r="D707" s="75">
        <f t="shared" si="258"/>
        <v>46083</v>
      </c>
      <c r="E707" s="75">
        <f t="shared" si="259"/>
        <v>46067</v>
      </c>
      <c r="F707" s="75">
        <f t="shared" si="260"/>
        <v>46074</v>
      </c>
      <c r="G707" s="75">
        <f t="shared" si="261"/>
        <v>46080</v>
      </c>
      <c r="H707" s="75">
        <f t="shared" si="262"/>
        <v>46068</v>
      </c>
      <c r="I707" s="75">
        <f t="shared" si="263"/>
        <v>46075</v>
      </c>
      <c r="J707" s="75">
        <v>46090</v>
      </c>
      <c r="K707" s="25">
        <f t="shared" si="268"/>
        <v>30</v>
      </c>
      <c r="L707" s="79">
        <v>13.56</v>
      </c>
      <c r="M707" s="79">
        <v>12.93</v>
      </c>
      <c r="N707" s="25">
        <f t="shared" si="269"/>
        <v>0.63000000000000078</v>
      </c>
      <c r="O707" s="25" t="s">
        <v>545</v>
      </c>
    </row>
    <row r="708" spans="1:15" x14ac:dyDescent="0.25">
      <c r="A708" s="75">
        <v>46060</v>
      </c>
      <c r="B708" s="25" t="s">
        <v>564</v>
      </c>
      <c r="C708" s="25" t="s">
        <v>656</v>
      </c>
      <c r="D708" s="75">
        <f t="shared" si="258"/>
        <v>46083</v>
      </c>
      <c r="E708" s="75">
        <f t="shared" si="259"/>
        <v>46067</v>
      </c>
      <c r="F708" s="75">
        <f t="shared" si="260"/>
        <v>46074</v>
      </c>
      <c r="G708" s="75">
        <f t="shared" si="261"/>
        <v>46080</v>
      </c>
      <c r="H708" s="75">
        <f t="shared" si="262"/>
        <v>46068</v>
      </c>
      <c r="I708" s="75">
        <f t="shared" si="263"/>
        <v>46075</v>
      </c>
      <c r="J708" s="75">
        <v>46090</v>
      </c>
      <c r="K708" s="25">
        <f t="shared" si="268"/>
        <v>30</v>
      </c>
      <c r="L708" s="79">
        <v>14.37</v>
      </c>
      <c r="M708" s="79">
        <v>13.54</v>
      </c>
      <c r="N708" s="25">
        <f t="shared" si="269"/>
        <v>0.83000000000000007</v>
      </c>
      <c r="O708" s="25" t="s">
        <v>545</v>
      </c>
    </row>
    <row r="709" spans="1:15" x14ac:dyDescent="0.25">
      <c r="A709" s="75">
        <v>46061</v>
      </c>
      <c r="B709" s="25" t="s">
        <v>565</v>
      </c>
      <c r="C709" s="25" t="s">
        <v>657</v>
      </c>
      <c r="D709" s="75">
        <f t="shared" si="258"/>
        <v>46084</v>
      </c>
      <c r="E709" s="75">
        <f t="shared" si="259"/>
        <v>46068</v>
      </c>
      <c r="F709" s="75">
        <f t="shared" si="260"/>
        <v>46075</v>
      </c>
      <c r="G709" s="75">
        <f t="shared" si="261"/>
        <v>46081</v>
      </c>
      <c r="H709" s="75">
        <f t="shared" si="262"/>
        <v>46069</v>
      </c>
      <c r="I709" s="75">
        <f t="shared" si="263"/>
        <v>46076</v>
      </c>
      <c r="J709" s="75">
        <v>46090</v>
      </c>
      <c r="K709" s="25">
        <f t="shared" si="268"/>
        <v>29</v>
      </c>
      <c r="L709" s="79">
        <v>15.81</v>
      </c>
      <c r="M709" s="79">
        <v>14.21</v>
      </c>
      <c r="N709" s="25">
        <f t="shared" si="269"/>
        <v>1.5999999999999996</v>
      </c>
      <c r="O709" s="25" t="s">
        <v>545</v>
      </c>
    </row>
    <row r="710" spans="1:15" x14ac:dyDescent="0.25">
      <c r="A710" s="75">
        <v>46061</v>
      </c>
      <c r="B710" s="25" t="s">
        <v>566</v>
      </c>
      <c r="C710" s="25" t="s">
        <v>658</v>
      </c>
      <c r="D710" s="75">
        <f t="shared" si="258"/>
        <v>46084</v>
      </c>
      <c r="E710" s="75">
        <f t="shared" si="259"/>
        <v>46068</v>
      </c>
      <c r="F710" s="75">
        <f t="shared" si="260"/>
        <v>46075</v>
      </c>
      <c r="G710" s="75">
        <f t="shared" si="261"/>
        <v>46081</v>
      </c>
      <c r="H710" s="75">
        <f t="shared" si="262"/>
        <v>46069</v>
      </c>
      <c r="I710" s="75">
        <f t="shared" si="263"/>
        <v>46076</v>
      </c>
      <c r="J710" s="75">
        <v>46090</v>
      </c>
      <c r="K710" s="25">
        <f t="shared" si="268"/>
        <v>29</v>
      </c>
      <c r="L710" s="79">
        <v>14.73</v>
      </c>
      <c r="M710" s="79">
        <v>13.56</v>
      </c>
      <c r="N710" s="25">
        <f t="shared" si="269"/>
        <v>1.17</v>
      </c>
      <c r="O710" s="25" t="s">
        <v>545</v>
      </c>
    </row>
    <row r="711" spans="1:15" x14ac:dyDescent="0.25">
      <c r="A711" s="75">
        <v>46061</v>
      </c>
      <c r="B711" s="25" t="s">
        <v>442</v>
      </c>
      <c r="C711" s="25" t="s">
        <v>659</v>
      </c>
      <c r="D711" s="75">
        <f t="shared" si="258"/>
        <v>46084</v>
      </c>
      <c r="E711" s="75">
        <f t="shared" si="259"/>
        <v>46068</v>
      </c>
      <c r="F711" s="75">
        <f t="shared" si="260"/>
        <v>46075</v>
      </c>
      <c r="G711" s="75">
        <f t="shared" si="261"/>
        <v>46081</v>
      </c>
      <c r="H711" s="75">
        <f t="shared" si="262"/>
        <v>46069</v>
      </c>
      <c r="I711" s="75">
        <f t="shared" si="263"/>
        <v>46076</v>
      </c>
      <c r="J711" s="75">
        <v>46091</v>
      </c>
      <c r="K711" s="25">
        <f t="shared" si="268"/>
        <v>30</v>
      </c>
      <c r="L711" s="79">
        <v>14.71</v>
      </c>
      <c r="M711" s="79">
        <v>13.58</v>
      </c>
      <c r="N711" s="25">
        <f t="shared" si="269"/>
        <v>1.1300000000000008</v>
      </c>
      <c r="O711" s="25" t="s">
        <v>545</v>
      </c>
    </row>
    <row r="712" spans="1:15" x14ac:dyDescent="0.25">
      <c r="A712" s="75">
        <v>46061</v>
      </c>
      <c r="B712" s="25" t="s">
        <v>443</v>
      </c>
      <c r="C712" s="25" t="s">
        <v>660</v>
      </c>
      <c r="D712" s="75">
        <f t="shared" si="258"/>
        <v>46084</v>
      </c>
      <c r="E712" s="75">
        <f t="shared" si="259"/>
        <v>46068</v>
      </c>
      <c r="F712" s="75">
        <f t="shared" si="260"/>
        <v>46075</v>
      </c>
      <c r="G712" s="75">
        <f t="shared" si="261"/>
        <v>46081</v>
      </c>
      <c r="H712" s="75">
        <f t="shared" si="262"/>
        <v>46069</v>
      </c>
      <c r="I712" s="75">
        <f t="shared" si="263"/>
        <v>46076</v>
      </c>
      <c r="J712" s="75">
        <v>46091</v>
      </c>
      <c r="K712" s="25">
        <f t="shared" si="268"/>
        <v>30</v>
      </c>
      <c r="L712" s="79">
        <v>15.36</v>
      </c>
      <c r="M712" s="79">
        <v>14.12</v>
      </c>
      <c r="N712" s="25">
        <f t="shared" si="269"/>
        <v>1.2400000000000002</v>
      </c>
      <c r="O712" s="25" t="s">
        <v>545</v>
      </c>
    </row>
    <row r="713" spans="1:15" x14ac:dyDescent="0.25">
      <c r="A713" s="75">
        <v>46061</v>
      </c>
      <c r="B713" s="25" t="s">
        <v>444</v>
      </c>
      <c r="C713" s="25" t="s">
        <v>661</v>
      </c>
      <c r="D713" s="75">
        <f t="shared" si="258"/>
        <v>46084</v>
      </c>
      <c r="E713" s="75">
        <f t="shared" si="259"/>
        <v>46068</v>
      </c>
      <c r="F713" s="75">
        <f t="shared" si="260"/>
        <v>46075</v>
      </c>
      <c r="G713" s="75">
        <f t="shared" si="261"/>
        <v>46081</v>
      </c>
      <c r="H713" s="75">
        <f t="shared" si="262"/>
        <v>46069</v>
      </c>
      <c r="I713" s="75">
        <f t="shared" si="263"/>
        <v>46076</v>
      </c>
      <c r="J713" s="75">
        <v>46091</v>
      </c>
      <c r="K713" s="25">
        <f t="shared" si="268"/>
        <v>30</v>
      </c>
      <c r="L713" s="79">
        <v>15.69</v>
      </c>
      <c r="M713" s="79">
        <v>14.73</v>
      </c>
      <c r="N713" s="25">
        <f t="shared" si="269"/>
        <v>0.95999999999999908</v>
      </c>
      <c r="O713" s="25" t="s">
        <v>545</v>
      </c>
    </row>
    <row r="714" spans="1:15" x14ac:dyDescent="0.25">
      <c r="A714" s="75">
        <v>46061</v>
      </c>
      <c r="B714" s="25" t="s">
        <v>445</v>
      </c>
      <c r="C714" s="25" t="s">
        <v>605</v>
      </c>
      <c r="D714" s="75">
        <v>46084</v>
      </c>
      <c r="E714" s="75">
        <v>46068</v>
      </c>
      <c r="F714" s="75">
        <v>46075</v>
      </c>
      <c r="G714" s="75">
        <v>46081</v>
      </c>
      <c r="H714" s="75">
        <v>46069</v>
      </c>
      <c r="I714" s="75">
        <v>46076</v>
      </c>
      <c r="J714" s="75">
        <v>46092</v>
      </c>
      <c r="K714" s="25">
        <v>31</v>
      </c>
      <c r="L714" s="79">
        <v>16.350000000000001</v>
      </c>
      <c r="M714" s="79">
        <v>15.24</v>
      </c>
      <c r="N714" s="25">
        <v>1.1100000000000012</v>
      </c>
      <c r="O714" s="25" t="s">
        <v>545</v>
      </c>
    </row>
    <row r="715" spans="1:15" x14ac:dyDescent="0.25">
      <c r="A715" s="75">
        <v>46061</v>
      </c>
      <c r="B715" s="25" t="s">
        <v>446</v>
      </c>
      <c r="C715" s="25" t="s">
        <v>606</v>
      </c>
      <c r="D715" s="75">
        <v>46084</v>
      </c>
      <c r="E715" s="75">
        <v>46068</v>
      </c>
      <c r="F715" s="75">
        <v>46075</v>
      </c>
      <c r="G715" s="75">
        <v>46081</v>
      </c>
      <c r="H715" s="75">
        <v>46069</v>
      </c>
      <c r="I715" s="75">
        <v>46076</v>
      </c>
      <c r="J715" s="75">
        <v>46092</v>
      </c>
      <c r="K715" s="25">
        <v>31</v>
      </c>
      <c r="L715" s="79">
        <v>16.97</v>
      </c>
      <c r="M715" s="79">
        <v>16.100000000000001</v>
      </c>
      <c r="N715" s="25">
        <v>0.86999999999999744</v>
      </c>
      <c r="O715" s="25" t="s">
        <v>545</v>
      </c>
    </row>
    <row r="716" spans="1:15" x14ac:dyDescent="0.25">
      <c r="A716" s="75">
        <v>46062</v>
      </c>
      <c r="B716" s="25" t="s">
        <v>504</v>
      </c>
      <c r="C716" s="25" t="s">
        <v>607</v>
      </c>
      <c r="D716" s="75">
        <v>46085</v>
      </c>
      <c r="E716" s="75">
        <v>46069</v>
      </c>
      <c r="F716" s="75">
        <v>46076</v>
      </c>
      <c r="G716" s="75">
        <v>46082</v>
      </c>
      <c r="H716" s="75">
        <v>46070</v>
      </c>
      <c r="I716" s="75">
        <v>46077</v>
      </c>
      <c r="J716" s="75">
        <v>46092</v>
      </c>
      <c r="K716" s="25">
        <v>30</v>
      </c>
      <c r="L716" s="79">
        <v>15.17</v>
      </c>
      <c r="M716" s="79">
        <v>14.36</v>
      </c>
      <c r="N716" s="25">
        <v>0.8100000000000005</v>
      </c>
      <c r="O716" s="25" t="s">
        <v>545</v>
      </c>
    </row>
    <row r="717" spans="1:15" x14ac:dyDescent="0.25">
      <c r="A717" s="75">
        <v>46062</v>
      </c>
      <c r="B717" s="25" t="s">
        <v>505</v>
      </c>
      <c r="C717" s="25" t="s">
        <v>608</v>
      </c>
      <c r="D717" s="75">
        <v>46085</v>
      </c>
      <c r="E717" s="75">
        <v>46069</v>
      </c>
      <c r="F717" s="75">
        <v>46076</v>
      </c>
      <c r="G717" s="75">
        <v>46082</v>
      </c>
      <c r="H717" s="75">
        <v>46070</v>
      </c>
      <c r="I717" s="75">
        <v>46077</v>
      </c>
      <c r="J717" s="75">
        <v>46092</v>
      </c>
      <c r="K717" s="25">
        <v>30</v>
      </c>
      <c r="L717" s="79">
        <v>15.06</v>
      </c>
      <c r="M717" s="79">
        <v>14.19</v>
      </c>
      <c r="N717" s="25">
        <v>0.87000000000000099</v>
      </c>
      <c r="O717" s="25" t="s">
        <v>545</v>
      </c>
    </row>
    <row r="718" spans="1:15" x14ac:dyDescent="0.25">
      <c r="A718" s="75">
        <v>46062</v>
      </c>
      <c r="B718" s="25" t="s">
        <v>506</v>
      </c>
      <c r="C718" s="25" t="s">
        <v>609</v>
      </c>
      <c r="D718" s="75">
        <v>46085</v>
      </c>
      <c r="E718" s="75">
        <v>46069</v>
      </c>
      <c r="F718" s="75">
        <v>46076</v>
      </c>
      <c r="G718" s="75">
        <v>46082</v>
      </c>
      <c r="H718" s="75">
        <v>46070</v>
      </c>
      <c r="I718" s="75">
        <v>46077</v>
      </c>
      <c r="J718" s="75">
        <v>46092</v>
      </c>
      <c r="K718" s="25">
        <v>30</v>
      </c>
      <c r="L718" s="79">
        <v>16.45</v>
      </c>
      <c r="M718" s="79">
        <v>15.73</v>
      </c>
      <c r="N718" s="79">
        <v>0.71999999999999886</v>
      </c>
      <c r="O718" s="79" t="s">
        <v>545</v>
      </c>
    </row>
    <row r="719" spans="1:15" x14ac:dyDescent="0.25">
      <c r="A719" s="75">
        <v>46062</v>
      </c>
      <c r="B719" s="25" t="s">
        <v>507</v>
      </c>
      <c r="C719" s="25" t="s">
        <v>610</v>
      </c>
      <c r="D719" s="75">
        <v>46085</v>
      </c>
      <c r="E719" s="75">
        <v>46069</v>
      </c>
      <c r="F719" s="75">
        <v>46076</v>
      </c>
      <c r="G719" s="75">
        <v>46082</v>
      </c>
      <c r="H719" s="75">
        <v>46070</v>
      </c>
      <c r="I719" s="75">
        <v>46077</v>
      </c>
      <c r="J719" s="75">
        <v>46092</v>
      </c>
      <c r="K719" s="25">
        <v>30</v>
      </c>
      <c r="L719" s="79">
        <v>14.96</v>
      </c>
      <c r="M719" s="79">
        <v>14.12</v>
      </c>
      <c r="N719" s="79">
        <v>0.84000000000000163</v>
      </c>
      <c r="O719" s="79" t="s">
        <v>545</v>
      </c>
    </row>
    <row r="720" spans="1:15" x14ac:dyDescent="0.25">
      <c r="A720" s="75">
        <v>46062</v>
      </c>
      <c r="B720" s="25" t="s">
        <v>508</v>
      </c>
      <c r="C720" s="25" t="s">
        <v>611</v>
      </c>
      <c r="D720" s="75">
        <v>46085</v>
      </c>
      <c r="E720" s="75">
        <v>46069</v>
      </c>
      <c r="F720" s="75">
        <v>46076</v>
      </c>
      <c r="G720" s="75">
        <v>46082</v>
      </c>
      <c r="H720" s="75">
        <v>46070</v>
      </c>
      <c r="I720" s="75">
        <v>46077</v>
      </c>
      <c r="J720" s="75">
        <v>46092</v>
      </c>
      <c r="K720" s="25">
        <v>30</v>
      </c>
      <c r="L720" s="79">
        <v>16.309999999999999</v>
      </c>
      <c r="M720" s="79">
        <v>15.58</v>
      </c>
      <c r="N720" s="25">
        <v>0.72999999999999865</v>
      </c>
      <c r="O720" s="25" t="s">
        <v>545</v>
      </c>
    </row>
    <row r="721" spans="1:15" x14ac:dyDescent="0.25">
      <c r="A721" s="75">
        <v>46062</v>
      </c>
      <c r="B721" s="25" t="s">
        <v>509</v>
      </c>
      <c r="C721" s="25" t="s">
        <v>612</v>
      </c>
      <c r="D721" s="75">
        <v>46085</v>
      </c>
      <c r="E721" s="75">
        <v>46069</v>
      </c>
      <c r="F721" s="75">
        <v>46076</v>
      </c>
      <c r="G721" s="75">
        <v>46082</v>
      </c>
      <c r="H721" s="75">
        <v>46070</v>
      </c>
      <c r="I721" s="75">
        <v>46077</v>
      </c>
      <c r="J721" s="75">
        <v>46092</v>
      </c>
      <c r="K721" s="25">
        <v>30</v>
      </c>
      <c r="L721" s="79">
        <v>15.08</v>
      </c>
      <c r="M721" s="79">
        <v>14.15</v>
      </c>
      <c r="N721" s="25">
        <v>0.92999999999999972</v>
      </c>
      <c r="O721" s="25" t="s">
        <v>545</v>
      </c>
    </row>
    <row r="722" spans="1:15" x14ac:dyDescent="0.25">
      <c r="A722" s="75">
        <v>46062</v>
      </c>
      <c r="B722" s="25" t="s">
        <v>510</v>
      </c>
      <c r="C722" s="25" t="s">
        <v>613</v>
      </c>
      <c r="D722" s="75">
        <v>46085</v>
      </c>
      <c r="E722" s="75">
        <v>46069</v>
      </c>
      <c r="F722" s="75">
        <v>46076</v>
      </c>
      <c r="G722" s="75">
        <v>46082</v>
      </c>
      <c r="H722" s="75">
        <v>46070</v>
      </c>
      <c r="I722" s="75">
        <v>46077</v>
      </c>
      <c r="J722" s="75">
        <v>46092</v>
      </c>
      <c r="K722" s="25">
        <v>30</v>
      </c>
      <c r="L722" s="79">
        <v>15.24</v>
      </c>
      <c r="M722" s="79">
        <v>14.75</v>
      </c>
      <c r="N722" s="25">
        <v>0.49000000000000021</v>
      </c>
      <c r="O722" s="25" t="s">
        <v>545</v>
      </c>
    </row>
    <row r="723" spans="1:15" x14ac:dyDescent="0.25">
      <c r="A723" s="75">
        <v>46063</v>
      </c>
      <c r="B723" s="25" t="s">
        <v>497</v>
      </c>
      <c r="C723" s="25" t="s">
        <v>662</v>
      </c>
      <c r="D723" s="75">
        <f t="shared" ref="D723:D786" si="270">A723+23</f>
        <v>46086</v>
      </c>
      <c r="E723" s="75">
        <f t="shared" ref="E723:E786" si="271">A723+7</f>
        <v>46070</v>
      </c>
      <c r="F723" s="75">
        <f t="shared" ref="F723:F786" si="272">A723+14</f>
        <v>46077</v>
      </c>
      <c r="G723" s="75">
        <f t="shared" ref="G723:G786" si="273">A723+20</f>
        <v>46083</v>
      </c>
      <c r="H723" s="75">
        <f t="shared" ref="H723:H786" si="274">A723+8</f>
        <v>46071</v>
      </c>
      <c r="I723" s="75">
        <f t="shared" ref="I723:I786" si="275">A723+15</f>
        <v>46078</v>
      </c>
      <c r="J723" s="75">
        <v>46093</v>
      </c>
      <c r="K723" s="25">
        <f t="shared" ref="K723:K786" si="276">J723-A723</f>
        <v>30</v>
      </c>
      <c r="L723" s="79">
        <v>17.25</v>
      </c>
      <c r="M723" s="79">
        <v>16.32</v>
      </c>
      <c r="N723" s="25">
        <f t="shared" ref="N723:N786" si="277">L723-M723</f>
        <v>0.92999999999999972</v>
      </c>
      <c r="O723" s="25" t="s">
        <v>545</v>
      </c>
    </row>
    <row r="724" spans="1:15" x14ac:dyDescent="0.25">
      <c r="A724" s="75">
        <v>46063</v>
      </c>
      <c r="B724" s="25" t="s">
        <v>498</v>
      </c>
      <c r="C724" s="25" t="s">
        <v>663</v>
      </c>
      <c r="D724" s="75">
        <f t="shared" si="270"/>
        <v>46086</v>
      </c>
      <c r="E724" s="75">
        <f t="shared" si="271"/>
        <v>46070</v>
      </c>
      <c r="F724" s="75">
        <f t="shared" si="272"/>
        <v>46077</v>
      </c>
      <c r="G724" s="75">
        <f t="shared" si="273"/>
        <v>46083</v>
      </c>
      <c r="H724" s="75">
        <f t="shared" si="274"/>
        <v>46071</v>
      </c>
      <c r="I724" s="75">
        <f t="shared" si="275"/>
        <v>46078</v>
      </c>
      <c r="J724" s="75">
        <v>46093</v>
      </c>
      <c r="K724" s="25">
        <f t="shared" si="276"/>
        <v>30</v>
      </c>
      <c r="L724" s="79">
        <v>17.11</v>
      </c>
      <c r="M724" s="79">
        <v>16.149999999999999</v>
      </c>
      <c r="N724" s="25">
        <f t="shared" si="277"/>
        <v>0.96000000000000085</v>
      </c>
      <c r="O724" s="25" t="s">
        <v>545</v>
      </c>
    </row>
    <row r="725" spans="1:15" x14ac:dyDescent="0.25">
      <c r="A725" s="75">
        <v>46063</v>
      </c>
      <c r="B725" s="25" t="s">
        <v>499</v>
      </c>
      <c r="C725" s="25" t="s">
        <v>664</v>
      </c>
      <c r="D725" s="75">
        <f t="shared" si="270"/>
        <v>46086</v>
      </c>
      <c r="E725" s="75">
        <f t="shared" si="271"/>
        <v>46070</v>
      </c>
      <c r="F725" s="75">
        <f t="shared" si="272"/>
        <v>46077</v>
      </c>
      <c r="G725" s="75">
        <f t="shared" si="273"/>
        <v>46083</v>
      </c>
      <c r="H725" s="75">
        <f t="shared" si="274"/>
        <v>46071</v>
      </c>
      <c r="I725" s="75">
        <f t="shared" si="275"/>
        <v>46078</v>
      </c>
      <c r="J725" s="75">
        <v>46093</v>
      </c>
      <c r="K725" s="25">
        <f t="shared" si="276"/>
        <v>30</v>
      </c>
      <c r="L725" s="79">
        <v>15.21</v>
      </c>
      <c r="M725" s="79">
        <v>14.25</v>
      </c>
      <c r="N725" s="25">
        <f t="shared" si="277"/>
        <v>0.96000000000000085</v>
      </c>
      <c r="O725" s="25" t="s">
        <v>545</v>
      </c>
    </row>
    <row r="726" spans="1:15" x14ac:dyDescent="0.25">
      <c r="A726" s="75">
        <v>46063</v>
      </c>
      <c r="B726" s="25" t="s">
        <v>500</v>
      </c>
      <c r="C726" s="25" t="s">
        <v>665</v>
      </c>
      <c r="D726" s="75">
        <f t="shared" si="270"/>
        <v>46086</v>
      </c>
      <c r="E726" s="75">
        <f t="shared" si="271"/>
        <v>46070</v>
      </c>
      <c r="F726" s="75">
        <f t="shared" si="272"/>
        <v>46077</v>
      </c>
      <c r="G726" s="75">
        <f t="shared" si="273"/>
        <v>46083</v>
      </c>
      <c r="H726" s="75">
        <f t="shared" si="274"/>
        <v>46071</v>
      </c>
      <c r="I726" s="75">
        <f t="shared" si="275"/>
        <v>46078</v>
      </c>
      <c r="J726" s="75">
        <v>46093</v>
      </c>
      <c r="K726" s="25">
        <f t="shared" si="276"/>
        <v>30</v>
      </c>
      <c r="L726" s="79">
        <v>15.73</v>
      </c>
      <c r="M726" s="79">
        <v>14.66</v>
      </c>
      <c r="N726" s="25">
        <f t="shared" si="277"/>
        <v>1.0700000000000003</v>
      </c>
      <c r="O726" s="25" t="s">
        <v>545</v>
      </c>
    </row>
    <row r="727" spans="1:15" x14ac:dyDescent="0.25">
      <c r="A727" s="75">
        <v>46063</v>
      </c>
      <c r="B727" s="25" t="s">
        <v>501</v>
      </c>
      <c r="C727" s="25" t="s">
        <v>666</v>
      </c>
      <c r="D727" s="75">
        <f t="shared" si="270"/>
        <v>46086</v>
      </c>
      <c r="E727" s="75">
        <f t="shared" si="271"/>
        <v>46070</v>
      </c>
      <c r="F727" s="75">
        <f t="shared" si="272"/>
        <v>46077</v>
      </c>
      <c r="G727" s="75">
        <f t="shared" si="273"/>
        <v>46083</v>
      </c>
      <c r="H727" s="75">
        <f t="shared" si="274"/>
        <v>46071</v>
      </c>
      <c r="I727" s="75">
        <f t="shared" si="275"/>
        <v>46078</v>
      </c>
      <c r="J727" s="75">
        <v>46093</v>
      </c>
      <c r="K727" s="25">
        <f t="shared" si="276"/>
        <v>30</v>
      </c>
      <c r="L727" s="79">
        <v>16.48</v>
      </c>
      <c r="M727" s="79">
        <v>15.74</v>
      </c>
      <c r="N727" s="25">
        <f t="shared" si="277"/>
        <v>0.74000000000000021</v>
      </c>
      <c r="O727" s="25" t="s">
        <v>545</v>
      </c>
    </row>
    <row r="728" spans="1:15" x14ac:dyDescent="0.25">
      <c r="A728" s="75">
        <v>46063</v>
      </c>
      <c r="B728" s="25" t="s">
        <v>502</v>
      </c>
      <c r="C728" s="25" t="s">
        <v>667</v>
      </c>
      <c r="D728" s="75">
        <f t="shared" si="270"/>
        <v>46086</v>
      </c>
      <c r="E728" s="75">
        <f t="shared" si="271"/>
        <v>46070</v>
      </c>
      <c r="F728" s="75">
        <f t="shared" si="272"/>
        <v>46077</v>
      </c>
      <c r="G728" s="75">
        <f t="shared" si="273"/>
        <v>46083</v>
      </c>
      <c r="H728" s="75">
        <f t="shared" si="274"/>
        <v>46071</v>
      </c>
      <c r="I728" s="75">
        <f t="shared" si="275"/>
        <v>46078</v>
      </c>
      <c r="J728" s="75">
        <v>46093</v>
      </c>
      <c r="K728" s="25">
        <f t="shared" si="276"/>
        <v>30</v>
      </c>
      <c r="L728" s="79">
        <v>16.100000000000001</v>
      </c>
      <c r="M728" s="79">
        <v>15.21</v>
      </c>
      <c r="N728" s="25">
        <f t="shared" si="277"/>
        <v>0.89000000000000057</v>
      </c>
      <c r="O728" s="25" t="s">
        <v>545</v>
      </c>
    </row>
    <row r="729" spans="1:15" x14ac:dyDescent="0.25">
      <c r="A729" s="75">
        <v>46063</v>
      </c>
      <c r="B729" s="25" t="s">
        <v>503</v>
      </c>
      <c r="C729" s="25" t="s">
        <v>668</v>
      </c>
      <c r="D729" s="75">
        <f t="shared" si="270"/>
        <v>46086</v>
      </c>
      <c r="E729" s="75">
        <f t="shared" si="271"/>
        <v>46070</v>
      </c>
      <c r="F729" s="75">
        <f t="shared" si="272"/>
        <v>46077</v>
      </c>
      <c r="G729" s="75">
        <f t="shared" si="273"/>
        <v>46083</v>
      </c>
      <c r="H729" s="75">
        <f t="shared" si="274"/>
        <v>46071</v>
      </c>
      <c r="I729" s="75">
        <f t="shared" si="275"/>
        <v>46078</v>
      </c>
      <c r="J729" s="75">
        <v>46093</v>
      </c>
      <c r="K729" s="25">
        <f t="shared" si="276"/>
        <v>30</v>
      </c>
      <c r="L729" s="79">
        <v>15.12</v>
      </c>
      <c r="M729" s="79">
        <v>14.26</v>
      </c>
      <c r="N729" s="25">
        <f t="shared" si="277"/>
        <v>0.85999999999999943</v>
      </c>
      <c r="O729" s="25" t="s">
        <v>545</v>
      </c>
    </row>
    <row r="730" spans="1:15" x14ac:dyDescent="0.25">
      <c r="A730" s="75">
        <v>46064</v>
      </c>
      <c r="B730" s="25" t="s">
        <v>489</v>
      </c>
      <c r="C730" s="25" t="s">
        <v>669</v>
      </c>
      <c r="D730" s="75">
        <f t="shared" si="270"/>
        <v>46087</v>
      </c>
      <c r="E730" s="75">
        <f t="shared" si="271"/>
        <v>46071</v>
      </c>
      <c r="F730" s="75">
        <f t="shared" si="272"/>
        <v>46078</v>
      </c>
      <c r="G730" s="75">
        <f t="shared" si="273"/>
        <v>46084</v>
      </c>
      <c r="H730" s="75">
        <f t="shared" si="274"/>
        <v>46072</v>
      </c>
      <c r="I730" s="75">
        <f t="shared" si="275"/>
        <v>46079</v>
      </c>
      <c r="J730" s="75">
        <v>46094</v>
      </c>
      <c r="K730" s="25">
        <f t="shared" si="276"/>
        <v>30</v>
      </c>
      <c r="L730" s="79">
        <v>17.34</v>
      </c>
      <c r="M730" s="79">
        <v>16.28</v>
      </c>
      <c r="N730" s="25">
        <f t="shared" si="277"/>
        <v>1.0599999999999987</v>
      </c>
      <c r="O730" s="25" t="s">
        <v>545</v>
      </c>
    </row>
    <row r="731" spans="1:15" x14ac:dyDescent="0.25">
      <c r="A731" s="75">
        <v>46064</v>
      </c>
      <c r="B731" s="25" t="s">
        <v>490</v>
      </c>
      <c r="C731" s="25" t="s">
        <v>670</v>
      </c>
      <c r="D731" s="75">
        <f t="shared" si="270"/>
        <v>46087</v>
      </c>
      <c r="E731" s="75">
        <f t="shared" si="271"/>
        <v>46071</v>
      </c>
      <c r="F731" s="75">
        <f t="shared" si="272"/>
        <v>46078</v>
      </c>
      <c r="G731" s="75">
        <f t="shared" si="273"/>
        <v>46084</v>
      </c>
      <c r="H731" s="75">
        <f t="shared" si="274"/>
        <v>46072</v>
      </c>
      <c r="I731" s="75">
        <f t="shared" si="275"/>
        <v>46079</v>
      </c>
      <c r="J731" s="75">
        <v>46094</v>
      </c>
      <c r="K731" s="25">
        <f t="shared" si="276"/>
        <v>30</v>
      </c>
      <c r="L731" s="79">
        <v>16.190000000000001</v>
      </c>
      <c r="M731" s="79">
        <v>15.73</v>
      </c>
      <c r="N731" s="25">
        <f t="shared" si="277"/>
        <v>0.46000000000000085</v>
      </c>
      <c r="O731" s="25" t="s">
        <v>545</v>
      </c>
    </row>
    <row r="732" spans="1:15" x14ac:dyDescent="0.25">
      <c r="A732" s="75">
        <v>46064</v>
      </c>
      <c r="B732" s="25" t="s">
        <v>491</v>
      </c>
      <c r="C732" s="25" t="s">
        <v>671</v>
      </c>
      <c r="D732" s="75">
        <f t="shared" si="270"/>
        <v>46087</v>
      </c>
      <c r="E732" s="75">
        <f t="shared" si="271"/>
        <v>46071</v>
      </c>
      <c r="F732" s="75">
        <f t="shared" si="272"/>
        <v>46078</v>
      </c>
      <c r="G732" s="75">
        <f t="shared" si="273"/>
        <v>46084</v>
      </c>
      <c r="H732" s="75">
        <f t="shared" si="274"/>
        <v>46072</v>
      </c>
      <c r="I732" s="75">
        <f t="shared" si="275"/>
        <v>46079</v>
      </c>
      <c r="J732" s="75">
        <v>46094</v>
      </c>
      <c r="K732" s="25">
        <f t="shared" si="276"/>
        <v>30</v>
      </c>
      <c r="L732" s="79">
        <v>15.63</v>
      </c>
      <c r="M732" s="79">
        <v>14.54</v>
      </c>
      <c r="N732" s="25">
        <f t="shared" si="277"/>
        <v>1.0900000000000016</v>
      </c>
      <c r="O732" s="25" t="s">
        <v>545</v>
      </c>
    </row>
    <row r="733" spans="1:15" x14ac:dyDescent="0.25">
      <c r="A733" s="75">
        <v>46064</v>
      </c>
      <c r="B733" s="25" t="s">
        <v>492</v>
      </c>
      <c r="C733" s="25" t="s">
        <v>672</v>
      </c>
      <c r="D733" s="75">
        <f t="shared" si="270"/>
        <v>46087</v>
      </c>
      <c r="E733" s="75">
        <f t="shared" si="271"/>
        <v>46071</v>
      </c>
      <c r="F733" s="75">
        <f t="shared" si="272"/>
        <v>46078</v>
      </c>
      <c r="G733" s="75">
        <f t="shared" si="273"/>
        <v>46084</v>
      </c>
      <c r="H733" s="75">
        <f t="shared" si="274"/>
        <v>46072</v>
      </c>
      <c r="I733" s="75">
        <f t="shared" si="275"/>
        <v>46079</v>
      </c>
      <c r="J733" s="75">
        <v>46094</v>
      </c>
      <c r="K733" s="25">
        <f t="shared" si="276"/>
        <v>30</v>
      </c>
      <c r="L733" s="25">
        <v>15.58</v>
      </c>
      <c r="M733" s="25">
        <v>14.37</v>
      </c>
      <c r="N733" s="25">
        <f t="shared" si="277"/>
        <v>1.2100000000000009</v>
      </c>
      <c r="O733" s="25" t="s">
        <v>545</v>
      </c>
    </row>
    <row r="734" spans="1:15" x14ac:dyDescent="0.25">
      <c r="A734" s="75">
        <v>46064</v>
      </c>
      <c r="B734" s="25" t="s">
        <v>493</v>
      </c>
      <c r="C734" s="25" t="s">
        <v>673</v>
      </c>
      <c r="D734" s="75">
        <f t="shared" si="270"/>
        <v>46087</v>
      </c>
      <c r="E734" s="75">
        <f t="shared" si="271"/>
        <v>46071</v>
      </c>
      <c r="F734" s="75">
        <f t="shared" si="272"/>
        <v>46078</v>
      </c>
      <c r="G734" s="75">
        <f t="shared" si="273"/>
        <v>46084</v>
      </c>
      <c r="H734" s="75">
        <f t="shared" si="274"/>
        <v>46072</v>
      </c>
      <c r="I734" s="75">
        <f t="shared" si="275"/>
        <v>46079</v>
      </c>
      <c r="J734" s="75">
        <v>46094</v>
      </c>
      <c r="K734" s="25">
        <f t="shared" si="276"/>
        <v>30</v>
      </c>
      <c r="L734" s="25">
        <v>16.03</v>
      </c>
      <c r="M734" s="25">
        <v>15.1</v>
      </c>
      <c r="N734" s="25">
        <f t="shared" si="277"/>
        <v>0.93000000000000149</v>
      </c>
      <c r="O734" s="25" t="s">
        <v>545</v>
      </c>
    </row>
    <row r="735" spans="1:15" x14ac:dyDescent="0.25">
      <c r="A735" s="75">
        <v>46064</v>
      </c>
      <c r="B735" s="25" t="s">
        <v>494</v>
      </c>
      <c r="C735" s="25" t="s">
        <v>674</v>
      </c>
      <c r="D735" s="75">
        <f t="shared" si="270"/>
        <v>46087</v>
      </c>
      <c r="E735" s="75">
        <f t="shared" si="271"/>
        <v>46071</v>
      </c>
      <c r="F735" s="75">
        <f t="shared" si="272"/>
        <v>46078</v>
      </c>
      <c r="G735" s="75">
        <f t="shared" si="273"/>
        <v>46084</v>
      </c>
      <c r="H735" s="75">
        <f t="shared" si="274"/>
        <v>46072</v>
      </c>
      <c r="I735" s="75">
        <f t="shared" si="275"/>
        <v>46079</v>
      </c>
      <c r="J735" s="75">
        <v>46094</v>
      </c>
      <c r="K735" s="25">
        <f t="shared" si="276"/>
        <v>30</v>
      </c>
      <c r="L735" s="25">
        <v>15.47</v>
      </c>
      <c r="M735" s="25">
        <v>14.26</v>
      </c>
      <c r="N735" s="25">
        <f t="shared" si="277"/>
        <v>1.2100000000000009</v>
      </c>
      <c r="O735" s="25" t="s">
        <v>545</v>
      </c>
    </row>
    <row r="736" spans="1:15" x14ac:dyDescent="0.25">
      <c r="A736" s="75">
        <v>46064</v>
      </c>
      <c r="B736" s="25" t="s">
        <v>495</v>
      </c>
      <c r="C736" s="25" t="s">
        <v>675</v>
      </c>
      <c r="D736" s="75">
        <f t="shared" si="270"/>
        <v>46087</v>
      </c>
      <c r="E736" s="75">
        <f t="shared" si="271"/>
        <v>46071</v>
      </c>
      <c r="F736" s="75">
        <f t="shared" si="272"/>
        <v>46078</v>
      </c>
      <c r="G736" s="75">
        <f t="shared" si="273"/>
        <v>46084</v>
      </c>
      <c r="H736" s="75">
        <f t="shared" si="274"/>
        <v>46072</v>
      </c>
      <c r="I736" s="75">
        <f t="shared" si="275"/>
        <v>46079</v>
      </c>
      <c r="J736" s="75">
        <v>46094</v>
      </c>
      <c r="K736" s="25">
        <f t="shared" si="276"/>
        <v>30</v>
      </c>
      <c r="L736" s="25">
        <v>16.21</v>
      </c>
      <c r="M736" s="25">
        <v>15.17</v>
      </c>
      <c r="N736" s="25">
        <f t="shared" si="277"/>
        <v>1.0400000000000009</v>
      </c>
      <c r="O736" s="25" t="s">
        <v>545</v>
      </c>
    </row>
    <row r="737" spans="1:15" x14ac:dyDescent="0.25">
      <c r="A737" s="75">
        <v>46064</v>
      </c>
      <c r="B737" s="25" t="s">
        <v>496</v>
      </c>
      <c r="C737" s="25" t="s">
        <v>676</v>
      </c>
      <c r="D737" s="75">
        <f t="shared" si="270"/>
        <v>46087</v>
      </c>
      <c r="E737" s="75">
        <f t="shared" si="271"/>
        <v>46071</v>
      </c>
      <c r="F737" s="75">
        <f t="shared" si="272"/>
        <v>46078</v>
      </c>
      <c r="G737" s="75">
        <f t="shared" si="273"/>
        <v>46084</v>
      </c>
      <c r="H737" s="75">
        <f t="shared" si="274"/>
        <v>46072</v>
      </c>
      <c r="I737" s="75">
        <f t="shared" si="275"/>
        <v>46079</v>
      </c>
      <c r="J737" s="75">
        <v>46094</v>
      </c>
      <c r="K737" s="25">
        <f t="shared" si="276"/>
        <v>30</v>
      </c>
      <c r="L737" s="25">
        <v>17.350000000000001</v>
      </c>
      <c r="M737" s="25">
        <v>16.21</v>
      </c>
      <c r="N737" s="25">
        <f t="shared" si="277"/>
        <v>1.1400000000000006</v>
      </c>
      <c r="O737" s="25" t="s">
        <v>545</v>
      </c>
    </row>
    <row r="738" spans="1:15" x14ac:dyDescent="0.25">
      <c r="A738" s="75">
        <v>46065</v>
      </c>
      <c r="B738" s="25" t="s">
        <v>465</v>
      </c>
      <c r="C738" s="25" t="s">
        <v>677</v>
      </c>
      <c r="D738" s="75">
        <f t="shared" si="270"/>
        <v>46088</v>
      </c>
      <c r="E738" s="75">
        <f t="shared" si="271"/>
        <v>46072</v>
      </c>
      <c r="F738" s="75">
        <f t="shared" si="272"/>
        <v>46079</v>
      </c>
      <c r="G738" s="75">
        <f t="shared" si="273"/>
        <v>46085</v>
      </c>
      <c r="H738" s="75">
        <f t="shared" si="274"/>
        <v>46073</v>
      </c>
      <c r="I738" s="75">
        <f t="shared" si="275"/>
        <v>46080</v>
      </c>
      <c r="J738" s="75">
        <v>46094</v>
      </c>
      <c r="K738" s="25">
        <f t="shared" si="276"/>
        <v>29</v>
      </c>
      <c r="L738" s="25">
        <v>16.2</v>
      </c>
      <c r="M738" s="25">
        <v>15.16</v>
      </c>
      <c r="N738" s="25">
        <f t="shared" si="277"/>
        <v>1.0399999999999991</v>
      </c>
      <c r="O738" s="25" t="s">
        <v>545</v>
      </c>
    </row>
    <row r="739" spans="1:15" x14ac:dyDescent="0.25">
      <c r="A739" s="75">
        <v>46065</v>
      </c>
      <c r="B739" s="25" t="s">
        <v>466</v>
      </c>
      <c r="C739" s="25" t="s">
        <v>678</v>
      </c>
      <c r="D739" s="75">
        <f t="shared" si="270"/>
        <v>46088</v>
      </c>
      <c r="E739" s="75">
        <f t="shared" si="271"/>
        <v>46072</v>
      </c>
      <c r="F739" s="75">
        <f t="shared" si="272"/>
        <v>46079</v>
      </c>
      <c r="G739" s="75">
        <f t="shared" si="273"/>
        <v>46085</v>
      </c>
      <c r="H739" s="75">
        <f t="shared" si="274"/>
        <v>46073</v>
      </c>
      <c r="I739" s="75">
        <f t="shared" si="275"/>
        <v>46080</v>
      </c>
      <c r="J739" s="75">
        <v>46095</v>
      </c>
      <c r="K739" s="25">
        <f t="shared" si="276"/>
        <v>30</v>
      </c>
      <c r="L739" s="25">
        <v>14.38</v>
      </c>
      <c r="M739" s="25">
        <v>12.25</v>
      </c>
      <c r="N739" s="25">
        <f t="shared" si="277"/>
        <v>2.1300000000000008</v>
      </c>
      <c r="O739" s="25" t="s">
        <v>545</v>
      </c>
    </row>
    <row r="740" spans="1:15" x14ac:dyDescent="0.25">
      <c r="A740" s="75">
        <v>46065</v>
      </c>
      <c r="B740" s="25" t="s">
        <v>467</v>
      </c>
      <c r="C740" s="25" t="s">
        <v>679</v>
      </c>
      <c r="D740" s="75">
        <f t="shared" si="270"/>
        <v>46088</v>
      </c>
      <c r="E740" s="75">
        <f t="shared" si="271"/>
        <v>46072</v>
      </c>
      <c r="F740" s="75">
        <f t="shared" si="272"/>
        <v>46079</v>
      </c>
      <c r="G740" s="75">
        <f t="shared" si="273"/>
        <v>46085</v>
      </c>
      <c r="H740" s="75">
        <f t="shared" si="274"/>
        <v>46073</v>
      </c>
      <c r="I740" s="75">
        <f t="shared" si="275"/>
        <v>46080</v>
      </c>
      <c r="J740" s="75">
        <v>46095</v>
      </c>
      <c r="K740" s="25">
        <f t="shared" si="276"/>
        <v>30</v>
      </c>
      <c r="L740" s="25">
        <v>14.21</v>
      </c>
      <c r="M740" s="25">
        <v>12.37</v>
      </c>
      <c r="N740" s="25">
        <f t="shared" si="277"/>
        <v>1.8400000000000016</v>
      </c>
      <c r="O740" s="25" t="s">
        <v>545</v>
      </c>
    </row>
    <row r="741" spans="1:15" x14ac:dyDescent="0.25">
      <c r="A741" s="75">
        <v>46065</v>
      </c>
      <c r="B741" s="25" t="s">
        <v>468</v>
      </c>
      <c r="C741" s="25" t="s">
        <v>680</v>
      </c>
      <c r="D741" s="75">
        <f t="shared" si="270"/>
        <v>46088</v>
      </c>
      <c r="E741" s="75">
        <f t="shared" si="271"/>
        <v>46072</v>
      </c>
      <c r="F741" s="75">
        <f t="shared" si="272"/>
        <v>46079</v>
      </c>
      <c r="G741" s="75">
        <f t="shared" si="273"/>
        <v>46085</v>
      </c>
      <c r="H741" s="75">
        <f t="shared" si="274"/>
        <v>46073</v>
      </c>
      <c r="I741" s="75">
        <f t="shared" si="275"/>
        <v>46080</v>
      </c>
      <c r="J741" s="75">
        <v>46095</v>
      </c>
      <c r="K741" s="25">
        <f t="shared" si="276"/>
        <v>30</v>
      </c>
      <c r="L741" s="25">
        <v>14.73</v>
      </c>
      <c r="M741" s="25">
        <v>12.54</v>
      </c>
      <c r="N741" s="25">
        <f t="shared" si="277"/>
        <v>2.1900000000000013</v>
      </c>
      <c r="O741" s="25" t="s">
        <v>545</v>
      </c>
    </row>
    <row r="742" spans="1:15" x14ac:dyDescent="0.25">
      <c r="A742" s="75">
        <v>46065</v>
      </c>
      <c r="B742" s="25" t="s">
        <v>469</v>
      </c>
      <c r="C742" s="25" t="s">
        <v>681</v>
      </c>
      <c r="D742" s="75">
        <f t="shared" si="270"/>
        <v>46088</v>
      </c>
      <c r="E742" s="75">
        <f t="shared" si="271"/>
        <v>46072</v>
      </c>
      <c r="F742" s="75">
        <f t="shared" si="272"/>
        <v>46079</v>
      </c>
      <c r="G742" s="75">
        <f t="shared" si="273"/>
        <v>46085</v>
      </c>
      <c r="H742" s="75">
        <f t="shared" si="274"/>
        <v>46073</v>
      </c>
      <c r="I742" s="75">
        <f t="shared" si="275"/>
        <v>46080</v>
      </c>
      <c r="J742" s="75">
        <v>46095</v>
      </c>
      <c r="K742" s="25">
        <f t="shared" si="276"/>
        <v>30</v>
      </c>
      <c r="L742" s="25">
        <v>12.91</v>
      </c>
      <c r="M742" s="25">
        <v>11.24</v>
      </c>
      <c r="N742" s="25">
        <f t="shared" si="277"/>
        <v>1.67</v>
      </c>
      <c r="O742" s="25" t="s">
        <v>545</v>
      </c>
    </row>
    <row r="743" spans="1:15" x14ac:dyDescent="0.25">
      <c r="A743" s="75">
        <v>46065</v>
      </c>
      <c r="B743" s="25" t="s">
        <v>470</v>
      </c>
      <c r="C743" s="25" t="s">
        <v>682</v>
      </c>
      <c r="D743" s="75">
        <f t="shared" si="270"/>
        <v>46088</v>
      </c>
      <c r="E743" s="75">
        <f t="shared" si="271"/>
        <v>46072</v>
      </c>
      <c r="F743" s="75">
        <f t="shared" si="272"/>
        <v>46079</v>
      </c>
      <c r="G743" s="75">
        <f t="shared" si="273"/>
        <v>46085</v>
      </c>
      <c r="H743" s="75">
        <f t="shared" si="274"/>
        <v>46073</v>
      </c>
      <c r="I743" s="75">
        <f t="shared" si="275"/>
        <v>46080</v>
      </c>
      <c r="J743" s="75">
        <v>46095</v>
      </c>
      <c r="K743" s="25">
        <f t="shared" si="276"/>
        <v>30</v>
      </c>
      <c r="L743" s="25">
        <v>13.54</v>
      </c>
      <c r="M743" s="25">
        <v>11.58</v>
      </c>
      <c r="N743" s="25">
        <f t="shared" si="277"/>
        <v>1.9599999999999991</v>
      </c>
      <c r="O743" s="25" t="s">
        <v>545</v>
      </c>
    </row>
    <row r="744" spans="1:15" x14ac:dyDescent="0.25">
      <c r="A744" s="75">
        <v>46065</v>
      </c>
      <c r="B744" s="25" t="s">
        <v>471</v>
      </c>
      <c r="C744" s="25" t="s">
        <v>683</v>
      </c>
      <c r="D744" s="75">
        <f t="shared" si="270"/>
        <v>46088</v>
      </c>
      <c r="E744" s="75">
        <f t="shared" si="271"/>
        <v>46072</v>
      </c>
      <c r="F744" s="75">
        <f t="shared" si="272"/>
        <v>46079</v>
      </c>
      <c r="G744" s="75">
        <f t="shared" si="273"/>
        <v>46085</v>
      </c>
      <c r="H744" s="75">
        <f t="shared" si="274"/>
        <v>46073</v>
      </c>
      <c r="I744" s="75">
        <f t="shared" si="275"/>
        <v>46080</v>
      </c>
      <c r="J744" s="75">
        <v>46095</v>
      </c>
      <c r="K744" s="25">
        <f t="shared" si="276"/>
        <v>30</v>
      </c>
      <c r="L744" s="25">
        <v>14.56</v>
      </c>
      <c r="M744" s="25">
        <v>12.41</v>
      </c>
      <c r="N744" s="25">
        <f t="shared" si="277"/>
        <v>2.1500000000000004</v>
      </c>
      <c r="O744" s="25" t="s">
        <v>545</v>
      </c>
    </row>
    <row r="745" spans="1:15" x14ac:dyDescent="0.25">
      <c r="A745" s="75">
        <v>46066</v>
      </c>
      <c r="B745" s="25" t="s">
        <v>472</v>
      </c>
      <c r="C745" s="25" t="s">
        <v>684</v>
      </c>
      <c r="D745" s="75">
        <f t="shared" si="270"/>
        <v>46089</v>
      </c>
      <c r="E745" s="75">
        <f t="shared" si="271"/>
        <v>46073</v>
      </c>
      <c r="F745" s="75">
        <f t="shared" si="272"/>
        <v>46080</v>
      </c>
      <c r="G745" s="75">
        <f t="shared" si="273"/>
        <v>46086</v>
      </c>
      <c r="H745" s="75">
        <f t="shared" si="274"/>
        <v>46074</v>
      </c>
      <c r="I745" s="75">
        <f t="shared" si="275"/>
        <v>46081</v>
      </c>
      <c r="J745" s="75">
        <v>46095</v>
      </c>
      <c r="K745" s="25">
        <f t="shared" si="276"/>
        <v>29</v>
      </c>
      <c r="L745" s="25">
        <v>13.1</v>
      </c>
      <c r="M745" s="25">
        <v>10.32</v>
      </c>
      <c r="N745" s="25">
        <f t="shared" si="277"/>
        <v>2.7799999999999994</v>
      </c>
      <c r="O745" s="25" t="s">
        <v>545</v>
      </c>
    </row>
    <row r="746" spans="1:15" x14ac:dyDescent="0.25">
      <c r="A746" s="75">
        <v>46066</v>
      </c>
      <c r="B746" s="25" t="s">
        <v>473</v>
      </c>
      <c r="C746" s="25" t="s">
        <v>685</v>
      </c>
      <c r="D746" s="75">
        <f t="shared" si="270"/>
        <v>46089</v>
      </c>
      <c r="E746" s="75">
        <f t="shared" si="271"/>
        <v>46073</v>
      </c>
      <c r="F746" s="75">
        <f t="shared" si="272"/>
        <v>46080</v>
      </c>
      <c r="G746" s="75">
        <f t="shared" si="273"/>
        <v>46086</v>
      </c>
      <c r="H746" s="75">
        <f t="shared" si="274"/>
        <v>46074</v>
      </c>
      <c r="I746" s="75">
        <f t="shared" si="275"/>
        <v>46081</v>
      </c>
      <c r="J746" s="75">
        <v>46095</v>
      </c>
      <c r="K746" s="25">
        <f t="shared" si="276"/>
        <v>29</v>
      </c>
      <c r="L746" s="25">
        <v>13.86</v>
      </c>
      <c r="M746" s="25">
        <v>11.73</v>
      </c>
      <c r="N746" s="25">
        <f t="shared" si="277"/>
        <v>2.129999999999999</v>
      </c>
      <c r="O746" s="25" t="s">
        <v>545</v>
      </c>
    </row>
    <row r="747" spans="1:15" x14ac:dyDescent="0.25">
      <c r="A747" s="75">
        <v>46066</v>
      </c>
      <c r="B747" s="25" t="s">
        <v>474</v>
      </c>
      <c r="C747" s="25" t="s">
        <v>686</v>
      </c>
      <c r="D747" s="75">
        <f t="shared" si="270"/>
        <v>46089</v>
      </c>
      <c r="E747" s="75">
        <f t="shared" si="271"/>
        <v>46073</v>
      </c>
      <c r="F747" s="75">
        <f t="shared" si="272"/>
        <v>46080</v>
      </c>
      <c r="G747" s="75">
        <f t="shared" si="273"/>
        <v>46086</v>
      </c>
      <c r="H747" s="75">
        <f t="shared" si="274"/>
        <v>46074</v>
      </c>
      <c r="I747" s="75">
        <f t="shared" si="275"/>
        <v>46081</v>
      </c>
      <c r="J747" s="75">
        <v>46095</v>
      </c>
      <c r="K747" s="25">
        <f t="shared" si="276"/>
        <v>29</v>
      </c>
      <c r="L747" s="25">
        <v>14.8</v>
      </c>
      <c r="M747" s="25">
        <v>12.64</v>
      </c>
      <c r="N747" s="25">
        <f t="shared" si="277"/>
        <v>2.16</v>
      </c>
      <c r="O747" s="25" t="s">
        <v>545</v>
      </c>
    </row>
    <row r="748" spans="1:15" x14ac:dyDescent="0.25">
      <c r="A748" s="75">
        <v>46066</v>
      </c>
      <c r="B748" s="25" t="s">
        <v>475</v>
      </c>
      <c r="C748" s="25" t="s">
        <v>687</v>
      </c>
      <c r="D748" s="75">
        <f t="shared" si="270"/>
        <v>46089</v>
      </c>
      <c r="E748" s="75">
        <f t="shared" si="271"/>
        <v>46073</v>
      </c>
      <c r="F748" s="75">
        <f t="shared" si="272"/>
        <v>46080</v>
      </c>
      <c r="G748" s="75">
        <f t="shared" si="273"/>
        <v>46086</v>
      </c>
      <c r="H748" s="75">
        <f t="shared" si="274"/>
        <v>46074</v>
      </c>
      <c r="I748" s="75">
        <f t="shared" si="275"/>
        <v>46081</v>
      </c>
      <c r="J748" s="75">
        <v>46095</v>
      </c>
      <c r="K748" s="25">
        <f t="shared" si="276"/>
        <v>29</v>
      </c>
      <c r="L748" s="25">
        <v>14.74</v>
      </c>
      <c r="M748" s="25">
        <v>12.58</v>
      </c>
      <c r="N748" s="25">
        <f t="shared" si="277"/>
        <v>2.16</v>
      </c>
      <c r="O748" s="25" t="s">
        <v>545</v>
      </c>
    </row>
    <row r="749" spans="1:15" x14ac:dyDescent="0.25">
      <c r="A749" s="75">
        <v>46066</v>
      </c>
      <c r="B749" s="25" t="s">
        <v>476</v>
      </c>
      <c r="C749" s="25" t="s">
        <v>688</v>
      </c>
      <c r="D749" s="75">
        <f t="shared" si="270"/>
        <v>46089</v>
      </c>
      <c r="E749" s="75">
        <f t="shared" si="271"/>
        <v>46073</v>
      </c>
      <c r="F749" s="75">
        <f t="shared" si="272"/>
        <v>46080</v>
      </c>
      <c r="G749" s="75">
        <f t="shared" si="273"/>
        <v>46086</v>
      </c>
      <c r="H749" s="75">
        <f t="shared" si="274"/>
        <v>46074</v>
      </c>
      <c r="I749" s="75">
        <f t="shared" si="275"/>
        <v>46081</v>
      </c>
      <c r="J749" s="75">
        <v>46096</v>
      </c>
      <c r="K749" s="25">
        <f t="shared" si="276"/>
        <v>30</v>
      </c>
      <c r="L749" s="25">
        <v>10.81</v>
      </c>
      <c r="M749" s="25">
        <v>8.5299999999999994</v>
      </c>
      <c r="N749" s="25">
        <f t="shared" si="277"/>
        <v>2.2800000000000011</v>
      </c>
      <c r="O749" s="25" t="s">
        <v>545</v>
      </c>
    </row>
    <row r="750" spans="1:15" x14ac:dyDescent="0.25">
      <c r="A750" s="75">
        <v>46066</v>
      </c>
      <c r="B750" s="25" t="s">
        <v>477</v>
      </c>
      <c r="C750" s="25" t="s">
        <v>689</v>
      </c>
      <c r="D750" s="75">
        <f t="shared" si="270"/>
        <v>46089</v>
      </c>
      <c r="E750" s="75">
        <f t="shared" si="271"/>
        <v>46073</v>
      </c>
      <c r="F750" s="75">
        <f t="shared" si="272"/>
        <v>46080</v>
      </c>
      <c r="G750" s="75">
        <f t="shared" si="273"/>
        <v>46086</v>
      </c>
      <c r="H750" s="75">
        <f t="shared" si="274"/>
        <v>46074</v>
      </c>
      <c r="I750" s="75">
        <f t="shared" si="275"/>
        <v>46081</v>
      </c>
      <c r="J750" s="75">
        <v>46096</v>
      </c>
      <c r="K750" s="25">
        <f t="shared" si="276"/>
        <v>30</v>
      </c>
      <c r="L750" s="25">
        <v>11.28</v>
      </c>
      <c r="M750" s="25">
        <v>9.34</v>
      </c>
      <c r="N750" s="25">
        <f t="shared" si="277"/>
        <v>1.9399999999999995</v>
      </c>
      <c r="O750" s="25" t="s">
        <v>545</v>
      </c>
    </row>
    <row r="751" spans="1:15" x14ac:dyDescent="0.25">
      <c r="A751" s="75">
        <v>46066</v>
      </c>
      <c r="B751" s="25" t="s">
        <v>478</v>
      </c>
      <c r="C751" s="25" t="s">
        <v>690</v>
      </c>
      <c r="D751" s="75">
        <f t="shared" si="270"/>
        <v>46089</v>
      </c>
      <c r="E751" s="75">
        <f t="shared" si="271"/>
        <v>46073</v>
      </c>
      <c r="F751" s="75">
        <f t="shared" si="272"/>
        <v>46080</v>
      </c>
      <c r="G751" s="75">
        <f t="shared" si="273"/>
        <v>46086</v>
      </c>
      <c r="H751" s="75">
        <f t="shared" si="274"/>
        <v>46074</v>
      </c>
      <c r="I751" s="75">
        <f t="shared" si="275"/>
        <v>46081</v>
      </c>
      <c r="J751" s="75">
        <v>46096</v>
      </c>
      <c r="K751" s="25">
        <f t="shared" si="276"/>
        <v>30</v>
      </c>
      <c r="L751" s="25">
        <v>10.36</v>
      </c>
      <c r="M751" s="25">
        <v>8.76</v>
      </c>
      <c r="N751" s="25">
        <f t="shared" si="277"/>
        <v>1.5999999999999996</v>
      </c>
      <c r="O751" s="25" t="s">
        <v>545</v>
      </c>
    </row>
    <row r="752" spans="1:15" x14ac:dyDescent="0.25">
      <c r="A752" s="75">
        <v>46067</v>
      </c>
      <c r="B752" s="25" t="s">
        <v>479</v>
      </c>
      <c r="C752" s="25" t="s">
        <v>691</v>
      </c>
      <c r="D752" s="75">
        <f t="shared" si="270"/>
        <v>46090</v>
      </c>
      <c r="E752" s="75">
        <f t="shared" si="271"/>
        <v>46074</v>
      </c>
      <c r="F752" s="75">
        <f t="shared" si="272"/>
        <v>46081</v>
      </c>
      <c r="G752" s="75">
        <f t="shared" si="273"/>
        <v>46087</v>
      </c>
      <c r="H752" s="75">
        <f t="shared" si="274"/>
        <v>46075</v>
      </c>
      <c r="I752" s="75">
        <f t="shared" si="275"/>
        <v>46082</v>
      </c>
      <c r="J752" s="75">
        <v>46096</v>
      </c>
      <c r="K752" s="25">
        <f t="shared" si="276"/>
        <v>29</v>
      </c>
      <c r="L752" s="25">
        <v>12.17</v>
      </c>
      <c r="M752" s="25">
        <v>10.11</v>
      </c>
      <c r="N752" s="25">
        <f t="shared" si="277"/>
        <v>2.0600000000000005</v>
      </c>
      <c r="O752" s="25" t="s">
        <v>545</v>
      </c>
    </row>
    <row r="753" spans="1:15" x14ac:dyDescent="0.25">
      <c r="A753" s="75">
        <v>46067</v>
      </c>
      <c r="B753" s="25" t="s">
        <v>480</v>
      </c>
      <c r="C753" s="25" t="s">
        <v>692</v>
      </c>
      <c r="D753" s="75">
        <f t="shared" si="270"/>
        <v>46090</v>
      </c>
      <c r="E753" s="75">
        <f t="shared" si="271"/>
        <v>46074</v>
      </c>
      <c r="F753" s="75">
        <f t="shared" si="272"/>
        <v>46081</v>
      </c>
      <c r="G753" s="75">
        <f t="shared" si="273"/>
        <v>46087</v>
      </c>
      <c r="H753" s="75">
        <f t="shared" si="274"/>
        <v>46075</v>
      </c>
      <c r="I753" s="75">
        <f t="shared" si="275"/>
        <v>46082</v>
      </c>
      <c r="J753" s="75">
        <v>46096</v>
      </c>
      <c r="K753" s="25">
        <f t="shared" si="276"/>
        <v>29</v>
      </c>
      <c r="L753" s="25">
        <v>12.54</v>
      </c>
      <c r="M753" s="25">
        <v>10.25</v>
      </c>
      <c r="N753" s="25">
        <f t="shared" si="277"/>
        <v>2.2899999999999991</v>
      </c>
      <c r="O753" s="25" t="s">
        <v>545</v>
      </c>
    </row>
    <row r="754" spans="1:15" x14ac:dyDescent="0.25">
      <c r="A754" s="75">
        <v>46067</v>
      </c>
      <c r="B754" s="25" t="s">
        <v>481</v>
      </c>
      <c r="C754" s="25" t="s">
        <v>693</v>
      </c>
      <c r="D754" s="75">
        <f t="shared" si="270"/>
        <v>46090</v>
      </c>
      <c r="E754" s="75">
        <f t="shared" si="271"/>
        <v>46074</v>
      </c>
      <c r="F754" s="75">
        <f t="shared" si="272"/>
        <v>46081</v>
      </c>
      <c r="G754" s="75">
        <f t="shared" si="273"/>
        <v>46087</v>
      </c>
      <c r="H754" s="75">
        <f t="shared" si="274"/>
        <v>46075</v>
      </c>
      <c r="I754" s="75">
        <f t="shared" si="275"/>
        <v>46082</v>
      </c>
      <c r="J754" s="75">
        <v>46096</v>
      </c>
      <c r="K754" s="25">
        <f t="shared" si="276"/>
        <v>29</v>
      </c>
      <c r="L754" s="25">
        <v>11.86</v>
      </c>
      <c r="M754" s="25">
        <v>9.73</v>
      </c>
      <c r="N754" s="25">
        <f t="shared" si="277"/>
        <v>2.129999999999999</v>
      </c>
      <c r="O754" s="25" t="s">
        <v>545</v>
      </c>
    </row>
    <row r="755" spans="1:15" x14ac:dyDescent="0.25">
      <c r="A755" s="75">
        <v>46067</v>
      </c>
      <c r="B755" s="25" t="s">
        <v>482</v>
      </c>
      <c r="C755" s="25" t="s">
        <v>694</v>
      </c>
      <c r="D755" s="75">
        <f t="shared" si="270"/>
        <v>46090</v>
      </c>
      <c r="E755" s="75">
        <f t="shared" si="271"/>
        <v>46074</v>
      </c>
      <c r="F755" s="75">
        <f t="shared" si="272"/>
        <v>46081</v>
      </c>
      <c r="G755" s="75">
        <f t="shared" si="273"/>
        <v>46087</v>
      </c>
      <c r="H755" s="75">
        <f t="shared" si="274"/>
        <v>46075</v>
      </c>
      <c r="I755" s="75">
        <f t="shared" si="275"/>
        <v>46082</v>
      </c>
      <c r="J755" s="75">
        <v>46096</v>
      </c>
      <c r="K755" s="25">
        <f t="shared" si="276"/>
        <v>29</v>
      </c>
      <c r="L755" s="25">
        <v>10.25</v>
      </c>
      <c r="M755" s="25">
        <v>8.1199999999999992</v>
      </c>
      <c r="N755" s="25">
        <f t="shared" si="277"/>
        <v>2.1300000000000008</v>
      </c>
      <c r="O755" s="25" t="s">
        <v>545</v>
      </c>
    </row>
    <row r="756" spans="1:15" x14ac:dyDescent="0.25">
      <c r="A756" s="75">
        <v>46067</v>
      </c>
      <c r="B756" s="25" t="s">
        <v>483</v>
      </c>
      <c r="C756" s="25" t="s">
        <v>695</v>
      </c>
      <c r="D756" s="75">
        <f t="shared" si="270"/>
        <v>46090</v>
      </c>
      <c r="E756" s="75">
        <f t="shared" si="271"/>
        <v>46074</v>
      </c>
      <c r="F756" s="75">
        <f t="shared" si="272"/>
        <v>46081</v>
      </c>
      <c r="G756" s="75">
        <f t="shared" si="273"/>
        <v>46087</v>
      </c>
      <c r="H756" s="75">
        <f t="shared" si="274"/>
        <v>46075</v>
      </c>
      <c r="I756" s="75">
        <f t="shared" si="275"/>
        <v>46082</v>
      </c>
      <c r="J756" s="75">
        <v>46096</v>
      </c>
      <c r="K756" s="25">
        <f t="shared" si="276"/>
        <v>29</v>
      </c>
      <c r="L756" s="25">
        <v>10.17</v>
      </c>
      <c r="M756" s="25">
        <v>8.36</v>
      </c>
      <c r="N756" s="25">
        <f t="shared" si="277"/>
        <v>1.8100000000000005</v>
      </c>
      <c r="O756" s="25" t="s">
        <v>545</v>
      </c>
    </row>
    <row r="757" spans="1:15" x14ac:dyDescent="0.25">
      <c r="A757" s="75">
        <v>46067</v>
      </c>
      <c r="B757" s="25" t="s">
        <v>484</v>
      </c>
      <c r="C757" s="25" t="s">
        <v>696</v>
      </c>
      <c r="D757" s="75">
        <f t="shared" si="270"/>
        <v>46090</v>
      </c>
      <c r="E757" s="75">
        <f t="shared" si="271"/>
        <v>46074</v>
      </c>
      <c r="F757" s="75">
        <f t="shared" si="272"/>
        <v>46081</v>
      </c>
      <c r="G757" s="75">
        <f t="shared" si="273"/>
        <v>46087</v>
      </c>
      <c r="H757" s="75">
        <f t="shared" si="274"/>
        <v>46075</v>
      </c>
      <c r="I757" s="75">
        <f t="shared" si="275"/>
        <v>46082</v>
      </c>
      <c r="J757" s="75">
        <v>46096</v>
      </c>
      <c r="K757" s="25">
        <f t="shared" si="276"/>
        <v>29</v>
      </c>
      <c r="L757" s="25">
        <v>11.54</v>
      </c>
      <c r="M757" s="25">
        <v>9.1999999999999993</v>
      </c>
      <c r="N757" s="25">
        <f t="shared" si="277"/>
        <v>2.34</v>
      </c>
      <c r="O757" s="25" t="s">
        <v>545</v>
      </c>
    </row>
    <row r="758" spans="1:15" x14ac:dyDescent="0.25">
      <c r="A758" s="75">
        <v>46067</v>
      </c>
      <c r="B758" s="25" t="s">
        <v>485</v>
      </c>
      <c r="C758" s="25" t="s">
        <v>697</v>
      </c>
      <c r="D758" s="75">
        <f t="shared" si="270"/>
        <v>46090</v>
      </c>
      <c r="E758" s="75">
        <f t="shared" si="271"/>
        <v>46074</v>
      </c>
      <c r="F758" s="75">
        <f t="shared" si="272"/>
        <v>46081</v>
      </c>
      <c r="G758" s="75">
        <f t="shared" si="273"/>
        <v>46087</v>
      </c>
      <c r="H758" s="75">
        <f t="shared" si="274"/>
        <v>46075</v>
      </c>
      <c r="I758" s="75">
        <f t="shared" si="275"/>
        <v>46082</v>
      </c>
      <c r="J758" s="75">
        <v>46096</v>
      </c>
      <c r="K758" s="25">
        <f t="shared" si="276"/>
        <v>29</v>
      </c>
      <c r="L758" s="25">
        <v>10.68</v>
      </c>
      <c r="M758" s="25">
        <v>8.73</v>
      </c>
      <c r="N758" s="25">
        <f t="shared" si="277"/>
        <v>1.9499999999999993</v>
      </c>
      <c r="O758" s="25" t="s">
        <v>545</v>
      </c>
    </row>
    <row r="759" spans="1:15" x14ac:dyDescent="0.25">
      <c r="A759" s="75">
        <v>46068</v>
      </c>
      <c r="B759" s="25" t="s">
        <v>311</v>
      </c>
      <c r="C759" s="25" t="s">
        <v>698</v>
      </c>
      <c r="D759" s="75">
        <f t="shared" si="270"/>
        <v>46091</v>
      </c>
      <c r="E759" s="75">
        <f t="shared" si="271"/>
        <v>46075</v>
      </c>
      <c r="F759" s="75">
        <f t="shared" si="272"/>
        <v>46082</v>
      </c>
      <c r="G759" s="75">
        <f t="shared" si="273"/>
        <v>46088</v>
      </c>
      <c r="H759" s="75">
        <f t="shared" si="274"/>
        <v>46076</v>
      </c>
      <c r="I759" s="75">
        <f t="shared" si="275"/>
        <v>46083</v>
      </c>
      <c r="J759" s="75">
        <v>46096</v>
      </c>
      <c r="K759" s="25">
        <f t="shared" si="276"/>
        <v>28</v>
      </c>
      <c r="L759" s="25">
        <v>12.54</v>
      </c>
      <c r="M759" s="25">
        <v>10.58</v>
      </c>
      <c r="N759" s="25">
        <f t="shared" si="277"/>
        <v>1.9599999999999991</v>
      </c>
      <c r="O759" s="25" t="s">
        <v>545</v>
      </c>
    </row>
    <row r="760" spans="1:15" x14ac:dyDescent="0.25">
      <c r="A760" s="75">
        <v>46068</v>
      </c>
      <c r="B760" s="25" t="s">
        <v>312</v>
      </c>
      <c r="C760" s="25" t="s">
        <v>699</v>
      </c>
      <c r="D760" s="75">
        <f t="shared" si="270"/>
        <v>46091</v>
      </c>
      <c r="E760" s="75">
        <f t="shared" si="271"/>
        <v>46075</v>
      </c>
      <c r="F760" s="75">
        <f t="shared" si="272"/>
        <v>46082</v>
      </c>
      <c r="G760" s="75">
        <f t="shared" si="273"/>
        <v>46088</v>
      </c>
      <c r="H760" s="75">
        <f t="shared" si="274"/>
        <v>46076</v>
      </c>
      <c r="I760" s="75">
        <f t="shared" si="275"/>
        <v>46083</v>
      </c>
      <c r="J760" s="75">
        <v>46096</v>
      </c>
      <c r="K760" s="25">
        <f t="shared" si="276"/>
        <v>28</v>
      </c>
      <c r="L760" s="25">
        <v>13.1</v>
      </c>
      <c r="M760" s="25">
        <v>11.51</v>
      </c>
      <c r="N760" s="25">
        <f t="shared" si="277"/>
        <v>1.5899999999999999</v>
      </c>
      <c r="O760" s="25" t="s">
        <v>545</v>
      </c>
    </row>
    <row r="761" spans="1:15" x14ac:dyDescent="0.25">
      <c r="A761" s="75">
        <v>46068</v>
      </c>
      <c r="B761" s="25" t="s">
        <v>313</v>
      </c>
      <c r="C761" s="25" t="s">
        <v>700</v>
      </c>
      <c r="D761" s="75">
        <f t="shared" si="270"/>
        <v>46091</v>
      </c>
      <c r="E761" s="75">
        <f t="shared" si="271"/>
        <v>46075</v>
      </c>
      <c r="F761" s="75">
        <f t="shared" si="272"/>
        <v>46082</v>
      </c>
      <c r="G761" s="75">
        <f t="shared" si="273"/>
        <v>46088</v>
      </c>
      <c r="H761" s="75">
        <f t="shared" si="274"/>
        <v>46076</v>
      </c>
      <c r="I761" s="75">
        <f t="shared" si="275"/>
        <v>46083</v>
      </c>
      <c r="J761" s="75">
        <v>46096</v>
      </c>
      <c r="K761" s="25">
        <f t="shared" si="276"/>
        <v>28</v>
      </c>
      <c r="L761" s="25">
        <v>11.51</v>
      </c>
      <c r="M761" s="25">
        <v>10.130000000000001</v>
      </c>
      <c r="N761" s="25">
        <f t="shared" si="277"/>
        <v>1.379999999999999</v>
      </c>
      <c r="O761" s="25" t="s">
        <v>545</v>
      </c>
    </row>
    <row r="762" spans="1:15" x14ac:dyDescent="0.25">
      <c r="A762" s="75">
        <v>46068</v>
      </c>
      <c r="B762" s="25" t="s">
        <v>314</v>
      </c>
      <c r="C762" s="25" t="s">
        <v>701</v>
      </c>
      <c r="D762" s="75">
        <f t="shared" si="270"/>
        <v>46091</v>
      </c>
      <c r="E762" s="75">
        <f t="shared" si="271"/>
        <v>46075</v>
      </c>
      <c r="F762" s="75">
        <f t="shared" si="272"/>
        <v>46082</v>
      </c>
      <c r="G762" s="75">
        <f t="shared" si="273"/>
        <v>46088</v>
      </c>
      <c r="H762" s="75">
        <f t="shared" si="274"/>
        <v>46076</v>
      </c>
      <c r="I762" s="75">
        <f t="shared" si="275"/>
        <v>46083</v>
      </c>
      <c r="J762" s="75">
        <v>46096</v>
      </c>
      <c r="K762" s="25">
        <f t="shared" si="276"/>
        <v>28</v>
      </c>
      <c r="L762" s="25">
        <v>13.14</v>
      </c>
      <c r="M762" s="25">
        <v>11.47</v>
      </c>
      <c r="N762" s="25">
        <f t="shared" si="277"/>
        <v>1.67</v>
      </c>
      <c r="O762" s="25" t="s">
        <v>545</v>
      </c>
    </row>
    <row r="763" spans="1:15" x14ac:dyDescent="0.25">
      <c r="A763" s="75">
        <v>46068</v>
      </c>
      <c r="B763" s="25" t="s">
        <v>315</v>
      </c>
      <c r="C763" s="25" t="s">
        <v>702</v>
      </c>
      <c r="D763" s="75">
        <f t="shared" si="270"/>
        <v>46091</v>
      </c>
      <c r="E763" s="75">
        <f t="shared" si="271"/>
        <v>46075</v>
      </c>
      <c r="F763" s="75">
        <f t="shared" si="272"/>
        <v>46082</v>
      </c>
      <c r="G763" s="75">
        <f t="shared" si="273"/>
        <v>46088</v>
      </c>
      <c r="H763" s="75">
        <f t="shared" si="274"/>
        <v>46076</v>
      </c>
      <c r="I763" s="75">
        <f t="shared" si="275"/>
        <v>46083</v>
      </c>
      <c r="J763" s="75">
        <v>46097</v>
      </c>
      <c r="K763" s="25">
        <f t="shared" si="276"/>
        <v>29</v>
      </c>
      <c r="L763" s="25">
        <v>13.07</v>
      </c>
      <c r="M763" s="25">
        <v>11.73</v>
      </c>
      <c r="N763" s="25">
        <f t="shared" si="277"/>
        <v>1.3399999999999999</v>
      </c>
      <c r="O763" s="25" t="s">
        <v>545</v>
      </c>
    </row>
    <row r="764" spans="1:15" x14ac:dyDescent="0.25">
      <c r="A764" s="75">
        <v>46068</v>
      </c>
      <c r="B764" s="25" t="s">
        <v>316</v>
      </c>
      <c r="C764" s="25" t="s">
        <v>703</v>
      </c>
      <c r="D764" s="75">
        <f t="shared" si="270"/>
        <v>46091</v>
      </c>
      <c r="E764" s="75">
        <f t="shared" si="271"/>
        <v>46075</v>
      </c>
      <c r="F764" s="75">
        <f t="shared" si="272"/>
        <v>46082</v>
      </c>
      <c r="G764" s="75">
        <f t="shared" si="273"/>
        <v>46088</v>
      </c>
      <c r="H764" s="75">
        <f t="shared" si="274"/>
        <v>46076</v>
      </c>
      <c r="I764" s="75">
        <f t="shared" si="275"/>
        <v>46083</v>
      </c>
      <c r="J764" s="75">
        <v>46097</v>
      </c>
      <c r="K764" s="25">
        <f t="shared" si="276"/>
        <v>29</v>
      </c>
      <c r="L764" s="25">
        <v>12.16</v>
      </c>
      <c r="M764" s="25">
        <v>10.15</v>
      </c>
      <c r="N764" s="25">
        <f t="shared" si="277"/>
        <v>2.0099999999999998</v>
      </c>
      <c r="O764" s="25" t="s">
        <v>545</v>
      </c>
    </row>
    <row r="765" spans="1:15" x14ac:dyDescent="0.25">
      <c r="A765" s="75">
        <v>46068</v>
      </c>
      <c r="B765" s="25" t="s">
        <v>317</v>
      </c>
      <c r="C765" s="25" t="s">
        <v>704</v>
      </c>
      <c r="D765" s="75">
        <f t="shared" si="270"/>
        <v>46091</v>
      </c>
      <c r="E765" s="75">
        <f t="shared" si="271"/>
        <v>46075</v>
      </c>
      <c r="F765" s="75">
        <f t="shared" si="272"/>
        <v>46082</v>
      </c>
      <c r="G765" s="75">
        <f t="shared" si="273"/>
        <v>46088</v>
      </c>
      <c r="H765" s="75">
        <f t="shared" si="274"/>
        <v>46076</v>
      </c>
      <c r="I765" s="75">
        <f t="shared" si="275"/>
        <v>46083</v>
      </c>
      <c r="J765" s="75">
        <v>46097</v>
      </c>
      <c r="K765" s="25">
        <f t="shared" si="276"/>
        <v>29</v>
      </c>
      <c r="L765" s="25">
        <v>12.33</v>
      </c>
      <c r="M765" s="25">
        <v>10.58</v>
      </c>
      <c r="N765" s="25">
        <f t="shared" si="277"/>
        <v>1.75</v>
      </c>
      <c r="O765" s="25" t="s">
        <v>545</v>
      </c>
    </row>
    <row r="766" spans="1:15" x14ac:dyDescent="0.25">
      <c r="A766" s="75">
        <v>46069</v>
      </c>
      <c r="B766" s="25" t="s">
        <v>331</v>
      </c>
      <c r="C766" s="25" t="s">
        <v>705</v>
      </c>
      <c r="D766" s="75">
        <f t="shared" si="270"/>
        <v>46092</v>
      </c>
      <c r="E766" s="75">
        <f t="shared" si="271"/>
        <v>46076</v>
      </c>
      <c r="F766" s="75">
        <f t="shared" si="272"/>
        <v>46083</v>
      </c>
      <c r="G766" s="75">
        <f t="shared" si="273"/>
        <v>46089</v>
      </c>
      <c r="H766" s="75">
        <f t="shared" si="274"/>
        <v>46077</v>
      </c>
      <c r="I766" s="75">
        <f t="shared" si="275"/>
        <v>46084</v>
      </c>
      <c r="J766" s="75">
        <v>46097</v>
      </c>
      <c r="K766" s="25">
        <f t="shared" si="276"/>
        <v>28</v>
      </c>
      <c r="L766" s="25">
        <v>13.1</v>
      </c>
      <c r="M766" s="25">
        <v>11.31</v>
      </c>
      <c r="N766" s="25">
        <f t="shared" si="277"/>
        <v>1.7899999999999991</v>
      </c>
      <c r="O766" s="25" t="s">
        <v>545</v>
      </c>
    </row>
    <row r="767" spans="1:15" x14ac:dyDescent="0.25">
      <c r="A767" s="75">
        <v>46069</v>
      </c>
      <c r="B767" s="25" t="s">
        <v>332</v>
      </c>
      <c r="C767" s="25" t="s">
        <v>706</v>
      </c>
      <c r="D767" s="75">
        <f t="shared" si="270"/>
        <v>46092</v>
      </c>
      <c r="E767" s="75">
        <f t="shared" si="271"/>
        <v>46076</v>
      </c>
      <c r="F767" s="75">
        <f t="shared" si="272"/>
        <v>46083</v>
      </c>
      <c r="G767" s="75">
        <f t="shared" si="273"/>
        <v>46089</v>
      </c>
      <c r="H767" s="75">
        <f t="shared" si="274"/>
        <v>46077</v>
      </c>
      <c r="I767" s="75">
        <f t="shared" si="275"/>
        <v>46084</v>
      </c>
      <c r="J767" s="75">
        <v>46097</v>
      </c>
      <c r="K767" s="25">
        <f t="shared" si="276"/>
        <v>28</v>
      </c>
      <c r="L767" s="25">
        <v>12.93</v>
      </c>
      <c r="M767" s="25">
        <v>11.74</v>
      </c>
      <c r="N767" s="25">
        <f t="shared" si="277"/>
        <v>1.1899999999999995</v>
      </c>
      <c r="O767" s="25" t="s">
        <v>545</v>
      </c>
    </row>
    <row r="768" spans="1:15" x14ac:dyDescent="0.25">
      <c r="A768" s="75">
        <v>46069</v>
      </c>
      <c r="B768" s="25" t="s">
        <v>333</v>
      </c>
      <c r="C768" s="25" t="s">
        <v>707</v>
      </c>
      <c r="D768" s="75">
        <f t="shared" si="270"/>
        <v>46092</v>
      </c>
      <c r="E768" s="75">
        <f t="shared" si="271"/>
        <v>46076</v>
      </c>
      <c r="F768" s="75">
        <f t="shared" si="272"/>
        <v>46083</v>
      </c>
      <c r="G768" s="75">
        <f t="shared" si="273"/>
        <v>46089</v>
      </c>
      <c r="H768" s="75">
        <f t="shared" si="274"/>
        <v>46077</v>
      </c>
      <c r="I768" s="75">
        <f t="shared" si="275"/>
        <v>46084</v>
      </c>
      <c r="J768" s="75">
        <v>46097</v>
      </c>
      <c r="K768" s="25">
        <f t="shared" si="276"/>
        <v>28</v>
      </c>
      <c r="L768" s="25">
        <v>14.11</v>
      </c>
      <c r="M768" s="25">
        <v>12.31</v>
      </c>
      <c r="N768" s="25">
        <f t="shared" si="277"/>
        <v>1.7999999999999989</v>
      </c>
      <c r="O768" s="25" t="s">
        <v>545</v>
      </c>
    </row>
    <row r="769" spans="1:15" x14ac:dyDescent="0.25">
      <c r="A769" s="75">
        <v>46069</v>
      </c>
      <c r="B769" s="25" t="s">
        <v>334</v>
      </c>
      <c r="C769" s="25" t="s">
        <v>708</v>
      </c>
      <c r="D769" s="75">
        <f t="shared" si="270"/>
        <v>46092</v>
      </c>
      <c r="E769" s="75">
        <f t="shared" si="271"/>
        <v>46076</v>
      </c>
      <c r="F769" s="75">
        <f t="shared" si="272"/>
        <v>46083</v>
      </c>
      <c r="G769" s="75">
        <f t="shared" si="273"/>
        <v>46089</v>
      </c>
      <c r="H769" s="75">
        <f t="shared" si="274"/>
        <v>46077</v>
      </c>
      <c r="I769" s="75">
        <f t="shared" si="275"/>
        <v>46084</v>
      </c>
      <c r="J769" s="75">
        <v>46098</v>
      </c>
      <c r="K769" s="25">
        <f t="shared" si="276"/>
        <v>29</v>
      </c>
      <c r="L769" s="25">
        <v>13.52</v>
      </c>
      <c r="M769" s="25">
        <v>11.23</v>
      </c>
      <c r="N769" s="25">
        <f t="shared" si="277"/>
        <v>2.2899999999999991</v>
      </c>
      <c r="O769" s="25" t="s">
        <v>545</v>
      </c>
    </row>
    <row r="770" spans="1:15" x14ac:dyDescent="0.25">
      <c r="A770" s="75">
        <v>46069</v>
      </c>
      <c r="B770" s="25" t="s">
        <v>335</v>
      </c>
      <c r="C770" s="25" t="s">
        <v>709</v>
      </c>
      <c r="D770" s="75">
        <f t="shared" si="270"/>
        <v>46092</v>
      </c>
      <c r="E770" s="75">
        <f t="shared" si="271"/>
        <v>46076</v>
      </c>
      <c r="F770" s="75">
        <f t="shared" si="272"/>
        <v>46083</v>
      </c>
      <c r="G770" s="75">
        <f t="shared" si="273"/>
        <v>46089</v>
      </c>
      <c r="H770" s="75">
        <f t="shared" si="274"/>
        <v>46077</v>
      </c>
      <c r="I770" s="75">
        <f t="shared" si="275"/>
        <v>46084</v>
      </c>
      <c r="J770" s="75">
        <v>46098</v>
      </c>
      <c r="K770" s="25">
        <f t="shared" si="276"/>
        <v>29</v>
      </c>
      <c r="L770" s="25">
        <v>14.17</v>
      </c>
      <c r="M770" s="25">
        <v>12.16</v>
      </c>
      <c r="N770" s="25">
        <f t="shared" si="277"/>
        <v>2.0099999999999998</v>
      </c>
      <c r="O770" s="25" t="s">
        <v>545</v>
      </c>
    </row>
    <row r="771" spans="1:15" x14ac:dyDescent="0.25">
      <c r="A771" s="75">
        <v>46069</v>
      </c>
      <c r="B771" s="25" t="s">
        <v>336</v>
      </c>
      <c r="C771" s="25" t="s">
        <v>710</v>
      </c>
      <c r="D771" s="75">
        <f t="shared" si="270"/>
        <v>46092</v>
      </c>
      <c r="E771" s="75">
        <f t="shared" si="271"/>
        <v>46076</v>
      </c>
      <c r="F771" s="75">
        <f t="shared" si="272"/>
        <v>46083</v>
      </c>
      <c r="G771" s="75">
        <f t="shared" si="273"/>
        <v>46089</v>
      </c>
      <c r="H771" s="75">
        <f t="shared" si="274"/>
        <v>46077</v>
      </c>
      <c r="I771" s="75">
        <f t="shared" si="275"/>
        <v>46084</v>
      </c>
      <c r="J771" s="75">
        <v>46098</v>
      </c>
      <c r="K771" s="25">
        <f t="shared" si="276"/>
        <v>29</v>
      </c>
      <c r="L771" s="25">
        <v>14.26</v>
      </c>
      <c r="M771" s="25">
        <v>12.33</v>
      </c>
      <c r="N771" s="25">
        <f t="shared" si="277"/>
        <v>1.9299999999999997</v>
      </c>
      <c r="O771" s="25" t="s">
        <v>545</v>
      </c>
    </row>
    <row r="772" spans="1:15" x14ac:dyDescent="0.25">
      <c r="A772" s="75">
        <v>46069</v>
      </c>
      <c r="B772" s="25" t="s">
        <v>337</v>
      </c>
      <c r="C772" s="25" t="s">
        <v>711</v>
      </c>
      <c r="D772" s="75">
        <f t="shared" si="270"/>
        <v>46092</v>
      </c>
      <c r="E772" s="75">
        <f t="shared" si="271"/>
        <v>46076</v>
      </c>
      <c r="F772" s="75">
        <f t="shared" si="272"/>
        <v>46083</v>
      </c>
      <c r="G772" s="75">
        <f t="shared" si="273"/>
        <v>46089</v>
      </c>
      <c r="H772" s="75">
        <f t="shared" si="274"/>
        <v>46077</v>
      </c>
      <c r="I772" s="75">
        <f t="shared" si="275"/>
        <v>46084</v>
      </c>
      <c r="J772" s="75">
        <v>46098</v>
      </c>
      <c r="K772" s="25">
        <f t="shared" si="276"/>
        <v>29</v>
      </c>
      <c r="L772" s="25">
        <v>12.97</v>
      </c>
      <c r="M772" s="25">
        <v>11.58</v>
      </c>
      <c r="N772" s="25">
        <f t="shared" si="277"/>
        <v>1.3900000000000006</v>
      </c>
      <c r="O772" s="25" t="s">
        <v>545</v>
      </c>
    </row>
    <row r="773" spans="1:15" x14ac:dyDescent="0.25">
      <c r="A773" s="75">
        <v>46070</v>
      </c>
      <c r="B773" s="25" t="s">
        <v>318</v>
      </c>
      <c r="C773" s="25" t="s">
        <v>712</v>
      </c>
      <c r="D773" s="75">
        <f t="shared" si="270"/>
        <v>46093</v>
      </c>
      <c r="E773" s="75">
        <f t="shared" si="271"/>
        <v>46077</v>
      </c>
      <c r="F773" s="75">
        <f t="shared" si="272"/>
        <v>46084</v>
      </c>
      <c r="G773" s="75">
        <f t="shared" si="273"/>
        <v>46090</v>
      </c>
      <c r="H773" s="75">
        <f t="shared" si="274"/>
        <v>46078</v>
      </c>
      <c r="I773" s="75">
        <f t="shared" si="275"/>
        <v>46085</v>
      </c>
      <c r="J773" s="75">
        <v>46098</v>
      </c>
      <c r="K773" s="25">
        <f t="shared" si="276"/>
        <v>28</v>
      </c>
      <c r="L773" s="25">
        <v>14.1</v>
      </c>
      <c r="M773" s="25">
        <v>12.93</v>
      </c>
      <c r="N773" s="25">
        <f t="shared" si="277"/>
        <v>1.17</v>
      </c>
      <c r="O773" s="25" t="s">
        <v>545</v>
      </c>
    </row>
    <row r="774" spans="1:15" x14ac:dyDescent="0.25">
      <c r="A774" s="75">
        <v>46070</v>
      </c>
      <c r="B774" s="25" t="s">
        <v>319</v>
      </c>
      <c r="C774" s="25" t="s">
        <v>713</v>
      </c>
      <c r="D774" s="75">
        <f t="shared" si="270"/>
        <v>46093</v>
      </c>
      <c r="E774" s="75">
        <f t="shared" si="271"/>
        <v>46077</v>
      </c>
      <c r="F774" s="75">
        <f t="shared" si="272"/>
        <v>46084</v>
      </c>
      <c r="G774" s="75">
        <f t="shared" si="273"/>
        <v>46090</v>
      </c>
      <c r="H774" s="75">
        <f t="shared" si="274"/>
        <v>46078</v>
      </c>
      <c r="I774" s="75">
        <f t="shared" si="275"/>
        <v>46085</v>
      </c>
      <c r="J774" s="75">
        <v>46098</v>
      </c>
      <c r="K774" s="25">
        <f t="shared" si="276"/>
        <v>28</v>
      </c>
      <c r="L774" s="25">
        <v>13.88</v>
      </c>
      <c r="M774" s="25">
        <v>12.11</v>
      </c>
      <c r="N774" s="25">
        <f t="shared" si="277"/>
        <v>1.7700000000000014</v>
      </c>
      <c r="O774" s="25" t="s">
        <v>545</v>
      </c>
    </row>
    <row r="775" spans="1:15" x14ac:dyDescent="0.25">
      <c r="A775" s="75">
        <v>46070</v>
      </c>
      <c r="B775" s="25" t="s">
        <v>320</v>
      </c>
      <c r="C775" s="25" t="s">
        <v>714</v>
      </c>
      <c r="D775" s="75">
        <f t="shared" si="270"/>
        <v>46093</v>
      </c>
      <c r="E775" s="75">
        <f t="shared" si="271"/>
        <v>46077</v>
      </c>
      <c r="F775" s="75">
        <f t="shared" si="272"/>
        <v>46084</v>
      </c>
      <c r="G775" s="75">
        <f t="shared" si="273"/>
        <v>46090</v>
      </c>
      <c r="H775" s="75">
        <f t="shared" si="274"/>
        <v>46078</v>
      </c>
      <c r="I775" s="75">
        <f t="shared" si="275"/>
        <v>46085</v>
      </c>
      <c r="J775" s="75">
        <v>46099</v>
      </c>
      <c r="K775" s="25">
        <f t="shared" si="276"/>
        <v>29</v>
      </c>
      <c r="L775" s="25">
        <v>13.26</v>
      </c>
      <c r="M775" s="25">
        <v>11.53</v>
      </c>
      <c r="N775" s="25">
        <f t="shared" si="277"/>
        <v>1.7300000000000004</v>
      </c>
      <c r="O775" s="25" t="s">
        <v>545</v>
      </c>
    </row>
    <row r="776" spans="1:15" x14ac:dyDescent="0.25">
      <c r="A776" s="75">
        <v>46070</v>
      </c>
      <c r="B776" s="25" t="s">
        <v>321</v>
      </c>
      <c r="C776" s="25" t="s">
        <v>715</v>
      </c>
      <c r="D776" s="75">
        <f t="shared" si="270"/>
        <v>46093</v>
      </c>
      <c r="E776" s="75">
        <f t="shared" si="271"/>
        <v>46077</v>
      </c>
      <c r="F776" s="75">
        <f t="shared" si="272"/>
        <v>46084</v>
      </c>
      <c r="G776" s="75">
        <f t="shared" si="273"/>
        <v>46090</v>
      </c>
      <c r="H776" s="75">
        <f t="shared" si="274"/>
        <v>46078</v>
      </c>
      <c r="I776" s="75">
        <f t="shared" si="275"/>
        <v>46085</v>
      </c>
      <c r="J776" s="75">
        <v>46099</v>
      </c>
      <c r="K776" s="25">
        <f t="shared" si="276"/>
        <v>29</v>
      </c>
      <c r="L776" s="25">
        <v>11.73</v>
      </c>
      <c r="M776" s="25">
        <v>10.15</v>
      </c>
      <c r="N776" s="25">
        <f t="shared" si="277"/>
        <v>1.58</v>
      </c>
      <c r="O776" s="25" t="s">
        <v>545</v>
      </c>
    </row>
    <row r="777" spans="1:15" x14ac:dyDescent="0.25">
      <c r="A777" s="75">
        <v>46070</v>
      </c>
      <c r="B777" s="25" t="s">
        <v>322</v>
      </c>
      <c r="C777" s="25" t="s">
        <v>716</v>
      </c>
      <c r="D777" s="75">
        <f t="shared" si="270"/>
        <v>46093</v>
      </c>
      <c r="E777" s="75">
        <f t="shared" si="271"/>
        <v>46077</v>
      </c>
      <c r="F777" s="75">
        <f t="shared" si="272"/>
        <v>46084</v>
      </c>
      <c r="G777" s="75">
        <f t="shared" si="273"/>
        <v>46090</v>
      </c>
      <c r="H777" s="75">
        <f t="shared" si="274"/>
        <v>46078</v>
      </c>
      <c r="I777" s="75">
        <f t="shared" si="275"/>
        <v>46085</v>
      </c>
      <c r="J777" s="75">
        <v>46099</v>
      </c>
      <c r="K777" s="25">
        <f t="shared" si="276"/>
        <v>29</v>
      </c>
      <c r="L777" s="25">
        <v>11.89</v>
      </c>
      <c r="M777" s="25">
        <v>10.34</v>
      </c>
      <c r="N777" s="25">
        <f t="shared" si="277"/>
        <v>1.5500000000000007</v>
      </c>
      <c r="O777" s="25" t="s">
        <v>545</v>
      </c>
    </row>
    <row r="778" spans="1:15" x14ac:dyDescent="0.25">
      <c r="A778" s="75">
        <v>46070</v>
      </c>
      <c r="B778" s="25" t="s">
        <v>323</v>
      </c>
      <c r="C778" s="25" t="s">
        <v>717</v>
      </c>
      <c r="D778" s="75">
        <f t="shared" si="270"/>
        <v>46093</v>
      </c>
      <c r="E778" s="75">
        <f t="shared" si="271"/>
        <v>46077</v>
      </c>
      <c r="F778" s="75">
        <f t="shared" si="272"/>
        <v>46084</v>
      </c>
      <c r="G778" s="75">
        <f t="shared" si="273"/>
        <v>46090</v>
      </c>
      <c r="H778" s="75">
        <f t="shared" si="274"/>
        <v>46078</v>
      </c>
      <c r="I778" s="75">
        <f t="shared" si="275"/>
        <v>46085</v>
      </c>
      <c r="J778" s="75">
        <v>46099</v>
      </c>
      <c r="K778" s="25">
        <f t="shared" si="276"/>
        <v>29</v>
      </c>
      <c r="L778" s="25">
        <v>13.34</v>
      </c>
      <c r="M778" s="25">
        <v>11.73</v>
      </c>
      <c r="N778" s="25">
        <f t="shared" si="277"/>
        <v>1.6099999999999994</v>
      </c>
      <c r="O778" s="25" t="s">
        <v>545</v>
      </c>
    </row>
    <row r="779" spans="1:15" x14ac:dyDescent="0.25">
      <c r="A779" s="75">
        <v>46070</v>
      </c>
      <c r="B779" s="25" t="s">
        <v>324</v>
      </c>
      <c r="C779" s="25" t="s">
        <v>718</v>
      </c>
      <c r="D779" s="75">
        <f t="shared" si="270"/>
        <v>46093</v>
      </c>
      <c r="E779" s="75">
        <f t="shared" si="271"/>
        <v>46077</v>
      </c>
      <c r="F779" s="75">
        <f t="shared" si="272"/>
        <v>46084</v>
      </c>
      <c r="G779" s="75">
        <f t="shared" si="273"/>
        <v>46090</v>
      </c>
      <c r="H779" s="75">
        <f t="shared" si="274"/>
        <v>46078</v>
      </c>
      <c r="I779" s="75">
        <f t="shared" si="275"/>
        <v>46085</v>
      </c>
      <c r="J779" s="75">
        <v>46099</v>
      </c>
      <c r="K779" s="25">
        <f t="shared" si="276"/>
        <v>29</v>
      </c>
      <c r="L779" s="25">
        <v>12.1</v>
      </c>
      <c r="M779" s="25">
        <v>10.58</v>
      </c>
      <c r="N779" s="25">
        <f t="shared" si="277"/>
        <v>1.5199999999999996</v>
      </c>
      <c r="O779" s="25" t="s">
        <v>545</v>
      </c>
    </row>
    <row r="780" spans="1:15" x14ac:dyDescent="0.25">
      <c r="A780" s="75">
        <v>46071</v>
      </c>
      <c r="B780" s="25" t="s">
        <v>338</v>
      </c>
      <c r="C780" s="25" t="s">
        <v>719</v>
      </c>
      <c r="D780" s="75">
        <f t="shared" si="270"/>
        <v>46094</v>
      </c>
      <c r="E780" s="75">
        <f t="shared" si="271"/>
        <v>46078</v>
      </c>
      <c r="F780" s="75">
        <f t="shared" si="272"/>
        <v>46085</v>
      </c>
      <c r="G780" s="75">
        <f t="shared" si="273"/>
        <v>46091</v>
      </c>
      <c r="H780" s="75">
        <f t="shared" si="274"/>
        <v>46079</v>
      </c>
      <c r="I780" s="75">
        <f t="shared" si="275"/>
        <v>46086</v>
      </c>
      <c r="J780" s="75">
        <v>46099</v>
      </c>
      <c r="K780" s="25">
        <f t="shared" si="276"/>
        <v>28</v>
      </c>
      <c r="L780" s="25">
        <v>11.81</v>
      </c>
      <c r="M780" s="25">
        <v>10.210000000000001</v>
      </c>
      <c r="N780" s="25">
        <f t="shared" si="277"/>
        <v>1.5999999999999996</v>
      </c>
      <c r="O780" s="25" t="s">
        <v>545</v>
      </c>
    </row>
    <row r="781" spans="1:15" x14ac:dyDescent="0.25">
      <c r="A781" s="75">
        <v>46071</v>
      </c>
      <c r="B781" s="25" t="s">
        <v>339</v>
      </c>
      <c r="C781" s="25" t="s">
        <v>720</v>
      </c>
      <c r="D781" s="75">
        <f t="shared" si="270"/>
        <v>46094</v>
      </c>
      <c r="E781" s="75">
        <f t="shared" si="271"/>
        <v>46078</v>
      </c>
      <c r="F781" s="75">
        <f t="shared" si="272"/>
        <v>46085</v>
      </c>
      <c r="G781" s="75">
        <f t="shared" si="273"/>
        <v>46091</v>
      </c>
      <c r="H781" s="75">
        <f t="shared" si="274"/>
        <v>46079</v>
      </c>
      <c r="I781" s="75">
        <f t="shared" si="275"/>
        <v>46086</v>
      </c>
      <c r="J781" s="75">
        <v>46099</v>
      </c>
      <c r="K781" s="25">
        <f t="shared" si="276"/>
        <v>28</v>
      </c>
      <c r="L781" s="25">
        <v>13.45</v>
      </c>
      <c r="M781" s="25">
        <v>11.56</v>
      </c>
      <c r="N781" s="25">
        <f t="shared" si="277"/>
        <v>1.8899999999999988</v>
      </c>
      <c r="O781" s="25" t="s">
        <v>545</v>
      </c>
    </row>
    <row r="782" spans="1:15" x14ac:dyDescent="0.25">
      <c r="A782" s="75">
        <v>46071</v>
      </c>
      <c r="B782" s="25" t="s">
        <v>340</v>
      </c>
      <c r="C782" s="25" t="s">
        <v>721</v>
      </c>
      <c r="D782" s="75">
        <f t="shared" si="270"/>
        <v>46094</v>
      </c>
      <c r="E782" s="75">
        <f t="shared" si="271"/>
        <v>46078</v>
      </c>
      <c r="F782" s="75">
        <f t="shared" si="272"/>
        <v>46085</v>
      </c>
      <c r="G782" s="75">
        <f t="shared" si="273"/>
        <v>46091</v>
      </c>
      <c r="H782" s="75">
        <f t="shared" si="274"/>
        <v>46079</v>
      </c>
      <c r="I782" s="75">
        <f t="shared" si="275"/>
        <v>46086</v>
      </c>
      <c r="J782" s="75">
        <v>46099</v>
      </c>
      <c r="K782" s="25">
        <f t="shared" si="276"/>
        <v>28</v>
      </c>
      <c r="L782" s="25">
        <v>12.26</v>
      </c>
      <c r="M782" s="25">
        <v>10.74</v>
      </c>
      <c r="N782" s="25">
        <f t="shared" si="277"/>
        <v>1.5199999999999996</v>
      </c>
      <c r="O782" s="25" t="s">
        <v>545</v>
      </c>
    </row>
    <row r="783" spans="1:15" x14ac:dyDescent="0.25">
      <c r="A783" s="75">
        <v>46071</v>
      </c>
      <c r="B783" s="25" t="s">
        <v>341</v>
      </c>
      <c r="C783" s="25" t="s">
        <v>722</v>
      </c>
      <c r="D783" s="75">
        <f t="shared" si="270"/>
        <v>46094</v>
      </c>
      <c r="E783" s="75">
        <f t="shared" si="271"/>
        <v>46078</v>
      </c>
      <c r="F783" s="75">
        <f t="shared" si="272"/>
        <v>46085</v>
      </c>
      <c r="G783" s="75">
        <f t="shared" si="273"/>
        <v>46091</v>
      </c>
      <c r="H783" s="75">
        <f t="shared" si="274"/>
        <v>46079</v>
      </c>
      <c r="I783" s="75">
        <f t="shared" si="275"/>
        <v>46086</v>
      </c>
      <c r="J783" s="75">
        <v>46099</v>
      </c>
      <c r="K783" s="25">
        <f t="shared" si="276"/>
        <v>28</v>
      </c>
      <c r="L783" s="25">
        <v>11.91</v>
      </c>
      <c r="M783" s="25">
        <v>10.58</v>
      </c>
      <c r="N783" s="25">
        <f t="shared" si="277"/>
        <v>1.33</v>
      </c>
      <c r="O783" s="25" t="s">
        <v>545</v>
      </c>
    </row>
    <row r="784" spans="1:15" x14ac:dyDescent="0.25">
      <c r="A784" s="75">
        <v>46071</v>
      </c>
      <c r="B784" s="25" t="s">
        <v>342</v>
      </c>
      <c r="C784" s="25" t="s">
        <v>723</v>
      </c>
      <c r="D784" s="75">
        <f t="shared" si="270"/>
        <v>46094</v>
      </c>
      <c r="E784" s="75">
        <f t="shared" si="271"/>
        <v>46078</v>
      </c>
      <c r="F784" s="75">
        <f t="shared" si="272"/>
        <v>46085</v>
      </c>
      <c r="G784" s="75">
        <f t="shared" si="273"/>
        <v>46091</v>
      </c>
      <c r="H784" s="75">
        <f t="shared" si="274"/>
        <v>46079</v>
      </c>
      <c r="I784" s="75">
        <f t="shared" si="275"/>
        <v>46086</v>
      </c>
      <c r="J784" s="75">
        <v>46099</v>
      </c>
      <c r="K784" s="25">
        <f t="shared" si="276"/>
        <v>28</v>
      </c>
      <c r="L784" s="25">
        <v>13.16</v>
      </c>
      <c r="M784" s="25">
        <v>11.31</v>
      </c>
      <c r="N784" s="25">
        <f t="shared" si="277"/>
        <v>1.8499999999999996</v>
      </c>
      <c r="O784" s="25" t="s">
        <v>545</v>
      </c>
    </row>
    <row r="785" spans="1:15" x14ac:dyDescent="0.25">
      <c r="A785" s="75">
        <v>46071</v>
      </c>
      <c r="B785" s="25" t="s">
        <v>343</v>
      </c>
      <c r="C785" s="25" t="s">
        <v>724</v>
      </c>
      <c r="D785" s="75">
        <f t="shared" si="270"/>
        <v>46094</v>
      </c>
      <c r="E785" s="75">
        <f t="shared" si="271"/>
        <v>46078</v>
      </c>
      <c r="F785" s="75">
        <f t="shared" si="272"/>
        <v>46085</v>
      </c>
      <c r="G785" s="75">
        <f t="shared" si="273"/>
        <v>46091</v>
      </c>
      <c r="H785" s="75">
        <f t="shared" si="274"/>
        <v>46079</v>
      </c>
      <c r="I785" s="75">
        <f t="shared" si="275"/>
        <v>46086</v>
      </c>
      <c r="J785" s="75">
        <v>46099</v>
      </c>
      <c r="K785" s="25">
        <f t="shared" si="276"/>
        <v>28</v>
      </c>
      <c r="L785" s="25">
        <v>14.08</v>
      </c>
      <c r="M785" s="25">
        <v>12.17</v>
      </c>
      <c r="N785" s="25">
        <f t="shared" si="277"/>
        <v>1.9100000000000001</v>
      </c>
      <c r="O785" s="25" t="s">
        <v>545</v>
      </c>
    </row>
    <row r="786" spans="1:15" x14ac:dyDescent="0.25">
      <c r="A786" s="75">
        <v>46071</v>
      </c>
      <c r="B786" s="25" t="s">
        <v>344</v>
      </c>
      <c r="C786" s="25" t="s">
        <v>725</v>
      </c>
      <c r="D786" s="75">
        <f t="shared" si="270"/>
        <v>46094</v>
      </c>
      <c r="E786" s="75">
        <f t="shared" si="271"/>
        <v>46078</v>
      </c>
      <c r="F786" s="75">
        <f t="shared" si="272"/>
        <v>46085</v>
      </c>
      <c r="G786" s="75">
        <f t="shared" si="273"/>
        <v>46091</v>
      </c>
      <c r="H786" s="75">
        <f t="shared" si="274"/>
        <v>46079</v>
      </c>
      <c r="I786" s="75">
        <f t="shared" si="275"/>
        <v>46086</v>
      </c>
      <c r="J786" s="75">
        <v>46100</v>
      </c>
      <c r="K786" s="25">
        <f t="shared" si="276"/>
        <v>29</v>
      </c>
      <c r="L786" s="25">
        <v>14.74</v>
      </c>
      <c r="M786" s="25">
        <v>13.21</v>
      </c>
      <c r="N786" s="25">
        <f t="shared" si="277"/>
        <v>1.5299999999999994</v>
      </c>
      <c r="O786" s="25" t="s">
        <v>545</v>
      </c>
    </row>
    <row r="787" spans="1:15" x14ac:dyDescent="0.25">
      <c r="A787" s="75">
        <v>46072</v>
      </c>
      <c r="B787" s="25" t="s">
        <v>325</v>
      </c>
      <c r="C787" s="25" t="s">
        <v>726</v>
      </c>
      <c r="D787" s="75">
        <f t="shared" ref="D787:D850" si="278">A787+23</f>
        <v>46095</v>
      </c>
      <c r="E787" s="75">
        <f t="shared" ref="E787:E850" si="279">A787+7</f>
        <v>46079</v>
      </c>
      <c r="F787" s="75">
        <f t="shared" ref="F787:F850" si="280">A787+14</f>
        <v>46086</v>
      </c>
      <c r="G787" s="75">
        <f t="shared" ref="G787:G850" si="281">A787+20</f>
        <v>46092</v>
      </c>
      <c r="H787" s="75">
        <f t="shared" ref="H787:H850" si="282">A787+8</f>
        <v>46080</v>
      </c>
      <c r="I787" s="75">
        <f t="shared" ref="I787:I850" si="283">A787+15</f>
        <v>46087</v>
      </c>
      <c r="J787" s="75">
        <v>46100</v>
      </c>
      <c r="K787" s="25">
        <f t="shared" ref="K787:K850" si="284">J787-A787</f>
        <v>28</v>
      </c>
      <c r="L787" s="25">
        <v>13.16</v>
      </c>
      <c r="M787" s="25">
        <v>11.13</v>
      </c>
      <c r="N787" s="25">
        <f t="shared" ref="N787:N850" si="285">L787-M787</f>
        <v>2.0299999999999994</v>
      </c>
      <c r="O787" s="25" t="s">
        <v>545</v>
      </c>
    </row>
    <row r="788" spans="1:15" x14ac:dyDescent="0.25">
      <c r="A788" s="75">
        <v>46072</v>
      </c>
      <c r="B788" s="25" t="s">
        <v>326</v>
      </c>
      <c r="C788" s="25" t="s">
        <v>727</v>
      </c>
      <c r="D788" s="75">
        <f t="shared" si="278"/>
        <v>46095</v>
      </c>
      <c r="E788" s="75">
        <f t="shared" si="279"/>
        <v>46079</v>
      </c>
      <c r="F788" s="75">
        <f t="shared" si="280"/>
        <v>46086</v>
      </c>
      <c r="G788" s="75">
        <f t="shared" si="281"/>
        <v>46092</v>
      </c>
      <c r="H788" s="75">
        <f t="shared" si="282"/>
        <v>46080</v>
      </c>
      <c r="I788" s="75">
        <f t="shared" si="283"/>
        <v>46087</v>
      </c>
      <c r="J788" s="75">
        <v>46100</v>
      </c>
      <c r="K788" s="25">
        <f t="shared" si="284"/>
        <v>28</v>
      </c>
      <c r="L788" s="25">
        <v>13.47</v>
      </c>
      <c r="M788" s="25">
        <v>11.76</v>
      </c>
      <c r="N788" s="25">
        <f t="shared" si="285"/>
        <v>1.7100000000000009</v>
      </c>
      <c r="O788" s="25" t="s">
        <v>545</v>
      </c>
    </row>
    <row r="789" spans="1:15" x14ac:dyDescent="0.25">
      <c r="A789" s="75">
        <v>46072</v>
      </c>
      <c r="B789" s="25" t="s">
        <v>327</v>
      </c>
      <c r="C789" s="25" t="s">
        <v>728</v>
      </c>
      <c r="D789" s="75">
        <f t="shared" si="278"/>
        <v>46095</v>
      </c>
      <c r="E789" s="75">
        <f t="shared" si="279"/>
        <v>46079</v>
      </c>
      <c r="F789" s="75">
        <f t="shared" si="280"/>
        <v>46086</v>
      </c>
      <c r="G789" s="75">
        <f t="shared" si="281"/>
        <v>46092</v>
      </c>
      <c r="H789" s="75">
        <f t="shared" si="282"/>
        <v>46080</v>
      </c>
      <c r="I789" s="75">
        <f t="shared" si="283"/>
        <v>46087</v>
      </c>
      <c r="J789" s="75">
        <v>46100</v>
      </c>
      <c r="K789" s="25">
        <f t="shared" si="284"/>
        <v>28</v>
      </c>
      <c r="L789" s="25">
        <v>14.87</v>
      </c>
      <c r="M789" s="25">
        <v>13.11</v>
      </c>
      <c r="N789" s="25">
        <f t="shared" si="285"/>
        <v>1.7599999999999998</v>
      </c>
      <c r="O789" s="25" t="s">
        <v>545</v>
      </c>
    </row>
    <row r="790" spans="1:15" x14ac:dyDescent="0.25">
      <c r="A790" s="75">
        <v>46072</v>
      </c>
      <c r="B790" s="25" t="s">
        <v>328</v>
      </c>
      <c r="C790" s="25" t="s">
        <v>729</v>
      </c>
      <c r="D790" s="75">
        <f t="shared" si="278"/>
        <v>46095</v>
      </c>
      <c r="E790" s="75">
        <f t="shared" si="279"/>
        <v>46079</v>
      </c>
      <c r="F790" s="75">
        <f t="shared" si="280"/>
        <v>46086</v>
      </c>
      <c r="G790" s="75">
        <f t="shared" si="281"/>
        <v>46092</v>
      </c>
      <c r="H790" s="75">
        <f t="shared" si="282"/>
        <v>46080</v>
      </c>
      <c r="I790" s="75">
        <f t="shared" si="283"/>
        <v>46087</v>
      </c>
      <c r="J790" s="75">
        <v>46100</v>
      </c>
      <c r="K790" s="25">
        <f t="shared" si="284"/>
        <v>28</v>
      </c>
      <c r="L790" s="25">
        <v>13.17</v>
      </c>
      <c r="M790" s="25">
        <v>11.62</v>
      </c>
      <c r="N790" s="25">
        <f t="shared" si="285"/>
        <v>1.5500000000000007</v>
      </c>
      <c r="O790" s="25" t="s">
        <v>545</v>
      </c>
    </row>
    <row r="791" spans="1:15" x14ac:dyDescent="0.25">
      <c r="A791" s="75">
        <v>46072</v>
      </c>
      <c r="B791" s="25" t="s">
        <v>329</v>
      </c>
      <c r="C791" s="25" t="s">
        <v>730</v>
      </c>
      <c r="D791" s="75">
        <f t="shared" si="278"/>
        <v>46095</v>
      </c>
      <c r="E791" s="75">
        <f t="shared" si="279"/>
        <v>46079</v>
      </c>
      <c r="F791" s="75">
        <f t="shared" si="280"/>
        <v>46086</v>
      </c>
      <c r="G791" s="75">
        <f t="shared" si="281"/>
        <v>46092</v>
      </c>
      <c r="H791" s="75">
        <f t="shared" si="282"/>
        <v>46080</v>
      </c>
      <c r="I791" s="75">
        <f t="shared" si="283"/>
        <v>46087</v>
      </c>
      <c r="J791" s="75">
        <v>46100</v>
      </c>
      <c r="K791" s="25">
        <f t="shared" si="284"/>
        <v>28</v>
      </c>
      <c r="L791" s="25">
        <v>14.67</v>
      </c>
      <c r="M791" s="25">
        <v>13.92</v>
      </c>
      <c r="N791" s="25">
        <f t="shared" si="285"/>
        <v>0.75</v>
      </c>
      <c r="O791" s="25" t="s">
        <v>545</v>
      </c>
    </row>
    <row r="792" spans="1:15" x14ac:dyDescent="0.25">
      <c r="A792" s="75">
        <v>46072</v>
      </c>
      <c r="B792" s="25" t="s">
        <v>345</v>
      </c>
      <c r="C792" s="25" t="s">
        <v>731</v>
      </c>
      <c r="D792" s="75">
        <f t="shared" si="278"/>
        <v>46095</v>
      </c>
      <c r="E792" s="75">
        <f t="shared" si="279"/>
        <v>46079</v>
      </c>
      <c r="F792" s="75">
        <f t="shared" si="280"/>
        <v>46086</v>
      </c>
      <c r="G792" s="75">
        <f t="shared" si="281"/>
        <v>46092</v>
      </c>
      <c r="H792" s="75">
        <f t="shared" si="282"/>
        <v>46080</v>
      </c>
      <c r="I792" s="75">
        <f t="shared" si="283"/>
        <v>46087</v>
      </c>
      <c r="J792" s="75">
        <v>46100</v>
      </c>
      <c r="K792" s="25">
        <f t="shared" si="284"/>
        <v>28</v>
      </c>
      <c r="L792" s="25">
        <v>15.74</v>
      </c>
      <c r="M792" s="25">
        <v>14.62</v>
      </c>
      <c r="N792" s="25">
        <f t="shared" si="285"/>
        <v>1.120000000000001</v>
      </c>
      <c r="O792" s="25" t="s">
        <v>545</v>
      </c>
    </row>
    <row r="793" spans="1:15" x14ac:dyDescent="0.25">
      <c r="A793" s="75">
        <v>46072</v>
      </c>
      <c r="B793" s="25" t="s">
        <v>346</v>
      </c>
      <c r="C793" s="25" t="s">
        <v>732</v>
      </c>
      <c r="D793" s="75">
        <f t="shared" si="278"/>
        <v>46095</v>
      </c>
      <c r="E793" s="75">
        <f t="shared" si="279"/>
        <v>46079</v>
      </c>
      <c r="F793" s="75">
        <f t="shared" si="280"/>
        <v>46086</v>
      </c>
      <c r="G793" s="75">
        <f t="shared" si="281"/>
        <v>46092</v>
      </c>
      <c r="H793" s="75">
        <f t="shared" si="282"/>
        <v>46080</v>
      </c>
      <c r="I793" s="75">
        <f t="shared" si="283"/>
        <v>46087</v>
      </c>
      <c r="J793" s="75">
        <v>46100</v>
      </c>
      <c r="K793" s="25">
        <f t="shared" si="284"/>
        <v>28</v>
      </c>
      <c r="L793" s="25">
        <v>15.24</v>
      </c>
      <c r="M793" s="25">
        <v>14.25</v>
      </c>
      <c r="N793" s="25">
        <f t="shared" si="285"/>
        <v>0.99000000000000021</v>
      </c>
      <c r="O793" s="25" t="s">
        <v>545</v>
      </c>
    </row>
    <row r="794" spans="1:15" x14ac:dyDescent="0.25">
      <c r="A794" s="75">
        <v>46073</v>
      </c>
      <c r="B794" s="25" t="s">
        <v>356</v>
      </c>
      <c r="C794" s="25" t="s">
        <v>733</v>
      </c>
      <c r="D794" s="75">
        <f t="shared" si="278"/>
        <v>46096</v>
      </c>
      <c r="E794" s="75">
        <f t="shared" si="279"/>
        <v>46080</v>
      </c>
      <c r="F794" s="75">
        <f t="shared" si="280"/>
        <v>46087</v>
      </c>
      <c r="G794" s="75">
        <f t="shared" si="281"/>
        <v>46093</v>
      </c>
      <c r="H794" s="75">
        <f t="shared" si="282"/>
        <v>46081</v>
      </c>
      <c r="I794" s="75">
        <f t="shared" si="283"/>
        <v>46088</v>
      </c>
      <c r="J794" s="75">
        <v>46101</v>
      </c>
      <c r="K794" s="25">
        <f t="shared" si="284"/>
        <v>28</v>
      </c>
      <c r="L794" s="25">
        <v>13.21</v>
      </c>
      <c r="M794" s="25">
        <v>10.24</v>
      </c>
      <c r="N794" s="25">
        <f t="shared" si="285"/>
        <v>2.9700000000000006</v>
      </c>
      <c r="O794" s="25" t="s">
        <v>545</v>
      </c>
    </row>
    <row r="795" spans="1:15" x14ac:dyDescent="0.25">
      <c r="A795" s="75">
        <v>46073</v>
      </c>
      <c r="B795" s="25" t="s">
        <v>357</v>
      </c>
      <c r="C795" s="25" t="s">
        <v>734</v>
      </c>
      <c r="D795" s="75">
        <f t="shared" si="278"/>
        <v>46096</v>
      </c>
      <c r="E795" s="75">
        <f t="shared" si="279"/>
        <v>46080</v>
      </c>
      <c r="F795" s="75">
        <f t="shared" si="280"/>
        <v>46087</v>
      </c>
      <c r="G795" s="75">
        <f t="shared" si="281"/>
        <v>46093</v>
      </c>
      <c r="H795" s="75">
        <f t="shared" si="282"/>
        <v>46081</v>
      </c>
      <c r="I795" s="75">
        <f t="shared" si="283"/>
        <v>46088</v>
      </c>
      <c r="J795" s="75">
        <v>46101</v>
      </c>
      <c r="K795" s="25">
        <f t="shared" si="284"/>
        <v>28</v>
      </c>
      <c r="L795" s="25">
        <v>12.47</v>
      </c>
      <c r="M795" s="25">
        <v>9.68</v>
      </c>
      <c r="N795" s="25">
        <f t="shared" si="285"/>
        <v>2.7900000000000009</v>
      </c>
      <c r="O795" s="25" t="s">
        <v>545</v>
      </c>
    </row>
    <row r="796" spans="1:15" x14ac:dyDescent="0.25">
      <c r="A796" s="75">
        <v>46073</v>
      </c>
      <c r="B796" s="25" t="s">
        <v>358</v>
      </c>
      <c r="C796" s="25" t="s">
        <v>735</v>
      </c>
      <c r="D796" s="75">
        <f t="shared" si="278"/>
        <v>46096</v>
      </c>
      <c r="E796" s="75">
        <f t="shared" si="279"/>
        <v>46080</v>
      </c>
      <c r="F796" s="75">
        <f t="shared" si="280"/>
        <v>46087</v>
      </c>
      <c r="G796" s="75">
        <f t="shared" si="281"/>
        <v>46093</v>
      </c>
      <c r="H796" s="75">
        <f t="shared" si="282"/>
        <v>46081</v>
      </c>
      <c r="I796" s="75">
        <f t="shared" si="283"/>
        <v>46088</v>
      </c>
      <c r="J796" s="75">
        <v>46101</v>
      </c>
      <c r="K796" s="25">
        <f t="shared" si="284"/>
        <v>28</v>
      </c>
      <c r="L796" s="25">
        <v>11.38</v>
      </c>
      <c r="M796" s="25">
        <v>9.2100000000000009</v>
      </c>
      <c r="N796" s="25">
        <f t="shared" si="285"/>
        <v>2.17</v>
      </c>
      <c r="O796" s="25" t="s">
        <v>545</v>
      </c>
    </row>
    <row r="797" spans="1:15" x14ac:dyDescent="0.25">
      <c r="A797" s="75">
        <v>46073</v>
      </c>
      <c r="B797" s="25" t="s">
        <v>359</v>
      </c>
      <c r="C797" s="25" t="s">
        <v>736</v>
      </c>
      <c r="D797" s="75">
        <f t="shared" si="278"/>
        <v>46096</v>
      </c>
      <c r="E797" s="75">
        <f t="shared" si="279"/>
        <v>46080</v>
      </c>
      <c r="F797" s="75">
        <f t="shared" si="280"/>
        <v>46087</v>
      </c>
      <c r="G797" s="75">
        <f t="shared" si="281"/>
        <v>46093</v>
      </c>
      <c r="H797" s="75">
        <f t="shared" si="282"/>
        <v>46081</v>
      </c>
      <c r="I797" s="75">
        <f t="shared" si="283"/>
        <v>46088</v>
      </c>
      <c r="J797" s="75">
        <v>46103</v>
      </c>
      <c r="K797" s="25">
        <f t="shared" si="284"/>
        <v>30</v>
      </c>
      <c r="L797" s="25">
        <v>12.54</v>
      </c>
      <c r="M797" s="25">
        <v>11.23</v>
      </c>
      <c r="N797" s="25">
        <f t="shared" si="285"/>
        <v>1.3099999999999987</v>
      </c>
      <c r="O797" s="25" t="s">
        <v>545</v>
      </c>
    </row>
    <row r="798" spans="1:15" x14ac:dyDescent="0.25">
      <c r="A798" s="75">
        <v>46073</v>
      </c>
      <c r="B798" s="25" t="s">
        <v>360</v>
      </c>
      <c r="C798" s="25" t="s">
        <v>737</v>
      </c>
      <c r="D798" s="75">
        <f t="shared" si="278"/>
        <v>46096</v>
      </c>
      <c r="E798" s="75">
        <f t="shared" si="279"/>
        <v>46080</v>
      </c>
      <c r="F798" s="75">
        <f t="shared" si="280"/>
        <v>46087</v>
      </c>
      <c r="G798" s="75">
        <f t="shared" si="281"/>
        <v>46093</v>
      </c>
      <c r="H798" s="75">
        <f t="shared" si="282"/>
        <v>46081</v>
      </c>
      <c r="I798" s="75">
        <f t="shared" si="283"/>
        <v>46088</v>
      </c>
      <c r="J798" s="75">
        <v>46103</v>
      </c>
      <c r="K798" s="25">
        <f t="shared" si="284"/>
        <v>30</v>
      </c>
      <c r="L798" s="25">
        <v>12.01</v>
      </c>
      <c r="M798" s="25">
        <v>10.57</v>
      </c>
      <c r="N798" s="25">
        <f t="shared" si="285"/>
        <v>1.4399999999999995</v>
      </c>
      <c r="O798" s="25" t="s">
        <v>545</v>
      </c>
    </row>
    <row r="799" spans="1:15" x14ac:dyDescent="0.25">
      <c r="A799" s="75">
        <v>46073</v>
      </c>
      <c r="B799" s="25" t="s">
        <v>361</v>
      </c>
      <c r="C799" s="25" t="s">
        <v>738</v>
      </c>
      <c r="D799" s="75">
        <f t="shared" si="278"/>
        <v>46096</v>
      </c>
      <c r="E799" s="75">
        <f t="shared" si="279"/>
        <v>46080</v>
      </c>
      <c r="F799" s="75">
        <f t="shared" si="280"/>
        <v>46087</v>
      </c>
      <c r="G799" s="75">
        <f t="shared" si="281"/>
        <v>46093</v>
      </c>
      <c r="H799" s="75">
        <f t="shared" si="282"/>
        <v>46081</v>
      </c>
      <c r="I799" s="75">
        <f t="shared" si="283"/>
        <v>46088</v>
      </c>
      <c r="J799" s="75">
        <v>46103</v>
      </c>
      <c r="K799" s="25">
        <f t="shared" si="284"/>
        <v>30</v>
      </c>
      <c r="L799" s="25">
        <v>13.11</v>
      </c>
      <c r="M799" s="25">
        <v>11.31</v>
      </c>
      <c r="N799" s="25">
        <f t="shared" si="285"/>
        <v>1.7999999999999989</v>
      </c>
      <c r="O799" s="25" t="s">
        <v>545</v>
      </c>
    </row>
    <row r="800" spans="1:15" x14ac:dyDescent="0.25">
      <c r="A800" s="75">
        <v>46073</v>
      </c>
      <c r="B800" s="25" t="s">
        <v>362</v>
      </c>
      <c r="C800" s="25" t="s">
        <v>739</v>
      </c>
      <c r="D800" s="75">
        <f t="shared" si="278"/>
        <v>46096</v>
      </c>
      <c r="E800" s="75">
        <f t="shared" si="279"/>
        <v>46080</v>
      </c>
      <c r="F800" s="75">
        <f t="shared" si="280"/>
        <v>46087</v>
      </c>
      <c r="G800" s="75">
        <f t="shared" si="281"/>
        <v>46093</v>
      </c>
      <c r="H800" s="75">
        <f t="shared" si="282"/>
        <v>46081</v>
      </c>
      <c r="I800" s="75">
        <f t="shared" si="283"/>
        <v>46088</v>
      </c>
      <c r="J800" s="75">
        <v>46103</v>
      </c>
      <c r="K800" s="25">
        <f t="shared" si="284"/>
        <v>30</v>
      </c>
      <c r="L800" s="25">
        <v>13.17</v>
      </c>
      <c r="M800" s="25">
        <v>11.33</v>
      </c>
      <c r="N800" s="25">
        <f t="shared" si="285"/>
        <v>1.8399999999999999</v>
      </c>
      <c r="O800" s="25" t="s">
        <v>545</v>
      </c>
    </row>
    <row r="801" spans="1:15" x14ac:dyDescent="0.25">
      <c r="A801" s="75">
        <v>46073</v>
      </c>
      <c r="B801" s="25" t="s">
        <v>363</v>
      </c>
      <c r="C801" s="25" t="s">
        <v>740</v>
      </c>
      <c r="D801" s="75">
        <f t="shared" si="278"/>
        <v>46096</v>
      </c>
      <c r="E801" s="75">
        <f t="shared" si="279"/>
        <v>46080</v>
      </c>
      <c r="F801" s="75">
        <f t="shared" si="280"/>
        <v>46087</v>
      </c>
      <c r="G801" s="75">
        <f t="shared" si="281"/>
        <v>46093</v>
      </c>
      <c r="H801" s="75">
        <f t="shared" si="282"/>
        <v>46081</v>
      </c>
      <c r="I801" s="75">
        <f t="shared" si="283"/>
        <v>46088</v>
      </c>
      <c r="J801" s="75">
        <v>46103</v>
      </c>
      <c r="K801" s="25">
        <f t="shared" si="284"/>
        <v>30</v>
      </c>
      <c r="L801" s="25">
        <v>12.46</v>
      </c>
      <c r="M801" s="25">
        <v>10.81</v>
      </c>
      <c r="N801" s="25">
        <f t="shared" si="285"/>
        <v>1.6500000000000004</v>
      </c>
      <c r="O801" s="25" t="s">
        <v>545</v>
      </c>
    </row>
    <row r="802" spans="1:15" x14ac:dyDescent="0.25">
      <c r="A802" s="75">
        <v>46074</v>
      </c>
      <c r="B802" s="25" t="s">
        <v>347</v>
      </c>
      <c r="C802" s="25" t="s">
        <v>741</v>
      </c>
      <c r="D802" s="75">
        <f t="shared" si="278"/>
        <v>46097</v>
      </c>
      <c r="E802" s="75">
        <f t="shared" si="279"/>
        <v>46081</v>
      </c>
      <c r="F802" s="75">
        <f t="shared" si="280"/>
        <v>46088</v>
      </c>
      <c r="G802" s="75">
        <f t="shared" si="281"/>
        <v>46094</v>
      </c>
      <c r="H802" s="75">
        <f t="shared" si="282"/>
        <v>46082</v>
      </c>
      <c r="I802" s="75">
        <f t="shared" si="283"/>
        <v>46089</v>
      </c>
      <c r="J802" s="75">
        <v>46100</v>
      </c>
      <c r="K802" s="25">
        <f t="shared" si="284"/>
        <v>26</v>
      </c>
      <c r="L802" s="25">
        <v>14.56</v>
      </c>
      <c r="M802" s="25">
        <v>12.78</v>
      </c>
      <c r="N802" s="25">
        <f t="shared" si="285"/>
        <v>1.7800000000000011</v>
      </c>
      <c r="O802" s="25" t="s">
        <v>545</v>
      </c>
    </row>
    <row r="803" spans="1:15" x14ac:dyDescent="0.25">
      <c r="A803" s="75">
        <v>46074</v>
      </c>
      <c r="B803" s="25" t="s">
        <v>348</v>
      </c>
      <c r="C803" s="25" t="s">
        <v>742</v>
      </c>
      <c r="D803" s="75">
        <f t="shared" si="278"/>
        <v>46097</v>
      </c>
      <c r="E803" s="75">
        <f t="shared" si="279"/>
        <v>46081</v>
      </c>
      <c r="F803" s="75">
        <f t="shared" si="280"/>
        <v>46088</v>
      </c>
      <c r="G803" s="75">
        <f t="shared" si="281"/>
        <v>46094</v>
      </c>
      <c r="H803" s="75">
        <f t="shared" si="282"/>
        <v>46082</v>
      </c>
      <c r="I803" s="75">
        <f t="shared" si="283"/>
        <v>46089</v>
      </c>
      <c r="J803" s="75">
        <v>46100</v>
      </c>
      <c r="K803" s="25">
        <f t="shared" si="284"/>
        <v>26</v>
      </c>
      <c r="L803" s="25">
        <v>13.06</v>
      </c>
      <c r="M803" s="25">
        <v>11.87</v>
      </c>
      <c r="N803" s="25">
        <f t="shared" si="285"/>
        <v>1.1900000000000013</v>
      </c>
      <c r="O803" s="25" t="s">
        <v>545</v>
      </c>
    </row>
    <row r="804" spans="1:15" x14ac:dyDescent="0.25">
      <c r="A804" s="75">
        <v>46074</v>
      </c>
      <c r="B804" s="25" t="s">
        <v>349</v>
      </c>
      <c r="C804" s="25" t="s">
        <v>743</v>
      </c>
      <c r="D804" s="75">
        <f t="shared" si="278"/>
        <v>46097</v>
      </c>
      <c r="E804" s="75">
        <f t="shared" si="279"/>
        <v>46081</v>
      </c>
      <c r="F804" s="75">
        <f t="shared" si="280"/>
        <v>46088</v>
      </c>
      <c r="G804" s="75">
        <f t="shared" si="281"/>
        <v>46094</v>
      </c>
      <c r="H804" s="75">
        <f t="shared" si="282"/>
        <v>46082</v>
      </c>
      <c r="I804" s="75">
        <f t="shared" si="283"/>
        <v>46089</v>
      </c>
      <c r="J804" s="75">
        <v>46100</v>
      </c>
      <c r="K804" s="25">
        <f t="shared" si="284"/>
        <v>26</v>
      </c>
      <c r="L804" s="25">
        <v>12.66</v>
      </c>
      <c r="M804" s="25">
        <v>10.31</v>
      </c>
      <c r="N804" s="25">
        <f t="shared" si="285"/>
        <v>2.3499999999999996</v>
      </c>
      <c r="O804" s="25" t="s">
        <v>545</v>
      </c>
    </row>
    <row r="805" spans="1:15" x14ac:dyDescent="0.25">
      <c r="A805" s="75">
        <v>46074</v>
      </c>
      <c r="B805" s="25" t="s">
        <v>353</v>
      </c>
      <c r="C805" s="25" t="s">
        <v>744</v>
      </c>
      <c r="D805" s="75">
        <f t="shared" si="278"/>
        <v>46097</v>
      </c>
      <c r="E805" s="75">
        <f t="shared" si="279"/>
        <v>46081</v>
      </c>
      <c r="F805" s="75">
        <f t="shared" si="280"/>
        <v>46088</v>
      </c>
      <c r="G805" s="75">
        <f t="shared" si="281"/>
        <v>46094</v>
      </c>
      <c r="H805" s="75">
        <f t="shared" si="282"/>
        <v>46082</v>
      </c>
      <c r="I805" s="75">
        <f t="shared" si="283"/>
        <v>46089</v>
      </c>
      <c r="J805" s="75">
        <v>46103</v>
      </c>
      <c r="K805" s="25">
        <f t="shared" si="284"/>
        <v>29</v>
      </c>
      <c r="L805" s="25">
        <v>9.24</v>
      </c>
      <c r="M805" s="25">
        <v>7.61</v>
      </c>
      <c r="N805" s="25">
        <f t="shared" si="285"/>
        <v>1.63</v>
      </c>
      <c r="O805" s="25" t="s">
        <v>545</v>
      </c>
    </row>
    <row r="806" spans="1:15" x14ac:dyDescent="0.25">
      <c r="A806" s="75">
        <v>46074</v>
      </c>
      <c r="B806" s="25" t="s">
        <v>354</v>
      </c>
      <c r="C806" s="25" t="s">
        <v>745</v>
      </c>
      <c r="D806" s="75">
        <f t="shared" si="278"/>
        <v>46097</v>
      </c>
      <c r="E806" s="75">
        <f t="shared" si="279"/>
        <v>46081</v>
      </c>
      <c r="F806" s="75">
        <f t="shared" si="280"/>
        <v>46088</v>
      </c>
      <c r="G806" s="75">
        <f t="shared" si="281"/>
        <v>46094</v>
      </c>
      <c r="H806" s="75">
        <f t="shared" si="282"/>
        <v>46082</v>
      </c>
      <c r="I806" s="75">
        <f t="shared" si="283"/>
        <v>46089</v>
      </c>
      <c r="J806" s="75">
        <v>46103</v>
      </c>
      <c r="K806" s="25">
        <f t="shared" si="284"/>
        <v>29</v>
      </c>
      <c r="L806" s="25">
        <v>10.51</v>
      </c>
      <c r="M806" s="25">
        <v>8.24</v>
      </c>
      <c r="N806" s="25">
        <f t="shared" si="285"/>
        <v>2.2699999999999996</v>
      </c>
      <c r="O806" s="25" t="s">
        <v>545</v>
      </c>
    </row>
    <row r="807" spans="1:15" x14ac:dyDescent="0.25">
      <c r="A807" s="75">
        <v>46074</v>
      </c>
      <c r="B807" s="25" t="s">
        <v>355</v>
      </c>
      <c r="C807" s="25" t="s">
        <v>746</v>
      </c>
      <c r="D807" s="75">
        <f t="shared" si="278"/>
        <v>46097</v>
      </c>
      <c r="E807" s="75">
        <f t="shared" si="279"/>
        <v>46081</v>
      </c>
      <c r="F807" s="75">
        <f t="shared" si="280"/>
        <v>46088</v>
      </c>
      <c r="G807" s="75">
        <f t="shared" si="281"/>
        <v>46094</v>
      </c>
      <c r="H807" s="75">
        <f t="shared" si="282"/>
        <v>46082</v>
      </c>
      <c r="I807" s="75">
        <f t="shared" si="283"/>
        <v>46089</v>
      </c>
      <c r="J807" s="75">
        <v>46103</v>
      </c>
      <c r="K807" s="25">
        <f t="shared" si="284"/>
        <v>29</v>
      </c>
      <c r="L807" s="25">
        <v>9.16</v>
      </c>
      <c r="M807" s="25">
        <v>7.59</v>
      </c>
      <c r="N807" s="25">
        <f t="shared" si="285"/>
        <v>1.5700000000000003</v>
      </c>
      <c r="O807" s="25" t="s">
        <v>545</v>
      </c>
    </row>
    <row r="808" spans="1:15" x14ac:dyDescent="0.25">
      <c r="A808" s="75">
        <v>46075</v>
      </c>
      <c r="B808" s="25" t="s">
        <v>387</v>
      </c>
      <c r="C808" s="25" t="s">
        <v>747</v>
      </c>
      <c r="D808" s="75">
        <f t="shared" si="278"/>
        <v>46098</v>
      </c>
      <c r="E808" s="75">
        <f t="shared" si="279"/>
        <v>46082</v>
      </c>
      <c r="F808" s="75">
        <f t="shared" si="280"/>
        <v>46089</v>
      </c>
      <c r="G808" s="75">
        <f t="shared" si="281"/>
        <v>46095</v>
      </c>
      <c r="H808" s="75">
        <f t="shared" si="282"/>
        <v>46083</v>
      </c>
      <c r="I808" s="75">
        <f t="shared" si="283"/>
        <v>46090</v>
      </c>
      <c r="J808" s="75">
        <v>46103</v>
      </c>
      <c r="K808" s="25">
        <f t="shared" si="284"/>
        <v>28</v>
      </c>
      <c r="L808" s="25">
        <v>14.25</v>
      </c>
      <c r="M808" s="25">
        <v>12.94</v>
      </c>
      <c r="N808" s="25">
        <f t="shared" si="285"/>
        <v>1.3100000000000005</v>
      </c>
      <c r="O808" s="25" t="s">
        <v>545</v>
      </c>
    </row>
    <row r="809" spans="1:15" x14ac:dyDescent="0.25">
      <c r="A809" s="75">
        <v>46075</v>
      </c>
      <c r="B809" s="25" t="s">
        <v>388</v>
      </c>
      <c r="C809" s="25" t="s">
        <v>748</v>
      </c>
      <c r="D809" s="75">
        <f t="shared" si="278"/>
        <v>46098</v>
      </c>
      <c r="E809" s="75">
        <f t="shared" si="279"/>
        <v>46082</v>
      </c>
      <c r="F809" s="75">
        <f t="shared" si="280"/>
        <v>46089</v>
      </c>
      <c r="G809" s="75">
        <f t="shared" si="281"/>
        <v>46095</v>
      </c>
      <c r="H809" s="75">
        <f t="shared" si="282"/>
        <v>46083</v>
      </c>
      <c r="I809" s="75">
        <f t="shared" si="283"/>
        <v>46090</v>
      </c>
      <c r="J809" s="75">
        <v>46103</v>
      </c>
      <c r="K809" s="25">
        <f t="shared" si="284"/>
        <v>28</v>
      </c>
      <c r="L809" s="25">
        <v>13.78</v>
      </c>
      <c r="M809" s="25">
        <v>11.73</v>
      </c>
      <c r="N809" s="25">
        <f t="shared" si="285"/>
        <v>2.0499999999999989</v>
      </c>
      <c r="O809" s="25" t="s">
        <v>545</v>
      </c>
    </row>
    <row r="810" spans="1:15" x14ac:dyDescent="0.25">
      <c r="A810" s="75">
        <v>46075</v>
      </c>
      <c r="B810" s="25" t="s">
        <v>389</v>
      </c>
      <c r="C810" s="25" t="s">
        <v>749</v>
      </c>
      <c r="D810" s="75">
        <f t="shared" si="278"/>
        <v>46098</v>
      </c>
      <c r="E810" s="75">
        <f t="shared" si="279"/>
        <v>46082</v>
      </c>
      <c r="F810" s="75">
        <f t="shared" si="280"/>
        <v>46089</v>
      </c>
      <c r="G810" s="75">
        <f t="shared" si="281"/>
        <v>46095</v>
      </c>
      <c r="H810" s="75">
        <f t="shared" si="282"/>
        <v>46083</v>
      </c>
      <c r="I810" s="75">
        <f t="shared" si="283"/>
        <v>46090</v>
      </c>
      <c r="J810" s="75">
        <v>46103</v>
      </c>
      <c r="K810" s="25">
        <f t="shared" si="284"/>
        <v>28</v>
      </c>
      <c r="L810" s="25">
        <v>12.92</v>
      </c>
      <c r="M810" s="25">
        <v>12.01</v>
      </c>
      <c r="N810" s="25">
        <f t="shared" si="285"/>
        <v>0.91000000000000014</v>
      </c>
      <c r="O810" s="25" t="s">
        <v>545</v>
      </c>
    </row>
    <row r="811" spans="1:15" x14ac:dyDescent="0.25">
      <c r="A811" s="75">
        <v>46075</v>
      </c>
      <c r="B811" s="25" t="s">
        <v>390</v>
      </c>
      <c r="C811" s="25" t="s">
        <v>750</v>
      </c>
      <c r="D811" s="75">
        <f t="shared" si="278"/>
        <v>46098</v>
      </c>
      <c r="E811" s="75">
        <f t="shared" si="279"/>
        <v>46082</v>
      </c>
      <c r="F811" s="75">
        <f t="shared" si="280"/>
        <v>46089</v>
      </c>
      <c r="G811" s="75">
        <f t="shared" si="281"/>
        <v>46095</v>
      </c>
      <c r="H811" s="75">
        <f t="shared" si="282"/>
        <v>46083</v>
      </c>
      <c r="I811" s="75">
        <f t="shared" si="283"/>
        <v>46090</v>
      </c>
      <c r="J811" s="75">
        <v>46103</v>
      </c>
      <c r="K811" s="25">
        <f t="shared" si="284"/>
        <v>28</v>
      </c>
      <c r="L811" s="25">
        <v>13.42</v>
      </c>
      <c r="M811" s="25">
        <v>9.2100000000000009</v>
      </c>
      <c r="N811" s="25">
        <f t="shared" si="285"/>
        <v>4.2099999999999991</v>
      </c>
      <c r="O811" s="25" t="s">
        <v>545</v>
      </c>
    </row>
    <row r="812" spans="1:15" x14ac:dyDescent="0.25">
      <c r="A812" s="75">
        <v>46075</v>
      </c>
      <c r="B812" s="25" t="s">
        <v>391</v>
      </c>
      <c r="C812" s="25" t="s">
        <v>751</v>
      </c>
      <c r="D812" s="75">
        <f t="shared" si="278"/>
        <v>46098</v>
      </c>
      <c r="E812" s="75">
        <f t="shared" si="279"/>
        <v>46082</v>
      </c>
      <c r="F812" s="75">
        <f t="shared" si="280"/>
        <v>46089</v>
      </c>
      <c r="G812" s="75">
        <f t="shared" si="281"/>
        <v>46095</v>
      </c>
      <c r="H812" s="75">
        <f t="shared" si="282"/>
        <v>46083</v>
      </c>
      <c r="I812" s="75">
        <f t="shared" si="283"/>
        <v>46090</v>
      </c>
      <c r="J812" s="75">
        <v>46103</v>
      </c>
      <c r="K812" s="25">
        <f t="shared" si="284"/>
        <v>28</v>
      </c>
      <c r="L812" s="25">
        <v>15.72</v>
      </c>
      <c r="M812" s="25">
        <v>13.66</v>
      </c>
      <c r="N812" s="25">
        <f t="shared" si="285"/>
        <v>2.0600000000000005</v>
      </c>
      <c r="O812" s="25" t="s">
        <v>545</v>
      </c>
    </row>
    <row r="813" spans="1:15" x14ac:dyDescent="0.25">
      <c r="A813" s="75">
        <v>46075</v>
      </c>
      <c r="B813" s="25" t="s">
        <v>392</v>
      </c>
      <c r="C813" s="25" t="s">
        <v>752</v>
      </c>
      <c r="D813" s="75">
        <f t="shared" si="278"/>
        <v>46098</v>
      </c>
      <c r="E813" s="75">
        <f t="shared" si="279"/>
        <v>46082</v>
      </c>
      <c r="F813" s="75">
        <f t="shared" si="280"/>
        <v>46089</v>
      </c>
      <c r="G813" s="75">
        <f t="shared" si="281"/>
        <v>46095</v>
      </c>
      <c r="H813" s="75">
        <f t="shared" si="282"/>
        <v>46083</v>
      </c>
      <c r="I813" s="75">
        <f t="shared" si="283"/>
        <v>46090</v>
      </c>
      <c r="J813" s="75">
        <v>46103</v>
      </c>
      <c r="K813" s="25">
        <f t="shared" si="284"/>
        <v>28</v>
      </c>
      <c r="L813" s="25">
        <v>14.23</v>
      </c>
      <c r="M813" s="25">
        <v>12.73</v>
      </c>
      <c r="N813" s="25">
        <f t="shared" si="285"/>
        <v>1.5</v>
      </c>
      <c r="O813" s="25" t="s">
        <v>545</v>
      </c>
    </row>
    <row r="814" spans="1:15" x14ac:dyDescent="0.25">
      <c r="A814" s="75">
        <v>46075</v>
      </c>
      <c r="B814" s="25" t="s">
        <v>393</v>
      </c>
      <c r="C814" s="25" t="s">
        <v>753</v>
      </c>
      <c r="D814" s="75">
        <f t="shared" si="278"/>
        <v>46098</v>
      </c>
      <c r="E814" s="75">
        <f t="shared" si="279"/>
        <v>46082</v>
      </c>
      <c r="F814" s="75">
        <f t="shared" si="280"/>
        <v>46089</v>
      </c>
      <c r="G814" s="75">
        <f t="shared" si="281"/>
        <v>46095</v>
      </c>
      <c r="H814" s="75">
        <f t="shared" si="282"/>
        <v>46083</v>
      </c>
      <c r="I814" s="75">
        <f t="shared" si="283"/>
        <v>46090</v>
      </c>
      <c r="J814" s="75">
        <v>46104</v>
      </c>
      <c r="K814" s="25">
        <f t="shared" si="284"/>
        <v>29</v>
      </c>
      <c r="L814" s="25">
        <v>12.42</v>
      </c>
      <c r="M814" s="25">
        <v>11.32</v>
      </c>
      <c r="N814" s="25">
        <f t="shared" si="285"/>
        <v>1.0999999999999996</v>
      </c>
      <c r="O814" s="25" t="s">
        <v>545</v>
      </c>
    </row>
    <row r="815" spans="1:15" x14ac:dyDescent="0.25">
      <c r="A815" s="75">
        <v>46076</v>
      </c>
      <c r="B815" s="25" t="s">
        <v>380</v>
      </c>
      <c r="C815" s="25" t="s">
        <v>754</v>
      </c>
      <c r="D815" s="75">
        <f t="shared" si="278"/>
        <v>46099</v>
      </c>
      <c r="E815" s="75">
        <f t="shared" si="279"/>
        <v>46083</v>
      </c>
      <c r="F815" s="75">
        <f t="shared" si="280"/>
        <v>46090</v>
      </c>
      <c r="G815" s="75">
        <f t="shared" si="281"/>
        <v>46096</v>
      </c>
      <c r="H815" s="75">
        <f t="shared" si="282"/>
        <v>46084</v>
      </c>
      <c r="I815" s="75">
        <f t="shared" si="283"/>
        <v>46091</v>
      </c>
      <c r="J815" s="75">
        <v>46104</v>
      </c>
      <c r="K815" s="25">
        <f t="shared" si="284"/>
        <v>28</v>
      </c>
      <c r="L815" s="25">
        <v>11.85</v>
      </c>
      <c r="M815" s="25">
        <v>10.31</v>
      </c>
      <c r="N815" s="25">
        <f t="shared" si="285"/>
        <v>1.5399999999999991</v>
      </c>
      <c r="O815" s="25" t="s">
        <v>545</v>
      </c>
    </row>
    <row r="816" spans="1:15" x14ac:dyDescent="0.25">
      <c r="A816" s="75">
        <v>46076</v>
      </c>
      <c r="B816" s="25" t="s">
        <v>381</v>
      </c>
      <c r="C816" s="25" t="s">
        <v>755</v>
      </c>
      <c r="D816" s="75">
        <f t="shared" si="278"/>
        <v>46099</v>
      </c>
      <c r="E816" s="75">
        <f t="shared" si="279"/>
        <v>46083</v>
      </c>
      <c r="F816" s="75">
        <f t="shared" si="280"/>
        <v>46090</v>
      </c>
      <c r="G816" s="75">
        <f t="shared" si="281"/>
        <v>46096</v>
      </c>
      <c r="H816" s="75">
        <f t="shared" si="282"/>
        <v>46084</v>
      </c>
      <c r="I816" s="75">
        <f t="shared" si="283"/>
        <v>46091</v>
      </c>
      <c r="J816" s="75">
        <v>46104</v>
      </c>
      <c r="K816" s="25">
        <f t="shared" si="284"/>
        <v>28</v>
      </c>
      <c r="L816" s="25">
        <v>11.57</v>
      </c>
      <c r="M816" s="25">
        <v>10.210000000000001</v>
      </c>
      <c r="N816" s="25">
        <f t="shared" si="285"/>
        <v>1.3599999999999994</v>
      </c>
      <c r="O816" s="25" t="s">
        <v>545</v>
      </c>
    </row>
    <row r="817" spans="1:15" x14ac:dyDescent="0.25">
      <c r="A817" s="75">
        <v>46076</v>
      </c>
      <c r="B817" s="25" t="s">
        <v>382</v>
      </c>
      <c r="C817" s="25" t="s">
        <v>756</v>
      </c>
      <c r="D817" s="75">
        <f t="shared" si="278"/>
        <v>46099</v>
      </c>
      <c r="E817" s="75">
        <f t="shared" si="279"/>
        <v>46083</v>
      </c>
      <c r="F817" s="75">
        <f t="shared" si="280"/>
        <v>46090</v>
      </c>
      <c r="G817" s="75">
        <f t="shared" si="281"/>
        <v>46096</v>
      </c>
      <c r="H817" s="75">
        <f t="shared" si="282"/>
        <v>46084</v>
      </c>
      <c r="I817" s="75">
        <f t="shared" si="283"/>
        <v>46091</v>
      </c>
      <c r="J817" s="75">
        <v>46104</v>
      </c>
      <c r="K817" s="25">
        <f t="shared" si="284"/>
        <v>28</v>
      </c>
      <c r="L817" s="25">
        <v>12.45</v>
      </c>
      <c r="M817" s="25">
        <v>11.78</v>
      </c>
      <c r="N817" s="25">
        <f t="shared" si="285"/>
        <v>0.66999999999999993</v>
      </c>
      <c r="O817" s="25" t="s">
        <v>545</v>
      </c>
    </row>
    <row r="818" spans="1:15" x14ac:dyDescent="0.25">
      <c r="A818" s="75">
        <v>46076</v>
      </c>
      <c r="B818" s="25" t="s">
        <v>383</v>
      </c>
      <c r="C818" s="25" t="s">
        <v>757</v>
      </c>
      <c r="D818" s="75">
        <f t="shared" si="278"/>
        <v>46099</v>
      </c>
      <c r="E818" s="75">
        <f t="shared" si="279"/>
        <v>46083</v>
      </c>
      <c r="F818" s="75">
        <f t="shared" si="280"/>
        <v>46090</v>
      </c>
      <c r="G818" s="75">
        <f t="shared" si="281"/>
        <v>46096</v>
      </c>
      <c r="H818" s="75">
        <f t="shared" si="282"/>
        <v>46084</v>
      </c>
      <c r="I818" s="75">
        <f t="shared" si="283"/>
        <v>46091</v>
      </c>
      <c r="J818" s="75">
        <v>46104</v>
      </c>
      <c r="K818" s="25">
        <f t="shared" si="284"/>
        <v>28</v>
      </c>
      <c r="L818" s="25">
        <v>14.58</v>
      </c>
      <c r="M818" s="25">
        <v>13.23</v>
      </c>
      <c r="N818" s="25">
        <f t="shared" si="285"/>
        <v>1.3499999999999996</v>
      </c>
      <c r="O818" s="25" t="s">
        <v>545</v>
      </c>
    </row>
    <row r="819" spans="1:15" x14ac:dyDescent="0.25">
      <c r="A819" s="75">
        <v>46076</v>
      </c>
      <c r="B819" s="25" t="s">
        <v>384</v>
      </c>
      <c r="C819" s="25" t="s">
        <v>758</v>
      </c>
      <c r="D819" s="75">
        <f t="shared" si="278"/>
        <v>46099</v>
      </c>
      <c r="E819" s="75">
        <f t="shared" si="279"/>
        <v>46083</v>
      </c>
      <c r="F819" s="75">
        <f t="shared" si="280"/>
        <v>46090</v>
      </c>
      <c r="G819" s="75">
        <f t="shared" si="281"/>
        <v>46096</v>
      </c>
      <c r="H819" s="75">
        <f t="shared" si="282"/>
        <v>46084</v>
      </c>
      <c r="I819" s="75">
        <f t="shared" si="283"/>
        <v>46091</v>
      </c>
      <c r="J819" s="75">
        <v>46104</v>
      </c>
      <c r="K819" s="25">
        <f t="shared" si="284"/>
        <v>28</v>
      </c>
      <c r="L819" s="25">
        <v>13.19</v>
      </c>
      <c r="M819" s="25">
        <v>12.32</v>
      </c>
      <c r="N819" s="25">
        <f t="shared" si="285"/>
        <v>0.86999999999999922</v>
      </c>
      <c r="O819" s="25" t="s">
        <v>545</v>
      </c>
    </row>
    <row r="820" spans="1:15" x14ac:dyDescent="0.25">
      <c r="A820" s="75">
        <v>46076</v>
      </c>
      <c r="B820" s="25" t="s">
        <v>385</v>
      </c>
      <c r="C820" s="25" t="s">
        <v>759</v>
      </c>
      <c r="D820" s="75">
        <f t="shared" si="278"/>
        <v>46099</v>
      </c>
      <c r="E820" s="75">
        <f t="shared" si="279"/>
        <v>46083</v>
      </c>
      <c r="F820" s="75">
        <f t="shared" si="280"/>
        <v>46090</v>
      </c>
      <c r="G820" s="75">
        <f t="shared" si="281"/>
        <v>46096</v>
      </c>
      <c r="H820" s="75">
        <f t="shared" si="282"/>
        <v>46084</v>
      </c>
      <c r="I820" s="75">
        <f t="shared" si="283"/>
        <v>46091</v>
      </c>
      <c r="J820" s="75">
        <v>46104</v>
      </c>
      <c r="K820" s="25">
        <f t="shared" si="284"/>
        <v>28</v>
      </c>
      <c r="L820" s="25">
        <v>11.77</v>
      </c>
      <c r="M820" s="25">
        <v>10.56</v>
      </c>
      <c r="N820" s="25">
        <f t="shared" si="285"/>
        <v>1.2099999999999991</v>
      </c>
      <c r="O820" s="25" t="s">
        <v>545</v>
      </c>
    </row>
    <row r="821" spans="1:15" x14ac:dyDescent="0.25">
      <c r="A821" s="75">
        <v>46076</v>
      </c>
      <c r="B821" s="25" t="s">
        <v>386</v>
      </c>
      <c r="C821" s="25" t="s">
        <v>760</v>
      </c>
      <c r="D821" s="75">
        <f t="shared" si="278"/>
        <v>46099</v>
      </c>
      <c r="E821" s="75">
        <f t="shared" si="279"/>
        <v>46083</v>
      </c>
      <c r="F821" s="75">
        <f t="shared" si="280"/>
        <v>46090</v>
      </c>
      <c r="G821" s="75">
        <f t="shared" si="281"/>
        <v>46096</v>
      </c>
      <c r="H821" s="75">
        <f t="shared" si="282"/>
        <v>46084</v>
      </c>
      <c r="I821" s="75">
        <f t="shared" si="283"/>
        <v>46091</v>
      </c>
      <c r="J821" s="75">
        <v>46104</v>
      </c>
      <c r="K821" s="25">
        <f t="shared" si="284"/>
        <v>28</v>
      </c>
      <c r="L821" s="25">
        <v>14.32</v>
      </c>
      <c r="M821" s="25">
        <v>12.21</v>
      </c>
      <c r="N821" s="25">
        <f t="shared" si="285"/>
        <v>2.1099999999999994</v>
      </c>
      <c r="O821" s="25" t="s">
        <v>545</v>
      </c>
    </row>
    <row r="822" spans="1:15" x14ac:dyDescent="0.25">
      <c r="A822" s="75">
        <v>46077</v>
      </c>
      <c r="B822" s="25" t="s">
        <v>447</v>
      </c>
      <c r="C822" s="25" t="s">
        <v>761</v>
      </c>
      <c r="D822" s="75">
        <f t="shared" si="278"/>
        <v>46100</v>
      </c>
      <c r="E822" s="75">
        <f t="shared" si="279"/>
        <v>46084</v>
      </c>
      <c r="F822" s="75">
        <f t="shared" si="280"/>
        <v>46091</v>
      </c>
      <c r="G822" s="75">
        <f t="shared" si="281"/>
        <v>46097</v>
      </c>
      <c r="H822" s="75">
        <f t="shared" si="282"/>
        <v>46085</v>
      </c>
      <c r="I822" s="75">
        <f t="shared" si="283"/>
        <v>46092</v>
      </c>
      <c r="J822" s="75">
        <v>46104</v>
      </c>
      <c r="K822" s="25">
        <f t="shared" si="284"/>
        <v>27</v>
      </c>
      <c r="L822" s="25">
        <v>9.33</v>
      </c>
      <c r="M822" s="25">
        <v>7.83</v>
      </c>
      <c r="N822" s="25">
        <f t="shared" si="285"/>
        <v>1.5</v>
      </c>
      <c r="O822" s="25" t="s">
        <v>545</v>
      </c>
    </row>
    <row r="823" spans="1:15" x14ac:dyDescent="0.25">
      <c r="A823" s="75">
        <v>46077</v>
      </c>
      <c r="B823" s="25" t="s">
        <v>448</v>
      </c>
      <c r="C823" s="25" t="s">
        <v>762</v>
      </c>
      <c r="D823" s="75">
        <f t="shared" si="278"/>
        <v>46100</v>
      </c>
      <c r="E823" s="75">
        <f t="shared" si="279"/>
        <v>46084</v>
      </c>
      <c r="F823" s="75">
        <f t="shared" si="280"/>
        <v>46091</v>
      </c>
      <c r="G823" s="75">
        <f t="shared" si="281"/>
        <v>46097</v>
      </c>
      <c r="H823" s="75">
        <f t="shared" si="282"/>
        <v>46085</v>
      </c>
      <c r="I823" s="75">
        <f t="shared" si="283"/>
        <v>46092</v>
      </c>
      <c r="J823" s="75">
        <v>46104</v>
      </c>
      <c r="K823" s="25">
        <f t="shared" si="284"/>
        <v>27</v>
      </c>
      <c r="L823" s="25">
        <v>10.87</v>
      </c>
      <c r="M823" s="25">
        <v>8.52</v>
      </c>
      <c r="N823" s="25">
        <f t="shared" si="285"/>
        <v>2.3499999999999996</v>
      </c>
      <c r="O823" s="25" t="s">
        <v>545</v>
      </c>
    </row>
    <row r="824" spans="1:15" x14ac:dyDescent="0.25">
      <c r="A824" s="75">
        <v>46077</v>
      </c>
      <c r="B824" s="25" t="s">
        <v>449</v>
      </c>
      <c r="C824" s="25" t="s">
        <v>763</v>
      </c>
      <c r="D824" s="75">
        <f t="shared" si="278"/>
        <v>46100</v>
      </c>
      <c r="E824" s="75">
        <f t="shared" si="279"/>
        <v>46084</v>
      </c>
      <c r="F824" s="75">
        <f t="shared" si="280"/>
        <v>46091</v>
      </c>
      <c r="G824" s="75">
        <f t="shared" si="281"/>
        <v>46097</v>
      </c>
      <c r="H824" s="75">
        <f t="shared" si="282"/>
        <v>46085</v>
      </c>
      <c r="I824" s="75">
        <f t="shared" si="283"/>
        <v>46092</v>
      </c>
      <c r="J824" s="75">
        <v>46104</v>
      </c>
      <c r="K824" s="25">
        <f t="shared" si="284"/>
        <v>27</v>
      </c>
      <c r="L824" s="25">
        <v>8.17</v>
      </c>
      <c r="M824" s="25">
        <v>6.32</v>
      </c>
      <c r="N824" s="25">
        <f t="shared" si="285"/>
        <v>1.8499999999999996</v>
      </c>
      <c r="O824" s="25" t="s">
        <v>545</v>
      </c>
    </row>
    <row r="825" spans="1:15" x14ac:dyDescent="0.25">
      <c r="A825" s="75">
        <v>46077</v>
      </c>
      <c r="B825" s="25" t="s">
        <v>450</v>
      </c>
      <c r="C825" s="25" t="s">
        <v>764</v>
      </c>
      <c r="D825" s="75">
        <f t="shared" si="278"/>
        <v>46100</v>
      </c>
      <c r="E825" s="75">
        <f t="shared" si="279"/>
        <v>46084</v>
      </c>
      <c r="F825" s="75">
        <f t="shared" si="280"/>
        <v>46091</v>
      </c>
      <c r="G825" s="75">
        <f t="shared" si="281"/>
        <v>46097</v>
      </c>
      <c r="H825" s="75">
        <f t="shared" si="282"/>
        <v>46085</v>
      </c>
      <c r="I825" s="75">
        <f t="shared" si="283"/>
        <v>46092</v>
      </c>
      <c r="J825" s="75">
        <v>46104</v>
      </c>
      <c r="K825" s="25">
        <f t="shared" si="284"/>
        <v>27</v>
      </c>
      <c r="L825" s="25">
        <v>9.56</v>
      </c>
      <c r="M825" s="25">
        <v>7.24</v>
      </c>
      <c r="N825" s="25">
        <f t="shared" si="285"/>
        <v>2.3200000000000003</v>
      </c>
      <c r="O825" s="25" t="s">
        <v>545</v>
      </c>
    </row>
    <row r="826" spans="1:15" x14ac:dyDescent="0.25">
      <c r="A826" s="75">
        <v>46077</v>
      </c>
      <c r="B826" s="25" t="s">
        <v>451</v>
      </c>
      <c r="C826" s="25" t="s">
        <v>765</v>
      </c>
      <c r="D826" s="75">
        <f t="shared" si="278"/>
        <v>46100</v>
      </c>
      <c r="E826" s="75">
        <f t="shared" si="279"/>
        <v>46084</v>
      </c>
      <c r="F826" s="75">
        <f t="shared" si="280"/>
        <v>46091</v>
      </c>
      <c r="G826" s="75">
        <f t="shared" si="281"/>
        <v>46097</v>
      </c>
      <c r="H826" s="75">
        <f t="shared" si="282"/>
        <v>46085</v>
      </c>
      <c r="I826" s="75">
        <f t="shared" si="283"/>
        <v>46092</v>
      </c>
      <c r="J826" s="75">
        <v>46104</v>
      </c>
      <c r="K826" s="25">
        <f t="shared" si="284"/>
        <v>27</v>
      </c>
      <c r="L826" s="25">
        <v>8.36</v>
      </c>
      <c r="M826" s="25">
        <v>6.79</v>
      </c>
      <c r="N826" s="25">
        <f t="shared" si="285"/>
        <v>1.5699999999999994</v>
      </c>
      <c r="O826" s="25" t="s">
        <v>545</v>
      </c>
    </row>
    <row r="827" spans="1:15" x14ac:dyDescent="0.25">
      <c r="A827" s="75">
        <v>46077</v>
      </c>
      <c r="B827" s="25" t="s">
        <v>452</v>
      </c>
      <c r="C827" s="25" t="s">
        <v>766</v>
      </c>
      <c r="D827" s="75">
        <f t="shared" si="278"/>
        <v>46100</v>
      </c>
      <c r="E827" s="75">
        <f t="shared" si="279"/>
        <v>46084</v>
      </c>
      <c r="F827" s="75">
        <f t="shared" si="280"/>
        <v>46091</v>
      </c>
      <c r="G827" s="75">
        <f t="shared" si="281"/>
        <v>46097</v>
      </c>
      <c r="H827" s="75">
        <f t="shared" si="282"/>
        <v>46085</v>
      </c>
      <c r="I827" s="75">
        <f t="shared" si="283"/>
        <v>46092</v>
      </c>
      <c r="J827" s="75">
        <v>46104</v>
      </c>
      <c r="K827" s="25">
        <f t="shared" si="284"/>
        <v>27</v>
      </c>
      <c r="L827" s="25">
        <v>8.09</v>
      </c>
      <c r="M827" s="25">
        <v>7.24</v>
      </c>
      <c r="N827" s="25">
        <f t="shared" si="285"/>
        <v>0.84999999999999964</v>
      </c>
      <c r="O827" s="25" t="s">
        <v>545</v>
      </c>
    </row>
    <row r="828" spans="1:15" x14ac:dyDescent="0.25">
      <c r="A828" s="75">
        <v>46077</v>
      </c>
      <c r="B828" s="25" t="s">
        <v>453</v>
      </c>
      <c r="C828" s="25" t="s">
        <v>767</v>
      </c>
      <c r="D828" s="75">
        <f t="shared" si="278"/>
        <v>46100</v>
      </c>
      <c r="E828" s="75">
        <f t="shared" si="279"/>
        <v>46084</v>
      </c>
      <c r="F828" s="75">
        <f t="shared" si="280"/>
        <v>46091</v>
      </c>
      <c r="G828" s="75">
        <f t="shared" si="281"/>
        <v>46097</v>
      </c>
      <c r="H828" s="75">
        <f t="shared" si="282"/>
        <v>46085</v>
      </c>
      <c r="I828" s="75">
        <f t="shared" si="283"/>
        <v>46092</v>
      </c>
      <c r="J828" s="75">
        <v>46104</v>
      </c>
      <c r="K828" s="25">
        <f t="shared" si="284"/>
        <v>27</v>
      </c>
      <c r="L828" s="25">
        <v>7.43</v>
      </c>
      <c r="M828" s="25">
        <v>6.93</v>
      </c>
      <c r="N828" s="25">
        <f t="shared" si="285"/>
        <v>0.5</v>
      </c>
      <c r="O828" s="25" t="s">
        <v>545</v>
      </c>
    </row>
    <row r="829" spans="1:15" x14ac:dyDescent="0.25">
      <c r="A829" s="75">
        <v>46078</v>
      </c>
      <c r="B829" s="25" t="s">
        <v>410</v>
      </c>
      <c r="C829" s="25" t="s">
        <v>577</v>
      </c>
      <c r="D829" s="75">
        <f t="shared" si="278"/>
        <v>46101</v>
      </c>
      <c r="E829" s="75">
        <f t="shared" si="279"/>
        <v>46085</v>
      </c>
      <c r="F829" s="75">
        <f t="shared" si="280"/>
        <v>46092</v>
      </c>
      <c r="G829" s="75">
        <f t="shared" si="281"/>
        <v>46098</v>
      </c>
      <c r="H829" s="75">
        <f t="shared" si="282"/>
        <v>46086</v>
      </c>
      <c r="I829" s="75">
        <f t="shared" si="283"/>
        <v>46093</v>
      </c>
      <c r="J829" s="75">
        <v>46105</v>
      </c>
      <c r="K829" s="25">
        <f t="shared" si="284"/>
        <v>27</v>
      </c>
      <c r="L829" s="25">
        <v>12.45</v>
      </c>
      <c r="M829" s="25">
        <v>11.43</v>
      </c>
      <c r="N829" s="25">
        <f t="shared" si="285"/>
        <v>1.0199999999999996</v>
      </c>
      <c r="O829" s="25" t="s">
        <v>545</v>
      </c>
    </row>
    <row r="830" spans="1:15" x14ac:dyDescent="0.25">
      <c r="A830" s="75">
        <v>46078</v>
      </c>
      <c r="B830" s="25" t="s">
        <v>411</v>
      </c>
      <c r="C830" s="25" t="s">
        <v>578</v>
      </c>
      <c r="D830" s="75">
        <f t="shared" si="278"/>
        <v>46101</v>
      </c>
      <c r="E830" s="75">
        <f t="shared" si="279"/>
        <v>46085</v>
      </c>
      <c r="F830" s="75">
        <f t="shared" si="280"/>
        <v>46092</v>
      </c>
      <c r="G830" s="75">
        <f t="shared" si="281"/>
        <v>46098</v>
      </c>
      <c r="H830" s="75">
        <f t="shared" si="282"/>
        <v>46086</v>
      </c>
      <c r="I830" s="75">
        <f t="shared" si="283"/>
        <v>46093</v>
      </c>
      <c r="J830" s="75">
        <v>46105</v>
      </c>
      <c r="K830" s="25">
        <f t="shared" si="284"/>
        <v>27</v>
      </c>
      <c r="L830" s="25">
        <v>11.98</v>
      </c>
      <c r="M830" s="25">
        <v>10.92</v>
      </c>
      <c r="N830" s="25">
        <f t="shared" si="285"/>
        <v>1.0600000000000005</v>
      </c>
      <c r="O830" s="25" t="s">
        <v>545</v>
      </c>
    </row>
    <row r="831" spans="1:15" x14ac:dyDescent="0.25">
      <c r="A831" s="75">
        <v>46078</v>
      </c>
      <c r="B831" s="25" t="s">
        <v>412</v>
      </c>
      <c r="C831" s="25" t="s">
        <v>579</v>
      </c>
      <c r="D831" s="75">
        <f t="shared" si="278"/>
        <v>46101</v>
      </c>
      <c r="E831" s="75">
        <f t="shared" si="279"/>
        <v>46085</v>
      </c>
      <c r="F831" s="75">
        <f t="shared" si="280"/>
        <v>46092</v>
      </c>
      <c r="G831" s="75">
        <f t="shared" si="281"/>
        <v>46098</v>
      </c>
      <c r="H831" s="75">
        <f t="shared" si="282"/>
        <v>46086</v>
      </c>
      <c r="I831" s="75">
        <f t="shared" si="283"/>
        <v>46093</v>
      </c>
      <c r="J831" s="75">
        <v>46105</v>
      </c>
      <c r="K831" s="25">
        <f t="shared" si="284"/>
        <v>27</v>
      </c>
      <c r="L831" s="25">
        <v>12.42</v>
      </c>
      <c r="M831" s="25">
        <v>10.73</v>
      </c>
      <c r="N831" s="25">
        <f t="shared" si="285"/>
        <v>1.6899999999999995</v>
      </c>
      <c r="O831" s="25" t="s">
        <v>545</v>
      </c>
    </row>
    <row r="832" spans="1:15" x14ac:dyDescent="0.25">
      <c r="A832" s="75">
        <v>46078</v>
      </c>
      <c r="B832" s="25" t="s">
        <v>413</v>
      </c>
      <c r="C832" s="25" t="s">
        <v>580</v>
      </c>
      <c r="D832" s="75">
        <f t="shared" si="278"/>
        <v>46101</v>
      </c>
      <c r="E832" s="75">
        <f t="shared" si="279"/>
        <v>46085</v>
      </c>
      <c r="F832" s="75">
        <f t="shared" si="280"/>
        <v>46092</v>
      </c>
      <c r="G832" s="75">
        <f t="shared" si="281"/>
        <v>46098</v>
      </c>
      <c r="H832" s="75">
        <f t="shared" si="282"/>
        <v>46086</v>
      </c>
      <c r="I832" s="75">
        <f t="shared" si="283"/>
        <v>46093</v>
      </c>
      <c r="J832" s="75">
        <v>46105</v>
      </c>
      <c r="K832" s="25">
        <f t="shared" si="284"/>
        <v>27</v>
      </c>
      <c r="L832" s="25">
        <v>14.78</v>
      </c>
      <c r="M832" s="25">
        <v>11.34</v>
      </c>
      <c r="N832" s="25">
        <f t="shared" si="285"/>
        <v>3.4399999999999995</v>
      </c>
      <c r="O832" s="25" t="s">
        <v>545</v>
      </c>
    </row>
    <row r="833" spans="1:15" x14ac:dyDescent="0.25">
      <c r="A833" s="75">
        <v>46078</v>
      </c>
      <c r="B833" s="25" t="s">
        <v>414</v>
      </c>
      <c r="C833" s="25" t="s">
        <v>581</v>
      </c>
      <c r="D833" s="75">
        <f t="shared" si="278"/>
        <v>46101</v>
      </c>
      <c r="E833" s="75">
        <f t="shared" si="279"/>
        <v>46085</v>
      </c>
      <c r="F833" s="75">
        <f t="shared" si="280"/>
        <v>46092</v>
      </c>
      <c r="G833" s="75">
        <f t="shared" si="281"/>
        <v>46098</v>
      </c>
      <c r="H833" s="75">
        <f t="shared" si="282"/>
        <v>46086</v>
      </c>
      <c r="I833" s="75">
        <f t="shared" si="283"/>
        <v>46093</v>
      </c>
      <c r="J833" s="75">
        <v>46105</v>
      </c>
      <c r="K833" s="25">
        <f t="shared" si="284"/>
        <v>27</v>
      </c>
      <c r="L833" s="25">
        <v>14.19</v>
      </c>
      <c r="M833" s="25">
        <v>13.27</v>
      </c>
      <c r="N833" s="25">
        <f t="shared" si="285"/>
        <v>0.91999999999999993</v>
      </c>
      <c r="O833" s="25" t="s">
        <v>545</v>
      </c>
    </row>
    <row r="834" spans="1:15" x14ac:dyDescent="0.25">
      <c r="A834" s="75">
        <v>46078</v>
      </c>
      <c r="B834" s="25" t="s">
        <v>415</v>
      </c>
      <c r="C834" s="25" t="s">
        <v>582</v>
      </c>
      <c r="D834" s="75">
        <f t="shared" si="278"/>
        <v>46101</v>
      </c>
      <c r="E834" s="75">
        <f t="shared" si="279"/>
        <v>46085</v>
      </c>
      <c r="F834" s="75">
        <f t="shared" si="280"/>
        <v>46092</v>
      </c>
      <c r="G834" s="75">
        <f t="shared" si="281"/>
        <v>46098</v>
      </c>
      <c r="H834" s="75">
        <f t="shared" si="282"/>
        <v>46086</v>
      </c>
      <c r="I834" s="75">
        <f t="shared" si="283"/>
        <v>46093</v>
      </c>
      <c r="J834" s="75">
        <v>46105</v>
      </c>
      <c r="K834" s="25">
        <f t="shared" si="284"/>
        <v>27</v>
      </c>
      <c r="L834" s="25">
        <v>14.98</v>
      </c>
      <c r="M834" s="25">
        <v>13.11</v>
      </c>
      <c r="N834" s="25">
        <f t="shared" si="285"/>
        <v>1.870000000000001</v>
      </c>
      <c r="O834" s="25" t="s">
        <v>545</v>
      </c>
    </row>
    <row r="835" spans="1:15" x14ac:dyDescent="0.25">
      <c r="A835" s="75">
        <v>46078</v>
      </c>
      <c r="B835" s="25" t="s">
        <v>416</v>
      </c>
      <c r="C835" s="25" t="s">
        <v>583</v>
      </c>
      <c r="D835" s="75">
        <f t="shared" si="278"/>
        <v>46101</v>
      </c>
      <c r="E835" s="75">
        <f t="shared" si="279"/>
        <v>46085</v>
      </c>
      <c r="F835" s="75">
        <f t="shared" si="280"/>
        <v>46092</v>
      </c>
      <c r="G835" s="75">
        <f t="shared" si="281"/>
        <v>46098</v>
      </c>
      <c r="H835" s="75">
        <f t="shared" si="282"/>
        <v>46086</v>
      </c>
      <c r="I835" s="75">
        <f t="shared" si="283"/>
        <v>46093</v>
      </c>
      <c r="J835" s="75">
        <v>46105</v>
      </c>
      <c r="K835" s="25">
        <f t="shared" si="284"/>
        <v>27</v>
      </c>
      <c r="L835" s="25">
        <v>13.21</v>
      </c>
      <c r="M835" s="25">
        <v>11.31</v>
      </c>
      <c r="N835" s="25">
        <f t="shared" si="285"/>
        <v>1.9000000000000004</v>
      </c>
      <c r="O835" s="25" t="s">
        <v>545</v>
      </c>
    </row>
    <row r="836" spans="1:15" x14ac:dyDescent="0.25">
      <c r="A836" s="75">
        <v>46079</v>
      </c>
      <c r="B836" s="25" t="s">
        <v>454</v>
      </c>
      <c r="C836" s="25" t="s">
        <v>768</v>
      </c>
      <c r="D836" s="75">
        <f t="shared" si="278"/>
        <v>46102</v>
      </c>
      <c r="E836" s="75">
        <f t="shared" si="279"/>
        <v>46086</v>
      </c>
      <c r="F836" s="75">
        <f t="shared" si="280"/>
        <v>46093</v>
      </c>
      <c r="G836" s="75">
        <f t="shared" si="281"/>
        <v>46099</v>
      </c>
      <c r="H836" s="75">
        <f t="shared" si="282"/>
        <v>46087</v>
      </c>
      <c r="I836" s="75">
        <f t="shared" si="283"/>
        <v>46094</v>
      </c>
      <c r="J836" s="75">
        <v>46105</v>
      </c>
      <c r="K836" s="25">
        <f t="shared" si="284"/>
        <v>26</v>
      </c>
      <c r="L836" s="25">
        <v>9.73</v>
      </c>
      <c r="M836" s="25">
        <v>6.94</v>
      </c>
      <c r="N836" s="25">
        <f t="shared" si="285"/>
        <v>2.79</v>
      </c>
      <c r="O836" s="25" t="s">
        <v>545</v>
      </c>
    </row>
    <row r="837" spans="1:15" x14ac:dyDescent="0.25">
      <c r="A837" s="75">
        <v>46079</v>
      </c>
      <c r="B837" s="25" t="s">
        <v>455</v>
      </c>
      <c r="C837" s="25" t="s">
        <v>769</v>
      </c>
      <c r="D837" s="75">
        <f t="shared" si="278"/>
        <v>46102</v>
      </c>
      <c r="E837" s="75">
        <f t="shared" si="279"/>
        <v>46086</v>
      </c>
      <c r="F837" s="75">
        <f t="shared" si="280"/>
        <v>46093</v>
      </c>
      <c r="G837" s="75">
        <f t="shared" si="281"/>
        <v>46099</v>
      </c>
      <c r="H837" s="75">
        <f t="shared" si="282"/>
        <v>46087</v>
      </c>
      <c r="I837" s="75">
        <f t="shared" si="283"/>
        <v>46094</v>
      </c>
      <c r="J837" s="75">
        <v>46105</v>
      </c>
      <c r="K837" s="25">
        <f t="shared" si="284"/>
        <v>26</v>
      </c>
      <c r="L837" s="25">
        <v>9.8699999999999992</v>
      </c>
      <c r="M837" s="25">
        <v>5.43</v>
      </c>
      <c r="N837" s="25">
        <f t="shared" si="285"/>
        <v>4.4399999999999995</v>
      </c>
      <c r="O837" s="25" t="s">
        <v>545</v>
      </c>
    </row>
    <row r="838" spans="1:15" x14ac:dyDescent="0.25">
      <c r="A838" s="75">
        <v>46079</v>
      </c>
      <c r="B838" s="25" t="s">
        <v>456</v>
      </c>
      <c r="C838" s="25" t="s">
        <v>770</v>
      </c>
      <c r="D838" s="75">
        <f t="shared" si="278"/>
        <v>46102</v>
      </c>
      <c r="E838" s="75">
        <f t="shared" si="279"/>
        <v>46086</v>
      </c>
      <c r="F838" s="75">
        <f t="shared" si="280"/>
        <v>46093</v>
      </c>
      <c r="G838" s="75">
        <f t="shared" si="281"/>
        <v>46099</v>
      </c>
      <c r="H838" s="75">
        <f t="shared" si="282"/>
        <v>46087</v>
      </c>
      <c r="I838" s="75">
        <f t="shared" si="283"/>
        <v>46094</v>
      </c>
      <c r="J838" s="75">
        <v>46105</v>
      </c>
      <c r="K838" s="25">
        <f t="shared" si="284"/>
        <v>26</v>
      </c>
      <c r="L838" s="25">
        <v>10.210000000000001</v>
      </c>
      <c r="M838" s="25">
        <v>6.83</v>
      </c>
      <c r="N838" s="25">
        <f t="shared" si="285"/>
        <v>3.3800000000000008</v>
      </c>
      <c r="O838" s="25" t="s">
        <v>545</v>
      </c>
    </row>
    <row r="839" spans="1:15" x14ac:dyDescent="0.25">
      <c r="A839" s="75">
        <v>46079</v>
      </c>
      <c r="B839" s="25" t="s">
        <v>457</v>
      </c>
      <c r="C839" s="25" t="s">
        <v>771</v>
      </c>
      <c r="D839" s="75">
        <f t="shared" si="278"/>
        <v>46102</v>
      </c>
      <c r="E839" s="75">
        <f t="shared" si="279"/>
        <v>46086</v>
      </c>
      <c r="F839" s="75">
        <f t="shared" si="280"/>
        <v>46093</v>
      </c>
      <c r="G839" s="75">
        <f t="shared" si="281"/>
        <v>46099</v>
      </c>
      <c r="H839" s="75">
        <f t="shared" si="282"/>
        <v>46087</v>
      </c>
      <c r="I839" s="75">
        <f t="shared" si="283"/>
        <v>46094</v>
      </c>
      <c r="J839" s="75">
        <v>46105</v>
      </c>
      <c r="K839" s="25">
        <f t="shared" si="284"/>
        <v>26</v>
      </c>
      <c r="L839" s="25">
        <v>8.52</v>
      </c>
      <c r="M839" s="25">
        <v>7.43</v>
      </c>
      <c r="N839" s="25">
        <f t="shared" si="285"/>
        <v>1.0899999999999999</v>
      </c>
      <c r="O839" s="25" t="s">
        <v>545</v>
      </c>
    </row>
    <row r="840" spans="1:15" x14ac:dyDescent="0.25">
      <c r="A840" s="75">
        <v>46079</v>
      </c>
      <c r="B840" s="25" t="s">
        <v>458</v>
      </c>
      <c r="C840" s="25" t="s">
        <v>772</v>
      </c>
      <c r="D840" s="75">
        <f t="shared" si="278"/>
        <v>46102</v>
      </c>
      <c r="E840" s="75">
        <f t="shared" si="279"/>
        <v>46086</v>
      </c>
      <c r="F840" s="75">
        <f t="shared" si="280"/>
        <v>46093</v>
      </c>
      <c r="G840" s="75">
        <f t="shared" si="281"/>
        <v>46099</v>
      </c>
      <c r="H840" s="75">
        <f t="shared" si="282"/>
        <v>46087</v>
      </c>
      <c r="I840" s="75">
        <f t="shared" si="283"/>
        <v>46094</v>
      </c>
      <c r="J840" s="75">
        <v>46105</v>
      </c>
      <c r="K840" s="25">
        <f t="shared" si="284"/>
        <v>26</v>
      </c>
      <c r="L840" s="25">
        <v>10.78</v>
      </c>
      <c r="M840" s="25">
        <v>6.26</v>
      </c>
      <c r="N840" s="25">
        <f t="shared" si="285"/>
        <v>4.5199999999999996</v>
      </c>
      <c r="O840" s="25" t="s">
        <v>545</v>
      </c>
    </row>
    <row r="841" spans="1:15" x14ac:dyDescent="0.25">
      <c r="A841" s="75">
        <v>46079</v>
      </c>
      <c r="B841" s="25" t="s">
        <v>459</v>
      </c>
      <c r="C841" s="25" t="s">
        <v>773</v>
      </c>
      <c r="D841" s="75">
        <f t="shared" si="278"/>
        <v>46102</v>
      </c>
      <c r="E841" s="75">
        <f t="shared" si="279"/>
        <v>46086</v>
      </c>
      <c r="F841" s="75">
        <f t="shared" si="280"/>
        <v>46093</v>
      </c>
      <c r="G841" s="75">
        <f t="shared" si="281"/>
        <v>46099</v>
      </c>
      <c r="H841" s="75">
        <f t="shared" si="282"/>
        <v>46087</v>
      </c>
      <c r="I841" s="75">
        <f t="shared" si="283"/>
        <v>46094</v>
      </c>
      <c r="J841" s="75">
        <v>46105</v>
      </c>
      <c r="K841" s="25">
        <f t="shared" si="284"/>
        <v>26</v>
      </c>
      <c r="L841" s="25">
        <v>9.89</v>
      </c>
      <c r="M841" s="25">
        <v>6.18</v>
      </c>
      <c r="N841" s="25">
        <f t="shared" si="285"/>
        <v>3.7100000000000009</v>
      </c>
      <c r="O841" s="25" t="s">
        <v>545</v>
      </c>
    </row>
    <row r="842" spans="1:15" x14ac:dyDescent="0.25">
      <c r="A842" s="75">
        <v>46079</v>
      </c>
      <c r="B842" s="25" t="s">
        <v>460</v>
      </c>
      <c r="C842" s="25" t="s">
        <v>774</v>
      </c>
      <c r="D842" s="75">
        <f t="shared" si="278"/>
        <v>46102</v>
      </c>
      <c r="E842" s="75">
        <f t="shared" si="279"/>
        <v>46086</v>
      </c>
      <c r="F842" s="75">
        <f t="shared" si="280"/>
        <v>46093</v>
      </c>
      <c r="G842" s="75">
        <f t="shared" si="281"/>
        <v>46099</v>
      </c>
      <c r="H842" s="75">
        <f t="shared" si="282"/>
        <v>46087</v>
      </c>
      <c r="I842" s="75">
        <f t="shared" si="283"/>
        <v>46094</v>
      </c>
      <c r="J842" s="75">
        <v>46105</v>
      </c>
      <c r="K842" s="25">
        <f t="shared" si="284"/>
        <v>26</v>
      </c>
      <c r="L842" s="25">
        <v>9.4700000000000006</v>
      </c>
      <c r="M842" s="25">
        <v>6.14</v>
      </c>
      <c r="N842" s="25">
        <f t="shared" si="285"/>
        <v>3.330000000000001</v>
      </c>
      <c r="O842" s="25" t="s">
        <v>545</v>
      </c>
    </row>
    <row r="843" spans="1:15" x14ac:dyDescent="0.25">
      <c r="A843" s="75">
        <v>46080</v>
      </c>
      <c r="B843" s="25" t="s">
        <v>417</v>
      </c>
      <c r="C843" s="25" t="s">
        <v>775</v>
      </c>
      <c r="D843" s="75">
        <f t="shared" si="278"/>
        <v>46103</v>
      </c>
      <c r="E843" s="75">
        <f t="shared" si="279"/>
        <v>46087</v>
      </c>
      <c r="F843" s="75">
        <f t="shared" si="280"/>
        <v>46094</v>
      </c>
      <c r="G843" s="75">
        <f t="shared" si="281"/>
        <v>46100</v>
      </c>
      <c r="H843" s="75">
        <f t="shared" si="282"/>
        <v>46088</v>
      </c>
      <c r="I843" s="75">
        <f t="shared" si="283"/>
        <v>46095</v>
      </c>
      <c r="J843" s="75">
        <v>46105</v>
      </c>
      <c r="K843" s="25">
        <f t="shared" si="284"/>
        <v>25</v>
      </c>
      <c r="L843" s="25">
        <v>12.57</v>
      </c>
      <c r="M843" s="25">
        <v>10.75</v>
      </c>
      <c r="N843" s="25">
        <f t="shared" si="285"/>
        <v>1.8200000000000003</v>
      </c>
      <c r="O843" s="25" t="s">
        <v>545</v>
      </c>
    </row>
    <row r="844" spans="1:15" x14ac:dyDescent="0.25">
      <c r="A844" s="75">
        <v>46080</v>
      </c>
      <c r="B844" s="25" t="s">
        <v>418</v>
      </c>
      <c r="C844" s="25" t="s">
        <v>776</v>
      </c>
      <c r="D844" s="75">
        <f t="shared" si="278"/>
        <v>46103</v>
      </c>
      <c r="E844" s="75">
        <f t="shared" si="279"/>
        <v>46087</v>
      </c>
      <c r="F844" s="75">
        <f t="shared" si="280"/>
        <v>46094</v>
      </c>
      <c r="G844" s="75">
        <f t="shared" si="281"/>
        <v>46100</v>
      </c>
      <c r="H844" s="75">
        <f t="shared" si="282"/>
        <v>46088</v>
      </c>
      <c r="I844" s="75">
        <f t="shared" si="283"/>
        <v>46095</v>
      </c>
      <c r="J844" s="75">
        <v>46105</v>
      </c>
      <c r="K844" s="25">
        <f t="shared" si="284"/>
        <v>25</v>
      </c>
      <c r="L844" s="25">
        <v>11.99</v>
      </c>
      <c r="M844" s="25">
        <v>10.32</v>
      </c>
      <c r="N844" s="25">
        <f t="shared" si="285"/>
        <v>1.67</v>
      </c>
      <c r="O844" s="25" t="s">
        <v>545</v>
      </c>
    </row>
    <row r="845" spans="1:15" x14ac:dyDescent="0.25">
      <c r="A845" s="75">
        <v>46080</v>
      </c>
      <c r="B845" s="25" t="s">
        <v>419</v>
      </c>
      <c r="C845" s="25" t="s">
        <v>777</v>
      </c>
      <c r="D845" s="75">
        <f t="shared" si="278"/>
        <v>46103</v>
      </c>
      <c r="E845" s="75">
        <f t="shared" si="279"/>
        <v>46087</v>
      </c>
      <c r="F845" s="75">
        <f t="shared" si="280"/>
        <v>46094</v>
      </c>
      <c r="G845" s="75">
        <f t="shared" si="281"/>
        <v>46100</v>
      </c>
      <c r="H845" s="75">
        <f t="shared" si="282"/>
        <v>46088</v>
      </c>
      <c r="I845" s="75">
        <f t="shared" si="283"/>
        <v>46095</v>
      </c>
      <c r="J845" s="75">
        <v>46106</v>
      </c>
      <c r="K845" s="25">
        <f t="shared" si="284"/>
        <v>26</v>
      </c>
      <c r="L845" s="25">
        <v>7.31</v>
      </c>
      <c r="M845" s="25">
        <v>5.8</v>
      </c>
      <c r="N845" s="25">
        <f t="shared" si="285"/>
        <v>1.5099999999999998</v>
      </c>
      <c r="O845" s="25" t="s">
        <v>545</v>
      </c>
    </row>
    <row r="846" spans="1:15" x14ac:dyDescent="0.25">
      <c r="A846" s="75">
        <v>46080</v>
      </c>
      <c r="B846" s="25" t="s">
        <v>420</v>
      </c>
      <c r="C846" s="25" t="s">
        <v>778</v>
      </c>
      <c r="D846" s="75">
        <f t="shared" si="278"/>
        <v>46103</v>
      </c>
      <c r="E846" s="75">
        <f t="shared" si="279"/>
        <v>46087</v>
      </c>
      <c r="F846" s="75">
        <f t="shared" si="280"/>
        <v>46094</v>
      </c>
      <c r="G846" s="75">
        <f t="shared" si="281"/>
        <v>46100</v>
      </c>
      <c r="H846" s="75">
        <f t="shared" si="282"/>
        <v>46088</v>
      </c>
      <c r="I846" s="75">
        <f t="shared" si="283"/>
        <v>46095</v>
      </c>
      <c r="J846" s="75">
        <v>46106</v>
      </c>
      <c r="K846" s="25">
        <f t="shared" si="284"/>
        <v>26</v>
      </c>
      <c r="L846" s="25">
        <v>7.58</v>
      </c>
      <c r="M846" s="25">
        <v>5.9</v>
      </c>
      <c r="N846" s="25">
        <f t="shared" si="285"/>
        <v>1.6799999999999997</v>
      </c>
      <c r="O846" s="25" t="s">
        <v>545</v>
      </c>
    </row>
    <row r="847" spans="1:15" x14ac:dyDescent="0.25">
      <c r="A847" s="75">
        <v>46080</v>
      </c>
      <c r="B847" s="25" t="s">
        <v>421</v>
      </c>
      <c r="C847" s="25" t="s">
        <v>779</v>
      </c>
      <c r="D847" s="75">
        <f t="shared" si="278"/>
        <v>46103</v>
      </c>
      <c r="E847" s="75">
        <f t="shared" si="279"/>
        <v>46087</v>
      </c>
      <c r="F847" s="75">
        <f t="shared" si="280"/>
        <v>46094</v>
      </c>
      <c r="G847" s="75">
        <f t="shared" si="281"/>
        <v>46100</v>
      </c>
      <c r="H847" s="75">
        <f t="shared" si="282"/>
        <v>46088</v>
      </c>
      <c r="I847" s="75">
        <f t="shared" si="283"/>
        <v>46095</v>
      </c>
      <c r="J847" s="75">
        <v>46106</v>
      </c>
      <c r="K847" s="25">
        <f t="shared" si="284"/>
        <v>26</v>
      </c>
      <c r="L847" s="25">
        <v>6.71</v>
      </c>
      <c r="M847" s="25">
        <v>4.1900000000000004</v>
      </c>
      <c r="N847" s="25">
        <f t="shared" si="285"/>
        <v>2.5199999999999996</v>
      </c>
      <c r="O847" s="25" t="s">
        <v>545</v>
      </c>
    </row>
    <row r="848" spans="1:15" x14ac:dyDescent="0.25">
      <c r="A848" s="75">
        <v>46080</v>
      </c>
      <c r="B848" s="25" t="s">
        <v>422</v>
      </c>
      <c r="C848" s="25" t="s">
        <v>780</v>
      </c>
      <c r="D848" s="75">
        <f t="shared" si="278"/>
        <v>46103</v>
      </c>
      <c r="E848" s="75">
        <f t="shared" si="279"/>
        <v>46087</v>
      </c>
      <c r="F848" s="75">
        <f t="shared" si="280"/>
        <v>46094</v>
      </c>
      <c r="G848" s="75">
        <f t="shared" si="281"/>
        <v>46100</v>
      </c>
      <c r="H848" s="75">
        <f t="shared" si="282"/>
        <v>46088</v>
      </c>
      <c r="I848" s="75">
        <f t="shared" si="283"/>
        <v>46095</v>
      </c>
      <c r="J848" s="75">
        <v>46106</v>
      </c>
      <c r="K848" s="25">
        <f t="shared" si="284"/>
        <v>26</v>
      </c>
      <c r="L848" s="25">
        <v>8.6300000000000008</v>
      </c>
      <c r="M848" s="25">
        <v>6.28</v>
      </c>
      <c r="N848" s="25">
        <f t="shared" si="285"/>
        <v>2.3500000000000005</v>
      </c>
      <c r="O848" s="25" t="s">
        <v>545</v>
      </c>
    </row>
    <row r="849" spans="1:15" x14ac:dyDescent="0.25">
      <c r="A849" s="75">
        <v>46080</v>
      </c>
      <c r="B849" s="25" t="s">
        <v>423</v>
      </c>
      <c r="C849" s="25" t="s">
        <v>781</v>
      </c>
      <c r="D849" s="75">
        <f t="shared" si="278"/>
        <v>46103</v>
      </c>
      <c r="E849" s="75">
        <f t="shared" si="279"/>
        <v>46087</v>
      </c>
      <c r="F849" s="75">
        <f t="shared" si="280"/>
        <v>46094</v>
      </c>
      <c r="G849" s="75">
        <f t="shared" si="281"/>
        <v>46100</v>
      </c>
      <c r="H849" s="75">
        <f t="shared" si="282"/>
        <v>46088</v>
      </c>
      <c r="I849" s="75">
        <f t="shared" si="283"/>
        <v>46095</v>
      </c>
      <c r="J849" s="75">
        <v>46106</v>
      </c>
      <c r="K849" s="25">
        <f t="shared" si="284"/>
        <v>26</v>
      </c>
      <c r="L849" s="25">
        <v>8.77</v>
      </c>
      <c r="M849" s="25">
        <v>6.42</v>
      </c>
      <c r="N849" s="25">
        <f t="shared" si="285"/>
        <v>2.3499999999999996</v>
      </c>
      <c r="O849" s="25" t="s">
        <v>545</v>
      </c>
    </row>
    <row r="850" spans="1:15" x14ac:dyDescent="0.25">
      <c r="A850" s="75">
        <v>46081</v>
      </c>
      <c r="B850" s="25" t="s">
        <v>511</v>
      </c>
      <c r="C850" s="25" t="s">
        <v>782</v>
      </c>
      <c r="D850" s="75">
        <f t="shared" si="278"/>
        <v>46104</v>
      </c>
      <c r="E850" s="75">
        <f t="shared" si="279"/>
        <v>46088</v>
      </c>
      <c r="F850" s="75">
        <f t="shared" si="280"/>
        <v>46095</v>
      </c>
      <c r="G850" s="75">
        <f t="shared" si="281"/>
        <v>46101</v>
      </c>
      <c r="H850" s="75">
        <f t="shared" si="282"/>
        <v>46089</v>
      </c>
      <c r="I850" s="75">
        <f t="shared" si="283"/>
        <v>46096</v>
      </c>
      <c r="J850" s="75">
        <v>46106</v>
      </c>
      <c r="K850" s="25">
        <f t="shared" si="284"/>
        <v>25</v>
      </c>
      <c r="L850" s="25">
        <v>9.16</v>
      </c>
      <c r="M850" s="25">
        <v>7.19</v>
      </c>
      <c r="N850" s="25">
        <f t="shared" si="285"/>
        <v>1.9699999999999998</v>
      </c>
      <c r="O850" s="25" t="s">
        <v>545</v>
      </c>
    </row>
    <row r="851" spans="1:15" x14ac:dyDescent="0.25">
      <c r="A851" s="75">
        <v>46081</v>
      </c>
      <c r="B851" s="25" t="s">
        <v>512</v>
      </c>
      <c r="C851" s="25" t="s">
        <v>783</v>
      </c>
      <c r="D851" s="75">
        <f t="shared" ref="D851:D914" si="286">A851+23</f>
        <v>46104</v>
      </c>
      <c r="E851" s="75">
        <f t="shared" ref="E851:E914" si="287">A851+7</f>
        <v>46088</v>
      </c>
      <c r="F851" s="75">
        <f t="shared" ref="F851:F914" si="288">A851+14</f>
        <v>46095</v>
      </c>
      <c r="G851" s="75">
        <f t="shared" ref="G851:G914" si="289">A851+20</f>
        <v>46101</v>
      </c>
      <c r="H851" s="75">
        <f t="shared" ref="H851:H914" si="290">A851+8</f>
        <v>46089</v>
      </c>
      <c r="I851" s="75">
        <f t="shared" ref="I851:I914" si="291">A851+15</f>
        <v>46096</v>
      </c>
      <c r="J851" s="75">
        <v>46106</v>
      </c>
      <c r="K851" s="25">
        <f t="shared" ref="K851:K914" si="292">J851-A851</f>
        <v>25</v>
      </c>
      <c r="L851" s="25">
        <v>9.4499999999999993</v>
      </c>
      <c r="M851" s="25">
        <v>7.52</v>
      </c>
      <c r="N851" s="25">
        <f t="shared" ref="N851:N914" si="293">L851-M851</f>
        <v>1.9299999999999997</v>
      </c>
      <c r="O851" s="25" t="s">
        <v>545</v>
      </c>
    </row>
    <row r="852" spans="1:15" x14ac:dyDescent="0.25">
      <c r="A852" s="75">
        <v>46081</v>
      </c>
      <c r="B852" s="25" t="s">
        <v>513</v>
      </c>
      <c r="C852" s="25" t="s">
        <v>784</v>
      </c>
      <c r="D852" s="75">
        <f t="shared" si="286"/>
        <v>46104</v>
      </c>
      <c r="E852" s="75">
        <f t="shared" si="287"/>
        <v>46088</v>
      </c>
      <c r="F852" s="75">
        <f t="shared" si="288"/>
        <v>46095</v>
      </c>
      <c r="G852" s="75">
        <f t="shared" si="289"/>
        <v>46101</v>
      </c>
      <c r="H852" s="75">
        <f t="shared" si="290"/>
        <v>46089</v>
      </c>
      <c r="I852" s="75">
        <f t="shared" si="291"/>
        <v>46096</v>
      </c>
      <c r="J852" s="75">
        <v>46106</v>
      </c>
      <c r="K852" s="25">
        <f t="shared" si="292"/>
        <v>25</v>
      </c>
      <c r="L852" s="25">
        <v>10.210000000000001</v>
      </c>
      <c r="M852" s="25">
        <v>8.19</v>
      </c>
      <c r="N852" s="25">
        <f t="shared" si="293"/>
        <v>2.0200000000000014</v>
      </c>
      <c r="O852" s="25" t="s">
        <v>545</v>
      </c>
    </row>
    <row r="853" spans="1:15" x14ac:dyDescent="0.25">
      <c r="A853" s="75">
        <v>46081</v>
      </c>
      <c r="B853" s="25" t="s">
        <v>514</v>
      </c>
      <c r="C853" s="25" t="s">
        <v>785</v>
      </c>
      <c r="D853" s="75">
        <f t="shared" si="286"/>
        <v>46104</v>
      </c>
      <c r="E853" s="75">
        <f t="shared" si="287"/>
        <v>46088</v>
      </c>
      <c r="F853" s="75">
        <f t="shared" si="288"/>
        <v>46095</v>
      </c>
      <c r="G853" s="75">
        <f t="shared" si="289"/>
        <v>46101</v>
      </c>
      <c r="H853" s="75">
        <f t="shared" si="290"/>
        <v>46089</v>
      </c>
      <c r="I853" s="75">
        <f t="shared" si="291"/>
        <v>46096</v>
      </c>
      <c r="J853" s="75">
        <v>46106</v>
      </c>
      <c r="K853" s="25">
        <f t="shared" si="292"/>
        <v>25</v>
      </c>
      <c r="L853" s="25">
        <v>9.58</v>
      </c>
      <c r="M853" s="25">
        <v>7.23</v>
      </c>
      <c r="N853" s="25">
        <f t="shared" si="293"/>
        <v>2.3499999999999996</v>
      </c>
      <c r="O853" s="25" t="s">
        <v>545</v>
      </c>
    </row>
    <row r="854" spans="1:15" x14ac:dyDescent="0.25">
      <c r="A854" s="75">
        <v>46081</v>
      </c>
      <c r="B854" s="25" t="s">
        <v>515</v>
      </c>
      <c r="C854" s="25" t="s">
        <v>786</v>
      </c>
      <c r="D854" s="75">
        <f t="shared" si="286"/>
        <v>46104</v>
      </c>
      <c r="E854" s="75">
        <f t="shared" si="287"/>
        <v>46088</v>
      </c>
      <c r="F854" s="75">
        <f t="shared" si="288"/>
        <v>46095</v>
      </c>
      <c r="G854" s="75">
        <f t="shared" si="289"/>
        <v>46101</v>
      </c>
      <c r="H854" s="75">
        <f t="shared" si="290"/>
        <v>46089</v>
      </c>
      <c r="I854" s="75">
        <f t="shared" si="291"/>
        <v>46096</v>
      </c>
      <c r="J854" s="75">
        <v>46106</v>
      </c>
      <c r="K854" s="25">
        <f t="shared" si="292"/>
        <v>25</v>
      </c>
      <c r="L854" s="25">
        <v>8.64</v>
      </c>
      <c r="M854" s="25">
        <v>6.49</v>
      </c>
      <c r="N854" s="25">
        <f t="shared" si="293"/>
        <v>2.1500000000000004</v>
      </c>
      <c r="O854" s="25" t="s">
        <v>545</v>
      </c>
    </row>
    <row r="855" spans="1:15" x14ac:dyDescent="0.25">
      <c r="A855" s="75">
        <v>46081</v>
      </c>
      <c r="B855" s="25" t="s">
        <v>516</v>
      </c>
      <c r="C855" s="25" t="s">
        <v>787</v>
      </c>
      <c r="D855" s="75">
        <f t="shared" si="286"/>
        <v>46104</v>
      </c>
      <c r="E855" s="75">
        <f t="shared" si="287"/>
        <v>46088</v>
      </c>
      <c r="F855" s="75">
        <f t="shared" si="288"/>
        <v>46095</v>
      </c>
      <c r="G855" s="75">
        <f t="shared" si="289"/>
        <v>46101</v>
      </c>
      <c r="H855" s="75">
        <f t="shared" si="290"/>
        <v>46089</v>
      </c>
      <c r="I855" s="75">
        <f t="shared" si="291"/>
        <v>46096</v>
      </c>
      <c r="J855" s="75">
        <v>46112</v>
      </c>
      <c r="K855" s="25">
        <f t="shared" si="292"/>
        <v>31</v>
      </c>
      <c r="L855" s="25">
        <v>9.41</v>
      </c>
      <c r="M855" s="25">
        <v>7.25</v>
      </c>
      <c r="N855" s="25">
        <f t="shared" si="293"/>
        <v>2.16</v>
      </c>
      <c r="O855" s="25" t="s">
        <v>545</v>
      </c>
    </row>
    <row r="856" spans="1:15" x14ac:dyDescent="0.25">
      <c r="A856" s="75">
        <v>46081</v>
      </c>
      <c r="B856" s="25" t="s">
        <v>517</v>
      </c>
      <c r="C856" s="25" t="s">
        <v>788</v>
      </c>
      <c r="D856" s="75">
        <f t="shared" si="286"/>
        <v>46104</v>
      </c>
      <c r="E856" s="75">
        <f t="shared" si="287"/>
        <v>46088</v>
      </c>
      <c r="F856" s="75">
        <f t="shared" si="288"/>
        <v>46095</v>
      </c>
      <c r="G856" s="75">
        <f t="shared" si="289"/>
        <v>46101</v>
      </c>
      <c r="H856" s="75">
        <f t="shared" si="290"/>
        <v>46089</v>
      </c>
      <c r="I856" s="75">
        <f t="shared" si="291"/>
        <v>46096</v>
      </c>
      <c r="J856" s="75">
        <v>46112</v>
      </c>
      <c r="K856" s="25">
        <f t="shared" si="292"/>
        <v>31</v>
      </c>
      <c r="L856" s="25">
        <v>8.36</v>
      </c>
      <c r="M856" s="25">
        <v>6.94</v>
      </c>
      <c r="N856" s="25">
        <f t="shared" si="293"/>
        <v>1.419999999999999</v>
      </c>
      <c r="O856" s="25" t="s">
        <v>545</v>
      </c>
    </row>
    <row r="857" spans="1:15" x14ac:dyDescent="0.25">
      <c r="A857" s="75">
        <v>46082</v>
      </c>
      <c r="B857" s="25" t="s">
        <v>518</v>
      </c>
      <c r="C857" s="25" t="s">
        <v>789</v>
      </c>
      <c r="D857" s="75">
        <f t="shared" si="286"/>
        <v>46105</v>
      </c>
      <c r="E857" s="75">
        <f t="shared" si="287"/>
        <v>46089</v>
      </c>
      <c r="F857" s="75">
        <f t="shared" si="288"/>
        <v>46096</v>
      </c>
      <c r="G857" s="75">
        <f t="shared" si="289"/>
        <v>46102</v>
      </c>
      <c r="H857" s="75">
        <f t="shared" si="290"/>
        <v>46090</v>
      </c>
      <c r="I857" s="75">
        <f t="shared" si="291"/>
        <v>46097</v>
      </c>
      <c r="J857" s="75">
        <v>46112</v>
      </c>
      <c r="K857" s="25">
        <f t="shared" si="292"/>
        <v>30</v>
      </c>
      <c r="L857" s="25">
        <v>10.57</v>
      </c>
      <c r="M857" s="25">
        <v>8.1199999999999992</v>
      </c>
      <c r="N857" s="25">
        <f t="shared" si="293"/>
        <v>2.4500000000000011</v>
      </c>
      <c r="O857" s="25" t="s">
        <v>545</v>
      </c>
    </row>
    <row r="858" spans="1:15" x14ac:dyDescent="0.25">
      <c r="A858" s="75">
        <v>46082</v>
      </c>
      <c r="B858" s="25" t="s">
        <v>519</v>
      </c>
      <c r="C858" s="25" t="s">
        <v>790</v>
      </c>
      <c r="D858" s="75">
        <f t="shared" si="286"/>
        <v>46105</v>
      </c>
      <c r="E858" s="75">
        <f t="shared" si="287"/>
        <v>46089</v>
      </c>
      <c r="F858" s="75">
        <f t="shared" si="288"/>
        <v>46096</v>
      </c>
      <c r="G858" s="75">
        <f t="shared" si="289"/>
        <v>46102</v>
      </c>
      <c r="H858" s="75">
        <f t="shared" si="290"/>
        <v>46090</v>
      </c>
      <c r="I858" s="75">
        <f t="shared" si="291"/>
        <v>46097</v>
      </c>
      <c r="J858" s="75">
        <v>46112</v>
      </c>
      <c r="K858" s="25">
        <f t="shared" si="292"/>
        <v>30</v>
      </c>
      <c r="L858" s="25">
        <v>10.63</v>
      </c>
      <c r="M858" s="25">
        <v>8.17</v>
      </c>
      <c r="N858" s="25">
        <f t="shared" si="293"/>
        <v>2.4600000000000009</v>
      </c>
      <c r="O858" s="25" t="s">
        <v>545</v>
      </c>
    </row>
    <row r="859" spans="1:15" x14ac:dyDescent="0.25">
      <c r="A859" s="75">
        <v>46082</v>
      </c>
      <c r="B859" s="25" t="s">
        <v>520</v>
      </c>
      <c r="C859" s="25" t="s">
        <v>791</v>
      </c>
      <c r="D859" s="75">
        <f t="shared" si="286"/>
        <v>46105</v>
      </c>
      <c r="E859" s="75">
        <f t="shared" si="287"/>
        <v>46089</v>
      </c>
      <c r="F859" s="75">
        <f t="shared" si="288"/>
        <v>46096</v>
      </c>
      <c r="G859" s="75">
        <f t="shared" si="289"/>
        <v>46102</v>
      </c>
      <c r="H859" s="75">
        <f t="shared" si="290"/>
        <v>46090</v>
      </c>
      <c r="I859" s="75">
        <f t="shared" si="291"/>
        <v>46097</v>
      </c>
      <c r="J859" s="75">
        <v>46112</v>
      </c>
      <c r="K859" s="25">
        <f t="shared" si="292"/>
        <v>30</v>
      </c>
      <c r="L859" s="25">
        <v>8.4499999999999993</v>
      </c>
      <c r="M859" s="25">
        <v>6.54</v>
      </c>
      <c r="N859" s="25">
        <f t="shared" si="293"/>
        <v>1.9099999999999993</v>
      </c>
      <c r="O859" s="25" t="s">
        <v>545</v>
      </c>
    </row>
    <row r="860" spans="1:15" x14ac:dyDescent="0.25">
      <c r="A860" s="75">
        <v>46082</v>
      </c>
      <c r="B860" s="25" t="s">
        <v>521</v>
      </c>
      <c r="C860" s="25" t="s">
        <v>792</v>
      </c>
      <c r="D860" s="75">
        <f t="shared" si="286"/>
        <v>46105</v>
      </c>
      <c r="E860" s="75">
        <f t="shared" si="287"/>
        <v>46089</v>
      </c>
      <c r="F860" s="75">
        <f t="shared" si="288"/>
        <v>46096</v>
      </c>
      <c r="G860" s="75">
        <f t="shared" si="289"/>
        <v>46102</v>
      </c>
      <c r="H860" s="75">
        <f t="shared" si="290"/>
        <v>46090</v>
      </c>
      <c r="I860" s="75">
        <f t="shared" si="291"/>
        <v>46097</v>
      </c>
      <c r="J860" s="75">
        <v>46113</v>
      </c>
      <c r="K860" s="25">
        <f t="shared" si="292"/>
        <v>31</v>
      </c>
      <c r="L860" s="25">
        <v>10.35</v>
      </c>
      <c r="M860" s="25">
        <v>8.11</v>
      </c>
      <c r="N860" s="25">
        <f t="shared" si="293"/>
        <v>2.2400000000000002</v>
      </c>
      <c r="O860" s="25" t="s">
        <v>545</v>
      </c>
    </row>
    <row r="861" spans="1:15" x14ac:dyDescent="0.25">
      <c r="A861" s="75">
        <v>46082</v>
      </c>
      <c r="B861" s="25" t="s">
        <v>522</v>
      </c>
      <c r="C861" s="25" t="s">
        <v>567</v>
      </c>
      <c r="D861" s="75">
        <f t="shared" si="286"/>
        <v>46105</v>
      </c>
      <c r="E861" s="75">
        <f t="shared" si="287"/>
        <v>46089</v>
      </c>
      <c r="F861" s="75">
        <f t="shared" si="288"/>
        <v>46096</v>
      </c>
      <c r="G861" s="75">
        <f t="shared" si="289"/>
        <v>46102</v>
      </c>
      <c r="H861" s="75">
        <f t="shared" si="290"/>
        <v>46090</v>
      </c>
      <c r="I861" s="75">
        <f t="shared" si="291"/>
        <v>46097</v>
      </c>
      <c r="J861" s="75">
        <v>46113</v>
      </c>
      <c r="K861" s="25">
        <f t="shared" si="292"/>
        <v>31</v>
      </c>
      <c r="L861" s="25">
        <v>10.59</v>
      </c>
      <c r="M861" s="25">
        <v>8.2799999999999994</v>
      </c>
      <c r="N861" s="25">
        <f t="shared" si="293"/>
        <v>2.3100000000000005</v>
      </c>
      <c r="O861" s="25" t="s">
        <v>545</v>
      </c>
    </row>
    <row r="862" spans="1:15" x14ac:dyDescent="0.25">
      <c r="A862" s="75">
        <v>46082</v>
      </c>
      <c r="B862" s="25" t="s">
        <v>523</v>
      </c>
      <c r="C862" s="25" t="s">
        <v>568</v>
      </c>
      <c r="D862" s="75">
        <f t="shared" si="286"/>
        <v>46105</v>
      </c>
      <c r="E862" s="75">
        <f t="shared" si="287"/>
        <v>46089</v>
      </c>
      <c r="F862" s="75">
        <f t="shared" si="288"/>
        <v>46096</v>
      </c>
      <c r="G862" s="75">
        <f t="shared" si="289"/>
        <v>46102</v>
      </c>
      <c r="H862" s="75">
        <f t="shared" si="290"/>
        <v>46090</v>
      </c>
      <c r="I862" s="75">
        <f t="shared" si="291"/>
        <v>46097</v>
      </c>
      <c r="J862" s="75">
        <v>46113</v>
      </c>
      <c r="K862" s="25">
        <f t="shared" si="292"/>
        <v>31</v>
      </c>
      <c r="L862" s="25">
        <v>9.41</v>
      </c>
      <c r="M862" s="25">
        <v>7.36</v>
      </c>
      <c r="N862" s="25">
        <f t="shared" si="293"/>
        <v>2.0499999999999998</v>
      </c>
      <c r="O862" s="25" t="s">
        <v>545</v>
      </c>
    </row>
    <row r="863" spans="1:15" x14ac:dyDescent="0.25">
      <c r="A863" s="75">
        <v>46082</v>
      </c>
      <c r="B863" s="25" t="s">
        <v>524</v>
      </c>
      <c r="C863" s="25" t="s">
        <v>569</v>
      </c>
      <c r="D863" s="75">
        <f t="shared" si="286"/>
        <v>46105</v>
      </c>
      <c r="E863" s="75">
        <f t="shared" si="287"/>
        <v>46089</v>
      </c>
      <c r="F863" s="75">
        <f t="shared" si="288"/>
        <v>46096</v>
      </c>
      <c r="G863" s="75">
        <f t="shared" si="289"/>
        <v>46102</v>
      </c>
      <c r="H863" s="75">
        <f t="shared" si="290"/>
        <v>46090</v>
      </c>
      <c r="I863" s="75">
        <f t="shared" si="291"/>
        <v>46097</v>
      </c>
      <c r="J863" s="75">
        <v>46113</v>
      </c>
      <c r="K863" s="25">
        <f t="shared" si="292"/>
        <v>31</v>
      </c>
      <c r="L863" s="25">
        <v>9.26</v>
      </c>
      <c r="M863" s="25">
        <v>7.12</v>
      </c>
      <c r="N863" s="25">
        <f t="shared" si="293"/>
        <v>2.1399999999999997</v>
      </c>
      <c r="O863" s="25" t="s">
        <v>545</v>
      </c>
    </row>
    <row r="864" spans="1:15" x14ac:dyDescent="0.25">
      <c r="A864" s="75">
        <v>46083</v>
      </c>
      <c r="B864" s="25" t="s">
        <v>525</v>
      </c>
      <c r="C864" s="25" t="s">
        <v>570</v>
      </c>
      <c r="D864" s="75">
        <f t="shared" si="286"/>
        <v>46106</v>
      </c>
      <c r="E864" s="75">
        <f t="shared" si="287"/>
        <v>46090</v>
      </c>
      <c r="F864" s="75">
        <f t="shared" si="288"/>
        <v>46097</v>
      </c>
      <c r="G864" s="75">
        <f t="shared" si="289"/>
        <v>46103</v>
      </c>
      <c r="H864" s="75">
        <f t="shared" si="290"/>
        <v>46091</v>
      </c>
      <c r="I864" s="75">
        <f t="shared" si="291"/>
        <v>46098</v>
      </c>
      <c r="J864" s="75">
        <v>46113</v>
      </c>
      <c r="K864" s="25">
        <f t="shared" si="292"/>
        <v>30</v>
      </c>
      <c r="L864" s="25">
        <v>10.19</v>
      </c>
      <c r="M864" s="25">
        <v>8.1</v>
      </c>
      <c r="N864" s="25">
        <f t="shared" si="293"/>
        <v>2.09</v>
      </c>
      <c r="O864" s="25" t="s">
        <v>545</v>
      </c>
    </row>
    <row r="865" spans="1:15" x14ac:dyDescent="0.25">
      <c r="A865" s="75">
        <v>46083</v>
      </c>
      <c r="B865" s="25" t="s">
        <v>526</v>
      </c>
      <c r="C865" s="25" t="s">
        <v>571</v>
      </c>
      <c r="D865" s="75">
        <f t="shared" si="286"/>
        <v>46106</v>
      </c>
      <c r="E865" s="75">
        <f t="shared" si="287"/>
        <v>46090</v>
      </c>
      <c r="F865" s="75">
        <f t="shared" si="288"/>
        <v>46097</v>
      </c>
      <c r="G865" s="75">
        <f t="shared" si="289"/>
        <v>46103</v>
      </c>
      <c r="H865" s="75">
        <f t="shared" si="290"/>
        <v>46091</v>
      </c>
      <c r="I865" s="75">
        <f t="shared" si="291"/>
        <v>46098</v>
      </c>
      <c r="J865" s="75">
        <v>46113</v>
      </c>
      <c r="K865" s="25">
        <f t="shared" si="292"/>
        <v>30</v>
      </c>
      <c r="L865" s="25">
        <v>9.7200000000000006</v>
      </c>
      <c r="M865" s="25">
        <v>7.56</v>
      </c>
      <c r="N865" s="25">
        <f t="shared" si="293"/>
        <v>2.160000000000001</v>
      </c>
      <c r="O865" s="25" t="s">
        <v>545</v>
      </c>
    </row>
    <row r="866" spans="1:15" x14ac:dyDescent="0.25">
      <c r="A866" s="75">
        <v>46083</v>
      </c>
      <c r="B866" s="25" t="s">
        <v>527</v>
      </c>
      <c r="C866" s="25" t="s">
        <v>572</v>
      </c>
      <c r="D866" s="75">
        <f t="shared" si="286"/>
        <v>46106</v>
      </c>
      <c r="E866" s="75">
        <f t="shared" si="287"/>
        <v>46090</v>
      </c>
      <c r="F866" s="75">
        <f t="shared" si="288"/>
        <v>46097</v>
      </c>
      <c r="G866" s="75">
        <f t="shared" si="289"/>
        <v>46103</v>
      </c>
      <c r="H866" s="75">
        <f t="shared" si="290"/>
        <v>46091</v>
      </c>
      <c r="I866" s="75">
        <f t="shared" si="291"/>
        <v>46098</v>
      </c>
      <c r="J866" s="75">
        <v>46113</v>
      </c>
      <c r="K866" s="25">
        <f t="shared" si="292"/>
        <v>30</v>
      </c>
      <c r="L866" s="25">
        <v>10.54</v>
      </c>
      <c r="M866" s="25">
        <v>8.2100000000000009</v>
      </c>
      <c r="N866" s="25">
        <f t="shared" si="293"/>
        <v>2.3299999999999983</v>
      </c>
      <c r="O866" s="25" t="s">
        <v>545</v>
      </c>
    </row>
    <row r="867" spans="1:15" x14ac:dyDescent="0.25">
      <c r="A867" s="75">
        <v>46083</v>
      </c>
      <c r="B867" s="25" t="s">
        <v>528</v>
      </c>
      <c r="C867" s="25" t="s">
        <v>573</v>
      </c>
      <c r="D867" s="75">
        <f t="shared" si="286"/>
        <v>46106</v>
      </c>
      <c r="E867" s="75">
        <f t="shared" si="287"/>
        <v>46090</v>
      </c>
      <c r="F867" s="75">
        <f t="shared" si="288"/>
        <v>46097</v>
      </c>
      <c r="G867" s="75">
        <f t="shared" si="289"/>
        <v>46103</v>
      </c>
      <c r="H867" s="75">
        <f t="shared" si="290"/>
        <v>46091</v>
      </c>
      <c r="I867" s="75">
        <f t="shared" si="291"/>
        <v>46098</v>
      </c>
      <c r="J867" s="75">
        <v>46113</v>
      </c>
      <c r="K867" s="25">
        <f t="shared" si="292"/>
        <v>30</v>
      </c>
      <c r="L867" s="25">
        <v>9.15</v>
      </c>
      <c r="M867" s="25">
        <v>7.54</v>
      </c>
      <c r="N867" s="25">
        <f t="shared" si="293"/>
        <v>1.6100000000000003</v>
      </c>
      <c r="O867" s="25" t="s">
        <v>545</v>
      </c>
    </row>
    <row r="868" spans="1:15" x14ac:dyDescent="0.25">
      <c r="A868" s="75">
        <v>46083</v>
      </c>
      <c r="B868" s="25" t="s">
        <v>529</v>
      </c>
      <c r="C868" s="25" t="s">
        <v>574</v>
      </c>
      <c r="D868" s="75">
        <f t="shared" si="286"/>
        <v>46106</v>
      </c>
      <c r="E868" s="75">
        <f t="shared" si="287"/>
        <v>46090</v>
      </c>
      <c r="F868" s="75">
        <f t="shared" si="288"/>
        <v>46097</v>
      </c>
      <c r="G868" s="75">
        <f t="shared" si="289"/>
        <v>46103</v>
      </c>
      <c r="H868" s="75">
        <f t="shared" si="290"/>
        <v>46091</v>
      </c>
      <c r="I868" s="75">
        <f t="shared" si="291"/>
        <v>46098</v>
      </c>
      <c r="J868" s="75">
        <v>46113</v>
      </c>
      <c r="K868" s="25">
        <f t="shared" si="292"/>
        <v>30</v>
      </c>
      <c r="L868" s="25">
        <v>9.07</v>
      </c>
      <c r="M868" s="25">
        <v>7.35</v>
      </c>
      <c r="N868" s="25">
        <f t="shared" si="293"/>
        <v>1.7200000000000006</v>
      </c>
      <c r="O868" s="25" t="s">
        <v>545</v>
      </c>
    </row>
    <row r="869" spans="1:15" x14ac:dyDescent="0.25">
      <c r="A869" s="75">
        <v>46083</v>
      </c>
      <c r="B869" s="25" t="s">
        <v>530</v>
      </c>
      <c r="C869" s="25" t="s">
        <v>575</v>
      </c>
      <c r="D869" s="75">
        <f t="shared" si="286"/>
        <v>46106</v>
      </c>
      <c r="E869" s="75">
        <f t="shared" si="287"/>
        <v>46090</v>
      </c>
      <c r="F869" s="75">
        <f t="shared" si="288"/>
        <v>46097</v>
      </c>
      <c r="G869" s="75">
        <f t="shared" si="289"/>
        <v>46103</v>
      </c>
      <c r="H869" s="75">
        <f t="shared" si="290"/>
        <v>46091</v>
      </c>
      <c r="I869" s="75">
        <f t="shared" si="291"/>
        <v>46098</v>
      </c>
      <c r="J869" s="75">
        <v>46113</v>
      </c>
      <c r="K869" s="25">
        <f t="shared" si="292"/>
        <v>30</v>
      </c>
      <c r="L869" s="25">
        <v>8.3699999999999992</v>
      </c>
      <c r="M869" s="25">
        <v>6.21</v>
      </c>
      <c r="N869" s="25">
        <f t="shared" si="293"/>
        <v>2.1599999999999993</v>
      </c>
      <c r="O869" s="25" t="s">
        <v>545</v>
      </c>
    </row>
    <row r="870" spans="1:15" x14ac:dyDescent="0.25">
      <c r="A870" s="75">
        <v>46083</v>
      </c>
      <c r="B870" s="25" t="s">
        <v>558</v>
      </c>
      <c r="C870" s="25" t="s">
        <v>576</v>
      </c>
      <c r="D870" s="75">
        <f t="shared" si="286"/>
        <v>46106</v>
      </c>
      <c r="E870" s="75">
        <f t="shared" si="287"/>
        <v>46090</v>
      </c>
      <c r="F870" s="75">
        <f t="shared" si="288"/>
        <v>46097</v>
      </c>
      <c r="G870" s="75">
        <f t="shared" si="289"/>
        <v>46103</v>
      </c>
      <c r="H870" s="75">
        <f t="shared" si="290"/>
        <v>46091</v>
      </c>
      <c r="I870" s="75">
        <f t="shared" si="291"/>
        <v>46098</v>
      </c>
      <c r="J870" s="75">
        <v>46113</v>
      </c>
      <c r="K870" s="25">
        <f t="shared" si="292"/>
        <v>30</v>
      </c>
      <c r="L870" s="25">
        <v>8.65</v>
      </c>
      <c r="M870" s="25">
        <v>6.55</v>
      </c>
      <c r="N870" s="25">
        <f t="shared" si="293"/>
        <v>2.1000000000000005</v>
      </c>
      <c r="O870" s="25" t="s">
        <v>545</v>
      </c>
    </row>
    <row r="871" spans="1:15" x14ac:dyDescent="0.25">
      <c r="A871" s="75">
        <v>46084</v>
      </c>
      <c r="B871" s="25" t="s">
        <v>373</v>
      </c>
      <c r="C871" s="25" t="s">
        <v>584</v>
      </c>
      <c r="D871" s="75">
        <f t="shared" si="286"/>
        <v>46107</v>
      </c>
      <c r="E871" s="75">
        <f t="shared" si="287"/>
        <v>46091</v>
      </c>
      <c r="F871" s="75">
        <f t="shared" si="288"/>
        <v>46098</v>
      </c>
      <c r="G871" s="75">
        <f t="shared" si="289"/>
        <v>46104</v>
      </c>
      <c r="H871" s="75">
        <f t="shared" si="290"/>
        <v>46092</v>
      </c>
      <c r="I871" s="75">
        <f t="shared" si="291"/>
        <v>46099</v>
      </c>
      <c r="J871" s="75">
        <v>46114</v>
      </c>
      <c r="K871" s="25">
        <f t="shared" si="292"/>
        <v>30</v>
      </c>
      <c r="L871" s="25">
        <v>12.73</v>
      </c>
      <c r="M871" s="25">
        <v>10.210000000000001</v>
      </c>
      <c r="N871" s="25">
        <f t="shared" si="293"/>
        <v>2.5199999999999996</v>
      </c>
      <c r="O871" s="25" t="s">
        <v>545</v>
      </c>
    </row>
    <row r="872" spans="1:15" x14ac:dyDescent="0.25">
      <c r="A872" s="75">
        <v>46084</v>
      </c>
      <c r="B872" s="25" t="s">
        <v>374</v>
      </c>
      <c r="C872" s="25" t="s">
        <v>585</v>
      </c>
      <c r="D872" s="75">
        <f t="shared" si="286"/>
        <v>46107</v>
      </c>
      <c r="E872" s="75">
        <f t="shared" si="287"/>
        <v>46091</v>
      </c>
      <c r="F872" s="75">
        <f t="shared" si="288"/>
        <v>46098</v>
      </c>
      <c r="G872" s="75">
        <f t="shared" si="289"/>
        <v>46104</v>
      </c>
      <c r="H872" s="75">
        <f t="shared" si="290"/>
        <v>46092</v>
      </c>
      <c r="I872" s="75">
        <f t="shared" si="291"/>
        <v>46099</v>
      </c>
      <c r="J872" s="75">
        <v>46114</v>
      </c>
      <c r="K872" s="25">
        <f t="shared" si="292"/>
        <v>30</v>
      </c>
      <c r="L872" s="25">
        <v>12.86</v>
      </c>
      <c r="M872" s="25">
        <v>10.67</v>
      </c>
      <c r="N872" s="25">
        <f t="shared" si="293"/>
        <v>2.1899999999999995</v>
      </c>
      <c r="O872" s="25" t="s">
        <v>545</v>
      </c>
    </row>
    <row r="873" spans="1:15" x14ac:dyDescent="0.25">
      <c r="A873" s="75">
        <v>46084</v>
      </c>
      <c r="B873" s="25" t="s">
        <v>375</v>
      </c>
      <c r="C873" s="25" t="s">
        <v>586</v>
      </c>
      <c r="D873" s="75">
        <f t="shared" si="286"/>
        <v>46107</v>
      </c>
      <c r="E873" s="75">
        <f t="shared" si="287"/>
        <v>46091</v>
      </c>
      <c r="F873" s="75">
        <f t="shared" si="288"/>
        <v>46098</v>
      </c>
      <c r="G873" s="75">
        <f t="shared" si="289"/>
        <v>46104</v>
      </c>
      <c r="H873" s="75">
        <f t="shared" si="290"/>
        <v>46092</v>
      </c>
      <c r="I873" s="75">
        <f t="shared" si="291"/>
        <v>46099</v>
      </c>
      <c r="J873" s="75">
        <v>46114</v>
      </c>
      <c r="K873" s="25">
        <f t="shared" si="292"/>
        <v>30</v>
      </c>
      <c r="L873" s="25">
        <v>14.25</v>
      </c>
      <c r="M873" s="25">
        <v>12.32</v>
      </c>
      <c r="N873" s="25">
        <f t="shared" si="293"/>
        <v>1.9299999999999997</v>
      </c>
      <c r="O873" s="25" t="s">
        <v>545</v>
      </c>
    </row>
    <row r="874" spans="1:15" x14ac:dyDescent="0.25">
      <c r="A874" s="75">
        <v>46084</v>
      </c>
      <c r="B874" s="25" t="s">
        <v>376</v>
      </c>
      <c r="C874" s="25" t="s">
        <v>587</v>
      </c>
      <c r="D874" s="75">
        <f t="shared" si="286"/>
        <v>46107</v>
      </c>
      <c r="E874" s="75">
        <f t="shared" si="287"/>
        <v>46091</v>
      </c>
      <c r="F874" s="75">
        <f t="shared" si="288"/>
        <v>46098</v>
      </c>
      <c r="G874" s="75">
        <f t="shared" si="289"/>
        <v>46104</v>
      </c>
      <c r="H874" s="75">
        <f t="shared" si="290"/>
        <v>46092</v>
      </c>
      <c r="I874" s="75">
        <f t="shared" si="291"/>
        <v>46099</v>
      </c>
      <c r="J874" s="75">
        <v>46114</v>
      </c>
      <c r="K874" s="25">
        <f t="shared" si="292"/>
        <v>30</v>
      </c>
      <c r="L874" s="25">
        <v>12.07</v>
      </c>
      <c r="M874" s="25">
        <v>10.18</v>
      </c>
      <c r="N874" s="25">
        <f t="shared" si="293"/>
        <v>1.8900000000000006</v>
      </c>
      <c r="O874" s="25" t="s">
        <v>545</v>
      </c>
    </row>
    <row r="875" spans="1:15" x14ac:dyDescent="0.25">
      <c r="A875" s="75">
        <v>46084</v>
      </c>
      <c r="B875" s="25" t="s">
        <v>377</v>
      </c>
      <c r="C875" s="25" t="s">
        <v>588</v>
      </c>
      <c r="D875" s="75">
        <f t="shared" si="286"/>
        <v>46107</v>
      </c>
      <c r="E875" s="75">
        <f t="shared" si="287"/>
        <v>46091</v>
      </c>
      <c r="F875" s="75">
        <f t="shared" si="288"/>
        <v>46098</v>
      </c>
      <c r="G875" s="75">
        <f t="shared" si="289"/>
        <v>46104</v>
      </c>
      <c r="H875" s="75">
        <f t="shared" si="290"/>
        <v>46092</v>
      </c>
      <c r="I875" s="75">
        <f t="shared" si="291"/>
        <v>46099</v>
      </c>
      <c r="J875" s="75">
        <v>46114</v>
      </c>
      <c r="K875" s="25">
        <f t="shared" si="292"/>
        <v>30</v>
      </c>
      <c r="L875" s="25">
        <v>13.1</v>
      </c>
      <c r="M875" s="25">
        <v>11.35</v>
      </c>
      <c r="N875" s="25">
        <f t="shared" si="293"/>
        <v>1.75</v>
      </c>
      <c r="O875" s="25" t="s">
        <v>545</v>
      </c>
    </row>
    <row r="876" spans="1:15" x14ac:dyDescent="0.25">
      <c r="A876" s="75">
        <v>46084</v>
      </c>
      <c r="B876" s="25" t="s">
        <v>378</v>
      </c>
      <c r="C876" s="25" t="s">
        <v>589</v>
      </c>
      <c r="D876" s="75">
        <f t="shared" si="286"/>
        <v>46107</v>
      </c>
      <c r="E876" s="75">
        <f t="shared" si="287"/>
        <v>46091</v>
      </c>
      <c r="F876" s="75">
        <f t="shared" si="288"/>
        <v>46098</v>
      </c>
      <c r="G876" s="75">
        <f t="shared" si="289"/>
        <v>46104</v>
      </c>
      <c r="H876" s="75">
        <f t="shared" si="290"/>
        <v>46092</v>
      </c>
      <c r="I876" s="75">
        <f t="shared" si="291"/>
        <v>46099</v>
      </c>
      <c r="J876" s="75">
        <v>46114</v>
      </c>
      <c r="K876" s="25">
        <f t="shared" si="292"/>
        <v>30</v>
      </c>
      <c r="L876" s="25">
        <v>13.39</v>
      </c>
      <c r="M876" s="25">
        <v>11.62</v>
      </c>
      <c r="N876" s="25">
        <f t="shared" si="293"/>
        <v>1.7700000000000014</v>
      </c>
      <c r="O876" s="25" t="s">
        <v>545</v>
      </c>
    </row>
    <row r="877" spans="1:15" x14ac:dyDescent="0.25">
      <c r="A877" s="75">
        <v>46084</v>
      </c>
      <c r="B877" s="25" t="s">
        <v>379</v>
      </c>
      <c r="C877" s="25" t="s">
        <v>590</v>
      </c>
      <c r="D877" s="75">
        <f t="shared" si="286"/>
        <v>46107</v>
      </c>
      <c r="E877" s="75">
        <f t="shared" si="287"/>
        <v>46091</v>
      </c>
      <c r="F877" s="75">
        <f t="shared" si="288"/>
        <v>46098</v>
      </c>
      <c r="G877" s="75">
        <f t="shared" si="289"/>
        <v>46104</v>
      </c>
      <c r="H877" s="75">
        <f t="shared" si="290"/>
        <v>46092</v>
      </c>
      <c r="I877" s="75">
        <f t="shared" si="291"/>
        <v>46099</v>
      </c>
      <c r="J877" s="75">
        <v>46114</v>
      </c>
      <c r="K877" s="25">
        <f t="shared" si="292"/>
        <v>30</v>
      </c>
      <c r="L877" s="25">
        <v>14.32</v>
      </c>
      <c r="M877" s="25">
        <v>12.41</v>
      </c>
      <c r="N877" s="25">
        <f t="shared" si="293"/>
        <v>1.9100000000000001</v>
      </c>
      <c r="O877" s="25" t="s">
        <v>545</v>
      </c>
    </row>
    <row r="878" spans="1:15" x14ac:dyDescent="0.25">
      <c r="A878" s="75">
        <v>46085</v>
      </c>
      <c r="B878" s="25" t="s">
        <v>403</v>
      </c>
      <c r="C878" s="25" t="s">
        <v>591</v>
      </c>
      <c r="D878" s="75">
        <f t="shared" si="286"/>
        <v>46108</v>
      </c>
      <c r="E878" s="75">
        <f t="shared" si="287"/>
        <v>46092</v>
      </c>
      <c r="F878" s="75">
        <f t="shared" si="288"/>
        <v>46099</v>
      </c>
      <c r="G878" s="75">
        <f t="shared" si="289"/>
        <v>46105</v>
      </c>
      <c r="H878" s="75">
        <f t="shared" si="290"/>
        <v>46093</v>
      </c>
      <c r="I878" s="75">
        <f t="shared" si="291"/>
        <v>46100</v>
      </c>
      <c r="J878" s="75">
        <v>46115</v>
      </c>
      <c r="K878" s="25">
        <f t="shared" si="292"/>
        <v>30</v>
      </c>
      <c r="L878" s="25">
        <v>12.35</v>
      </c>
      <c r="M878" s="25">
        <v>10.27</v>
      </c>
      <c r="N878" s="25">
        <f t="shared" si="293"/>
        <v>2.08</v>
      </c>
      <c r="O878" s="25" t="s">
        <v>545</v>
      </c>
    </row>
    <row r="879" spans="1:15" x14ac:dyDescent="0.25">
      <c r="A879" s="75">
        <v>46085</v>
      </c>
      <c r="B879" s="25" t="s">
        <v>404</v>
      </c>
      <c r="C879" s="25" t="s">
        <v>592</v>
      </c>
      <c r="D879" s="75">
        <f t="shared" si="286"/>
        <v>46108</v>
      </c>
      <c r="E879" s="75">
        <f t="shared" si="287"/>
        <v>46092</v>
      </c>
      <c r="F879" s="75">
        <f t="shared" si="288"/>
        <v>46099</v>
      </c>
      <c r="G879" s="75">
        <f t="shared" si="289"/>
        <v>46105</v>
      </c>
      <c r="H879" s="75">
        <f t="shared" si="290"/>
        <v>46093</v>
      </c>
      <c r="I879" s="75">
        <f t="shared" si="291"/>
        <v>46100</v>
      </c>
      <c r="J879" s="75">
        <v>46115</v>
      </c>
      <c r="K879" s="25">
        <f t="shared" si="292"/>
        <v>30</v>
      </c>
      <c r="L879" s="25">
        <v>14.11</v>
      </c>
      <c r="M879" s="25">
        <v>12.05</v>
      </c>
      <c r="N879" s="25">
        <f t="shared" si="293"/>
        <v>2.0599999999999987</v>
      </c>
      <c r="O879" s="25" t="s">
        <v>545</v>
      </c>
    </row>
    <row r="880" spans="1:15" x14ac:dyDescent="0.25">
      <c r="A880" s="75">
        <v>46085</v>
      </c>
      <c r="B880" s="25" t="s">
        <v>405</v>
      </c>
      <c r="C880" s="25" t="s">
        <v>593</v>
      </c>
      <c r="D880" s="75">
        <f t="shared" si="286"/>
        <v>46108</v>
      </c>
      <c r="E880" s="75">
        <f t="shared" si="287"/>
        <v>46092</v>
      </c>
      <c r="F880" s="75">
        <f t="shared" si="288"/>
        <v>46099</v>
      </c>
      <c r="G880" s="75">
        <f t="shared" si="289"/>
        <v>46105</v>
      </c>
      <c r="H880" s="75">
        <f t="shared" si="290"/>
        <v>46093</v>
      </c>
      <c r="I880" s="75">
        <f t="shared" si="291"/>
        <v>46100</v>
      </c>
      <c r="J880" s="75">
        <v>46115</v>
      </c>
      <c r="K880" s="25">
        <f t="shared" si="292"/>
        <v>30</v>
      </c>
      <c r="L880" s="25">
        <v>13.08</v>
      </c>
      <c r="M880" s="25">
        <v>11.15</v>
      </c>
      <c r="N880" s="25">
        <f t="shared" si="293"/>
        <v>1.9299999999999997</v>
      </c>
      <c r="O880" s="25" t="s">
        <v>545</v>
      </c>
    </row>
    <row r="881" spans="1:15" x14ac:dyDescent="0.25">
      <c r="A881" s="75">
        <v>46085</v>
      </c>
      <c r="B881" s="25" t="s">
        <v>406</v>
      </c>
      <c r="C881" s="25" t="s">
        <v>594</v>
      </c>
      <c r="D881" s="75">
        <f t="shared" si="286"/>
        <v>46108</v>
      </c>
      <c r="E881" s="75">
        <f t="shared" si="287"/>
        <v>46092</v>
      </c>
      <c r="F881" s="75">
        <f t="shared" si="288"/>
        <v>46099</v>
      </c>
      <c r="G881" s="75">
        <f t="shared" si="289"/>
        <v>46105</v>
      </c>
      <c r="H881" s="75">
        <f t="shared" si="290"/>
        <v>46093</v>
      </c>
      <c r="I881" s="75">
        <f t="shared" si="291"/>
        <v>46100</v>
      </c>
      <c r="J881" s="75">
        <v>46115</v>
      </c>
      <c r="K881" s="25">
        <f t="shared" si="292"/>
        <v>30</v>
      </c>
      <c r="L881" s="25">
        <v>14.1</v>
      </c>
      <c r="M881" s="25">
        <v>12.21</v>
      </c>
      <c r="N881" s="25">
        <f t="shared" si="293"/>
        <v>1.8899999999999988</v>
      </c>
      <c r="O881" s="25" t="s">
        <v>545</v>
      </c>
    </row>
    <row r="882" spans="1:15" x14ac:dyDescent="0.25">
      <c r="A882" s="75">
        <v>46085</v>
      </c>
      <c r="B882" s="25" t="s">
        <v>407</v>
      </c>
      <c r="C882" s="25" t="s">
        <v>595</v>
      </c>
      <c r="D882" s="75">
        <f t="shared" si="286"/>
        <v>46108</v>
      </c>
      <c r="E882" s="75">
        <f t="shared" si="287"/>
        <v>46092</v>
      </c>
      <c r="F882" s="75">
        <f t="shared" si="288"/>
        <v>46099</v>
      </c>
      <c r="G882" s="75">
        <f t="shared" si="289"/>
        <v>46105</v>
      </c>
      <c r="H882" s="75">
        <f t="shared" si="290"/>
        <v>46093</v>
      </c>
      <c r="I882" s="75">
        <f t="shared" si="291"/>
        <v>46100</v>
      </c>
      <c r="J882" s="75">
        <v>46115</v>
      </c>
      <c r="K882" s="25">
        <f t="shared" si="292"/>
        <v>30</v>
      </c>
      <c r="L882" s="25">
        <v>11.97</v>
      </c>
      <c r="M882" s="25">
        <v>10.58</v>
      </c>
      <c r="N882" s="25">
        <f t="shared" si="293"/>
        <v>1.3900000000000006</v>
      </c>
      <c r="O882" s="25" t="s">
        <v>545</v>
      </c>
    </row>
    <row r="883" spans="1:15" x14ac:dyDescent="0.25">
      <c r="A883" s="75">
        <v>46085</v>
      </c>
      <c r="B883" s="25" t="s">
        <v>408</v>
      </c>
      <c r="C883" s="25" t="s">
        <v>596</v>
      </c>
      <c r="D883" s="75">
        <f t="shared" si="286"/>
        <v>46108</v>
      </c>
      <c r="E883" s="75">
        <f t="shared" si="287"/>
        <v>46092</v>
      </c>
      <c r="F883" s="75">
        <f t="shared" si="288"/>
        <v>46099</v>
      </c>
      <c r="G883" s="75">
        <f t="shared" si="289"/>
        <v>46105</v>
      </c>
      <c r="H883" s="75">
        <f t="shared" si="290"/>
        <v>46093</v>
      </c>
      <c r="I883" s="75">
        <f t="shared" si="291"/>
        <v>46100</v>
      </c>
      <c r="J883" s="75">
        <v>46115</v>
      </c>
      <c r="K883" s="25">
        <f t="shared" si="292"/>
        <v>30</v>
      </c>
      <c r="L883" s="25">
        <v>13.15</v>
      </c>
      <c r="M883" s="25">
        <v>11.36</v>
      </c>
      <c r="N883" s="25">
        <f t="shared" si="293"/>
        <v>1.7900000000000009</v>
      </c>
      <c r="O883" s="25" t="s">
        <v>545</v>
      </c>
    </row>
    <row r="884" spans="1:15" x14ac:dyDescent="0.25">
      <c r="A884" s="75">
        <v>46085</v>
      </c>
      <c r="B884" s="25" t="s">
        <v>409</v>
      </c>
      <c r="C884" s="25" t="s">
        <v>597</v>
      </c>
      <c r="D884" s="75">
        <f t="shared" si="286"/>
        <v>46108</v>
      </c>
      <c r="E884" s="75">
        <f t="shared" si="287"/>
        <v>46092</v>
      </c>
      <c r="F884" s="75">
        <f t="shared" si="288"/>
        <v>46099</v>
      </c>
      <c r="G884" s="75">
        <f t="shared" si="289"/>
        <v>46105</v>
      </c>
      <c r="H884" s="75">
        <f t="shared" si="290"/>
        <v>46093</v>
      </c>
      <c r="I884" s="75">
        <f t="shared" si="291"/>
        <v>46100</v>
      </c>
      <c r="J884" s="75">
        <v>46115</v>
      </c>
      <c r="K884" s="25">
        <f t="shared" si="292"/>
        <v>30</v>
      </c>
      <c r="L884" s="25">
        <v>12.27</v>
      </c>
      <c r="M884" s="25">
        <v>10.17</v>
      </c>
      <c r="N884" s="25">
        <f t="shared" si="293"/>
        <v>2.0999999999999996</v>
      </c>
      <c r="O884" s="25" t="s">
        <v>545</v>
      </c>
    </row>
    <row r="885" spans="1:15" x14ac:dyDescent="0.25">
      <c r="A885" s="75">
        <v>46086</v>
      </c>
      <c r="B885" s="25" t="s">
        <v>366</v>
      </c>
      <c r="C885" s="25" t="s">
        <v>598</v>
      </c>
      <c r="D885" s="75">
        <f t="shared" si="286"/>
        <v>46109</v>
      </c>
      <c r="E885" s="75">
        <f t="shared" si="287"/>
        <v>46093</v>
      </c>
      <c r="F885" s="75">
        <f t="shared" si="288"/>
        <v>46100</v>
      </c>
      <c r="G885" s="75">
        <f t="shared" si="289"/>
        <v>46106</v>
      </c>
      <c r="H885" s="75">
        <f t="shared" si="290"/>
        <v>46094</v>
      </c>
      <c r="I885" s="75">
        <f t="shared" si="291"/>
        <v>46101</v>
      </c>
      <c r="J885" s="75">
        <v>46115</v>
      </c>
      <c r="K885" s="25">
        <f t="shared" si="292"/>
        <v>29</v>
      </c>
      <c r="L885" s="25">
        <v>13.81</v>
      </c>
      <c r="M885" s="25">
        <v>11.52</v>
      </c>
      <c r="N885" s="25">
        <f t="shared" si="293"/>
        <v>2.2900000000000009</v>
      </c>
      <c r="O885" s="25" t="s">
        <v>545</v>
      </c>
    </row>
    <row r="886" spans="1:15" x14ac:dyDescent="0.25">
      <c r="A886" s="75">
        <v>46086</v>
      </c>
      <c r="B886" s="25" t="s">
        <v>367</v>
      </c>
      <c r="C886" s="25" t="s">
        <v>599</v>
      </c>
      <c r="D886" s="75">
        <f t="shared" si="286"/>
        <v>46109</v>
      </c>
      <c r="E886" s="75">
        <f t="shared" si="287"/>
        <v>46093</v>
      </c>
      <c r="F886" s="75">
        <f t="shared" si="288"/>
        <v>46100</v>
      </c>
      <c r="G886" s="75">
        <f t="shared" si="289"/>
        <v>46106</v>
      </c>
      <c r="H886" s="75">
        <f t="shared" si="290"/>
        <v>46094</v>
      </c>
      <c r="I886" s="75">
        <f t="shared" si="291"/>
        <v>46101</v>
      </c>
      <c r="J886" s="75">
        <v>46115</v>
      </c>
      <c r="K886" s="25">
        <f t="shared" si="292"/>
        <v>29</v>
      </c>
      <c r="L886" s="25">
        <v>13.56</v>
      </c>
      <c r="M886" s="25">
        <v>11.29</v>
      </c>
      <c r="N886" s="25">
        <f t="shared" si="293"/>
        <v>2.2700000000000014</v>
      </c>
      <c r="O886" s="25" t="s">
        <v>545</v>
      </c>
    </row>
    <row r="887" spans="1:15" x14ac:dyDescent="0.25">
      <c r="A887" s="75">
        <v>46086</v>
      </c>
      <c r="B887" s="25" t="s">
        <v>368</v>
      </c>
      <c r="C887" s="25" t="s">
        <v>600</v>
      </c>
      <c r="D887" s="75">
        <f t="shared" si="286"/>
        <v>46109</v>
      </c>
      <c r="E887" s="75">
        <f t="shared" si="287"/>
        <v>46093</v>
      </c>
      <c r="F887" s="75">
        <f t="shared" si="288"/>
        <v>46100</v>
      </c>
      <c r="G887" s="75">
        <f t="shared" si="289"/>
        <v>46106</v>
      </c>
      <c r="H887" s="75">
        <f t="shared" si="290"/>
        <v>46094</v>
      </c>
      <c r="I887" s="75">
        <f t="shared" si="291"/>
        <v>46101</v>
      </c>
      <c r="J887" s="75">
        <v>46115</v>
      </c>
      <c r="K887" s="25">
        <f t="shared" si="292"/>
        <v>29</v>
      </c>
      <c r="L887" s="25">
        <v>12.43</v>
      </c>
      <c r="M887" s="25">
        <v>10.119999999999999</v>
      </c>
      <c r="N887" s="25">
        <f t="shared" si="293"/>
        <v>2.3100000000000005</v>
      </c>
      <c r="O887" s="25" t="s">
        <v>545</v>
      </c>
    </row>
    <row r="888" spans="1:15" x14ac:dyDescent="0.25">
      <c r="A888" s="75">
        <v>46086</v>
      </c>
      <c r="B888" s="25" t="s">
        <v>369</v>
      </c>
      <c r="C888" s="25" t="s">
        <v>601</v>
      </c>
      <c r="D888" s="75">
        <f t="shared" si="286"/>
        <v>46109</v>
      </c>
      <c r="E888" s="75">
        <f t="shared" si="287"/>
        <v>46093</v>
      </c>
      <c r="F888" s="75">
        <f t="shared" si="288"/>
        <v>46100</v>
      </c>
      <c r="G888" s="75">
        <f t="shared" si="289"/>
        <v>46106</v>
      </c>
      <c r="H888" s="75">
        <f t="shared" si="290"/>
        <v>46094</v>
      </c>
      <c r="I888" s="75">
        <f t="shared" si="291"/>
        <v>46101</v>
      </c>
      <c r="J888" s="75">
        <v>46115</v>
      </c>
      <c r="K888" s="25">
        <f t="shared" si="292"/>
        <v>29</v>
      </c>
      <c r="L888" s="25">
        <v>14.28</v>
      </c>
      <c r="M888" s="25">
        <v>12.54</v>
      </c>
      <c r="N888" s="25">
        <f t="shared" si="293"/>
        <v>1.7400000000000002</v>
      </c>
      <c r="O888" s="25" t="s">
        <v>545</v>
      </c>
    </row>
    <row r="889" spans="1:15" x14ac:dyDescent="0.25">
      <c r="A889" s="75">
        <v>46086</v>
      </c>
      <c r="B889" s="25" t="s">
        <v>370</v>
      </c>
      <c r="C889" s="25" t="s">
        <v>602</v>
      </c>
      <c r="D889" s="75">
        <f t="shared" si="286"/>
        <v>46109</v>
      </c>
      <c r="E889" s="75">
        <f t="shared" si="287"/>
        <v>46093</v>
      </c>
      <c r="F889" s="75">
        <f t="shared" si="288"/>
        <v>46100</v>
      </c>
      <c r="G889" s="75">
        <f t="shared" si="289"/>
        <v>46106</v>
      </c>
      <c r="H889" s="75">
        <f t="shared" si="290"/>
        <v>46094</v>
      </c>
      <c r="I889" s="75">
        <f t="shared" si="291"/>
        <v>46101</v>
      </c>
      <c r="J889" s="75">
        <v>46115</v>
      </c>
      <c r="K889" s="25">
        <f t="shared" si="292"/>
        <v>29</v>
      </c>
      <c r="L889" s="25">
        <v>13.58</v>
      </c>
      <c r="M889" s="25">
        <v>11.78</v>
      </c>
      <c r="N889" s="25">
        <f t="shared" si="293"/>
        <v>1.8000000000000007</v>
      </c>
      <c r="O889" s="25" t="s">
        <v>545</v>
      </c>
    </row>
    <row r="890" spans="1:15" x14ac:dyDescent="0.25">
      <c r="A890" s="75">
        <v>46086</v>
      </c>
      <c r="B890" s="25" t="s">
        <v>371</v>
      </c>
      <c r="C890" s="25" t="s">
        <v>603</v>
      </c>
      <c r="D890" s="75">
        <f t="shared" si="286"/>
        <v>46109</v>
      </c>
      <c r="E890" s="75">
        <f t="shared" si="287"/>
        <v>46093</v>
      </c>
      <c r="F890" s="75">
        <f t="shared" si="288"/>
        <v>46100</v>
      </c>
      <c r="G890" s="75">
        <f t="shared" si="289"/>
        <v>46106</v>
      </c>
      <c r="H890" s="75">
        <f t="shared" si="290"/>
        <v>46094</v>
      </c>
      <c r="I890" s="75">
        <f t="shared" si="291"/>
        <v>46101</v>
      </c>
      <c r="J890" s="75">
        <v>46116</v>
      </c>
      <c r="K890" s="25">
        <f t="shared" si="292"/>
        <v>30</v>
      </c>
      <c r="L890" s="25">
        <v>12.37</v>
      </c>
      <c r="M890" s="25">
        <v>10.56</v>
      </c>
      <c r="N890" s="25">
        <f t="shared" si="293"/>
        <v>1.8099999999999987</v>
      </c>
      <c r="O890" s="25" t="s">
        <v>545</v>
      </c>
    </row>
    <row r="891" spans="1:15" x14ac:dyDescent="0.25">
      <c r="A891" s="75">
        <v>46086</v>
      </c>
      <c r="B891" s="25" t="s">
        <v>372</v>
      </c>
      <c r="C891" s="25" t="s">
        <v>604</v>
      </c>
      <c r="D891" s="75">
        <f t="shared" si="286"/>
        <v>46109</v>
      </c>
      <c r="E891" s="75">
        <f t="shared" si="287"/>
        <v>46093</v>
      </c>
      <c r="F891" s="75">
        <f t="shared" si="288"/>
        <v>46100</v>
      </c>
      <c r="G891" s="75">
        <f t="shared" si="289"/>
        <v>46106</v>
      </c>
      <c r="H891" s="75">
        <f t="shared" si="290"/>
        <v>46094</v>
      </c>
      <c r="I891" s="75">
        <f t="shared" si="291"/>
        <v>46101</v>
      </c>
      <c r="J891" s="75">
        <v>46116</v>
      </c>
      <c r="K891" s="25">
        <f t="shared" si="292"/>
        <v>30</v>
      </c>
      <c r="L891" s="25">
        <v>12.19</v>
      </c>
      <c r="M891" s="25">
        <v>10.31</v>
      </c>
      <c r="N891" s="25">
        <f t="shared" si="293"/>
        <v>1.879999999999999</v>
      </c>
      <c r="O891" s="25" t="s">
        <v>545</v>
      </c>
    </row>
    <row r="892" spans="1:15" x14ac:dyDescent="0.25">
      <c r="A892" s="75">
        <v>46087</v>
      </c>
      <c r="B892" s="25" t="s">
        <v>396</v>
      </c>
      <c r="C892" s="25" t="s">
        <v>614</v>
      </c>
      <c r="D892" s="75">
        <f t="shared" si="286"/>
        <v>46110</v>
      </c>
      <c r="E892" s="75">
        <f t="shared" si="287"/>
        <v>46094</v>
      </c>
      <c r="F892" s="75">
        <f t="shared" si="288"/>
        <v>46101</v>
      </c>
      <c r="G892" s="75">
        <f t="shared" si="289"/>
        <v>46107</v>
      </c>
      <c r="H892" s="75">
        <f t="shared" si="290"/>
        <v>46095</v>
      </c>
      <c r="I892" s="75">
        <f t="shared" si="291"/>
        <v>46102</v>
      </c>
      <c r="J892" s="75">
        <v>46116</v>
      </c>
      <c r="K892" s="25">
        <f t="shared" si="292"/>
        <v>29</v>
      </c>
      <c r="L892" s="25">
        <v>14.35</v>
      </c>
      <c r="M892" s="25">
        <v>12.78</v>
      </c>
      <c r="N892" s="25">
        <f t="shared" si="293"/>
        <v>1.5700000000000003</v>
      </c>
      <c r="O892" s="25" t="s">
        <v>545</v>
      </c>
    </row>
    <row r="893" spans="1:15" x14ac:dyDescent="0.25">
      <c r="A893" s="75">
        <v>46087</v>
      </c>
      <c r="B893" s="25" t="s">
        <v>397</v>
      </c>
      <c r="C893" s="25" t="s">
        <v>615</v>
      </c>
      <c r="D893" s="75">
        <f t="shared" si="286"/>
        <v>46110</v>
      </c>
      <c r="E893" s="75">
        <f t="shared" si="287"/>
        <v>46094</v>
      </c>
      <c r="F893" s="75">
        <f t="shared" si="288"/>
        <v>46101</v>
      </c>
      <c r="G893" s="75">
        <f t="shared" si="289"/>
        <v>46107</v>
      </c>
      <c r="H893" s="75">
        <f t="shared" si="290"/>
        <v>46095</v>
      </c>
      <c r="I893" s="75">
        <f t="shared" si="291"/>
        <v>46102</v>
      </c>
      <c r="J893" s="75">
        <v>46116</v>
      </c>
      <c r="K893" s="25">
        <f t="shared" si="292"/>
        <v>29</v>
      </c>
      <c r="L893" s="25">
        <v>12.97</v>
      </c>
      <c r="M893" s="25">
        <v>11.1</v>
      </c>
      <c r="N893" s="25">
        <f t="shared" si="293"/>
        <v>1.870000000000001</v>
      </c>
      <c r="O893" s="25" t="s">
        <v>545</v>
      </c>
    </row>
    <row r="894" spans="1:15" x14ac:dyDescent="0.25">
      <c r="A894" s="75">
        <v>46087</v>
      </c>
      <c r="B894" s="25" t="s">
        <v>398</v>
      </c>
      <c r="C894" s="25" t="s">
        <v>616</v>
      </c>
      <c r="D894" s="75">
        <f t="shared" si="286"/>
        <v>46110</v>
      </c>
      <c r="E894" s="75">
        <f t="shared" si="287"/>
        <v>46094</v>
      </c>
      <c r="F894" s="75">
        <f t="shared" si="288"/>
        <v>46101</v>
      </c>
      <c r="G894" s="75">
        <f t="shared" si="289"/>
        <v>46107</v>
      </c>
      <c r="H894" s="75">
        <f t="shared" si="290"/>
        <v>46095</v>
      </c>
      <c r="I894" s="75">
        <f t="shared" si="291"/>
        <v>46102</v>
      </c>
      <c r="J894" s="75">
        <v>46116</v>
      </c>
      <c r="K894" s="25">
        <f t="shared" si="292"/>
        <v>29</v>
      </c>
      <c r="L894" s="25">
        <v>14.05</v>
      </c>
      <c r="M894" s="25">
        <v>12.08</v>
      </c>
      <c r="N894" s="25">
        <f t="shared" si="293"/>
        <v>1.9700000000000006</v>
      </c>
      <c r="O894" s="25" t="s">
        <v>545</v>
      </c>
    </row>
    <row r="895" spans="1:15" x14ac:dyDescent="0.25">
      <c r="A895" s="75">
        <v>46087</v>
      </c>
      <c r="B895" s="25" t="s">
        <v>399</v>
      </c>
      <c r="C895" s="25" t="s">
        <v>617</v>
      </c>
      <c r="D895" s="75">
        <f t="shared" si="286"/>
        <v>46110</v>
      </c>
      <c r="E895" s="75">
        <f t="shared" si="287"/>
        <v>46094</v>
      </c>
      <c r="F895" s="75">
        <f t="shared" si="288"/>
        <v>46101</v>
      </c>
      <c r="G895" s="75">
        <f t="shared" si="289"/>
        <v>46107</v>
      </c>
      <c r="H895" s="75">
        <f t="shared" si="290"/>
        <v>46095</v>
      </c>
      <c r="I895" s="75">
        <f t="shared" si="291"/>
        <v>46102</v>
      </c>
      <c r="J895" s="75">
        <v>46116</v>
      </c>
      <c r="K895" s="25">
        <f t="shared" si="292"/>
        <v>29</v>
      </c>
      <c r="L895" s="25">
        <v>13.06</v>
      </c>
      <c r="M895" s="25">
        <v>10.35</v>
      </c>
      <c r="N895" s="25">
        <f t="shared" si="293"/>
        <v>2.7100000000000009</v>
      </c>
      <c r="O895" s="25" t="s">
        <v>545</v>
      </c>
    </row>
    <row r="896" spans="1:15" x14ac:dyDescent="0.25">
      <c r="A896" s="75">
        <v>46087</v>
      </c>
      <c r="B896" s="25" t="s">
        <v>400</v>
      </c>
      <c r="C896" s="25" t="s">
        <v>618</v>
      </c>
      <c r="D896" s="75">
        <f t="shared" si="286"/>
        <v>46110</v>
      </c>
      <c r="E896" s="75">
        <f t="shared" si="287"/>
        <v>46094</v>
      </c>
      <c r="F896" s="75">
        <f t="shared" si="288"/>
        <v>46101</v>
      </c>
      <c r="G896" s="75">
        <f t="shared" si="289"/>
        <v>46107</v>
      </c>
      <c r="H896" s="75">
        <f t="shared" si="290"/>
        <v>46095</v>
      </c>
      <c r="I896" s="75">
        <f t="shared" si="291"/>
        <v>46102</v>
      </c>
      <c r="J896" s="75">
        <v>46116</v>
      </c>
      <c r="K896" s="25">
        <f t="shared" si="292"/>
        <v>29</v>
      </c>
      <c r="L896" s="25">
        <v>12.47</v>
      </c>
      <c r="M896" s="25">
        <v>10.84</v>
      </c>
      <c r="N896" s="25">
        <f t="shared" si="293"/>
        <v>1.6300000000000008</v>
      </c>
      <c r="O896" s="25" t="s">
        <v>545</v>
      </c>
    </row>
    <row r="897" spans="1:15" x14ac:dyDescent="0.25">
      <c r="A897" s="75">
        <v>46087</v>
      </c>
      <c r="B897" s="25" t="s">
        <v>401</v>
      </c>
      <c r="C897" s="25" t="s">
        <v>619</v>
      </c>
      <c r="D897" s="75">
        <f t="shared" si="286"/>
        <v>46110</v>
      </c>
      <c r="E897" s="75">
        <f t="shared" si="287"/>
        <v>46094</v>
      </c>
      <c r="F897" s="75">
        <f t="shared" si="288"/>
        <v>46101</v>
      </c>
      <c r="G897" s="75">
        <f t="shared" si="289"/>
        <v>46107</v>
      </c>
      <c r="H897" s="75">
        <f t="shared" si="290"/>
        <v>46095</v>
      </c>
      <c r="I897" s="75">
        <f t="shared" si="291"/>
        <v>46102</v>
      </c>
      <c r="J897" s="75">
        <v>46116</v>
      </c>
      <c r="K897" s="25">
        <f t="shared" si="292"/>
        <v>29</v>
      </c>
      <c r="L897" s="25">
        <v>13.64</v>
      </c>
      <c r="M897" s="25">
        <v>11.51</v>
      </c>
      <c r="N897" s="25">
        <f t="shared" si="293"/>
        <v>2.1300000000000008</v>
      </c>
      <c r="O897" s="25" t="s">
        <v>545</v>
      </c>
    </row>
    <row r="898" spans="1:15" x14ac:dyDescent="0.25">
      <c r="A898" s="75">
        <v>46087</v>
      </c>
      <c r="B898" s="25" t="s">
        <v>402</v>
      </c>
      <c r="C898" s="25" t="s">
        <v>620</v>
      </c>
      <c r="D898" s="75">
        <f t="shared" si="286"/>
        <v>46110</v>
      </c>
      <c r="E898" s="75">
        <f t="shared" si="287"/>
        <v>46094</v>
      </c>
      <c r="F898" s="75">
        <f t="shared" si="288"/>
        <v>46101</v>
      </c>
      <c r="G898" s="75">
        <f t="shared" si="289"/>
        <v>46107</v>
      </c>
      <c r="H898" s="75">
        <f t="shared" si="290"/>
        <v>46095</v>
      </c>
      <c r="I898" s="75">
        <f t="shared" si="291"/>
        <v>46102</v>
      </c>
      <c r="J898" s="75">
        <v>46116</v>
      </c>
      <c r="K898" s="25">
        <f t="shared" si="292"/>
        <v>29</v>
      </c>
      <c r="L898" s="25">
        <v>13.38</v>
      </c>
      <c r="M898" s="25">
        <v>11.43</v>
      </c>
      <c r="N898" s="25">
        <f t="shared" si="293"/>
        <v>1.9500000000000011</v>
      </c>
      <c r="O898" s="25" t="s">
        <v>545</v>
      </c>
    </row>
    <row r="899" spans="1:15" x14ac:dyDescent="0.25">
      <c r="A899" s="75">
        <v>46088</v>
      </c>
      <c r="B899" s="25" t="s">
        <v>364</v>
      </c>
      <c r="C899" s="25" t="s">
        <v>621</v>
      </c>
      <c r="D899" s="75">
        <f t="shared" si="286"/>
        <v>46111</v>
      </c>
      <c r="E899" s="75">
        <f t="shared" si="287"/>
        <v>46095</v>
      </c>
      <c r="F899" s="75">
        <f t="shared" si="288"/>
        <v>46102</v>
      </c>
      <c r="G899" s="75">
        <f t="shared" si="289"/>
        <v>46108</v>
      </c>
      <c r="H899" s="75">
        <f t="shared" si="290"/>
        <v>46096</v>
      </c>
      <c r="I899" s="75">
        <f t="shared" si="291"/>
        <v>46103</v>
      </c>
      <c r="J899" s="75">
        <v>46116</v>
      </c>
      <c r="K899" s="25">
        <f t="shared" si="292"/>
        <v>28</v>
      </c>
      <c r="L899" s="25">
        <v>13.71</v>
      </c>
      <c r="M899" s="25">
        <v>11.83</v>
      </c>
      <c r="N899" s="25">
        <f t="shared" si="293"/>
        <v>1.8800000000000008</v>
      </c>
      <c r="O899" s="25" t="s">
        <v>545</v>
      </c>
    </row>
    <row r="900" spans="1:15" x14ac:dyDescent="0.25">
      <c r="A900" s="75">
        <v>46088</v>
      </c>
      <c r="B900" s="25" t="s">
        <v>365</v>
      </c>
      <c r="C900" s="25" t="s">
        <v>622</v>
      </c>
      <c r="D900" s="75">
        <f t="shared" si="286"/>
        <v>46111</v>
      </c>
      <c r="E900" s="75">
        <f t="shared" si="287"/>
        <v>46095</v>
      </c>
      <c r="F900" s="75">
        <f t="shared" si="288"/>
        <v>46102</v>
      </c>
      <c r="G900" s="75">
        <f t="shared" si="289"/>
        <v>46108</v>
      </c>
      <c r="H900" s="75">
        <f t="shared" si="290"/>
        <v>46096</v>
      </c>
      <c r="I900" s="75">
        <f t="shared" si="291"/>
        <v>46103</v>
      </c>
      <c r="J900" s="75">
        <v>46117</v>
      </c>
      <c r="K900" s="25">
        <f t="shared" si="292"/>
        <v>29</v>
      </c>
      <c r="L900" s="25">
        <v>12.51</v>
      </c>
      <c r="M900" s="25">
        <v>10.73</v>
      </c>
      <c r="N900" s="25">
        <f t="shared" si="293"/>
        <v>1.7799999999999994</v>
      </c>
      <c r="O900" s="25" t="s">
        <v>545</v>
      </c>
    </row>
    <row r="901" spans="1:15" x14ac:dyDescent="0.25">
      <c r="A901" s="75">
        <v>46088</v>
      </c>
      <c r="B901" s="25" t="s">
        <v>394</v>
      </c>
      <c r="C901" s="25" t="s">
        <v>623</v>
      </c>
      <c r="D901" s="75">
        <f t="shared" si="286"/>
        <v>46111</v>
      </c>
      <c r="E901" s="75">
        <f t="shared" si="287"/>
        <v>46095</v>
      </c>
      <c r="F901" s="75">
        <f t="shared" si="288"/>
        <v>46102</v>
      </c>
      <c r="G901" s="75">
        <f t="shared" si="289"/>
        <v>46108</v>
      </c>
      <c r="H901" s="75">
        <f t="shared" si="290"/>
        <v>46096</v>
      </c>
      <c r="I901" s="75">
        <f t="shared" si="291"/>
        <v>46103</v>
      </c>
      <c r="J901" s="75">
        <v>46117</v>
      </c>
      <c r="K901" s="25">
        <f t="shared" si="292"/>
        <v>29</v>
      </c>
      <c r="L901" s="25">
        <v>13.37</v>
      </c>
      <c r="M901" s="25">
        <v>11.25</v>
      </c>
      <c r="N901" s="25">
        <f t="shared" si="293"/>
        <v>2.1199999999999992</v>
      </c>
      <c r="O901" s="25" t="s">
        <v>545</v>
      </c>
    </row>
    <row r="902" spans="1:15" x14ac:dyDescent="0.25">
      <c r="A902" s="75">
        <v>46088</v>
      </c>
      <c r="B902" s="25" t="s">
        <v>395</v>
      </c>
      <c r="C902" s="25" t="s">
        <v>624</v>
      </c>
      <c r="D902" s="75">
        <f t="shared" si="286"/>
        <v>46111</v>
      </c>
      <c r="E902" s="75">
        <f t="shared" si="287"/>
        <v>46095</v>
      </c>
      <c r="F902" s="75">
        <f t="shared" si="288"/>
        <v>46102</v>
      </c>
      <c r="G902" s="75">
        <f t="shared" si="289"/>
        <v>46108</v>
      </c>
      <c r="H902" s="75">
        <f t="shared" si="290"/>
        <v>46096</v>
      </c>
      <c r="I902" s="75">
        <f t="shared" si="291"/>
        <v>46103</v>
      </c>
      <c r="J902" s="75">
        <v>46117</v>
      </c>
      <c r="K902" s="25">
        <f t="shared" si="292"/>
        <v>29</v>
      </c>
      <c r="L902" s="25">
        <v>12.46</v>
      </c>
      <c r="M902" s="25">
        <v>10.54</v>
      </c>
      <c r="N902" s="25">
        <f t="shared" si="293"/>
        <v>1.9200000000000017</v>
      </c>
      <c r="O902" s="25" t="s">
        <v>545</v>
      </c>
    </row>
    <row r="903" spans="1:15" x14ac:dyDescent="0.25">
      <c r="A903" s="75">
        <v>46088</v>
      </c>
      <c r="B903" s="25" t="s">
        <v>424</v>
      </c>
      <c r="C903" s="25" t="s">
        <v>793</v>
      </c>
      <c r="D903" s="75">
        <f t="shared" si="286"/>
        <v>46111</v>
      </c>
      <c r="E903" s="75">
        <f t="shared" si="287"/>
        <v>46095</v>
      </c>
      <c r="F903" s="75">
        <f t="shared" si="288"/>
        <v>46102</v>
      </c>
      <c r="G903" s="75">
        <f t="shared" si="289"/>
        <v>46108</v>
      </c>
      <c r="H903" s="75">
        <f t="shared" si="290"/>
        <v>46096</v>
      </c>
      <c r="I903" s="75">
        <f t="shared" si="291"/>
        <v>46103</v>
      </c>
      <c r="J903" s="75">
        <v>46117</v>
      </c>
      <c r="K903" s="25">
        <f t="shared" si="292"/>
        <v>29</v>
      </c>
      <c r="L903" s="25">
        <v>12.63</v>
      </c>
      <c r="M903" s="25">
        <v>10.56</v>
      </c>
      <c r="N903" s="25">
        <f t="shared" si="293"/>
        <v>2.0700000000000003</v>
      </c>
      <c r="O903" s="25" t="s">
        <v>545</v>
      </c>
    </row>
    <row r="904" spans="1:15" x14ac:dyDescent="0.25">
      <c r="A904" s="75">
        <v>46088</v>
      </c>
      <c r="B904" s="25" t="s">
        <v>425</v>
      </c>
      <c r="C904" s="25" t="s">
        <v>794</v>
      </c>
      <c r="D904" s="75">
        <f t="shared" si="286"/>
        <v>46111</v>
      </c>
      <c r="E904" s="75">
        <f t="shared" si="287"/>
        <v>46095</v>
      </c>
      <c r="F904" s="75">
        <f t="shared" si="288"/>
        <v>46102</v>
      </c>
      <c r="G904" s="75">
        <f t="shared" si="289"/>
        <v>46108</v>
      </c>
      <c r="H904" s="75">
        <f t="shared" si="290"/>
        <v>46096</v>
      </c>
      <c r="I904" s="75">
        <f t="shared" si="291"/>
        <v>46103</v>
      </c>
      <c r="J904" s="75">
        <v>46117</v>
      </c>
      <c r="K904" s="25">
        <f t="shared" si="292"/>
        <v>29</v>
      </c>
      <c r="L904" s="25">
        <v>12.09</v>
      </c>
      <c r="M904" s="25">
        <v>10.119999999999999</v>
      </c>
      <c r="N904" s="25">
        <f t="shared" si="293"/>
        <v>1.9700000000000006</v>
      </c>
      <c r="O904" s="25" t="s">
        <v>545</v>
      </c>
    </row>
    <row r="905" spans="1:15" x14ac:dyDescent="0.25">
      <c r="A905" s="75">
        <v>46088</v>
      </c>
      <c r="B905" s="25" t="s">
        <v>426</v>
      </c>
      <c r="C905" s="25" t="s">
        <v>627</v>
      </c>
      <c r="D905" s="75">
        <f t="shared" si="286"/>
        <v>46111</v>
      </c>
      <c r="E905" s="75">
        <f t="shared" si="287"/>
        <v>46095</v>
      </c>
      <c r="F905" s="75">
        <f t="shared" si="288"/>
        <v>46102</v>
      </c>
      <c r="G905" s="75">
        <f t="shared" si="289"/>
        <v>46108</v>
      </c>
      <c r="H905" s="75">
        <f t="shared" si="290"/>
        <v>46096</v>
      </c>
      <c r="I905" s="75">
        <f t="shared" si="291"/>
        <v>46103</v>
      </c>
      <c r="J905" s="75">
        <v>46117</v>
      </c>
      <c r="K905" s="25">
        <f t="shared" si="292"/>
        <v>29</v>
      </c>
      <c r="L905" s="25">
        <v>13.58</v>
      </c>
      <c r="M905" s="25">
        <v>11.54</v>
      </c>
      <c r="N905" s="25">
        <f t="shared" si="293"/>
        <v>2.0400000000000009</v>
      </c>
      <c r="O905" s="25" t="s">
        <v>545</v>
      </c>
    </row>
    <row r="906" spans="1:15" x14ac:dyDescent="0.25">
      <c r="A906" s="75">
        <v>46088</v>
      </c>
      <c r="B906" s="25" t="s">
        <v>427</v>
      </c>
      <c r="C906" s="25" t="s">
        <v>628</v>
      </c>
      <c r="D906" s="75">
        <f t="shared" si="286"/>
        <v>46111</v>
      </c>
      <c r="E906" s="75">
        <f t="shared" si="287"/>
        <v>46095</v>
      </c>
      <c r="F906" s="75">
        <f t="shared" si="288"/>
        <v>46102</v>
      </c>
      <c r="G906" s="75">
        <f t="shared" si="289"/>
        <v>46108</v>
      </c>
      <c r="H906" s="75">
        <f t="shared" si="290"/>
        <v>46096</v>
      </c>
      <c r="I906" s="75">
        <f t="shared" si="291"/>
        <v>46103</v>
      </c>
      <c r="J906" s="75">
        <v>46117</v>
      </c>
      <c r="K906" s="25">
        <f t="shared" si="292"/>
        <v>29</v>
      </c>
      <c r="L906" s="25">
        <v>12.47</v>
      </c>
      <c r="M906" s="25">
        <v>10.73</v>
      </c>
      <c r="N906" s="25">
        <f t="shared" si="293"/>
        <v>1.7400000000000002</v>
      </c>
      <c r="O906" s="25" t="s">
        <v>545</v>
      </c>
    </row>
    <row r="907" spans="1:15" x14ac:dyDescent="0.25">
      <c r="A907" s="75">
        <v>46089</v>
      </c>
      <c r="B907" s="25" t="s">
        <v>428</v>
      </c>
      <c r="C907" s="25" t="s">
        <v>629</v>
      </c>
      <c r="D907" s="75">
        <f t="shared" si="286"/>
        <v>46112</v>
      </c>
      <c r="E907" s="75">
        <f t="shared" si="287"/>
        <v>46096</v>
      </c>
      <c r="F907" s="75">
        <f t="shared" si="288"/>
        <v>46103</v>
      </c>
      <c r="G907" s="75">
        <f t="shared" si="289"/>
        <v>46109</v>
      </c>
      <c r="H907" s="75">
        <f t="shared" si="290"/>
        <v>46097</v>
      </c>
      <c r="I907" s="75">
        <f t="shared" si="291"/>
        <v>46104</v>
      </c>
      <c r="J907" s="75">
        <v>46117</v>
      </c>
      <c r="K907" s="25">
        <f t="shared" si="292"/>
        <v>28</v>
      </c>
      <c r="L907" s="25">
        <v>12.31</v>
      </c>
      <c r="M907" s="25">
        <v>10.210000000000001</v>
      </c>
      <c r="N907" s="25">
        <f t="shared" si="293"/>
        <v>2.0999999999999996</v>
      </c>
      <c r="O907" s="25" t="s">
        <v>545</v>
      </c>
    </row>
    <row r="908" spans="1:15" x14ac:dyDescent="0.25">
      <c r="A908" s="75">
        <v>46089</v>
      </c>
      <c r="B908" s="25" t="s">
        <v>429</v>
      </c>
      <c r="C908" s="25" t="s">
        <v>630</v>
      </c>
      <c r="D908" s="75">
        <f t="shared" si="286"/>
        <v>46112</v>
      </c>
      <c r="E908" s="75">
        <f t="shared" si="287"/>
        <v>46096</v>
      </c>
      <c r="F908" s="75">
        <f t="shared" si="288"/>
        <v>46103</v>
      </c>
      <c r="G908" s="75">
        <f t="shared" si="289"/>
        <v>46109</v>
      </c>
      <c r="H908" s="75">
        <f t="shared" si="290"/>
        <v>46097</v>
      </c>
      <c r="I908" s="75">
        <f t="shared" si="291"/>
        <v>46104</v>
      </c>
      <c r="J908" s="75">
        <v>46117</v>
      </c>
      <c r="K908" s="25">
        <f t="shared" si="292"/>
        <v>28</v>
      </c>
      <c r="L908" s="25">
        <v>13.65</v>
      </c>
      <c r="M908" s="25">
        <v>11.26</v>
      </c>
      <c r="N908" s="25">
        <f t="shared" si="293"/>
        <v>2.3900000000000006</v>
      </c>
      <c r="O908" s="25" t="s">
        <v>545</v>
      </c>
    </row>
    <row r="909" spans="1:15" x14ac:dyDescent="0.25">
      <c r="A909" s="75">
        <v>46089</v>
      </c>
      <c r="B909" s="25" t="s">
        <v>430</v>
      </c>
      <c r="C909" s="25" t="s">
        <v>631</v>
      </c>
      <c r="D909" s="75">
        <f t="shared" si="286"/>
        <v>46112</v>
      </c>
      <c r="E909" s="75">
        <f t="shared" si="287"/>
        <v>46096</v>
      </c>
      <c r="F909" s="75">
        <f t="shared" si="288"/>
        <v>46103</v>
      </c>
      <c r="G909" s="75">
        <f t="shared" si="289"/>
        <v>46109</v>
      </c>
      <c r="H909" s="75">
        <f t="shared" si="290"/>
        <v>46097</v>
      </c>
      <c r="I909" s="75">
        <f t="shared" si="291"/>
        <v>46104</v>
      </c>
      <c r="J909" s="75">
        <v>46118</v>
      </c>
      <c r="K909" s="25">
        <f t="shared" si="292"/>
        <v>29</v>
      </c>
      <c r="L909" s="25">
        <v>12.55</v>
      </c>
      <c r="M909" s="25">
        <v>11.23</v>
      </c>
      <c r="N909" s="25">
        <f t="shared" si="293"/>
        <v>1.3200000000000003</v>
      </c>
      <c r="O909" s="25" t="s">
        <v>545</v>
      </c>
    </row>
    <row r="910" spans="1:15" x14ac:dyDescent="0.25">
      <c r="A910" s="75">
        <v>46089</v>
      </c>
      <c r="B910" s="25" t="s">
        <v>431</v>
      </c>
      <c r="C910" s="25" t="s">
        <v>632</v>
      </c>
      <c r="D910" s="75">
        <f t="shared" si="286"/>
        <v>46112</v>
      </c>
      <c r="E910" s="75">
        <f t="shared" si="287"/>
        <v>46096</v>
      </c>
      <c r="F910" s="75">
        <f t="shared" si="288"/>
        <v>46103</v>
      </c>
      <c r="G910" s="75">
        <f t="shared" si="289"/>
        <v>46109</v>
      </c>
      <c r="H910" s="75">
        <f t="shared" si="290"/>
        <v>46097</v>
      </c>
      <c r="I910" s="75">
        <f t="shared" si="291"/>
        <v>46104</v>
      </c>
      <c r="J910" s="75">
        <v>46118</v>
      </c>
      <c r="K910" s="25">
        <f t="shared" si="292"/>
        <v>29</v>
      </c>
      <c r="L910" s="25">
        <v>12.01</v>
      </c>
      <c r="M910" s="25">
        <v>10.72</v>
      </c>
      <c r="N910" s="25">
        <f t="shared" si="293"/>
        <v>1.2899999999999991</v>
      </c>
      <c r="O910" s="25" t="s">
        <v>545</v>
      </c>
    </row>
    <row r="911" spans="1:15" x14ac:dyDescent="0.25">
      <c r="A911" s="75">
        <v>46089</v>
      </c>
      <c r="B911" s="25" t="s">
        <v>432</v>
      </c>
      <c r="C911" s="25" t="s">
        <v>633</v>
      </c>
      <c r="D911" s="75">
        <f t="shared" si="286"/>
        <v>46112</v>
      </c>
      <c r="E911" s="75">
        <f t="shared" si="287"/>
        <v>46096</v>
      </c>
      <c r="F911" s="75">
        <f t="shared" si="288"/>
        <v>46103</v>
      </c>
      <c r="G911" s="75">
        <f t="shared" si="289"/>
        <v>46109</v>
      </c>
      <c r="H911" s="75">
        <f t="shared" si="290"/>
        <v>46097</v>
      </c>
      <c r="I911" s="75">
        <f t="shared" si="291"/>
        <v>46104</v>
      </c>
      <c r="J911" s="75">
        <v>46118</v>
      </c>
      <c r="K911" s="25">
        <f t="shared" si="292"/>
        <v>29</v>
      </c>
      <c r="L911" s="25">
        <v>11.97</v>
      </c>
      <c r="M911" s="25">
        <v>10.54</v>
      </c>
      <c r="N911" s="25">
        <f t="shared" si="293"/>
        <v>1.4300000000000015</v>
      </c>
      <c r="O911" s="25" t="s">
        <v>545</v>
      </c>
    </row>
    <row r="912" spans="1:15" x14ac:dyDescent="0.25">
      <c r="A912" s="75">
        <v>46089</v>
      </c>
      <c r="B912" s="25" t="s">
        <v>433</v>
      </c>
      <c r="C912" s="25" t="s">
        <v>634</v>
      </c>
      <c r="D912" s="75">
        <f t="shared" si="286"/>
        <v>46112</v>
      </c>
      <c r="E912" s="75">
        <f t="shared" si="287"/>
        <v>46096</v>
      </c>
      <c r="F912" s="75">
        <f t="shared" si="288"/>
        <v>46103</v>
      </c>
      <c r="G912" s="75">
        <f t="shared" si="289"/>
        <v>46109</v>
      </c>
      <c r="H912" s="75">
        <f t="shared" si="290"/>
        <v>46097</v>
      </c>
      <c r="I912" s="75">
        <f t="shared" si="291"/>
        <v>46104</v>
      </c>
      <c r="J912" s="75">
        <v>46118</v>
      </c>
      <c r="K912" s="25">
        <f t="shared" si="292"/>
        <v>29</v>
      </c>
      <c r="L912" s="25">
        <v>11.62</v>
      </c>
      <c r="M912" s="25">
        <v>9.8699999999999992</v>
      </c>
      <c r="N912" s="25">
        <f t="shared" si="293"/>
        <v>1.75</v>
      </c>
      <c r="O912" s="25" t="s">
        <v>545</v>
      </c>
    </row>
    <row r="913" spans="1:15" x14ac:dyDescent="0.25">
      <c r="A913" s="75">
        <v>46089</v>
      </c>
      <c r="B913" s="25" t="s">
        <v>434</v>
      </c>
      <c r="C913" s="25" t="s">
        <v>635</v>
      </c>
      <c r="D913" s="75">
        <f t="shared" si="286"/>
        <v>46112</v>
      </c>
      <c r="E913" s="75">
        <f t="shared" si="287"/>
        <v>46096</v>
      </c>
      <c r="F913" s="75">
        <f t="shared" si="288"/>
        <v>46103</v>
      </c>
      <c r="G913" s="75">
        <f t="shared" si="289"/>
        <v>46109</v>
      </c>
      <c r="H913" s="75">
        <f t="shared" si="290"/>
        <v>46097</v>
      </c>
      <c r="I913" s="75">
        <f t="shared" si="291"/>
        <v>46104</v>
      </c>
      <c r="J913" s="75">
        <v>46118</v>
      </c>
      <c r="K913" s="25">
        <f t="shared" si="292"/>
        <v>29</v>
      </c>
      <c r="L913" s="25">
        <v>12.98</v>
      </c>
      <c r="M913" s="25">
        <v>11.78</v>
      </c>
      <c r="N913" s="25">
        <f t="shared" si="293"/>
        <v>1.2000000000000011</v>
      </c>
      <c r="O913" s="25" t="s">
        <v>545</v>
      </c>
    </row>
    <row r="914" spans="1:15" x14ac:dyDescent="0.25">
      <c r="A914" s="75">
        <v>46090</v>
      </c>
      <c r="B914" s="25" t="s">
        <v>435</v>
      </c>
      <c r="C914" s="25" t="s">
        <v>636</v>
      </c>
      <c r="D914" s="75">
        <f t="shared" si="286"/>
        <v>46113</v>
      </c>
      <c r="E914" s="75">
        <f t="shared" si="287"/>
        <v>46097</v>
      </c>
      <c r="F914" s="75">
        <f t="shared" si="288"/>
        <v>46104</v>
      </c>
      <c r="G914" s="75">
        <f t="shared" si="289"/>
        <v>46110</v>
      </c>
      <c r="H914" s="75">
        <f t="shared" si="290"/>
        <v>46098</v>
      </c>
      <c r="I914" s="75">
        <f t="shared" si="291"/>
        <v>46105</v>
      </c>
      <c r="J914" s="75">
        <v>46118</v>
      </c>
      <c r="K914" s="25">
        <f t="shared" si="292"/>
        <v>28</v>
      </c>
      <c r="L914" s="25">
        <v>11.35</v>
      </c>
      <c r="M914" s="25">
        <v>10.51</v>
      </c>
      <c r="N914" s="25">
        <f t="shared" si="293"/>
        <v>0.83999999999999986</v>
      </c>
      <c r="O914" s="25" t="s">
        <v>545</v>
      </c>
    </row>
    <row r="915" spans="1:15" x14ac:dyDescent="0.25">
      <c r="A915" s="75">
        <v>46090</v>
      </c>
      <c r="B915" s="25" t="s">
        <v>436</v>
      </c>
      <c r="C915" s="25" t="s">
        <v>637</v>
      </c>
      <c r="D915" s="75">
        <f t="shared" ref="D915:D978" si="294">A915+23</f>
        <v>46113</v>
      </c>
      <c r="E915" s="75">
        <f t="shared" ref="E915:E978" si="295">A915+7</f>
        <v>46097</v>
      </c>
      <c r="F915" s="75">
        <f t="shared" ref="F915:F978" si="296">A915+14</f>
        <v>46104</v>
      </c>
      <c r="G915" s="75">
        <f t="shared" ref="G915:G978" si="297">A915+20</f>
        <v>46110</v>
      </c>
      <c r="H915" s="75">
        <f t="shared" ref="H915:H978" si="298">A915+8</f>
        <v>46098</v>
      </c>
      <c r="I915" s="75">
        <f t="shared" ref="I915:I978" si="299">A915+15</f>
        <v>46105</v>
      </c>
      <c r="J915" s="75">
        <v>46118</v>
      </c>
      <c r="K915" s="25">
        <f t="shared" ref="K915:K978" si="300">J915-A915</f>
        <v>28</v>
      </c>
      <c r="L915" s="25">
        <v>11.84</v>
      </c>
      <c r="M915" s="25">
        <v>9.1199999999999992</v>
      </c>
      <c r="N915" s="25">
        <f t="shared" ref="N915:N978" si="301">L915-M915</f>
        <v>2.7200000000000006</v>
      </c>
      <c r="O915" s="25" t="s">
        <v>545</v>
      </c>
    </row>
    <row r="916" spans="1:15" x14ac:dyDescent="0.25">
      <c r="A916" s="75">
        <v>46090</v>
      </c>
      <c r="B916" s="25" t="s">
        <v>437</v>
      </c>
      <c r="C916" s="25" t="s">
        <v>638</v>
      </c>
      <c r="D916" s="75">
        <f t="shared" si="294"/>
        <v>46113</v>
      </c>
      <c r="E916" s="75">
        <f t="shared" si="295"/>
        <v>46097</v>
      </c>
      <c r="F916" s="75">
        <f t="shared" si="296"/>
        <v>46104</v>
      </c>
      <c r="G916" s="75">
        <f t="shared" si="297"/>
        <v>46110</v>
      </c>
      <c r="H916" s="75">
        <f t="shared" si="298"/>
        <v>46098</v>
      </c>
      <c r="I916" s="75">
        <f t="shared" si="299"/>
        <v>46105</v>
      </c>
      <c r="J916" s="75">
        <v>46119</v>
      </c>
      <c r="K916" s="25">
        <f t="shared" si="300"/>
        <v>29</v>
      </c>
      <c r="L916" s="25">
        <v>12.35</v>
      </c>
      <c r="M916" s="25">
        <v>10.119999999999999</v>
      </c>
      <c r="N916" s="25">
        <f t="shared" si="301"/>
        <v>2.2300000000000004</v>
      </c>
      <c r="O916" s="25" t="s">
        <v>545</v>
      </c>
    </row>
    <row r="917" spans="1:15" x14ac:dyDescent="0.25">
      <c r="A917" s="75">
        <v>46090</v>
      </c>
      <c r="B917" s="25" t="s">
        <v>438</v>
      </c>
      <c r="C917" s="25" t="s">
        <v>639</v>
      </c>
      <c r="D917" s="75">
        <f t="shared" si="294"/>
        <v>46113</v>
      </c>
      <c r="E917" s="75">
        <f t="shared" si="295"/>
        <v>46097</v>
      </c>
      <c r="F917" s="75">
        <f t="shared" si="296"/>
        <v>46104</v>
      </c>
      <c r="G917" s="75">
        <f t="shared" si="297"/>
        <v>46110</v>
      </c>
      <c r="H917" s="75">
        <f t="shared" si="298"/>
        <v>46098</v>
      </c>
      <c r="I917" s="75">
        <f t="shared" si="299"/>
        <v>46105</v>
      </c>
      <c r="J917" s="75">
        <v>46119</v>
      </c>
      <c r="K917" s="25">
        <f t="shared" si="300"/>
        <v>29</v>
      </c>
      <c r="L917" s="25">
        <v>12.51</v>
      </c>
      <c r="M917" s="25">
        <v>10.34</v>
      </c>
      <c r="N917" s="25">
        <f t="shared" si="301"/>
        <v>2.17</v>
      </c>
      <c r="O917" s="25" t="s">
        <v>545</v>
      </c>
    </row>
    <row r="918" spans="1:15" x14ac:dyDescent="0.25">
      <c r="A918" s="75">
        <v>46090</v>
      </c>
      <c r="B918" s="25" t="s">
        <v>439</v>
      </c>
      <c r="C918" s="25" t="s">
        <v>640</v>
      </c>
      <c r="D918" s="75">
        <f t="shared" si="294"/>
        <v>46113</v>
      </c>
      <c r="E918" s="75">
        <f t="shared" si="295"/>
        <v>46097</v>
      </c>
      <c r="F918" s="75">
        <f t="shared" si="296"/>
        <v>46104</v>
      </c>
      <c r="G918" s="75">
        <f t="shared" si="297"/>
        <v>46110</v>
      </c>
      <c r="H918" s="75">
        <f t="shared" si="298"/>
        <v>46098</v>
      </c>
      <c r="I918" s="75">
        <f t="shared" si="299"/>
        <v>46105</v>
      </c>
      <c r="J918" s="75">
        <v>46119</v>
      </c>
      <c r="K918" s="25">
        <f t="shared" si="300"/>
        <v>29</v>
      </c>
      <c r="L918" s="25">
        <v>11.37</v>
      </c>
      <c r="M918" s="25">
        <v>9.25</v>
      </c>
      <c r="N918" s="25">
        <f t="shared" si="301"/>
        <v>2.1199999999999992</v>
      </c>
      <c r="O918" s="25" t="s">
        <v>545</v>
      </c>
    </row>
    <row r="919" spans="1:15" x14ac:dyDescent="0.25">
      <c r="A919" s="75">
        <v>46090</v>
      </c>
      <c r="B919" s="25" t="s">
        <v>440</v>
      </c>
      <c r="C919" s="25" t="s">
        <v>641</v>
      </c>
      <c r="D919" s="75">
        <f t="shared" si="294"/>
        <v>46113</v>
      </c>
      <c r="E919" s="75">
        <f t="shared" si="295"/>
        <v>46097</v>
      </c>
      <c r="F919" s="75">
        <f t="shared" si="296"/>
        <v>46104</v>
      </c>
      <c r="G919" s="75">
        <f t="shared" si="297"/>
        <v>46110</v>
      </c>
      <c r="H919" s="75">
        <f t="shared" si="298"/>
        <v>46098</v>
      </c>
      <c r="I919" s="75">
        <f t="shared" si="299"/>
        <v>46105</v>
      </c>
      <c r="J919" s="75">
        <v>46119</v>
      </c>
      <c r="K919" s="25">
        <f t="shared" si="300"/>
        <v>29</v>
      </c>
      <c r="L919" s="25">
        <v>13.42</v>
      </c>
      <c r="M919" s="25">
        <v>11.17</v>
      </c>
      <c r="N919" s="25">
        <f t="shared" si="301"/>
        <v>2.25</v>
      </c>
      <c r="O919" s="25" t="s">
        <v>545</v>
      </c>
    </row>
    <row r="920" spans="1:15" x14ac:dyDescent="0.25">
      <c r="A920" s="75">
        <v>46090</v>
      </c>
      <c r="B920" s="25" t="s">
        <v>441</v>
      </c>
      <c r="C920" s="25" t="s">
        <v>642</v>
      </c>
      <c r="D920" s="75">
        <f t="shared" si="294"/>
        <v>46113</v>
      </c>
      <c r="E920" s="75">
        <f t="shared" si="295"/>
        <v>46097</v>
      </c>
      <c r="F920" s="75">
        <f t="shared" si="296"/>
        <v>46104</v>
      </c>
      <c r="G920" s="75">
        <f t="shared" si="297"/>
        <v>46110</v>
      </c>
      <c r="H920" s="75">
        <f t="shared" si="298"/>
        <v>46098</v>
      </c>
      <c r="I920" s="75">
        <f t="shared" si="299"/>
        <v>46105</v>
      </c>
      <c r="J920" s="75">
        <v>46120</v>
      </c>
      <c r="K920" s="25">
        <f t="shared" si="300"/>
        <v>30</v>
      </c>
      <c r="L920" s="25">
        <v>13.61</v>
      </c>
      <c r="M920" s="25">
        <v>11.36</v>
      </c>
      <c r="N920" s="25">
        <f t="shared" si="301"/>
        <v>2.25</v>
      </c>
      <c r="O920" s="25" t="s">
        <v>545</v>
      </c>
    </row>
    <row r="921" spans="1:15" x14ac:dyDescent="0.25">
      <c r="A921" s="75">
        <v>46091</v>
      </c>
      <c r="B921" s="25" t="s">
        <v>551</v>
      </c>
      <c r="C921" s="25" t="s">
        <v>646</v>
      </c>
      <c r="D921" s="75">
        <f t="shared" si="294"/>
        <v>46114</v>
      </c>
      <c r="E921" s="75">
        <f t="shared" si="295"/>
        <v>46098</v>
      </c>
      <c r="F921" s="75">
        <f t="shared" si="296"/>
        <v>46105</v>
      </c>
      <c r="G921" s="75">
        <f t="shared" si="297"/>
        <v>46111</v>
      </c>
      <c r="H921" s="75">
        <f t="shared" si="298"/>
        <v>46099</v>
      </c>
      <c r="I921" s="75">
        <f t="shared" si="299"/>
        <v>46106</v>
      </c>
      <c r="J921" s="75">
        <v>46124</v>
      </c>
      <c r="K921" s="25">
        <f t="shared" si="300"/>
        <v>33</v>
      </c>
      <c r="L921" s="25">
        <v>11.42</v>
      </c>
      <c r="M921" s="25">
        <v>9.35</v>
      </c>
      <c r="N921" s="25">
        <f t="shared" si="301"/>
        <v>2.0700000000000003</v>
      </c>
      <c r="O921" s="25" t="s">
        <v>545</v>
      </c>
    </row>
    <row r="922" spans="1:15" x14ac:dyDescent="0.25">
      <c r="A922" s="75">
        <v>46091</v>
      </c>
      <c r="B922" s="25" t="s">
        <v>552</v>
      </c>
      <c r="C922" s="25" t="s">
        <v>647</v>
      </c>
      <c r="D922" s="75">
        <f t="shared" si="294"/>
        <v>46114</v>
      </c>
      <c r="E922" s="75">
        <f t="shared" si="295"/>
        <v>46098</v>
      </c>
      <c r="F922" s="75">
        <f t="shared" si="296"/>
        <v>46105</v>
      </c>
      <c r="G922" s="75">
        <f t="shared" si="297"/>
        <v>46111</v>
      </c>
      <c r="H922" s="75">
        <f t="shared" si="298"/>
        <v>46099</v>
      </c>
      <c r="I922" s="75">
        <f t="shared" si="299"/>
        <v>46106</v>
      </c>
      <c r="J922" s="75">
        <v>46124</v>
      </c>
      <c r="K922" s="25">
        <f t="shared" si="300"/>
        <v>33</v>
      </c>
      <c r="L922" s="25">
        <v>12.65</v>
      </c>
      <c r="M922" s="25">
        <v>10.58</v>
      </c>
      <c r="N922" s="25">
        <f t="shared" si="301"/>
        <v>2.0700000000000003</v>
      </c>
      <c r="O922" s="25" t="s">
        <v>545</v>
      </c>
    </row>
    <row r="923" spans="1:15" x14ac:dyDescent="0.25">
      <c r="A923" s="75">
        <v>46091</v>
      </c>
      <c r="B923" s="25" t="s">
        <v>553</v>
      </c>
      <c r="C923" s="25" t="s">
        <v>648</v>
      </c>
      <c r="D923" s="75">
        <f t="shared" si="294"/>
        <v>46114</v>
      </c>
      <c r="E923" s="75">
        <f t="shared" si="295"/>
        <v>46098</v>
      </c>
      <c r="F923" s="75">
        <f t="shared" si="296"/>
        <v>46105</v>
      </c>
      <c r="G923" s="75">
        <f t="shared" si="297"/>
        <v>46111</v>
      </c>
      <c r="H923" s="75">
        <f t="shared" si="298"/>
        <v>46099</v>
      </c>
      <c r="I923" s="75">
        <f t="shared" si="299"/>
        <v>46106</v>
      </c>
      <c r="J923" s="75">
        <v>46125</v>
      </c>
      <c r="K923" s="25">
        <f t="shared" si="300"/>
        <v>34</v>
      </c>
      <c r="L923" s="25">
        <v>11.63</v>
      </c>
      <c r="M923" s="25">
        <v>9.85</v>
      </c>
      <c r="N923" s="25">
        <f t="shared" si="301"/>
        <v>1.7800000000000011</v>
      </c>
      <c r="O923" s="25" t="s">
        <v>545</v>
      </c>
    </row>
    <row r="924" spans="1:15" x14ac:dyDescent="0.25">
      <c r="A924" s="75">
        <v>46091</v>
      </c>
      <c r="B924" s="25" t="s">
        <v>554</v>
      </c>
      <c r="C924" s="25" t="s">
        <v>649</v>
      </c>
      <c r="D924" s="75">
        <f t="shared" si="294"/>
        <v>46114</v>
      </c>
      <c r="E924" s="75">
        <f t="shared" si="295"/>
        <v>46098</v>
      </c>
      <c r="F924" s="75">
        <f t="shared" si="296"/>
        <v>46105</v>
      </c>
      <c r="G924" s="75">
        <f t="shared" si="297"/>
        <v>46111</v>
      </c>
      <c r="H924" s="75">
        <f t="shared" si="298"/>
        <v>46099</v>
      </c>
      <c r="I924" s="75">
        <f t="shared" si="299"/>
        <v>46106</v>
      </c>
      <c r="J924" s="75">
        <v>46125</v>
      </c>
      <c r="K924" s="25">
        <f t="shared" si="300"/>
        <v>34</v>
      </c>
      <c r="L924" s="25">
        <v>12.47</v>
      </c>
      <c r="M924" s="25">
        <v>10.31</v>
      </c>
      <c r="N924" s="25">
        <f t="shared" si="301"/>
        <v>2.16</v>
      </c>
      <c r="O924" s="25" t="s">
        <v>545</v>
      </c>
    </row>
    <row r="925" spans="1:15" x14ac:dyDescent="0.25">
      <c r="A925" s="75">
        <v>46091</v>
      </c>
      <c r="B925" s="25" t="s">
        <v>555</v>
      </c>
      <c r="C925" s="25" t="s">
        <v>650</v>
      </c>
      <c r="D925" s="75">
        <f t="shared" si="294"/>
        <v>46114</v>
      </c>
      <c r="E925" s="75">
        <f t="shared" si="295"/>
        <v>46098</v>
      </c>
      <c r="F925" s="75">
        <f t="shared" si="296"/>
        <v>46105</v>
      </c>
      <c r="G925" s="75">
        <f t="shared" si="297"/>
        <v>46111</v>
      </c>
      <c r="H925" s="75">
        <f t="shared" si="298"/>
        <v>46099</v>
      </c>
      <c r="I925" s="75">
        <f t="shared" si="299"/>
        <v>46106</v>
      </c>
      <c r="J925" s="75">
        <v>46125</v>
      </c>
      <c r="K925" s="25">
        <f t="shared" si="300"/>
        <v>34</v>
      </c>
      <c r="L925" s="25">
        <v>11.54</v>
      </c>
      <c r="M925" s="25">
        <v>9.73</v>
      </c>
      <c r="N925" s="25">
        <f t="shared" si="301"/>
        <v>1.8099999999999987</v>
      </c>
      <c r="O925" s="25" t="s">
        <v>545</v>
      </c>
    </row>
    <row r="926" spans="1:15" x14ac:dyDescent="0.25">
      <c r="A926" s="75">
        <v>46091</v>
      </c>
      <c r="B926" s="25" t="s">
        <v>556</v>
      </c>
      <c r="C926" s="25" t="s">
        <v>651</v>
      </c>
      <c r="D926" s="75">
        <f t="shared" si="294"/>
        <v>46114</v>
      </c>
      <c r="E926" s="75">
        <f t="shared" si="295"/>
        <v>46098</v>
      </c>
      <c r="F926" s="75">
        <f t="shared" si="296"/>
        <v>46105</v>
      </c>
      <c r="G926" s="75">
        <f t="shared" si="297"/>
        <v>46111</v>
      </c>
      <c r="H926" s="75">
        <f t="shared" si="298"/>
        <v>46099</v>
      </c>
      <c r="I926" s="75">
        <f t="shared" si="299"/>
        <v>46106</v>
      </c>
      <c r="J926" s="75">
        <v>46125</v>
      </c>
      <c r="K926" s="25">
        <f t="shared" si="300"/>
        <v>34</v>
      </c>
      <c r="L926" s="25">
        <v>11.31</v>
      </c>
      <c r="M926" s="25">
        <v>9.2799999999999994</v>
      </c>
      <c r="N926" s="25">
        <f t="shared" si="301"/>
        <v>2.0300000000000011</v>
      </c>
      <c r="O926" s="25" t="s">
        <v>545</v>
      </c>
    </row>
    <row r="927" spans="1:15" x14ac:dyDescent="0.25">
      <c r="A927" s="75">
        <v>46091</v>
      </c>
      <c r="B927" s="25" t="s">
        <v>557</v>
      </c>
      <c r="C927" s="25" t="s">
        <v>652</v>
      </c>
      <c r="D927" s="75">
        <f t="shared" si="294"/>
        <v>46114</v>
      </c>
      <c r="E927" s="75">
        <f t="shared" si="295"/>
        <v>46098</v>
      </c>
      <c r="F927" s="75">
        <f t="shared" si="296"/>
        <v>46105</v>
      </c>
      <c r="G927" s="75">
        <f t="shared" si="297"/>
        <v>46111</v>
      </c>
      <c r="H927" s="75">
        <f t="shared" si="298"/>
        <v>46099</v>
      </c>
      <c r="I927" s="75">
        <f t="shared" si="299"/>
        <v>46106</v>
      </c>
      <c r="J927" s="75">
        <v>46125</v>
      </c>
      <c r="K927" s="25">
        <f t="shared" si="300"/>
        <v>34</v>
      </c>
      <c r="L927" s="25">
        <v>13.48</v>
      </c>
      <c r="M927" s="25">
        <v>11.12</v>
      </c>
      <c r="N927" s="25">
        <f t="shared" si="301"/>
        <v>2.3600000000000012</v>
      </c>
      <c r="O927" s="25" t="s">
        <v>545</v>
      </c>
    </row>
    <row r="928" spans="1:15" x14ac:dyDescent="0.25">
      <c r="A928" s="75">
        <v>46092</v>
      </c>
      <c r="B928" s="25" t="s">
        <v>548</v>
      </c>
      <c r="C928" s="25" t="s">
        <v>643</v>
      </c>
      <c r="D928" s="75">
        <f t="shared" si="294"/>
        <v>46115</v>
      </c>
      <c r="E928" s="75">
        <f t="shared" si="295"/>
        <v>46099</v>
      </c>
      <c r="F928" s="75">
        <f t="shared" si="296"/>
        <v>46106</v>
      </c>
      <c r="G928" s="75">
        <f t="shared" si="297"/>
        <v>46112</v>
      </c>
      <c r="H928" s="75">
        <f t="shared" si="298"/>
        <v>46100</v>
      </c>
      <c r="I928" s="75">
        <f t="shared" si="299"/>
        <v>46107</v>
      </c>
      <c r="J928" s="75">
        <v>46124</v>
      </c>
      <c r="K928" s="25">
        <f t="shared" si="300"/>
        <v>32</v>
      </c>
      <c r="L928" s="25">
        <v>12.32</v>
      </c>
      <c r="M928" s="25">
        <v>10.210000000000001</v>
      </c>
      <c r="N928" s="25">
        <f t="shared" si="301"/>
        <v>2.1099999999999994</v>
      </c>
      <c r="O928" s="25" t="s">
        <v>545</v>
      </c>
    </row>
    <row r="929" spans="1:15" x14ac:dyDescent="0.25">
      <c r="A929" s="75">
        <v>46092</v>
      </c>
      <c r="B929" s="25" t="s">
        <v>549</v>
      </c>
      <c r="C929" s="25" t="s">
        <v>644</v>
      </c>
      <c r="D929" s="75">
        <f t="shared" si="294"/>
        <v>46115</v>
      </c>
      <c r="E929" s="75">
        <f t="shared" si="295"/>
        <v>46099</v>
      </c>
      <c r="F929" s="75">
        <f t="shared" si="296"/>
        <v>46106</v>
      </c>
      <c r="G929" s="75">
        <f t="shared" si="297"/>
        <v>46112</v>
      </c>
      <c r="H929" s="75">
        <f t="shared" si="298"/>
        <v>46100</v>
      </c>
      <c r="I929" s="75">
        <f t="shared" si="299"/>
        <v>46107</v>
      </c>
      <c r="J929" s="75">
        <v>46124</v>
      </c>
      <c r="K929" s="25">
        <f t="shared" si="300"/>
        <v>32</v>
      </c>
      <c r="L929" s="25">
        <v>12.28</v>
      </c>
      <c r="M929" s="25">
        <v>10.11</v>
      </c>
      <c r="N929" s="25">
        <f t="shared" si="301"/>
        <v>2.17</v>
      </c>
      <c r="O929" s="25" t="s">
        <v>545</v>
      </c>
    </row>
    <row r="930" spans="1:15" x14ac:dyDescent="0.25">
      <c r="A930" s="75">
        <v>46092</v>
      </c>
      <c r="B930" s="25" t="s">
        <v>550</v>
      </c>
      <c r="C930" s="25" t="s">
        <v>645</v>
      </c>
      <c r="D930" s="75">
        <f t="shared" si="294"/>
        <v>46115</v>
      </c>
      <c r="E930" s="75">
        <f t="shared" si="295"/>
        <v>46099</v>
      </c>
      <c r="F930" s="75">
        <f t="shared" si="296"/>
        <v>46106</v>
      </c>
      <c r="G930" s="75">
        <f t="shared" si="297"/>
        <v>46112</v>
      </c>
      <c r="H930" s="75">
        <f t="shared" si="298"/>
        <v>46100</v>
      </c>
      <c r="I930" s="75">
        <f t="shared" si="299"/>
        <v>46107</v>
      </c>
      <c r="J930" s="75">
        <v>46124</v>
      </c>
      <c r="K930" s="25">
        <f t="shared" si="300"/>
        <v>32</v>
      </c>
      <c r="L930" s="25">
        <v>10.51</v>
      </c>
      <c r="M930" s="25">
        <v>8.76</v>
      </c>
      <c r="N930" s="25">
        <f t="shared" si="301"/>
        <v>1.75</v>
      </c>
      <c r="O930" s="25" t="s">
        <v>545</v>
      </c>
    </row>
    <row r="931" spans="1:15" x14ac:dyDescent="0.25">
      <c r="A931" s="75">
        <v>46092</v>
      </c>
      <c r="B931" s="25" t="s">
        <v>442</v>
      </c>
      <c r="C931" s="25" t="s">
        <v>659</v>
      </c>
      <c r="D931" s="75">
        <f t="shared" si="294"/>
        <v>46115</v>
      </c>
      <c r="E931" s="75">
        <f t="shared" si="295"/>
        <v>46099</v>
      </c>
      <c r="F931" s="75">
        <f t="shared" si="296"/>
        <v>46106</v>
      </c>
      <c r="G931" s="75">
        <f t="shared" si="297"/>
        <v>46112</v>
      </c>
      <c r="H931" s="75">
        <f t="shared" si="298"/>
        <v>46100</v>
      </c>
      <c r="I931" s="75">
        <f t="shared" si="299"/>
        <v>46107</v>
      </c>
      <c r="J931" s="75">
        <v>46120</v>
      </c>
      <c r="K931" s="25">
        <f t="shared" si="300"/>
        <v>28</v>
      </c>
      <c r="L931" s="25">
        <v>14.27</v>
      </c>
      <c r="M931" s="25">
        <v>12.54</v>
      </c>
      <c r="N931" s="25">
        <f t="shared" si="301"/>
        <v>1.7300000000000004</v>
      </c>
      <c r="O931" s="25" t="s">
        <v>545</v>
      </c>
    </row>
    <row r="932" spans="1:15" x14ac:dyDescent="0.25">
      <c r="A932" s="75">
        <v>46092</v>
      </c>
      <c r="B932" s="25" t="s">
        <v>443</v>
      </c>
      <c r="C932" s="25" t="s">
        <v>660</v>
      </c>
      <c r="D932" s="75">
        <f t="shared" si="294"/>
        <v>46115</v>
      </c>
      <c r="E932" s="75">
        <f t="shared" si="295"/>
        <v>46099</v>
      </c>
      <c r="F932" s="75">
        <f t="shared" si="296"/>
        <v>46106</v>
      </c>
      <c r="G932" s="75">
        <f t="shared" si="297"/>
        <v>46112</v>
      </c>
      <c r="H932" s="75">
        <f t="shared" si="298"/>
        <v>46100</v>
      </c>
      <c r="I932" s="75">
        <f t="shared" si="299"/>
        <v>46107</v>
      </c>
      <c r="J932" s="75">
        <v>46120</v>
      </c>
      <c r="K932" s="25">
        <f t="shared" si="300"/>
        <v>28</v>
      </c>
      <c r="L932" s="25">
        <v>14.52</v>
      </c>
      <c r="M932" s="25">
        <v>12.73</v>
      </c>
      <c r="N932" s="25">
        <f t="shared" si="301"/>
        <v>1.7899999999999991</v>
      </c>
      <c r="O932" s="25" t="s">
        <v>545</v>
      </c>
    </row>
    <row r="933" spans="1:15" x14ac:dyDescent="0.25">
      <c r="A933" s="75">
        <v>46092</v>
      </c>
      <c r="B933" s="25" t="s">
        <v>444</v>
      </c>
      <c r="C933" s="25" t="s">
        <v>661</v>
      </c>
      <c r="D933" s="75">
        <f t="shared" si="294"/>
        <v>46115</v>
      </c>
      <c r="E933" s="75">
        <f t="shared" si="295"/>
        <v>46099</v>
      </c>
      <c r="F933" s="75">
        <f t="shared" si="296"/>
        <v>46106</v>
      </c>
      <c r="G933" s="75">
        <f t="shared" si="297"/>
        <v>46112</v>
      </c>
      <c r="H933" s="75">
        <f t="shared" si="298"/>
        <v>46100</v>
      </c>
      <c r="I933" s="75">
        <f t="shared" si="299"/>
        <v>46107</v>
      </c>
      <c r="J933" s="75">
        <v>46124</v>
      </c>
      <c r="K933" s="25">
        <f t="shared" si="300"/>
        <v>32</v>
      </c>
      <c r="L933" s="25">
        <v>11.26</v>
      </c>
      <c r="M933" s="25">
        <v>9.31</v>
      </c>
      <c r="N933" s="25">
        <f t="shared" si="301"/>
        <v>1.9499999999999993</v>
      </c>
      <c r="O933" s="25" t="s">
        <v>545</v>
      </c>
    </row>
    <row r="934" spans="1:15" x14ac:dyDescent="0.25">
      <c r="A934" s="75">
        <v>46092</v>
      </c>
      <c r="B934" s="25" t="s">
        <v>445</v>
      </c>
      <c r="C934" s="25" t="s">
        <v>605</v>
      </c>
      <c r="D934" s="75">
        <f t="shared" si="294"/>
        <v>46115</v>
      </c>
      <c r="E934" s="75">
        <f t="shared" si="295"/>
        <v>46099</v>
      </c>
      <c r="F934" s="75">
        <f t="shared" si="296"/>
        <v>46106</v>
      </c>
      <c r="G934" s="75">
        <f t="shared" si="297"/>
        <v>46112</v>
      </c>
      <c r="H934" s="75">
        <f t="shared" si="298"/>
        <v>46100</v>
      </c>
      <c r="I934" s="75">
        <f t="shared" si="299"/>
        <v>46107</v>
      </c>
      <c r="J934" s="75">
        <v>46124</v>
      </c>
      <c r="K934" s="25">
        <f t="shared" si="300"/>
        <v>32</v>
      </c>
      <c r="L934" s="25">
        <v>11.71</v>
      </c>
      <c r="M934" s="25">
        <v>9.84</v>
      </c>
      <c r="N934" s="25">
        <f t="shared" si="301"/>
        <v>1.870000000000001</v>
      </c>
      <c r="O934" s="25" t="s">
        <v>545</v>
      </c>
    </row>
    <row r="935" spans="1:15" x14ac:dyDescent="0.25">
      <c r="A935" s="75">
        <v>46092</v>
      </c>
      <c r="B935" s="25" t="s">
        <v>446</v>
      </c>
      <c r="C935" s="25" t="s">
        <v>606</v>
      </c>
      <c r="D935" s="75">
        <f t="shared" si="294"/>
        <v>46115</v>
      </c>
      <c r="E935" s="75">
        <f t="shared" si="295"/>
        <v>46099</v>
      </c>
      <c r="F935" s="75">
        <f t="shared" si="296"/>
        <v>46106</v>
      </c>
      <c r="G935" s="75">
        <f t="shared" si="297"/>
        <v>46112</v>
      </c>
      <c r="H935" s="75">
        <f t="shared" si="298"/>
        <v>46100</v>
      </c>
      <c r="I935" s="75">
        <f t="shared" si="299"/>
        <v>46107</v>
      </c>
      <c r="J935" s="75">
        <v>46124</v>
      </c>
      <c r="K935" s="25">
        <f t="shared" si="300"/>
        <v>32</v>
      </c>
      <c r="L935" s="25">
        <v>10.16</v>
      </c>
      <c r="M935" s="25">
        <v>8.06</v>
      </c>
      <c r="N935" s="25">
        <f t="shared" si="301"/>
        <v>2.0999999999999996</v>
      </c>
      <c r="O935" s="25" t="s">
        <v>545</v>
      </c>
    </row>
    <row r="936" spans="1:15" x14ac:dyDescent="0.25">
      <c r="A936" s="75">
        <v>46093</v>
      </c>
      <c r="B936" s="25" t="s">
        <v>504</v>
      </c>
      <c r="C936" s="25" t="s">
        <v>607</v>
      </c>
      <c r="D936" s="75">
        <f t="shared" si="294"/>
        <v>46116</v>
      </c>
      <c r="E936" s="75">
        <f t="shared" si="295"/>
        <v>46100</v>
      </c>
      <c r="F936" s="75">
        <f t="shared" si="296"/>
        <v>46107</v>
      </c>
      <c r="G936" s="75">
        <f t="shared" si="297"/>
        <v>46113</v>
      </c>
      <c r="H936" s="75">
        <f t="shared" si="298"/>
        <v>46101</v>
      </c>
      <c r="I936" s="75">
        <f t="shared" si="299"/>
        <v>46108</v>
      </c>
      <c r="J936" s="75">
        <v>46127</v>
      </c>
      <c r="K936" s="25">
        <f t="shared" si="300"/>
        <v>34</v>
      </c>
      <c r="L936" s="25">
        <v>13.52</v>
      </c>
      <c r="M936" s="25">
        <v>11.21</v>
      </c>
      <c r="N936" s="25">
        <f t="shared" si="301"/>
        <v>2.3099999999999987</v>
      </c>
      <c r="O936" s="25" t="s">
        <v>545</v>
      </c>
    </row>
    <row r="937" spans="1:15" x14ac:dyDescent="0.25">
      <c r="A937" s="75">
        <v>46093</v>
      </c>
      <c r="B937" s="25" t="s">
        <v>505</v>
      </c>
      <c r="C937" s="25" t="s">
        <v>608</v>
      </c>
      <c r="D937" s="75">
        <f t="shared" si="294"/>
        <v>46116</v>
      </c>
      <c r="E937" s="75">
        <f t="shared" si="295"/>
        <v>46100</v>
      </c>
      <c r="F937" s="75">
        <f t="shared" si="296"/>
        <v>46107</v>
      </c>
      <c r="G937" s="75">
        <f t="shared" si="297"/>
        <v>46113</v>
      </c>
      <c r="H937" s="75">
        <f t="shared" si="298"/>
        <v>46101</v>
      </c>
      <c r="I937" s="75">
        <f t="shared" si="299"/>
        <v>46108</v>
      </c>
      <c r="J937" s="75">
        <v>46127</v>
      </c>
      <c r="K937" s="25">
        <f t="shared" si="300"/>
        <v>34</v>
      </c>
      <c r="L937" s="25">
        <v>12.31</v>
      </c>
      <c r="M937" s="25">
        <v>10.54</v>
      </c>
      <c r="N937" s="25">
        <f t="shared" si="301"/>
        <v>1.7700000000000014</v>
      </c>
      <c r="O937" s="25" t="s">
        <v>545</v>
      </c>
    </row>
    <row r="938" spans="1:15" x14ac:dyDescent="0.25">
      <c r="A938" s="75">
        <v>46093</v>
      </c>
      <c r="B938" s="25" t="s">
        <v>506</v>
      </c>
      <c r="C938" s="25" t="s">
        <v>609</v>
      </c>
      <c r="D938" s="75">
        <f t="shared" si="294"/>
        <v>46116</v>
      </c>
      <c r="E938" s="75">
        <f t="shared" si="295"/>
        <v>46100</v>
      </c>
      <c r="F938" s="75">
        <f t="shared" si="296"/>
        <v>46107</v>
      </c>
      <c r="G938" s="75">
        <f t="shared" si="297"/>
        <v>46113</v>
      </c>
      <c r="H938" s="75">
        <f t="shared" si="298"/>
        <v>46101</v>
      </c>
      <c r="I938" s="75">
        <f t="shared" si="299"/>
        <v>46108</v>
      </c>
      <c r="J938" s="75">
        <v>46126</v>
      </c>
      <c r="K938" s="25">
        <f t="shared" si="300"/>
        <v>33</v>
      </c>
      <c r="L938" s="25">
        <v>12.21</v>
      </c>
      <c r="M938" s="25">
        <v>10.07</v>
      </c>
      <c r="N938" s="25">
        <f t="shared" si="301"/>
        <v>2.1400000000000006</v>
      </c>
      <c r="O938" s="25" t="s">
        <v>545</v>
      </c>
    </row>
    <row r="939" spans="1:15" x14ac:dyDescent="0.25">
      <c r="A939" s="75">
        <v>46093</v>
      </c>
      <c r="B939" s="25" t="s">
        <v>507</v>
      </c>
      <c r="C939" s="25" t="s">
        <v>610</v>
      </c>
      <c r="D939" s="75">
        <f t="shared" si="294"/>
        <v>46116</v>
      </c>
      <c r="E939" s="75">
        <f t="shared" si="295"/>
        <v>46100</v>
      </c>
      <c r="F939" s="75">
        <f t="shared" si="296"/>
        <v>46107</v>
      </c>
      <c r="G939" s="75">
        <f t="shared" si="297"/>
        <v>46113</v>
      </c>
      <c r="H939" s="75">
        <f t="shared" si="298"/>
        <v>46101</v>
      </c>
      <c r="I939" s="75">
        <f t="shared" si="299"/>
        <v>46108</v>
      </c>
      <c r="J939" s="75">
        <v>46126</v>
      </c>
      <c r="K939" s="25">
        <f t="shared" si="300"/>
        <v>33</v>
      </c>
      <c r="L939" s="25">
        <v>10.73</v>
      </c>
      <c r="M939" s="25">
        <v>9.35</v>
      </c>
      <c r="N939" s="25">
        <f t="shared" si="301"/>
        <v>1.3800000000000008</v>
      </c>
      <c r="O939" s="25" t="s">
        <v>545</v>
      </c>
    </row>
    <row r="940" spans="1:15" x14ac:dyDescent="0.25">
      <c r="A940" s="75">
        <v>46093</v>
      </c>
      <c r="B940" s="25" t="s">
        <v>508</v>
      </c>
      <c r="C940" s="25" t="s">
        <v>611</v>
      </c>
      <c r="D940" s="75">
        <f t="shared" si="294"/>
        <v>46116</v>
      </c>
      <c r="E940" s="75">
        <f t="shared" si="295"/>
        <v>46100</v>
      </c>
      <c r="F940" s="75">
        <f t="shared" si="296"/>
        <v>46107</v>
      </c>
      <c r="G940" s="75">
        <f t="shared" si="297"/>
        <v>46113</v>
      </c>
      <c r="H940" s="75">
        <f t="shared" si="298"/>
        <v>46101</v>
      </c>
      <c r="I940" s="75">
        <f t="shared" si="299"/>
        <v>46108</v>
      </c>
      <c r="J940" s="75">
        <v>46125</v>
      </c>
      <c r="K940" s="25">
        <f t="shared" si="300"/>
        <v>32</v>
      </c>
      <c r="L940" s="25">
        <v>10.19</v>
      </c>
      <c r="M940" s="25">
        <v>8.4700000000000006</v>
      </c>
      <c r="N940" s="25">
        <f t="shared" si="301"/>
        <v>1.7199999999999989</v>
      </c>
      <c r="O940" s="25" t="s">
        <v>545</v>
      </c>
    </row>
    <row r="941" spans="1:15" x14ac:dyDescent="0.25">
      <c r="A941" s="75">
        <v>46093</v>
      </c>
      <c r="B941" s="25" t="s">
        <v>509</v>
      </c>
      <c r="C941" s="25" t="s">
        <v>612</v>
      </c>
      <c r="D941" s="75">
        <f t="shared" si="294"/>
        <v>46116</v>
      </c>
      <c r="E941" s="75">
        <f t="shared" si="295"/>
        <v>46100</v>
      </c>
      <c r="F941" s="75">
        <f t="shared" si="296"/>
        <v>46107</v>
      </c>
      <c r="G941" s="75">
        <f t="shared" si="297"/>
        <v>46113</v>
      </c>
      <c r="H941" s="75">
        <f t="shared" si="298"/>
        <v>46101</v>
      </c>
      <c r="I941" s="75">
        <f t="shared" si="299"/>
        <v>46108</v>
      </c>
      <c r="J941" s="75">
        <v>46125</v>
      </c>
      <c r="K941" s="25">
        <f t="shared" si="300"/>
        <v>32</v>
      </c>
      <c r="L941" s="25">
        <v>10.65</v>
      </c>
      <c r="M941" s="25">
        <v>8.81</v>
      </c>
      <c r="N941" s="25">
        <f t="shared" si="301"/>
        <v>1.8399999999999999</v>
      </c>
      <c r="O941" s="25" t="s">
        <v>545</v>
      </c>
    </row>
    <row r="942" spans="1:15" x14ac:dyDescent="0.25">
      <c r="A942" s="75">
        <v>46093</v>
      </c>
      <c r="B942" s="25" t="s">
        <v>510</v>
      </c>
      <c r="C942" s="25" t="s">
        <v>613</v>
      </c>
      <c r="D942" s="75">
        <f t="shared" si="294"/>
        <v>46116</v>
      </c>
      <c r="E942" s="75">
        <f t="shared" si="295"/>
        <v>46100</v>
      </c>
      <c r="F942" s="75">
        <f t="shared" si="296"/>
        <v>46107</v>
      </c>
      <c r="G942" s="75">
        <f t="shared" si="297"/>
        <v>46113</v>
      </c>
      <c r="H942" s="75">
        <f t="shared" si="298"/>
        <v>46101</v>
      </c>
      <c r="I942" s="75">
        <f t="shared" si="299"/>
        <v>46108</v>
      </c>
      <c r="J942" s="75">
        <v>46125</v>
      </c>
      <c r="K942" s="25">
        <f t="shared" si="300"/>
        <v>32</v>
      </c>
      <c r="L942" s="25">
        <v>11.42</v>
      </c>
      <c r="M942" s="25">
        <v>9.1199999999999992</v>
      </c>
      <c r="N942" s="25">
        <f t="shared" si="301"/>
        <v>2.3000000000000007</v>
      </c>
      <c r="O942" s="25" t="s">
        <v>545</v>
      </c>
    </row>
    <row r="943" spans="1:15" x14ac:dyDescent="0.25">
      <c r="A943" s="75">
        <v>46094</v>
      </c>
      <c r="B943" s="25" t="s">
        <v>497</v>
      </c>
      <c r="C943" s="25" t="s">
        <v>662</v>
      </c>
      <c r="D943" s="75">
        <f t="shared" si="294"/>
        <v>46117</v>
      </c>
      <c r="E943" s="75">
        <f t="shared" si="295"/>
        <v>46101</v>
      </c>
      <c r="F943" s="75">
        <f t="shared" si="296"/>
        <v>46108</v>
      </c>
      <c r="G943" s="75">
        <f t="shared" si="297"/>
        <v>46114</v>
      </c>
      <c r="H943" s="75">
        <f t="shared" si="298"/>
        <v>46102</v>
      </c>
      <c r="I943" s="75">
        <f t="shared" si="299"/>
        <v>46109</v>
      </c>
      <c r="J943" s="75">
        <v>46128</v>
      </c>
      <c r="K943" s="25">
        <f t="shared" si="300"/>
        <v>34</v>
      </c>
      <c r="L943" s="25">
        <v>12.56</v>
      </c>
      <c r="M943" s="25">
        <v>10.31</v>
      </c>
      <c r="N943" s="25">
        <f t="shared" si="301"/>
        <v>2.25</v>
      </c>
      <c r="O943" s="25" t="s">
        <v>545</v>
      </c>
    </row>
    <row r="944" spans="1:15" x14ac:dyDescent="0.25">
      <c r="A944" s="75">
        <v>46094</v>
      </c>
      <c r="B944" s="25" t="s">
        <v>498</v>
      </c>
      <c r="C944" s="25" t="s">
        <v>663</v>
      </c>
      <c r="D944" s="75">
        <f t="shared" si="294"/>
        <v>46117</v>
      </c>
      <c r="E944" s="75">
        <f t="shared" si="295"/>
        <v>46101</v>
      </c>
      <c r="F944" s="75">
        <f t="shared" si="296"/>
        <v>46108</v>
      </c>
      <c r="G944" s="75">
        <f t="shared" si="297"/>
        <v>46114</v>
      </c>
      <c r="H944" s="75">
        <f t="shared" si="298"/>
        <v>46102</v>
      </c>
      <c r="I944" s="75">
        <f t="shared" si="299"/>
        <v>46109</v>
      </c>
      <c r="J944" s="75">
        <v>46127</v>
      </c>
      <c r="K944" s="25">
        <f t="shared" si="300"/>
        <v>33</v>
      </c>
      <c r="L944" s="25">
        <v>11.68</v>
      </c>
      <c r="M944" s="25">
        <v>9.5500000000000007</v>
      </c>
      <c r="N944" s="25">
        <f t="shared" si="301"/>
        <v>2.129999999999999</v>
      </c>
      <c r="O944" s="25" t="s">
        <v>545</v>
      </c>
    </row>
    <row r="945" spans="1:15" x14ac:dyDescent="0.25">
      <c r="A945" s="75">
        <v>46094</v>
      </c>
      <c r="B945" s="25" t="s">
        <v>499</v>
      </c>
      <c r="C945" s="25" t="s">
        <v>664</v>
      </c>
      <c r="D945" s="75">
        <f t="shared" si="294"/>
        <v>46117</v>
      </c>
      <c r="E945" s="75">
        <f t="shared" si="295"/>
        <v>46101</v>
      </c>
      <c r="F945" s="75">
        <f t="shared" si="296"/>
        <v>46108</v>
      </c>
      <c r="G945" s="75">
        <f t="shared" si="297"/>
        <v>46114</v>
      </c>
      <c r="H945" s="75">
        <f t="shared" si="298"/>
        <v>46102</v>
      </c>
      <c r="I945" s="75">
        <f t="shared" si="299"/>
        <v>46109</v>
      </c>
      <c r="J945" s="75">
        <v>46127</v>
      </c>
      <c r="K945" s="25">
        <f t="shared" si="300"/>
        <v>33</v>
      </c>
      <c r="L945" s="25">
        <v>12.45</v>
      </c>
      <c r="M945" s="25">
        <v>10.54</v>
      </c>
      <c r="N945" s="25">
        <f t="shared" si="301"/>
        <v>1.9100000000000001</v>
      </c>
      <c r="O945" s="25" t="s">
        <v>545</v>
      </c>
    </row>
    <row r="946" spans="1:15" x14ac:dyDescent="0.25">
      <c r="A946" s="75">
        <v>46094</v>
      </c>
      <c r="B946" s="25" t="s">
        <v>500</v>
      </c>
      <c r="C946" s="25" t="s">
        <v>665</v>
      </c>
      <c r="D946" s="75">
        <f t="shared" si="294"/>
        <v>46117</v>
      </c>
      <c r="E946" s="75">
        <f t="shared" si="295"/>
        <v>46101</v>
      </c>
      <c r="F946" s="75">
        <f t="shared" si="296"/>
        <v>46108</v>
      </c>
      <c r="G946" s="75">
        <f t="shared" si="297"/>
        <v>46114</v>
      </c>
      <c r="H946" s="75">
        <f t="shared" si="298"/>
        <v>46102</v>
      </c>
      <c r="I946" s="75">
        <f t="shared" si="299"/>
        <v>46109</v>
      </c>
      <c r="J946" s="75">
        <v>46127</v>
      </c>
      <c r="K946" s="25">
        <f t="shared" si="300"/>
        <v>33</v>
      </c>
      <c r="L946" s="25">
        <v>11.87</v>
      </c>
      <c r="M946" s="25">
        <v>9.7200000000000006</v>
      </c>
      <c r="N946" s="25">
        <f t="shared" si="301"/>
        <v>2.1499999999999986</v>
      </c>
      <c r="O946" s="25" t="s">
        <v>545</v>
      </c>
    </row>
    <row r="947" spans="1:15" x14ac:dyDescent="0.25">
      <c r="A947" s="75">
        <v>46094</v>
      </c>
      <c r="B947" s="25" t="s">
        <v>501</v>
      </c>
      <c r="C947" s="25" t="s">
        <v>666</v>
      </c>
      <c r="D947" s="75">
        <f t="shared" si="294"/>
        <v>46117</v>
      </c>
      <c r="E947" s="75">
        <f t="shared" si="295"/>
        <v>46101</v>
      </c>
      <c r="F947" s="75">
        <f t="shared" si="296"/>
        <v>46108</v>
      </c>
      <c r="G947" s="75">
        <f t="shared" si="297"/>
        <v>46114</v>
      </c>
      <c r="H947" s="75">
        <f t="shared" si="298"/>
        <v>46102</v>
      </c>
      <c r="I947" s="75">
        <f t="shared" si="299"/>
        <v>46109</v>
      </c>
      <c r="J947" s="75">
        <v>46127</v>
      </c>
      <c r="K947" s="25">
        <f t="shared" si="300"/>
        <v>33</v>
      </c>
      <c r="L947" s="25">
        <v>12.53</v>
      </c>
      <c r="M947" s="25">
        <v>10.43</v>
      </c>
      <c r="N947" s="25">
        <f t="shared" si="301"/>
        <v>2.0999999999999996</v>
      </c>
      <c r="O947" s="25" t="s">
        <v>545</v>
      </c>
    </row>
    <row r="948" spans="1:15" x14ac:dyDescent="0.25">
      <c r="A948" s="75">
        <v>46094</v>
      </c>
      <c r="B948" s="25" t="s">
        <v>502</v>
      </c>
      <c r="C948" s="25" t="s">
        <v>667</v>
      </c>
      <c r="D948" s="75">
        <f t="shared" si="294"/>
        <v>46117</v>
      </c>
      <c r="E948" s="75">
        <f t="shared" si="295"/>
        <v>46101</v>
      </c>
      <c r="F948" s="75">
        <f t="shared" si="296"/>
        <v>46108</v>
      </c>
      <c r="G948" s="75">
        <f t="shared" si="297"/>
        <v>46114</v>
      </c>
      <c r="H948" s="75">
        <f t="shared" si="298"/>
        <v>46102</v>
      </c>
      <c r="I948" s="75">
        <f t="shared" si="299"/>
        <v>46109</v>
      </c>
      <c r="J948" s="75">
        <v>46127</v>
      </c>
      <c r="K948" s="25">
        <f t="shared" si="300"/>
        <v>33</v>
      </c>
      <c r="L948" s="25">
        <v>11.83</v>
      </c>
      <c r="M948" s="25">
        <v>9.74</v>
      </c>
      <c r="N948" s="25">
        <f t="shared" si="301"/>
        <v>2.09</v>
      </c>
      <c r="O948" s="25" t="s">
        <v>545</v>
      </c>
    </row>
    <row r="949" spans="1:15" x14ac:dyDescent="0.25">
      <c r="A949" s="75">
        <v>46094</v>
      </c>
      <c r="B949" s="25" t="s">
        <v>503</v>
      </c>
      <c r="C949" s="25" t="s">
        <v>668</v>
      </c>
      <c r="D949" s="75">
        <f t="shared" si="294"/>
        <v>46117</v>
      </c>
      <c r="E949" s="75">
        <f t="shared" si="295"/>
        <v>46101</v>
      </c>
      <c r="F949" s="75">
        <f t="shared" si="296"/>
        <v>46108</v>
      </c>
      <c r="G949" s="75">
        <f t="shared" si="297"/>
        <v>46114</v>
      </c>
      <c r="H949" s="75">
        <f t="shared" si="298"/>
        <v>46102</v>
      </c>
      <c r="I949" s="75">
        <f t="shared" si="299"/>
        <v>46109</v>
      </c>
      <c r="J949" s="75">
        <v>46127</v>
      </c>
      <c r="K949" s="25">
        <f t="shared" si="300"/>
        <v>33</v>
      </c>
      <c r="L949" s="25">
        <v>11.16</v>
      </c>
      <c r="M949" s="25">
        <v>9.6300000000000008</v>
      </c>
      <c r="N949" s="25">
        <f t="shared" si="301"/>
        <v>1.5299999999999994</v>
      </c>
      <c r="O949" s="25" t="s">
        <v>545</v>
      </c>
    </row>
    <row r="950" spans="1:15" x14ac:dyDescent="0.25">
      <c r="A950" s="75">
        <v>46095</v>
      </c>
      <c r="B950" s="25" t="s">
        <v>489</v>
      </c>
      <c r="C950" s="25" t="s">
        <v>669</v>
      </c>
      <c r="D950" s="75">
        <f t="shared" si="294"/>
        <v>46118</v>
      </c>
      <c r="E950" s="75">
        <f t="shared" si="295"/>
        <v>46102</v>
      </c>
      <c r="F950" s="75">
        <f t="shared" si="296"/>
        <v>46109</v>
      </c>
      <c r="G950" s="75">
        <f t="shared" si="297"/>
        <v>46115</v>
      </c>
      <c r="H950" s="75">
        <f t="shared" si="298"/>
        <v>46103</v>
      </c>
      <c r="I950" s="75">
        <f t="shared" si="299"/>
        <v>46110</v>
      </c>
      <c r="J950" s="75">
        <v>46129</v>
      </c>
      <c r="K950" s="25">
        <f t="shared" si="300"/>
        <v>34</v>
      </c>
      <c r="L950" s="25">
        <v>12.27</v>
      </c>
      <c r="M950" s="25">
        <v>10.16</v>
      </c>
      <c r="N950" s="25">
        <f t="shared" si="301"/>
        <v>2.1099999999999994</v>
      </c>
      <c r="O950" s="25" t="s">
        <v>545</v>
      </c>
    </row>
    <row r="951" spans="1:15" x14ac:dyDescent="0.25">
      <c r="A951" s="75">
        <v>46095</v>
      </c>
      <c r="B951" s="25" t="s">
        <v>490</v>
      </c>
      <c r="C951" s="25" t="s">
        <v>670</v>
      </c>
      <c r="D951" s="75">
        <f t="shared" si="294"/>
        <v>46118</v>
      </c>
      <c r="E951" s="75">
        <f t="shared" si="295"/>
        <v>46102</v>
      </c>
      <c r="F951" s="75">
        <f t="shared" si="296"/>
        <v>46109</v>
      </c>
      <c r="G951" s="75">
        <f t="shared" si="297"/>
        <v>46115</v>
      </c>
      <c r="H951" s="75">
        <f t="shared" si="298"/>
        <v>46103</v>
      </c>
      <c r="I951" s="75">
        <f t="shared" si="299"/>
        <v>46110</v>
      </c>
      <c r="J951" s="75">
        <v>46128</v>
      </c>
      <c r="K951" s="25">
        <f t="shared" si="300"/>
        <v>33</v>
      </c>
      <c r="L951" s="25">
        <v>12.41</v>
      </c>
      <c r="M951" s="25">
        <v>10.52</v>
      </c>
      <c r="N951" s="25">
        <f t="shared" si="301"/>
        <v>1.8900000000000006</v>
      </c>
      <c r="O951" s="25" t="s">
        <v>545</v>
      </c>
    </row>
    <row r="952" spans="1:15" x14ac:dyDescent="0.25">
      <c r="A952" s="75">
        <v>46095</v>
      </c>
      <c r="B952" s="25" t="s">
        <v>491</v>
      </c>
      <c r="C952" s="25" t="s">
        <v>671</v>
      </c>
      <c r="D952" s="75">
        <f t="shared" si="294"/>
        <v>46118</v>
      </c>
      <c r="E952" s="75">
        <f t="shared" si="295"/>
        <v>46102</v>
      </c>
      <c r="F952" s="75">
        <f t="shared" si="296"/>
        <v>46109</v>
      </c>
      <c r="G952" s="75">
        <f t="shared" si="297"/>
        <v>46115</v>
      </c>
      <c r="H952" s="75">
        <f t="shared" si="298"/>
        <v>46103</v>
      </c>
      <c r="I952" s="75">
        <f t="shared" si="299"/>
        <v>46110</v>
      </c>
      <c r="J952" s="75">
        <v>46128</v>
      </c>
      <c r="K952" s="25">
        <f t="shared" si="300"/>
        <v>33</v>
      </c>
      <c r="L952" s="25">
        <v>11.63</v>
      </c>
      <c r="M952" s="25">
        <v>9.51</v>
      </c>
      <c r="N952" s="25">
        <f t="shared" si="301"/>
        <v>2.120000000000001</v>
      </c>
      <c r="O952" s="25" t="s">
        <v>545</v>
      </c>
    </row>
    <row r="953" spans="1:15" x14ac:dyDescent="0.25">
      <c r="A953" s="75">
        <v>46095</v>
      </c>
      <c r="B953" s="25" t="s">
        <v>492</v>
      </c>
      <c r="C953" s="25" t="s">
        <v>672</v>
      </c>
      <c r="D953" s="75">
        <f t="shared" si="294"/>
        <v>46118</v>
      </c>
      <c r="E953" s="75">
        <f t="shared" si="295"/>
        <v>46102</v>
      </c>
      <c r="F953" s="75">
        <f t="shared" si="296"/>
        <v>46109</v>
      </c>
      <c r="G953" s="75">
        <f t="shared" si="297"/>
        <v>46115</v>
      </c>
      <c r="H953" s="75">
        <f t="shared" si="298"/>
        <v>46103</v>
      </c>
      <c r="I953" s="75">
        <f t="shared" si="299"/>
        <v>46110</v>
      </c>
      <c r="J953" s="75">
        <v>46128</v>
      </c>
      <c r="K953" s="25">
        <f t="shared" si="300"/>
        <v>33</v>
      </c>
      <c r="L953" s="25">
        <v>12.98</v>
      </c>
      <c r="M953" s="25">
        <v>11.12</v>
      </c>
      <c r="N953" s="25">
        <f t="shared" si="301"/>
        <v>1.8600000000000012</v>
      </c>
      <c r="O953" s="25" t="s">
        <v>545</v>
      </c>
    </row>
    <row r="954" spans="1:15" x14ac:dyDescent="0.25">
      <c r="A954" s="75">
        <v>46095</v>
      </c>
      <c r="B954" s="25" t="s">
        <v>493</v>
      </c>
      <c r="C954" s="25" t="s">
        <v>673</v>
      </c>
      <c r="D954" s="75">
        <f t="shared" si="294"/>
        <v>46118</v>
      </c>
      <c r="E954" s="75">
        <f t="shared" si="295"/>
        <v>46102</v>
      </c>
      <c r="F954" s="75">
        <f t="shared" si="296"/>
        <v>46109</v>
      </c>
      <c r="G954" s="75">
        <f t="shared" si="297"/>
        <v>46115</v>
      </c>
      <c r="H954" s="75">
        <f t="shared" si="298"/>
        <v>46103</v>
      </c>
      <c r="I954" s="75">
        <f t="shared" si="299"/>
        <v>46110</v>
      </c>
      <c r="J954" s="75">
        <v>46128</v>
      </c>
      <c r="K954" s="25">
        <f t="shared" si="300"/>
        <v>33</v>
      </c>
      <c r="L954" s="25">
        <v>11.16</v>
      </c>
      <c r="M954" s="25">
        <v>9.3800000000000008</v>
      </c>
      <c r="N954" s="25">
        <f t="shared" si="301"/>
        <v>1.7799999999999994</v>
      </c>
      <c r="O954" s="25" t="s">
        <v>545</v>
      </c>
    </row>
    <row r="955" spans="1:15" x14ac:dyDescent="0.25">
      <c r="A955" s="75">
        <v>46095</v>
      </c>
      <c r="B955" s="25" t="s">
        <v>494</v>
      </c>
      <c r="C955" s="25" t="s">
        <v>674</v>
      </c>
      <c r="D955" s="75">
        <f t="shared" si="294"/>
        <v>46118</v>
      </c>
      <c r="E955" s="75">
        <f t="shared" si="295"/>
        <v>46102</v>
      </c>
      <c r="F955" s="75">
        <f t="shared" si="296"/>
        <v>46109</v>
      </c>
      <c r="G955" s="75">
        <f t="shared" si="297"/>
        <v>46115</v>
      </c>
      <c r="H955" s="75">
        <f t="shared" si="298"/>
        <v>46103</v>
      </c>
      <c r="I955" s="75">
        <f t="shared" si="299"/>
        <v>46110</v>
      </c>
      <c r="J955" s="75">
        <v>46128</v>
      </c>
      <c r="K955" s="25">
        <f t="shared" si="300"/>
        <v>33</v>
      </c>
      <c r="L955" s="25">
        <v>12.47</v>
      </c>
      <c r="M955" s="25">
        <v>10.14</v>
      </c>
      <c r="N955" s="25">
        <f t="shared" si="301"/>
        <v>2.33</v>
      </c>
      <c r="O955" s="25" t="s">
        <v>545</v>
      </c>
    </row>
    <row r="956" spans="1:15" x14ac:dyDescent="0.25">
      <c r="A956" s="75">
        <v>46095</v>
      </c>
      <c r="B956" s="25" t="s">
        <v>495</v>
      </c>
      <c r="C956" s="25" t="s">
        <v>675</v>
      </c>
      <c r="D956" s="75">
        <f t="shared" si="294"/>
        <v>46118</v>
      </c>
      <c r="E956" s="75">
        <f t="shared" si="295"/>
        <v>46102</v>
      </c>
      <c r="F956" s="75">
        <f t="shared" si="296"/>
        <v>46109</v>
      </c>
      <c r="G956" s="75">
        <f t="shared" si="297"/>
        <v>46115</v>
      </c>
      <c r="H956" s="75">
        <f t="shared" si="298"/>
        <v>46103</v>
      </c>
      <c r="I956" s="75">
        <f t="shared" si="299"/>
        <v>46110</v>
      </c>
      <c r="J956" s="75">
        <v>46128</v>
      </c>
      <c r="K956" s="25">
        <f t="shared" si="300"/>
        <v>33</v>
      </c>
      <c r="L956" s="25">
        <v>11.32</v>
      </c>
      <c r="M956" s="25">
        <v>9.57</v>
      </c>
      <c r="N956" s="25">
        <f t="shared" si="301"/>
        <v>1.75</v>
      </c>
      <c r="O956" s="25" t="s">
        <v>545</v>
      </c>
    </row>
    <row r="957" spans="1:15" x14ac:dyDescent="0.25">
      <c r="A957" s="75">
        <v>46095</v>
      </c>
      <c r="B957" s="25" t="s">
        <v>496</v>
      </c>
      <c r="C957" s="25" t="s">
        <v>676</v>
      </c>
      <c r="D957" s="75">
        <f t="shared" si="294"/>
        <v>46118</v>
      </c>
      <c r="E957" s="75">
        <f t="shared" si="295"/>
        <v>46102</v>
      </c>
      <c r="F957" s="75">
        <f t="shared" si="296"/>
        <v>46109</v>
      </c>
      <c r="G957" s="75">
        <f t="shared" si="297"/>
        <v>46115</v>
      </c>
      <c r="H957" s="75">
        <f t="shared" si="298"/>
        <v>46103</v>
      </c>
      <c r="I957" s="75">
        <f t="shared" si="299"/>
        <v>46110</v>
      </c>
      <c r="J957" s="75">
        <v>46128</v>
      </c>
      <c r="K957" s="25">
        <f t="shared" si="300"/>
        <v>33</v>
      </c>
      <c r="L957" s="25">
        <v>13.45</v>
      </c>
      <c r="M957" s="25">
        <v>11.24</v>
      </c>
      <c r="N957" s="25">
        <f t="shared" si="301"/>
        <v>2.2099999999999991</v>
      </c>
      <c r="O957" s="25" t="s">
        <v>545</v>
      </c>
    </row>
    <row r="958" spans="1:15" x14ac:dyDescent="0.25">
      <c r="A958" s="75">
        <v>46096</v>
      </c>
      <c r="B958" s="25" t="s">
        <v>465</v>
      </c>
      <c r="C958" s="25" t="s">
        <v>677</v>
      </c>
      <c r="D958" s="75">
        <f t="shared" si="294"/>
        <v>46119</v>
      </c>
      <c r="E958" s="75">
        <f t="shared" si="295"/>
        <v>46103</v>
      </c>
      <c r="F958" s="75">
        <f t="shared" si="296"/>
        <v>46110</v>
      </c>
      <c r="G958" s="75">
        <f t="shared" si="297"/>
        <v>46116</v>
      </c>
      <c r="H958" s="75">
        <f t="shared" si="298"/>
        <v>46104</v>
      </c>
      <c r="I958" s="75">
        <f t="shared" si="299"/>
        <v>46111</v>
      </c>
      <c r="J958" s="75">
        <v>46129</v>
      </c>
      <c r="K958" s="25">
        <f t="shared" si="300"/>
        <v>33</v>
      </c>
      <c r="L958" s="25">
        <v>12.43</v>
      </c>
      <c r="M958" s="25">
        <v>10.51</v>
      </c>
      <c r="N958" s="25">
        <f t="shared" si="301"/>
        <v>1.92</v>
      </c>
      <c r="O958" s="25" t="s">
        <v>545</v>
      </c>
    </row>
    <row r="959" spans="1:15" x14ac:dyDescent="0.25">
      <c r="A959" s="75">
        <v>46096</v>
      </c>
      <c r="B959" s="25" t="s">
        <v>466</v>
      </c>
      <c r="C959" s="25" t="s">
        <v>678</v>
      </c>
      <c r="D959" s="75">
        <f t="shared" si="294"/>
        <v>46119</v>
      </c>
      <c r="E959" s="75">
        <f t="shared" si="295"/>
        <v>46103</v>
      </c>
      <c r="F959" s="75">
        <f t="shared" si="296"/>
        <v>46110</v>
      </c>
      <c r="G959" s="75">
        <f t="shared" si="297"/>
        <v>46116</v>
      </c>
      <c r="H959" s="75">
        <f t="shared" si="298"/>
        <v>46104</v>
      </c>
      <c r="I959" s="75">
        <f t="shared" si="299"/>
        <v>46111</v>
      </c>
      <c r="J959" s="75">
        <v>46129</v>
      </c>
      <c r="K959" s="25">
        <f t="shared" si="300"/>
        <v>33</v>
      </c>
      <c r="L959" s="25">
        <v>13.19</v>
      </c>
      <c r="M959" s="25">
        <v>11.12</v>
      </c>
      <c r="N959" s="25">
        <f t="shared" si="301"/>
        <v>2.0700000000000003</v>
      </c>
      <c r="O959" s="25" t="s">
        <v>545</v>
      </c>
    </row>
    <row r="960" spans="1:15" x14ac:dyDescent="0.25">
      <c r="A960" s="75">
        <v>46096</v>
      </c>
      <c r="B960" s="25" t="s">
        <v>467</v>
      </c>
      <c r="C960" s="25" t="s">
        <v>679</v>
      </c>
      <c r="D960" s="75">
        <f t="shared" si="294"/>
        <v>46119</v>
      </c>
      <c r="E960" s="75">
        <f t="shared" si="295"/>
        <v>46103</v>
      </c>
      <c r="F960" s="75">
        <f t="shared" si="296"/>
        <v>46110</v>
      </c>
      <c r="G960" s="75">
        <f t="shared" si="297"/>
        <v>46116</v>
      </c>
      <c r="H960" s="75">
        <f t="shared" si="298"/>
        <v>46104</v>
      </c>
      <c r="I960" s="75">
        <f t="shared" si="299"/>
        <v>46111</v>
      </c>
      <c r="J960" s="75">
        <v>46129</v>
      </c>
      <c r="K960" s="25">
        <f t="shared" si="300"/>
        <v>33</v>
      </c>
      <c r="L960" s="25">
        <v>13.46</v>
      </c>
      <c r="M960" s="25">
        <v>11.38</v>
      </c>
      <c r="N960" s="25">
        <f t="shared" si="301"/>
        <v>2.08</v>
      </c>
      <c r="O960" s="25" t="s">
        <v>545</v>
      </c>
    </row>
    <row r="961" spans="1:15" x14ac:dyDescent="0.25">
      <c r="A961" s="75">
        <v>46096</v>
      </c>
      <c r="B961" s="25" t="s">
        <v>468</v>
      </c>
      <c r="C961" s="25" t="s">
        <v>680</v>
      </c>
      <c r="D961" s="75">
        <f t="shared" si="294"/>
        <v>46119</v>
      </c>
      <c r="E961" s="75">
        <f t="shared" si="295"/>
        <v>46103</v>
      </c>
      <c r="F961" s="75">
        <f t="shared" si="296"/>
        <v>46110</v>
      </c>
      <c r="G961" s="75">
        <f t="shared" si="297"/>
        <v>46116</v>
      </c>
      <c r="H961" s="75">
        <f t="shared" si="298"/>
        <v>46104</v>
      </c>
      <c r="I961" s="75">
        <f t="shared" si="299"/>
        <v>46111</v>
      </c>
      <c r="J961" s="75">
        <v>46129</v>
      </c>
      <c r="K961" s="25">
        <f t="shared" si="300"/>
        <v>33</v>
      </c>
      <c r="L961" s="25">
        <v>13.67</v>
      </c>
      <c r="M961" s="25">
        <v>11.54</v>
      </c>
      <c r="N961" s="25">
        <f t="shared" si="301"/>
        <v>2.1300000000000008</v>
      </c>
      <c r="O961" s="25" t="s">
        <v>545</v>
      </c>
    </row>
    <row r="962" spans="1:15" x14ac:dyDescent="0.25">
      <c r="A962" s="75">
        <v>46096</v>
      </c>
      <c r="B962" s="25" t="s">
        <v>469</v>
      </c>
      <c r="C962" s="25" t="s">
        <v>681</v>
      </c>
      <c r="D962" s="75">
        <f t="shared" si="294"/>
        <v>46119</v>
      </c>
      <c r="E962" s="75">
        <f t="shared" si="295"/>
        <v>46103</v>
      </c>
      <c r="F962" s="75">
        <f t="shared" si="296"/>
        <v>46110</v>
      </c>
      <c r="G962" s="75">
        <f t="shared" si="297"/>
        <v>46116</v>
      </c>
      <c r="H962" s="75">
        <f t="shared" si="298"/>
        <v>46104</v>
      </c>
      <c r="I962" s="75">
        <f t="shared" si="299"/>
        <v>46111</v>
      </c>
      <c r="J962" s="75">
        <v>46129</v>
      </c>
      <c r="K962" s="25">
        <f t="shared" si="300"/>
        <v>33</v>
      </c>
      <c r="L962" s="25">
        <v>12.31</v>
      </c>
      <c r="M962" s="25">
        <v>10.52</v>
      </c>
      <c r="N962" s="25">
        <f t="shared" si="301"/>
        <v>1.7900000000000009</v>
      </c>
      <c r="O962" s="25" t="s">
        <v>545</v>
      </c>
    </row>
    <row r="963" spans="1:15" x14ac:dyDescent="0.25">
      <c r="A963" s="75">
        <v>46096</v>
      </c>
      <c r="B963" s="25" t="s">
        <v>470</v>
      </c>
      <c r="C963" s="25" t="s">
        <v>682</v>
      </c>
      <c r="D963" s="75">
        <f t="shared" si="294"/>
        <v>46119</v>
      </c>
      <c r="E963" s="75">
        <f t="shared" si="295"/>
        <v>46103</v>
      </c>
      <c r="F963" s="75">
        <f t="shared" si="296"/>
        <v>46110</v>
      </c>
      <c r="G963" s="75">
        <f t="shared" si="297"/>
        <v>46116</v>
      </c>
      <c r="H963" s="75">
        <f t="shared" si="298"/>
        <v>46104</v>
      </c>
      <c r="I963" s="75">
        <f t="shared" si="299"/>
        <v>46111</v>
      </c>
      <c r="J963" s="75">
        <v>46129</v>
      </c>
      <c r="K963" s="25">
        <f t="shared" si="300"/>
        <v>33</v>
      </c>
      <c r="L963" s="25">
        <v>12.08</v>
      </c>
      <c r="M963" s="25">
        <v>10.34</v>
      </c>
      <c r="N963" s="25">
        <f t="shared" si="301"/>
        <v>1.7400000000000002</v>
      </c>
      <c r="O963" s="25" t="s">
        <v>545</v>
      </c>
    </row>
    <row r="964" spans="1:15" x14ac:dyDescent="0.25">
      <c r="A964" s="75">
        <v>46096</v>
      </c>
      <c r="B964" s="25" t="s">
        <v>471</v>
      </c>
      <c r="C964" s="25" t="s">
        <v>683</v>
      </c>
      <c r="D964" s="75">
        <f t="shared" si="294"/>
        <v>46119</v>
      </c>
      <c r="E964" s="75">
        <f t="shared" si="295"/>
        <v>46103</v>
      </c>
      <c r="F964" s="75">
        <f t="shared" si="296"/>
        <v>46110</v>
      </c>
      <c r="G964" s="75">
        <f t="shared" si="297"/>
        <v>46116</v>
      </c>
      <c r="H964" s="75">
        <f t="shared" si="298"/>
        <v>46104</v>
      </c>
      <c r="I964" s="75">
        <f t="shared" si="299"/>
        <v>46111</v>
      </c>
      <c r="J964" s="75">
        <v>46129</v>
      </c>
      <c r="K964" s="25">
        <f t="shared" si="300"/>
        <v>33</v>
      </c>
      <c r="L964" s="25">
        <v>14.11</v>
      </c>
      <c r="M964" s="25">
        <v>12.08</v>
      </c>
      <c r="N964" s="25">
        <f t="shared" si="301"/>
        <v>2.0299999999999994</v>
      </c>
      <c r="O964" s="25" t="s">
        <v>545</v>
      </c>
    </row>
    <row r="965" spans="1:15" x14ac:dyDescent="0.25">
      <c r="A965" s="75">
        <v>46097</v>
      </c>
      <c r="B965" s="25" t="s">
        <v>479</v>
      </c>
      <c r="C965" s="25" t="s">
        <v>691</v>
      </c>
      <c r="D965" s="75">
        <f t="shared" si="294"/>
        <v>46120</v>
      </c>
      <c r="E965" s="75">
        <f t="shared" si="295"/>
        <v>46104</v>
      </c>
      <c r="F965" s="75">
        <f t="shared" si="296"/>
        <v>46111</v>
      </c>
      <c r="G965" s="75">
        <f t="shared" si="297"/>
        <v>46117</v>
      </c>
      <c r="H965" s="75">
        <f t="shared" si="298"/>
        <v>46105</v>
      </c>
      <c r="I965" s="75">
        <f t="shared" si="299"/>
        <v>46112</v>
      </c>
      <c r="J965" s="75">
        <v>46130</v>
      </c>
      <c r="K965" s="25">
        <f t="shared" si="300"/>
        <v>33</v>
      </c>
      <c r="L965" s="25">
        <v>11.47</v>
      </c>
      <c r="M965" s="25">
        <v>9.52</v>
      </c>
      <c r="N965" s="25">
        <f t="shared" si="301"/>
        <v>1.9500000000000011</v>
      </c>
      <c r="O965" s="25" t="s">
        <v>545</v>
      </c>
    </row>
    <row r="966" spans="1:15" x14ac:dyDescent="0.25">
      <c r="A966" s="75">
        <v>46097</v>
      </c>
      <c r="B966" s="25" t="s">
        <v>480</v>
      </c>
      <c r="C966" s="25" t="s">
        <v>692</v>
      </c>
      <c r="D966" s="75">
        <f t="shared" si="294"/>
        <v>46120</v>
      </c>
      <c r="E966" s="75">
        <f t="shared" si="295"/>
        <v>46104</v>
      </c>
      <c r="F966" s="75">
        <f t="shared" si="296"/>
        <v>46111</v>
      </c>
      <c r="G966" s="75">
        <f t="shared" si="297"/>
        <v>46117</v>
      </c>
      <c r="H966" s="75">
        <f t="shared" si="298"/>
        <v>46105</v>
      </c>
      <c r="I966" s="75">
        <f t="shared" si="299"/>
        <v>46112</v>
      </c>
      <c r="J966" s="75">
        <v>46130</v>
      </c>
      <c r="K966" s="25">
        <f t="shared" si="300"/>
        <v>33</v>
      </c>
      <c r="L966" s="25">
        <v>11.51</v>
      </c>
      <c r="M966" s="25">
        <v>10.33</v>
      </c>
      <c r="N966" s="25">
        <f t="shared" si="301"/>
        <v>1.1799999999999997</v>
      </c>
      <c r="O966" s="25" t="s">
        <v>545</v>
      </c>
    </row>
    <row r="967" spans="1:15" x14ac:dyDescent="0.25">
      <c r="A967" s="75">
        <v>46097</v>
      </c>
      <c r="B967" s="25" t="s">
        <v>481</v>
      </c>
      <c r="C967" s="25" t="s">
        <v>693</v>
      </c>
      <c r="D967" s="75">
        <f t="shared" si="294"/>
        <v>46120</v>
      </c>
      <c r="E967" s="75">
        <f t="shared" si="295"/>
        <v>46104</v>
      </c>
      <c r="F967" s="75">
        <f t="shared" si="296"/>
        <v>46111</v>
      </c>
      <c r="G967" s="75">
        <f t="shared" si="297"/>
        <v>46117</v>
      </c>
      <c r="H967" s="75">
        <f t="shared" si="298"/>
        <v>46105</v>
      </c>
      <c r="I967" s="75">
        <f t="shared" si="299"/>
        <v>46112</v>
      </c>
      <c r="J967" s="75">
        <v>46130</v>
      </c>
      <c r="K967" s="25">
        <f t="shared" si="300"/>
        <v>33</v>
      </c>
      <c r="L967" s="25">
        <v>13.47</v>
      </c>
      <c r="M967" s="25">
        <v>11.28</v>
      </c>
      <c r="N967" s="25">
        <f t="shared" si="301"/>
        <v>2.1900000000000013</v>
      </c>
      <c r="O967" s="25" t="s">
        <v>545</v>
      </c>
    </row>
    <row r="968" spans="1:15" x14ac:dyDescent="0.25">
      <c r="A968" s="75">
        <v>46097</v>
      </c>
      <c r="B968" s="25" t="s">
        <v>482</v>
      </c>
      <c r="C968" s="25" t="s">
        <v>694</v>
      </c>
      <c r="D968" s="75">
        <f t="shared" si="294"/>
        <v>46120</v>
      </c>
      <c r="E968" s="75">
        <f t="shared" si="295"/>
        <v>46104</v>
      </c>
      <c r="F968" s="75">
        <f t="shared" si="296"/>
        <v>46111</v>
      </c>
      <c r="G968" s="75">
        <f t="shared" si="297"/>
        <v>46117</v>
      </c>
      <c r="H968" s="75">
        <f t="shared" si="298"/>
        <v>46105</v>
      </c>
      <c r="I968" s="75">
        <f t="shared" si="299"/>
        <v>46112</v>
      </c>
      <c r="J968" s="75">
        <v>46131</v>
      </c>
      <c r="K968" s="25">
        <f t="shared" si="300"/>
        <v>34</v>
      </c>
      <c r="L968" s="25">
        <v>12.31</v>
      </c>
      <c r="M968" s="25">
        <v>10.25</v>
      </c>
      <c r="N968" s="25">
        <f t="shared" si="301"/>
        <v>2.0600000000000005</v>
      </c>
      <c r="O968" s="25" t="s">
        <v>545</v>
      </c>
    </row>
    <row r="969" spans="1:15" x14ac:dyDescent="0.25">
      <c r="A969" s="75">
        <v>46097</v>
      </c>
      <c r="B969" s="25" t="s">
        <v>483</v>
      </c>
      <c r="C969" s="25" t="s">
        <v>695</v>
      </c>
      <c r="D969" s="75">
        <f t="shared" si="294"/>
        <v>46120</v>
      </c>
      <c r="E969" s="75">
        <f t="shared" si="295"/>
        <v>46104</v>
      </c>
      <c r="F969" s="75">
        <f t="shared" si="296"/>
        <v>46111</v>
      </c>
      <c r="G969" s="75">
        <f t="shared" si="297"/>
        <v>46117</v>
      </c>
      <c r="H969" s="75">
        <f t="shared" si="298"/>
        <v>46105</v>
      </c>
      <c r="I969" s="75">
        <f t="shared" si="299"/>
        <v>46112</v>
      </c>
      <c r="J969" s="75">
        <v>46131</v>
      </c>
      <c r="K969" s="25">
        <f t="shared" si="300"/>
        <v>34</v>
      </c>
      <c r="L969" s="25">
        <v>13.48</v>
      </c>
      <c r="M969" s="25">
        <v>11.53</v>
      </c>
      <c r="N969" s="25">
        <f t="shared" si="301"/>
        <v>1.9500000000000011</v>
      </c>
      <c r="O969" s="25" t="s">
        <v>545</v>
      </c>
    </row>
    <row r="970" spans="1:15" x14ac:dyDescent="0.25">
      <c r="A970" s="75">
        <v>46097</v>
      </c>
      <c r="B970" s="25" t="s">
        <v>484</v>
      </c>
      <c r="C970" s="25" t="s">
        <v>696</v>
      </c>
      <c r="D970" s="75">
        <f t="shared" si="294"/>
        <v>46120</v>
      </c>
      <c r="E970" s="75">
        <f t="shared" si="295"/>
        <v>46104</v>
      </c>
      <c r="F970" s="75">
        <f t="shared" si="296"/>
        <v>46111</v>
      </c>
      <c r="G970" s="75">
        <f t="shared" si="297"/>
        <v>46117</v>
      </c>
      <c r="H970" s="75">
        <f t="shared" si="298"/>
        <v>46105</v>
      </c>
      <c r="I970" s="75">
        <f t="shared" si="299"/>
        <v>46112</v>
      </c>
      <c r="J970" s="75">
        <v>46131</v>
      </c>
      <c r="K970" s="25">
        <f t="shared" si="300"/>
        <v>34</v>
      </c>
      <c r="L970" s="25">
        <v>12.11</v>
      </c>
      <c r="M970" s="25">
        <v>10.09</v>
      </c>
      <c r="N970" s="25">
        <f t="shared" si="301"/>
        <v>2.0199999999999996</v>
      </c>
      <c r="O970" s="25" t="s">
        <v>545</v>
      </c>
    </row>
    <row r="971" spans="1:15" x14ac:dyDescent="0.25">
      <c r="A971" s="75">
        <v>46097</v>
      </c>
      <c r="B971" s="25" t="s">
        <v>485</v>
      </c>
      <c r="C971" s="25" t="s">
        <v>697</v>
      </c>
      <c r="D971" s="75">
        <f t="shared" si="294"/>
        <v>46120</v>
      </c>
      <c r="E971" s="75">
        <f t="shared" si="295"/>
        <v>46104</v>
      </c>
      <c r="F971" s="75">
        <f t="shared" si="296"/>
        <v>46111</v>
      </c>
      <c r="G971" s="75">
        <f t="shared" si="297"/>
        <v>46117</v>
      </c>
      <c r="H971" s="75">
        <f t="shared" si="298"/>
        <v>46105</v>
      </c>
      <c r="I971" s="75">
        <f t="shared" si="299"/>
        <v>46112</v>
      </c>
      <c r="J971" s="75">
        <v>46131</v>
      </c>
      <c r="K971" s="25">
        <f t="shared" si="300"/>
        <v>34</v>
      </c>
      <c r="L971" s="25">
        <v>11.67</v>
      </c>
      <c r="M971" s="25">
        <v>9.57</v>
      </c>
      <c r="N971" s="25">
        <f t="shared" si="301"/>
        <v>2.0999999999999996</v>
      </c>
      <c r="O971" s="25" t="s">
        <v>545</v>
      </c>
    </row>
    <row r="972" spans="1:15" x14ac:dyDescent="0.25">
      <c r="A972" s="75">
        <v>46098</v>
      </c>
      <c r="B972" s="25" t="s">
        <v>472</v>
      </c>
      <c r="C972" s="25" t="s">
        <v>684</v>
      </c>
      <c r="D972" s="75">
        <f t="shared" si="294"/>
        <v>46121</v>
      </c>
      <c r="E972" s="75">
        <f t="shared" si="295"/>
        <v>46105</v>
      </c>
      <c r="F972" s="75">
        <f t="shared" si="296"/>
        <v>46112</v>
      </c>
      <c r="G972" s="75">
        <f t="shared" si="297"/>
        <v>46118</v>
      </c>
      <c r="H972" s="75">
        <f t="shared" si="298"/>
        <v>46106</v>
      </c>
      <c r="I972" s="75">
        <f t="shared" si="299"/>
        <v>46113</v>
      </c>
      <c r="J972" s="75">
        <v>46129</v>
      </c>
      <c r="K972" s="25">
        <f t="shared" si="300"/>
        <v>31</v>
      </c>
      <c r="L972" s="25">
        <v>13.16</v>
      </c>
      <c r="M972" s="25">
        <v>11.1</v>
      </c>
      <c r="N972" s="25">
        <f t="shared" si="301"/>
        <v>2.0600000000000005</v>
      </c>
      <c r="O972" s="25" t="s">
        <v>545</v>
      </c>
    </row>
    <row r="973" spans="1:15" x14ac:dyDescent="0.25">
      <c r="A973" s="75">
        <v>46098</v>
      </c>
      <c r="B973" s="25" t="s">
        <v>473</v>
      </c>
      <c r="C973" s="25" t="s">
        <v>685</v>
      </c>
      <c r="D973" s="75">
        <f t="shared" si="294"/>
        <v>46121</v>
      </c>
      <c r="E973" s="75">
        <f t="shared" si="295"/>
        <v>46105</v>
      </c>
      <c r="F973" s="75">
        <f t="shared" si="296"/>
        <v>46112</v>
      </c>
      <c r="G973" s="75">
        <f t="shared" si="297"/>
        <v>46118</v>
      </c>
      <c r="H973" s="75">
        <f t="shared" si="298"/>
        <v>46106</v>
      </c>
      <c r="I973" s="75">
        <f t="shared" si="299"/>
        <v>46113</v>
      </c>
      <c r="J973" s="75">
        <v>46129</v>
      </c>
      <c r="K973" s="25">
        <f t="shared" si="300"/>
        <v>31</v>
      </c>
      <c r="L973" s="25">
        <v>14.28</v>
      </c>
      <c r="M973" s="25">
        <v>12.19</v>
      </c>
      <c r="N973" s="25">
        <f t="shared" si="301"/>
        <v>2.09</v>
      </c>
      <c r="O973" s="25" t="s">
        <v>545</v>
      </c>
    </row>
    <row r="974" spans="1:15" x14ac:dyDescent="0.25">
      <c r="A974" s="75">
        <v>46098</v>
      </c>
      <c r="B974" s="25" t="s">
        <v>474</v>
      </c>
      <c r="C974" s="25" t="s">
        <v>686</v>
      </c>
      <c r="D974" s="75">
        <f t="shared" si="294"/>
        <v>46121</v>
      </c>
      <c r="E974" s="75">
        <f t="shared" si="295"/>
        <v>46105</v>
      </c>
      <c r="F974" s="75">
        <f t="shared" si="296"/>
        <v>46112</v>
      </c>
      <c r="G974" s="75">
        <f t="shared" si="297"/>
        <v>46118</v>
      </c>
      <c r="H974" s="75">
        <f t="shared" si="298"/>
        <v>46106</v>
      </c>
      <c r="I974" s="75">
        <f t="shared" si="299"/>
        <v>46113</v>
      </c>
      <c r="J974" s="75">
        <v>46130</v>
      </c>
      <c r="K974" s="25">
        <f t="shared" si="300"/>
        <v>32</v>
      </c>
      <c r="L974" s="25">
        <v>12.36</v>
      </c>
      <c r="M974" s="25">
        <v>10.54</v>
      </c>
      <c r="N974" s="25">
        <f t="shared" si="301"/>
        <v>1.8200000000000003</v>
      </c>
      <c r="O974" s="25" t="s">
        <v>545</v>
      </c>
    </row>
    <row r="975" spans="1:15" x14ac:dyDescent="0.25">
      <c r="A975" s="75">
        <v>46098</v>
      </c>
      <c r="B975" s="25" t="s">
        <v>475</v>
      </c>
      <c r="C975" s="25" t="s">
        <v>687</v>
      </c>
      <c r="D975" s="75">
        <f t="shared" si="294"/>
        <v>46121</v>
      </c>
      <c r="E975" s="75">
        <f t="shared" si="295"/>
        <v>46105</v>
      </c>
      <c r="F975" s="75">
        <f t="shared" si="296"/>
        <v>46112</v>
      </c>
      <c r="G975" s="75">
        <f t="shared" si="297"/>
        <v>46118</v>
      </c>
      <c r="H975" s="75">
        <f t="shared" si="298"/>
        <v>46106</v>
      </c>
      <c r="I975" s="75">
        <f t="shared" si="299"/>
        <v>46113</v>
      </c>
      <c r="J975" s="75">
        <v>46130</v>
      </c>
      <c r="K975" s="25">
        <f t="shared" si="300"/>
        <v>32</v>
      </c>
      <c r="L975" s="25">
        <v>12.19</v>
      </c>
      <c r="M975" s="25">
        <v>10.210000000000001</v>
      </c>
      <c r="N975" s="25">
        <f t="shared" si="301"/>
        <v>1.9799999999999986</v>
      </c>
      <c r="O975" s="25" t="s">
        <v>545</v>
      </c>
    </row>
    <row r="976" spans="1:15" x14ac:dyDescent="0.25">
      <c r="A976" s="75">
        <v>46098</v>
      </c>
      <c r="B976" s="25" t="s">
        <v>476</v>
      </c>
      <c r="C976" s="25" t="s">
        <v>688</v>
      </c>
      <c r="D976" s="75">
        <f t="shared" si="294"/>
        <v>46121</v>
      </c>
      <c r="E976" s="75">
        <f t="shared" si="295"/>
        <v>46105</v>
      </c>
      <c r="F976" s="75">
        <f t="shared" si="296"/>
        <v>46112</v>
      </c>
      <c r="G976" s="75">
        <f t="shared" si="297"/>
        <v>46118</v>
      </c>
      <c r="H976" s="75">
        <f t="shared" si="298"/>
        <v>46106</v>
      </c>
      <c r="I976" s="75">
        <f t="shared" si="299"/>
        <v>46113</v>
      </c>
      <c r="J976" s="75">
        <v>46130</v>
      </c>
      <c r="K976" s="25">
        <f t="shared" si="300"/>
        <v>32</v>
      </c>
      <c r="L976" s="25">
        <v>11.84</v>
      </c>
      <c r="M976" s="25">
        <v>9.73</v>
      </c>
      <c r="N976" s="25">
        <f t="shared" si="301"/>
        <v>2.1099999999999994</v>
      </c>
      <c r="O976" s="25" t="s">
        <v>545</v>
      </c>
    </row>
    <row r="977" spans="1:15" x14ac:dyDescent="0.25">
      <c r="A977" s="75">
        <v>46098</v>
      </c>
      <c r="B977" s="25" t="s">
        <v>477</v>
      </c>
      <c r="C977" s="25" t="s">
        <v>689</v>
      </c>
      <c r="D977" s="75">
        <f t="shared" si="294"/>
        <v>46121</v>
      </c>
      <c r="E977" s="75">
        <f t="shared" si="295"/>
        <v>46105</v>
      </c>
      <c r="F977" s="75">
        <f t="shared" si="296"/>
        <v>46112</v>
      </c>
      <c r="G977" s="75">
        <f t="shared" si="297"/>
        <v>46118</v>
      </c>
      <c r="H977" s="75">
        <f t="shared" si="298"/>
        <v>46106</v>
      </c>
      <c r="I977" s="75">
        <f t="shared" si="299"/>
        <v>46113</v>
      </c>
      <c r="J977" s="75">
        <v>46130</v>
      </c>
      <c r="K977" s="25">
        <f t="shared" si="300"/>
        <v>32</v>
      </c>
      <c r="L977" s="25">
        <v>12.35</v>
      </c>
      <c r="M977" s="25">
        <v>10.14</v>
      </c>
      <c r="N977" s="25">
        <f t="shared" si="301"/>
        <v>2.2099999999999991</v>
      </c>
      <c r="O977" s="25" t="s">
        <v>545</v>
      </c>
    </row>
    <row r="978" spans="1:15" x14ac:dyDescent="0.25">
      <c r="A978" s="75">
        <v>46098</v>
      </c>
      <c r="B978" s="25" t="s">
        <v>478</v>
      </c>
      <c r="C978" s="25" t="s">
        <v>690</v>
      </c>
      <c r="D978" s="75">
        <f t="shared" si="294"/>
        <v>46121</v>
      </c>
      <c r="E978" s="75">
        <f t="shared" si="295"/>
        <v>46105</v>
      </c>
      <c r="F978" s="75">
        <f t="shared" si="296"/>
        <v>46112</v>
      </c>
      <c r="G978" s="75">
        <f t="shared" si="297"/>
        <v>46118</v>
      </c>
      <c r="H978" s="75">
        <f t="shared" si="298"/>
        <v>46106</v>
      </c>
      <c r="I978" s="75">
        <f t="shared" si="299"/>
        <v>46113</v>
      </c>
      <c r="J978" s="75">
        <v>46130</v>
      </c>
      <c r="K978" s="25">
        <f t="shared" si="300"/>
        <v>32</v>
      </c>
      <c r="L978" s="25">
        <v>11.73</v>
      </c>
      <c r="M978" s="25">
        <v>9.86</v>
      </c>
      <c r="N978" s="25">
        <f t="shared" si="301"/>
        <v>1.870000000000001</v>
      </c>
      <c r="O978" s="25" t="s">
        <v>545</v>
      </c>
    </row>
    <row r="979" spans="1:15" x14ac:dyDescent="0.25">
      <c r="A979" s="75">
        <v>46099</v>
      </c>
      <c r="B979" s="25" t="s">
        <v>311</v>
      </c>
      <c r="C979" s="25" t="s">
        <v>698</v>
      </c>
      <c r="D979" s="75">
        <f t="shared" ref="D979:D1042" si="302">A979+23</f>
        <v>46122</v>
      </c>
      <c r="E979" s="75">
        <f t="shared" ref="E979:E1042" si="303">A979+7</f>
        <v>46106</v>
      </c>
      <c r="F979" s="75">
        <f t="shared" ref="F979:F1042" si="304">A979+14</f>
        <v>46113</v>
      </c>
      <c r="G979" s="75">
        <f t="shared" ref="G979:G1042" si="305">A979+20</f>
        <v>46119</v>
      </c>
      <c r="H979" s="75">
        <f t="shared" ref="H979:H1042" si="306">A979+8</f>
        <v>46107</v>
      </c>
      <c r="I979" s="75">
        <f t="shared" ref="I979:I1042" si="307">A979+15</f>
        <v>46114</v>
      </c>
      <c r="J979" s="75">
        <v>46131</v>
      </c>
      <c r="K979" s="25">
        <f t="shared" ref="K979:K997" si="308">J979-A979</f>
        <v>32</v>
      </c>
      <c r="L979" s="25">
        <v>14.36</v>
      </c>
      <c r="M979" s="25">
        <v>12.07</v>
      </c>
      <c r="N979" s="25">
        <f t="shared" ref="N979:N1010" si="309">L979-M979</f>
        <v>2.2899999999999991</v>
      </c>
      <c r="O979" s="25" t="s">
        <v>545</v>
      </c>
    </row>
    <row r="980" spans="1:15" x14ac:dyDescent="0.25">
      <c r="A980" s="75">
        <v>46099</v>
      </c>
      <c r="B980" s="25" t="s">
        <v>312</v>
      </c>
      <c r="C980" s="25" t="s">
        <v>699</v>
      </c>
      <c r="D980" s="75">
        <f t="shared" si="302"/>
        <v>46122</v>
      </c>
      <c r="E980" s="75">
        <f t="shared" si="303"/>
        <v>46106</v>
      </c>
      <c r="F980" s="75">
        <f t="shared" si="304"/>
        <v>46113</v>
      </c>
      <c r="G980" s="75">
        <f t="shared" si="305"/>
        <v>46119</v>
      </c>
      <c r="H980" s="75">
        <f t="shared" si="306"/>
        <v>46107</v>
      </c>
      <c r="I980" s="75">
        <f t="shared" si="307"/>
        <v>46114</v>
      </c>
      <c r="J980" s="75">
        <v>46131</v>
      </c>
      <c r="K980" s="25">
        <f t="shared" si="308"/>
        <v>32</v>
      </c>
      <c r="L980" s="25">
        <v>14.58</v>
      </c>
      <c r="M980" s="25">
        <v>12.33</v>
      </c>
      <c r="N980" s="25">
        <f t="shared" si="309"/>
        <v>2.25</v>
      </c>
      <c r="O980" s="25" t="s">
        <v>545</v>
      </c>
    </row>
    <row r="981" spans="1:15" x14ac:dyDescent="0.25">
      <c r="A981" s="75">
        <v>46099</v>
      </c>
      <c r="B981" s="25" t="s">
        <v>313</v>
      </c>
      <c r="C981" s="25" t="s">
        <v>700</v>
      </c>
      <c r="D981" s="75">
        <f t="shared" si="302"/>
        <v>46122</v>
      </c>
      <c r="E981" s="75">
        <f t="shared" si="303"/>
        <v>46106</v>
      </c>
      <c r="F981" s="75">
        <f t="shared" si="304"/>
        <v>46113</v>
      </c>
      <c r="G981" s="75">
        <f t="shared" si="305"/>
        <v>46119</v>
      </c>
      <c r="H981" s="75">
        <f t="shared" si="306"/>
        <v>46107</v>
      </c>
      <c r="I981" s="75">
        <f t="shared" si="307"/>
        <v>46114</v>
      </c>
      <c r="J981" s="75">
        <v>46131</v>
      </c>
      <c r="K981" s="25">
        <f t="shared" si="308"/>
        <v>32</v>
      </c>
      <c r="L981" s="25">
        <v>15.73</v>
      </c>
      <c r="M981" s="25">
        <v>13.54</v>
      </c>
      <c r="N981" s="25">
        <f t="shared" si="309"/>
        <v>2.1900000000000013</v>
      </c>
      <c r="O981" s="25" t="s">
        <v>545</v>
      </c>
    </row>
    <row r="982" spans="1:15" x14ac:dyDescent="0.25">
      <c r="A982" s="75">
        <v>46099</v>
      </c>
      <c r="B982" s="25" t="s">
        <v>314</v>
      </c>
      <c r="C982" s="25" t="s">
        <v>701</v>
      </c>
      <c r="D982" s="75">
        <f t="shared" si="302"/>
        <v>46122</v>
      </c>
      <c r="E982" s="75">
        <f t="shared" si="303"/>
        <v>46106</v>
      </c>
      <c r="F982" s="75">
        <f t="shared" si="304"/>
        <v>46113</v>
      </c>
      <c r="G982" s="75">
        <f t="shared" si="305"/>
        <v>46119</v>
      </c>
      <c r="H982" s="75">
        <f t="shared" si="306"/>
        <v>46107</v>
      </c>
      <c r="I982" s="75">
        <f t="shared" si="307"/>
        <v>46114</v>
      </c>
      <c r="J982" s="75">
        <v>46131</v>
      </c>
      <c r="K982" s="25">
        <f t="shared" si="308"/>
        <v>32</v>
      </c>
      <c r="L982" s="25">
        <v>14.68</v>
      </c>
      <c r="M982" s="25">
        <v>12.45</v>
      </c>
      <c r="N982" s="25">
        <f t="shared" si="309"/>
        <v>2.2300000000000004</v>
      </c>
      <c r="O982" s="25" t="s">
        <v>545</v>
      </c>
    </row>
    <row r="983" spans="1:15" x14ac:dyDescent="0.25">
      <c r="A983" s="75">
        <v>46099</v>
      </c>
      <c r="B983" s="25" t="s">
        <v>315</v>
      </c>
      <c r="C983" s="25" t="s">
        <v>702</v>
      </c>
      <c r="D983" s="75">
        <f t="shared" si="302"/>
        <v>46122</v>
      </c>
      <c r="E983" s="75">
        <f t="shared" si="303"/>
        <v>46106</v>
      </c>
      <c r="F983" s="75">
        <f t="shared" si="304"/>
        <v>46113</v>
      </c>
      <c r="G983" s="75">
        <f t="shared" si="305"/>
        <v>46119</v>
      </c>
      <c r="H983" s="75">
        <f t="shared" si="306"/>
        <v>46107</v>
      </c>
      <c r="I983" s="75">
        <f t="shared" si="307"/>
        <v>46114</v>
      </c>
      <c r="J983" s="75">
        <v>46132</v>
      </c>
      <c r="K983" s="25">
        <f t="shared" si="308"/>
        <v>33</v>
      </c>
      <c r="L983" s="25">
        <v>15.47</v>
      </c>
      <c r="M983" s="25">
        <v>13.52</v>
      </c>
      <c r="N983" s="25">
        <f t="shared" si="309"/>
        <v>1.9500000000000011</v>
      </c>
      <c r="O983" s="25" t="s">
        <v>545</v>
      </c>
    </row>
    <row r="984" spans="1:15" x14ac:dyDescent="0.25">
      <c r="A984" s="75">
        <v>46099</v>
      </c>
      <c r="B984" s="25" t="s">
        <v>316</v>
      </c>
      <c r="C984" s="25" t="s">
        <v>703</v>
      </c>
      <c r="D984" s="75">
        <f t="shared" si="302"/>
        <v>46122</v>
      </c>
      <c r="E984" s="75">
        <f t="shared" si="303"/>
        <v>46106</v>
      </c>
      <c r="F984" s="75">
        <f t="shared" si="304"/>
        <v>46113</v>
      </c>
      <c r="G984" s="75">
        <f t="shared" si="305"/>
        <v>46119</v>
      </c>
      <c r="H984" s="75">
        <f t="shared" si="306"/>
        <v>46107</v>
      </c>
      <c r="I984" s="75">
        <f t="shared" si="307"/>
        <v>46114</v>
      </c>
      <c r="J984" s="75">
        <v>46132</v>
      </c>
      <c r="K984" s="25">
        <f t="shared" si="308"/>
        <v>33</v>
      </c>
      <c r="L984" s="25">
        <v>14.51</v>
      </c>
      <c r="M984" s="25">
        <v>12.34</v>
      </c>
      <c r="N984" s="25">
        <f t="shared" si="309"/>
        <v>2.17</v>
      </c>
      <c r="O984" s="25" t="s">
        <v>545</v>
      </c>
    </row>
    <row r="985" spans="1:15" x14ac:dyDescent="0.25">
      <c r="A985" s="75">
        <v>46099</v>
      </c>
      <c r="B985" s="25" t="s">
        <v>317</v>
      </c>
      <c r="C985" s="25" t="s">
        <v>704</v>
      </c>
      <c r="D985" s="75">
        <f t="shared" si="302"/>
        <v>46122</v>
      </c>
      <c r="E985" s="75">
        <f t="shared" si="303"/>
        <v>46106</v>
      </c>
      <c r="F985" s="75">
        <f t="shared" si="304"/>
        <v>46113</v>
      </c>
      <c r="G985" s="75">
        <f t="shared" si="305"/>
        <v>46119</v>
      </c>
      <c r="H985" s="75">
        <f t="shared" si="306"/>
        <v>46107</v>
      </c>
      <c r="I985" s="75">
        <f t="shared" si="307"/>
        <v>46114</v>
      </c>
      <c r="J985" s="75">
        <v>46132</v>
      </c>
      <c r="K985" s="25">
        <f t="shared" si="308"/>
        <v>33</v>
      </c>
      <c r="L985" s="25">
        <v>14.42</v>
      </c>
      <c r="M985" s="25">
        <v>12.21</v>
      </c>
      <c r="N985" s="25">
        <f t="shared" si="309"/>
        <v>2.2099999999999991</v>
      </c>
      <c r="O985" s="25" t="s">
        <v>545</v>
      </c>
    </row>
    <row r="986" spans="1:15" x14ac:dyDescent="0.25">
      <c r="A986" s="75">
        <v>46100</v>
      </c>
      <c r="B986" s="25" t="s">
        <v>331</v>
      </c>
      <c r="C986" s="25" t="s">
        <v>705</v>
      </c>
      <c r="D986" s="75">
        <f t="shared" si="302"/>
        <v>46123</v>
      </c>
      <c r="E986" s="75">
        <f t="shared" si="303"/>
        <v>46107</v>
      </c>
      <c r="F986" s="75">
        <f t="shared" si="304"/>
        <v>46114</v>
      </c>
      <c r="G986" s="75">
        <f t="shared" si="305"/>
        <v>46120</v>
      </c>
      <c r="H986" s="75">
        <f t="shared" si="306"/>
        <v>46108</v>
      </c>
      <c r="I986" s="75">
        <f t="shared" si="307"/>
        <v>46115</v>
      </c>
      <c r="J986" s="75">
        <v>46132</v>
      </c>
      <c r="K986" s="25">
        <f t="shared" si="308"/>
        <v>32</v>
      </c>
      <c r="L986" s="25">
        <v>13.85</v>
      </c>
      <c r="M986" s="25">
        <v>11.68</v>
      </c>
      <c r="N986" s="25">
        <f t="shared" si="309"/>
        <v>2.17</v>
      </c>
      <c r="O986" s="25" t="s">
        <v>545</v>
      </c>
    </row>
    <row r="987" spans="1:15" x14ac:dyDescent="0.25">
      <c r="A987" s="75">
        <v>46100</v>
      </c>
      <c r="B987" s="25" t="s">
        <v>332</v>
      </c>
      <c r="C987" s="25" t="s">
        <v>706</v>
      </c>
      <c r="D987" s="75">
        <f t="shared" si="302"/>
        <v>46123</v>
      </c>
      <c r="E987" s="75">
        <f t="shared" si="303"/>
        <v>46107</v>
      </c>
      <c r="F987" s="75">
        <f t="shared" si="304"/>
        <v>46114</v>
      </c>
      <c r="G987" s="75">
        <f t="shared" si="305"/>
        <v>46120</v>
      </c>
      <c r="H987" s="75">
        <f t="shared" si="306"/>
        <v>46108</v>
      </c>
      <c r="I987" s="75">
        <f t="shared" si="307"/>
        <v>46115</v>
      </c>
      <c r="J987" s="75">
        <v>46132</v>
      </c>
      <c r="K987" s="25">
        <f t="shared" si="308"/>
        <v>32</v>
      </c>
      <c r="L987" s="25">
        <v>15.29</v>
      </c>
      <c r="M987" s="25">
        <v>13.48</v>
      </c>
      <c r="N987" s="25">
        <f t="shared" si="309"/>
        <v>1.8099999999999987</v>
      </c>
      <c r="O987" s="25" t="s">
        <v>545</v>
      </c>
    </row>
    <row r="988" spans="1:15" x14ac:dyDescent="0.25">
      <c r="A988" s="75">
        <v>46100</v>
      </c>
      <c r="B988" s="25" t="s">
        <v>333</v>
      </c>
      <c r="C988" s="25" t="s">
        <v>707</v>
      </c>
      <c r="D988" s="75">
        <f t="shared" si="302"/>
        <v>46123</v>
      </c>
      <c r="E988" s="75">
        <f t="shared" si="303"/>
        <v>46107</v>
      </c>
      <c r="F988" s="75">
        <f t="shared" si="304"/>
        <v>46114</v>
      </c>
      <c r="G988" s="75">
        <f t="shared" si="305"/>
        <v>46120</v>
      </c>
      <c r="H988" s="75">
        <f t="shared" si="306"/>
        <v>46108</v>
      </c>
      <c r="I988" s="75">
        <f t="shared" si="307"/>
        <v>46115</v>
      </c>
      <c r="J988" s="75">
        <v>46133</v>
      </c>
      <c r="K988" s="25">
        <f t="shared" si="308"/>
        <v>33</v>
      </c>
      <c r="L988" s="25">
        <v>13.47</v>
      </c>
      <c r="M988" s="25">
        <v>11.35</v>
      </c>
      <c r="N988" s="25">
        <f t="shared" si="309"/>
        <v>2.120000000000001</v>
      </c>
      <c r="O988" s="25" t="s">
        <v>545</v>
      </c>
    </row>
    <row r="989" spans="1:15" x14ac:dyDescent="0.25">
      <c r="A989" s="75">
        <v>46100</v>
      </c>
      <c r="B989" s="25" t="s">
        <v>334</v>
      </c>
      <c r="C989" s="25" t="s">
        <v>708</v>
      </c>
      <c r="D989" s="75">
        <f t="shared" si="302"/>
        <v>46123</v>
      </c>
      <c r="E989" s="75">
        <f t="shared" si="303"/>
        <v>46107</v>
      </c>
      <c r="F989" s="75">
        <f t="shared" si="304"/>
        <v>46114</v>
      </c>
      <c r="G989" s="75">
        <f t="shared" si="305"/>
        <v>46120</v>
      </c>
      <c r="H989" s="75">
        <f t="shared" si="306"/>
        <v>46108</v>
      </c>
      <c r="I989" s="75">
        <f t="shared" si="307"/>
        <v>46115</v>
      </c>
      <c r="J989" s="75">
        <v>46133</v>
      </c>
      <c r="K989" s="25">
        <f t="shared" si="308"/>
        <v>33</v>
      </c>
      <c r="L989" s="25">
        <v>14.26</v>
      </c>
      <c r="M989" s="25">
        <v>12.11</v>
      </c>
      <c r="N989" s="25">
        <f t="shared" si="309"/>
        <v>2.1500000000000004</v>
      </c>
      <c r="O989" s="25" t="s">
        <v>545</v>
      </c>
    </row>
    <row r="990" spans="1:15" x14ac:dyDescent="0.25">
      <c r="A990" s="75">
        <v>46100</v>
      </c>
      <c r="B990" s="25" t="s">
        <v>335</v>
      </c>
      <c r="C990" s="25" t="s">
        <v>709</v>
      </c>
      <c r="D990" s="75">
        <f t="shared" si="302"/>
        <v>46123</v>
      </c>
      <c r="E990" s="75">
        <f t="shared" si="303"/>
        <v>46107</v>
      </c>
      <c r="F990" s="75">
        <f t="shared" si="304"/>
        <v>46114</v>
      </c>
      <c r="G990" s="75">
        <f t="shared" si="305"/>
        <v>46120</v>
      </c>
      <c r="H990" s="75">
        <f t="shared" si="306"/>
        <v>46108</v>
      </c>
      <c r="I990" s="75">
        <f t="shared" si="307"/>
        <v>46115</v>
      </c>
      <c r="J990" s="75">
        <v>46133</v>
      </c>
      <c r="K990" s="25">
        <f t="shared" si="308"/>
        <v>33</v>
      </c>
      <c r="L990" s="25">
        <v>12.42</v>
      </c>
      <c r="M990" s="25">
        <v>10.33</v>
      </c>
      <c r="N990" s="25">
        <f t="shared" si="309"/>
        <v>2.09</v>
      </c>
      <c r="O990" s="25" t="s">
        <v>545</v>
      </c>
    </row>
    <row r="991" spans="1:15" x14ac:dyDescent="0.25">
      <c r="A991" s="75">
        <v>46100</v>
      </c>
      <c r="B991" s="25" t="s">
        <v>336</v>
      </c>
      <c r="C991" s="25" t="s">
        <v>710</v>
      </c>
      <c r="D991" s="75">
        <f t="shared" si="302"/>
        <v>46123</v>
      </c>
      <c r="E991" s="75">
        <f t="shared" si="303"/>
        <v>46107</v>
      </c>
      <c r="F991" s="75">
        <f t="shared" si="304"/>
        <v>46114</v>
      </c>
      <c r="G991" s="75">
        <f t="shared" si="305"/>
        <v>46120</v>
      </c>
      <c r="H991" s="75">
        <f t="shared" si="306"/>
        <v>46108</v>
      </c>
      <c r="I991" s="75">
        <f t="shared" si="307"/>
        <v>46115</v>
      </c>
      <c r="J991" s="75">
        <v>46134</v>
      </c>
      <c r="K991" s="25">
        <f t="shared" si="308"/>
        <v>34</v>
      </c>
      <c r="L991" s="25">
        <v>14.75</v>
      </c>
      <c r="M991" s="25">
        <v>12.31</v>
      </c>
      <c r="N991" s="25">
        <f t="shared" si="309"/>
        <v>2.4399999999999995</v>
      </c>
      <c r="O991" s="25" t="s">
        <v>545</v>
      </c>
    </row>
    <row r="992" spans="1:15" x14ac:dyDescent="0.25">
      <c r="A992" s="75">
        <v>46100</v>
      </c>
      <c r="B992" s="25" t="s">
        <v>337</v>
      </c>
      <c r="C992" s="25" t="s">
        <v>711</v>
      </c>
      <c r="D992" s="75">
        <f t="shared" si="302"/>
        <v>46123</v>
      </c>
      <c r="E992" s="75">
        <f t="shared" si="303"/>
        <v>46107</v>
      </c>
      <c r="F992" s="75">
        <f t="shared" si="304"/>
        <v>46114</v>
      </c>
      <c r="G992" s="75">
        <f t="shared" si="305"/>
        <v>46120</v>
      </c>
      <c r="H992" s="75">
        <f t="shared" si="306"/>
        <v>46108</v>
      </c>
      <c r="I992" s="75">
        <f t="shared" si="307"/>
        <v>46115</v>
      </c>
      <c r="J992" s="75">
        <v>46134</v>
      </c>
      <c r="K992" s="25">
        <f t="shared" si="308"/>
        <v>34</v>
      </c>
      <c r="L992" s="25">
        <v>14.51</v>
      </c>
      <c r="M992" s="25">
        <v>12.1</v>
      </c>
      <c r="N992" s="25">
        <f t="shared" si="309"/>
        <v>2.41</v>
      </c>
      <c r="O992" s="25" t="s">
        <v>545</v>
      </c>
    </row>
    <row r="993" spans="1:15" x14ac:dyDescent="0.25">
      <c r="A993" s="75">
        <v>46101</v>
      </c>
      <c r="B993" s="25" t="s">
        <v>318</v>
      </c>
      <c r="C993" s="25" t="s">
        <v>712</v>
      </c>
      <c r="D993" s="75">
        <f t="shared" si="302"/>
        <v>46124</v>
      </c>
      <c r="E993" s="75">
        <f t="shared" si="303"/>
        <v>46108</v>
      </c>
      <c r="F993" s="75">
        <f t="shared" si="304"/>
        <v>46115</v>
      </c>
      <c r="G993" s="75">
        <f t="shared" si="305"/>
        <v>46121</v>
      </c>
      <c r="H993" s="75">
        <f t="shared" si="306"/>
        <v>46109</v>
      </c>
      <c r="I993" s="75">
        <f t="shared" si="307"/>
        <v>46116</v>
      </c>
      <c r="J993" s="75">
        <v>46134</v>
      </c>
      <c r="K993" s="25">
        <f t="shared" si="308"/>
        <v>33</v>
      </c>
      <c r="L993" s="25">
        <v>12.37</v>
      </c>
      <c r="M993" s="25">
        <v>10.54</v>
      </c>
      <c r="N993" s="25">
        <f t="shared" si="309"/>
        <v>1.83</v>
      </c>
      <c r="O993" s="25" t="s">
        <v>545</v>
      </c>
    </row>
    <row r="994" spans="1:15" x14ac:dyDescent="0.25">
      <c r="A994" s="75">
        <v>46101</v>
      </c>
      <c r="B994" s="25" t="s">
        <v>319</v>
      </c>
      <c r="C994" s="25" t="s">
        <v>713</v>
      </c>
      <c r="D994" s="75">
        <f t="shared" si="302"/>
        <v>46124</v>
      </c>
      <c r="E994" s="75">
        <f t="shared" si="303"/>
        <v>46108</v>
      </c>
      <c r="F994" s="75">
        <f t="shared" si="304"/>
        <v>46115</v>
      </c>
      <c r="G994" s="75">
        <f t="shared" si="305"/>
        <v>46121</v>
      </c>
      <c r="H994" s="75">
        <f t="shared" si="306"/>
        <v>46109</v>
      </c>
      <c r="I994" s="75">
        <f t="shared" si="307"/>
        <v>46116</v>
      </c>
      <c r="J994" s="75">
        <v>46134</v>
      </c>
      <c r="K994" s="25">
        <f t="shared" si="308"/>
        <v>33</v>
      </c>
      <c r="L994" s="25">
        <v>13.1</v>
      </c>
      <c r="M994" s="25">
        <v>11.21</v>
      </c>
      <c r="N994" s="25">
        <f t="shared" si="309"/>
        <v>1.8899999999999988</v>
      </c>
      <c r="O994" s="25" t="s">
        <v>545</v>
      </c>
    </row>
    <row r="995" spans="1:15" x14ac:dyDescent="0.25">
      <c r="A995" s="75">
        <v>46101</v>
      </c>
      <c r="B995" s="25" t="s">
        <v>320</v>
      </c>
      <c r="C995" s="25" t="s">
        <v>714</v>
      </c>
      <c r="D995" s="75">
        <f t="shared" si="302"/>
        <v>46124</v>
      </c>
      <c r="E995" s="75">
        <f t="shared" si="303"/>
        <v>46108</v>
      </c>
      <c r="F995" s="75">
        <f t="shared" si="304"/>
        <v>46115</v>
      </c>
      <c r="G995" s="75">
        <f t="shared" si="305"/>
        <v>46121</v>
      </c>
      <c r="H995" s="75">
        <f t="shared" si="306"/>
        <v>46109</v>
      </c>
      <c r="I995" s="75">
        <f t="shared" si="307"/>
        <v>46116</v>
      </c>
      <c r="J995" s="75">
        <v>46134</v>
      </c>
      <c r="K995" s="25">
        <f t="shared" si="308"/>
        <v>33</v>
      </c>
      <c r="L995" s="25">
        <v>12.28</v>
      </c>
      <c r="M995" s="25">
        <v>10.33</v>
      </c>
      <c r="N995" s="25">
        <f t="shared" si="309"/>
        <v>1.9499999999999993</v>
      </c>
      <c r="O995" s="25" t="s">
        <v>545</v>
      </c>
    </row>
    <row r="996" spans="1:15" x14ac:dyDescent="0.25">
      <c r="A996" s="75">
        <v>46101</v>
      </c>
      <c r="B996" s="25" t="s">
        <v>321</v>
      </c>
      <c r="C996" s="25" t="s">
        <v>715</v>
      </c>
      <c r="D996" s="75">
        <f t="shared" si="302"/>
        <v>46124</v>
      </c>
      <c r="E996" s="75">
        <f t="shared" si="303"/>
        <v>46108</v>
      </c>
      <c r="F996" s="75">
        <f t="shared" si="304"/>
        <v>46115</v>
      </c>
      <c r="G996" s="75">
        <f t="shared" si="305"/>
        <v>46121</v>
      </c>
      <c r="H996" s="75">
        <f t="shared" si="306"/>
        <v>46109</v>
      </c>
      <c r="I996" s="75">
        <f t="shared" si="307"/>
        <v>46116</v>
      </c>
      <c r="J996" s="75">
        <v>46134</v>
      </c>
      <c r="K996" s="25">
        <f t="shared" si="308"/>
        <v>33</v>
      </c>
      <c r="L996" s="25">
        <v>12.35</v>
      </c>
      <c r="M996" s="25">
        <v>10.42</v>
      </c>
      <c r="N996" s="25">
        <f t="shared" si="309"/>
        <v>1.9299999999999997</v>
      </c>
      <c r="O996" s="25" t="s">
        <v>545</v>
      </c>
    </row>
    <row r="997" spans="1:15" x14ac:dyDescent="0.25">
      <c r="A997" s="75">
        <v>46101</v>
      </c>
      <c r="B997" s="25" t="s">
        <v>322</v>
      </c>
      <c r="C997" s="25" t="s">
        <v>716</v>
      </c>
      <c r="D997" s="75">
        <f t="shared" si="302"/>
        <v>46124</v>
      </c>
      <c r="E997" s="75">
        <f t="shared" si="303"/>
        <v>46108</v>
      </c>
      <c r="F997" s="75">
        <f t="shared" si="304"/>
        <v>46115</v>
      </c>
      <c r="G997" s="75">
        <f t="shared" si="305"/>
        <v>46121</v>
      </c>
      <c r="H997" s="75">
        <f t="shared" si="306"/>
        <v>46109</v>
      </c>
      <c r="I997" s="75">
        <f t="shared" si="307"/>
        <v>46116</v>
      </c>
      <c r="J997" s="75">
        <v>46135</v>
      </c>
      <c r="K997" s="25">
        <f t="shared" si="308"/>
        <v>34</v>
      </c>
      <c r="L997" s="25">
        <v>13.42</v>
      </c>
      <c r="M997" s="25">
        <v>12.24</v>
      </c>
      <c r="N997" s="25">
        <f t="shared" si="309"/>
        <v>1.1799999999999997</v>
      </c>
      <c r="O997" s="25" t="s">
        <v>545</v>
      </c>
    </row>
    <row r="998" spans="1:15" x14ac:dyDescent="0.25">
      <c r="A998" s="75">
        <v>46101</v>
      </c>
      <c r="B998" s="25" t="s">
        <v>323</v>
      </c>
      <c r="C998" s="25" t="s">
        <v>717</v>
      </c>
      <c r="D998" s="75">
        <f t="shared" si="302"/>
        <v>46124</v>
      </c>
      <c r="E998" s="75">
        <f t="shared" si="303"/>
        <v>46108</v>
      </c>
      <c r="F998" s="75">
        <f t="shared" si="304"/>
        <v>46115</v>
      </c>
      <c r="G998" s="75">
        <f t="shared" si="305"/>
        <v>46121</v>
      </c>
      <c r="H998" s="75">
        <f t="shared" si="306"/>
        <v>46109</v>
      </c>
      <c r="I998" s="75">
        <f t="shared" si="307"/>
        <v>46116</v>
      </c>
      <c r="J998" s="75">
        <v>46135</v>
      </c>
      <c r="K998" s="25">
        <f t="shared" ref="K998:K1002" si="310">J998-A998</f>
        <v>34</v>
      </c>
      <c r="L998" s="25">
        <v>14.56</v>
      </c>
      <c r="M998" s="25">
        <v>12.58</v>
      </c>
      <c r="N998" s="25">
        <f t="shared" si="309"/>
        <v>1.9800000000000004</v>
      </c>
      <c r="O998" s="25" t="s">
        <v>545</v>
      </c>
    </row>
    <row r="999" spans="1:15" x14ac:dyDescent="0.25">
      <c r="A999" s="75">
        <v>46101</v>
      </c>
      <c r="B999" s="25" t="s">
        <v>324</v>
      </c>
      <c r="C999" s="25" t="s">
        <v>718</v>
      </c>
      <c r="D999" s="75">
        <f t="shared" si="302"/>
        <v>46124</v>
      </c>
      <c r="E999" s="75">
        <f t="shared" si="303"/>
        <v>46108</v>
      </c>
      <c r="F999" s="75">
        <f t="shared" si="304"/>
        <v>46115</v>
      </c>
      <c r="G999" s="75">
        <f t="shared" si="305"/>
        <v>46121</v>
      </c>
      <c r="H999" s="75">
        <f t="shared" si="306"/>
        <v>46109</v>
      </c>
      <c r="I999" s="75">
        <f t="shared" si="307"/>
        <v>46116</v>
      </c>
      <c r="J999" s="75">
        <v>46135</v>
      </c>
      <c r="K999" s="25">
        <f t="shared" si="310"/>
        <v>34</v>
      </c>
      <c r="L999" s="25">
        <v>15.38</v>
      </c>
      <c r="M999" s="25">
        <v>13.21</v>
      </c>
      <c r="N999" s="25">
        <f t="shared" si="309"/>
        <v>2.17</v>
      </c>
      <c r="O999" s="25" t="s">
        <v>545</v>
      </c>
    </row>
    <row r="1000" spans="1:15" x14ac:dyDescent="0.25">
      <c r="A1000" s="75">
        <v>46102</v>
      </c>
      <c r="B1000" s="25" t="s">
        <v>338</v>
      </c>
      <c r="C1000" s="25" t="s">
        <v>719</v>
      </c>
      <c r="D1000" s="75">
        <f t="shared" si="302"/>
        <v>46125</v>
      </c>
      <c r="E1000" s="75">
        <f t="shared" si="303"/>
        <v>46109</v>
      </c>
      <c r="F1000" s="75">
        <f t="shared" si="304"/>
        <v>46116</v>
      </c>
      <c r="G1000" s="75">
        <f t="shared" si="305"/>
        <v>46122</v>
      </c>
      <c r="H1000" s="75">
        <f t="shared" si="306"/>
        <v>46110</v>
      </c>
      <c r="I1000" s="75">
        <f t="shared" si="307"/>
        <v>46117</v>
      </c>
      <c r="J1000" s="75">
        <v>46135</v>
      </c>
      <c r="K1000" s="25">
        <f t="shared" si="310"/>
        <v>33</v>
      </c>
      <c r="L1000" s="25">
        <v>14.51</v>
      </c>
      <c r="M1000" s="25">
        <v>12.47</v>
      </c>
      <c r="N1000" s="25">
        <f t="shared" si="309"/>
        <v>2.0399999999999991</v>
      </c>
      <c r="O1000" s="25" t="s">
        <v>545</v>
      </c>
    </row>
    <row r="1001" spans="1:15" x14ac:dyDescent="0.25">
      <c r="A1001" s="75">
        <v>46102</v>
      </c>
      <c r="B1001" s="25" t="s">
        <v>339</v>
      </c>
      <c r="C1001" s="25" t="s">
        <v>720</v>
      </c>
      <c r="D1001" s="75">
        <f t="shared" si="302"/>
        <v>46125</v>
      </c>
      <c r="E1001" s="75">
        <f t="shared" si="303"/>
        <v>46109</v>
      </c>
      <c r="F1001" s="75">
        <f t="shared" si="304"/>
        <v>46116</v>
      </c>
      <c r="G1001" s="75">
        <f t="shared" si="305"/>
        <v>46122</v>
      </c>
      <c r="H1001" s="75">
        <f t="shared" si="306"/>
        <v>46110</v>
      </c>
      <c r="I1001" s="75">
        <f t="shared" si="307"/>
        <v>46117</v>
      </c>
      <c r="J1001" s="75">
        <v>46135</v>
      </c>
      <c r="K1001" s="25">
        <f t="shared" si="310"/>
        <v>33</v>
      </c>
      <c r="L1001" s="25">
        <v>14.49</v>
      </c>
      <c r="M1001" s="25">
        <v>12.51</v>
      </c>
      <c r="N1001" s="25">
        <f t="shared" si="309"/>
        <v>1.9800000000000004</v>
      </c>
      <c r="O1001" s="25" t="s">
        <v>545</v>
      </c>
    </row>
    <row r="1002" spans="1:15" x14ac:dyDescent="0.25">
      <c r="A1002" s="75">
        <v>46102</v>
      </c>
      <c r="B1002" s="25" t="s">
        <v>340</v>
      </c>
      <c r="C1002" s="25" t="s">
        <v>721</v>
      </c>
      <c r="D1002" s="75">
        <f t="shared" si="302"/>
        <v>46125</v>
      </c>
      <c r="E1002" s="75">
        <f t="shared" si="303"/>
        <v>46109</v>
      </c>
      <c r="F1002" s="75">
        <f t="shared" si="304"/>
        <v>46116</v>
      </c>
      <c r="G1002" s="75">
        <f t="shared" si="305"/>
        <v>46122</v>
      </c>
      <c r="H1002" s="75">
        <f t="shared" si="306"/>
        <v>46110</v>
      </c>
      <c r="I1002" s="75">
        <f t="shared" si="307"/>
        <v>46117</v>
      </c>
      <c r="J1002" s="75">
        <v>46135</v>
      </c>
      <c r="K1002" s="25">
        <f t="shared" si="310"/>
        <v>33</v>
      </c>
      <c r="L1002" s="25">
        <v>15.26</v>
      </c>
      <c r="M1002" s="25">
        <v>13.71</v>
      </c>
      <c r="N1002" s="25">
        <f t="shared" si="309"/>
        <v>1.5499999999999989</v>
      </c>
      <c r="O1002" s="25" t="s">
        <v>545</v>
      </c>
    </row>
    <row r="1003" spans="1:15" x14ac:dyDescent="0.25">
      <c r="A1003" s="75">
        <v>46102</v>
      </c>
      <c r="B1003" s="25" t="s">
        <v>341</v>
      </c>
      <c r="C1003" s="25" t="s">
        <v>722</v>
      </c>
      <c r="D1003" s="75">
        <f t="shared" si="302"/>
        <v>46125</v>
      </c>
      <c r="E1003" s="75">
        <f t="shared" si="303"/>
        <v>46109</v>
      </c>
      <c r="F1003" s="75">
        <f t="shared" si="304"/>
        <v>46116</v>
      </c>
      <c r="G1003" s="75">
        <f t="shared" si="305"/>
        <v>46122</v>
      </c>
      <c r="H1003" s="75">
        <f t="shared" si="306"/>
        <v>46110</v>
      </c>
      <c r="I1003" s="75">
        <f t="shared" si="307"/>
        <v>46117</v>
      </c>
      <c r="J1003" s="75">
        <v>46136</v>
      </c>
      <c r="K1003" s="25">
        <f t="shared" ref="K1003" si="311">J1003-A1003</f>
        <v>34</v>
      </c>
      <c r="L1003" s="25">
        <v>13.16</v>
      </c>
      <c r="M1003" s="25">
        <v>11.47</v>
      </c>
      <c r="N1003" s="25">
        <f t="shared" si="309"/>
        <v>1.6899999999999995</v>
      </c>
      <c r="O1003" s="25" t="s">
        <v>545</v>
      </c>
    </row>
    <row r="1004" spans="1:15" x14ac:dyDescent="0.25">
      <c r="A1004" s="75">
        <v>46102</v>
      </c>
      <c r="B1004" s="25" t="s">
        <v>342</v>
      </c>
      <c r="C1004" s="25" t="s">
        <v>723</v>
      </c>
      <c r="D1004" s="75">
        <f t="shared" si="302"/>
        <v>46125</v>
      </c>
      <c r="E1004" s="75">
        <f t="shared" si="303"/>
        <v>46109</v>
      </c>
      <c r="F1004" s="75">
        <f t="shared" si="304"/>
        <v>46116</v>
      </c>
      <c r="G1004" s="75">
        <f t="shared" si="305"/>
        <v>46122</v>
      </c>
      <c r="H1004" s="75">
        <f t="shared" si="306"/>
        <v>46110</v>
      </c>
      <c r="I1004" s="75">
        <f t="shared" si="307"/>
        <v>46117</v>
      </c>
      <c r="J1004" s="75">
        <v>46136</v>
      </c>
      <c r="K1004" s="25">
        <f t="shared" ref="K1004:K1010" si="312">J1004-A1004</f>
        <v>34</v>
      </c>
      <c r="L1004" s="25">
        <v>12.41</v>
      </c>
      <c r="M1004" s="25">
        <v>10.58</v>
      </c>
      <c r="N1004" s="25">
        <f t="shared" si="309"/>
        <v>1.83</v>
      </c>
      <c r="O1004" s="25" t="s">
        <v>545</v>
      </c>
    </row>
    <row r="1005" spans="1:15" x14ac:dyDescent="0.25">
      <c r="A1005" s="75">
        <v>46102</v>
      </c>
      <c r="B1005" s="25" t="s">
        <v>343</v>
      </c>
      <c r="C1005" s="25" t="s">
        <v>724</v>
      </c>
      <c r="D1005" s="75">
        <f t="shared" si="302"/>
        <v>46125</v>
      </c>
      <c r="E1005" s="75">
        <f t="shared" si="303"/>
        <v>46109</v>
      </c>
      <c r="F1005" s="75">
        <f t="shared" si="304"/>
        <v>46116</v>
      </c>
      <c r="G1005" s="75">
        <f t="shared" si="305"/>
        <v>46122</v>
      </c>
      <c r="H1005" s="75">
        <f t="shared" si="306"/>
        <v>46110</v>
      </c>
      <c r="I1005" s="75">
        <f t="shared" si="307"/>
        <v>46117</v>
      </c>
      <c r="J1005" s="75">
        <v>46136</v>
      </c>
      <c r="K1005" s="25">
        <f t="shared" si="312"/>
        <v>34</v>
      </c>
      <c r="L1005" s="25">
        <v>12.78</v>
      </c>
      <c r="M1005" s="25">
        <v>11.22</v>
      </c>
      <c r="N1005" s="25">
        <f t="shared" si="309"/>
        <v>1.5599999999999987</v>
      </c>
      <c r="O1005" s="25" t="s">
        <v>545</v>
      </c>
    </row>
    <row r="1006" spans="1:15" x14ac:dyDescent="0.25">
      <c r="A1006" s="75">
        <v>46102</v>
      </c>
      <c r="B1006" s="25" t="s">
        <v>344</v>
      </c>
      <c r="C1006" s="25" t="s">
        <v>725</v>
      </c>
      <c r="D1006" s="75">
        <f t="shared" si="302"/>
        <v>46125</v>
      </c>
      <c r="E1006" s="75">
        <f t="shared" si="303"/>
        <v>46109</v>
      </c>
      <c r="F1006" s="75">
        <f t="shared" si="304"/>
        <v>46116</v>
      </c>
      <c r="G1006" s="75">
        <f t="shared" si="305"/>
        <v>46122</v>
      </c>
      <c r="H1006" s="75">
        <f t="shared" si="306"/>
        <v>46110</v>
      </c>
      <c r="I1006" s="75">
        <f t="shared" si="307"/>
        <v>46117</v>
      </c>
      <c r="J1006" s="75">
        <v>46136</v>
      </c>
      <c r="K1006" s="25">
        <f t="shared" si="312"/>
        <v>34</v>
      </c>
      <c r="L1006" s="25">
        <v>13.96</v>
      </c>
      <c r="M1006" s="25">
        <v>12.45</v>
      </c>
      <c r="N1006" s="25">
        <f t="shared" si="309"/>
        <v>1.5100000000000016</v>
      </c>
      <c r="O1006" s="25" t="s">
        <v>545</v>
      </c>
    </row>
    <row r="1007" spans="1:15" x14ac:dyDescent="0.25">
      <c r="A1007" s="75">
        <v>46103</v>
      </c>
      <c r="B1007" s="25" t="s">
        <v>325</v>
      </c>
      <c r="C1007" s="25" t="s">
        <v>726</v>
      </c>
      <c r="D1007" s="75">
        <f t="shared" si="302"/>
        <v>46126</v>
      </c>
      <c r="E1007" s="75">
        <f t="shared" si="303"/>
        <v>46110</v>
      </c>
      <c r="F1007" s="75">
        <f t="shared" si="304"/>
        <v>46117</v>
      </c>
      <c r="G1007" s="75">
        <f t="shared" si="305"/>
        <v>46123</v>
      </c>
      <c r="H1007" s="75">
        <f t="shared" si="306"/>
        <v>46111</v>
      </c>
      <c r="I1007" s="75">
        <f t="shared" si="307"/>
        <v>46118</v>
      </c>
      <c r="J1007" s="75">
        <v>46136</v>
      </c>
      <c r="K1007" s="25">
        <f t="shared" si="312"/>
        <v>33</v>
      </c>
      <c r="L1007" s="25">
        <v>12.18</v>
      </c>
      <c r="M1007" s="25">
        <v>10.58</v>
      </c>
      <c r="N1007" s="25">
        <f t="shared" si="309"/>
        <v>1.5999999999999996</v>
      </c>
      <c r="O1007" s="25" t="s">
        <v>545</v>
      </c>
    </row>
    <row r="1008" spans="1:15" x14ac:dyDescent="0.25">
      <c r="A1008" s="75">
        <v>46103</v>
      </c>
      <c r="B1008" s="25" t="s">
        <v>326</v>
      </c>
      <c r="C1008" s="25" t="s">
        <v>727</v>
      </c>
      <c r="D1008" s="75">
        <f t="shared" si="302"/>
        <v>46126</v>
      </c>
      <c r="E1008" s="75">
        <f t="shared" si="303"/>
        <v>46110</v>
      </c>
      <c r="F1008" s="75">
        <f t="shared" si="304"/>
        <v>46117</v>
      </c>
      <c r="G1008" s="75">
        <f t="shared" si="305"/>
        <v>46123</v>
      </c>
      <c r="H1008" s="75">
        <f t="shared" si="306"/>
        <v>46111</v>
      </c>
      <c r="I1008" s="75">
        <f t="shared" si="307"/>
        <v>46118</v>
      </c>
      <c r="J1008" s="75">
        <v>46136</v>
      </c>
      <c r="K1008" s="25">
        <f t="shared" si="312"/>
        <v>33</v>
      </c>
      <c r="L1008" s="25">
        <v>14.1</v>
      </c>
      <c r="M1008" s="25">
        <v>12.36</v>
      </c>
      <c r="N1008" s="25">
        <f t="shared" si="309"/>
        <v>1.7400000000000002</v>
      </c>
      <c r="O1008" s="25" t="s">
        <v>545</v>
      </c>
    </row>
    <row r="1009" spans="1:15" x14ac:dyDescent="0.25">
      <c r="A1009" s="75">
        <v>46103</v>
      </c>
      <c r="B1009" s="25" t="s">
        <v>327</v>
      </c>
      <c r="C1009" s="25" t="s">
        <v>728</v>
      </c>
      <c r="D1009" s="75">
        <f t="shared" si="302"/>
        <v>46126</v>
      </c>
      <c r="E1009" s="75">
        <f t="shared" si="303"/>
        <v>46110</v>
      </c>
      <c r="F1009" s="75">
        <f t="shared" si="304"/>
        <v>46117</v>
      </c>
      <c r="G1009" s="75">
        <f t="shared" si="305"/>
        <v>46123</v>
      </c>
      <c r="H1009" s="75">
        <f t="shared" si="306"/>
        <v>46111</v>
      </c>
      <c r="I1009" s="75">
        <f t="shared" si="307"/>
        <v>46118</v>
      </c>
      <c r="J1009" s="75">
        <v>46136</v>
      </c>
      <c r="K1009" s="25">
        <f t="shared" si="312"/>
        <v>33</v>
      </c>
      <c r="L1009" s="25">
        <v>13.27</v>
      </c>
      <c r="M1009" s="25">
        <v>11.54</v>
      </c>
      <c r="N1009" s="25">
        <f t="shared" si="309"/>
        <v>1.7300000000000004</v>
      </c>
      <c r="O1009" s="25" t="s">
        <v>545</v>
      </c>
    </row>
    <row r="1010" spans="1:15" x14ac:dyDescent="0.25">
      <c r="A1010" s="75">
        <v>46103</v>
      </c>
      <c r="B1010" s="25" t="s">
        <v>328</v>
      </c>
      <c r="C1010" s="25" t="s">
        <v>729</v>
      </c>
      <c r="D1010" s="75">
        <f t="shared" si="302"/>
        <v>46126</v>
      </c>
      <c r="E1010" s="75">
        <f t="shared" si="303"/>
        <v>46110</v>
      </c>
      <c r="F1010" s="75">
        <f t="shared" si="304"/>
        <v>46117</v>
      </c>
      <c r="G1010" s="75">
        <f t="shared" si="305"/>
        <v>46123</v>
      </c>
      <c r="H1010" s="75">
        <f t="shared" si="306"/>
        <v>46111</v>
      </c>
      <c r="I1010" s="75">
        <f t="shared" si="307"/>
        <v>46118</v>
      </c>
      <c r="J1010" s="75">
        <v>46136</v>
      </c>
      <c r="K1010" s="25">
        <f t="shared" si="312"/>
        <v>33</v>
      </c>
      <c r="L1010" s="25">
        <v>14.08</v>
      </c>
      <c r="M1010" s="25">
        <v>12.73</v>
      </c>
      <c r="N1010" s="25">
        <f t="shared" si="309"/>
        <v>1.3499999999999996</v>
      </c>
      <c r="O1010" s="25" t="s">
        <v>545</v>
      </c>
    </row>
    <row r="1011" spans="1:15" x14ac:dyDescent="0.25">
      <c r="A1011" s="75">
        <v>46103</v>
      </c>
      <c r="B1011" s="25" t="s">
        <v>329</v>
      </c>
      <c r="C1011" s="25" t="s">
        <v>730</v>
      </c>
      <c r="D1011" s="75">
        <f t="shared" si="302"/>
        <v>46126</v>
      </c>
      <c r="E1011" s="75">
        <f t="shared" si="303"/>
        <v>46110</v>
      </c>
      <c r="F1011" s="75">
        <f t="shared" si="304"/>
        <v>46117</v>
      </c>
      <c r="G1011" s="75">
        <f t="shared" si="305"/>
        <v>46123</v>
      </c>
      <c r="H1011" s="75">
        <f t="shared" si="306"/>
        <v>46111</v>
      </c>
      <c r="I1011" s="75">
        <f t="shared" si="307"/>
        <v>46118</v>
      </c>
      <c r="J1011" s="75">
        <v>46137</v>
      </c>
      <c r="K1011" s="25">
        <f t="shared" ref="K1011" si="313">J1011-A1011</f>
        <v>34</v>
      </c>
      <c r="L1011" s="25">
        <v>13.16</v>
      </c>
      <c r="M1011" s="25">
        <v>11.54</v>
      </c>
      <c r="N1011" s="25">
        <f t="shared" ref="N1011:N1019" si="314">L1011-M1011</f>
        <v>1.620000000000001</v>
      </c>
      <c r="O1011" s="25" t="s">
        <v>545</v>
      </c>
    </row>
    <row r="1012" spans="1:15" x14ac:dyDescent="0.25">
      <c r="A1012" s="75">
        <v>46103</v>
      </c>
      <c r="B1012" s="25" t="s">
        <v>345</v>
      </c>
      <c r="C1012" s="25" t="s">
        <v>731</v>
      </c>
      <c r="D1012" s="75">
        <f t="shared" si="302"/>
        <v>46126</v>
      </c>
      <c r="E1012" s="75">
        <f t="shared" si="303"/>
        <v>46110</v>
      </c>
      <c r="F1012" s="75">
        <f t="shared" si="304"/>
        <v>46117</v>
      </c>
      <c r="G1012" s="75">
        <f t="shared" si="305"/>
        <v>46123</v>
      </c>
      <c r="H1012" s="75">
        <f t="shared" si="306"/>
        <v>46111</v>
      </c>
      <c r="I1012" s="75">
        <f t="shared" si="307"/>
        <v>46118</v>
      </c>
      <c r="J1012" s="75">
        <v>46137</v>
      </c>
      <c r="K1012" s="25">
        <f t="shared" ref="K1012:K1019" si="315">J1012-A1012</f>
        <v>34</v>
      </c>
      <c r="L1012" s="25">
        <v>12.07</v>
      </c>
      <c r="M1012" s="25">
        <v>10.210000000000001</v>
      </c>
      <c r="N1012" s="25">
        <f t="shared" si="314"/>
        <v>1.8599999999999994</v>
      </c>
      <c r="O1012" s="25" t="s">
        <v>545</v>
      </c>
    </row>
    <row r="1013" spans="1:15" x14ac:dyDescent="0.25">
      <c r="A1013" s="75">
        <v>46103</v>
      </c>
      <c r="B1013" s="25" t="s">
        <v>346</v>
      </c>
      <c r="C1013" s="25" t="s">
        <v>732</v>
      </c>
      <c r="D1013" s="75">
        <f t="shared" si="302"/>
        <v>46126</v>
      </c>
      <c r="E1013" s="75">
        <f t="shared" si="303"/>
        <v>46110</v>
      </c>
      <c r="F1013" s="75">
        <f t="shared" si="304"/>
        <v>46117</v>
      </c>
      <c r="G1013" s="75">
        <f t="shared" si="305"/>
        <v>46123</v>
      </c>
      <c r="H1013" s="75">
        <f t="shared" si="306"/>
        <v>46111</v>
      </c>
      <c r="I1013" s="75">
        <f t="shared" si="307"/>
        <v>46118</v>
      </c>
      <c r="J1013" s="75">
        <v>46137</v>
      </c>
      <c r="K1013" s="25">
        <f t="shared" si="315"/>
        <v>34</v>
      </c>
      <c r="L1013" s="25">
        <v>13.24</v>
      </c>
      <c r="M1013" s="25">
        <v>11.57</v>
      </c>
      <c r="N1013" s="25">
        <f t="shared" si="314"/>
        <v>1.67</v>
      </c>
      <c r="O1013" s="25" t="s">
        <v>545</v>
      </c>
    </row>
    <row r="1014" spans="1:15" x14ac:dyDescent="0.25">
      <c r="A1014" s="75">
        <v>46104</v>
      </c>
      <c r="B1014" s="25" t="s">
        <v>347</v>
      </c>
      <c r="C1014" s="25" t="s">
        <v>741</v>
      </c>
      <c r="D1014" s="75">
        <f t="shared" si="302"/>
        <v>46127</v>
      </c>
      <c r="E1014" s="75">
        <f t="shared" si="303"/>
        <v>46111</v>
      </c>
      <c r="F1014" s="75">
        <f t="shared" si="304"/>
        <v>46118</v>
      </c>
      <c r="G1014" s="75">
        <f t="shared" si="305"/>
        <v>46124</v>
      </c>
      <c r="H1014" s="75">
        <f t="shared" si="306"/>
        <v>46112</v>
      </c>
      <c r="I1014" s="75">
        <f t="shared" si="307"/>
        <v>46119</v>
      </c>
      <c r="J1014" s="75">
        <v>46137</v>
      </c>
      <c r="K1014" s="25">
        <f t="shared" si="315"/>
        <v>33</v>
      </c>
      <c r="L1014" s="25">
        <v>13.2</v>
      </c>
      <c r="M1014" s="25">
        <v>11.51</v>
      </c>
      <c r="N1014" s="25">
        <f t="shared" si="314"/>
        <v>1.6899999999999995</v>
      </c>
      <c r="O1014" s="25" t="s">
        <v>545</v>
      </c>
    </row>
    <row r="1015" spans="1:15" x14ac:dyDescent="0.25">
      <c r="A1015" s="75">
        <v>46104</v>
      </c>
      <c r="B1015" s="25" t="s">
        <v>348</v>
      </c>
      <c r="C1015" s="25" t="s">
        <v>742</v>
      </c>
      <c r="D1015" s="75">
        <f t="shared" si="302"/>
        <v>46127</v>
      </c>
      <c r="E1015" s="75">
        <f t="shared" si="303"/>
        <v>46111</v>
      </c>
      <c r="F1015" s="75">
        <f t="shared" si="304"/>
        <v>46118</v>
      </c>
      <c r="G1015" s="75">
        <f t="shared" si="305"/>
        <v>46124</v>
      </c>
      <c r="H1015" s="75">
        <f t="shared" si="306"/>
        <v>46112</v>
      </c>
      <c r="I1015" s="75">
        <f t="shared" si="307"/>
        <v>46119</v>
      </c>
      <c r="J1015" s="75">
        <v>46137</v>
      </c>
      <c r="K1015" s="25">
        <f t="shared" si="315"/>
        <v>33</v>
      </c>
      <c r="L1015" s="25">
        <v>12.97</v>
      </c>
      <c r="M1015" s="25">
        <v>11.2</v>
      </c>
      <c r="N1015" s="25">
        <f t="shared" si="314"/>
        <v>1.7700000000000014</v>
      </c>
      <c r="O1015" s="25" t="s">
        <v>545</v>
      </c>
    </row>
    <row r="1016" spans="1:15" x14ac:dyDescent="0.25">
      <c r="A1016" s="75">
        <v>46104</v>
      </c>
      <c r="B1016" s="25" t="s">
        <v>349</v>
      </c>
      <c r="C1016" s="25" t="s">
        <v>743</v>
      </c>
      <c r="D1016" s="75">
        <f t="shared" si="302"/>
        <v>46127</v>
      </c>
      <c r="E1016" s="75">
        <f t="shared" si="303"/>
        <v>46111</v>
      </c>
      <c r="F1016" s="75">
        <f t="shared" si="304"/>
        <v>46118</v>
      </c>
      <c r="G1016" s="75">
        <f t="shared" si="305"/>
        <v>46124</v>
      </c>
      <c r="H1016" s="75">
        <f t="shared" si="306"/>
        <v>46112</v>
      </c>
      <c r="I1016" s="75">
        <f t="shared" si="307"/>
        <v>46119</v>
      </c>
      <c r="J1016" s="75">
        <v>46137</v>
      </c>
      <c r="K1016" s="25">
        <f t="shared" si="315"/>
        <v>33</v>
      </c>
      <c r="L1016" s="25">
        <v>14.26</v>
      </c>
      <c r="M1016" s="25">
        <v>12.38</v>
      </c>
      <c r="N1016" s="25">
        <f t="shared" si="314"/>
        <v>1.879999999999999</v>
      </c>
      <c r="O1016" s="25" t="s">
        <v>545</v>
      </c>
    </row>
    <row r="1017" spans="1:15" x14ac:dyDescent="0.25">
      <c r="A1017" s="75">
        <v>46104</v>
      </c>
      <c r="B1017" s="25" t="s">
        <v>360</v>
      </c>
      <c r="C1017" s="25" t="s">
        <v>737</v>
      </c>
      <c r="D1017" s="75">
        <f t="shared" si="302"/>
        <v>46127</v>
      </c>
      <c r="E1017" s="75">
        <f t="shared" si="303"/>
        <v>46111</v>
      </c>
      <c r="F1017" s="75">
        <f t="shared" si="304"/>
        <v>46118</v>
      </c>
      <c r="G1017" s="75">
        <f t="shared" si="305"/>
        <v>46124</v>
      </c>
      <c r="H1017" s="75">
        <f t="shared" si="306"/>
        <v>46112</v>
      </c>
      <c r="I1017" s="75">
        <f t="shared" si="307"/>
        <v>46119</v>
      </c>
      <c r="J1017" s="75">
        <v>46138</v>
      </c>
      <c r="K1017" s="25">
        <f t="shared" ref="K1017" si="316">J1017-A1017</f>
        <v>34</v>
      </c>
      <c r="L1017" s="25">
        <v>12.41</v>
      </c>
      <c r="M1017" s="25">
        <v>10.58</v>
      </c>
      <c r="N1017" s="25">
        <f t="shared" si="314"/>
        <v>1.83</v>
      </c>
      <c r="O1017" s="25" t="s">
        <v>545</v>
      </c>
    </row>
    <row r="1018" spans="1:15" x14ac:dyDescent="0.25">
      <c r="A1018" s="75">
        <v>46104</v>
      </c>
      <c r="B1018" s="25" t="s">
        <v>361</v>
      </c>
      <c r="C1018" s="25" t="s">
        <v>738</v>
      </c>
      <c r="D1018" s="75">
        <f t="shared" si="302"/>
        <v>46127</v>
      </c>
      <c r="E1018" s="75">
        <f t="shared" si="303"/>
        <v>46111</v>
      </c>
      <c r="F1018" s="75">
        <f t="shared" si="304"/>
        <v>46118</v>
      </c>
      <c r="G1018" s="75">
        <f t="shared" si="305"/>
        <v>46124</v>
      </c>
      <c r="H1018" s="75">
        <f t="shared" si="306"/>
        <v>46112</v>
      </c>
      <c r="I1018" s="75">
        <f t="shared" si="307"/>
        <v>46119</v>
      </c>
      <c r="J1018" s="75">
        <v>46138</v>
      </c>
      <c r="K1018" s="25">
        <f t="shared" ref="K1018" si="317">J1018-A1018</f>
        <v>34</v>
      </c>
      <c r="L1018" s="25">
        <v>13.68</v>
      </c>
      <c r="M1018" s="25">
        <v>11.32</v>
      </c>
      <c r="N1018" s="25">
        <f t="shared" si="314"/>
        <v>2.3599999999999994</v>
      </c>
      <c r="O1018" s="25" t="s">
        <v>545</v>
      </c>
    </row>
    <row r="1019" spans="1:15" x14ac:dyDescent="0.25">
      <c r="A1019" s="75">
        <v>46104</v>
      </c>
      <c r="B1019" s="25" t="s">
        <v>362</v>
      </c>
      <c r="C1019" s="25" t="s">
        <v>739</v>
      </c>
      <c r="D1019" s="75">
        <f t="shared" si="302"/>
        <v>46127</v>
      </c>
      <c r="E1019" s="75">
        <f t="shared" si="303"/>
        <v>46111</v>
      </c>
      <c r="F1019" s="75">
        <f t="shared" si="304"/>
        <v>46118</v>
      </c>
      <c r="G1019" s="75">
        <f t="shared" si="305"/>
        <v>46124</v>
      </c>
      <c r="H1019" s="75">
        <f t="shared" si="306"/>
        <v>46112</v>
      </c>
      <c r="I1019" s="75">
        <f t="shared" si="307"/>
        <v>46119</v>
      </c>
      <c r="J1019" s="75">
        <v>46137</v>
      </c>
      <c r="K1019" s="25">
        <f t="shared" si="315"/>
        <v>33</v>
      </c>
      <c r="L1019" s="25">
        <v>13.45</v>
      </c>
      <c r="M1019" s="25">
        <v>11.12</v>
      </c>
      <c r="N1019" s="25">
        <f t="shared" si="314"/>
        <v>2.33</v>
      </c>
      <c r="O1019" s="25" t="s">
        <v>545</v>
      </c>
    </row>
    <row r="1020" spans="1:15" x14ac:dyDescent="0.25">
      <c r="A1020" s="75">
        <v>46104</v>
      </c>
      <c r="B1020" s="25" t="s">
        <v>363</v>
      </c>
      <c r="C1020" s="25" t="s">
        <v>740</v>
      </c>
      <c r="D1020" s="75">
        <f t="shared" si="302"/>
        <v>46127</v>
      </c>
      <c r="E1020" s="75">
        <f t="shared" si="303"/>
        <v>46111</v>
      </c>
      <c r="F1020" s="75">
        <f t="shared" si="304"/>
        <v>46118</v>
      </c>
      <c r="G1020" s="75">
        <f t="shared" si="305"/>
        <v>46124</v>
      </c>
      <c r="H1020" s="75">
        <f t="shared" si="306"/>
        <v>46112</v>
      </c>
      <c r="I1020" s="75">
        <f t="shared" si="307"/>
        <v>46119</v>
      </c>
      <c r="J1020" s="75">
        <v>46137</v>
      </c>
      <c r="K1020" s="25">
        <f t="shared" ref="K1020:K1022" si="318">J1020-A1020</f>
        <v>33</v>
      </c>
      <c r="L1020" s="25">
        <v>12.09</v>
      </c>
      <c r="M1020" s="25">
        <v>10.33</v>
      </c>
      <c r="N1020" s="25">
        <f t="shared" ref="N1020:N1022" si="319">L1020-M1020</f>
        <v>1.7599999999999998</v>
      </c>
      <c r="O1020" s="25" t="s">
        <v>545</v>
      </c>
    </row>
    <row r="1021" spans="1:15" x14ac:dyDescent="0.25">
      <c r="A1021" s="75">
        <v>46105</v>
      </c>
      <c r="B1021" s="25" t="s">
        <v>353</v>
      </c>
      <c r="C1021" s="25" t="s">
        <v>744</v>
      </c>
      <c r="D1021" s="75">
        <f t="shared" si="302"/>
        <v>46128</v>
      </c>
      <c r="E1021" s="75">
        <f t="shared" si="303"/>
        <v>46112</v>
      </c>
      <c r="F1021" s="75">
        <f t="shared" si="304"/>
        <v>46119</v>
      </c>
      <c r="G1021" s="75">
        <f t="shared" si="305"/>
        <v>46125</v>
      </c>
      <c r="H1021" s="75">
        <f t="shared" si="306"/>
        <v>46113</v>
      </c>
      <c r="I1021" s="75">
        <f t="shared" si="307"/>
        <v>46120</v>
      </c>
      <c r="J1021" s="75">
        <v>46139</v>
      </c>
      <c r="K1021" s="25">
        <f t="shared" si="318"/>
        <v>34</v>
      </c>
      <c r="L1021" s="25">
        <v>12.58</v>
      </c>
      <c r="M1021" s="25">
        <v>10.58</v>
      </c>
      <c r="N1021" s="25">
        <f t="shared" si="319"/>
        <v>2</v>
      </c>
      <c r="O1021" s="25" t="s">
        <v>545</v>
      </c>
    </row>
    <row r="1022" spans="1:15" x14ac:dyDescent="0.25">
      <c r="A1022" s="75">
        <v>46105</v>
      </c>
      <c r="B1022" s="25" t="s">
        <v>354</v>
      </c>
      <c r="C1022" s="25" t="s">
        <v>745</v>
      </c>
      <c r="D1022" s="75">
        <f t="shared" si="302"/>
        <v>46128</v>
      </c>
      <c r="E1022" s="75">
        <f t="shared" si="303"/>
        <v>46112</v>
      </c>
      <c r="F1022" s="75">
        <f t="shared" si="304"/>
        <v>46119</v>
      </c>
      <c r="G1022" s="75">
        <f t="shared" si="305"/>
        <v>46125</v>
      </c>
      <c r="H1022" s="75">
        <f t="shared" si="306"/>
        <v>46113</v>
      </c>
      <c r="I1022" s="75">
        <f t="shared" si="307"/>
        <v>46120</v>
      </c>
      <c r="J1022" s="75">
        <v>46139</v>
      </c>
      <c r="K1022" s="25">
        <f t="shared" si="318"/>
        <v>34</v>
      </c>
      <c r="L1022" s="25">
        <v>12.36</v>
      </c>
      <c r="M1022" s="25">
        <v>10.210000000000001</v>
      </c>
      <c r="N1022" s="25">
        <f t="shared" si="319"/>
        <v>2.1499999999999986</v>
      </c>
      <c r="O1022" s="25" t="s">
        <v>545</v>
      </c>
    </row>
    <row r="1023" spans="1:15" x14ac:dyDescent="0.25">
      <c r="A1023" s="75">
        <v>46105</v>
      </c>
      <c r="B1023" s="25" t="s">
        <v>355</v>
      </c>
      <c r="C1023" s="25" t="s">
        <v>746</v>
      </c>
      <c r="D1023" s="75">
        <f t="shared" si="302"/>
        <v>46128</v>
      </c>
      <c r="E1023" s="75">
        <f t="shared" si="303"/>
        <v>46112</v>
      </c>
      <c r="F1023" s="75">
        <f t="shared" si="304"/>
        <v>46119</v>
      </c>
      <c r="G1023" s="75">
        <f t="shared" si="305"/>
        <v>46125</v>
      </c>
      <c r="H1023" s="75">
        <f t="shared" si="306"/>
        <v>46113</v>
      </c>
      <c r="I1023" s="75">
        <f t="shared" si="307"/>
        <v>46120</v>
      </c>
      <c r="J1023" s="75">
        <v>46138</v>
      </c>
      <c r="K1023" s="25">
        <f t="shared" ref="K1023:K1027" si="320">J1023-A1023</f>
        <v>33</v>
      </c>
      <c r="L1023" s="25">
        <v>14.28</v>
      </c>
      <c r="M1023" s="25">
        <v>12.64</v>
      </c>
      <c r="N1023" s="25">
        <f t="shared" ref="N1023:N1033" si="321">L1023-M1023</f>
        <v>1.6399999999999988</v>
      </c>
      <c r="O1023" s="25" t="s">
        <v>545</v>
      </c>
    </row>
    <row r="1024" spans="1:15" x14ac:dyDescent="0.25">
      <c r="A1024" s="75">
        <v>46105</v>
      </c>
      <c r="B1024" s="25" t="s">
        <v>356</v>
      </c>
      <c r="C1024" s="25" t="s">
        <v>733</v>
      </c>
      <c r="D1024" s="75">
        <f t="shared" si="302"/>
        <v>46128</v>
      </c>
      <c r="E1024" s="75">
        <f t="shared" si="303"/>
        <v>46112</v>
      </c>
      <c r="F1024" s="75">
        <f t="shared" si="304"/>
        <v>46119</v>
      </c>
      <c r="G1024" s="75">
        <f t="shared" si="305"/>
        <v>46125</v>
      </c>
      <c r="H1024" s="75">
        <f t="shared" si="306"/>
        <v>46113</v>
      </c>
      <c r="I1024" s="75">
        <f t="shared" si="307"/>
        <v>46120</v>
      </c>
      <c r="J1024" s="75">
        <v>46138</v>
      </c>
      <c r="K1024" s="25">
        <f t="shared" si="320"/>
        <v>33</v>
      </c>
      <c r="L1024" s="25">
        <v>13.57</v>
      </c>
      <c r="M1024" s="25">
        <v>11.72</v>
      </c>
      <c r="N1024" s="25">
        <f t="shared" si="321"/>
        <v>1.8499999999999996</v>
      </c>
      <c r="O1024" s="25" t="s">
        <v>545</v>
      </c>
    </row>
    <row r="1025" spans="1:15" x14ac:dyDescent="0.25">
      <c r="A1025" s="75">
        <v>46105</v>
      </c>
      <c r="B1025" s="25" t="s">
        <v>357</v>
      </c>
      <c r="C1025" s="25" t="s">
        <v>734</v>
      </c>
      <c r="D1025" s="75">
        <f t="shared" si="302"/>
        <v>46128</v>
      </c>
      <c r="E1025" s="75">
        <f t="shared" si="303"/>
        <v>46112</v>
      </c>
      <c r="F1025" s="75">
        <f t="shared" si="304"/>
        <v>46119</v>
      </c>
      <c r="G1025" s="75">
        <f t="shared" si="305"/>
        <v>46125</v>
      </c>
      <c r="H1025" s="75">
        <f t="shared" si="306"/>
        <v>46113</v>
      </c>
      <c r="I1025" s="75">
        <f t="shared" si="307"/>
        <v>46120</v>
      </c>
      <c r="J1025" s="75">
        <v>46138</v>
      </c>
      <c r="K1025" s="25">
        <f t="shared" si="320"/>
        <v>33</v>
      </c>
      <c r="L1025" s="25">
        <v>12.38</v>
      </c>
      <c r="M1025" s="25">
        <v>10.54</v>
      </c>
      <c r="N1025" s="25">
        <f t="shared" si="321"/>
        <v>1.8400000000000016</v>
      </c>
      <c r="O1025" s="25" t="s">
        <v>545</v>
      </c>
    </row>
    <row r="1026" spans="1:15" x14ac:dyDescent="0.25">
      <c r="A1026" s="75">
        <v>46105</v>
      </c>
      <c r="B1026" s="25" t="s">
        <v>358</v>
      </c>
      <c r="C1026" s="25" t="s">
        <v>735</v>
      </c>
      <c r="D1026" s="75">
        <f t="shared" si="302"/>
        <v>46128</v>
      </c>
      <c r="E1026" s="75">
        <f t="shared" si="303"/>
        <v>46112</v>
      </c>
      <c r="F1026" s="75">
        <f t="shared" si="304"/>
        <v>46119</v>
      </c>
      <c r="G1026" s="75">
        <f t="shared" si="305"/>
        <v>46125</v>
      </c>
      <c r="H1026" s="75">
        <f t="shared" si="306"/>
        <v>46113</v>
      </c>
      <c r="I1026" s="75">
        <f t="shared" si="307"/>
        <v>46120</v>
      </c>
      <c r="J1026" s="75">
        <v>46138</v>
      </c>
      <c r="K1026" s="25">
        <f t="shared" si="320"/>
        <v>33</v>
      </c>
      <c r="L1026" s="25">
        <v>14.21</v>
      </c>
      <c r="M1026" s="25">
        <v>12.33</v>
      </c>
      <c r="N1026" s="25">
        <f t="shared" si="321"/>
        <v>1.8800000000000008</v>
      </c>
      <c r="O1026" s="25" t="s">
        <v>545</v>
      </c>
    </row>
    <row r="1027" spans="1:15" x14ac:dyDescent="0.25">
      <c r="A1027" s="75">
        <v>46105</v>
      </c>
      <c r="B1027" s="25" t="s">
        <v>359</v>
      </c>
      <c r="C1027" s="25" t="s">
        <v>736</v>
      </c>
      <c r="D1027" s="75">
        <f t="shared" si="302"/>
        <v>46128</v>
      </c>
      <c r="E1027" s="75">
        <f t="shared" si="303"/>
        <v>46112</v>
      </c>
      <c r="F1027" s="75">
        <f t="shared" si="304"/>
        <v>46119</v>
      </c>
      <c r="G1027" s="75">
        <f t="shared" si="305"/>
        <v>46125</v>
      </c>
      <c r="H1027" s="75">
        <f t="shared" si="306"/>
        <v>46113</v>
      </c>
      <c r="I1027" s="75">
        <f t="shared" si="307"/>
        <v>46120</v>
      </c>
      <c r="J1027" s="75">
        <v>46138</v>
      </c>
      <c r="K1027" s="25">
        <f t="shared" si="320"/>
        <v>33</v>
      </c>
      <c r="L1027" s="25">
        <v>14.16</v>
      </c>
      <c r="M1027" s="25">
        <v>12.14</v>
      </c>
      <c r="N1027" s="25">
        <f t="shared" si="321"/>
        <v>2.0199999999999996</v>
      </c>
      <c r="O1027" s="25" t="s">
        <v>545</v>
      </c>
    </row>
    <row r="1028" spans="1:15" x14ac:dyDescent="0.25">
      <c r="A1028" s="75">
        <v>46106</v>
      </c>
      <c r="B1028" s="25" t="s">
        <v>380</v>
      </c>
      <c r="C1028" s="25" t="s">
        <v>754</v>
      </c>
      <c r="D1028" s="75">
        <f t="shared" si="302"/>
        <v>46129</v>
      </c>
      <c r="E1028" s="75">
        <f t="shared" si="303"/>
        <v>46113</v>
      </c>
      <c r="F1028" s="75">
        <f t="shared" si="304"/>
        <v>46120</v>
      </c>
      <c r="G1028" s="75">
        <f t="shared" si="305"/>
        <v>46126</v>
      </c>
      <c r="H1028" s="75">
        <f t="shared" si="306"/>
        <v>46114</v>
      </c>
      <c r="I1028" s="75">
        <f t="shared" si="307"/>
        <v>46121</v>
      </c>
      <c r="J1028" s="75">
        <v>46142</v>
      </c>
      <c r="K1028" s="25">
        <f t="shared" ref="K1028:K1032" si="322">J1028-A1035</f>
        <v>35</v>
      </c>
      <c r="L1028" s="25">
        <v>13.19</v>
      </c>
      <c r="M1028" s="25">
        <v>11.25</v>
      </c>
      <c r="N1028" s="25">
        <f t="shared" si="321"/>
        <v>1.9399999999999995</v>
      </c>
      <c r="O1028" s="25" t="s">
        <v>545</v>
      </c>
    </row>
    <row r="1029" spans="1:15" x14ac:dyDescent="0.25">
      <c r="A1029" s="75">
        <v>46106</v>
      </c>
      <c r="B1029" s="25" t="s">
        <v>381</v>
      </c>
      <c r="C1029" s="25" t="s">
        <v>755</v>
      </c>
      <c r="D1029" s="75">
        <f t="shared" si="302"/>
        <v>46129</v>
      </c>
      <c r="E1029" s="75">
        <f t="shared" si="303"/>
        <v>46113</v>
      </c>
      <c r="F1029" s="75">
        <f t="shared" si="304"/>
        <v>46120</v>
      </c>
      <c r="G1029" s="75">
        <f t="shared" si="305"/>
        <v>46126</v>
      </c>
      <c r="H1029" s="75">
        <f t="shared" si="306"/>
        <v>46114</v>
      </c>
      <c r="I1029" s="75">
        <f t="shared" si="307"/>
        <v>46121</v>
      </c>
      <c r="J1029" s="75">
        <v>46142</v>
      </c>
      <c r="K1029" s="25">
        <f t="shared" si="322"/>
        <v>35</v>
      </c>
      <c r="L1029" s="25">
        <v>13.25</v>
      </c>
      <c r="M1029" s="25">
        <v>11.36</v>
      </c>
      <c r="N1029" s="25">
        <f t="shared" si="321"/>
        <v>1.8900000000000006</v>
      </c>
      <c r="O1029" s="25" t="s">
        <v>545</v>
      </c>
    </row>
    <row r="1030" spans="1:15" x14ac:dyDescent="0.25">
      <c r="A1030" s="75">
        <v>46106</v>
      </c>
      <c r="B1030" s="25" t="s">
        <v>382</v>
      </c>
      <c r="C1030" s="25" t="s">
        <v>756</v>
      </c>
      <c r="D1030" s="75">
        <f t="shared" si="302"/>
        <v>46129</v>
      </c>
      <c r="E1030" s="75">
        <f t="shared" si="303"/>
        <v>46113</v>
      </c>
      <c r="F1030" s="75">
        <f t="shared" si="304"/>
        <v>46120</v>
      </c>
      <c r="G1030" s="75">
        <f t="shared" si="305"/>
        <v>46126</v>
      </c>
      <c r="H1030" s="75">
        <f t="shared" si="306"/>
        <v>46114</v>
      </c>
      <c r="I1030" s="75">
        <f t="shared" si="307"/>
        <v>46121</v>
      </c>
      <c r="J1030" s="75">
        <v>46142</v>
      </c>
      <c r="K1030" s="25">
        <f t="shared" si="322"/>
        <v>35</v>
      </c>
      <c r="L1030" s="25">
        <v>14.16</v>
      </c>
      <c r="M1030" s="25">
        <v>12.21</v>
      </c>
      <c r="N1030" s="25">
        <f t="shared" si="321"/>
        <v>1.9499999999999993</v>
      </c>
      <c r="O1030" s="25" t="s">
        <v>545</v>
      </c>
    </row>
    <row r="1031" spans="1:15" x14ac:dyDescent="0.25">
      <c r="A1031" s="75">
        <v>46106</v>
      </c>
      <c r="B1031" s="25" t="s">
        <v>383</v>
      </c>
      <c r="C1031" s="25" t="s">
        <v>757</v>
      </c>
      <c r="D1031" s="75">
        <f t="shared" si="302"/>
        <v>46129</v>
      </c>
      <c r="E1031" s="75">
        <f t="shared" si="303"/>
        <v>46113</v>
      </c>
      <c r="F1031" s="75">
        <f t="shared" si="304"/>
        <v>46120</v>
      </c>
      <c r="G1031" s="75">
        <f t="shared" si="305"/>
        <v>46126</v>
      </c>
      <c r="H1031" s="75">
        <f t="shared" si="306"/>
        <v>46114</v>
      </c>
      <c r="I1031" s="75">
        <f t="shared" si="307"/>
        <v>46121</v>
      </c>
      <c r="J1031" s="75">
        <v>46142</v>
      </c>
      <c r="K1031" s="25">
        <f t="shared" si="322"/>
        <v>35</v>
      </c>
      <c r="L1031" s="25">
        <v>13.41</v>
      </c>
      <c r="M1031" s="25">
        <v>11.24</v>
      </c>
      <c r="N1031" s="25">
        <f t="shared" si="321"/>
        <v>2.17</v>
      </c>
      <c r="O1031" s="25" t="s">
        <v>545</v>
      </c>
    </row>
    <row r="1032" spans="1:15" x14ac:dyDescent="0.25">
      <c r="A1032" s="75">
        <v>46106</v>
      </c>
      <c r="B1032" s="25" t="s">
        <v>384</v>
      </c>
      <c r="C1032" s="25" t="s">
        <v>758</v>
      </c>
      <c r="D1032" s="75">
        <f t="shared" si="302"/>
        <v>46129</v>
      </c>
      <c r="E1032" s="75">
        <f t="shared" si="303"/>
        <v>46113</v>
      </c>
      <c r="F1032" s="75">
        <f t="shared" si="304"/>
        <v>46120</v>
      </c>
      <c r="G1032" s="75">
        <f t="shared" si="305"/>
        <v>46126</v>
      </c>
      <c r="H1032" s="75">
        <f t="shared" si="306"/>
        <v>46114</v>
      </c>
      <c r="I1032" s="75">
        <f t="shared" si="307"/>
        <v>46121</v>
      </c>
      <c r="J1032" s="75">
        <v>46142</v>
      </c>
      <c r="K1032" s="25">
        <f t="shared" si="322"/>
        <v>35</v>
      </c>
      <c r="L1032" s="25">
        <v>13.67</v>
      </c>
      <c r="M1032" s="25">
        <v>11.58</v>
      </c>
      <c r="N1032" s="25">
        <f t="shared" si="321"/>
        <v>2.09</v>
      </c>
      <c r="O1032" s="25" t="s">
        <v>545</v>
      </c>
    </row>
    <row r="1033" spans="1:15" x14ac:dyDescent="0.25">
      <c r="A1033" s="75">
        <v>46106</v>
      </c>
      <c r="B1033" s="25" t="s">
        <v>385</v>
      </c>
      <c r="C1033" s="25" t="s">
        <v>759</v>
      </c>
      <c r="D1033" s="75">
        <f t="shared" si="302"/>
        <v>46129</v>
      </c>
      <c r="E1033" s="75">
        <f t="shared" si="303"/>
        <v>46113</v>
      </c>
      <c r="F1033" s="75">
        <f t="shared" si="304"/>
        <v>46120</v>
      </c>
      <c r="G1033" s="75">
        <f t="shared" si="305"/>
        <v>46126</v>
      </c>
      <c r="H1033" s="75">
        <f t="shared" si="306"/>
        <v>46114</v>
      </c>
      <c r="I1033" s="75">
        <f t="shared" si="307"/>
        <v>46121</v>
      </c>
      <c r="J1033" s="75">
        <v>46142</v>
      </c>
      <c r="K1033" s="25">
        <f>J1033-A1040</f>
        <v>35</v>
      </c>
      <c r="L1033" s="25">
        <v>14.28</v>
      </c>
      <c r="M1033" s="25">
        <v>12.53</v>
      </c>
      <c r="N1033" s="25">
        <f t="shared" si="321"/>
        <v>1.75</v>
      </c>
      <c r="O1033" s="25" t="s">
        <v>545</v>
      </c>
    </row>
    <row r="1034" spans="1:15" x14ac:dyDescent="0.25">
      <c r="A1034" s="75">
        <v>46106</v>
      </c>
      <c r="B1034" s="25" t="s">
        <v>386</v>
      </c>
      <c r="C1034" s="25" t="s">
        <v>760</v>
      </c>
      <c r="D1034" s="75">
        <f t="shared" si="302"/>
        <v>46129</v>
      </c>
      <c r="E1034" s="75">
        <f t="shared" si="303"/>
        <v>46113</v>
      </c>
      <c r="F1034" s="75">
        <f t="shared" si="304"/>
        <v>46120</v>
      </c>
      <c r="G1034" s="75">
        <f t="shared" si="305"/>
        <v>46126</v>
      </c>
      <c r="H1034" s="75">
        <f t="shared" si="306"/>
        <v>46114</v>
      </c>
      <c r="I1034" s="75">
        <f t="shared" si="307"/>
        <v>46121</v>
      </c>
      <c r="J1034" s="75">
        <v>46141</v>
      </c>
      <c r="K1034" s="25">
        <f>J1034-A1041</f>
        <v>34</v>
      </c>
      <c r="L1034" s="25">
        <v>12.11</v>
      </c>
      <c r="M1034" s="25">
        <v>10.29</v>
      </c>
      <c r="N1034" s="25">
        <f t="shared" ref="N1034:N1041" si="323">L1034-M1034</f>
        <v>1.8200000000000003</v>
      </c>
      <c r="O1034" s="25" t="s">
        <v>545</v>
      </c>
    </row>
    <row r="1035" spans="1:15" x14ac:dyDescent="0.25">
      <c r="A1035" s="75">
        <v>46107</v>
      </c>
      <c r="B1035" s="25" t="s">
        <v>387</v>
      </c>
      <c r="C1035" s="25" t="s">
        <v>747</v>
      </c>
      <c r="D1035" s="75">
        <f t="shared" si="302"/>
        <v>46130</v>
      </c>
      <c r="E1035" s="75">
        <f t="shared" si="303"/>
        <v>46114</v>
      </c>
      <c r="F1035" s="75">
        <f t="shared" si="304"/>
        <v>46121</v>
      </c>
      <c r="G1035" s="75">
        <f t="shared" si="305"/>
        <v>46127</v>
      </c>
      <c r="H1035" s="75">
        <f t="shared" si="306"/>
        <v>46115</v>
      </c>
      <c r="I1035" s="75">
        <f t="shared" si="307"/>
        <v>46122</v>
      </c>
      <c r="J1035" s="75">
        <v>46141</v>
      </c>
      <c r="K1035" s="25">
        <f t="shared" ref="K1035:K1041" si="324">J1035-A1042</f>
        <v>33</v>
      </c>
      <c r="L1035" s="25">
        <v>13.41</v>
      </c>
      <c r="M1035" s="25">
        <v>11.21</v>
      </c>
      <c r="N1035" s="25">
        <f t="shared" si="323"/>
        <v>2.1999999999999993</v>
      </c>
      <c r="O1035" s="25" t="s">
        <v>545</v>
      </c>
    </row>
    <row r="1036" spans="1:15" x14ac:dyDescent="0.25">
      <c r="A1036" s="75">
        <v>46107</v>
      </c>
      <c r="B1036" s="25" t="s">
        <v>388</v>
      </c>
      <c r="C1036" s="25" t="s">
        <v>748</v>
      </c>
      <c r="D1036" s="75">
        <f t="shared" si="302"/>
        <v>46130</v>
      </c>
      <c r="E1036" s="75">
        <f t="shared" si="303"/>
        <v>46114</v>
      </c>
      <c r="F1036" s="75">
        <f t="shared" si="304"/>
        <v>46121</v>
      </c>
      <c r="G1036" s="75">
        <f t="shared" si="305"/>
        <v>46127</v>
      </c>
      <c r="H1036" s="75">
        <f t="shared" si="306"/>
        <v>46115</v>
      </c>
      <c r="I1036" s="75">
        <f t="shared" si="307"/>
        <v>46122</v>
      </c>
      <c r="J1036" s="75">
        <v>46141</v>
      </c>
      <c r="K1036" s="25">
        <f t="shared" si="324"/>
        <v>33</v>
      </c>
      <c r="L1036" s="25">
        <v>14.2</v>
      </c>
      <c r="M1036" s="25">
        <v>12.36</v>
      </c>
      <c r="N1036" s="25">
        <f t="shared" si="323"/>
        <v>1.8399999999999999</v>
      </c>
      <c r="O1036" s="25" t="s">
        <v>545</v>
      </c>
    </row>
    <row r="1037" spans="1:15" x14ac:dyDescent="0.25">
      <c r="A1037" s="75">
        <v>46107</v>
      </c>
      <c r="B1037" s="25" t="s">
        <v>389</v>
      </c>
      <c r="C1037" s="25" t="s">
        <v>749</v>
      </c>
      <c r="D1037" s="75">
        <f t="shared" si="302"/>
        <v>46130</v>
      </c>
      <c r="E1037" s="75">
        <f t="shared" si="303"/>
        <v>46114</v>
      </c>
      <c r="F1037" s="75">
        <f t="shared" si="304"/>
        <v>46121</v>
      </c>
      <c r="G1037" s="75">
        <f t="shared" si="305"/>
        <v>46127</v>
      </c>
      <c r="H1037" s="75">
        <f t="shared" si="306"/>
        <v>46115</v>
      </c>
      <c r="I1037" s="75">
        <f t="shared" si="307"/>
        <v>46122</v>
      </c>
      <c r="J1037" s="75">
        <v>46141</v>
      </c>
      <c r="K1037" s="25">
        <f t="shared" si="324"/>
        <v>33</v>
      </c>
      <c r="L1037" s="25">
        <v>12.57</v>
      </c>
      <c r="M1037" s="25">
        <v>10.89</v>
      </c>
      <c r="N1037" s="25">
        <f t="shared" si="323"/>
        <v>1.6799999999999997</v>
      </c>
      <c r="O1037" s="25" t="s">
        <v>545</v>
      </c>
    </row>
    <row r="1038" spans="1:15" x14ac:dyDescent="0.25">
      <c r="A1038" s="75">
        <v>46107</v>
      </c>
      <c r="B1038" s="25" t="s">
        <v>390</v>
      </c>
      <c r="C1038" s="25" t="s">
        <v>750</v>
      </c>
      <c r="D1038" s="75">
        <f t="shared" si="302"/>
        <v>46130</v>
      </c>
      <c r="E1038" s="75">
        <f t="shared" si="303"/>
        <v>46114</v>
      </c>
      <c r="F1038" s="75">
        <f t="shared" si="304"/>
        <v>46121</v>
      </c>
      <c r="G1038" s="75">
        <f t="shared" si="305"/>
        <v>46127</v>
      </c>
      <c r="H1038" s="75">
        <f t="shared" si="306"/>
        <v>46115</v>
      </c>
      <c r="I1038" s="75">
        <f t="shared" si="307"/>
        <v>46122</v>
      </c>
      <c r="J1038" s="75">
        <v>46141</v>
      </c>
      <c r="K1038" s="25">
        <f t="shared" si="324"/>
        <v>33</v>
      </c>
      <c r="L1038" s="25">
        <v>13.36</v>
      </c>
      <c r="M1038" s="25">
        <v>11.2</v>
      </c>
      <c r="N1038" s="25">
        <f t="shared" si="323"/>
        <v>2.16</v>
      </c>
      <c r="O1038" s="25" t="s">
        <v>545</v>
      </c>
    </row>
    <row r="1039" spans="1:15" x14ac:dyDescent="0.25">
      <c r="A1039" s="75">
        <v>46107</v>
      </c>
      <c r="B1039" s="25" t="s">
        <v>391</v>
      </c>
      <c r="C1039" s="25" t="s">
        <v>751</v>
      </c>
      <c r="D1039" s="75">
        <f t="shared" si="302"/>
        <v>46130</v>
      </c>
      <c r="E1039" s="75">
        <f t="shared" si="303"/>
        <v>46114</v>
      </c>
      <c r="F1039" s="75">
        <f t="shared" si="304"/>
        <v>46121</v>
      </c>
      <c r="G1039" s="75">
        <f t="shared" si="305"/>
        <v>46127</v>
      </c>
      <c r="H1039" s="75">
        <f t="shared" si="306"/>
        <v>46115</v>
      </c>
      <c r="I1039" s="75">
        <f t="shared" si="307"/>
        <v>46122</v>
      </c>
      <c r="J1039" s="75">
        <v>46141</v>
      </c>
      <c r="K1039" s="25">
        <f t="shared" si="324"/>
        <v>33</v>
      </c>
      <c r="L1039" s="25">
        <v>12.45</v>
      </c>
      <c r="M1039" s="25">
        <v>10.58</v>
      </c>
      <c r="N1039" s="25">
        <f t="shared" si="323"/>
        <v>1.8699999999999992</v>
      </c>
      <c r="O1039" s="25" t="s">
        <v>545</v>
      </c>
    </row>
    <row r="1040" spans="1:15" x14ac:dyDescent="0.25">
      <c r="A1040" s="75">
        <v>46107</v>
      </c>
      <c r="B1040" s="25" t="s">
        <v>392</v>
      </c>
      <c r="C1040" s="25" t="s">
        <v>752</v>
      </c>
      <c r="D1040" s="75">
        <f t="shared" si="302"/>
        <v>46130</v>
      </c>
      <c r="E1040" s="75">
        <f t="shared" si="303"/>
        <v>46114</v>
      </c>
      <c r="F1040" s="75">
        <f t="shared" si="304"/>
        <v>46121</v>
      </c>
      <c r="G1040" s="75">
        <f t="shared" si="305"/>
        <v>46127</v>
      </c>
      <c r="H1040" s="75">
        <f t="shared" si="306"/>
        <v>46115</v>
      </c>
      <c r="I1040" s="75">
        <f t="shared" si="307"/>
        <v>46122</v>
      </c>
      <c r="J1040" s="75">
        <v>46141</v>
      </c>
      <c r="K1040" s="25">
        <f t="shared" si="324"/>
        <v>33</v>
      </c>
      <c r="L1040" s="25">
        <v>13.02</v>
      </c>
      <c r="M1040" s="25">
        <v>11.07</v>
      </c>
      <c r="N1040" s="25">
        <f t="shared" si="323"/>
        <v>1.9499999999999993</v>
      </c>
      <c r="O1040" s="25" t="s">
        <v>545</v>
      </c>
    </row>
    <row r="1041" spans="1:15" x14ac:dyDescent="0.25">
      <c r="A1041" s="75">
        <v>46107</v>
      </c>
      <c r="B1041" s="25" t="s">
        <v>393</v>
      </c>
      <c r="C1041" s="25" t="s">
        <v>753</v>
      </c>
      <c r="D1041" s="75">
        <f t="shared" si="302"/>
        <v>46130</v>
      </c>
      <c r="E1041" s="75">
        <f t="shared" si="303"/>
        <v>46114</v>
      </c>
      <c r="F1041" s="75">
        <f t="shared" si="304"/>
        <v>46121</v>
      </c>
      <c r="G1041" s="75">
        <f t="shared" si="305"/>
        <v>46127</v>
      </c>
      <c r="H1041" s="75">
        <f t="shared" si="306"/>
        <v>46115</v>
      </c>
      <c r="I1041" s="75">
        <f t="shared" si="307"/>
        <v>46122</v>
      </c>
      <c r="J1041" s="75">
        <v>46141</v>
      </c>
      <c r="K1041" s="25">
        <f t="shared" si="324"/>
        <v>33</v>
      </c>
      <c r="L1041" s="25">
        <v>14.31</v>
      </c>
      <c r="M1041" s="25">
        <v>12.25</v>
      </c>
      <c r="N1041" s="25">
        <f t="shared" si="323"/>
        <v>2.0600000000000005</v>
      </c>
      <c r="O1041" s="25" t="s">
        <v>545</v>
      </c>
    </row>
    <row r="1042" spans="1:15" x14ac:dyDescent="0.25">
      <c r="A1042" s="75">
        <v>46108</v>
      </c>
      <c r="B1042" s="25" t="s">
        <v>410</v>
      </c>
      <c r="C1042" s="25" t="s">
        <v>577</v>
      </c>
      <c r="D1042" s="75">
        <f t="shared" si="302"/>
        <v>46131</v>
      </c>
      <c r="E1042" s="75">
        <f t="shared" si="303"/>
        <v>46115</v>
      </c>
      <c r="F1042" s="75">
        <f t="shared" si="304"/>
        <v>46122</v>
      </c>
      <c r="G1042" s="75">
        <f t="shared" si="305"/>
        <v>46128</v>
      </c>
      <c r="H1042" s="75">
        <f t="shared" si="306"/>
        <v>46116</v>
      </c>
      <c r="I1042" s="75">
        <f t="shared" si="307"/>
        <v>46123</v>
      </c>
      <c r="J1042" s="75">
        <v>46139</v>
      </c>
      <c r="K1042" s="25">
        <f t="shared" ref="K1042" si="325">J1042-A1042</f>
        <v>31</v>
      </c>
      <c r="L1042" s="25">
        <v>13.09</v>
      </c>
      <c r="M1042" s="25">
        <v>11.15</v>
      </c>
      <c r="N1042" s="25">
        <f t="shared" ref="N1042:N1048" si="326">L1042-M1042</f>
        <v>1.9399999999999995</v>
      </c>
      <c r="O1042" s="25" t="s">
        <v>545</v>
      </c>
    </row>
    <row r="1043" spans="1:15" x14ac:dyDescent="0.25">
      <c r="A1043" s="75">
        <v>46108</v>
      </c>
      <c r="B1043" s="25" t="s">
        <v>411</v>
      </c>
      <c r="C1043" s="25" t="s">
        <v>578</v>
      </c>
      <c r="D1043" s="75">
        <f t="shared" ref="D1043:D1106" si="327">A1043+23</f>
        <v>46131</v>
      </c>
      <c r="E1043" s="75">
        <f t="shared" ref="E1043:E1106" si="328">A1043+7</f>
        <v>46115</v>
      </c>
      <c r="F1043" s="75">
        <f t="shared" ref="F1043:F1106" si="329">A1043+14</f>
        <v>46122</v>
      </c>
      <c r="G1043" s="75">
        <f t="shared" ref="G1043:G1106" si="330">A1043+20</f>
        <v>46128</v>
      </c>
      <c r="H1043" s="75">
        <f t="shared" ref="H1043:H1106" si="331">A1043+8</f>
        <v>46116</v>
      </c>
      <c r="I1043" s="75">
        <f t="shared" ref="I1043:I1106" si="332">A1043+15</f>
        <v>46123</v>
      </c>
      <c r="J1043" s="75">
        <v>46139</v>
      </c>
      <c r="K1043" s="25">
        <f t="shared" ref="K1043:K1045" si="333">J1043-A1043</f>
        <v>31</v>
      </c>
      <c r="L1043" s="25">
        <v>13.27</v>
      </c>
      <c r="M1043" s="25">
        <v>11.43</v>
      </c>
      <c r="N1043" s="25">
        <f t="shared" si="326"/>
        <v>1.8399999999999999</v>
      </c>
      <c r="O1043" s="25" t="s">
        <v>545</v>
      </c>
    </row>
    <row r="1044" spans="1:15" x14ac:dyDescent="0.25">
      <c r="A1044" s="75">
        <v>46108</v>
      </c>
      <c r="B1044" s="25" t="s">
        <v>412</v>
      </c>
      <c r="C1044" s="25" t="s">
        <v>579</v>
      </c>
      <c r="D1044" s="75">
        <f t="shared" si="327"/>
        <v>46131</v>
      </c>
      <c r="E1044" s="75">
        <f t="shared" si="328"/>
        <v>46115</v>
      </c>
      <c r="F1044" s="75">
        <f t="shared" si="329"/>
        <v>46122</v>
      </c>
      <c r="G1044" s="75">
        <f t="shared" si="330"/>
        <v>46128</v>
      </c>
      <c r="H1044" s="75">
        <f t="shared" si="331"/>
        <v>46116</v>
      </c>
      <c r="I1044" s="75">
        <f t="shared" si="332"/>
        <v>46123</v>
      </c>
      <c r="J1044" s="75">
        <v>46139</v>
      </c>
      <c r="K1044" s="25">
        <f t="shared" si="333"/>
        <v>31</v>
      </c>
      <c r="L1044" s="25">
        <v>12.42</v>
      </c>
      <c r="M1044" s="25">
        <v>10.71</v>
      </c>
      <c r="N1044" s="25">
        <f t="shared" si="326"/>
        <v>1.7099999999999991</v>
      </c>
      <c r="O1044" s="25" t="s">
        <v>545</v>
      </c>
    </row>
    <row r="1045" spans="1:15" x14ac:dyDescent="0.25">
      <c r="A1045" s="75">
        <v>46108</v>
      </c>
      <c r="B1045" s="25" t="s">
        <v>413</v>
      </c>
      <c r="C1045" s="25" t="s">
        <v>580</v>
      </c>
      <c r="D1045" s="75">
        <f t="shared" si="327"/>
        <v>46131</v>
      </c>
      <c r="E1045" s="75">
        <f t="shared" si="328"/>
        <v>46115</v>
      </c>
      <c r="F1045" s="75">
        <f t="shared" si="329"/>
        <v>46122</v>
      </c>
      <c r="G1045" s="75">
        <f t="shared" si="330"/>
        <v>46128</v>
      </c>
      <c r="H1045" s="75">
        <f t="shared" si="331"/>
        <v>46116</v>
      </c>
      <c r="I1045" s="75">
        <f t="shared" si="332"/>
        <v>46123</v>
      </c>
      <c r="J1045" s="75">
        <v>46139</v>
      </c>
      <c r="K1045" s="25">
        <f t="shared" si="333"/>
        <v>31</v>
      </c>
      <c r="L1045" s="25">
        <v>13.18</v>
      </c>
      <c r="M1045" s="25">
        <v>11.16</v>
      </c>
      <c r="N1045" s="25">
        <f t="shared" si="326"/>
        <v>2.0199999999999996</v>
      </c>
      <c r="O1045" s="25" t="s">
        <v>545</v>
      </c>
    </row>
    <row r="1046" spans="1:15" x14ac:dyDescent="0.25">
      <c r="A1046" s="75">
        <v>46108</v>
      </c>
      <c r="B1046" s="25" t="s">
        <v>414</v>
      </c>
      <c r="C1046" s="25" t="s">
        <v>581</v>
      </c>
      <c r="D1046" s="75">
        <f t="shared" si="327"/>
        <v>46131</v>
      </c>
      <c r="E1046" s="75">
        <f t="shared" si="328"/>
        <v>46115</v>
      </c>
      <c r="F1046" s="75">
        <f t="shared" si="329"/>
        <v>46122</v>
      </c>
      <c r="G1046" s="75">
        <f t="shared" si="330"/>
        <v>46128</v>
      </c>
      <c r="H1046" s="75">
        <f t="shared" si="331"/>
        <v>46116</v>
      </c>
      <c r="I1046" s="75">
        <f t="shared" si="332"/>
        <v>46123</v>
      </c>
      <c r="J1046" s="75">
        <v>46140</v>
      </c>
      <c r="K1046" s="25">
        <f t="shared" ref="K1046" si="334">J1046-A1046</f>
        <v>32</v>
      </c>
      <c r="L1046" s="25">
        <v>12.46</v>
      </c>
      <c r="M1046" s="25">
        <v>10.210000000000001</v>
      </c>
      <c r="N1046" s="25">
        <f t="shared" si="326"/>
        <v>2.25</v>
      </c>
      <c r="O1046" s="25" t="s">
        <v>545</v>
      </c>
    </row>
    <row r="1047" spans="1:15" x14ac:dyDescent="0.25">
      <c r="A1047" s="75">
        <v>46108</v>
      </c>
      <c r="B1047" s="25" t="s">
        <v>415</v>
      </c>
      <c r="C1047" s="25" t="s">
        <v>582</v>
      </c>
      <c r="D1047" s="75">
        <f t="shared" si="327"/>
        <v>46131</v>
      </c>
      <c r="E1047" s="75">
        <f t="shared" si="328"/>
        <v>46115</v>
      </c>
      <c r="F1047" s="75">
        <f t="shared" si="329"/>
        <v>46122</v>
      </c>
      <c r="G1047" s="75">
        <f t="shared" si="330"/>
        <v>46128</v>
      </c>
      <c r="H1047" s="75">
        <f t="shared" si="331"/>
        <v>46116</v>
      </c>
      <c r="I1047" s="75">
        <f t="shared" si="332"/>
        <v>46123</v>
      </c>
      <c r="J1047" s="75">
        <v>46140</v>
      </c>
      <c r="K1047" s="25">
        <f t="shared" ref="K1047:K1048" si="335">J1047-A1047</f>
        <v>32</v>
      </c>
      <c r="L1047" s="25">
        <v>13.28</v>
      </c>
      <c r="M1047" s="25">
        <v>11.15</v>
      </c>
      <c r="N1047" s="25">
        <f t="shared" si="326"/>
        <v>2.129999999999999</v>
      </c>
      <c r="O1047" s="25" t="s">
        <v>545</v>
      </c>
    </row>
    <row r="1048" spans="1:15" x14ac:dyDescent="0.25">
      <c r="A1048" s="75">
        <v>46108</v>
      </c>
      <c r="B1048" s="25" t="s">
        <v>416</v>
      </c>
      <c r="C1048" s="25" t="s">
        <v>583</v>
      </c>
      <c r="D1048" s="75">
        <f t="shared" si="327"/>
        <v>46131</v>
      </c>
      <c r="E1048" s="75">
        <f t="shared" si="328"/>
        <v>46115</v>
      </c>
      <c r="F1048" s="75">
        <f t="shared" si="329"/>
        <v>46122</v>
      </c>
      <c r="G1048" s="75">
        <f t="shared" si="330"/>
        <v>46128</v>
      </c>
      <c r="H1048" s="75">
        <f t="shared" si="331"/>
        <v>46116</v>
      </c>
      <c r="I1048" s="75">
        <f t="shared" si="332"/>
        <v>46123</v>
      </c>
      <c r="J1048" s="75">
        <v>46140</v>
      </c>
      <c r="K1048" s="25">
        <f t="shared" si="335"/>
        <v>32</v>
      </c>
      <c r="L1048" s="25">
        <v>12.51</v>
      </c>
      <c r="M1048" s="25">
        <v>10.28</v>
      </c>
      <c r="N1048" s="25">
        <f t="shared" si="326"/>
        <v>2.2300000000000004</v>
      </c>
      <c r="O1048" s="25" t="s">
        <v>545</v>
      </c>
    </row>
    <row r="1049" spans="1:15" x14ac:dyDescent="0.25">
      <c r="A1049" s="75">
        <v>46109</v>
      </c>
      <c r="B1049" s="25" t="s">
        <v>447</v>
      </c>
      <c r="C1049" s="25" t="s">
        <v>761</v>
      </c>
      <c r="D1049" s="75">
        <f t="shared" si="327"/>
        <v>46132</v>
      </c>
      <c r="E1049" s="75">
        <f t="shared" si="328"/>
        <v>46116</v>
      </c>
      <c r="F1049" s="75">
        <f t="shared" si="329"/>
        <v>46123</v>
      </c>
      <c r="G1049" s="75">
        <f t="shared" si="330"/>
        <v>46129</v>
      </c>
      <c r="H1049" s="75">
        <f t="shared" si="331"/>
        <v>46117</v>
      </c>
      <c r="I1049" s="75">
        <f t="shared" si="332"/>
        <v>46124</v>
      </c>
      <c r="J1049" s="25"/>
      <c r="K1049" s="25"/>
      <c r="L1049" s="25"/>
      <c r="M1049" s="25"/>
      <c r="N1049" s="25"/>
      <c r="O1049" s="25"/>
    </row>
    <row r="1050" spans="1:15" x14ac:dyDescent="0.25">
      <c r="A1050" s="75">
        <v>46109</v>
      </c>
      <c r="B1050" s="25" t="s">
        <v>448</v>
      </c>
      <c r="C1050" s="25" t="s">
        <v>762</v>
      </c>
      <c r="D1050" s="75">
        <f t="shared" si="327"/>
        <v>46132</v>
      </c>
      <c r="E1050" s="75">
        <f t="shared" si="328"/>
        <v>46116</v>
      </c>
      <c r="F1050" s="75">
        <f t="shared" si="329"/>
        <v>46123</v>
      </c>
      <c r="G1050" s="75">
        <f t="shared" si="330"/>
        <v>46129</v>
      </c>
      <c r="H1050" s="75">
        <f t="shared" si="331"/>
        <v>46117</v>
      </c>
      <c r="I1050" s="75">
        <f t="shared" si="332"/>
        <v>46124</v>
      </c>
      <c r="J1050" s="25"/>
      <c r="K1050" s="25"/>
      <c r="L1050" s="25"/>
      <c r="M1050" s="25"/>
      <c r="N1050" s="25"/>
      <c r="O1050" s="25"/>
    </row>
    <row r="1051" spans="1:15" x14ac:dyDescent="0.25">
      <c r="A1051" s="75">
        <v>46109</v>
      </c>
      <c r="B1051" s="25" t="s">
        <v>449</v>
      </c>
      <c r="C1051" s="25" t="s">
        <v>763</v>
      </c>
      <c r="D1051" s="75">
        <f t="shared" si="327"/>
        <v>46132</v>
      </c>
      <c r="E1051" s="75">
        <f t="shared" si="328"/>
        <v>46116</v>
      </c>
      <c r="F1051" s="75">
        <f t="shared" si="329"/>
        <v>46123</v>
      </c>
      <c r="G1051" s="75">
        <f t="shared" si="330"/>
        <v>46129</v>
      </c>
      <c r="H1051" s="75">
        <f t="shared" si="331"/>
        <v>46117</v>
      </c>
      <c r="I1051" s="75">
        <f t="shared" si="332"/>
        <v>46124</v>
      </c>
      <c r="J1051" s="25"/>
      <c r="K1051" s="25"/>
      <c r="L1051" s="25"/>
      <c r="M1051" s="25"/>
      <c r="N1051" s="25"/>
      <c r="O1051" s="25"/>
    </row>
    <row r="1052" spans="1:15" x14ac:dyDescent="0.25">
      <c r="A1052" s="75">
        <v>46109</v>
      </c>
      <c r="B1052" s="25" t="s">
        <v>450</v>
      </c>
      <c r="C1052" s="25" t="s">
        <v>764</v>
      </c>
      <c r="D1052" s="75">
        <f t="shared" si="327"/>
        <v>46132</v>
      </c>
      <c r="E1052" s="75">
        <f t="shared" si="328"/>
        <v>46116</v>
      </c>
      <c r="F1052" s="75">
        <f t="shared" si="329"/>
        <v>46123</v>
      </c>
      <c r="G1052" s="75">
        <f t="shared" si="330"/>
        <v>46129</v>
      </c>
      <c r="H1052" s="75">
        <f t="shared" si="331"/>
        <v>46117</v>
      </c>
      <c r="I1052" s="75">
        <f t="shared" si="332"/>
        <v>46124</v>
      </c>
      <c r="J1052" s="75">
        <v>46146</v>
      </c>
      <c r="K1052" s="25">
        <f t="shared" ref="K1052" si="336">J1052-A1052</f>
        <v>37</v>
      </c>
      <c r="L1052" s="25">
        <v>15.47</v>
      </c>
      <c r="M1052" s="25">
        <v>11.63</v>
      </c>
      <c r="N1052" s="25">
        <f t="shared" ref="N1052:N1053" si="337">L1052-M1052</f>
        <v>3.84</v>
      </c>
      <c r="O1052" s="25" t="s">
        <v>545</v>
      </c>
    </row>
    <row r="1053" spans="1:15" x14ac:dyDescent="0.25">
      <c r="A1053" s="75">
        <v>46109</v>
      </c>
      <c r="B1053" s="25" t="s">
        <v>451</v>
      </c>
      <c r="C1053" s="25" t="s">
        <v>765</v>
      </c>
      <c r="D1053" s="75">
        <f t="shared" si="327"/>
        <v>46132</v>
      </c>
      <c r="E1053" s="75">
        <f t="shared" si="328"/>
        <v>46116</v>
      </c>
      <c r="F1053" s="75">
        <f t="shared" si="329"/>
        <v>46123</v>
      </c>
      <c r="G1053" s="75">
        <f t="shared" si="330"/>
        <v>46129</v>
      </c>
      <c r="H1053" s="75">
        <f t="shared" si="331"/>
        <v>46117</v>
      </c>
      <c r="I1053" s="75">
        <f t="shared" si="332"/>
        <v>46124</v>
      </c>
      <c r="J1053" s="75">
        <v>46146</v>
      </c>
      <c r="K1053" s="25">
        <f t="shared" ref="K1053" si="338">J1053-A1053</f>
        <v>37</v>
      </c>
      <c r="L1053" s="25">
        <v>12.51</v>
      </c>
      <c r="M1053" s="25">
        <v>10.58</v>
      </c>
      <c r="N1053" s="25">
        <f t="shared" si="337"/>
        <v>1.9299999999999997</v>
      </c>
      <c r="O1053" s="25" t="s">
        <v>545</v>
      </c>
    </row>
    <row r="1054" spans="1:15" x14ac:dyDescent="0.25">
      <c r="A1054" s="75">
        <v>46109</v>
      </c>
      <c r="B1054" s="25" t="s">
        <v>452</v>
      </c>
      <c r="C1054" s="25" t="s">
        <v>766</v>
      </c>
      <c r="D1054" s="75">
        <f t="shared" si="327"/>
        <v>46132</v>
      </c>
      <c r="E1054" s="75">
        <f t="shared" si="328"/>
        <v>46116</v>
      </c>
      <c r="F1054" s="75">
        <f t="shared" si="329"/>
        <v>46123</v>
      </c>
      <c r="G1054" s="75">
        <f t="shared" si="330"/>
        <v>46129</v>
      </c>
      <c r="H1054" s="75">
        <f t="shared" si="331"/>
        <v>46117</v>
      </c>
      <c r="I1054" s="75">
        <f t="shared" si="332"/>
        <v>46124</v>
      </c>
      <c r="J1054" s="75">
        <v>46146</v>
      </c>
      <c r="K1054" s="25">
        <f t="shared" ref="K1054:K1056" si="339">J1054-A1054</f>
        <v>37</v>
      </c>
      <c r="L1054" s="25">
        <v>14.08</v>
      </c>
      <c r="M1054" s="25">
        <v>12.1</v>
      </c>
      <c r="N1054" s="25">
        <f t="shared" ref="N1054:N1062" si="340">L1054-M1054</f>
        <v>1.9800000000000004</v>
      </c>
      <c r="O1054" s="25" t="s">
        <v>545</v>
      </c>
    </row>
    <row r="1055" spans="1:15" x14ac:dyDescent="0.25">
      <c r="A1055" s="75">
        <v>46109</v>
      </c>
      <c r="B1055" s="25" t="s">
        <v>453</v>
      </c>
      <c r="C1055" s="25" t="s">
        <v>767</v>
      </c>
      <c r="D1055" s="75">
        <f t="shared" si="327"/>
        <v>46132</v>
      </c>
      <c r="E1055" s="75">
        <f t="shared" si="328"/>
        <v>46116</v>
      </c>
      <c r="F1055" s="75">
        <f t="shared" si="329"/>
        <v>46123</v>
      </c>
      <c r="G1055" s="75">
        <f t="shared" si="330"/>
        <v>46129</v>
      </c>
      <c r="H1055" s="75">
        <f t="shared" si="331"/>
        <v>46117</v>
      </c>
      <c r="I1055" s="75">
        <f t="shared" si="332"/>
        <v>46124</v>
      </c>
      <c r="J1055" s="75">
        <v>46146</v>
      </c>
      <c r="K1055" s="25">
        <f t="shared" si="339"/>
        <v>37</v>
      </c>
      <c r="L1055" s="25">
        <v>13.29</v>
      </c>
      <c r="M1055" s="25">
        <v>11.54</v>
      </c>
      <c r="N1055" s="25">
        <f t="shared" si="340"/>
        <v>1.75</v>
      </c>
      <c r="O1055" s="25" t="s">
        <v>545</v>
      </c>
    </row>
    <row r="1056" spans="1:15" x14ac:dyDescent="0.25">
      <c r="A1056" s="75">
        <v>46110</v>
      </c>
      <c r="B1056" s="25" t="s">
        <v>454</v>
      </c>
      <c r="C1056" s="25" t="s">
        <v>768</v>
      </c>
      <c r="D1056" s="75">
        <f t="shared" si="327"/>
        <v>46133</v>
      </c>
      <c r="E1056" s="75">
        <f t="shared" si="328"/>
        <v>46117</v>
      </c>
      <c r="F1056" s="75">
        <f t="shared" si="329"/>
        <v>46124</v>
      </c>
      <c r="G1056" s="75">
        <f t="shared" si="330"/>
        <v>46130</v>
      </c>
      <c r="H1056" s="75">
        <f t="shared" si="331"/>
        <v>46118</v>
      </c>
      <c r="I1056" s="75">
        <f t="shared" si="332"/>
        <v>46125</v>
      </c>
      <c r="J1056" s="75">
        <v>46146</v>
      </c>
      <c r="K1056" s="25">
        <f t="shared" si="339"/>
        <v>36</v>
      </c>
      <c r="L1056" s="25">
        <v>14.71</v>
      </c>
      <c r="M1056" s="25">
        <v>12.33</v>
      </c>
      <c r="N1056" s="25">
        <f t="shared" si="340"/>
        <v>2.3800000000000008</v>
      </c>
      <c r="O1056" s="25" t="s">
        <v>545</v>
      </c>
    </row>
    <row r="1057" spans="1:15" x14ac:dyDescent="0.25">
      <c r="A1057" s="75">
        <v>46110</v>
      </c>
      <c r="B1057" s="25" t="s">
        <v>455</v>
      </c>
      <c r="C1057" s="25" t="s">
        <v>769</v>
      </c>
      <c r="D1057" s="75">
        <f t="shared" si="327"/>
        <v>46133</v>
      </c>
      <c r="E1057" s="75">
        <f t="shared" si="328"/>
        <v>46117</v>
      </c>
      <c r="F1057" s="75">
        <f t="shared" si="329"/>
        <v>46124</v>
      </c>
      <c r="G1057" s="75">
        <f t="shared" si="330"/>
        <v>46130</v>
      </c>
      <c r="H1057" s="75">
        <f t="shared" si="331"/>
        <v>46118</v>
      </c>
      <c r="I1057" s="75">
        <f t="shared" si="332"/>
        <v>46125</v>
      </c>
      <c r="J1057" s="75">
        <v>46147</v>
      </c>
      <c r="K1057" s="25">
        <f t="shared" ref="K1057" si="341">J1057-A1057</f>
        <v>37</v>
      </c>
      <c r="L1057" s="25">
        <v>12.96</v>
      </c>
      <c r="M1057" s="25">
        <v>10.15</v>
      </c>
      <c r="N1057" s="25">
        <f t="shared" si="340"/>
        <v>2.8100000000000005</v>
      </c>
      <c r="O1057" s="25" t="s">
        <v>545</v>
      </c>
    </row>
    <row r="1058" spans="1:15" x14ac:dyDescent="0.25">
      <c r="A1058" s="75">
        <v>46110</v>
      </c>
      <c r="B1058" s="25" t="s">
        <v>456</v>
      </c>
      <c r="C1058" s="25" t="s">
        <v>770</v>
      </c>
      <c r="D1058" s="75">
        <f t="shared" si="327"/>
        <v>46133</v>
      </c>
      <c r="E1058" s="75">
        <f t="shared" si="328"/>
        <v>46117</v>
      </c>
      <c r="F1058" s="75">
        <f t="shared" si="329"/>
        <v>46124</v>
      </c>
      <c r="G1058" s="75">
        <f t="shared" si="330"/>
        <v>46130</v>
      </c>
      <c r="H1058" s="75">
        <f t="shared" si="331"/>
        <v>46118</v>
      </c>
      <c r="I1058" s="75">
        <f t="shared" si="332"/>
        <v>46125</v>
      </c>
      <c r="J1058" s="75">
        <v>46147</v>
      </c>
      <c r="K1058" s="25">
        <f t="shared" ref="K1058:K1059" si="342">J1058-A1058</f>
        <v>37</v>
      </c>
      <c r="L1058" s="25">
        <v>13.11</v>
      </c>
      <c r="M1058" s="25">
        <v>11.32</v>
      </c>
      <c r="N1058" s="25">
        <f t="shared" si="340"/>
        <v>1.7899999999999991</v>
      </c>
      <c r="O1058" s="25" t="s">
        <v>545</v>
      </c>
    </row>
    <row r="1059" spans="1:15" x14ac:dyDescent="0.25">
      <c r="A1059" s="75">
        <v>46110</v>
      </c>
      <c r="B1059" s="25" t="s">
        <v>457</v>
      </c>
      <c r="C1059" s="25" t="s">
        <v>771</v>
      </c>
      <c r="D1059" s="75">
        <f t="shared" si="327"/>
        <v>46133</v>
      </c>
      <c r="E1059" s="75">
        <f t="shared" si="328"/>
        <v>46117</v>
      </c>
      <c r="F1059" s="75">
        <f t="shared" si="329"/>
        <v>46124</v>
      </c>
      <c r="G1059" s="75">
        <f t="shared" si="330"/>
        <v>46130</v>
      </c>
      <c r="H1059" s="75">
        <f t="shared" si="331"/>
        <v>46118</v>
      </c>
      <c r="I1059" s="75">
        <f t="shared" si="332"/>
        <v>46125</v>
      </c>
      <c r="J1059" s="75">
        <v>46147</v>
      </c>
      <c r="K1059" s="25">
        <f t="shared" si="342"/>
        <v>37</v>
      </c>
      <c r="L1059" s="25">
        <v>13.72</v>
      </c>
      <c r="M1059" s="25">
        <v>11.58</v>
      </c>
      <c r="N1059" s="25">
        <f t="shared" si="340"/>
        <v>2.1400000000000006</v>
      </c>
      <c r="O1059" s="25" t="s">
        <v>545</v>
      </c>
    </row>
    <row r="1060" spans="1:15" x14ac:dyDescent="0.25">
      <c r="A1060" s="75">
        <v>46110</v>
      </c>
      <c r="B1060" s="25" t="s">
        <v>458</v>
      </c>
      <c r="C1060" s="25" t="s">
        <v>772</v>
      </c>
      <c r="D1060" s="75">
        <f t="shared" si="327"/>
        <v>46133</v>
      </c>
      <c r="E1060" s="75">
        <f t="shared" si="328"/>
        <v>46117</v>
      </c>
      <c r="F1060" s="75">
        <f t="shared" si="329"/>
        <v>46124</v>
      </c>
      <c r="G1060" s="75">
        <f t="shared" si="330"/>
        <v>46130</v>
      </c>
      <c r="H1060" s="75">
        <f t="shared" si="331"/>
        <v>46118</v>
      </c>
      <c r="I1060" s="75">
        <f t="shared" si="332"/>
        <v>46125</v>
      </c>
      <c r="J1060" s="75">
        <v>46148</v>
      </c>
      <c r="K1060" s="25">
        <f t="shared" ref="K1060" si="343">J1060-A1060</f>
        <v>38</v>
      </c>
      <c r="L1060" s="25">
        <v>11.41</v>
      </c>
      <c r="M1060" s="25">
        <v>9.5299999999999994</v>
      </c>
      <c r="N1060" s="25">
        <f t="shared" si="340"/>
        <v>1.8800000000000008</v>
      </c>
      <c r="O1060" s="25" t="s">
        <v>545</v>
      </c>
    </row>
    <row r="1061" spans="1:15" x14ac:dyDescent="0.25">
      <c r="A1061" s="75">
        <v>46110</v>
      </c>
      <c r="B1061" s="25" t="s">
        <v>459</v>
      </c>
      <c r="C1061" s="25" t="s">
        <v>773</v>
      </c>
      <c r="D1061" s="75">
        <f t="shared" si="327"/>
        <v>46133</v>
      </c>
      <c r="E1061" s="75">
        <f t="shared" si="328"/>
        <v>46117</v>
      </c>
      <c r="F1061" s="75">
        <f t="shared" si="329"/>
        <v>46124</v>
      </c>
      <c r="G1061" s="75">
        <f t="shared" si="330"/>
        <v>46130</v>
      </c>
      <c r="H1061" s="75">
        <f t="shared" si="331"/>
        <v>46118</v>
      </c>
      <c r="I1061" s="75">
        <f t="shared" si="332"/>
        <v>46125</v>
      </c>
      <c r="J1061" s="75">
        <v>46148</v>
      </c>
      <c r="K1061" s="25">
        <f t="shared" ref="K1061:K1062" si="344">J1061-A1061</f>
        <v>38</v>
      </c>
      <c r="L1061" s="25">
        <v>12.33</v>
      </c>
      <c r="M1061" s="25">
        <v>10.27</v>
      </c>
      <c r="N1061" s="25">
        <f t="shared" si="340"/>
        <v>2.0600000000000005</v>
      </c>
      <c r="O1061" s="25" t="s">
        <v>545</v>
      </c>
    </row>
    <row r="1062" spans="1:15" x14ac:dyDescent="0.25">
      <c r="A1062" s="75">
        <v>46110</v>
      </c>
      <c r="B1062" s="25" t="s">
        <v>460</v>
      </c>
      <c r="C1062" s="25" t="s">
        <v>774</v>
      </c>
      <c r="D1062" s="75">
        <f t="shared" si="327"/>
        <v>46133</v>
      </c>
      <c r="E1062" s="75">
        <f t="shared" si="328"/>
        <v>46117</v>
      </c>
      <c r="F1062" s="75">
        <f t="shared" si="329"/>
        <v>46124</v>
      </c>
      <c r="G1062" s="75">
        <f t="shared" si="330"/>
        <v>46130</v>
      </c>
      <c r="H1062" s="75">
        <f t="shared" si="331"/>
        <v>46118</v>
      </c>
      <c r="I1062" s="75">
        <f t="shared" si="332"/>
        <v>46125</v>
      </c>
      <c r="J1062" s="75">
        <v>46148</v>
      </c>
      <c r="K1062" s="25">
        <f t="shared" si="344"/>
        <v>38</v>
      </c>
      <c r="L1062" s="25">
        <v>11.35</v>
      </c>
      <c r="M1062" s="25">
        <v>9.31</v>
      </c>
      <c r="N1062" s="25">
        <f t="shared" si="340"/>
        <v>2.0399999999999991</v>
      </c>
      <c r="O1062" s="25" t="s">
        <v>545</v>
      </c>
    </row>
    <row r="1063" spans="1:15" x14ac:dyDescent="0.25">
      <c r="A1063" s="75">
        <v>46111</v>
      </c>
      <c r="B1063" s="25" t="s">
        <v>417</v>
      </c>
      <c r="C1063" s="25" t="s">
        <v>775</v>
      </c>
      <c r="D1063" s="75">
        <f t="shared" si="327"/>
        <v>46134</v>
      </c>
      <c r="E1063" s="75">
        <f t="shared" si="328"/>
        <v>46118</v>
      </c>
      <c r="F1063" s="75">
        <f t="shared" si="329"/>
        <v>46125</v>
      </c>
      <c r="G1063" s="75">
        <f t="shared" si="330"/>
        <v>46131</v>
      </c>
      <c r="H1063" s="75">
        <f t="shared" si="331"/>
        <v>46119</v>
      </c>
      <c r="I1063" s="75">
        <f t="shared" si="332"/>
        <v>46126</v>
      </c>
      <c r="J1063" s="75">
        <v>46140</v>
      </c>
      <c r="K1063" s="89">
        <f t="shared" ref="K1063" si="345">J1063-A1063</f>
        <v>29</v>
      </c>
      <c r="L1063" s="89">
        <v>12.35</v>
      </c>
      <c r="M1063" s="89">
        <v>10.130000000000001</v>
      </c>
      <c r="N1063" s="89">
        <f t="shared" ref="N1063" si="346">L1063-M1063</f>
        <v>2.2199999999999989</v>
      </c>
      <c r="O1063" s="89" t="s">
        <v>545</v>
      </c>
    </row>
    <row r="1064" spans="1:15" x14ac:dyDescent="0.25">
      <c r="A1064" s="75">
        <v>46111</v>
      </c>
      <c r="B1064" s="25" t="s">
        <v>418</v>
      </c>
      <c r="C1064" s="25" t="s">
        <v>776</v>
      </c>
      <c r="D1064" s="75">
        <f t="shared" si="327"/>
        <v>46134</v>
      </c>
      <c r="E1064" s="75">
        <f t="shared" si="328"/>
        <v>46118</v>
      </c>
      <c r="F1064" s="75">
        <f t="shared" si="329"/>
        <v>46125</v>
      </c>
      <c r="G1064" s="75">
        <f t="shared" si="330"/>
        <v>46131</v>
      </c>
      <c r="H1064" s="75">
        <f t="shared" si="331"/>
        <v>46119</v>
      </c>
      <c r="I1064" s="75">
        <f t="shared" si="332"/>
        <v>46126</v>
      </c>
      <c r="J1064" s="75">
        <v>46142</v>
      </c>
      <c r="K1064" s="89">
        <f t="shared" ref="K1064:K1066" si="347">J1064-A1071</f>
        <v>30</v>
      </c>
      <c r="L1064" s="89">
        <v>12.1</v>
      </c>
      <c r="M1064" s="89">
        <v>10.210000000000001</v>
      </c>
      <c r="N1064" s="89">
        <f t="shared" ref="N1064:N1065" si="348">L1064-M1064</f>
        <v>1.8899999999999988</v>
      </c>
      <c r="O1064" s="89" t="s">
        <v>545</v>
      </c>
    </row>
    <row r="1065" spans="1:15" x14ac:dyDescent="0.25">
      <c r="A1065" s="75">
        <v>46111</v>
      </c>
      <c r="B1065" s="25" t="s">
        <v>419</v>
      </c>
      <c r="C1065" s="25" t="s">
        <v>777</v>
      </c>
      <c r="D1065" s="75">
        <f t="shared" si="327"/>
        <v>46134</v>
      </c>
      <c r="E1065" s="75">
        <f t="shared" si="328"/>
        <v>46118</v>
      </c>
      <c r="F1065" s="75">
        <f t="shared" si="329"/>
        <v>46125</v>
      </c>
      <c r="G1065" s="75">
        <f t="shared" si="330"/>
        <v>46131</v>
      </c>
      <c r="H1065" s="75">
        <f t="shared" si="331"/>
        <v>46119</v>
      </c>
      <c r="I1065" s="75">
        <f t="shared" si="332"/>
        <v>46126</v>
      </c>
      <c r="J1065" s="75">
        <v>46142</v>
      </c>
      <c r="K1065" s="25">
        <f t="shared" si="347"/>
        <v>30</v>
      </c>
      <c r="L1065" s="25">
        <v>12.08</v>
      </c>
      <c r="M1065" s="25">
        <v>10.15</v>
      </c>
      <c r="N1065" s="25">
        <f t="shared" si="348"/>
        <v>1.9299999999999997</v>
      </c>
      <c r="O1065" s="25" t="s">
        <v>545</v>
      </c>
    </row>
    <row r="1066" spans="1:15" x14ac:dyDescent="0.25">
      <c r="A1066" s="75">
        <v>46111</v>
      </c>
      <c r="B1066" s="25" t="s">
        <v>420</v>
      </c>
      <c r="C1066" s="25" t="s">
        <v>778</v>
      </c>
      <c r="D1066" s="75">
        <f t="shared" si="327"/>
        <v>46134</v>
      </c>
      <c r="E1066" s="75">
        <f t="shared" si="328"/>
        <v>46118</v>
      </c>
      <c r="F1066" s="75">
        <f t="shared" si="329"/>
        <v>46125</v>
      </c>
      <c r="G1066" s="75">
        <f t="shared" si="330"/>
        <v>46131</v>
      </c>
      <c r="H1066" s="75">
        <f t="shared" si="331"/>
        <v>46119</v>
      </c>
      <c r="I1066" s="75">
        <f t="shared" si="332"/>
        <v>46126</v>
      </c>
      <c r="J1066" s="75">
        <v>46144</v>
      </c>
      <c r="K1066" s="25">
        <f t="shared" si="347"/>
        <v>32</v>
      </c>
      <c r="L1066" s="25">
        <v>11.51</v>
      </c>
      <c r="M1066" s="25">
        <v>10.66</v>
      </c>
      <c r="N1066" s="25">
        <f t="shared" ref="N1066:N1069" si="349">L1066-M1066</f>
        <v>0.84999999999999964</v>
      </c>
      <c r="O1066" s="25" t="s">
        <v>545</v>
      </c>
    </row>
    <row r="1067" spans="1:15" x14ac:dyDescent="0.25">
      <c r="A1067" s="75">
        <v>46111</v>
      </c>
      <c r="B1067" s="25" t="s">
        <v>421</v>
      </c>
      <c r="C1067" s="25" t="s">
        <v>779</v>
      </c>
      <c r="D1067" s="75">
        <f t="shared" si="327"/>
        <v>46134</v>
      </c>
      <c r="E1067" s="75">
        <f t="shared" si="328"/>
        <v>46118</v>
      </c>
      <c r="F1067" s="75">
        <f t="shared" si="329"/>
        <v>46125</v>
      </c>
      <c r="G1067" s="75">
        <f t="shared" si="330"/>
        <v>46131</v>
      </c>
      <c r="H1067" s="75">
        <f t="shared" si="331"/>
        <v>46119</v>
      </c>
      <c r="I1067" s="75">
        <f t="shared" si="332"/>
        <v>46126</v>
      </c>
      <c r="J1067" s="75">
        <v>46145</v>
      </c>
      <c r="K1067" s="25">
        <f t="shared" ref="K1067" si="350">J1067-A1074</f>
        <v>33</v>
      </c>
      <c r="L1067" s="25">
        <v>13.35</v>
      </c>
      <c r="M1067" s="25">
        <v>11.54</v>
      </c>
      <c r="N1067" s="25">
        <f t="shared" si="349"/>
        <v>1.8100000000000005</v>
      </c>
      <c r="O1067" s="25" t="s">
        <v>545</v>
      </c>
    </row>
    <row r="1068" spans="1:15" x14ac:dyDescent="0.25">
      <c r="A1068" s="75">
        <v>46111</v>
      </c>
      <c r="B1068" s="25" t="s">
        <v>422</v>
      </c>
      <c r="C1068" s="25" t="s">
        <v>780</v>
      </c>
      <c r="D1068" s="75">
        <f t="shared" si="327"/>
        <v>46134</v>
      </c>
      <c r="E1068" s="75">
        <f t="shared" si="328"/>
        <v>46118</v>
      </c>
      <c r="F1068" s="75">
        <f t="shared" si="329"/>
        <v>46125</v>
      </c>
      <c r="G1068" s="75">
        <f t="shared" si="330"/>
        <v>46131</v>
      </c>
      <c r="H1068" s="75">
        <f t="shared" si="331"/>
        <v>46119</v>
      </c>
      <c r="I1068" s="75">
        <f t="shared" si="332"/>
        <v>46126</v>
      </c>
      <c r="J1068" s="75">
        <v>46145</v>
      </c>
      <c r="K1068" s="25">
        <f t="shared" ref="K1068:K1069" si="351">J1068-A1075</f>
        <v>33</v>
      </c>
      <c r="L1068" s="25">
        <v>14.17</v>
      </c>
      <c r="M1068" s="25">
        <v>12.11</v>
      </c>
      <c r="N1068" s="25">
        <f t="shared" si="349"/>
        <v>2.0600000000000005</v>
      </c>
      <c r="O1068" s="25" t="s">
        <v>545</v>
      </c>
    </row>
    <row r="1069" spans="1:15" x14ac:dyDescent="0.25">
      <c r="A1069" s="75">
        <v>46111</v>
      </c>
      <c r="B1069" s="25" t="s">
        <v>423</v>
      </c>
      <c r="C1069" s="25" t="s">
        <v>781</v>
      </c>
      <c r="D1069" s="75">
        <f t="shared" si="327"/>
        <v>46134</v>
      </c>
      <c r="E1069" s="75">
        <f t="shared" si="328"/>
        <v>46118</v>
      </c>
      <c r="F1069" s="75">
        <f t="shared" si="329"/>
        <v>46125</v>
      </c>
      <c r="G1069" s="75">
        <f t="shared" si="330"/>
        <v>46131</v>
      </c>
      <c r="H1069" s="75">
        <f t="shared" si="331"/>
        <v>46119</v>
      </c>
      <c r="I1069" s="75">
        <f t="shared" si="332"/>
        <v>46126</v>
      </c>
      <c r="J1069" s="75">
        <v>46145</v>
      </c>
      <c r="K1069" s="25">
        <f t="shared" si="351"/>
        <v>33</v>
      </c>
      <c r="L1069" s="25">
        <v>14.28</v>
      </c>
      <c r="M1069" s="25">
        <v>12.35</v>
      </c>
      <c r="N1069" s="25">
        <f t="shared" si="349"/>
        <v>1.9299999999999997</v>
      </c>
      <c r="O1069" s="25" t="s">
        <v>545</v>
      </c>
    </row>
    <row r="1070" spans="1:15" x14ac:dyDescent="0.25">
      <c r="A1070" s="75">
        <v>46112</v>
      </c>
      <c r="B1070" s="25" t="s">
        <v>511</v>
      </c>
      <c r="C1070" s="25" t="s">
        <v>782</v>
      </c>
      <c r="D1070" s="75">
        <f t="shared" si="327"/>
        <v>46135</v>
      </c>
      <c r="E1070" s="75">
        <f t="shared" si="328"/>
        <v>46119</v>
      </c>
      <c r="F1070" s="75">
        <f t="shared" si="329"/>
        <v>46126</v>
      </c>
      <c r="G1070" s="75">
        <f t="shared" si="330"/>
        <v>46132</v>
      </c>
      <c r="H1070" s="75">
        <f t="shared" si="331"/>
        <v>46120</v>
      </c>
      <c r="I1070" s="75">
        <f t="shared" si="332"/>
        <v>46127</v>
      </c>
      <c r="J1070" s="75">
        <v>46143</v>
      </c>
      <c r="K1070" s="25">
        <f t="shared" ref="K1070" si="352">J1070-A1077</f>
        <v>30</v>
      </c>
      <c r="L1070" s="25">
        <v>12.47</v>
      </c>
      <c r="M1070" s="25">
        <v>10.25</v>
      </c>
      <c r="N1070" s="25">
        <f t="shared" ref="N1070:N1089" si="353">L1070-M1070</f>
        <v>2.2200000000000006</v>
      </c>
      <c r="O1070" s="25" t="s">
        <v>545</v>
      </c>
    </row>
    <row r="1071" spans="1:15" x14ac:dyDescent="0.25">
      <c r="A1071" s="75">
        <v>46112</v>
      </c>
      <c r="B1071" s="25" t="s">
        <v>512</v>
      </c>
      <c r="C1071" s="25" t="s">
        <v>783</v>
      </c>
      <c r="D1071" s="75">
        <f t="shared" si="327"/>
        <v>46135</v>
      </c>
      <c r="E1071" s="75">
        <f t="shared" si="328"/>
        <v>46119</v>
      </c>
      <c r="F1071" s="75">
        <f t="shared" si="329"/>
        <v>46126</v>
      </c>
      <c r="G1071" s="75">
        <f t="shared" si="330"/>
        <v>46132</v>
      </c>
      <c r="H1071" s="75">
        <f t="shared" si="331"/>
        <v>46120</v>
      </c>
      <c r="I1071" s="75">
        <f t="shared" si="332"/>
        <v>46127</v>
      </c>
      <c r="J1071" s="75">
        <v>46143</v>
      </c>
      <c r="K1071" s="25">
        <f t="shared" ref="K1071:K1079" si="354">J1071-A1078</f>
        <v>30</v>
      </c>
      <c r="L1071" s="25">
        <v>13.38</v>
      </c>
      <c r="M1071" s="25">
        <v>11.54</v>
      </c>
      <c r="N1071" s="25">
        <f t="shared" si="353"/>
        <v>1.8400000000000016</v>
      </c>
      <c r="O1071" s="25" t="s">
        <v>545</v>
      </c>
    </row>
    <row r="1072" spans="1:15" x14ac:dyDescent="0.25">
      <c r="A1072" s="75">
        <v>46112</v>
      </c>
      <c r="B1072" s="25" t="s">
        <v>513</v>
      </c>
      <c r="C1072" s="25" t="s">
        <v>784</v>
      </c>
      <c r="D1072" s="75">
        <f t="shared" si="327"/>
        <v>46135</v>
      </c>
      <c r="E1072" s="75">
        <f t="shared" si="328"/>
        <v>46119</v>
      </c>
      <c r="F1072" s="75">
        <f t="shared" si="329"/>
        <v>46126</v>
      </c>
      <c r="G1072" s="75">
        <f t="shared" si="330"/>
        <v>46132</v>
      </c>
      <c r="H1072" s="75">
        <f t="shared" si="331"/>
        <v>46120</v>
      </c>
      <c r="I1072" s="75">
        <f t="shared" si="332"/>
        <v>46127</v>
      </c>
      <c r="J1072" s="75">
        <v>46143</v>
      </c>
      <c r="K1072" s="25">
        <f t="shared" si="354"/>
        <v>30</v>
      </c>
      <c r="L1072" s="25">
        <v>13.25</v>
      </c>
      <c r="M1072" s="25">
        <v>11.32</v>
      </c>
      <c r="N1072" s="25">
        <f t="shared" si="353"/>
        <v>1.9299999999999997</v>
      </c>
      <c r="O1072" s="25" t="s">
        <v>545</v>
      </c>
    </row>
    <row r="1073" spans="1:15" x14ac:dyDescent="0.25">
      <c r="A1073" s="75">
        <v>46112</v>
      </c>
      <c r="B1073" s="25" t="s">
        <v>514</v>
      </c>
      <c r="C1073" s="25" t="s">
        <v>785</v>
      </c>
      <c r="D1073" s="75">
        <f t="shared" si="327"/>
        <v>46135</v>
      </c>
      <c r="E1073" s="75">
        <f t="shared" si="328"/>
        <v>46119</v>
      </c>
      <c r="F1073" s="75">
        <f t="shared" si="329"/>
        <v>46126</v>
      </c>
      <c r="G1073" s="75">
        <f t="shared" si="330"/>
        <v>46132</v>
      </c>
      <c r="H1073" s="75">
        <f t="shared" si="331"/>
        <v>46120</v>
      </c>
      <c r="I1073" s="75">
        <f t="shared" si="332"/>
        <v>46127</v>
      </c>
      <c r="J1073" s="75">
        <v>46143</v>
      </c>
      <c r="K1073" s="25">
        <f t="shared" si="354"/>
        <v>30</v>
      </c>
      <c r="L1073" s="25">
        <v>14.19</v>
      </c>
      <c r="M1073" s="25">
        <v>12.1</v>
      </c>
      <c r="N1073" s="25">
        <f t="shared" si="353"/>
        <v>2.09</v>
      </c>
      <c r="O1073" s="25" t="s">
        <v>545</v>
      </c>
    </row>
    <row r="1074" spans="1:15" x14ac:dyDescent="0.25">
      <c r="A1074" s="75">
        <v>46112</v>
      </c>
      <c r="B1074" s="25" t="s">
        <v>515</v>
      </c>
      <c r="C1074" s="25" t="s">
        <v>786</v>
      </c>
      <c r="D1074" s="75">
        <f t="shared" si="327"/>
        <v>46135</v>
      </c>
      <c r="E1074" s="75">
        <f t="shared" si="328"/>
        <v>46119</v>
      </c>
      <c r="F1074" s="75">
        <f t="shared" si="329"/>
        <v>46126</v>
      </c>
      <c r="G1074" s="75">
        <f t="shared" si="330"/>
        <v>46132</v>
      </c>
      <c r="H1074" s="75">
        <f t="shared" si="331"/>
        <v>46120</v>
      </c>
      <c r="I1074" s="75">
        <f t="shared" si="332"/>
        <v>46127</v>
      </c>
      <c r="J1074" s="75">
        <v>46143</v>
      </c>
      <c r="K1074" s="25">
        <f t="shared" si="354"/>
        <v>30</v>
      </c>
      <c r="L1074" s="25">
        <v>14.35</v>
      </c>
      <c r="M1074" s="25">
        <v>12.15</v>
      </c>
      <c r="N1074" s="25">
        <f t="shared" si="353"/>
        <v>2.1999999999999993</v>
      </c>
      <c r="O1074" s="25" t="s">
        <v>545</v>
      </c>
    </row>
    <row r="1075" spans="1:15" x14ac:dyDescent="0.25">
      <c r="A1075" s="75">
        <v>46112</v>
      </c>
      <c r="B1075" s="25" t="s">
        <v>516</v>
      </c>
      <c r="C1075" s="25" t="s">
        <v>787</v>
      </c>
      <c r="D1075" s="75">
        <f t="shared" si="327"/>
        <v>46135</v>
      </c>
      <c r="E1075" s="75">
        <f t="shared" si="328"/>
        <v>46119</v>
      </c>
      <c r="F1075" s="75">
        <f t="shared" si="329"/>
        <v>46126</v>
      </c>
      <c r="G1075" s="75">
        <f t="shared" si="330"/>
        <v>46132</v>
      </c>
      <c r="H1075" s="75">
        <f t="shared" si="331"/>
        <v>46120</v>
      </c>
      <c r="I1075" s="75">
        <f t="shared" si="332"/>
        <v>46127</v>
      </c>
      <c r="J1075" s="75">
        <v>46143</v>
      </c>
      <c r="K1075" s="25">
        <f t="shared" si="354"/>
        <v>30</v>
      </c>
      <c r="L1075" s="25">
        <v>13.16</v>
      </c>
      <c r="M1075" s="25">
        <v>11.47</v>
      </c>
      <c r="N1075" s="25">
        <f t="shared" si="353"/>
        <v>1.6899999999999995</v>
      </c>
      <c r="O1075" s="25" t="s">
        <v>545</v>
      </c>
    </row>
    <row r="1076" spans="1:15" x14ac:dyDescent="0.25">
      <c r="A1076" s="75">
        <v>46112</v>
      </c>
      <c r="B1076" s="25" t="s">
        <v>517</v>
      </c>
      <c r="C1076" s="25" t="s">
        <v>788</v>
      </c>
      <c r="D1076" s="75">
        <f t="shared" si="327"/>
        <v>46135</v>
      </c>
      <c r="E1076" s="75">
        <f t="shared" si="328"/>
        <v>46119</v>
      </c>
      <c r="F1076" s="75">
        <f t="shared" si="329"/>
        <v>46126</v>
      </c>
      <c r="G1076" s="75">
        <f t="shared" si="330"/>
        <v>46132</v>
      </c>
      <c r="H1076" s="75">
        <f t="shared" si="331"/>
        <v>46120</v>
      </c>
      <c r="I1076" s="75">
        <f t="shared" si="332"/>
        <v>46127</v>
      </c>
      <c r="J1076" s="75">
        <v>46143</v>
      </c>
      <c r="K1076" s="25">
        <f t="shared" si="354"/>
        <v>30</v>
      </c>
      <c r="L1076" s="25">
        <v>14.08</v>
      </c>
      <c r="M1076" s="25">
        <v>12.23</v>
      </c>
      <c r="N1076" s="25">
        <f t="shared" si="353"/>
        <v>1.8499999999999996</v>
      </c>
      <c r="O1076" s="25" t="s">
        <v>545</v>
      </c>
    </row>
    <row r="1077" spans="1:15" x14ac:dyDescent="0.25">
      <c r="A1077" s="75">
        <v>46113</v>
      </c>
      <c r="B1077" s="25" t="s">
        <v>518</v>
      </c>
      <c r="C1077" s="25" t="s">
        <v>789</v>
      </c>
      <c r="D1077" s="75">
        <f t="shared" si="327"/>
        <v>46136</v>
      </c>
      <c r="E1077" s="75">
        <f t="shared" si="328"/>
        <v>46120</v>
      </c>
      <c r="F1077" s="75">
        <f t="shared" si="329"/>
        <v>46127</v>
      </c>
      <c r="G1077" s="75">
        <f t="shared" si="330"/>
        <v>46133</v>
      </c>
      <c r="H1077" s="75">
        <f t="shared" si="331"/>
        <v>46121</v>
      </c>
      <c r="I1077" s="75">
        <f t="shared" si="332"/>
        <v>46128</v>
      </c>
      <c r="J1077" s="75">
        <v>46143</v>
      </c>
      <c r="K1077" s="25">
        <f t="shared" si="354"/>
        <v>29</v>
      </c>
      <c r="L1077" s="25">
        <v>13.1</v>
      </c>
      <c r="M1077" s="25">
        <v>11.15</v>
      </c>
      <c r="N1077" s="25">
        <f t="shared" si="353"/>
        <v>1.9499999999999993</v>
      </c>
      <c r="O1077" s="25" t="s">
        <v>545</v>
      </c>
    </row>
    <row r="1078" spans="1:15" x14ac:dyDescent="0.25">
      <c r="A1078" s="75">
        <v>46113</v>
      </c>
      <c r="B1078" s="25" t="s">
        <v>519</v>
      </c>
      <c r="C1078" s="25" t="s">
        <v>790</v>
      </c>
      <c r="D1078" s="75">
        <f t="shared" si="327"/>
        <v>46136</v>
      </c>
      <c r="E1078" s="75">
        <f t="shared" si="328"/>
        <v>46120</v>
      </c>
      <c r="F1078" s="75">
        <f t="shared" si="329"/>
        <v>46127</v>
      </c>
      <c r="G1078" s="75">
        <f t="shared" si="330"/>
        <v>46133</v>
      </c>
      <c r="H1078" s="75">
        <f t="shared" si="331"/>
        <v>46121</v>
      </c>
      <c r="I1078" s="75">
        <f t="shared" si="332"/>
        <v>46128</v>
      </c>
      <c r="J1078" s="75">
        <v>46143</v>
      </c>
      <c r="K1078" s="25">
        <f t="shared" si="354"/>
        <v>29</v>
      </c>
      <c r="L1078" s="25">
        <v>12.27</v>
      </c>
      <c r="M1078" s="25">
        <v>10.32</v>
      </c>
      <c r="N1078" s="25">
        <f t="shared" si="353"/>
        <v>1.9499999999999993</v>
      </c>
      <c r="O1078" s="25" t="s">
        <v>545</v>
      </c>
    </row>
    <row r="1079" spans="1:15" x14ac:dyDescent="0.25">
      <c r="A1079" s="75">
        <v>46113</v>
      </c>
      <c r="B1079" s="25" t="s">
        <v>520</v>
      </c>
      <c r="C1079" s="25" t="s">
        <v>791</v>
      </c>
      <c r="D1079" s="75">
        <f t="shared" si="327"/>
        <v>46136</v>
      </c>
      <c r="E1079" s="75">
        <f t="shared" si="328"/>
        <v>46120</v>
      </c>
      <c r="F1079" s="75">
        <f t="shared" si="329"/>
        <v>46127</v>
      </c>
      <c r="G1079" s="75">
        <f t="shared" si="330"/>
        <v>46133</v>
      </c>
      <c r="H1079" s="75">
        <f t="shared" si="331"/>
        <v>46121</v>
      </c>
      <c r="I1079" s="75">
        <f t="shared" si="332"/>
        <v>46128</v>
      </c>
      <c r="J1079" s="75">
        <v>46144</v>
      </c>
      <c r="K1079" s="25">
        <f t="shared" si="354"/>
        <v>30</v>
      </c>
      <c r="L1079" s="25">
        <v>13.24</v>
      </c>
      <c r="M1079" s="25">
        <v>11.12</v>
      </c>
      <c r="N1079" s="25">
        <f t="shared" si="353"/>
        <v>2.120000000000001</v>
      </c>
      <c r="O1079" s="25" t="s">
        <v>545</v>
      </c>
    </row>
    <row r="1080" spans="1:15" x14ac:dyDescent="0.25">
      <c r="A1080" s="75">
        <v>46113</v>
      </c>
      <c r="B1080" s="25" t="s">
        <v>521</v>
      </c>
      <c r="C1080" s="25" t="s">
        <v>792</v>
      </c>
      <c r="D1080" s="75">
        <f t="shared" si="327"/>
        <v>46136</v>
      </c>
      <c r="E1080" s="75">
        <f t="shared" si="328"/>
        <v>46120</v>
      </c>
      <c r="F1080" s="75">
        <f t="shared" si="329"/>
        <v>46127</v>
      </c>
      <c r="G1080" s="75">
        <f t="shared" si="330"/>
        <v>46133</v>
      </c>
      <c r="H1080" s="75">
        <f t="shared" si="331"/>
        <v>46121</v>
      </c>
      <c r="I1080" s="75">
        <f t="shared" si="332"/>
        <v>46128</v>
      </c>
      <c r="J1080" s="75">
        <v>46144</v>
      </c>
      <c r="K1080" s="25">
        <f t="shared" ref="K1080:K1087" si="355">J1080-A1087</f>
        <v>30</v>
      </c>
      <c r="L1080" s="25">
        <v>12.53</v>
      </c>
      <c r="M1080" s="25">
        <v>10.81</v>
      </c>
      <c r="N1080" s="25">
        <f t="shared" si="353"/>
        <v>1.7199999999999989</v>
      </c>
      <c r="O1080" s="25" t="s">
        <v>545</v>
      </c>
    </row>
    <row r="1081" spans="1:15" x14ac:dyDescent="0.25">
      <c r="A1081" s="75">
        <v>46113</v>
      </c>
      <c r="B1081" s="25" t="s">
        <v>522</v>
      </c>
      <c r="C1081" s="25" t="s">
        <v>567</v>
      </c>
      <c r="D1081" s="75">
        <f t="shared" si="327"/>
        <v>46136</v>
      </c>
      <c r="E1081" s="75">
        <f t="shared" si="328"/>
        <v>46120</v>
      </c>
      <c r="F1081" s="75">
        <f t="shared" si="329"/>
        <v>46127</v>
      </c>
      <c r="G1081" s="75">
        <f t="shared" si="330"/>
        <v>46133</v>
      </c>
      <c r="H1081" s="75">
        <f t="shared" si="331"/>
        <v>46121</v>
      </c>
      <c r="I1081" s="75">
        <f t="shared" si="332"/>
        <v>46128</v>
      </c>
      <c r="J1081" s="75">
        <v>46144</v>
      </c>
      <c r="K1081" s="25">
        <f t="shared" si="355"/>
        <v>30</v>
      </c>
      <c r="L1081" s="25">
        <v>14.18</v>
      </c>
      <c r="M1081" s="25">
        <v>12.42</v>
      </c>
      <c r="N1081" s="25">
        <f t="shared" si="353"/>
        <v>1.7599999999999998</v>
      </c>
      <c r="O1081" s="25" t="s">
        <v>545</v>
      </c>
    </row>
    <row r="1082" spans="1:15" x14ac:dyDescent="0.25">
      <c r="A1082" s="75">
        <v>46113</v>
      </c>
      <c r="B1082" s="25" t="s">
        <v>523</v>
      </c>
      <c r="C1082" s="25" t="s">
        <v>568</v>
      </c>
      <c r="D1082" s="75">
        <f t="shared" si="327"/>
        <v>46136</v>
      </c>
      <c r="E1082" s="75">
        <f t="shared" si="328"/>
        <v>46120</v>
      </c>
      <c r="F1082" s="75">
        <f t="shared" si="329"/>
        <v>46127</v>
      </c>
      <c r="G1082" s="75">
        <f t="shared" si="330"/>
        <v>46133</v>
      </c>
      <c r="H1082" s="75">
        <f t="shared" si="331"/>
        <v>46121</v>
      </c>
      <c r="I1082" s="75">
        <f t="shared" si="332"/>
        <v>46128</v>
      </c>
      <c r="J1082" s="75">
        <v>46144</v>
      </c>
      <c r="K1082" s="25">
        <f t="shared" si="355"/>
        <v>30</v>
      </c>
      <c r="L1082" s="25">
        <v>13.27</v>
      </c>
      <c r="M1082" s="25">
        <v>11.58</v>
      </c>
      <c r="N1082" s="25">
        <f t="shared" si="353"/>
        <v>1.6899999999999995</v>
      </c>
      <c r="O1082" s="25" t="s">
        <v>545</v>
      </c>
    </row>
    <row r="1083" spans="1:15" x14ac:dyDescent="0.25">
      <c r="A1083" s="75">
        <v>46113</v>
      </c>
      <c r="B1083" s="25" t="s">
        <v>524</v>
      </c>
      <c r="C1083" s="25" t="s">
        <v>569</v>
      </c>
      <c r="D1083" s="75">
        <f t="shared" si="327"/>
        <v>46136</v>
      </c>
      <c r="E1083" s="75">
        <f t="shared" si="328"/>
        <v>46120</v>
      </c>
      <c r="F1083" s="75">
        <f t="shared" si="329"/>
        <v>46127</v>
      </c>
      <c r="G1083" s="75">
        <f t="shared" si="330"/>
        <v>46133</v>
      </c>
      <c r="H1083" s="75">
        <f t="shared" si="331"/>
        <v>46121</v>
      </c>
      <c r="I1083" s="75">
        <f t="shared" si="332"/>
        <v>46128</v>
      </c>
      <c r="J1083" s="75">
        <v>46144</v>
      </c>
      <c r="K1083" s="25">
        <f t="shared" si="355"/>
        <v>30</v>
      </c>
      <c r="L1083" s="25">
        <v>13.59</v>
      </c>
      <c r="M1083" s="25">
        <v>11.74</v>
      </c>
      <c r="N1083" s="25">
        <f t="shared" si="353"/>
        <v>1.8499999999999996</v>
      </c>
      <c r="O1083" s="25" t="s">
        <v>545</v>
      </c>
    </row>
    <row r="1084" spans="1:15" x14ac:dyDescent="0.25">
      <c r="A1084" s="75">
        <v>46114</v>
      </c>
      <c r="B1084" s="25" t="s">
        <v>525</v>
      </c>
      <c r="C1084" s="25" t="s">
        <v>570</v>
      </c>
      <c r="D1084" s="75">
        <f t="shared" si="327"/>
        <v>46137</v>
      </c>
      <c r="E1084" s="75">
        <f t="shared" si="328"/>
        <v>46121</v>
      </c>
      <c r="F1084" s="75">
        <f t="shared" si="329"/>
        <v>46128</v>
      </c>
      <c r="G1084" s="75">
        <f t="shared" si="330"/>
        <v>46134</v>
      </c>
      <c r="H1084" s="75">
        <f t="shared" si="331"/>
        <v>46122</v>
      </c>
      <c r="I1084" s="75">
        <f t="shared" si="332"/>
        <v>46129</v>
      </c>
      <c r="J1084" s="75">
        <v>46144</v>
      </c>
      <c r="K1084" s="25">
        <f t="shared" si="355"/>
        <v>29</v>
      </c>
      <c r="L1084" s="25">
        <v>14.02</v>
      </c>
      <c r="M1084" s="25">
        <v>12.19</v>
      </c>
      <c r="N1084" s="25">
        <f t="shared" si="353"/>
        <v>1.83</v>
      </c>
      <c r="O1084" s="25" t="s">
        <v>545</v>
      </c>
    </row>
    <row r="1085" spans="1:15" x14ac:dyDescent="0.25">
      <c r="A1085" s="75">
        <v>46114</v>
      </c>
      <c r="B1085" s="25" t="s">
        <v>526</v>
      </c>
      <c r="C1085" s="25" t="s">
        <v>571</v>
      </c>
      <c r="D1085" s="75">
        <f t="shared" si="327"/>
        <v>46137</v>
      </c>
      <c r="E1085" s="75">
        <f t="shared" si="328"/>
        <v>46121</v>
      </c>
      <c r="F1085" s="75">
        <f t="shared" si="329"/>
        <v>46128</v>
      </c>
      <c r="G1085" s="75">
        <f t="shared" si="330"/>
        <v>46134</v>
      </c>
      <c r="H1085" s="75">
        <f t="shared" si="331"/>
        <v>46122</v>
      </c>
      <c r="I1085" s="75">
        <f t="shared" si="332"/>
        <v>46129</v>
      </c>
      <c r="J1085" s="75">
        <v>46144</v>
      </c>
      <c r="K1085" s="25">
        <f t="shared" si="355"/>
        <v>29</v>
      </c>
      <c r="L1085" s="25">
        <v>14.34</v>
      </c>
      <c r="M1085" s="25">
        <v>12.53</v>
      </c>
      <c r="N1085" s="25">
        <f t="shared" si="353"/>
        <v>1.8100000000000005</v>
      </c>
      <c r="O1085" s="25" t="s">
        <v>545</v>
      </c>
    </row>
    <row r="1086" spans="1:15" x14ac:dyDescent="0.25">
      <c r="A1086" s="75">
        <v>46114</v>
      </c>
      <c r="B1086" s="25" t="s">
        <v>527</v>
      </c>
      <c r="C1086" s="25" t="s">
        <v>572</v>
      </c>
      <c r="D1086" s="75">
        <f t="shared" si="327"/>
        <v>46137</v>
      </c>
      <c r="E1086" s="75">
        <f t="shared" si="328"/>
        <v>46121</v>
      </c>
      <c r="F1086" s="75">
        <f t="shared" si="329"/>
        <v>46128</v>
      </c>
      <c r="G1086" s="75">
        <f t="shared" si="330"/>
        <v>46134</v>
      </c>
      <c r="H1086" s="75">
        <f t="shared" si="331"/>
        <v>46122</v>
      </c>
      <c r="I1086" s="75">
        <f t="shared" si="332"/>
        <v>46129</v>
      </c>
      <c r="J1086" s="75">
        <v>46144</v>
      </c>
      <c r="K1086" s="25">
        <f t="shared" si="355"/>
        <v>29</v>
      </c>
      <c r="L1086" s="25">
        <v>13.27</v>
      </c>
      <c r="M1086" s="25">
        <v>11.58</v>
      </c>
      <c r="N1086" s="25">
        <f t="shared" si="353"/>
        <v>1.6899999999999995</v>
      </c>
      <c r="O1086" s="25" t="s">
        <v>545</v>
      </c>
    </row>
    <row r="1087" spans="1:15" x14ac:dyDescent="0.25">
      <c r="A1087" s="75">
        <v>46114</v>
      </c>
      <c r="B1087" s="25" t="s">
        <v>528</v>
      </c>
      <c r="C1087" s="25" t="s">
        <v>573</v>
      </c>
      <c r="D1087" s="75">
        <f t="shared" si="327"/>
        <v>46137</v>
      </c>
      <c r="E1087" s="75">
        <f t="shared" si="328"/>
        <v>46121</v>
      </c>
      <c r="F1087" s="75">
        <f t="shared" si="329"/>
        <v>46128</v>
      </c>
      <c r="G1087" s="75">
        <f t="shared" si="330"/>
        <v>46134</v>
      </c>
      <c r="H1087" s="75">
        <f t="shared" si="331"/>
        <v>46122</v>
      </c>
      <c r="I1087" s="75">
        <f t="shared" si="332"/>
        <v>46129</v>
      </c>
      <c r="J1087" s="75">
        <v>46145</v>
      </c>
      <c r="K1087" s="25">
        <f t="shared" si="355"/>
        <v>30</v>
      </c>
      <c r="L1087" s="25">
        <v>12.41</v>
      </c>
      <c r="M1087" s="25">
        <v>10.58</v>
      </c>
      <c r="N1087" s="25">
        <f t="shared" si="353"/>
        <v>1.83</v>
      </c>
      <c r="O1087" s="25" t="s">
        <v>545</v>
      </c>
    </row>
    <row r="1088" spans="1:15" x14ac:dyDescent="0.25">
      <c r="A1088" s="75">
        <v>46114</v>
      </c>
      <c r="B1088" s="25" t="s">
        <v>529</v>
      </c>
      <c r="C1088" s="25" t="s">
        <v>574</v>
      </c>
      <c r="D1088" s="75">
        <f t="shared" si="327"/>
        <v>46137</v>
      </c>
      <c r="E1088" s="75">
        <f t="shared" si="328"/>
        <v>46121</v>
      </c>
      <c r="F1088" s="75">
        <f t="shared" si="329"/>
        <v>46128</v>
      </c>
      <c r="G1088" s="75">
        <f t="shared" si="330"/>
        <v>46134</v>
      </c>
      <c r="H1088" s="75">
        <f t="shared" si="331"/>
        <v>46122</v>
      </c>
      <c r="I1088" s="75">
        <f t="shared" si="332"/>
        <v>46129</v>
      </c>
      <c r="J1088" s="75">
        <v>46145</v>
      </c>
      <c r="K1088" s="25">
        <f t="shared" ref="K1088" si="356">J1088-A1095</f>
        <v>30</v>
      </c>
      <c r="L1088" s="25">
        <v>8.3000000000000007</v>
      </c>
      <c r="M1088" s="25">
        <v>5.32</v>
      </c>
      <c r="N1088" s="25">
        <f t="shared" si="353"/>
        <v>2.9800000000000004</v>
      </c>
      <c r="O1088" s="25" t="s">
        <v>545</v>
      </c>
    </row>
    <row r="1089" spans="1:15" x14ac:dyDescent="0.25">
      <c r="A1089" s="75">
        <v>46114</v>
      </c>
      <c r="B1089" s="25" t="s">
        <v>530</v>
      </c>
      <c r="C1089" s="25" t="s">
        <v>575</v>
      </c>
      <c r="D1089" s="75">
        <f t="shared" si="327"/>
        <v>46137</v>
      </c>
      <c r="E1089" s="75">
        <f t="shared" si="328"/>
        <v>46121</v>
      </c>
      <c r="F1089" s="75">
        <f t="shared" si="329"/>
        <v>46128</v>
      </c>
      <c r="G1089" s="75">
        <f t="shared" si="330"/>
        <v>46134</v>
      </c>
      <c r="H1089" s="75">
        <f t="shared" si="331"/>
        <v>46122</v>
      </c>
      <c r="I1089" s="75">
        <f t="shared" si="332"/>
        <v>46129</v>
      </c>
      <c r="J1089" s="75">
        <v>46145</v>
      </c>
      <c r="K1089" s="25">
        <f t="shared" ref="K1089" si="357">J1089-A1096</f>
        <v>30</v>
      </c>
      <c r="L1089" s="25">
        <v>9.1199999999999992</v>
      </c>
      <c r="M1089" s="25">
        <v>6.72</v>
      </c>
      <c r="N1089" s="25">
        <f t="shared" si="353"/>
        <v>2.3999999999999995</v>
      </c>
      <c r="O1089" s="25" t="s">
        <v>545</v>
      </c>
    </row>
    <row r="1090" spans="1:15" x14ac:dyDescent="0.25">
      <c r="A1090" s="75">
        <v>46114</v>
      </c>
      <c r="B1090" s="25" t="s">
        <v>558</v>
      </c>
      <c r="C1090" s="25" t="s">
        <v>576</v>
      </c>
      <c r="D1090" s="75">
        <f t="shared" si="327"/>
        <v>46137</v>
      </c>
      <c r="E1090" s="75">
        <f t="shared" si="328"/>
        <v>46121</v>
      </c>
      <c r="F1090" s="75">
        <f t="shared" si="329"/>
        <v>46128</v>
      </c>
      <c r="G1090" s="75">
        <f t="shared" si="330"/>
        <v>46134</v>
      </c>
      <c r="H1090" s="75">
        <f t="shared" si="331"/>
        <v>46122</v>
      </c>
      <c r="I1090" s="75">
        <f t="shared" si="332"/>
        <v>46129</v>
      </c>
      <c r="J1090" s="75">
        <v>46145</v>
      </c>
      <c r="K1090" s="25">
        <f t="shared" ref="K1090" si="358">J1090-A1097</f>
        <v>30</v>
      </c>
      <c r="L1090" s="25">
        <v>10.85</v>
      </c>
      <c r="M1090" s="25">
        <v>9.2200000000000006</v>
      </c>
      <c r="N1090" s="25">
        <f t="shared" ref="N1090" si="359">L1090-M1090</f>
        <v>1.629999999999999</v>
      </c>
      <c r="O1090" s="25" t="s">
        <v>545</v>
      </c>
    </row>
    <row r="1091" spans="1:15" x14ac:dyDescent="0.25">
      <c r="A1091" s="75">
        <v>46115</v>
      </c>
      <c r="B1091" s="25" t="s">
        <v>373</v>
      </c>
      <c r="C1091" s="25" t="s">
        <v>584</v>
      </c>
      <c r="D1091" s="75">
        <f t="shared" si="327"/>
        <v>46138</v>
      </c>
      <c r="E1091" s="75">
        <f t="shared" si="328"/>
        <v>46122</v>
      </c>
      <c r="F1091" s="75">
        <f t="shared" si="329"/>
        <v>46129</v>
      </c>
      <c r="G1091" s="75">
        <f t="shared" si="330"/>
        <v>46135</v>
      </c>
      <c r="H1091" s="75">
        <f t="shared" si="331"/>
        <v>46123</v>
      </c>
      <c r="I1091" s="75">
        <f t="shared" si="332"/>
        <v>46130</v>
      </c>
      <c r="J1091" s="75">
        <v>46149</v>
      </c>
      <c r="K1091" s="25">
        <f t="shared" ref="K1091:K1092" si="360">J1091-A1091</f>
        <v>34</v>
      </c>
      <c r="L1091" s="25">
        <v>12.35</v>
      </c>
      <c r="M1091" s="25">
        <v>10.28</v>
      </c>
      <c r="N1091" s="25">
        <f t="shared" ref="N1091:N1092" si="361">L1091-M1091</f>
        <v>2.0700000000000003</v>
      </c>
      <c r="O1091" s="25" t="s">
        <v>545</v>
      </c>
    </row>
    <row r="1092" spans="1:15" x14ac:dyDescent="0.25">
      <c r="A1092" s="75">
        <v>46115</v>
      </c>
      <c r="B1092" s="25" t="s">
        <v>374</v>
      </c>
      <c r="C1092" s="25" t="s">
        <v>585</v>
      </c>
      <c r="D1092" s="75">
        <f t="shared" si="327"/>
        <v>46138</v>
      </c>
      <c r="E1092" s="75">
        <f t="shared" si="328"/>
        <v>46122</v>
      </c>
      <c r="F1092" s="75">
        <f t="shared" si="329"/>
        <v>46129</v>
      </c>
      <c r="G1092" s="75">
        <f t="shared" si="330"/>
        <v>46135</v>
      </c>
      <c r="H1092" s="75">
        <f t="shared" si="331"/>
        <v>46123</v>
      </c>
      <c r="I1092" s="75">
        <f t="shared" si="332"/>
        <v>46130</v>
      </c>
      <c r="J1092" s="75">
        <v>46149</v>
      </c>
      <c r="K1092" s="25">
        <f t="shared" si="360"/>
        <v>34</v>
      </c>
      <c r="L1092" s="25">
        <v>13.42</v>
      </c>
      <c r="M1092" s="25">
        <v>11.25</v>
      </c>
      <c r="N1092" s="25">
        <f t="shared" si="361"/>
        <v>2.17</v>
      </c>
      <c r="O1092" s="25" t="s">
        <v>545</v>
      </c>
    </row>
    <row r="1093" spans="1:15" x14ac:dyDescent="0.25">
      <c r="A1093" s="75">
        <v>46115</v>
      </c>
      <c r="B1093" s="25" t="s">
        <v>375</v>
      </c>
      <c r="C1093" s="25" t="s">
        <v>586</v>
      </c>
      <c r="D1093" s="75">
        <f t="shared" si="327"/>
        <v>46138</v>
      </c>
      <c r="E1093" s="75">
        <f t="shared" si="328"/>
        <v>46122</v>
      </c>
      <c r="F1093" s="75">
        <f t="shared" si="329"/>
        <v>46129</v>
      </c>
      <c r="G1093" s="75">
        <f t="shared" si="330"/>
        <v>46135</v>
      </c>
      <c r="H1093" s="75">
        <f t="shared" si="331"/>
        <v>46123</v>
      </c>
      <c r="I1093" s="75">
        <f t="shared" si="332"/>
        <v>46130</v>
      </c>
      <c r="J1093" s="75">
        <v>46148</v>
      </c>
      <c r="K1093" s="25">
        <f t="shared" ref="K1093:K1095" si="362">J1093-A1093</f>
        <v>33</v>
      </c>
      <c r="L1093" s="25">
        <v>15.21</v>
      </c>
      <c r="M1093" s="25">
        <v>13.15</v>
      </c>
      <c r="N1093" s="25">
        <f t="shared" ref="N1093:N1097" si="363">L1093-M1093</f>
        <v>2.0600000000000005</v>
      </c>
      <c r="O1093" s="25" t="s">
        <v>545</v>
      </c>
    </row>
    <row r="1094" spans="1:15" x14ac:dyDescent="0.25">
      <c r="A1094" s="75">
        <v>46115</v>
      </c>
      <c r="B1094" s="25" t="s">
        <v>376</v>
      </c>
      <c r="C1094" s="25" t="s">
        <v>587</v>
      </c>
      <c r="D1094" s="75">
        <f t="shared" si="327"/>
        <v>46138</v>
      </c>
      <c r="E1094" s="75">
        <f t="shared" si="328"/>
        <v>46122</v>
      </c>
      <c r="F1094" s="75">
        <f t="shared" si="329"/>
        <v>46129</v>
      </c>
      <c r="G1094" s="75">
        <f t="shared" si="330"/>
        <v>46135</v>
      </c>
      <c r="H1094" s="75">
        <f t="shared" si="331"/>
        <v>46123</v>
      </c>
      <c r="I1094" s="75">
        <f t="shared" si="332"/>
        <v>46130</v>
      </c>
      <c r="J1094" s="75">
        <v>46148</v>
      </c>
      <c r="K1094" s="25">
        <f t="shared" si="362"/>
        <v>33</v>
      </c>
      <c r="L1094" s="25">
        <v>14.08</v>
      </c>
      <c r="M1094" s="25">
        <v>12.17</v>
      </c>
      <c r="N1094" s="25">
        <f t="shared" si="363"/>
        <v>1.9100000000000001</v>
      </c>
      <c r="O1094" s="25" t="s">
        <v>545</v>
      </c>
    </row>
    <row r="1095" spans="1:15" x14ac:dyDescent="0.25">
      <c r="A1095" s="75">
        <v>46115</v>
      </c>
      <c r="B1095" s="25" t="s">
        <v>377</v>
      </c>
      <c r="C1095" s="25" t="s">
        <v>588</v>
      </c>
      <c r="D1095" s="75">
        <f t="shared" si="327"/>
        <v>46138</v>
      </c>
      <c r="E1095" s="75">
        <f t="shared" si="328"/>
        <v>46122</v>
      </c>
      <c r="F1095" s="75">
        <f t="shared" si="329"/>
        <v>46129</v>
      </c>
      <c r="G1095" s="75">
        <f t="shared" si="330"/>
        <v>46135</v>
      </c>
      <c r="H1095" s="75">
        <f t="shared" si="331"/>
        <v>46123</v>
      </c>
      <c r="I1095" s="75">
        <f t="shared" si="332"/>
        <v>46130</v>
      </c>
      <c r="J1095" s="75">
        <v>46148</v>
      </c>
      <c r="K1095" s="25">
        <f t="shared" si="362"/>
        <v>33</v>
      </c>
      <c r="L1095" s="25">
        <v>15.27</v>
      </c>
      <c r="M1095" s="25">
        <v>13.24</v>
      </c>
      <c r="N1095" s="25">
        <f t="shared" si="363"/>
        <v>2.0299999999999994</v>
      </c>
      <c r="O1095" s="25" t="s">
        <v>545</v>
      </c>
    </row>
    <row r="1096" spans="1:15" x14ac:dyDescent="0.25">
      <c r="A1096" s="75">
        <v>46115</v>
      </c>
      <c r="B1096" s="25" t="s">
        <v>378</v>
      </c>
      <c r="C1096" s="25" t="s">
        <v>589</v>
      </c>
      <c r="D1096" s="75">
        <f t="shared" si="327"/>
        <v>46138</v>
      </c>
      <c r="E1096" s="75">
        <f t="shared" si="328"/>
        <v>46122</v>
      </c>
      <c r="F1096" s="75">
        <f t="shared" si="329"/>
        <v>46129</v>
      </c>
      <c r="G1096" s="75">
        <f t="shared" si="330"/>
        <v>46135</v>
      </c>
      <c r="H1096" s="75">
        <f t="shared" si="331"/>
        <v>46123</v>
      </c>
      <c r="I1096" s="75">
        <f t="shared" si="332"/>
        <v>46130</v>
      </c>
      <c r="J1096" s="75">
        <v>46148</v>
      </c>
      <c r="K1096" s="25">
        <f t="shared" ref="K1096" si="364">J1096-A1096</f>
        <v>33</v>
      </c>
      <c r="L1096" s="25">
        <v>13.19</v>
      </c>
      <c r="M1096" s="25">
        <v>11.48</v>
      </c>
      <c r="N1096" s="25">
        <f t="shared" si="363"/>
        <v>1.7099999999999991</v>
      </c>
      <c r="O1096" s="25" t="s">
        <v>545</v>
      </c>
    </row>
    <row r="1097" spans="1:15" x14ac:dyDescent="0.25">
      <c r="A1097" s="75">
        <v>46115</v>
      </c>
      <c r="B1097" s="25" t="s">
        <v>379</v>
      </c>
      <c r="C1097" s="25" t="s">
        <v>590</v>
      </c>
      <c r="D1097" s="75">
        <f t="shared" si="327"/>
        <v>46138</v>
      </c>
      <c r="E1097" s="75">
        <f t="shared" si="328"/>
        <v>46122</v>
      </c>
      <c r="F1097" s="75">
        <f t="shared" si="329"/>
        <v>46129</v>
      </c>
      <c r="G1097" s="75">
        <f t="shared" si="330"/>
        <v>46135</v>
      </c>
      <c r="H1097" s="75">
        <f t="shared" si="331"/>
        <v>46123</v>
      </c>
      <c r="I1097" s="75">
        <f t="shared" si="332"/>
        <v>46130</v>
      </c>
      <c r="J1097" s="75">
        <v>46148</v>
      </c>
      <c r="K1097" s="25">
        <f t="shared" ref="K1097:K1099" si="365">J1097-A1097</f>
        <v>33</v>
      </c>
      <c r="L1097" s="25">
        <v>14.52</v>
      </c>
      <c r="M1097" s="25">
        <v>12.37</v>
      </c>
      <c r="N1097" s="25">
        <f t="shared" si="363"/>
        <v>2.1500000000000004</v>
      </c>
      <c r="O1097" s="25" t="s">
        <v>545</v>
      </c>
    </row>
    <row r="1098" spans="1:15" x14ac:dyDescent="0.25">
      <c r="A1098" s="75">
        <v>46116</v>
      </c>
      <c r="B1098" s="25" t="s">
        <v>403</v>
      </c>
      <c r="C1098" s="25" t="s">
        <v>591</v>
      </c>
      <c r="D1098" s="75">
        <f t="shared" si="327"/>
        <v>46139</v>
      </c>
      <c r="E1098" s="75">
        <f t="shared" si="328"/>
        <v>46123</v>
      </c>
      <c r="F1098" s="75">
        <f t="shared" si="329"/>
        <v>46130</v>
      </c>
      <c r="G1098" s="75">
        <f t="shared" si="330"/>
        <v>46136</v>
      </c>
      <c r="H1098" s="75">
        <f t="shared" si="331"/>
        <v>46124</v>
      </c>
      <c r="I1098" s="75">
        <f t="shared" si="332"/>
        <v>46131</v>
      </c>
      <c r="J1098" s="75">
        <v>46150</v>
      </c>
      <c r="K1098" s="25">
        <f t="shared" si="365"/>
        <v>34</v>
      </c>
      <c r="L1098" s="25">
        <v>14.31</v>
      </c>
      <c r="M1098" s="25">
        <v>12.47</v>
      </c>
      <c r="N1098" s="25">
        <f t="shared" ref="N1098:N1100" si="366">L1098-M1098</f>
        <v>1.8399999999999999</v>
      </c>
      <c r="O1098" s="25" t="s">
        <v>545</v>
      </c>
    </row>
    <row r="1099" spans="1:15" x14ac:dyDescent="0.25">
      <c r="A1099" s="75">
        <v>46116</v>
      </c>
      <c r="B1099" s="25" t="s">
        <v>404</v>
      </c>
      <c r="C1099" s="25" t="s">
        <v>592</v>
      </c>
      <c r="D1099" s="75">
        <f t="shared" si="327"/>
        <v>46139</v>
      </c>
      <c r="E1099" s="75">
        <f t="shared" si="328"/>
        <v>46123</v>
      </c>
      <c r="F1099" s="75">
        <f t="shared" si="329"/>
        <v>46130</v>
      </c>
      <c r="G1099" s="75">
        <f t="shared" si="330"/>
        <v>46136</v>
      </c>
      <c r="H1099" s="75">
        <f t="shared" si="331"/>
        <v>46124</v>
      </c>
      <c r="I1099" s="75">
        <f t="shared" si="332"/>
        <v>46131</v>
      </c>
      <c r="J1099" s="75">
        <v>46150</v>
      </c>
      <c r="K1099" s="25">
        <f t="shared" si="365"/>
        <v>34</v>
      </c>
      <c r="L1099" s="25">
        <v>13.48</v>
      </c>
      <c r="M1099" s="25">
        <v>11.35</v>
      </c>
      <c r="N1099" s="25">
        <f t="shared" si="366"/>
        <v>2.1300000000000008</v>
      </c>
      <c r="O1099" s="25" t="s">
        <v>545</v>
      </c>
    </row>
    <row r="1100" spans="1:15" x14ac:dyDescent="0.25">
      <c r="A1100" s="75">
        <v>46116</v>
      </c>
      <c r="B1100" s="25" t="s">
        <v>405</v>
      </c>
      <c r="C1100" s="25" t="s">
        <v>593</v>
      </c>
      <c r="D1100" s="75">
        <f t="shared" si="327"/>
        <v>46139</v>
      </c>
      <c r="E1100" s="75">
        <f t="shared" si="328"/>
        <v>46123</v>
      </c>
      <c r="F1100" s="75">
        <f t="shared" si="329"/>
        <v>46130</v>
      </c>
      <c r="G1100" s="75">
        <f t="shared" si="330"/>
        <v>46136</v>
      </c>
      <c r="H1100" s="75">
        <f t="shared" si="331"/>
        <v>46124</v>
      </c>
      <c r="I1100" s="75">
        <f t="shared" si="332"/>
        <v>46131</v>
      </c>
      <c r="J1100" s="75">
        <v>46149</v>
      </c>
      <c r="K1100" s="25">
        <f t="shared" ref="K1100:K1163" si="367">J1100-A1100</f>
        <v>33</v>
      </c>
      <c r="L1100" s="25">
        <v>14.36</v>
      </c>
      <c r="M1100" s="25">
        <v>12.52</v>
      </c>
      <c r="N1100" s="25">
        <f t="shared" si="366"/>
        <v>1.8399999999999999</v>
      </c>
      <c r="O1100" s="25" t="s">
        <v>545</v>
      </c>
    </row>
    <row r="1101" spans="1:15" x14ac:dyDescent="0.25">
      <c r="A1101" s="75">
        <v>46116</v>
      </c>
      <c r="B1101" s="25" t="s">
        <v>406</v>
      </c>
      <c r="C1101" s="25" t="s">
        <v>594</v>
      </c>
      <c r="D1101" s="75">
        <f t="shared" si="327"/>
        <v>46139</v>
      </c>
      <c r="E1101" s="75">
        <f t="shared" si="328"/>
        <v>46123</v>
      </c>
      <c r="F1101" s="75">
        <f t="shared" si="329"/>
        <v>46130</v>
      </c>
      <c r="G1101" s="75">
        <f t="shared" si="330"/>
        <v>46136</v>
      </c>
      <c r="H1101" s="75">
        <f t="shared" si="331"/>
        <v>46124</v>
      </c>
      <c r="I1101" s="75">
        <f t="shared" si="332"/>
        <v>46131</v>
      </c>
      <c r="J1101" s="75">
        <v>46149</v>
      </c>
      <c r="K1101" s="25">
        <f t="shared" si="367"/>
        <v>33</v>
      </c>
      <c r="L1101" s="25">
        <v>14.51</v>
      </c>
      <c r="M1101" s="25">
        <v>12.37</v>
      </c>
      <c r="N1101" s="25">
        <f t="shared" ref="N1101:N1164" si="368">L1101-M1101</f>
        <v>2.1400000000000006</v>
      </c>
      <c r="O1101" s="25" t="s">
        <v>545</v>
      </c>
    </row>
    <row r="1102" spans="1:15" x14ac:dyDescent="0.25">
      <c r="A1102" s="75">
        <v>46116</v>
      </c>
      <c r="B1102" s="25" t="s">
        <v>407</v>
      </c>
      <c r="C1102" s="25" t="s">
        <v>595</v>
      </c>
      <c r="D1102" s="75">
        <f t="shared" si="327"/>
        <v>46139</v>
      </c>
      <c r="E1102" s="75">
        <f t="shared" si="328"/>
        <v>46123</v>
      </c>
      <c r="F1102" s="75">
        <f t="shared" si="329"/>
        <v>46130</v>
      </c>
      <c r="G1102" s="75">
        <f t="shared" si="330"/>
        <v>46136</v>
      </c>
      <c r="H1102" s="75">
        <f t="shared" si="331"/>
        <v>46124</v>
      </c>
      <c r="I1102" s="75">
        <f t="shared" si="332"/>
        <v>46131</v>
      </c>
      <c r="J1102" s="75">
        <v>46149</v>
      </c>
      <c r="K1102" s="25">
        <f t="shared" si="367"/>
        <v>33</v>
      </c>
      <c r="L1102" s="25">
        <v>12.2</v>
      </c>
      <c r="M1102" s="25">
        <v>11.58</v>
      </c>
      <c r="N1102" s="25">
        <f t="shared" si="368"/>
        <v>0.61999999999999922</v>
      </c>
      <c r="O1102" s="25" t="s">
        <v>545</v>
      </c>
    </row>
    <row r="1103" spans="1:15" x14ac:dyDescent="0.25">
      <c r="A1103" s="75">
        <v>46116</v>
      </c>
      <c r="B1103" s="25" t="s">
        <v>408</v>
      </c>
      <c r="C1103" s="25" t="s">
        <v>596</v>
      </c>
      <c r="D1103" s="75">
        <f t="shared" si="327"/>
        <v>46139</v>
      </c>
      <c r="E1103" s="75">
        <f t="shared" si="328"/>
        <v>46123</v>
      </c>
      <c r="F1103" s="75">
        <f t="shared" si="329"/>
        <v>46130</v>
      </c>
      <c r="G1103" s="75">
        <f t="shared" si="330"/>
        <v>46136</v>
      </c>
      <c r="H1103" s="75">
        <f t="shared" si="331"/>
        <v>46124</v>
      </c>
      <c r="I1103" s="75">
        <f t="shared" si="332"/>
        <v>46131</v>
      </c>
      <c r="J1103" s="75">
        <v>46149</v>
      </c>
      <c r="K1103" s="25">
        <f t="shared" si="367"/>
        <v>33</v>
      </c>
      <c r="L1103" s="25">
        <v>14.58</v>
      </c>
      <c r="M1103" s="25">
        <v>12.11</v>
      </c>
      <c r="N1103" s="25">
        <f t="shared" si="368"/>
        <v>2.4700000000000006</v>
      </c>
      <c r="O1103" s="25" t="s">
        <v>545</v>
      </c>
    </row>
    <row r="1104" spans="1:15" x14ac:dyDescent="0.25">
      <c r="A1104" s="75">
        <v>46116</v>
      </c>
      <c r="B1104" s="25" t="s">
        <v>409</v>
      </c>
      <c r="C1104" s="25" t="s">
        <v>597</v>
      </c>
      <c r="D1104" s="75">
        <f t="shared" si="327"/>
        <v>46139</v>
      </c>
      <c r="E1104" s="75">
        <f t="shared" si="328"/>
        <v>46123</v>
      </c>
      <c r="F1104" s="75">
        <f t="shared" si="329"/>
        <v>46130</v>
      </c>
      <c r="G1104" s="75">
        <f t="shared" si="330"/>
        <v>46136</v>
      </c>
      <c r="H1104" s="75">
        <f t="shared" si="331"/>
        <v>46124</v>
      </c>
      <c r="I1104" s="75">
        <f t="shared" si="332"/>
        <v>46131</v>
      </c>
      <c r="J1104" s="75">
        <v>46149</v>
      </c>
      <c r="K1104" s="25">
        <f t="shared" si="367"/>
        <v>33</v>
      </c>
      <c r="L1104" s="25">
        <v>13.41</v>
      </c>
      <c r="M1104" s="25">
        <v>12.35</v>
      </c>
      <c r="N1104" s="25">
        <f t="shared" si="368"/>
        <v>1.0600000000000005</v>
      </c>
      <c r="O1104" s="25" t="s">
        <v>545</v>
      </c>
    </row>
    <row r="1105" spans="1:15" x14ac:dyDescent="0.25">
      <c r="A1105" s="75">
        <v>46117</v>
      </c>
      <c r="B1105" s="25" t="s">
        <v>366</v>
      </c>
      <c r="C1105" s="25" t="s">
        <v>598</v>
      </c>
      <c r="D1105" s="75">
        <f t="shared" si="327"/>
        <v>46140</v>
      </c>
      <c r="E1105" s="75">
        <f t="shared" si="328"/>
        <v>46124</v>
      </c>
      <c r="F1105" s="75">
        <f t="shared" si="329"/>
        <v>46131</v>
      </c>
      <c r="G1105" s="75">
        <f t="shared" si="330"/>
        <v>46137</v>
      </c>
      <c r="H1105" s="75">
        <f t="shared" si="331"/>
        <v>46125</v>
      </c>
      <c r="I1105" s="75">
        <f t="shared" si="332"/>
        <v>46132</v>
      </c>
      <c r="J1105" s="75">
        <v>46151</v>
      </c>
      <c r="K1105" s="25">
        <f t="shared" si="367"/>
        <v>34</v>
      </c>
      <c r="L1105" s="25">
        <v>14.05</v>
      </c>
      <c r="M1105" s="25">
        <v>12.1</v>
      </c>
      <c r="N1105" s="25">
        <f t="shared" si="368"/>
        <v>1.9500000000000011</v>
      </c>
      <c r="O1105" s="25" t="s">
        <v>545</v>
      </c>
    </row>
    <row r="1106" spans="1:15" x14ac:dyDescent="0.25">
      <c r="A1106" s="75">
        <v>46117</v>
      </c>
      <c r="B1106" s="25" t="s">
        <v>367</v>
      </c>
      <c r="C1106" s="25" t="s">
        <v>599</v>
      </c>
      <c r="D1106" s="75">
        <f t="shared" si="327"/>
        <v>46140</v>
      </c>
      <c r="E1106" s="75">
        <f t="shared" si="328"/>
        <v>46124</v>
      </c>
      <c r="F1106" s="75">
        <f t="shared" si="329"/>
        <v>46131</v>
      </c>
      <c r="G1106" s="75">
        <f t="shared" si="330"/>
        <v>46137</v>
      </c>
      <c r="H1106" s="75">
        <f t="shared" si="331"/>
        <v>46125</v>
      </c>
      <c r="I1106" s="75">
        <f t="shared" si="332"/>
        <v>46132</v>
      </c>
      <c r="J1106" s="75">
        <v>46150</v>
      </c>
      <c r="K1106" s="25">
        <f t="shared" si="367"/>
        <v>33</v>
      </c>
      <c r="L1106" s="25">
        <v>13.52</v>
      </c>
      <c r="M1106" s="25">
        <v>12.35</v>
      </c>
      <c r="N1106" s="25">
        <f t="shared" si="368"/>
        <v>1.17</v>
      </c>
      <c r="O1106" s="25" t="s">
        <v>545</v>
      </c>
    </row>
    <row r="1107" spans="1:15" x14ac:dyDescent="0.25">
      <c r="A1107" s="75">
        <v>46117</v>
      </c>
      <c r="B1107" s="25" t="s">
        <v>368</v>
      </c>
      <c r="C1107" s="25" t="s">
        <v>600</v>
      </c>
      <c r="D1107" s="75">
        <f t="shared" ref="D1107:D1170" si="369">A1107+23</f>
        <v>46140</v>
      </c>
      <c r="E1107" s="75">
        <f t="shared" ref="E1107:E1170" si="370">A1107+7</f>
        <v>46124</v>
      </c>
      <c r="F1107" s="75">
        <f t="shared" ref="F1107:F1170" si="371">A1107+14</f>
        <v>46131</v>
      </c>
      <c r="G1107" s="75">
        <f t="shared" ref="G1107:G1170" si="372">A1107+20</f>
        <v>46137</v>
      </c>
      <c r="H1107" s="75">
        <f t="shared" ref="H1107:H1170" si="373">A1107+8</f>
        <v>46125</v>
      </c>
      <c r="I1107" s="75">
        <f t="shared" ref="I1107:I1170" si="374">A1107+15</f>
        <v>46132</v>
      </c>
      <c r="J1107" s="75">
        <v>46150</v>
      </c>
      <c r="K1107" s="25">
        <f t="shared" si="367"/>
        <v>33</v>
      </c>
      <c r="L1107" s="25">
        <v>14.81</v>
      </c>
      <c r="M1107" s="25">
        <v>12.16</v>
      </c>
      <c r="N1107" s="25">
        <f t="shared" si="368"/>
        <v>2.6500000000000004</v>
      </c>
      <c r="O1107" s="25" t="s">
        <v>545</v>
      </c>
    </row>
    <row r="1108" spans="1:15" x14ac:dyDescent="0.25">
      <c r="A1108" s="75">
        <v>46117</v>
      </c>
      <c r="B1108" s="25" t="s">
        <v>369</v>
      </c>
      <c r="C1108" s="25" t="s">
        <v>601</v>
      </c>
      <c r="D1108" s="75">
        <f t="shared" si="369"/>
        <v>46140</v>
      </c>
      <c r="E1108" s="75">
        <f t="shared" si="370"/>
        <v>46124</v>
      </c>
      <c r="F1108" s="75">
        <f t="shared" si="371"/>
        <v>46131</v>
      </c>
      <c r="G1108" s="75">
        <f t="shared" si="372"/>
        <v>46137</v>
      </c>
      <c r="H1108" s="75">
        <f t="shared" si="373"/>
        <v>46125</v>
      </c>
      <c r="I1108" s="75">
        <f t="shared" si="374"/>
        <v>46132</v>
      </c>
      <c r="J1108" s="75">
        <v>46150</v>
      </c>
      <c r="K1108" s="25">
        <f t="shared" si="367"/>
        <v>33</v>
      </c>
      <c r="L1108" s="25">
        <v>14.71</v>
      </c>
      <c r="M1108" s="25">
        <v>13.53</v>
      </c>
      <c r="N1108" s="25">
        <f t="shared" si="368"/>
        <v>1.1800000000000015</v>
      </c>
      <c r="O1108" s="25" t="s">
        <v>545</v>
      </c>
    </row>
    <row r="1109" spans="1:15" x14ac:dyDescent="0.25">
      <c r="A1109" s="75">
        <v>46117</v>
      </c>
      <c r="B1109" s="25" t="s">
        <v>370</v>
      </c>
      <c r="C1109" s="25" t="s">
        <v>602</v>
      </c>
      <c r="D1109" s="75">
        <f t="shared" si="369"/>
        <v>46140</v>
      </c>
      <c r="E1109" s="75">
        <f t="shared" si="370"/>
        <v>46124</v>
      </c>
      <c r="F1109" s="75">
        <f t="shared" si="371"/>
        <v>46131</v>
      </c>
      <c r="G1109" s="75">
        <f t="shared" si="372"/>
        <v>46137</v>
      </c>
      <c r="H1109" s="75">
        <f t="shared" si="373"/>
        <v>46125</v>
      </c>
      <c r="I1109" s="75">
        <f t="shared" si="374"/>
        <v>46132</v>
      </c>
      <c r="J1109" s="75">
        <v>46150</v>
      </c>
      <c r="K1109" s="25">
        <f t="shared" si="367"/>
        <v>33</v>
      </c>
      <c r="L1109" s="25">
        <v>15.52</v>
      </c>
      <c r="M1109" s="25">
        <v>13.47</v>
      </c>
      <c r="N1109" s="25">
        <f t="shared" si="368"/>
        <v>2.0499999999999989</v>
      </c>
      <c r="O1109" s="25" t="s">
        <v>545</v>
      </c>
    </row>
    <row r="1110" spans="1:15" x14ac:dyDescent="0.25">
      <c r="A1110" s="75">
        <v>46117</v>
      </c>
      <c r="B1110" s="25" t="s">
        <v>371</v>
      </c>
      <c r="C1110" s="25" t="s">
        <v>603</v>
      </c>
      <c r="D1110" s="75">
        <f t="shared" si="369"/>
        <v>46140</v>
      </c>
      <c r="E1110" s="75">
        <f t="shared" si="370"/>
        <v>46124</v>
      </c>
      <c r="F1110" s="75">
        <f t="shared" si="371"/>
        <v>46131</v>
      </c>
      <c r="G1110" s="75">
        <f t="shared" si="372"/>
        <v>46137</v>
      </c>
      <c r="H1110" s="75">
        <f t="shared" si="373"/>
        <v>46125</v>
      </c>
      <c r="I1110" s="75">
        <f t="shared" si="374"/>
        <v>46132</v>
      </c>
      <c r="J1110" s="75">
        <v>46150</v>
      </c>
      <c r="K1110" s="25">
        <f t="shared" si="367"/>
        <v>33</v>
      </c>
      <c r="L1110" s="25">
        <v>13.36</v>
      </c>
      <c r="M1110" s="25">
        <v>12.56</v>
      </c>
      <c r="N1110" s="25">
        <f t="shared" si="368"/>
        <v>0.79999999999999893</v>
      </c>
      <c r="O1110" s="25" t="s">
        <v>545</v>
      </c>
    </row>
    <row r="1111" spans="1:15" x14ac:dyDescent="0.25">
      <c r="A1111" s="75">
        <v>46117</v>
      </c>
      <c r="B1111" s="25" t="s">
        <v>372</v>
      </c>
      <c r="C1111" s="25" t="s">
        <v>604</v>
      </c>
      <c r="D1111" s="75">
        <f t="shared" si="369"/>
        <v>46140</v>
      </c>
      <c r="E1111" s="75">
        <f t="shared" si="370"/>
        <v>46124</v>
      </c>
      <c r="F1111" s="75">
        <f t="shared" si="371"/>
        <v>46131</v>
      </c>
      <c r="G1111" s="75">
        <f t="shared" si="372"/>
        <v>46137</v>
      </c>
      <c r="H1111" s="75">
        <f t="shared" si="373"/>
        <v>46125</v>
      </c>
      <c r="I1111" s="75">
        <f t="shared" si="374"/>
        <v>46132</v>
      </c>
      <c r="J1111" s="75">
        <v>46150</v>
      </c>
      <c r="K1111" s="25">
        <f t="shared" si="367"/>
        <v>33</v>
      </c>
      <c r="L1111" s="25">
        <v>12.64</v>
      </c>
      <c r="M1111" s="25">
        <v>11.58</v>
      </c>
      <c r="N1111" s="25">
        <f t="shared" si="368"/>
        <v>1.0600000000000005</v>
      </c>
      <c r="O1111" s="25" t="s">
        <v>545</v>
      </c>
    </row>
    <row r="1112" spans="1:15" x14ac:dyDescent="0.25">
      <c r="A1112" s="75">
        <v>46118</v>
      </c>
      <c r="B1112" s="25" t="s">
        <v>396</v>
      </c>
      <c r="C1112" s="25" t="s">
        <v>614</v>
      </c>
      <c r="D1112" s="75">
        <f t="shared" si="369"/>
        <v>46141</v>
      </c>
      <c r="E1112" s="75">
        <f t="shared" si="370"/>
        <v>46125</v>
      </c>
      <c r="F1112" s="75">
        <f t="shared" si="371"/>
        <v>46132</v>
      </c>
      <c r="G1112" s="75">
        <f t="shared" si="372"/>
        <v>46138</v>
      </c>
      <c r="H1112" s="75">
        <f t="shared" si="373"/>
        <v>46126</v>
      </c>
      <c r="I1112" s="75">
        <f t="shared" si="374"/>
        <v>46133</v>
      </c>
      <c r="J1112" s="75">
        <v>46151</v>
      </c>
      <c r="K1112" s="25">
        <f t="shared" si="367"/>
        <v>33</v>
      </c>
      <c r="L1112" s="25">
        <v>14.35</v>
      </c>
      <c r="M1112" s="25">
        <v>12.41</v>
      </c>
      <c r="N1112" s="25">
        <f t="shared" si="368"/>
        <v>1.9399999999999995</v>
      </c>
      <c r="O1112" s="25" t="s">
        <v>545</v>
      </c>
    </row>
    <row r="1113" spans="1:15" x14ac:dyDescent="0.25">
      <c r="A1113" s="75">
        <v>46118</v>
      </c>
      <c r="B1113" s="25" t="s">
        <v>397</v>
      </c>
      <c r="C1113" s="25" t="s">
        <v>615</v>
      </c>
      <c r="D1113" s="75">
        <f t="shared" si="369"/>
        <v>46141</v>
      </c>
      <c r="E1113" s="75">
        <f t="shared" si="370"/>
        <v>46125</v>
      </c>
      <c r="F1113" s="75">
        <f t="shared" si="371"/>
        <v>46132</v>
      </c>
      <c r="G1113" s="75">
        <f t="shared" si="372"/>
        <v>46138</v>
      </c>
      <c r="H1113" s="75">
        <f t="shared" si="373"/>
        <v>46126</v>
      </c>
      <c r="I1113" s="75">
        <f t="shared" si="374"/>
        <v>46133</v>
      </c>
      <c r="J1113" s="75">
        <v>46151</v>
      </c>
      <c r="K1113" s="25">
        <f t="shared" si="367"/>
        <v>33</v>
      </c>
      <c r="L1113" s="25">
        <v>15.76</v>
      </c>
      <c r="M1113" s="25">
        <v>13.72</v>
      </c>
      <c r="N1113" s="25">
        <f t="shared" si="368"/>
        <v>2.0399999999999991</v>
      </c>
      <c r="O1113" s="25" t="s">
        <v>545</v>
      </c>
    </row>
    <row r="1114" spans="1:15" x14ac:dyDescent="0.25">
      <c r="A1114" s="75">
        <v>46118</v>
      </c>
      <c r="B1114" s="25" t="s">
        <v>398</v>
      </c>
      <c r="C1114" s="25" t="s">
        <v>616</v>
      </c>
      <c r="D1114" s="75">
        <f t="shared" si="369"/>
        <v>46141</v>
      </c>
      <c r="E1114" s="75">
        <f t="shared" si="370"/>
        <v>46125</v>
      </c>
      <c r="F1114" s="75">
        <f t="shared" si="371"/>
        <v>46132</v>
      </c>
      <c r="G1114" s="75">
        <f t="shared" si="372"/>
        <v>46138</v>
      </c>
      <c r="H1114" s="75">
        <f t="shared" si="373"/>
        <v>46126</v>
      </c>
      <c r="I1114" s="75">
        <f t="shared" si="374"/>
        <v>46133</v>
      </c>
      <c r="J1114" s="75">
        <v>46151</v>
      </c>
      <c r="K1114" s="25">
        <f t="shared" si="367"/>
        <v>33</v>
      </c>
      <c r="L1114" s="25">
        <v>14.11</v>
      </c>
      <c r="M1114" s="25">
        <v>12.58</v>
      </c>
      <c r="N1114" s="25">
        <f t="shared" si="368"/>
        <v>1.5299999999999994</v>
      </c>
      <c r="O1114" s="25" t="s">
        <v>545</v>
      </c>
    </row>
    <row r="1115" spans="1:15" x14ac:dyDescent="0.25">
      <c r="A1115" s="75">
        <v>46118</v>
      </c>
      <c r="B1115" s="25" t="s">
        <v>399</v>
      </c>
      <c r="C1115" s="25" t="s">
        <v>617</v>
      </c>
      <c r="D1115" s="75">
        <f t="shared" si="369"/>
        <v>46141</v>
      </c>
      <c r="E1115" s="75">
        <f t="shared" si="370"/>
        <v>46125</v>
      </c>
      <c r="F1115" s="75">
        <f t="shared" si="371"/>
        <v>46132</v>
      </c>
      <c r="G1115" s="75">
        <f t="shared" si="372"/>
        <v>46138</v>
      </c>
      <c r="H1115" s="75">
        <f t="shared" si="373"/>
        <v>46126</v>
      </c>
      <c r="I1115" s="75">
        <f t="shared" si="374"/>
        <v>46133</v>
      </c>
      <c r="J1115" s="75">
        <v>46151</v>
      </c>
      <c r="K1115" s="25">
        <f t="shared" si="367"/>
        <v>33</v>
      </c>
      <c r="L1115" s="25">
        <v>13.91</v>
      </c>
      <c r="M1115" s="25">
        <v>12.1</v>
      </c>
      <c r="N1115" s="25">
        <f t="shared" si="368"/>
        <v>1.8100000000000005</v>
      </c>
      <c r="O1115" s="25" t="s">
        <v>545</v>
      </c>
    </row>
    <row r="1116" spans="1:15" x14ac:dyDescent="0.25">
      <c r="A1116" s="75">
        <v>46118</v>
      </c>
      <c r="B1116" s="25" t="s">
        <v>400</v>
      </c>
      <c r="C1116" s="25" t="s">
        <v>618</v>
      </c>
      <c r="D1116" s="75">
        <f t="shared" si="369"/>
        <v>46141</v>
      </c>
      <c r="E1116" s="75">
        <f t="shared" si="370"/>
        <v>46125</v>
      </c>
      <c r="F1116" s="75">
        <f t="shared" si="371"/>
        <v>46132</v>
      </c>
      <c r="G1116" s="75">
        <f t="shared" si="372"/>
        <v>46138</v>
      </c>
      <c r="H1116" s="75">
        <f t="shared" si="373"/>
        <v>46126</v>
      </c>
      <c r="I1116" s="75">
        <f t="shared" si="374"/>
        <v>46133</v>
      </c>
      <c r="J1116" s="75">
        <v>46151</v>
      </c>
      <c r="K1116" s="25">
        <f t="shared" si="367"/>
        <v>33</v>
      </c>
      <c r="L1116" s="25">
        <v>13.16</v>
      </c>
      <c r="M1116" s="25">
        <v>11.35</v>
      </c>
      <c r="N1116" s="25">
        <f t="shared" si="368"/>
        <v>1.8100000000000005</v>
      </c>
      <c r="O1116" s="25" t="s">
        <v>545</v>
      </c>
    </row>
    <row r="1117" spans="1:15" x14ac:dyDescent="0.25">
      <c r="A1117" s="75">
        <v>46118</v>
      </c>
      <c r="B1117" s="25" t="s">
        <v>401</v>
      </c>
      <c r="C1117" s="25" t="s">
        <v>619</v>
      </c>
      <c r="D1117" s="75">
        <f t="shared" si="369"/>
        <v>46141</v>
      </c>
      <c r="E1117" s="75">
        <f t="shared" si="370"/>
        <v>46125</v>
      </c>
      <c r="F1117" s="75">
        <f t="shared" si="371"/>
        <v>46132</v>
      </c>
      <c r="G1117" s="75">
        <f t="shared" si="372"/>
        <v>46138</v>
      </c>
      <c r="H1117" s="75">
        <f t="shared" si="373"/>
        <v>46126</v>
      </c>
      <c r="I1117" s="75">
        <f t="shared" si="374"/>
        <v>46133</v>
      </c>
      <c r="J1117" s="75">
        <v>46151</v>
      </c>
      <c r="K1117" s="25">
        <f t="shared" si="367"/>
        <v>33</v>
      </c>
      <c r="L1117" s="25">
        <v>14.07</v>
      </c>
      <c r="M1117" s="25">
        <v>12.15</v>
      </c>
      <c r="N1117" s="25">
        <f t="shared" si="368"/>
        <v>1.92</v>
      </c>
      <c r="O1117" s="25" t="s">
        <v>545</v>
      </c>
    </row>
    <row r="1118" spans="1:15" x14ac:dyDescent="0.25">
      <c r="A1118" s="75">
        <v>46118</v>
      </c>
      <c r="B1118" s="25" t="s">
        <v>402</v>
      </c>
      <c r="C1118" s="25" t="s">
        <v>620</v>
      </c>
      <c r="D1118" s="75">
        <f t="shared" si="369"/>
        <v>46141</v>
      </c>
      <c r="E1118" s="75">
        <f t="shared" si="370"/>
        <v>46125</v>
      </c>
      <c r="F1118" s="75">
        <f t="shared" si="371"/>
        <v>46132</v>
      </c>
      <c r="G1118" s="75">
        <f t="shared" si="372"/>
        <v>46138</v>
      </c>
      <c r="H1118" s="75">
        <f t="shared" si="373"/>
        <v>46126</v>
      </c>
      <c r="I1118" s="75">
        <f t="shared" si="374"/>
        <v>46133</v>
      </c>
      <c r="J1118" s="75">
        <v>46151</v>
      </c>
      <c r="K1118" s="25">
        <f t="shared" ref="K1118" si="375">J1118-A1118</f>
        <v>33</v>
      </c>
      <c r="L1118" s="25">
        <v>12.75</v>
      </c>
      <c r="M1118" s="25">
        <v>11.27</v>
      </c>
      <c r="N1118" s="25">
        <f t="shared" ref="N1118" si="376">L1118-M1118</f>
        <v>1.4800000000000004</v>
      </c>
      <c r="O1118" s="25" t="s">
        <v>545</v>
      </c>
    </row>
    <row r="1119" spans="1:15" x14ac:dyDescent="0.25">
      <c r="A1119" s="75">
        <v>46119</v>
      </c>
      <c r="B1119" s="25" t="s">
        <v>364</v>
      </c>
      <c r="C1119" s="25" t="s">
        <v>621</v>
      </c>
      <c r="D1119" s="75">
        <f t="shared" si="369"/>
        <v>46142</v>
      </c>
      <c r="E1119" s="75">
        <f t="shared" si="370"/>
        <v>46126</v>
      </c>
      <c r="F1119" s="75">
        <f t="shared" si="371"/>
        <v>46133</v>
      </c>
      <c r="G1119" s="75">
        <f t="shared" si="372"/>
        <v>46139</v>
      </c>
      <c r="H1119" s="75">
        <f t="shared" si="373"/>
        <v>46127</v>
      </c>
      <c r="I1119" s="75">
        <f t="shared" si="374"/>
        <v>46134</v>
      </c>
      <c r="J1119" s="75">
        <v>46152</v>
      </c>
      <c r="K1119" s="25">
        <f t="shared" si="367"/>
        <v>33</v>
      </c>
      <c r="L1119" s="25">
        <v>13.18</v>
      </c>
      <c r="M1119" s="25">
        <v>11.26</v>
      </c>
      <c r="N1119" s="25">
        <f t="shared" si="368"/>
        <v>1.92</v>
      </c>
      <c r="O1119" s="25" t="s">
        <v>545</v>
      </c>
    </row>
    <row r="1120" spans="1:15" x14ac:dyDescent="0.25">
      <c r="A1120" s="75">
        <v>46119</v>
      </c>
      <c r="B1120" s="25" t="s">
        <v>365</v>
      </c>
      <c r="C1120" s="25" t="s">
        <v>622</v>
      </c>
      <c r="D1120" s="75">
        <f t="shared" si="369"/>
        <v>46142</v>
      </c>
      <c r="E1120" s="75">
        <f t="shared" si="370"/>
        <v>46126</v>
      </c>
      <c r="F1120" s="75">
        <f t="shared" si="371"/>
        <v>46133</v>
      </c>
      <c r="G1120" s="75">
        <f t="shared" si="372"/>
        <v>46139</v>
      </c>
      <c r="H1120" s="75">
        <f t="shared" si="373"/>
        <v>46127</v>
      </c>
      <c r="I1120" s="75">
        <f t="shared" si="374"/>
        <v>46134</v>
      </c>
      <c r="J1120" s="75">
        <v>46151</v>
      </c>
      <c r="K1120" s="25">
        <f t="shared" si="367"/>
        <v>32</v>
      </c>
      <c r="L1120" s="25">
        <v>14.22</v>
      </c>
      <c r="M1120" s="25">
        <v>12.33</v>
      </c>
      <c r="N1120" s="25">
        <f t="shared" si="368"/>
        <v>1.8900000000000006</v>
      </c>
      <c r="O1120" s="25" t="s">
        <v>545</v>
      </c>
    </row>
    <row r="1121" spans="1:15" x14ac:dyDescent="0.25">
      <c r="A1121" s="75">
        <v>46119</v>
      </c>
      <c r="B1121" s="25" t="s">
        <v>394</v>
      </c>
      <c r="C1121" s="25" t="s">
        <v>623</v>
      </c>
      <c r="D1121" s="75">
        <f t="shared" si="369"/>
        <v>46142</v>
      </c>
      <c r="E1121" s="75">
        <f t="shared" si="370"/>
        <v>46126</v>
      </c>
      <c r="F1121" s="75">
        <f t="shared" si="371"/>
        <v>46133</v>
      </c>
      <c r="G1121" s="75">
        <f t="shared" si="372"/>
        <v>46139</v>
      </c>
      <c r="H1121" s="75">
        <f t="shared" si="373"/>
        <v>46127</v>
      </c>
      <c r="I1121" s="75">
        <f t="shared" si="374"/>
        <v>46134</v>
      </c>
      <c r="J1121" s="75">
        <v>46152</v>
      </c>
      <c r="K1121" s="25">
        <f t="shared" si="367"/>
        <v>33</v>
      </c>
      <c r="L1121" s="25">
        <v>14.25</v>
      </c>
      <c r="M1121" s="25">
        <v>12.63</v>
      </c>
      <c r="N1121" s="25">
        <f t="shared" si="368"/>
        <v>1.6199999999999992</v>
      </c>
      <c r="O1121" s="25" t="s">
        <v>545</v>
      </c>
    </row>
    <row r="1122" spans="1:15" x14ac:dyDescent="0.25">
      <c r="A1122" s="75">
        <v>46119</v>
      </c>
      <c r="B1122" s="25" t="s">
        <v>395</v>
      </c>
      <c r="C1122" s="25" t="s">
        <v>624</v>
      </c>
      <c r="D1122" s="75">
        <f t="shared" si="369"/>
        <v>46142</v>
      </c>
      <c r="E1122" s="75">
        <f t="shared" si="370"/>
        <v>46126</v>
      </c>
      <c r="F1122" s="75">
        <f t="shared" si="371"/>
        <v>46133</v>
      </c>
      <c r="G1122" s="75">
        <f t="shared" si="372"/>
        <v>46139</v>
      </c>
      <c r="H1122" s="75">
        <f t="shared" si="373"/>
        <v>46127</v>
      </c>
      <c r="I1122" s="75">
        <f t="shared" si="374"/>
        <v>46134</v>
      </c>
      <c r="J1122" s="75">
        <v>46152</v>
      </c>
      <c r="K1122" s="25">
        <f t="shared" si="367"/>
        <v>33</v>
      </c>
      <c r="L1122" s="25">
        <v>13.48</v>
      </c>
      <c r="M1122" s="25">
        <v>12.15</v>
      </c>
      <c r="N1122" s="25">
        <f t="shared" si="368"/>
        <v>1.33</v>
      </c>
      <c r="O1122" s="25" t="s">
        <v>545</v>
      </c>
    </row>
    <row r="1123" spans="1:15" x14ac:dyDescent="0.25">
      <c r="A1123" s="75">
        <v>46119</v>
      </c>
      <c r="B1123" s="25" t="s">
        <v>559</v>
      </c>
      <c r="C1123" s="25" t="s">
        <v>625</v>
      </c>
      <c r="D1123" s="75">
        <f t="shared" si="369"/>
        <v>46142</v>
      </c>
      <c r="E1123" s="75">
        <f t="shared" si="370"/>
        <v>46126</v>
      </c>
      <c r="F1123" s="75">
        <f t="shared" si="371"/>
        <v>46133</v>
      </c>
      <c r="G1123" s="75">
        <f t="shared" si="372"/>
        <v>46139</v>
      </c>
      <c r="H1123" s="75">
        <f t="shared" si="373"/>
        <v>46127</v>
      </c>
      <c r="I1123" s="75">
        <f t="shared" si="374"/>
        <v>46134</v>
      </c>
      <c r="J1123" s="75">
        <v>46152</v>
      </c>
      <c r="K1123" s="25">
        <f t="shared" si="367"/>
        <v>33</v>
      </c>
      <c r="L1123" s="25">
        <v>13.32</v>
      </c>
      <c r="M1123" s="25">
        <v>11.74</v>
      </c>
      <c r="N1123" s="25">
        <f t="shared" si="368"/>
        <v>1.58</v>
      </c>
      <c r="O1123" s="25" t="s">
        <v>545</v>
      </c>
    </row>
    <row r="1124" spans="1:15" x14ac:dyDescent="0.25">
      <c r="A1124" s="75">
        <v>46119</v>
      </c>
      <c r="B1124" s="25" t="s">
        <v>560</v>
      </c>
      <c r="C1124" s="25" t="s">
        <v>626</v>
      </c>
      <c r="D1124" s="75">
        <f t="shared" si="369"/>
        <v>46142</v>
      </c>
      <c r="E1124" s="75">
        <f t="shared" si="370"/>
        <v>46126</v>
      </c>
      <c r="F1124" s="75">
        <f t="shared" si="371"/>
        <v>46133</v>
      </c>
      <c r="G1124" s="75">
        <f t="shared" si="372"/>
        <v>46139</v>
      </c>
      <c r="H1124" s="75">
        <f t="shared" si="373"/>
        <v>46127</v>
      </c>
      <c r="I1124" s="75">
        <f t="shared" si="374"/>
        <v>46134</v>
      </c>
      <c r="J1124" s="75">
        <v>46152</v>
      </c>
      <c r="K1124" s="25">
        <f t="shared" si="367"/>
        <v>33</v>
      </c>
      <c r="L1124" s="25">
        <v>13.89</v>
      </c>
      <c r="M1124" s="25">
        <v>12.16</v>
      </c>
      <c r="N1124" s="25">
        <f t="shared" si="368"/>
        <v>1.7300000000000004</v>
      </c>
      <c r="O1124" s="25" t="s">
        <v>545</v>
      </c>
    </row>
    <row r="1125" spans="1:15" x14ac:dyDescent="0.25">
      <c r="A1125" s="75">
        <v>46119</v>
      </c>
      <c r="B1125" s="25" t="s">
        <v>426</v>
      </c>
      <c r="C1125" s="25" t="s">
        <v>627</v>
      </c>
      <c r="D1125" s="75">
        <f t="shared" si="369"/>
        <v>46142</v>
      </c>
      <c r="E1125" s="75">
        <f t="shared" si="370"/>
        <v>46126</v>
      </c>
      <c r="F1125" s="75">
        <f t="shared" si="371"/>
        <v>46133</v>
      </c>
      <c r="G1125" s="75">
        <f t="shared" si="372"/>
        <v>46139</v>
      </c>
      <c r="H1125" s="75">
        <f t="shared" si="373"/>
        <v>46127</v>
      </c>
      <c r="I1125" s="75">
        <f t="shared" si="374"/>
        <v>46134</v>
      </c>
      <c r="J1125" s="75">
        <v>46152</v>
      </c>
      <c r="K1125" s="25">
        <f t="shared" si="367"/>
        <v>33</v>
      </c>
      <c r="L1125" s="25">
        <v>12.4</v>
      </c>
      <c r="M1125" s="25">
        <v>10.58</v>
      </c>
      <c r="N1125" s="25">
        <f t="shared" si="368"/>
        <v>1.8200000000000003</v>
      </c>
      <c r="O1125" s="25" t="s">
        <v>545</v>
      </c>
    </row>
    <row r="1126" spans="1:15" x14ac:dyDescent="0.25">
      <c r="A1126" s="75">
        <v>46119</v>
      </c>
      <c r="B1126" s="25" t="s">
        <v>427</v>
      </c>
      <c r="C1126" s="25" t="s">
        <v>628</v>
      </c>
      <c r="D1126" s="75">
        <f t="shared" si="369"/>
        <v>46142</v>
      </c>
      <c r="E1126" s="75">
        <f t="shared" si="370"/>
        <v>46126</v>
      </c>
      <c r="F1126" s="75">
        <f t="shared" si="371"/>
        <v>46133</v>
      </c>
      <c r="G1126" s="75">
        <f t="shared" si="372"/>
        <v>46139</v>
      </c>
      <c r="H1126" s="75">
        <f t="shared" si="373"/>
        <v>46127</v>
      </c>
      <c r="I1126" s="75">
        <f t="shared" si="374"/>
        <v>46134</v>
      </c>
      <c r="J1126" s="75">
        <v>46152</v>
      </c>
      <c r="K1126" s="25">
        <f t="shared" si="367"/>
        <v>33</v>
      </c>
      <c r="L1126" s="25">
        <v>12.51</v>
      </c>
      <c r="M1126" s="25">
        <v>10.71</v>
      </c>
      <c r="N1126" s="25">
        <f t="shared" si="368"/>
        <v>1.7999999999999989</v>
      </c>
      <c r="O1126" s="25" t="s">
        <v>545</v>
      </c>
    </row>
    <row r="1127" spans="1:15" x14ac:dyDescent="0.25">
      <c r="A1127" s="75">
        <v>46120</v>
      </c>
      <c r="B1127" s="25" t="s">
        <v>428</v>
      </c>
      <c r="C1127" s="25" t="s">
        <v>629</v>
      </c>
      <c r="D1127" s="75">
        <f t="shared" si="369"/>
        <v>46143</v>
      </c>
      <c r="E1127" s="75">
        <f t="shared" si="370"/>
        <v>46127</v>
      </c>
      <c r="F1127" s="75">
        <f t="shared" si="371"/>
        <v>46134</v>
      </c>
      <c r="G1127" s="75">
        <f t="shared" si="372"/>
        <v>46140</v>
      </c>
      <c r="H1127" s="75">
        <f t="shared" si="373"/>
        <v>46128</v>
      </c>
      <c r="I1127" s="75">
        <f t="shared" si="374"/>
        <v>46135</v>
      </c>
      <c r="J1127" s="75">
        <v>46153</v>
      </c>
      <c r="K1127" s="25">
        <f t="shared" si="367"/>
        <v>33</v>
      </c>
      <c r="L1127" s="25">
        <v>14.36</v>
      </c>
      <c r="M1127" s="25">
        <v>12.54</v>
      </c>
      <c r="N1127" s="25">
        <f t="shared" si="368"/>
        <v>1.8200000000000003</v>
      </c>
      <c r="O1127" s="25" t="s">
        <v>545</v>
      </c>
    </row>
    <row r="1128" spans="1:15" x14ac:dyDescent="0.25">
      <c r="A1128" s="75">
        <v>46120</v>
      </c>
      <c r="B1128" s="25" t="s">
        <v>429</v>
      </c>
      <c r="C1128" s="25" t="s">
        <v>630</v>
      </c>
      <c r="D1128" s="75">
        <f t="shared" si="369"/>
        <v>46143</v>
      </c>
      <c r="E1128" s="75">
        <f t="shared" si="370"/>
        <v>46127</v>
      </c>
      <c r="F1128" s="75">
        <f t="shared" si="371"/>
        <v>46134</v>
      </c>
      <c r="G1128" s="75">
        <f t="shared" si="372"/>
        <v>46140</v>
      </c>
      <c r="H1128" s="75">
        <f t="shared" si="373"/>
        <v>46128</v>
      </c>
      <c r="I1128" s="75">
        <f t="shared" si="374"/>
        <v>46135</v>
      </c>
      <c r="J1128" s="75">
        <v>46153</v>
      </c>
      <c r="K1128" s="25">
        <f t="shared" si="367"/>
        <v>33</v>
      </c>
      <c r="L1128" s="25">
        <v>16.079999999999998</v>
      </c>
      <c r="M1128" s="25">
        <v>14.19</v>
      </c>
      <c r="N1128" s="25">
        <f t="shared" si="368"/>
        <v>1.8899999999999988</v>
      </c>
      <c r="O1128" s="25" t="s">
        <v>545</v>
      </c>
    </row>
    <row r="1129" spans="1:15" x14ac:dyDescent="0.25">
      <c r="A1129" s="75">
        <v>46120</v>
      </c>
      <c r="B1129" s="25" t="s">
        <v>430</v>
      </c>
      <c r="C1129" s="25" t="s">
        <v>631</v>
      </c>
      <c r="D1129" s="75">
        <f t="shared" si="369"/>
        <v>46143</v>
      </c>
      <c r="E1129" s="75">
        <f t="shared" si="370"/>
        <v>46127</v>
      </c>
      <c r="F1129" s="75">
        <f t="shared" si="371"/>
        <v>46134</v>
      </c>
      <c r="G1129" s="75">
        <f t="shared" si="372"/>
        <v>46140</v>
      </c>
      <c r="H1129" s="75">
        <f t="shared" si="373"/>
        <v>46128</v>
      </c>
      <c r="I1129" s="75">
        <f t="shared" si="374"/>
        <v>46135</v>
      </c>
      <c r="J1129" s="75">
        <v>46153</v>
      </c>
      <c r="K1129" s="25">
        <f t="shared" si="367"/>
        <v>33</v>
      </c>
      <c r="L1129" s="25">
        <v>15.19</v>
      </c>
      <c r="M1129" s="25">
        <v>13.1</v>
      </c>
      <c r="N1129" s="25">
        <f t="shared" si="368"/>
        <v>2.09</v>
      </c>
      <c r="O1129" s="25" t="s">
        <v>545</v>
      </c>
    </row>
    <row r="1130" spans="1:15" x14ac:dyDescent="0.25">
      <c r="A1130" s="75">
        <v>46120</v>
      </c>
      <c r="B1130" s="25" t="s">
        <v>431</v>
      </c>
      <c r="C1130" s="25" t="s">
        <v>632</v>
      </c>
      <c r="D1130" s="75">
        <f t="shared" si="369"/>
        <v>46143</v>
      </c>
      <c r="E1130" s="75">
        <f t="shared" si="370"/>
        <v>46127</v>
      </c>
      <c r="F1130" s="75">
        <f t="shared" si="371"/>
        <v>46134</v>
      </c>
      <c r="G1130" s="75">
        <f t="shared" si="372"/>
        <v>46140</v>
      </c>
      <c r="H1130" s="75">
        <f t="shared" si="373"/>
        <v>46128</v>
      </c>
      <c r="I1130" s="75">
        <f t="shared" si="374"/>
        <v>46135</v>
      </c>
      <c r="J1130" s="75">
        <v>46153</v>
      </c>
      <c r="K1130" s="25">
        <f t="shared" si="367"/>
        <v>33</v>
      </c>
      <c r="L1130" s="25">
        <v>14.27</v>
      </c>
      <c r="M1130" s="25">
        <v>12.55</v>
      </c>
      <c r="N1130" s="25">
        <f t="shared" si="368"/>
        <v>1.7199999999999989</v>
      </c>
      <c r="O1130" s="25" t="s">
        <v>545</v>
      </c>
    </row>
    <row r="1131" spans="1:15" x14ac:dyDescent="0.25">
      <c r="A1131" s="75">
        <v>46120</v>
      </c>
      <c r="B1131" s="25" t="s">
        <v>432</v>
      </c>
      <c r="C1131" s="25" t="s">
        <v>633</v>
      </c>
      <c r="D1131" s="75">
        <f t="shared" si="369"/>
        <v>46143</v>
      </c>
      <c r="E1131" s="75">
        <f t="shared" si="370"/>
        <v>46127</v>
      </c>
      <c r="F1131" s="75">
        <f t="shared" si="371"/>
        <v>46134</v>
      </c>
      <c r="G1131" s="75">
        <f t="shared" si="372"/>
        <v>46140</v>
      </c>
      <c r="H1131" s="75">
        <f t="shared" si="373"/>
        <v>46128</v>
      </c>
      <c r="I1131" s="75">
        <f t="shared" si="374"/>
        <v>46135</v>
      </c>
      <c r="J1131" s="75">
        <v>46153</v>
      </c>
      <c r="K1131" s="25">
        <f t="shared" si="367"/>
        <v>33</v>
      </c>
      <c r="L1131" s="25">
        <v>14.16</v>
      </c>
      <c r="M1131" s="25">
        <v>12.48</v>
      </c>
      <c r="N1131" s="25">
        <f t="shared" si="368"/>
        <v>1.6799999999999997</v>
      </c>
      <c r="O1131" s="25" t="s">
        <v>545</v>
      </c>
    </row>
    <row r="1132" spans="1:15" x14ac:dyDescent="0.25">
      <c r="A1132" s="75">
        <v>46120</v>
      </c>
      <c r="B1132" s="25" t="s">
        <v>433</v>
      </c>
      <c r="C1132" s="25" t="s">
        <v>634</v>
      </c>
      <c r="D1132" s="75">
        <f t="shared" si="369"/>
        <v>46143</v>
      </c>
      <c r="E1132" s="75">
        <f t="shared" si="370"/>
        <v>46127</v>
      </c>
      <c r="F1132" s="75">
        <f t="shared" si="371"/>
        <v>46134</v>
      </c>
      <c r="G1132" s="75">
        <f t="shared" si="372"/>
        <v>46140</v>
      </c>
      <c r="H1132" s="75">
        <f t="shared" si="373"/>
        <v>46128</v>
      </c>
      <c r="I1132" s="75">
        <f t="shared" si="374"/>
        <v>46135</v>
      </c>
      <c r="J1132" s="75">
        <v>46154</v>
      </c>
      <c r="K1132" s="25">
        <f t="shared" si="367"/>
        <v>34</v>
      </c>
      <c r="L1132" s="25">
        <v>13.27</v>
      </c>
      <c r="M1132" s="25">
        <v>11.58</v>
      </c>
      <c r="N1132" s="25">
        <f t="shared" si="368"/>
        <v>1.6899999999999995</v>
      </c>
      <c r="O1132" s="25" t="s">
        <v>545</v>
      </c>
    </row>
    <row r="1133" spans="1:15" x14ac:dyDescent="0.25">
      <c r="A1133" s="75">
        <v>46120</v>
      </c>
      <c r="B1133" s="25" t="s">
        <v>434</v>
      </c>
      <c r="C1133" s="25" t="s">
        <v>635</v>
      </c>
      <c r="D1133" s="75">
        <f t="shared" si="369"/>
        <v>46143</v>
      </c>
      <c r="E1133" s="75">
        <f t="shared" si="370"/>
        <v>46127</v>
      </c>
      <c r="F1133" s="75">
        <f t="shared" si="371"/>
        <v>46134</v>
      </c>
      <c r="G1133" s="75">
        <f t="shared" si="372"/>
        <v>46140</v>
      </c>
      <c r="H1133" s="75">
        <f t="shared" si="373"/>
        <v>46128</v>
      </c>
      <c r="I1133" s="75">
        <f t="shared" si="374"/>
        <v>46135</v>
      </c>
      <c r="J1133" s="75">
        <v>46154</v>
      </c>
      <c r="K1133" s="25">
        <f t="shared" si="367"/>
        <v>34</v>
      </c>
      <c r="L1133" s="25">
        <v>14.08</v>
      </c>
      <c r="M1133" s="25">
        <v>12.16</v>
      </c>
      <c r="N1133" s="25">
        <f t="shared" si="368"/>
        <v>1.92</v>
      </c>
      <c r="O1133" s="25" t="s">
        <v>545</v>
      </c>
    </row>
    <row r="1134" spans="1:15" x14ac:dyDescent="0.25">
      <c r="A1134" s="75">
        <v>46121</v>
      </c>
      <c r="B1134" s="25" t="s">
        <v>435</v>
      </c>
      <c r="C1134" s="25" t="s">
        <v>636</v>
      </c>
      <c r="D1134" s="75">
        <f t="shared" si="369"/>
        <v>46144</v>
      </c>
      <c r="E1134" s="75">
        <f t="shared" si="370"/>
        <v>46128</v>
      </c>
      <c r="F1134" s="75">
        <f t="shared" si="371"/>
        <v>46135</v>
      </c>
      <c r="G1134" s="75">
        <f t="shared" si="372"/>
        <v>46141</v>
      </c>
      <c r="H1134" s="75">
        <f t="shared" si="373"/>
        <v>46129</v>
      </c>
      <c r="I1134" s="75">
        <f t="shared" si="374"/>
        <v>46136</v>
      </c>
      <c r="J1134" s="75">
        <v>46154</v>
      </c>
      <c r="K1134" s="25">
        <f t="shared" si="367"/>
        <v>33</v>
      </c>
      <c r="L1134" s="25">
        <v>14.12</v>
      </c>
      <c r="M1134" s="25">
        <v>12.34</v>
      </c>
      <c r="N1134" s="25">
        <f t="shared" si="368"/>
        <v>1.7799999999999994</v>
      </c>
      <c r="O1134" s="25" t="s">
        <v>545</v>
      </c>
    </row>
    <row r="1135" spans="1:15" x14ac:dyDescent="0.25">
      <c r="A1135" s="75">
        <v>46121</v>
      </c>
      <c r="B1135" s="25" t="s">
        <v>436</v>
      </c>
      <c r="C1135" s="25" t="s">
        <v>637</v>
      </c>
      <c r="D1135" s="75">
        <f t="shared" si="369"/>
        <v>46144</v>
      </c>
      <c r="E1135" s="75">
        <f t="shared" si="370"/>
        <v>46128</v>
      </c>
      <c r="F1135" s="75">
        <f t="shared" si="371"/>
        <v>46135</v>
      </c>
      <c r="G1135" s="75">
        <f t="shared" si="372"/>
        <v>46141</v>
      </c>
      <c r="H1135" s="75">
        <f t="shared" si="373"/>
        <v>46129</v>
      </c>
      <c r="I1135" s="75">
        <f t="shared" si="374"/>
        <v>46136</v>
      </c>
      <c r="J1135" s="75">
        <v>46154</v>
      </c>
      <c r="K1135" s="25">
        <f t="shared" si="367"/>
        <v>33</v>
      </c>
      <c r="L1135" s="25">
        <v>11.98</v>
      </c>
      <c r="M1135" s="25">
        <v>10.71</v>
      </c>
      <c r="N1135" s="25">
        <f t="shared" si="368"/>
        <v>1.2699999999999996</v>
      </c>
      <c r="O1135" s="25" t="s">
        <v>545</v>
      </c>
    </row>
    <row r="1136" spans="1:15" x14ac:dyDescent="0.25">
      <c r="A1136" s="75">
        <v>46121</v>
      </c>
      <c r="B1136" s="25" t="s">
        <v>437</v>
      </c>
      <c r="C1136" s="25" t="s">
        <v>638</v>
      </c>
      <c r="D1136" s="75">
        <f t="shared" si="369"/>
        <v>46144</v>
      </c>
      <c r="E1136" s="75">
        <f t="shared" si="370"/>
        <v>46128</v>
      </c>
      <c r="F1136" s="75">
        <f t="shared" si="371"/>
        <v>46135</v>
      </c>
      <c r="G1136" s="75">
        <f t="shared" si="372"/>
        <v>46141</v>
      </c>
      <c r="H1136" s="75">
        <f t="shared" si="373"/>
        <v>46129</v>
      </c>
      <c r="I1136" s="75">
        <f t="shared" si="374"/>
        <v>46136</v>
      </c>
      <c r="J1136" s="75">
        <v>46154</v>
      </c>
      <c r="K1136" s="25">
        <f t="shared" si="367"/>
        <v>33</v>
      </c>
      <c r="L1136" s="25">
        <v>13.35</v>
      </c>
      <c r="M1136" s="25">
        <v>11.61</v>
      </c>
      <c r="N1136" s="25">
        <f t="shared" si="368"/>
        <v>1.7400000000000002</v>
      </c>
      <c r="O1136" s="25" t="s">
        <v>545</v>
      </c>
    </row>
    <row r="1137" spans="1:15" x14ac:dyDescent="0.25">
      <c r="A1137" s="75">
        <v>46121</v>
      </c>
      <c r="B1137" s="25" t="s">
        <v>438</v>
      </c>
      <c r="C1137" s="25" t="s">
        <v>639</v>
      </c>
      <c r="D1137" s="75">
        <f t="shared" si="369"/>
        <v>46144</v>
      </c>
      <c r="E1137" s="75">
        <f t="shared" si="370"/>
        <v>46128</v>
      </c>
      <c r="F1137" s="75">
        <f t="shared" si="371"/>
        <v>46135</v>
      </c>
      <c r="G1137" s="75">
        <f t="shared" si="372"/>
        <v>46141</v>
      </c>
      <c r="H1137" s="75">
        <f t="shared" si="373"/>
        <v>46129</v>
      </c>
      <c r="I1137" s="75">
        <f t="shared" si="374"/>
        <v>46136</v>
      </c>
      <c r="J1137" s="75">
        <v>46155</v>
      </c>
      <c r="K1137" s="25">
        <f t="shared" si="367"/>
        <v>34</v>
      </c>
      <c r="L1137" s="25">
        <v>13.25</v>
      </c>
      <c r="M1137" s="25">
        <v>11.57</v>
      </c>
      <c r="N1137" s="25">
        <f t="shared" si="368"/>
        <v>1.6799999999999997</v>
      </c>
      <c r="O1137" s="25" t="s">
        <v>545</v>
      </c>
    </row>
    <row r="1138" spans="1:15" x14ac:dyDescent="0.25">
      <c r="A1138" s="75">
        <v>46121</v>
      </c>
      <c r="B1138" s="25" t="s">
        <v>439</v>
      </c>
      <c r="C1138" s="25" t="s">
        <v>640</v>
      </c>
      <c r="D1138" s="75">
        <f t="shared" si="369"/>
        <v>46144</v>
      </c>
      <c r="E1138" s="75">
        <f t="shared" si="370"/>
        <v>46128</v>
      </c>
      <c r="F1138" s="75">
        <f t="shared" si="371"/>
        <v>46135</v>
      </c>
      <c r="G1138" s="75">
        <f t="shared" si="372"/>
        <v>46141</v>
      </c>
      <c r="H1138" s="75">
        <f t="shared" si="373"/>
        <v>46129</v>
      </c>
      <c r="I1138" s="75">
        <f t="shared" si="374"/>
        <v>46136</v>
      </c>
      <c r="J1138" s="75">
        <v>46155</v>
      </c>
      <c r="K1138" s="25">
        <f t="shared" si="367"/>
        <v>34</v>
      </c>
      <c r="L1138" s="25">
        <v>12.17</v>
      </c>
      <c r="M1138" s="25">
        <v>10.54</v>
      </c>
      <c r="N1138" s="25">
        <f t="shared" si="368"/>
        <v>1.6300000000000008</v>
      </c>
      <c r="O1138" s="25" t="s">
        <v>545</v>
      </c>
    </row>
    <row r="1139" spans="1:15" x14ac:dyDescent="0.25">
      <c r="A1139" s="75">
        <v>46121</v>
      </c>
      <c r="B1139" s="25" t="s">
        <v>440</v>
      </c>
      <c r="C1139" s="25" t="s">
        <v>641</v>
      </c>
      <c r="D1139" s="75">
        <f t="shared" si="369"/>
        <v>46144</v>
      </c>
      <c r="E1139" s="75">
        <f t="shared" si="370"/>
        <v>46128</v>
      </c>
      <c r="F1139" s="75">
        <f t="shared" si="371"/>
        <v>46135</v>
      </c>
      <c r="G1139" s="75">
        <f t="shared" si="372"/>
        <v>46141</v>
      </c>
      <c r="H1139" s="75">
        <f t="shared" si="373"/>
        <v>46129</v>
      </c>
      <c r="I1139" s="75">
        <f t="shared" si="374"/>
        <v>46136</v>
      </c>
      <c r="J1139" s="75">
        <v>46155</v>
      </c>
      <c r="K1139" s="25">
        <f t="shared" si="367"/>
        <v>34</v>
      </c>
      <c r="L1139" s="25">
        <v>14.19</v>
      </c>
      <c r="M1139" s="25">
        <v>12.34</v>
      </c>
      <c r="N1139" s="25">
        <f t="shared" si="368"/>
        <v>1.8499999999999996</v>
      </c>
      <c r="O1139" s="25" t="s">
        <v>545</v>
      </c>
    </row>
    <row r="1140" spans="1:15" x14ac:dyDescent="0.25">
      <c r="A1140" s="75">
        <v>46121</v>
      </c>
      <c r="B1140" s="25" t="s">
        <v>441</v>
      </c>
      <c r="C1140" s="25" t="s">
        <v>642</v>
      </c>
      <c r="D1140" s="75">
        <f t="shared" si="369"/>
        <v>46144</v>
      </c>
      <c r="E1140" s="75">
        <f t="shared" si="370"/>
        <v>46128</v>
      </c>
      <c r="F1140" s="75">
        <f t="shared" si="371"/>
        <v>46135</v>
      </c>
      <c r="G1140" s="75">
        <f t="shared" si="372"/>
        <v>46141</v>
      </c>
      <c r="H1140" s="75">
        <f t="shared" si="373"/>
        <v>46129</v>
      </c>
      <c r="I1140" s="75">
        <f t="shared" si="374"/>
        <v>46136</v>
      </c>
      <c r="J1140" s="75">
        <v>46155</v>
      </c>
      <c r="K1140" s="25">
        <f t="shared" si="367"/>
        <v>34</v>
      </c>
      <c r="L1140" s="25">
        <v>12.97</v>
      </c>
      <c r="M1140" s="25">
        <v>11.53</v>
      </c>
      <c r="N1140" s="25">
        <f t="shared" si="368"/>
        <v>1.4400000000000013</v>
      </c>
      <c r="O1140" s="25" t="s">
        <v>545</v>
      </c>
    </row>
    <row r="1141" spans="1:15" x14ac:dyDescent="0.25">
      <c r="A1141" s="75">
        <v>46124</v>
      </c>
      <c r="B1141" s="25" t="s">
        <v>442</v>
      </c>
      <c r="C1141" s="25" t="s">
        <v>659</v>
      </c>
      <c r="D1141" s="75">
        <f t="shared" si="369"/>
        <v>46147</v>
      </c>
      <c r="E1141" s="75">
        <f t="shared" si="370"/>
        <v>46131</v>
      </c>
      <c r="F1141" s="75">
        <f t="shared" si="371"/>
        <v>46138</v>
      </c>
      <c r="G1141" s="75">
        <f t="shared" si="372"/>
        <v>46144</v>
      </c>
      <c r="H1141" s="75">
        <f t="shared" si="373"/>
        <v>46132</v>
      </c>
      <c r="I1141" s="75">
        <f t="shared" si="374"/>
        <v>46139</v>
      </c>
      <c r="J1141" s="75">
        <v>46155</v>
      </c>
      <c r="K1141" s="25">
        <f t="shared" si="367"/>
        <v>31</v>
      </c>
      <c r="L1141" s="25">
        <v>14.32</v>
      </c>
      <c r="M1141" s="25">
        <v>12.74</v>
      </c>
      <c r="N1141" s="25">
        <f t="shared" si="368"/>
        <v>1.58</v>
      </c>
      <c r="O1141" s="25" t="s">
        <v>545</v>
      </c>
    </row>
    <row r="1142" spans="1:15" x14ac:dyDescent="0.25">
      <c r="A1142" s="75">
        <v>46124</v>
      </c>
      <c r="B1142" s="25" t="s">
        <v>443</v>
      </c>
      <c r="C1142" s="25" t="s">
        <v>660</v>
      </c>
      <c r="D1142" s="75">
        <f t="shared" si="369"/>
        <v>46147</v>
      </c>
      <c r="E1142" s="75">
        <f t="shared" si="370"/>
        <v>46131</v>
      </c>
      <c r="F1142" s="75">
        <f t="shared" si="371"/>
        <v>46138</v>
      </c>
      <c r="G1142" s="75">
        <f t="shared" si="372"/>
        <v>46144</v>
      </c>
      <c r="H1142" s="75">
        <f t="shared" si="373"/>
        <v>46132</v>
      </c>
      <c r="I1142" s="75">
        <f t="shared" si="374"/>
        <v>46139</v>
      </c>
      <c r="J1142" s="75">
        <v>46155</v>
      </c>
      <c r="K1142" s="25">
        <f t="shared" si="367"/>
        <v>31</v>
      </c>
      <c r="L1142" s="25">
        <v>15.08</v>
      </c>
      <c r="M1142" s="25">
        <v>13.1</v>
      </c>
      <c r="N1142" s="25">
        <f t="shared" si="368"/>
        <v>1.9800000000000004</v>
      </c>
      <c r="O1142" s="25" t="s">
        <v>545</v>
      </c>
    </row>
    <row r="1143" spans="1:15" x14ac:dyDescent="0.25">
      <c r="A1143" s="75">
        <v>46124</v>
      </c>
      <c r="B1143" s="25" t="s">
        <v>444</v>
      </c>
      <c r="C1143" s="25" t="s">
        <v>661</v>
      </c>
      <c r="D1143" s="75">
        <f t="shared" si="369"/>
        <v>46147</v>
      </c>
      <c r="E1143" s="75">
        <f t="shared" si="370"/>
        <v>46131</v>
      </c>
      <c r="F1143" s="75">
        <f t="shared" si="371"/>
        <v>46138</v>
      </c>
      <c r="G1143" s="75">
        <f t="shared" si="372"/>
        <v>46144</v>
      </c>
      <c r="H1143" s="75">
        <f t="shared" si="373"/>
        <v>46132</v>
      </c>
      <c r="I1143" s="75">
        <f t="shared" si="374"/>
        <v>46139</v>
      </c>
      <c r="J1143" s="75">
        <v>46155</v>
      </c>
      <c r="K1143" s="25">
        <f t="shared" si="367"/>
        <v>31</v>
      </c>
      <c r="L1143" s="25">
        <v>15.16</v>
      </c>
      <c r="M1143" s="25">
        <v>13.27</v>
      </c>
      <c r="N1143" s="25">
        <f t="shared" si="368"/>
        <v>1.8900000000000006</v>
      </c>
      <c r="O1143" s="25" t="s">
        <v>545</v>
      </c>
    </row>
    <row r="1144" spans="1:15" x14ac:dyDescent="0.25">
      <c r="A1144" s="75">
        <v>46124</v>
      </c>
      <c r="B1144" s="25" t="s">
        <v>445</v>
      </c>
      <c r="C1144" s="25" t="s">
        <v>605</v>
      </c>
      <c r="D1144" s="75">
        <f t="shared" si="369"/>
        <v>46147</v>
      </c>
      <c r="E1144" s="75">
        <f t="shared" si="370"/>
        <v>46131</v>
      </c>
      <c r="F1144" s="75">
        <f t="shared" si="371"/>
        <v>46138</v>
      </c>
      <c r="G1144" s="75">
        <f t="shared" si="372"/>
        <v>46144</v>
      </c>
      <c r="H1144" s="75">
        <f t="shared" si="373"/>
        <v>46132</v>
      </c>
      <c r="I1144" s="75">
        <f t="shared" si="374"/>
        <v>46139</v>
      </c>
      <c r="J1144" s="75">
        <v>46155</v>
      </c>
      <c r="K1144" s="25">
        <f t="shared" si="367"/>
        <v>31</v>
      </c>
      <c r="L1144" s="25">
        <v>14.07</v>
      </c>
      <c r="M1144" s="25">
        <v>12.21</v>
      </c>
      <c r="N1144" s="25">
        <f t="shared" si="368"/>
        <v>1.8599999999999994</v>
      </c>
      <c r="O1144" s="25" t="s">
        <v>545</v>
      </c>
    </row>
    <row r="1145" spans="1:15" x14ac:dyDescent="0.25">
      <c r="A1145" s="75">
        <v>46124</v>
      </c>
      <c r="B1145" s="25" t="s">
        <v>446</v>
      </c>
      <c r="C1145" s="25" t="s">
        <v>606</v>
      </c>
      <c r="D1145" s="75">
        <f t="shared" si="369"/>
        <v>46147</v>
      </c>
      <c r="E1145" s="75">
        <f t="shared" si="370"/>
        <v>46131</v>
      </c>
      <c r="F1145" s="75">
        <f t="shared" si="371"/>
        <v>46138</v>
      </c>
      <c r="G1145" s="75">
        <f t="shared" si="372"/>
        <v>46144</v>
      </c>
      <c r="H1145" s="75">
        <f t="shared" si="373"/>
        <v>46132</v>
      </c>
      <c r="I1145" s="75">
        <f t="shared" si="374"/>
        <v>46139</v>
      </c>
      <c r="J1145" s="75">
        <v>46155</v>
      </c>
      <c r="K1145" s="25">
        <f t="shared" si="367"/>
        <v>31</v>
      </c>
      <c r="L1145" s="25">
        <v>14.98</v>
      </c>
      <c r="M1145" s="25">
        <v>13.16</v>
      </c>
      <c r="N1145" s="25">
        <f t="shared" si="368"/>
        <v>1.8200000000000003</v>
      </c>
      <c r="O1145" s="25" t="s">
        <v>545</v>
      </c>
    </row>
    <row r="1146" spans="1:15" x14ac:dyDescent="0.25">
      <c r="A1146" s="75">
        <v>46124</v>
      </c>
      <c r="B1146" s="25" t="s">
        <v>548</v>
      </c>
      <c r="C1146" s="25" t="s">
        <v>643</v>
      </c>
      <c r="D1146" s="75">
        <f t="shared" si="369"/>
        <v>46147</v>
      </c>
      <c r="E1146" s="75">
        <f t="shared" si="370"/>
        <v>46131</v>
      </c>
      <c r="F1146" s="75">
        <f t="shared" si="371"/>
        <v>46138</v>
      </c>
      <c r="G1146" s="75">
        <f t="shared" si="372"/>
        <v>46144</v>
      </c>
      <c r="H1146" s="75">
        <f t="shared" si="373"/>
        <v>46132</v>
      </c>
      <c r="I1146" s="75">
        <f t="shared" si="374"/>
        <v>46139</v>
      </c>
      <c r="J1146" s="75">
        <v>46167</v>
      </c>
      <c r="K1146" s="25">
        <f t="shared" si="367"/>
        <v>43</v>
      </c>
      <c r="L1146" s="25">
        <v>12.38</v>
      </c>
      <c r="M1146" s="25">
        <v>11.18</v>
      </c>
      <c r="N1146" s="25">
        <f t="shared" si="368"/>
        <v>1.2000000000000011</v>
      </c>
      <c r="O1146" s="25" t="s">
        <v>545</v>
      </c>
    </row>
    <row r="1147" spans="1:15" x14ac:dyDescent="0.25">
      <c r="A1147" s="75">
        <v>46124</v>
      </c>
      <c r="B1147" s="25" t="s">
        <v>549</v>
      </c>
      <c r="C1147" s="25" t="s">
        <v>644</v>
      </c>
      <c r="D1147" s="75">
        <f t="shared" si="369"/>
        <v>46147</v>
      </c>
      <c r="E1147" s="75">
        <f t="shared" si="370"/>
        <v>46131</v>
      </c>
      <c r="F1147" s="75">
        <f t="shared" si="371"/>
        <v>46138</v>
      </c>
      <c r="G1147" s="75">
        <f t="shared" si="372"/>
        <v>46144</v>
      </c>
      <c r="H1147" s="75">
        <f t="shared" si="373"/>
        <v>46132</v>
      </c>
      <c r="I1147" s="75">
        <f t="shared" si="374"/>
        <v>46139</v>
      </c>
      <c r="J1147" s="75">
        <v>46167</v>
      </c>
      <c r="K1147" s="25">
        <f t="shared" si="367"/>
        <v>43</v>
      </c>
      <c r="L1147" s="25">
        <v>12.97</v>
      </c>
      <c r="M1147" s="25">
        <v>10.55</v>
      </c>
      <c r="N1147" s="25">
        <f t="shared" si="368"/>
        <v>2.42</v>
      </c>
      <c r="O1147" s="25" t="s">
        <v>545</v>
      </c>
    </row>
    <row r="1148" spans="1:15" x14ac:dyDescent="0.25">
      <c r="A1148" s="75">
        <v>46124</v>
      </c>
      <c r="B1148" s="25" t="s">
        <v>550</v>
      </c>
      <c r="C1148" s="25" t="s">
        <v>645</v>
      </c>
      <c r="D1148" s="75">
        <f t="shared" si="369"/>
        <v>46147</v>
      </c>
      <c r="E1148" s="75">
        <f t="shared" si="370"/>
        <v>46131</v>
      </c>
      <c r="F1148" s="75">
        <f t="shared" si="371"/>
        <v>46138</v>
      </c>
      <c r="G1148" s="75">
        <f t="shared" si="372"/>
        <v>46144</v>
      </c>
      <c r="H1148" s="75">
        <f t="shared" si="373"/>
        <v>46132</v>
      </c>
      <c r="I1148" s="75">
        <f t="shared" si="374"/>
        <v>46139</v>
      </c>
      <c r="J1148" s="75">
        <v>46167</v>
      </c>
      <c r="K1148" s="25">
        <f t="shared" si="367"/>
        <v>43</v>
      </c>
      <c r="L1148" s="25">
        <v>12.48</v>
      </c>
      <c r="M1148" s="25">
        <v>11.32</v>
      </c>
      <c r="N1148" s="25">
        <f t="shared" si="368"/>
        <v>1.1600000000000001</v>
      </c>
      <c r="O1148" s="25" t="s">
        <v>545</v>
      </c>
    </row>
    <row r="1149" spans="1:15" x14ac:dyDescent="0.25">
      <c r="A1149" s="75">
        <v>46125</v>
      </c>
      <c r="B1149" s="25" t="s">
        <v>551</v>
      </c>
      <c r="C1149" s="25" t="s">
        <v>646</v>
      </c>
      <c r="D1149" s="75">
        <f t="shared" si="369"/>
        <v>46148</v>
      </c>
      <c r="E1149" s="75">
        <f t="shared" si="370"/>
        <v>46132</v>
      </c>
      <c r="F1149" s="75">
        <f t="shared" si="371"/>
        <v>46139</v>
      </c>
      <c r="G1149" s="75">
        <f t="shared" si="372"/>
        <v>46145</v>
      </c>
      <c r="H1149" s="75">
        <f t="shared" si="373"/>
        <v>46133</v>
      </c>
      <c r="I1149" s="75">
        <f t="shared" si="374"/>
        <v>46140</v>
      </c>
      <c r="J1149" s="75">
        <v>46156</v>
      </c>
      <c r="K1149" s="25">
        <f t="shared" si="367"/>
        <v>31</v>
      </c>
      <c r="L1149" s="25">
        <v>13.15</v>
      </c>
      <c r="M1149" s="25">
        <v>11.36</v>
      </c>
      <c r="N1149" s="25">
        <f t="shared" si="368"/>
        <v>1.7900000000000009</v>
      </c>
      <c r="O1149" s="25" t="s">
        <v>545</v>
      </c>
    </row>
    <row r="1150" spans="1:15" x14ac:dyDescent="0.25">
      <c r="A1150" s="75">
        <v>46125</v>
      </c>
      <c r="B1150" s="25" t="s">
        <v>552</v>
      </c>
      <c r="C1150" s="25" t="s">
        <v>647</v>
      </c>
      <c r="D1150" s="75">
        <f t="shared" si="369"/>
        <v>46148</v>
      </c>
      <c r="E1150" s="75">
        <f t="shared" si="370"/>
        <v>46132</v>
      </c>
      <c r="F1150" s="75">
        <f t="shared" si="371"/>
        <v>46139</v>
      </c>
      <c r="G1150" s="75">
        <f t="shared" si="372"/>
        <v>46145</v>
      </c>
      <c r="H1150" s="75">
        <f t="shared" si="373"/>
        <v>46133</v>
      </c>
      <c r="I1150" s="75">
        <f t="shared" si="374"/>
        <v>46140</v>
      </c>
      <c r="J1150" s="75">
        <v>46156</v>
      </c>
      <c r="K1150" s="25">
        <f t="shared" si="367"/>
        <v>31</v>
      </c>
      <c r="L1150" s="25">
        <v>13.42</v>
      </c>
      <c r="M1150" s="25">
        <v>11.75</v>
      </c>
      <c r="N1150" s="25">
        <f t="shared" si="368"/>
        <v>1.67</v>
      </c>
      <c r="O1150" s="25" t="s">
        <v>545</v>
      </c>
    </row>
    <row r="1151" spans="1:15" x14ac:dyDescent="0.25">
      <c r="A1151" s="75">
        <v>46125</v>
      </c>
      <c r="B1151" s="25" t="s">
        <v>553</v>
      </c>
      <c r="C1151" s="25" t="s">
        <v>648</v>
      </c>
      <c r="D1151" s="75">
        <f t="shared" si="369"/>
        <v>46148</v>
      </c>
      <c r="E1151" s="75">
        <f t="shared" si="370"/>
        <v>46132</v>
      </c>
      <c r="F1151" s="75">
        <f t="shared" si="371"/>
        <v>46139</v>
      </c>
      <c r="G1151" s="75">
        <f t="shared" si="372"/>
        <v>46145</v>
      </c>
      <c r="H1151" s="75">
        <f t="shared" si="373"/>
        <v>46133</v>
      </c>
      <c r="I1151" s="75">
        <f t="shared" si="374"/>
        <v>46140</v>
      </c>
      <c r="J1151" s="75">
        <v>46156</v>
      </c>
      <c r="K1151" s="25">
        <f t="shared" si="367"/>
        <v>31</v>
      </c>
      <c r="L1151" s="25">
        <v>14.21</v>
      </c>
      <c r="M1151" s="25">
        <v>12.43</v>
      </c>
      <c r="N1151" s="25">
        <f t="shared" si="368"/>
        <v>1.7800000000000011</v>
      </c>
      <c r="O1151" s="25" t="s">
        <v>545</v>
      </c>
    </row>
    <row r="1152" spans="1:15" x14ac:dyDescent="0.25">
      <c r="A1152" s="75">
        <v>46125</v>
      </c>
      <c r="B1152" s="25" t="s">
        <v>554</v>
      </c>
      <c r="C1152" s="25" t="s">
        <v>649</v>
      </c>
      <c r="D1152" s="75">
        <f t="shared" si="369"/>
        <v>46148</v>
      </c>
      <c r="E1152" s="75">
        <f t="shared" si="370"/>
        <v>46132</v>
      </c>
      <c r="F1152" s="75">
        <f t="shared" si="371"/>
        <v>46139</v>
      </c>
      <c r="G1152" s="75">
        <f t="shared" si="372"/>
        <v>46145</v>
      </c>
      <c r="H1152" s="75">
        <f t="shared" si="373"/>
        <v>46133</v>
      </c>
      <c r="I1152" s="75">
        <f t="shared" si="374"/>
        <v>46140</v>
      </c>
      <c r="J1152" s="75">
        <v>46156</v>
      </c>
      <c r="K1152" s="25">
        <f t="shared" si="367"/>
        <v>31</v>
      </c>
      <c r="L1152" s="25">
        <v>15.08</v>
      </c>
      <c r="M1152" s="25">
        <v>13.15</v>
      </c>
      <c r="N1152" s="25">
        <f t="shared" si="368"/>
        <v>1.9299999999999997</v>
      </c>
      <c r="O1152" s="25" t="s">
        <v>545</v>
      </c>
    </row>
    <row r="1153" spans="1:15" x14ac:dyDescent="0.25">
      <c r="A1153" s="75">
        <v>46125</v>
      </c>
      <c r="B1153" s="25" t="s">
        <v>555</v>
      </c>
      <c r="C1153" s="25" t="s">
        <v>650</v>
      </c>
      <c r="D1153" s="75">
        <f t="shared" si="369"/>
        <v>46148</v>
      </c>
      <c r="E1153" s="75">
        <f t="shared" si="370"/>
        <v>46132</v>
      </c>
      <c r="F1153" s="75">
        <f t="shared" si="371"/>
        <v>46139</v>
      </c>
      <c r="G1153" s="75">
        <f t="shared" si="372"/>
        <v>46145</v>
      </c>
      <c r="H1153" s="75">
        <f t="shared" si="373"/>
        <v>46133</v>
      </c>
      <c r="I1153" s="75">
        <f t="shared" si="374"/>
        <v>46140</v>
      </c>
      <c r="J1153" s="75">
        <v>46156</v>
      </c>
      <c r="K1153" s="25">
        <f t="shared" si="367"/>
        <v>31</v>
      </c>
      <c r="L1153" s="25">
        <v>13.1</v>
      </c>
      <c r="M1153" s="25">
        <v>11.22</v>
      </c>
      <c r="N1153" s="25">
        <f t="shared" si="368"/>
        <v>1.879999999999999</v>
      </c>
      <c r="O1153" s="25" t="s">
        <v>545</v>
      </c>
    </row>
    <row r="1154" spans="1:15" x14ac:dyDescent="0.25">
      <c r="A1154" s="75">
        <v>46125</v>
      </c>
      <c r="B1154" s="25" t="s">
        <v>556</v>
      </c>
      <c r="C1154" s="25" t="s">
        <v>651</v>
      </c>
      <c r="D1154" s="75">
        <f t="shared" si="369"/>
        <v>46148</v>
      </c>
      <c r="E1154" s="75">
        <f t="shared" si="370"/>
        <v>46132</v>
      </c>
      <c r="F1154" s="75">
        <f t="shared" si="371"/>
        <v>46139</v>
      </c>
      <c r="G1154" s="75">
        <f t="shared" si="372"/>
        <v>46145</v>
      </c>
      <c r="H1154" s="75">
        <f t="shared" si="373"/>
        <v>46133</v>
      </c>
      <c r="I1154" s="75">
        <f t="shared" si="374"/>
        <v>46140</v>
      </c>
      <c r="J1154" s="75">
        <v>46156</v>
      </c>
      <c r="K1154" s="25">
        <f t="shared" si="367"/>
        <v>31</v>
      </c>
      <c r="L1154" s="25">
        <v>12.93</v>
      </c>
      <c r="M1154" s="25">
        <v>10.58</v>
      </c>
      <c r="N1154" s="25">
        <f t="shared" si="368"/>
        <v>2.3499999999999996</v>
      </c>
      <c r="O1154" s="25" t="s">
        <v>545</v>
      </c>
    </row>
    <row r="1155" spans="1:15" x14ac:dyDescent="0.25">
      <c r="A1155" s="75">
        <v>46125</v>
      </c>
      <c r="B1155" s="25" t="s">
        <v>557</v>
      </c>
      <c r="C1155" s="25" t="s">
        <v>652</v>
      </c>
      <c r="D1155" s="75">
        <f t="shared" si="369"/>
        <v>46148</v>
      </c>
      <c r="E1155" s="75">
        <f t="shared" si="370"/>
        <v>46132</v>
      </c>
      <c r="F1155" s="75">
        <f t="shared" si="371"/>
        <v>46139</v>
      </c>
      <c r="G1155" s="75">
        <f t="shared" si="372"/>
        <v>46145</v>
      </c>
      <c r="H1155" s="75">
        <f t="shared" si="373"/>
        <v>46133</v>
      </c>
      <c r="I1155" s="75">
        <f t="shared" si="374"/>
        <v>46140</v>
      </c>
      <c r="J1155" s="75">
        <v>46156</v>
      </c>
      <c r="K1155" s="25">
        <f t="shared" si="367"/>
        <v>31</v>
      </c>
      <c r="L1155" s="25">
        <v>15.45</v>
      </c>
      <c r="M1155" s="25">
        <v>13.66</v>
      </c>
      <c r="N1155" s="25">
        <f t="shared" si="368"/>
        <v>1.7899999999999991</v>
      </c>
      <c r="O1155" s="25" t="s">
        <v>545</v>
      </c>
    </row>
    <row r="1156" spans="1:15" x14ac:dyDescent="0.25">
      <c r="A1156" s="75">
        <v>46126</v>
      </c>
      <c r="B1156" s="25" t="s">
        <v>506</v>
      </c>
      <c r="C1156" s="25" t="s">
        <v>609</v>
      </c>
      <c r="D1156" s="75">
        <f t="shared" si="369"/>
        <v>46149</v>
      </c>
      <c r="E1156" s="75">
        <f t="shared" si="370"/>
        <v>46133</v>
      </c>
      <c r="F1156" s="75">
        <f t="shared" si="371"/>
        <v>46140</v>
      </c>
      <c r="G1156" s="75">
        <f t="shared" si="372"/>
        <v>46146</v>
      </c>
      <c r="H1156" s="75">
        <f t="shared" si="373"/>
        <v>46134</v>
      </c>
      <c r="I1156" s="75">
        <f t="shared" si="374"/>
        <v>46141</v>
      </c>
      <c r="J1156" s="75">
        <v>46157</v>
      </c>
      <c r="K1156" s="25">
        <f t="shared" si="367"/>
        <v>31</v>
      </c>
      <c r="L1156" s="25">
        <v>12.21</v>
      </c>
      <c r="M1156" s="25">
        <v>10.24</v>
      </c>
      <c r="N1156" s="25">
        <f t="shared" si="368"/>
        <v>1.9700000000000006</v>
      </c>
      <c r="O1156" s="25" t="s">
        <v>545</v>
      </c>
    </row>
    <row r="1157" spans="1:15" x14ac:dyDescent="0.25">
      <c r="A1157" s="75">
        <v>46126</v>
      </c>
      <c r="B1157" s="25" t="s">
        <v>507</v>
      </c>
      <c r="C1157" s="25" t="s">
        <v>610</v>
      </c>
      <c r="D1157" s="75">
        <f t="shared" si="369"/>
        <v>46149</v>
      </c>
      <c r="E1157" s="75">
        <f t="shared" si="370"/>
        <v>46133</v>
      </c>
      <c r="F1157" s="75">
        <f t="shared" si="371"/>
        <v>46140</v>
      </c>
      <c r="G1157" s="75">
        <f t="shared" si="372"/>
        <v>46146</v>
      </c>
      <c r="H1157" s="75">
        <f t="shared" si="373"/>
        <v>46134</v>
      </c>
      <c r="I1157" s="75">
        <f t="shared" si="374"/>
        <v>46141</v>
      </c>
      <c r="J1157" s="75">
        <v>46157</v>
      </c>
      <c r="K1157" s="25">
        <f t="shared" si="367"/>
        <v>31</v>
      </c>
      <c r="L1157" s="25">
        <v>13.84</v>
      </c>
      <c r="M1157" s="25">
        <v>11.73</v>
      </c>
      <c r="N1157" s="25">
        <f t="shared" si="368"/>
        <v>2.1099999999999994</v>
      </c>
      <c r="O1157" s="25" t="s">
        <v>545</v>
      </c>
    </row>
    <row r="1158" spans="1:15" x14ac:dyDescent="0.25">
      <c r="A1158" s="75">
        <v>46126</v>
      </c>
      <c r="B1158" s="25" t="s">
        <v>508</v>
      </c>
      <c r="C1158" s="25" t="s">
        <v>611</v>
      </c>
      <c r="D1158" s="75">
        <f t="shared" si="369"/>
        <v>46149</v>
      </c>
      <c r="E1158" s="75">
        <f t="shared" si="370"/>
        <v>46133</v>
      </c>
      <c r="F1158" s="75">
        <f t="shared" si="371"/>
        <v>46140</v>
      </c>
      <c r="G1158" s="75">
        <f t="shared" si="372"/>
        <v>46146</v>
      </c>
      <c r="H1158" s="75">
        <f t="shared" si="373"/>
        <v>46134</v>
      </c>
      <c r="I1158" s="75">
        <f t="shared" si="374"/>
        <v>46141</v>
      </c>
      <c r="J1158" s="75">
        <v>46157</v>
      </c>
      <c r="K1158" s="25">
        <f t="shared" si="367"/>
        <v>31</v>
      </c>
      <c r="L1158" s="25">
        <v>12.56</v>
      </c>
      <c r="M1158" s="25">
        <v>10.31</v>
      </c>
      <c r="N1158" s="25">
        <f t="shared" si="368"/>
        <v>2.25</v>
      </c>
      <c r="O1158" s="25" t="s">
        <v>545</v>
      </c>
    </row>
    <row r="1159" spans="1:15" x14ac:dyDescent="0.25">
      <c r="A1159" s="75">
        <v>46126</v>
      </c>
      <c r="B1159" s="25" t="s">
        <v>509</v>
      </c>
      <c r="C1159" s="25" t="s">
        <v>612</v>
      </c>
      <c r="D1159" s="75">
        <f t="shared" si="369"/>
        <v>46149</v>
      </c>
      <c r="E1159" s="75">
        <f t="shared" si="370"/>
        <v>46133</v>
      </c>
      <c r="F1159" s="75">
        <f t="shared" si="371"/>
        <v>46140</v>
      </c>
      <c r="G1159" s="75">
        <f t="shared" si="372"/>
        <v>46146</v>
      </c>
      <c r="H1159" s="75">
        <f t="shared" si="373"/>
        <v>46134</v>
      </c>
      <c r="I1159" s="75">
        <f t="shared" si="374"/>
        <v>46141</v>
      </c>
      <c r="J1159" s="75">
        <v>46157</v>
      </c>
      <c r="K1159" s="25">
        <f t="shared" si="367"/>
        <v>31</v>
      </c>
      <c r="L1159" s="25">
        <v>12.79</v>
      </c>
      <c r="M1159" s="25">
        <v>10.58</v>
      </c>
      <c r="N1159" s="25">
        <f t="shared" si="368"/>
        <v>2.2099999999999991</v>
      </c>
      <c r="O1159" s="25" t="s">
        <v>545</v>
      </c>
    </row>
    <row r="1160" spans="1:15" x14ac:dyDescent="0.25">
      <c r="A1160" s="75">
        <v>46126</v>
      </c>
      <c r="B1160" s="25" t="s">
        <v>510</v>
      </c>
      <c r="C1160" s="25" t="s">
        <v>613</v>
      </c>
      <c r="D1160" s="75">
        <f t="shared" si="369"/>
        <v>46149</v>
      </c>
      <c r="E1160" s="75">
        <f t="shared" si="370"/>
        <v>46133</v>
      </c>
      <c r="F1160" s="75">
        <f t="shared" si="371"/>
        <v>46140</v>
      </c>
      <c r="G1160" s="75">
        <f t="shared" si="372"/>
        <v>46146</v>
      </c>
      <c r="H1160" s="75">
        <f t="shared" si="373"/>
        <v>46134</v>
      </c>
      <c r="I1160" s="75">
        <f t="shared" si="374"/>
        <v>46141</v>
      </c>
      <c r="J1160" s="75">
        <v>46156</v>
      </c>
      <c r="K1160" s="25">
        <f t="shared" si="367"/>
        <v>30</v>
      </c>
      <c r="L1160" s="25">
        <v>12.31</v>
      </c>
      <c r="M1160" s="25">
        <v>10.56</v>
      </c>
      <c r="N1160" s="25">
        <f t="shared" si="368"/>
        <v>1.75</v>
      </c>
      <c r="O1160" s="25" t="s">
        <v>545</v>
      </c>
    </row>
    <row r="1161" spans="1:15" x14ac:dyDescent="0.25">
      <c r="A1161" s="75">
        <v>46127</v>
      </c>
      <c r="B1161" s="25" t="s">
        <v>499</v>
      </c>
      <c r="C1161" s="25" t="s">
        <v>664</v>
      </c>
      <c r="D1161" s="75">
        <f t="shared" si="369"/>
        <v>46150</v>
      </c>
      <c r="E1161" s="75">
        <f t="shared" si="370"/>
        <v>46134</v>
      </c>
      <c r="F1161" s="75">
        <f t="shared" si="371"/>
        <v>46141</v>
      </c>
      <c r="G1161" s="75">
        <f t="shared" si="372"/>
        <v>46147</v>
      </c>
      <c r="H1161" s="75">
        <f t="shared" si="373"/>
        <v>46135</v>
      </c>
      <c r="I1161" s="75">
        <f t="shared" si="374"/>
        <v>46142</v>
      </c>
      <c r="J1161" s="75">
        <v>46158</v>
      </c>
      <c r="K1161" s="25">
        <f t="shared" si="367"/>
        <v>31</v>
      </c>
      <c r="L1161" s="25">
        <v>15.16</v>
      </c>
      <c r="M1161" s="25">
        <v>13.35</v>
      </c>
      <c r="N1161" s="25">
        <f t="shared" si="368"/>
        <v>1.8100000000000005</v>
      </c>
      <c r="O1161" s="25" t="s">
        <v>545</v>
      </c>
    </row>
    <row r="1162" spans="1:15" x14ac:dyDescent="0.25">
      <c r="A1162" s="75">
        <v>46127</v>
      </c>
      <c r="B1162" s="25" t="s">
        <v>500</v>
      </c>
      <c r="C1162" s="25" t="s">
        <v>665</v>
      </c>
      <c r="D1162" s="75">
        <f t="shared" si="369"/>
        <v>46150</v>
      </c>
      <c r="E1162" s="75">
        <f t="shared" si="370"/>
        <v>46134</v>
      </c>
      <c r="F1162" s="75">
        <f t="shared" si="371"/>
        <v>46141</v>
      </c>
      <c r="G1162" s="75">
        <f t="shared" si="372"/>
        <v>46147</v>
      </c>
      <c r="H1162" s="75">
        <f t="shared" si="373"/>
        <v>46135</v>
      </c>
      <c r="I1162" s="75">
        <f t="shared" si="374"/>
        <v>46142</v>
      </c>
      <c r="J1162" s="75">
        <v>46157</v>
      </c>
      <c r="K1162" s="25">
        <f t="shared" si="367"/>
        <v>30</v>
      </c>
      <c r="L1162" s="25">
        <v>14.06</v>
      </c>
      <c r="M1162" s="25">
        <v>12.16</v>
      </c>
      <c r="N1162" s="25">
        <f t="shared" si="368"/>
        <v>1.9000000000000004</v>
      </c>
      <c r="O1162" s="25" t="s">
        <v>545</v>
      </c>
    </row>
    <row r="1163" spans="1:15" x14ac:dyDescent="0.25">
      <c r="A1163" s="75">
        <v>46127</v>
      </c>
      <c r="B1163" s="25" t="s">
        <v>501</v>
      </c>
      <c r="C1163" s="25" t="s">
        <v>666</v>
      </c>
      <c r="D1163" s="75">
        <f t="shared" si="369"/>
        <v>46150</v>
      </c>
      <c r="E1163" s="75">
        <f t="shared" si="370"/>
        <v>46134</v>
      </c>
      <c r="F1163" s="75">
        <f t="shared" si="371"/>
        <v>46141</v>
      </c>
      <c r="G1163" s="75">
        <f t="shared" si="372"/>
        <v>46147</v>
      </c>
      <c r="H1163" s="75">
        <f t="shared" si="373"/>
        <v>46135</v>
      </c>
      <c r="I1163" s="75">
        <f t="shared" si="374"/>
        <v>46142</v>
      </c>
      <c r="J1163" s="75">
        <v>46157</v>
      </c>
      <c r="K1163" s="25">
        <f t="shared" si="367"/>
        <v>30</v>
      </c>
      <c r="L1163" s="25">
        <v>13.1</v>
      </c>
      <c r="M1163" s="25">
        <v>11.49</v>
      </c>
      <c r="N1163" s="25">
        <f t="shared" si="368"/>
        <v>1.6099999999999994</v>
      </c>
      <c r="O1163" s="25" t="s">
        <v>545</v>
      </c>
    </row>
    <row r="1164" spans="1:15" x14ac:dyDescent="0.25">
      <c r="A1164" s="75">
        <v>46127</v>
      </c>
      <c r="B1164" s="25" t="s">
        <v>502</v>
      </c>
      <c r="C1164" s="25" t="s">
        <v>667</v>
      </c>
      <c r="D1164" s="75">
        <f t="shared" si="369"/>
        <v>46150</v>
      </c>
      <c r="E1164" s="75">
        <f t="shared" si="370"/>
        <v>46134</v>
      </c>
      <c r="F1164" s="75">
        <f t="shared" si="371"/>
        <v>46141</v>
      </c>
      <c r="G1164" s="75">
        <f t="shared" si="372"/>
        <v>46147</v>
      </c>
      <c r="H1164" s="75">
        <f t="shared" si="373"/>
        <v>46135</v>
      </c>
      <c r="I1164" s="75">
        <f t="shared" si="374"/>
        <v>46142</v>
      </c>
      <c r="J1164" s="75">
        <v>46157</v>
      </c>
      <c r="K1164" s="25">
        <f t="shared" ref="K1164:K1227" si="377">J1164-A1164</f>
        <v>30</v>
      </c>
      <c r="L1164" s="25">
        <v>12.98</v>
      </c>
      <c r="M1164" s="25">
        <v>11.26</v>
      </c>
      <c r="N1164" s="25">
        <f t="shared" si="368"/>
        <v>1.7200000000000006</v>
      </c>
      <c r="O1164" s="25" t="s">
        <v>545</v>
      </c>
    </row>
    <row r="1165" spans="1:15" x14ac:dyDescent="0.25">
      <c r="A1165" s="75">
        <v>46127</v>
      </c>
      <c r="B1165" s="25" t="s">
        <v>503</v>
      </c>
      <c r="C1165" s="25" t="s">
        <v>668</v>
      </c>
      <c r="D1165" s="75">
        <f t="shared" si="369"/>
        <v>46150</v>
      </c>
      <c r="E1165" s="75">
        <f t="shared" si="370"/>
        <v>46134</v>
      </c>
      <c r="F1165" s="75">
        <f t="shared" si="371"/>
        <v>46141</v>
      </c>
      <c r="G1165" s="75">
        <f t="shared" si="372"/>
        <v>46147</v>
      </c>
      <c r="H1165" s="75">
        <f t="shared" si="373"/>
        <v>46135</v>
      </c>
      <c r="I1165" s="75">
        <f t="shared" si="374"/>
        <v>46142</v>
      </c>
      <c r="J1165" s="75">
        <v>46157</v>
      </c>
      <c r="K1165" s="25">
        <f t="shared" si="377"/>
        <v>30</v>
      </c>
      <c r="L1165" s="25">
        <v>14.87</v>
      </c>
      <c r="M1165" s="25">
        <v>12.18</v>
      </c>
      <c r="N1165" s="25">
        <f t="shared" ref="N1165:N1228" si="378">L1165-M1165</f>
        <v>2.6899999999999995</v>
      </c>
      <c r="O1165" s="25" t="s">
        <v>545</v>
      </c>
    </row>
    <row r="1166" spans="1:15" x14ac:dyDescent="0.25">
      <c r="A1166" s="75">
        <v>46127</v>
      </c>
      <c r="B1166" s="25" t="s">
        <v>504</v>
      </c>
      <c r="C1166" s="25" t="s">
        <v>607</v>
      </c>
      <c r="D1166" s="75">
        <f t="shared" si="369"/>
        <v>46150</v>
      </c>
      <c r="E1166" s="75">
        <f t="shared" si="370"/>
        <v>46134</v>
      </c>
      <c r="F1166" s="75">
        <f t="shared" si="371"/>
        <v>46141</v>
      </c>
      <c r="G1166" s="75">
        <f t="shared" si="372"/>
        <v>46147</v>
      </c>
      <c r="H1166" s="75">
        <f t="shared" si="373"/>
        <v>46135</v>
      </c>
      <c r="I1166" s="75">
        <f t="shared" si="374"/>
        <v>46142</v>
      </c>
      <c r="J1166" s="75">
        <v>46157</v>
      </c>
      <c r="K1166" s="25">
        <f t="shared" si="377"/>
        <v>30</v>
      </c>
      <c r="L1166" s="25">
        <v>13.32</v>
      </c>
      <c r="M1166" s="25">
        <v>11.54</v>
      </c>
      <c r="N1166" s="25">
        <f t="shared" si="378"/>
        <v>1.7800000000000011</v>
      </c>
      <c r="O1166" s="25" t="s">
        <v>545</v>
      </c>
    </row>
    <row r="1167" spans="1:15" x14ac:dyDescent="0.25">
      <c r="A1167" s="75">
        <v>46127</v>
      </c>
      <c r="B1167" s="25" t="s">
        <v>505</v>
      </c>
      <c r="C1167" s="25" t="s">
        <v>608</v>
      </c>
      <c r="D1167" s="75">
        <f t="shared" si="369"/>
        <v>46150</v>
      </c>
      <c r="E1167" s="75">
        <f t="shared" si="370"/>
        <v>46134</v>
      </c>
      <c r="F1167" s="75">
        <f t="shared" si="371"/>
        <v>46141</v>
      </c>
      <c r="G1167" s="75">
        <f t="shared" si="372"/>
        <v>46147</v>
      </c>
      <c r="H1167" s="75">
        <f t="shared" si="373"/>
        <v>46135</v>
      </c>
      <c r="I1167" s="75">
        <f t="shared" si="374"/>
        <v>46142</v>
      </c>
      <c r="J1167" s="75">
        <v>46157</v>
      </c>
      <c r="K1167" s="25">
        <f t="shared" si="377"/>
        <v>30</v>
      </c>
      <c r="L1167" s="25">
        <v>14.37</v>
      </c>
      <c r="M1167" s="25">
        <v>12.22</v>
      </c>
      <c r="N1167" s="25">
        <f t="shared" si="378"/>
        <v>2.1499999999999986</v>
      </c>
      <c r="O1167" s="25" t="s">
        <v>545</v>
      </c>
    </row>
    <row r="1168" spans="1:15" x14ac:dyDescent="0.25">
      <c r="A1168" s="75">
        <v>46128</v>
      </c>
      <c r="B1168" s="25" t="s">
        <v>492</v>
      </c>
      <c r="C1168" s="25" t="s">
        <v>672</v>
      </c>
      <c r="D1168" s="75">
        <f t="shared" si="369"/>
        <v>46151</v>
      </c>
      <c r="E1168" s="75">
        <f t="shared" si="370"/>
        <v>46135</v>
      </c>
      <c r="F1168" s="75">
        <f t="shared" si="371"/>
        <v>46142</v>
      </c>
      <c r="G1168" s="75">
        <f t="shared" si="372"/>
        <v>46148</v>
      </c>
      <c r="H1168" s="75">
        <f t="shared" si="373"/>
        <v>46136</v>
      </c>
      <c r="I1168" s="75">
        <f t="shared" si="374"/>
        <v>46143</v>
      </c>
      <c r="J1168" s="75">
        <v>46159</v>
      </c>
      <c r="K1168" s="25">
        <f t="shared" si="377"/>
        <v>31</v>
      </c>
      <c r="L1168" s="25">
        <v>13.28</v>
      </c>
      <c r="M1168" s="25">
        <v>11.58</v>
      </c>
      <c r="N1168" s="25">
        <f t="shared" si="378"/>
        <v>1.6999999999999993</v>
      </c>
      <c r="O1168" s="25" t="s">
        <v>545</v>
      </c>
    </row>
    <row r="1169" spans="1:15" x14ac:dyDescent="0.25">
      <c r="A1169" s="75">
        <v>46128</v>
      </c>
      <c r="B1169" s="25" t="s">
        <v>493</v>
      </c>
      <c r="C1169" s="25" t="s">
        <v>673</v>
      </c>
      <c r="D1169" s="75">
        <f t="shared" si="369"/>
        <v>46151</v>
      </c>
      <c r="E1169" s="75">
        <f t="shared" si="370"/>
        <v>46135</v>
      </c>
      <c r="F1169" s="75">
        <f t="shared" si="371"/>
        <v>46142</v>
      </c>
      <c r="G1169" s="75">
        <f t="shared" si="372"/>
        <v>46148</v>
      </c>
      <c r="H1169" s="75">
        <f t="shared" si="373"/>
        <v>46136</v>
      </c>
      <c r="I1169" s="75">
        <f t="shared" si="374"/>
        <v>46143</v>
      </c>
      <c r="J1169" s="75">
        <v>46159</v>
      </c>
      <c r="K1169" s="25">
        <f t="shared" si="377"/>
        <v>31</v>
      </c>
      <c r="L1169" s="25">
        <v>14.47</v>
      </c>
      <c r="M1169" s="25">
        <v>12.55</v>
      </c>
      <c r="N1169" s="25">
        <f t="shared" si="378"/>
        <v>1.92</v>
      </c>
      <c r="O1169" s="25" t="s">
        <v>545</v>
      </c>
    </row>
    <row r="1170" spans="1:15" x14ac:dyDescent="0.25">
      <c r="A1170" s="75">
        <v>46128</v>
      </c>
      <c r="B1170" s="25" t="s">
        <v>494</v>
      </c>
      <c r="C1170" s="25" t="s">
        <v>674</v>
      </c>
      <c r="D1170" s="75">
        <f t="shared" si="369"/>
        <v>46151</v>
      </c>
      <c r="E1170" s="75">
        <f t="shared" si="370"/>
        <v>46135</v>
      </c>
      <c r="F1170" s="75">
        <f t="shared" si="371"/>
        <v>46142</v>
      </c>
      <c r="G1170" s="75">
        <f t="shared" si="372"/>
        <v>46148</v>
      </c>
      <c r="H1170" s="75">
        <f t="shared" si="373"/>
        <v>46136</v>
      </c>
      <c r="I1170" s="75">
        <f t="shared" si="374"/>
        <v>46143</v>
      </c>
      <c r="J1170" s="75">
        <v>46158</v>
      </c>
      <c r="K1170" s="25">
        <f t="shared" si="377"/>
        <v>30</v>
      </c>
      <c r="L1170" s="25">
        <v>14.51</v>
      </c>
      <c r="M1170" s="25">
        <v>12.41</v>
      </c>
      <c r="N1170" s="25">
        <f t="shared" si="378"/>
        <v>2.0999999999999996</v>
      </c>
      <c r="O1170" s="25" t="s">
        <v>545</v>
      </c>
    </row>
    <row r="1171" spans="1:15" x14ac:dyDescent="0.25">
      <c r="A1171" s="75">
        <v>46128</v>
      </c>
      <c r="B1171" s="25" t="s">
        <v>495</v>
      </c>
      <c r="C1171" s="25" t="s">
        <v>675</v>
      </c>
      <c r="D1171" s="75">
        <f t="shared" ref="D1171:D1198" si="379">A1171+23</f>
        <v>46151</v>
      </c>
      <c r="E1171" s="75">
        <f t="shared" ref="E1171:E1198" si="380">A1171+7</f>
        <v>46135</v>
      </c>
      <c r="F1171" s="75">
        <f t="shared" ref="F1171:F1198" si="381">A1171+14</f>
        <v>46142</v>
      </c>
      <c r="G1171" s="75">
        <f t="shared" ref="G1171:G1198" si="382">A1171+20</f>
        <v>46148</v>
      </c>
      <c r="H1171" s="75">
        <f t="shared" ref="H1171:H1198" si="383">A1171+8</f>
        <v>46136</v>
      </c>
      <c r="I1171" s="75">
        <f t="shared" ref="I1171:I1198" si="384">A1171+15</f>
        <v>46143</v>
      </c>
      <c r="J1171" s="75">
        <v>46158</v>
      </c>
      <c r="K1171" s="25">
        <f t="shared" si="377"/>
        <v>30</v>
      </c>
      <c r="L1171" s="25">
        <v>14.98</v>
      </c>
      <c r="M1171" s="25">
        <v>13.1</v>
      </c>
      <c r="N1171" s="25">
        <f t="shared" si="378"/>
        <v>1.8800000000000008</v>
      </c>
      <c r="O1171" s="25" t="s">
        <v>545</v>
      </c>
    </row>
    <row r="1172" spans="1:15" x14ac:dyDescent="0.25">
      <c r="A1172" s="75">
        <v>46128</v>
      </c>
      <c r="B1172" s="25" t="s">
        <v>496</v>
      </c>
      <c r="C1172" s="25" t="s">
        <v>676</v>
      </c>
      <c r="D1172" s="75">
        <f t="shared" si="379"/>
        <v>46151</v>
      </c>
      <c r="E1172" s="75">
        <f t="shared" si="380"/>
        <v>46135</v>
      </c>
      <c r="F1172" s="75">
        <f t="shared" si="381"/>
        <v>46142</v>
      </c>
      <c r="G1172" s="75">
        <f t="shared" si="382"/>
        <v>46148</v>
      </c>
      <c r="H1172" s="75">
        <f t="shared" si="383"/>
        <v>46136</v>
      </c>
      <c r="I1172" s="75">
        <f t="shared" si="384"/>
        <v>46143</v>
      </c>
      <c r="J1172" s="75">
        <v>46158</v>
      </c>
      <c r="K1172" s="25">
        <f t="shared" si="377"/>
        <v>30</v>
      </c>
      <c r="L1172" s="25">
        <v>14.19</v>
      </c>
      <c r="M1172" s="25">
        <v>12.13</v>
      </c>
      <c r="N1172" s="25">
        <f t="shared" si="378"/>
        <v>2.0599999999999987</v>
      </c>
      <c r="O1172" s="25" t="s">
        <v>545</v>
      </c>
    </row>
    <row r="1173" spans="1:15" x14ac:dyDescent="0.25">
      <c r="A1173" s="75">
        <v>46128</v>
      </c>
      <c r="B1173" s="25" t="s">
        <v>497</v>
      </c>
      <c r="C1173" s="25" t="s">
        <v>662</v>
      </c>
      <c r="D1173" s="75">
        <f t="shared" si="379"/>
        <v>46151</v>
      </c>
      <c r="E1173" s="75">
        <f t="shared" si="380"/>
        <v>46135</v>
      </c>
      <c r="F1173" s="75">
        <f t="shared" si="381"/>
        <v>46142</v>
      </c>
      <c r="G1173" s="75">
        <f t="shared" si="382"/>
        <v>46148</v>
      </c>
      <c r="H1173" s="75">
        <f t="shared" si="383"/>
        <v>46136</v>
      </c>
      <c r="I1173" s="75">
        <f t="shared" si="384"/>
        <v>46143</v>
      </c>
      <c r="J1173" s="75">
        <v>46158</v>
      </c>
      <c r="K1173" s="25">
        <f t="shared" si="377"/>
        <v>30</v>
      </c>
      <c r="L1173" s="25">
        <v>12.97</v>
      </c>
      <c r="M1173" s="25">
        <v>13.1</v>
      </c>
      <c r="N1173" s="25">
        <f t="shared" si="378"/>
        <v>-0.12999999999999901</v>
      </c>
      <c r="O1173" s="25" t="s">
        <v>545</v>
      </c>
    </row>
    <row r="1174" spans="1:15" x14ac:dyDescent="0.25">
      <c r="A1174" s="75">
        <v>46128</v>
      </c>
      <c r="B1174" s="25" t="s">
        <v>498</v>
      </c>
      <c r="C1174" s="25" t="s">
        <v>663</v>
      </c>
      <c r="D1174" s="75">
        <f t="shared" si="379"/>
        <v>46151</v>
      </c>
      <c r="E1174" s="75">
        <f t="shared" si="380"/>
        <v>46135</v>
      </c>
      <c r="F1174" s="75">
        <f t="shared" si="381"/>
        <v>46142</v>
      </c>
      <c r="G1174" s="75">
        <f t="shared" si="382"/>
        <v>46148</v>
      </c>
      <c r="H1174" s="75">
        <f t="shared" si="383"/>
        <v>46136</v>
      </c>
      <c r="I1174" s="75">
        <f t="shared" si="384"/>
        <v>46143</v>
      </c>
      <c r="J1174" s="75">
        <v>46158</v>
      </c>
      <c r="K1174" s="25">
        <f t="shared" si="377"/>
        <v>30</v>
      </c>
      <c r="L1174" s="25">
        <v>14.1</v>
      </c>
      <c r="M1174" s="25">
        <v>12.41</v>
      </c>
      <c r="N1174" s="25">
        <f t="shared" si="378"/>
        <v>1.6899999999999995</v>
      </c>
      <c r="O1174" s="25" t="s">
        <v>545</v>
      </c>
    </row>
    <row r="1175" spans="1:15" x14ac:dyDescent="0.25">
      <c r="A1175" s="75">
        <v>46129</v>
      </c>
      <c r="B1175" s="25" t="s">
        <v>489</v>
      </c>
      <c r="C1175" s="25" t="s">
        <v>669</v>
      </c>
      <c r="D1175" s="75">
        <f t="shared" si="379"/>
        <v>46152</v>
      </c>
      <c r="E1175" s="75">
        <f t="shared" si="380"/>
        <v>46136</v>
      </c>
      <c r="F1175" s="75">
        <f t="shared" si="381"/>
        <v>46143</v>
      </c>
      <c r="G1175" s="75">
        <f t="shared" si="382"/>
        <v>46149</v>
      </c>
      <c r="H1175" s="75">
        <f t="shared" si="383"/>
        <v>46137</v>
      </c>
      <c r="I1175" s="75">
        <f t="shared" si="384"/>
        <v>46144</v>
      </c>
      <c r="J1175" s="75">
        <v>46159</v>
      </c>
      <c r="K1175" s="25">
        <f t="shared" si="377"/>
        <v>30</v>
      </c>
      <c r="L1175" s="25">
        <v>14.85</v>
      </c>
      <c r="M1175" s="25">
        <v>12.67</v>
      </c>
      <c r="N1175" s="25">
        <f t="shared" si="378"/>
        <v>2.1799999999999997</v>
      </c>
      <c r="O1175" s="25" t="s">
        <v>545</v>
      </c>
    </row>
    <row r="1176" spans="1:15" x14ac:dyDescent="0.25">
      <c r="A1176" s="75">
        <v>46129</v>
      </c>
      <c r="B1176" s="25" t="s">
        <v>490</v>
      </c>
      <c r="C1176" s="25" t="s">
        <v>670</v>
      </c>
      <c r="D1176" s="75">
        <f t="shared" si="379"/>
        <v>46152</v>
      </c>
      <c r="E1176" s="75">
        <f t="shared" si="380"/>
        <v>46136</v>
      </c>
      <c r="F1176" s="75">
        <f t="shared" si="381"/>
        <v>46143</v>
      </c>
      <c r="G1176" s="75">
        <f t="shared" si="382"/>
        <v>46149</v>
      </c>
      <c r="H1176" s="75">
        <f t="shared" si="383"/>
        <v>46137</v>
      </c>
      <c r="I1176" s="75">
        <f t="shared" si="384"/>
        <v>46144</v>
      </c>
      <c r="J1176" s="75">
        <v>46159</v>
      </c>
      <c r="K1176" s="25">
        <f t="shared" si="377"/>
        <v>30</v>
      </c>
      <c r="L1176" s="25">
        <v>12.33</v>
      </c>
      <c r="M1176" s="25">
        <v>10.66</v>
      </c>
      <c r="N1176" s="25">
        <f t="shared" si="378"/>
        <v>1.67</v>
      </c>
      <c r="O1176" s="25" t="s">
        <v>545</v>
      </c>
    </row>
    <row r="1177" spans="1:15" x14ac:dyDescent="0.25">
      <c r="A1177" s="75">
        <v>46129</v>
      </c>
      <c r="B1177" s="25" t="s">
        <v>491</v>
      </c>
      <c r="C1177" s="25" t="s">
        <v>671</v>
      </c>
      <c r="D1177" s="75">
        <f t="shared" si="379"/>
        <v>46152</v>
      </c>
      <c r="E1177" s="75">
        <f t="shared" si="380"/>
        <v>46136</v>
      </c>
      <c r="F1177" s="75">
        <f t="shared" si="381"/>
        <v>46143</v>
      </c>
      <c r="G1177" s="75">
        <f t="shared" si="382"/>
        <v>46149</v>
      </c>
      <c r="H1177" s="75">
        <f t="shared" si="383"/>
        <v>46137</v>
      </c>
      <c r="I1177" s="75">
        <f t="shared" si="384"/>
        <v>46144</v>
      </c>
      <c r="J1177" s="75">
        <v>46159</v>
      </c>
      <c r="K1177" s="25">
        <f t="shared" si="377"/>
        <v>30</v>
      </c>
      <c r="L1177" s="25">
        <v>13.1</v>
      </c>
      <c r="M1177" s="25">
        <v>11.37</v>
      </c>
      <c r="N1177" s="25">
        <f t="shared" si="378"/>
        <v>1.7300000000000004</v>
      </c>
      <c r="O1177" s="25" t="s">
        <v>545</v>
      </c>
    </row>
    <row r="1178" spans="1:15" x14ac:dyDescent="0.25">
      <c r="A1178" s="75">
        <v>46129</v>
      </c>
      <c r="B1178" s="25" t="s">
        <v>465</v>
      </c>
      <c r="C1178" s="25" t="s">
        <v>677</v>
      </c>
      <c r="D1178" s="75">
        <f t="shared" si="379"/>
        <v>46152</v>
      </c>
      <c r="E1178" s="75">
        <f t="shared" si="380"/>
        <v>46136</v>
      </c>
      <c r="F1178" s="75">
        <f t="shared" si="381"/>
        <v>46143</v>
      </c>
      <c r="G1178" s="75">
        <f t="shared" si="382"/>
        <v>46149</v>
      </c>
      <c r="H1178" s="75">
        <f t="shared" si="383"/>
        <v>46137</v>
      </c>
      <c r="I1178" s="75">
        <f t="shared" si="384"/>
        <v>46144</v>
      </c>
      <c r="J1178" s="75">
        <v>46159</v>
      </c>
      <c r="K1178" s="25">
        <f t="shared" si="377"/>
        <v>30</v>
      </c>
      <c r="L1178" s="25">
        <v>14.54</v>
      </c>
      <c r="M1178" s="25">
        <v>12.43</v>
      </c>
      <c r="N1178" s="25">
        <f t="shared" si="378"/>
        <v>2.1099999999999994</v>
      </c>
      <c r="O1178" s="25" t="s">
        <v>545</v>
      </c>
    </row>
    <row r="1179" spans="1:15" x14ac:dyDescent="0.25">
      <c r="A1179" s="75">
        <v>46129</v>
      </c>
      <c r="B1179" s="25" t="s">
        <v>466</v>
      </c>
      <c r="C1179" s="25" t="s">
        <v>678</v>
      </c>
      <c r="D1179" s="75">
        <f t="shared" si="379"/>
        <v>46152</v>
      </c>
      <c r="E1179" s="75">
        <f t="shared" si="380"/>
        <v>46136</v>
      </c>
      <c r="F1179" s="75">
        <f t="shared" si="381"/>
        <v>46143</v>
      </c>
      <c r="G1179" s="75">
        <f t="shared" si="382"/>
        <v>46149</v>
      </c>
      <c r="H1179" s="75">
        <f t="shared" si="383"/>
        <v>46137</v>
      </c>
      <c r="I1179" s="75">
        <f t="shared" si="384"/>
        <v>46144</v>
      </c>
      <c r="J1179" s="75">
        <v>46159</v>
      </c>
      <c r="K1179" s="25">
        <f t="shared" si="377"/>
        <v>30</v>
      </c>
      <c r="L1179" s="25">
        <v>15.11</v>
      </c>
      <c r="M1179" s="25">
        <v>13.16</v>
      </c>
      <c r="N1179" s="25">
        <f t="shared" si="378"/>
        <v>1.9499999999999993</v>
      </c>
      <c r="O1179" s="25" t="s">
        <v>545</v>
      </c>
    </row>
    <row r="1180" spans="1:15" x14ac:dyDescent="0.25">
      <c r="A1180" s="75">
        <v>46129</v>
      </c>
      <c r="B1180" s="25" t="s">
        <v>467</v>
      </c>
      <c r="C1180" s="25" t="s">
        <v>679</v>
      </c>
      <c r="D1180" s="75">
        <f t="shared" si="379"/>
        <v>46152</v>
      </c>
      <c r="E1180" s="75">
        <f t="shared" si="380"/>
        <v>46136</v>
      </c>
      <c r="F1180" s="75">
        <f t="shared" si="381"/>
        <v>46143</v>
      </c>
      <c r="G1180" s="75">
        <f t="shared" si="382"/>
        <v>46149</v>
      </c>
      <c r="H1180" s="75">
        <f t="shared" si="383"/>
        <v>46137</v>
      </c>
      <c r="I1180" s="75">
        <f t="shared" si="384"/>
        <v>46144</v>
      </c>
      <c r="J1180" s="75">
        <v>46160</v>
      </c>
      <c r="K1180" s="25">
        <f t="shared" si="377"/>
        <v>31</v>
      </c>
      <c r="L1180" s="25">
        <v>12.35</v>
      </c>
      <c r="M1180" s="25">
        <v>10.57</v>
      </c>
      <c r="N1180" s="25">
        <f t="shared" si="378"/>
        <v>1.7799999999999994</v>
      </c>
      <c r="O1180" s="25" t="s">
        <v>545</v>
      </c>
    </row>
    <row r="1181" spans="1:15" x14ac:dyDescent="0.25">
      <c r="A1181" s="75">
        <v>46129</v>
      </c>
      <c r="B1181" s="25" t="s">
        <v>468</v>
      </c>
      <c r="C1181" s="25" t="s">
        <v>680</v>
      </c>
      <c r="D1181" s="75">
        <f t="shared" si="379"/>
        <v>46152</v>
      </c>
      <c r="E1181" s="75">
        <f t="shared" si="380"/>
        <v>46136</v>
      </c>
      <c r="F1181" s="75">
        <f t="shared" si="381"/>
        <v>46143</v>
      </c>
      <c r="G1181" s="75">
        <f t="shared" si="382"/>
        <v>46149</v>
      </c>
      <c r="H1181" s="75">
        <f t="shared" si="383"/>
        <v>46137</v>
      </c>
      <c r="I1181" s="75">
        <f t="shared" si="384"/>
        <v>46144</v>
      </c>
      <c r="J1181" s="75">
        <v>46160</v>
      </c>
      <c r="K1181" s="25">
        <f t="shared" si="377"/>
        <v>31</v>
      </c>
      <c r="L1181" s="25">
        <v>13.08</v>
      </c>
      <c r="M1181" s="25">
        <v>11.15</v>
      </c>
      <c r="N1181" s="25">
        <f t="shared" si="378"/>
        <v>1.9299999999999997</v>
      </c>
      <c r="O1181" s="25" t="s">
        <v>545</v>
      </c>
    </row>
    <row r="1182" spans="1:15" x14ac:dyDescent="0.25">
      <c r="A1182" s="75">
        <v>46130</v>
      </c>
      <c r="B1182" s="25" t="s">
        <v>469</v>
      </c>
      <c r="C1182" s="25" t="s">
        <v>681</v>
      </c>
      <c r="D1182" s="75">
        <f t="shared" si="379"/>
        <v>46153</v>
      </c>
      <c r="E1182" s="75">
        <f t="shared" si="380"/>
        <v>46137</v>
      </c>
      <c r="F1182" s="75">
        <f t="shared" si="381"/>
        <v>46144</v>
      </c>
      <c r="G1182" s="75">
        <f t="shared" si="382"/>
        <v>46150</v>
      </c>
      <c r="H1182" s="75">
        <f t="shared" si="383"/>
        <v>46138</v>
      </c>
      <c r="I1182" s="75">
        <f t="shared" si="384"/>
        <v>46145</v>
      </c>
      <c r="J1182" s="75">
        <v>46160</v>
      </c>
      <c r="K1182" s="25">
        <f t="shared" si="377"/>
        <v>30</v>
      </c>
      <c r="L1182" s="25">
        <v>13.27</v>
      </c>
      <c r="M1182" s="25">
        <v>11.32</v>
      </c>
      <c r="N1182" s="25">
        <f t="shared" si="378"/>
        <v>1.9499999999999993</v>
      </c>
      <c r="O1182" s="25" t="s">
        <v>545</v>
      </c>
    </row>
    <row r="1183" spans="1:15" x14ac:dyDescent="0.25">
      <c r="A1183" s="75">
        <v>46130</v>
      </c>
      <c r="B1183" s="25" t="s">
        <v>470</v>
      </c>
      <c r="C1183" s="25" t="s">
        <v>682</v>
      </c>
      <c r="D1183" s="75">
        <f t="shared" si="379"/>
        <v>46153</v>
      </c>
      <c r="E1183" s="75">
        <f t="shared" si="380"/>
        <v>46137</v>
      </c>
      <c r="F1183" s="75">
        <f t="shared" si="381"/>
        <v>46144</v>
      </c>
      <c r="G1183" s="75">
        <f t="shared" si="382"/>
        <v>46150</v>
      </c>
      <c r="H1183" s="75">
        <f t="shared" si="383"/>
        <v>46138</v>
      </c>
      <c r="I1183" s="75">
        <f t="shared" si="384"/>
        <v>46145</v>
      </c>
      <c r="J1183" s="75">
        <v>46160</v>
      </c>
      <c r="K1183" s="25">
        <f t="shared" si="377"/>
        <v>30</v>
      </c>
      <c r="L1183" s="25">
        <v>15.16</v>
      </c>
      <c r="M1183" s="25">
        <v>13.28</v>
      </c>
      <c r="N1183" s="25">
        <f t="shared" si="378"/>
        <v>1.8800000000000008</v>
      </c>
      <c r="O1183" s="25" t="s">
        <v>545</v>
      </c>
    </row>
    <row r="1184" spans="1:15" x14ac:dyDescent="0.25">
      <c r="A1184" s="75">
        <v>46130</v>
      </c>
      <c r="B1184" s="25" t="s">
        <v>471</v>
      </c>
      <c r="C1184" s="25" t="s">
        <v>683</v>
      </c>
      <c r="D1184" s="75">
        <f t="shared" si="379"/>
        <v>46153</v>
      </c>
      <c r="E1184" s="75">
        <f t="shared" si="380"/>
        <v>46137</v>
      </c>
      <c r="F1184" s="75">
        <f t="shared" si="381"/>
        <v>46144</v>
      </c>
      <c r="G1184" s="75">
        <f t="shared" si="382"/>
        <v>46150</v>
      </c>
      <c r="H1184" s="75">
        <f t="shared" si="383"/>
        <v>46138</v>
      </c>
      <c r="I1184" s="75">
        <f t="shared" si="384"/>
        <v>46145</v>
      </c>
      <c r="J1184" s="75">
        <v>46160</v>
      </c>
      <c r="K1184" s="25">
        <f t="shared" si="377"/>
        <v>30</v>
      </c>
      <c r="L1184" s="25">
        <v>15.21</v>
      </c>
      <c r="M1184" s="25">
        <v>13.42</v>
      </c>
      <c r="N1184" s="25">
        <f t="shared" si="378"/>
        <v>1.7900000000000009</v>
      </c>
      <c r="O1184" s="25" t="s">
        <v>545</v>
      </c>
    </row>
    <row r="1185" spans="1:15" x14ac:dyDescent="0.25">
      <c r="A1185" s="75">
        <v>46130</v>
      </c>
      <c r="B1185" s="25" t="s">
        <v>472</v>
      </c>
      <c r="C1185" s="25" t="s">
        <v>684</v>
      </c>
      <c r="D1185" s="75">
        <f t="shared" si="379"/>
        <v>46153</v>
      </c>
      <c r="E1185" s="75">
        <f t="shared" si="380"/>
        <v>46137</v>
      </c>
      <c r="F1185" s="75">
        <f t="shared" si="381"/>
        <v>46144</v>
      </c>
      <c r="G1185" s="75">
        <f t="shared" si="382"/>
        <v>46150</v>
      </c>
      <c r="H1185" s="75">
        <f t="shared" si="383"/>
        <v>46138</v>
      </c>
      <c r="I1185" s="75">
        <f t="shared" si="384"/>
        <v>46145</v>
      </c>
      <c r="J1185" s="75">
        <v>46160</v>
      </c>
      <c r="K1185" s="25">
        <f t="shared" si="377"/>
        <v>30</v>
      </c>
      <c r="L1185" s="25">
        <v>12.36</v>
      </c>
      <c r="M1185" s="25">
        <v>10.19</v>
      </c>
      <c r="N1185" s="25">
        <f t="shared" si="378"/>
        <v>2.17</v>
      </c>
      <c r="O1185" s="25" t="s">
        <v>545</v>
      </c>
    </row>
    <row r="1186" spans="1:15" x14ac:dyDescent="0.25">
      <c r="A1186" s="75">
        <v>46130</v>
      </c>
      <c r="B1186" s="25" t="s">
        <v>473</v>
      </c>
      <c r="C1186" s="25" t="s">
        <v>685</v>
      </c>
      <c r="D1186" s="75">
        <f t="shared" si="379"/>
        <v>46153</v>
      </c>
      <c r="E1186" s="75">
        <f t="shared" si="380"/>
        <v>46137</v>
      </c>
      <c r="F1186" s="75">
        <f t="shared" si="381"/>
        <v>46144</v>
      </c>
      <c r="G1186" s="75">
        <f t="shared" si="382"/>
        <v>46150</v>
      </c>
      <c r="H1186" s="75">
        <f t="shared" si="383"/>
        <v>46138</v>
      </c>
      <c r="I1186" s="75">
        <f t="shared" si="384"/>
        <v>46145</v>
      </c>
      <c r="J1186" s="75">
        <v>46161</v>
      </c>
      <c r="K1186" s="25">
        <f t="shared" si="377"/>
        <v>31</v>
      </c>
      <c r="L1186" s="25">
        <v>12.55</v>
      </c>
      <c r="M1186" s="25">
        <v>10.119999999999999</v>
      </c>
      <c r="N1186" s="25">
        <f t="shared" si="378"/>
        <v>2.4300000000000015</v>
      </c>
      <c r="O1186" s="25" t="s">
        <v>545</v>
      </c>
    </row>
    <row r="1187" spans="1:15" x14ac:dyDescent="0.25">
      <c r="A1187" s="75">
        <v>46130</v>
      </c>
      <c r="B1187" s="25" t="s">
        <v>474</v>
      </c>
      <c r="C1187" s="25" t="s">
        <v>686</v>
      </c>
      <c r="D1187" s="75">
        <f t="shared" si="379"/>
        <v>46153</v>
      </c>
      <c r="E1187" s="75">
        <f t="shared" si="380"/>
        <v>46137</v>
      </c>
      <c r="F1187" s="75">
        <f t="shared" si="381"/>
        <v>46144</v>
      </c>
      <c r="G1187" s="75">
        <f t="shared" si="382"/>
        <v>46150</v>
      </c>
      <c r="H1187" s="75">
        <f t="shared" si="383"/>
        <v>46138</v>
      </c>
      <c r="I1187" s="75">
        <f t="shared" si="384"/>
        <v>46145</v>
      </c>
      <c r="J1187" s="75">
        <v>46161</v>
      </c>
      <c r="K1187" s="25">
        <f t="shared" si="377"/>
        <v>31</v>
      </c>
      <c r="L1187" s="25">
        <v>13.46</v>
      </c>
      <c r="M1187" s="25">
        <v>11.32</v>
      </c>
      <c r="N1187" s="25">
        <f t="shared" si="378"/>
        <v>2.1400000000000006</v>
      </c>
      <c r="O1187" s="25" t="s">
        <v>545</v>
      </c>
    </row>
    <row r="1188" spans="1:15" x14ac:dyDescent="0.25">
      <c r="A1188" s="75">
        <v>46130</v>
      </c>
      <c r="B1188" s="25" t="s">
        <v>475</v>
      </c>
      <c r="C1188" s="25" t="s">
        <v>687</v>
      </c>
      <c r="D1188" s="75">
        <f t="shared" si="379"/>
        <v>46153</v>
      </c>
      <c r="E1188" s="75">
        <f t="shared" si="380"/>
        <v>46137</v>
      </c>
      <c r="F1188" s="75">
        <f t="shared" si="381"/>
        <v>46144</v>
      </c>
      <c r="G1188" s="75">
        <f t="shared" si="382"/>
        <v>46150</v>
      </c>
      <c r="H1188" s="75">
        <f t="shared" si="383"/>
        <v>46138</v>
      </c>
      <c r="I1188" s="75">
        <f t="shared" si="384"/>
        <v>46145</v>
      </c>
      <c r="J1188" s="75">
        <v>46161</v>
      </c>
      <c r="K1188" s="25">
        <f t="shared" si="377"/>
        <v>31</v>
      </c>
      <c r="L1188" s="25">
        <v>13.32</v>
      </c>
      <c r="M1188" s="25">
        <v>11.15</v>
      </c>
      <c r="N1188" s="25">
        <f t="shared" si="378"/>
        <v>2.17</v>
      </c>
      <c r="O1188" s="25" t="s">
        <v>545</v>
      </c>
    </row>
    <row r="1189" spans="1:15" x14ac:dyDescent="0.25">
      <c r="A1189" s="75">
        <v>46131</v>
      </c>
      <c r="B1189" s="25" t="s">
        <v>476</v>
      </c>
      <c r="C1189" s="25" t="s">
        <v>688</v>
      </c>
      <c r="D1189" s="75">
        <f t="shared" si="379"/>
        <v>46154</v>
      </c>
      <c r="E1189" s="75">
        <f t="shared" si="380"/>
        <v>46138</v>
      </c>
      <c r="F1189" s="75">
        <f t="shared" si="381"/>
        <v>46145</v>
      </c>
      <c r="G1189" s="75">
        <f t="shared" si="382"/>
        <v>46151</v>
      </c>
      <c r="H1189" s="75">
        <f t="shared" si="383"/>
        <v>46139</v>
      </c>
      <c r="I1189" s="75">
        <f t="shared" si="384"/>
        <v>46146</v>
      </c>
      <c r="J1189" s="75">
        <v>46161</v>
      </c>
      <c r="K1189" s="25">
        <f t="shared" si="377"/>
        <v>30</v>
      </c>
      <c r="L1189" s="25">
        <v>12.41</v>
      </c>
      <c r="M1189" s="25">
        <v>10.27</v>
      </c>
      <c r="N1189" s="25">
        <f t="shared" si="378"/>
        <v>2.1400000000000006</v>
      </c>
      <c r="O1189" s="25" t="s">
        <v>545</v>
      </c>
    </row>
    <row r="1190" spans="1:15" x14ac:dyDescent="0.25">
      <c r="A1190" s="75">
        <v>46131</v>
      </c>
      <c r="B1190" s="25" t="s">
        <v>477</v>
      </c>
      <c r="C1190" s="25" t="s">
        <v>689</v>
      </c>
      <c r="D1190" s="75">
        <f t="shared" si="379"/>
        <v>46154</v>
      </c>
      <c r="E1190" s="75">
        <f t="shared" si="380"/>
        <v>46138</v>
      </c>
      <c r="F1190" s="75">
        <f t="shared" si="381"/>
        <v>46145</v>
      </c>
      <c r="G1190" s="75">
        <f t="shared" si="382"/>
        <v>46151</v>
      </c>
      <c r="H1190" s="75">
        <f t="shared" si="383"/>
        <v>46139</v>
      </c>
      <c r="I1190" s="75">
        <f t="shared" si="384"/>
        <v>46146</v>
      </c>
      <c r="J1190" s="75"/>
      <c r="K1190" s="25">
        <f t="shared" si="377"/>
        <v>-46131</v>
      </c>
      <c r="L1190" s="25"/>
      <c r="M1190" s="25"/>
      <c r="N1190" s="25">
        <f t="shared" si="378"/>
        <v>0</v>
      </c>
      <c r="O1190" s="25" t="s">
        <v>545</v>
      </c>
    </row>
    <row r="1191" spans="1:15" x14ac:dyDescent="0.25">
      <c r="A1191" s="75">
        <v>46131</v>
      </c>
      <c r="B1191" s="25" t="s">
        <v>478</v>
      </c>
      <c r="C1191" s="25" t="s">
        <v>690</v>
      </c>
      <c r="D1191" s="75">
        <f t="shared" si="379"/>
        <v>46154</v>
      </c>
      <c r="E1191" s="75">
        <f t="shared" si="380"/>
        <v>46138</v>
      </c>
      <c r="F1191" s="75">
        <f t="shared" si="381"/>
        <v>46145</v>
      </c>
      <c r="G1191" s="75">
        <f t="shared" si="382"/>
        <v>46151</v>
      </c>
      <c r="H1191" s="75">
        <f t="shared" si="383"/>
        <v>46139</v>
      </c>
      <c r="I1191" s="75">
        <f t="shared" si="384"/>
        <v>46146</v>
      </c>
      <c r="J1191" s="75"/>
      <c r="K1191" s="25">
        <f t="shared" si="377"/>
        <v>-46131</v>
      </c>
      <c r="L1191" s="25"/>
      <c r="M1191" s="25"/>
      <c r="N1191" s="25">
        <f t="shared" si="378"/>
        <v>0</v>
      </c>
      <c r="O1191" s="25" t="s">
        <v>545</v>
      </c>
    </row>
    <row r="1192" spans="1:15" x14ac:dyDescent="0.25">
      <c r="A1192" s="75">
        <v>46131</v>
      </c>
      <c r="B1192" s="25" t="s">
        <v>479</v>
      </c>
      <c r="C1192" s="25" t="s">
        <v>691</v>
      </c>
      <c r="D1192" s="75">
        <f t="shared" si="379"/>
        <v>46154</v>
      </c>
      <c r="E1192" s="75">
        <f t="shared" si="380"/>
        <v>46138</v>
      </c>
      <c r="F1192" s="75">
        <f t="shared" si="381"/>
        <v>46145</v>
      </c>
      <c r="G1192" s="75">
        <f t="shared" si="382"/>
        <v>46151</v>
      </c>
      <c r="H1192" s="75">
        <f t="shared" si="383"/>
        <v>46139</v>
      </c>
      <c r="I1192" s="75">
        <f t="shared" si="384"/>
        <v>46146</v>
      </c>
      <c r="J1192" s="75"/>
      <c r="K1192" s="25">
        <f t="shared" si="377"/>
        <v>-46131</v>
      </c>
      <c r="L1192" s="25"/>
      <c r="M1192" s="25"/>
      <c r="N1192" s="25">
        <f t="shared" si="378"/>
        <v>0</v>
      </c>
      <c r="O1192" s="25" t="s">
        <v>545</v>
      </c>
    </row>
    <row r="1193" spans="1:15" x14ac:dyDescent="0.25">
      <c r="A1193" s="75">
        <v>46131</v>
      </c>
      <c r="B1193" s="25" t="s">
        <v>480</v>
      </c>
      <c r="C1193" s="25" t="s">
        <v>692</v>
      </c>
      <c r="D1193" s="75">
        <f t="shared" si="379"/>
        <v>46154</v>
      </c>
      <c r="E1193" s="75">
        <f t="shared" si="380"/>
        <v>46138</v>
      </c>
      <c r="F1193" s="75">
        <f t="shared" si="381"/>
        <v>46145</v>
      </c>
      <c r="G1193" s="75">
        <f t="shared" si="382"/>
        <v>46151</v>
      </c>
      <c r="H1193" s="75">
        <f t="shared" si="383"/>
        <v>46139</v>
      </c>
      <c r="I1193" s="75">
        <f t="shared" si="384"/>
        <v>46146</v>
      </c>
      <c r="J1193" s="75"/>
      <c r="K1193" s="25">
        <f t="shared" si="377"/>
        <v>-46131</v>
      </c>
      <c r="L1193" s="25"/>
      <c r="M1193" s="25"/>
      <c r="N1193" s="25">
        <f t="shared" si="378"/>
        <v>0</v>
      </c>
      <c r="O1193" s="25" t="s">
        <v>545</v>
      </c>
    </row>
    <row r="1194" spans="1:15" x14ac:dyDescent="0.25">
      <c r="A1194" s="75">
        <v>46131</v>
      </c>
      <c r="B1194" s="25" t="s">
        <v>481</v>
      </c>
      <c r="C1194" s="25" t="s">
        <v>693</v>
      </c>
      <c r="D1194" s="75">
        <f t="shared" si="379"/>
        <v>46154</v>
      </c>
      <c r="E1194" s="75">
        <f t="shared" si="380"/>
        <v>46138</v>
      </c>
      <c r="F1194" s="75">
        <f t="shared" si="381"/>
        <v>46145</v>
      </c>
      <c r="G1194" s="75">
        <f t="shared" si="382"/>
        <v>46151</v>
      </c>
      <c r="H1194" s="75">
        <f t="shared" si="383"/>
        <v>46139</v>
      </c>
      <c r="I1194" s="75">
        <f t="shared" si="384"/>
        <v>46146</v>
      </c>
      <c r="J1194" s="75">
        <v>46173</v>
      </c>
      <c r="K1194" s="25">
        <f t="shared" si="377"/>
        <v>42</v>
      </c>
      <c r="L1194" s="25">
        <v>13.15</v>
      </c>
      <c r="M1194" s="25">
        <v>11.28</v>
      </c>
      <c r="N1194" s="25">
        <f t="shared" si="378"/>
        <v>1.870000000000001</v>
      </c>
      <c r="O1194" s="25" t="s">
        <v>545</v>
      </c>
    </row>
    <row r="1195" spans="1:15" x14ac:dyDescent="0.25">
      <c r="A1195" s="75">
        <v>46131</v>
      </c>
      <c r="B1195" s="25" t="s">
        <v>482</v>
      </c>
      <c r="C1195" s="25" t="s">
        <v>694</v>
      </c>
      <c r="D1195" s="75">
        <f t="shared" si="379"/>
        <v>46154</v>
      </c>
      <c r="E1195" s="75">
        <f t="shared" si="380"/>
        <v>46138</v>
      </c>
      <c r="F1195" s="75">
        <f t="shared" si="381"/>
        <v>46145</v>
      </c>
      <c r="G1195" s="75">
        <f t="shared" si="382"/>
        <v>46151</v>
      </c>
      <c r="H1195" s="75">
        <f t="shared" si="383"/>
        <v>46139</v>
      </c>
      <c r="I1195" s="75">
        <f t="shared" si="384"/>
        <v>46146</v>
      </c>
      <c r="J1195" s="75">
        <v>46173</v>
      </c>
      <c r="K1195" s="25">
        <f t="shared" si="377"/>
        <v>42</v>
      </c>
      <c r="L1195" s="25">
        <v>12.97</v>
      </c>
      <c r="M1195" s="25">
        <v>11.07</v>
      </c>
      <c r="N1195" s="25">
        <f t="shared" si="378"/>
        <v>1.9000000000000004</v>
      </c>
      <c r="O1195" s="25" t="s">
        <v>545</v>
      </c>
    </row>
    <row r="1196" spans="1:15" x14ac:dyDescent="0.25">
      <c r="A1196" s="75">
        <v>46131</v>
      </c>
      <c r="B1196" s="25" t="s">
        <v>483</v>
      </c>
      <c r="C1196" s="25" t="s">
        <v>695</v>
      </c>
      <c r="D1196" s="75">
        <f t="shared" si="379"/>
        <v>46154</v>
      </c>
      <c r="E1196" s="75">
        <f t="shared" si="380"/>
        <v>46138</v>
      </c>
      <c r="F1196" s="75">
        <f t="shared" si="381"/>
        <v>46145</v>
      </c>
      <c r="G1196" s="75">
        <f t="shared" si="382"/>
        <v>46151</v>
      </c>
      <c r="H1196" s="75">
        <f t="shared" si="383"/>
        <v>46139</v>
      </c>
      <c r="I1196" s="75">
        <f t="shared" si="384"/>
        <v>46146</v>
      </c>
      <c r="J1196" s="75">
        <v>46163</v>
      </c>
      <c r="K1196" s="25">
        <f t="shared" si="377"/>
        <v>32</v>
      </c>
      <c r="L1196" s="25">
        <v>14.35</v>
      </c>
      <c r="M1196" s="25">
        <v>13.54</v>
      </c>
      <c r="N1196" s="25">
        <f t="shared" si="378"/>
        <v>0.8100000000000005</v>
      </c>
      <c r="O1196" s="25" t="s">
        <v>545</v>
      </c>
    </row>
    <row r="1197" spans="1:15" x14ac:dyDescent="0.25">
      <c r="A1197" s="75">
        <v>46131</v>
      </c>
      <c r="B1197" s="25" t="s">
        <v>484</v>
      </c>
      <c r="C1197" s="25" t="s">
        <v>696</v>
      </c>
      <c r="D1197" s="75">
        <f t="shared" si="379"/>
        <v>46154</v>
      </c>
      <c r="E1197" s="75">
        <f t="shared" si="380"/>
        <v>46138</v>
      </c>
      <c r="F1197" s="75">
        <f t="shared" si="381"/>
        <v>46145</v>
      </c>
      <c r="G1197" s="75">
        <f t="shared" si="382"/>
        <v>46151</v>
      </c>
      <c r="H1197" s="75">
        <f t="shared" si="383"/>
        <v>46139</v>
      </c>
      <c r="I1197" s="75">
        <f t="shared" si="384"/>
        <v>46146</v>
      </c>
      <c r="J1197" s="75">
        <v>46163</v>
      </c>
      <c r="K1197" s="25">
        <f t="shared" si="377"/>
        <v>32</v>
      </c>
      <c r="L1197" s="25">
        <v>12.19</v>
      </c>
      <c r="M1197" s="25">
        <v>10.28</v>
      </c>
      <c r="N1197" s="25">
        <f t="shared" si="378"/>
        <v>1.9100000000000001</v>
      </c>
      <c r="O1197" s="25" t="s">
        <v>545</v>
      </c>
    </row>
    <row r="1198" spans="1:15" x14ac:dyDescent="0.25">
      <c r="A1198" s="75">
        <v>46131</v>
      </c>
      <c r="B1198" s="25" t="s">
        <v>485</v>
      </c>
      <c r="C1198" s="25" t="s">
        <v>697</v>
      </c>
      <c r="D1198" s="75">
        <f t="shared" si="379"/>
        <v>46154</v>
      </c>
      <c r="E1198" s="75">
        <f t="shared" si="380"/>
        <v>46138</v>
      </c>
      <c r="F1198" s="75">
        <f t="shared" si="381"/>
        <v>46145</v>
      </c>
      <c r="G1198" s="75">
        <f t="shared" si="382"/>
        <v>46151</v>
      </c>
      <c r="H1198" s="75">
        <f t="shared" si="383"/>
        <v>46139</v>
      </c>
      <c r="I1198" s="75">
        <f t="shared" si="384"/>
        <v>46146</v>
      </c>
      <c r="J1198" s="75">
        <v>46163</v>
      </c>
      <c r="K1198" s="25">
        <f t="shared" si="377"/>
        <v>32</v>
      </c>
      <c r="L1198" s="25">
        <v>13.45</v>
      </c>
      <c r="M1198" s="25">
        <v>11.21</v>
      </c>
      <c r="N1198" s="25">
        <f t="shared" si="378"/>
        <v>2.2399999999999984</v>
      </c>
      <c r="O1198" s="25" t="s">
        <v>545</v>
      </c>
    </row>
    <row r="1199" spans="1:15" x14ac:dyDescent="0.25">
      <c r="A1199" s="75">
        <v>46139</v>
      </c>
      <c r="B1199" s="25" t="s">
        <v>353</v>
      </c>
      <c r="C1199" s="25" t="s">
        <v>697</v>
      </c>
      <c r="D1199" s="75">
        <f t="shared" ref="D1199" si="385">A1199+23</f>
        <v>46162</v>
      </c>
      <c r="E1199" s="75">
        <f t="shared" ref="E1199" si="386">A1199+7</f>
        <v>46146</v>
      </c>
      <c r="F1199" s="75">
        <f t="shared" ref="F1199" si="387">A1199+14</f>
        <v>46153</v>
      </c>
      <c r="G1199" s="75">
        <f t="shared" ref="G1199" si="388">A1199+20</f>
        <v>46159</v>
      </c>
      <c r="H1199" s="75">
        <f t="shared" ref="H1199" si="389">A1199+8</f>
        <v>46147</v>
      </c>
      <c r="I1199" s="75">
        <f t="shared" ref="I1199" si="390">A1199+15</f>
        <v>46154</v>
      </c>
      <c r="J1199" s="75">
        <v>46165</v>
      </c>
      <c r="K1199" s="25">
        <f t="shared" si="377"/>
        <v>26</v>
      </c>
      <c r="L1199" s="25">
        <v>14.31</v>
      </c>
      <c r="M1199" s="25">
        <v>12.58</v>
      </c>
      <c r="N1199" s="25">
        <f t="shared" si="378"/>
        <v>1.7300000000000004</v>
      </c>
      <c r="O1199" s="25" t="s">
        <v>545</v>
      </c>
    </row>
    <row r="1200" spans="1:15" x14ac:dyDescent="0.25">
      <c r="A1200" s="75">
        <v>46139</v>
      </c>
      <c r="B1200" s="25" t="s">
        <v>354</v>
      </c>
      <c r="C1200" s="25" t="s">
        <v>697</v>
      </c>
      <c r="D1200" s="75">
        <f t="shared" ref="D1200:D1209" si="391">A1200+23</f>
        <v>46162</v>
      </c>
      <c r="E1200" s="75">
        <f t="shared" ref="E1200:E1209" si="392">A1200+7</f>
        <v>46146</v>
      </c>
      <c r="F1200" s="75">
        <f t="shared" ref="F1200:F1209" si="393">A1200+14</f>
        <v>46153</v>
      </c>
      <c r="G1200" s="75">
        <f t="shared" ref="G1200:G1209" si="394">A1200+20</f>
        <v>46159</v>
      </c>
      <c r="H1200" s="75">
        <f t="shared" ref="H1200:H1209" si="395">A1200+8</f>
        <v>46147</v>
      </c>
      <c r="I1200" s="75">
        <f t="shared" ref="I1200:I1209" si="396">A1200+15</f>
        <v>46154</v>
      </c>
      <c r="J1200" s="75">
        <v>46164</v>
      </c>
      <c r="K1200" s="25">
        <f t="shared" si="377"/>
        <v>25</v>
      </c>
      <c r="L1200" s="25">
        <v>14.21</v>
      </c>
      <c r="M1200" s="25">
        <v>12.49</v>
      </c>
      <c r="N1200" s="25">
        <f t="shared" si="378"/>
        <v>1.7200000000000006</v>
      </c>
      <c r="O1200" s="25" t="s">
        <v>545</v>
      </c>
    </row>
    <row r="1201" spans="1:15" x14ac:dyDescent="0.25">
      <c r="A1201" s="75">
        <v>46139</v>
      </c>
      <c r="B1201" s="25" t="s">
        <v>355</v>
      </c>
      <c r="C1201" s="25" t="s">
        <v>697</v>
      </c>
      <c r="D1201" s="75">
        <f t="shared" si="391"/>
        <v>46162</v>
      </c>
      <c r="E1201" s="75">
        <f t="shared" si="392"/>
        <v>46146</v>
      </c>
      <c r="F1201" s="75">
        <f t="shared" si="393"/>
        <v>46153</v>
      </c>
      <c r="G1201" s="75">
        <f t="shared" si="394"/>
        <v>46159</v>
      </c>
      <c r="H1201" s="75">
        <f t="shared" si="395"/>
        <v>46147</v>
      </c>
      <c r="I1201" s="75">
        <f t="shared" si="396"/>
        <v>46154</v>
      </c>
      <c r="J1201" s="75">
        <v>46164</v>
      </c>
      <c r="K1201" s="25">
        <f t="shared" si="377"/>
        <v>25</v>
      </c>
      <c r="L1201" s="25">
        <v>14.35</v>
      </c>
      <c r="M1201" s="25">
        <v>12.61</v>
      </c>
      <c r="N1201" s="25">
        <f t="shared" si="378"/>
        <v>1.7400000000000002</v>
      </c>
      <c r="O1201" s="25" t="s">
        <v>545</v>
      </c>
    </row>
    <row r="1202" spans="1:15" x14ac:dyDescent="0.25">
      <c r="A1202" s="75">
        <v>46139</v>
      </c>
      <c r="B1202" s="25" t="s">
        <v>356</v>
      </c>
      <c r="C1202" s="25" t="s">
        <v>697</v>
      </c>
      <c r="D1202" s="75">
        <f t="shared" si="391"/>
        <v>46162</v>
      </c>
      <c r="E1202" s="75">
        <f t="shared" si="392"/>
        <v>46146</v>
      </c>
      <c r="F1202" s="75">
        <f t="shared" si="393"/>
        <v>46153</v>
      </c>
      <c r="G1202" s="75">
        <f t="shared" si="394"/>
        <v>46159</v>
      </c>
      <c r="H1202" s="75">
        <f t="shared" si="395"/>
        <v>46147</v>
      </c>
      <c r="I1202" s="75">
        <f t="shared" si="396"/>
        <v>46154</v>
      </c>
      <c r="J1202" s="75">
        <v>46164</v>
      </c>
      <c r="K1202" s="25">
        <f t="shared" si="377"/>
        <v>25</v>
      </c>
      <c r="L1202" s="25">
        <v>12.09</v>
      </c>
      <c r="M1202" s="25">
        <v>10.19</v>
      </c>
      <c r="N1202" s="25">
        <f t="shared" si="378"/>
        <v>1.9000000000000004</v>
      </c>
      <c r="O1202" s="25" t="s">
        <v>545</v>
      </c>
    </row>
    <row r="1203" spans="1:15" x14ac:dyDescent="0.25">
      <c r="A1203" s="75">
        <v>46139</v>
      </c>
      <c r="B1203" s="25" t="s">
        <v>357</v>
      </c>
      <c r="C1203" s="25" t="s">
        <v>697</v>
      </c>
      <c r="D1203" s="75">
        <f t="shared" si="391"/>
        <v>46162</v>
      </c>
      <c r="E1203" s="75">
        <f t="shared" si="392"/>
        <v>46146</v>
      </c>
      <c r="F1203" s="75">
        <f t="shared" si="393"/>
        <v>46153</v>
      </c>
      <c r="G1203" s="75">
        <f t="shared" si="394"/>
        <v>46159</v>
      </c>
      <c r="H1203" s="75">
        <f t="shared" si="395"/>
        <v>46147</v>
      </c>
      <c r="I1203" s="75">
        <f t="shared" si="396"/>
        <v>46154</v>
      </c>
      <c r="J1203" s="75">
        <v>46164</v>
      </c>
      <c r="K1203" s="25">
        <f t="shared" si="377"/>
        <v>25</v>
      </c>
      <c r="L1203" s="25">
        <v>13.16</v>
      </c>
      <c r="M1203" s="25">
        <v>11.33</v>
      </c>
      <c r="N1203" s="25">
        <f t="shared" si="378"/>
        <v>1.83</v>
      </c>
      <c r="O1203" s="25" t="s">
        <v>545</v>
      </c>
    </row>
    <row r="1204" spans="1:15" x14ac:dyDescent="0.25">
      <c r="A1204" s="75">
        <v>46139</v>
      </c>
      <c r="B1204" s="25" t="s">
        <v>358</v>
      </c>
      <c r="C1204" s="25" t="s">
        <v>697</v>
      </c>
      <c r="D1204" s="75">
        <f t="shared" si="391"/>
        <v>46162</v>
      </c>
      <c r="E1204" s="75">
        <f t="shared" si="392"/>
        <v>46146</v>
      </c>
      <c r="F1204" s="75">
        <f t="shared" si="393"/>
        <v>46153</v>
      </c>
      <c r="G1204" s="75">
        <f t="shared" si="394"/>
        <v>46159</v>
      </c>
      <c r="H1204" s="75">
        <f t="shared" si="395"/>
        <v>46147</v>
      </c>
      <c r="I1204" s="75">
        <f t="shared" si="396"/>
        <v>46154</v>
      </c>
      <c r="J1204" s="75">
        <v>46164</v>
      </c>
      <c r="K1204" s="25">
        <f t="shared" si="377"/>
        <v>25</v>
      </c>
      <c r="L1204" s="25">
        <v>12.57</v>
      </c>
      <c r="M1204" s="25">
        <v>10.78</v>
      </c>
      <c r="N1204" s="25">
        <f t="shared" si="378"/>
        <v>1.7900000000000009</v>
      </c>
      <c r="O1204" s="25" t="s">
        <v>545</v>
      </c>
    </row>
    <row r="1205" spans="1:15" x14ac:dyDescent="0.25">
      <c r="A1205" s="75">
        <v>46139</v>
      </c>
      <c r="B1205" s="25" t="s">
        <v>359</v>
      </c>
      <c r="C1205" s="25" t="s">
        <v>697</v>
      </c>
      <c r="D1205" s="75">
        <f t="shared" si="391"/>
        <v>46162</v>
      </c>
      <c r="E1205" s="75">
        <f t="shared" si="392"/>
        <v>46146</v>
      </c>
      <c r="F1205" s="75">
        <f t="shared" si="393"/>
        <v>46153</v>
      </c>
      <c r="G1205" s="75">
        <f t="shared" si="394"/>
        <v>46159</v>
      </c>
      <c r="H1205" s="75">
        <f t="shared" si="395"/>
        <v>46147</v>
      </c>
      <c r="I1205" s="75">
        <f t="shared" si="396"/>
        <v>46154</v>
      </c>
      <c r="J1205" s="75">
        <v>46164</v>
      </c>
      <c r="K1205" s="25">
        <f t="shared" si="377"/>
        <v>25</v>
      </c>
      <c r="L1205" s="25">
        <v>12.36</v>
      </c>
      <c r="M1205" s="25">
        <v>10.58</v>
      </c>
      <c r="N1205" s="25">
        <f t="shared" si="378"/>
        <v>1.7799999999999994</v>
      </c>
      <c r="O1205" s="25" t="s">
        <v>545</v>
      </c>
    </row>
    <row r="1206" spans="1:15" x14ac:dyDescent="0.25">
      <c r="A1206" s="75">
        <v>46139</v>
      </c>
      <c r="B1206" s="25" t="s">
        <v>360</v>
      </c>
      <c r="C1206" s="25" t="s">
        <v>697</v>
      </c>
      <c r="D1206" s="75">
        <f t="shared" si="391"/>
        <v>46162</v>
      </c>
      <c r="E1206" s="75">
        <f t="shared" si="392"/>
        <v>46146</v>
      </c>
      <c r="F1206" s="75">
        <f t="shared" si="393"/>
        <v>46153</v>
      </c>
      <c r="G1206" s="75">
        <f t="shared" si="394"/>
        <v>46159</v>
      </c>
      <c r="H1206" s="75">
        <f t="shared" si="395"/>
        <v>46147</v>
      </c>
      <c r="I1206" s="75">
        <f t="shared" si="396"/>
        <v>46154</v>
      </c>
      <c r="J1206" s="75">
        <v>46164</v>
      </c>
      <c r="K1206" s="25">
        <f t="shared" si="377"/>
        <v>25</v>
      </c>
      <c r="L1206" s="25">
        <v>13.42</v>
      </c>
      <c r="M1206" s="25">
        <v>11.26</v>
      </c>
      <c r="N1206" s="25">
        <f t="shared" si="378"/>
        <v>2.16</v>
      </c>
      <c r="O1206" s="25" t="s">
        <v>545</v>
      </c>
    </row>
    <row r="1207" spans="1:15" x14ac:dyDescent="0.25">
      <c r="A1207" s="75">
        <v>46139</v>
      </c>
      <c r="B1207" s="25" t="s">
        <v>361</v>
      </c>
      <c r="C1207" s="25" t="s">
        <v>697</v>
      </c>
      <c r="D1207" s="75">
        <f t="shared" si="391"/>
        <v>46162</v>
      </c>
      <c r="E1207" s="75">
        <f t="shared" si="392"/>
        <v>46146</v>
      </c>
      <c r="F1207" s="75">
        <f t="shared" si="393"/>
        <v>46153</v>
      </c>
      <c r="G1207" s="75">
        <f t="shared" si="394"/>
        <v>46159</v>
      </c>
      <c r="H1207" s="75">
        <f t="shared" si="395"/>
        <v>46147</v>
      </c>
      <c r="I1207" s="75">
        <f t="shared" si="396"/>
        <v>46154</v>
      </c>
      <c r="J1207" s="75">
        <v>46163</v>
      </c>
      <c r="K1207" s="25">
        <f t="shared" si="377"/>
        <v>24</v>
      </c>
      <c r="L1207" s="25">
        <v>15.25</v>
      </c>
      <c r="M1207" s="25">
        <v>13.1</v>
      </c>
      <c r="N1207" s="25">
        <f t="shared" si="378"/>
        <v>2.1500000000000004</v>
      </c>
      <c r="O1207" s="25" t="s">
        <v>545</v>
      </c>
    </row>
    <row r="1208" spans="1:15" x14ac:dyDescent="0.25">
      <c r="A1208" s="75">
        <v>46139</v>
      </c>
      <c r="B1208" s="25" t="s">
        <v>362</v>
      </c>
      <c r="C1208" s="25" t="s">
        <v>697</v>
      </c>
      <c r="D1208" s="75">
        <f t="shared" si="391"/>
        <v>46162</v>
      </c>
      <c r="E1208" s="75">
        <f t="shared" si="392"/>
        <v>46146</v>
      </c>
      <c r="F1208" s="75">
        <f t="shared" si="393"/>
        <v>46153</v>
      </c>
      <c r="G1208" s="75">
        <f t="shared" si="394"/>
        <v>46159</v>
      </c>
      <c r="H1208" s="75">
        <f t="shared" si="395"/>
        <v>46147</v>
      </c>
      <c r="I1208" s="75">
        <f t="shared" si="396"/>
        <v>46154</v>
      </c>
      <c r="J1208" s="75">
        <v>46163</v>
      </c>
      <c r="K1208" s="25">
        <f t="shared" si="377"/>
        <v>24</v>
      </c>
      <c r="L1208" s="25">
        <v>14.56</v>
      </c>
      <c r="M1208" s="25">
        <v>12.55</v>
      </c>
      <c r="N1208" s="25">
        <f t="shared" si="378"/>
        <v>2.0099999999999998</v>
      </c>
      <c r="O1208" s="25" t="s">
        <v>545</v>
      </c>
    </row>
    <row r="1209" spans="1:15" x14ac:dyDescent="0.25">
      <c r="A1209" s="75">
        <v>46139</v>
      </c>
      <c r="B1209" s="25" t="s">
        <v>363</v>
      </c>
      <c r="C1209" s="25" t="s">
        <v>697</v>
      </c>
      <c r="D1209" s="75">
        <f t="shared" si="391"/>
        <v>46162</v>
      </c>
      <c r="E1209" s="75">
        <f t="shared" si="392"/>
        <v>46146</v>
      </c>
      <c r="F1209" s="75">
        <f t="shared" si="393"/>
        <v>46153</v>
      </c>
      <c r="G1209" s="75">
        <f t="shared" si="394"/>
        <v>46159</v>
      </c>
      <c r="H1209" s="75">
        <f t="shared" si="395"/>
        <v>46147</v>
      </c>
      <c r="I1209" s="75">
        <f t="shared" si="396"/>
        <v>46154</v>
      </c>
      <c r="J1209" s="75">
        <v>46163</v>
      </c>
      <c r="K1209" s="25">
        <f t="shared" si="377"/>
        <v>24</v>
      </c>
      <c r="L1209" s="25">
        <v>14.61</v>
      </c>
      <c r="M1209" s="25">
        <v>12.53</v>
      </c>
      <c r="N1209" s="25">
        <f t="shared" si="378"/>
        <v>2.08</v>
      </c>
      <c r="O1209" s="25" t="s">
        <v>545</v>
      </c>
    </row>
    <row r="1210" spans="1:15" x14ac:dyDescent="0.25">
      <c r="A1210" s="75">
        <v>46140</v>
      </c>
      <c r="B1210" s="25" t="s">
        <v>410</v>
      </c>
      <c r="C1210" s="25" t="s">
        <v>697</v>
      </c>
      <c r="D1210" s="75">
        <f t="shared" ref="D1210:D1223" si="397">A1210+23</f>
        <v>46163</v>
      </c>
      <c r="E1210" s="75">
        <f t="shared" ref="E1210:E1223" si="398">A1210+7</f>
        <v>46147</v>
      </c>
      <c r="F1210" s="75">
        <f t="shared" ref="F1210:F1223" si="399">A1210+14</f>
        <v>46154</v>
      </c>
      <c r="G1210" s="75">
        <f t="shared" ref="G1210:G1223" si="400">A1210+20</f>
        <v>46160</v>
      </c>
      <c r="H1210" s="75">
        <f t="shared" ref="H1210:H1223" si="401">A1210+8</f>
        <v>46148</v>
      </c>
      <c r="I1210" s="75">
        <f t="shared" ref="I1210:I1223" si="402">A1210+15</f>
        <v>46155</v>
      </c>
      <c r="J1210" s="75">
        <v>46166</v>
      </c>
      <c r="K1210" s="25">
        <f t="shared" si="377"/>
        <v>26</v>
      </c>
      <c r="L1210" s="25">
        <v>14.35</v>
      </c>
      <c r="M1210" s="25">
        <v>12.21</v>
      </c>
      <c r="N1210" s="25">
        <f t="shared" si="378"/>
        <v>2.1399999999999988</v>
      </c>
      <c r="O1210" s="25" t="s">
        <v>545</v>
      </c>
    </row>
    <row r="1211" spans="1:15" x14ac:dyDescent="0.25">
      <c r="A1211" s="75">
        <v>46140</v>
      </c>
      <c r="B1211" s="25" t="s">
        <v>411</v>
      </c>
      <c r="C1211" s="25" t="s">
        <v>697</v>
      </c>
      <c r="D1211" s="75">
        <f t="shared" si="397"/>
        <v>46163</v>
      </c>
      <c r="E1211" s="75">
        <f t="shared" si="398"/>
        <v>46147</v>
      </c>
      <c r="F1211" s="75">
        <f t="shared" si="399"/>
        <v>46154</v>
      </c>
      <c r="G1211" s="75">
        <f t="shared" si="400"/>
        <v>46160</v>
      </c>
      <c r="H1211" s="75">
        <f t="shared" si="401"/>
        <v>46148</v>
      </c>
      <c r="I1211" s="75">
        <f t="shared" si="402"/>
        <v>46155</v>
      </c>
      <c r="J1211" s="75">
        <v>46165</v>
      </c>
      <c r="K1211" s="25">
        <f t="shared" si="377"/>
        <v>25</v>
      </c>
      <c r="L1211" s="25">
        <v>13.42</v>
      </c>
      <c r="M1211" s="25">
        <v>11.73</v>
      </c>
      <c r="N1211" s="25">
        <f t="shared" si="378"/>
        <v>1.6899999999999995</v>
      </c>
      <c r="O1211" s="25" t="s">
        <v>545</v>
      </c>
    </row>
    <row r="1212" spans="1:15" x14ac:dyDescent="0.25">
      <c r="A1212" s="75">
        <v>46140</v>
      </c>
      <c r="B1212" s="25" t="s">
        <v>412</v>
      </c>
      <c r="C1212" s="25" t="s">
        <v>697</v>
      </c>
      <c r="D1212" s="75">
        <f t="shared" si="397"/>
        <v>46163</v>
      </c>
      <c r="E1212" s="75">
        <f t="shared" si="398"/>
        <v>46147</v>
      </c>
      <c r="F1212" s="75">
        <f t="shared" si="399"/>
        <v>46154</v>
      </c>
      <c r="G1212" s="75">
        <f t="shared" si="400"/>
        <v>46160</v>
      </c>
      <c r="H1212" s="75">
        <f t="shared" si="401"/>
        <v>46148</v>
      </c>
      <c r="I1212" s="75">
        <f t="shared" si="402"/>
        <v>46155</v>
      </c>
      <c r="J1212" s="75">
        <v>46165</v>
      </c>
      <c r="K1212" s="25">
        <f t="shared" si="377"/>
        <v>25</v>
      </c>
      <c r="L1212" s="25">
        <v>14.29</v>
      </c>
      <c r="M1212" s="25">
        <v>12.61</v>
      </c>
      <c r="N1212" s="25">
        <f t="shared" si="378"/>
        <v>1.6799999999999997</v>
      </c>
      <c r="O1212" s="25" t="s">
        <v>545</v>
      </c>
    </row>
    <row r="1213" spans="1:15" x14ac:dyDescent="0.25">
      <c r="A1213" s="75">
        <v>46140</v>
      </c>
      <c r="B1213" s="25" t="s">
        <v>413</v>
      </c>
      <c r="C1213" s="25" t="s">
        <v>697</v>
      </c>
      <c r="D1213" s="75">
        <f t="shared" si="397"/>
        <v>46163</v>
      </c>
      <c r="E1213" s="75">
        <f t="shared" si="398"/>
        <v>46147</v>
      </c>
      <c r="F1213" s="75">
        <f t="shared" si="399"/>
        <v>46154</v>
      </c>
      <c r="G1213" s="75">
        <f t="shared" si="400"/>
        <v>46160</v>
      </c>
      <c r="H1213" s="75">
        <f t="shared" si="401"/>
        <v>46148</v>
      </c>
      <c r="I1213" s="75">
        <f t="shared" si="402"/>
        <v>46155</v>
      </c>
      <c r="J1213" s="75">
        <v>46165</v>
      </c>
      <c r="K1213" s="25">
        <f t="shared" si="377"/>
        <v>25</v>
      </c>
      <c r="L1213" s="25">
        <v>13.98</v>
      </c>
      <c r="M1213" s="25">
        <v>12.15</v>
      </c>
      <c r="N1213" s="25">
        <f t="shared" si="378"/>
        <v>1.83</v>
      </c>
      <c r="O1213" s="25" t="s">
        <v>545</v>
      </c>
    </row>
    <row r="1214" spans="1:15" x14ac:dyDescent="0.25">
      <c r="A1214" s="75">
        <v>46140</v>
      </c>
      <c r="B1214" s="25" t="s">
        <v>414</v>
      </c>
      <c r="C1214" s="25" t="s">
        <v>697</v>
      </c>
      <c r="D1214" s="75">
        <f t="shared" si="397"/>
        <v>46163</v>
      </c>
      <c r="E1214" s="75">
        <f t="shared" si="398"/>
        <v>46147</v>
      </c>
      <c r="F1214" s="75">
        <f t="shared" si="399"/>
        <v>46154</v>
      </c>
      <c r="G1214" s="75">
        <f t="shared" si="400"/>
        <v>46160</v>
      </c>
      <c r="H1214" s="75">
        <f t="shared" si="401"/>
        <v>46148</v>
      </c>
      <c r="I1214" s="75">
        <f t="shared" si="402"/>
        <v>46155</v>
      </c>
      <c r="J1214" s="75">
        <v>46165</v>
      </c>
      <c r="K1214" s="25">
        <f t="shared" si="377"/>
        <v>25</v>
      </c>
      <c r="L1214" s="25">
        <v>18.190000000000001</v>
      </c>
      <c r="M1214" s="25">
        <v>11.35</v>
      </c>
      <c r="N1214" s="25">
        <f t="shared" si="378"/>
        <v>6.8400000000000016</v>
      </c>
      <c r="O1214" s="25" t="s">
        <v>545</v>
      </c>
    </row>
    <row r="1215" spans="1:15" x14ac:dyDescent="0.25">
      <c r="A1215" s="75">
        <v>46140</v>
      </c>
      <c r="B1215" s="25" t="s">
        <v>415</v>
      </c>
      <c r="C1215" s="25" t="s">
        <v>697</v>
      </c>
      <c r="D1215" s="75">
        <f t="shared" si="397"/>
        <v>46163</v>
      </c>
      <c r="E1215" s="75">
        <f t="shared" si="398"/>
        <v>46147</v>
      </c>
      <c r="F1215" s="75">
        <f t="shared" si="399"/>
        <v>46154</v>
      </c>
      <c r="G1215" s="75">
        <f t="shared" si="400"/>
        <v>46160</v>
      </c>
      <c r="H1215" s="75">
        <f t="shared" si="401"/>
        <v>46148</v>
      </c>
      <c r="I1215" s="75">
        <f t="shared" si="402"/>
        <v>46155</v>
      </c>
      <c r="J1215" s="75">
        <v>46165</v>
      </c>
      <c r="K1215" s="25">
        <f t="shared" si="377"/>
        <v>25</v>
      </c>
      <c r="L1215" s="25">
        <v>14.25</v>
      </c>
      <c r="M1215" s="25">
        <v>12.47</v>
      </c>
      <c r="N1215" s="25">
        <f t="shared" si="378"/>
        <v>1.7799999999999994</v>
      </c>
      <c r="O1215" s="25" t="s">
        <v>545</v>
      </c>
    </row>
    <row r="1216" spans="1:15" x14ac:dyDescent="0.25">
      <c r="A1216" s="75">
        <v>46140</v>
      </c>
      <c r="B1216" s="25" t="s">
        <v>416</v>
      </c>
      <c r="C1216" s="25" t="s">
        <v>697</v>
      </c>
      <c r="D1216" s="75">
        <f t="shared" si="397"/>
        <v>46163</v>
      </c>
      <c r="E1216" s="75">
        <f t="shared" si="398"/>
        <v>46147</v>
      </c>
      <c r="F1216" s="75">
        <f t="shared" si="399"/>
        <v>46154</v>
      </c>
      <c r="G1216" s="75">
        <f t="shared" si="400"/>
        <v>46160</v>
      </c>
      <c r="H1216" s="75">
        <f t="shared" si="401"/>
        <v>46148</v>
      </c>
      <c r="I1216" s="75">
        <f t="shared" si="402"/>
        <v>46155</v>
      </c>
      <c r="J1216" s="75">
        <v>46165</v>
      </c>
      <c r="K1216" s="25">
        <f t="shared" si="377"/>
        <v>25</v>
      </c>
      <c r="L1216" s="25">
        <v>13.16</v>
      </c>
      <c r="M1216" s="25">
        <v>11.27</v>
      </c>
      <c r="N1216" s="25">
        <f t="shared" si="378"/>
        <v>1.8900000000000006</v>
      </c>
      <c r="O1216" s="25" t="s">
        <v>545</v>
      </c>
    </row>
    <row r="1217" spans="1:15" x14ac:dyDescent="0.25">
      <c r="A1217" s="75">
        <v>46141</v>
      </c>
      <c r="B1217" s="25" t="s">
        <v>387</v>
      </c>
      <c r="C1217" s="25" t="s">
        <v>697</v>
      </c>
      <c r="D1217" s="75">
        <f t="shared" si="397"/>
        <v>46164</v>
      </c>
      <c r="E1217" s="75">
        <f t="shared" si="398"/>
        <v>46148</v>
      </c>
      <c r="F1217" s="75">
        <f t="shared" si="399"/>
        <v>46155</v>
      </c>
      <c r="G1217" s="75">
        <f t="shared" si="400"/>
        <v>46161</v>
      </c>
      <c r="H1217" s="75">
        <f t="shared" si="401"/>
        <v>46149</v>
      </c>
      <c r="I1217" s="75">
        <f t="shared" si="402"/>
        <v>46156</v>
      </c>
      <c r="J1217" s="75">
        <v>46166</v>
      </c>
      <c r="K1217" s="25">
        <f t="shared" si="377"/>
        <v>25</v>
      </c>
      <c r="L1217" s="25">
        <v>12.43</v>
      </c>
      <c r="M1217" s="25">
        <v>10.58</v>
      </c>
      <c r="N1217" s="25">
        <f t="shared" si="378"/>
        <v>1.8499999999999996</v>
      </c>
      <c r="O1217" s="25" t="s">
        <v>545</v>
      </c>
    </row>
    <row r="1218" spans="1:15" x14ac:dyDescent="0.25">
      <c r="A1218" s="75">
        <v>46141</v>
      </c>
      <c r="B1218" s="25" t="s">
        <v>388</v>
      </c>
      <c r="C1218" s="25" t="s">
        <v>697</v>
      </c>
      <c r="D1218" s="75">
        <f t="shared" si="397"/>
        <v>46164</v>
      </c>
      <c r="E1218" s="75">
        <f t="shared" si="398"/>
        <v>46148</v>
      </c>
      <c r="F1218" s="75">
        <f t="shared" si="399"/>
        <v>46155</v>
      </c>
      <c r="G1218" s="75">
        <f t="shared" si="400"/>
        <v>46161</v>
      </c>
      <c r="H1218" s="75">
        <f t="shared" si="401"/>
        <v>46149</v>
      </c>
      <c r="I1218" s="75">
        <f t="shared" si="402"/>
        <v>46156</v>
      </c>
      <c r="J1218" s="75">
        <v>46166</v>
      </c>
      <c r="K1218" s="25">
        <f t="shared" si="377"/>
        <v>25</v>
      </c>
      <c r="L1218" s="25">
        <v>13.16</v>
      </c>
      <c r="M1218" s="25">
        <v>11.42</v>
      </c>
      <c r="N1218" s="25">
        <f t="shared" si="378"/>
        <v>1.7400000000000002</v>
      </c>
      <c r="O1218" s="25" t="s">
        <v>545</v>
      </c>
    </row>
    <row r="1219" spans="1:15" x14ac:dyDescent="0.25">
      <c r="A1219" s="75">
        <v>46141</v>
      </c>
      <c r="B1219" s="25" t="s">
        <v>389</v>
      </c>
      <c r="C1219" s="25" t="s">
        <v>697</v>
      </c>
      <c r="D1219" s="75">
        <f t="shared" si="397"/>
        <v>46164</v>
      </c>
      <c r="E1219" s="75">
        <f t="shared" si="398"/>
        <v>46148</v>
      </c>
      <c r="F1219" s="75">
        <f t="shared" si="399"/>
        <v>46155</v>
      </c>
      <c r="G1219" s="75">
        <f t="shared" si="400"/>
        <v>46161</v>
      </c>
      <c r="H1219" s="75">
        <f t="shared" si="401"/>
        <v>46149</v>
      </c>
      <c r="I1219" s="75">
        <f t="shared" si="402"/>
        <v>46156</v>
      </c>
      <c r="J1219" s="75">
        <v>46166</v>
      </c>
      <c r="K1219" s="25">
        <f t="shared" si="377"/>
        <v>25</v>
      </c>
      <c r="L1219" s="25">
        <v>12.38</v>
      </c>
      <c r="M1219" s="25">
        <v>10.57</v>
      </c>
      <c r="N1219" s="25">
        <f t="shared" si="378"/>
        <v>1.8100000000000005</v>
      </c>
      <c r="O1219" s="25" t="s">
        <v>545</v>
      </c>
    </row>
    <row r="1220" spans="1:15" x14ac:dyDescent="0.25">
      <c r="A1220" s="75">
        <v>46141</v>
      </c>
      <c r="B1220" s="25" t="s">
        <v>390</v>
      </c>
      <c r="C1220" s="25" t="s">
        <v>697</v>
      </c>
      <c r="D1220" s="75">
        <f t="shared" si="397"/>
        <v>46164</v>
      </c>
      <c r="E1220" s="75">
        <f t="shared" si="398"/>
        <v>46148</v>
      </c>
      <c r="F1220" s="75">
        <f t="shared" si="399"/>
        <v>46155</v>
      </c>
      <c r="G1220" s="75">
        <f t="shared" si="400"/>
        <v>46161</v>
      </c>
      <c r="H1220" s="75">
        <f t="shared" si="401"/>
        <v>46149</v>
      </c>
      <c r="I1220" s="75">
        <f t="shared" si="402"/>
        <v>46156</v>
      </c>
      <c r="J1220" s="75">
        <v>46166</v>
      </c>
      <c r="K1220" s="25">
        <f t="shared" si="377"/>
        <v>25</v>
      </c>
      <c r="L1220" s="25">
        <v>13.12</v>
      </c>
      <c r="M1220" s="25">
        <v>11.32</v>
      </c>
      <c r="N1220" s="25">
        <f t="shared" si="378"/>
        <v>1.7999999999999989</v>
      </c>
      <c r="O1220" s="25" t="s">
        <v>545</v>
      </c>
    </row>
    <row r="1221" spans="1:15" x14ac:dyDescent="0.25">
      <c r="A1221" s="75">
        <v>46141</v>
      </c>
      <c r="B1221" s="25" t="s">
        <v>391</v>
      </c>
      <c r="C1221" s="25" t="s">
        <v>697</v>
      </c>
      <c r="D1221" s="75">
        <f t="shared" si="397"/>
        <v>46164</v>
      </c>
      <c r="E1221" s="75">
        <f t="shared" si="398"/>
        <v>46148</v>
      </c>
      <c r="F1221" s="75">
        <f t="shared" si="399"/>
        <v>46155</v>
      </c>
      <c r="G1221" s="75">
        <f t="shared" si="400"/>
        <v>46161</v>
      </c>
      <c r="H1221" s="75">
        <f t="shared" si="401"/>
        <v>46149</v>
      </c>
      <c r="I1221" s="75">
        <f t="shared" si="402"/>
        <v>46156</v>
      </c>
      <c r="J1221" s="75">
        <v>46167</v>
      </c>
      <c r="K1221" s="25">
        <f t="shared" si="377"/>
        <v>26</v>
      </c>
      <c r="L1221" s="25">
        <v>13.19</v>
      </c>
      <c r="M1221" s="25">
        <v>11.25</v>
      </c>
      <c r="N1221" s="25">
        <f t="shared" si="378"/>
        <v>1.9399999999999995</v>
      </c>
      <c r="O1221" s="25" t="s">
        <v>545</v>
      </c>
    </row>
    <row r="1222" spans="1:15" x14ac:dyDescent="0.25">
      <c r="A1222" s="75">
        <v>46141</v>
      </c>
      <c r="B1222" s="25" t="s">
        <v>392</v>
      </c>
      <c r="C1222" s="25" t="s">
        <v>697</v>
      </c>
      <c r="D1222" s="75">
        <f t="shared" si="397"/>
        <v>46164</v>
      </c>
      <c r="E1222" s="75">
        <f t="shared" si="398"/>
        <v>46148</v>
      </c>
      <c r="F1222" s="75">
        <f t="shared" si="399"/>
        <v>46155</v>
      </c>
      <c r="G1222" s="75">
        <f t="shared" si="400"/>
        <v>46161</v>
      </c>
      <c r="H1222" s="75">
        <f t="shared" si="401"/>
        <v>46149</v>
      </c>
      <c r="I1222" s="75">
        <f t="shared" si="402"/>
        <v>46156</v>
      </c>
      <c r="J1222" s="75">
        <v>46167</v>
      </c>
      <c r="K1222" s="25">
        <f t="shared" si="377"/>
        <v>26</v>
      </c>
      <c r="L1222" s="25">
        <v>12.05</v>
      </c>
      <c r="M1222" s="25">
        <v>10.23</v>
      </c>
      <c r="N1222" s="25">
        <f t="shared" si="378"/>
        <v>1.8200000000000003</v>
      </c>
      <c r="O1222" s="25" t="s">
        <v>545</v>
      </c>
    </row>
    <row r="1223" spans="1:15" x14ac:dyDescent="0.25">
      <c r="A1223" s="75">
        <v>46141</v>
      </c>
      <c r="B1223" s="25" t="s">
        <v>393</v>
      </c>
      <c r="C1223" s="25" t="s">
        <v>697</v>
      </c>
      <c r="D1223" s="75">
        <f t="shared" si="397"/>
        <v>46164</v>
      </c>
      <c r="E1223" s="75">
        <f t="shared" si="398"/>
        <v>46148</v>
      </c>
      <c r="F1223" s="75">
        <f t="shared" si="399"/>
        <v>46155</v>
      </c>
      <c r="G1223" s="75">
        <f t="shared" si="400"/>
        <v>46161</v>
      </c>
      <c r="H1223" s="75">
        <f t="shared" si="401"/>
        <v>46149</v>
      </c>
      <c r="I1223" s="75">
        <f t="shared" si="402"/>
        <v>46156</v>
      </c>
      <c r="J1223" s="75">
        <v>46167</v>
      </c>
      <c r="K1223" s="25">
        <f t="shared" si="377"/>
        <v>26</v>
      </c>
      <c r="L1223" s="25">
        <v>14.13</v>
      </c>
      <c r="M1223" s="25">
        <v>12.47</v>
      </c>
      <c r="N1223" s="25">
        <f t="shared" si="378"/>
        <v>1.6600000000000001</v>
      </c>
      <c r="O1223" s="25" t="s">
        <v>545</v>
      </c>
    </row>
    <row r="1224" spans="1:15" x14ac:dyDescent="0.25">
      <c r="A1224" s="75">
        <v>46142</v>
      </c>
      <c r="B1224" s="25" t="s">
        <v>410</v>
      </c>
      <c r="C1224" s="25" t="s">
        <v>697</v>
      </c>
      <c r="D1224" s="75">
        <f t="shared" ref="D1224" si="403">A1224+23</f>
        <v>46165</v>
      </c>
      <c r="E1224" s="75">
        <f t="shared" ref="E1224" si="404">A1224+7</f>
        <v>46149</v>
      </c>
      <c r="F1224" s="75">
        <f t="shared" ref="F1224" si="405">A1224+14</f>
        <v>46156</v>
      </c>
      <c r="G1224" s="75">
        <f t="shared" ref="G1224" si="406">A1224+20</f>
        <v>46162</v>
      </c>
      <c r="H1224" s="75">
        <f t="shared" ref="H1224" si="407">A1224+8</f>
        <v>46150</v>
      </c>
      <c r="I1224" s="75">
        <f t="shared" ref="I1224" si="408">A1224+15</f>
        <v>46157</v>
      </c>
      <c r="J1224" s="75"/>
      <c r="K1224" s="25">
        <f t="shared" si="377"/>
        <v>-46142</v>
      </c>
      <c r="L1224" s="25"/>
      <c r="M1224" s="25"/>
      <c r="N1224" s="25">
        <f t="shared" si="378"/>
        <v>0</v>
      </c>
      <c r="O1224" s="25" t="s">
        <v>545</v>
      </c>
    </row>
    <row r="1225" spans="1:15" x14ac:dyDescent="0.25">
      <c r="A1225" s="75">
        <v>46142</v>
      </c>
      <c r="B1225" s="25" t="s">
        <v>411</v>
      </c>
      <c r="C1225" s="25" t="s">
        <v>697</v>
      </c>
      <c r="D1225" s="75">
        <f t="shared" ref="D1225:D1230" si="409">A1225+23</f>
        <v>46165</v>
      </c>
      <c r="E1225" s="75">
        <f t="shared" ref="E1225:E1230" si="410">A1225+7</f>
        <v>46149</v>
      </c>
      <c r="F1225" s="75">
        <f t="shared" ref="F1225:F1230" si="411">A1225+14</f>
        <v>46156</v>
      </c>
      <c r="G1225" s="75">
        <f t="shared" ref="G1225:G1230" si="412">A1225+20</f>
        <v>46162</v>
      </c>
      <c r="H1225" s="75">
        <f t="shared" ref="H1225:H1230" si="413">A1225+8</f>
        <v>46150</v>
      </c>
      <c r="I1225" s="75">
        <f t="shared" ref="I1225:I1230" si="414">A1225+15</f>
        <v>46157</v>
      </c>
      <c r="J1225" s="75"/>
      <c r="K1225" s="25">
        <f t="shared" si="377"/>
        <v>-46142</v>
      </c>
      <c r="L1225" s="25"/>
      <c r="M1225" s="25"/>
      <c r="N1225" s="25">
        <f t="shared" si="378"/>
        <v>0</v>
      </c>
      <c r="O1225" s="25" t="s">
        <v>545</v>
      </c>
    </row>
    <row r="1226" spans="1:15" x14ac:dyDescent="0.25">
      <c r="A1226" s="75">
        <v>46142</v>
      </c>
      <c r="B1226" s="25" t="s">
        <v>412</v>
      </c>
      <c r="C1226" s="25" t="s">
        <v>697</v>
      </c>
      <c r="D1226" s="75">
        <f t="shared" si="409"/>
        <v>46165</v>
      </c>
      <c r="E1226" s="75">
        <f t="shared" si="410"/>
        <v>46149</v>
      </c>
      <c r="F1226" s="75">
        <f t="shared" si="411"/>
        <v>46156</v>
      </c>
      <c r="G1226" s="75">
        <f t="shared" si="412"/>
        <v>46162</v>
      </c>
      <c r="H1226" s="75">
        <f t="shared" si="413"/>
        <v>46150</v>
      </c>
      <c r="I1226" s="75">
        <f t="shared" si="414"/>
        <v>46157</v>
      </c>
      <c r="J1226" s="75"/>
      <c r="K1226" s="25">
        <f t="shared" si="377"/>
        <v>-46142</v>
      </c>
      <c r="L1226" s="25"/>
      <c r="M1226" s="25"/>
      <c r="N1226" s="25">
        <f t="shared" si="378"/>
        <v>0</v>
      </c>
      <c r="O1226" s="25" t="s">
        <v>545</v>
      </c>
    </row>
    <row r="1227" spans="1:15" x14ac:dyDescent="0.25">
      <c r="A1227" s="75">
        <v>46142</v>
      </c>
      <c r="B1227" s="25" t="s">
        <v>413</v>
      </c>
      <c r="C1227" s="25" t="s">
        <v>697</v>
      </c>
      <c r="D1227" s="75">
        <f t="shared" si="409"/>
        <v>46165</v>
      </c>
      <c r="E1227" s="75">
        <f t="shared" si="410"/>
        <v>46149</v>
      </c>
      <c r="F1227" s="75">
        <f t="shared" si="411"/>
        <v>46156</v>
      </c>
      <c r="G1227" s="75">
        <f t="shared" si="412"/>
        <v>46162</v>
      </c>
      <c r="H1227" s="75">
        <f t="shared" si="413"/>
        <v>46150</v>
      </c>
      <c r="I1227" s="75">
        <f t="shared" si="414"/>
        <v>46157</v>
      </c>
      <c r="J1227" s="75"/>
      <c r="K1227" s="25">
        <f t="shared" si="377"/>
        <v>-46142</v>
      </c>
      <c r="L1227" s="25"/>
      <c r="M1227" s="25"/>
      <c r="N1227" s="25">
        <f t="shared" si="378"/>
        <v>0</v>
      </c>
      <c r="O1227" s="25" t="s">
        <v>545</v>
      </c>
    </row>
    <row r="1228" spans="1:15" x14ac:dyDescent="0.25">
      <c r="A1228" s="75">
        <v>46142</v>
      </c>
      <c r="B1228" s="25" t="s">
        <v>414</v>
      </c>
      <c r="C1228" s="25" t="s">
        <v>697</v>
      </c>
      <c r="D1228" s="75">
        <f t="shared" si="409"/>
        <v>46165</v>
      </c>
      <c r="E1228" s="75">
        <f t="shared" si="410"/>
        <v>46149</v>
      </c>
      <c r="F1228" s="75">
        <f t="shared" si="411"/>
        <v>46156</v>
      </c>
      <c r="G1228" s="75">
        <f t="shared" si="412"/>
        <v>46162</v>
      </c>
      <c r="H1228" s="75">
        <f t="shared" si="413"/>
        <v>46150</v>
      </c>
      <c r="I1228" s="75">
        <f t="shared" si="414"/>
        <v>46157</v>
      </c>
      <c r="J1228" s="75"/>
      <c r="K1228" s="25">
        <f t="shared" ref="K1228:K1270" si="415">J1228-A1228</f>
        <v>-46142</v>
      </c>
      <c r="L1228" s="25"/>
      <c r="M1228" s="25"/>
      <c r="N1228" s="25">
        <f t="shared" si="378"/>
        <v>0</v>
      </c>
      <c r="O1228" s="25" t="s">
        <v>545</v>
      </c>
    </row>
    <row r="1229" spans="1:15" x14ac:dyDescent="0.25">
      <c r="A1229" s="75">
        <v>46142</v>
      </c>
      <c r="B1229" s="25" t="s">
        <v>415</v>
      </c>
      <c r="C1229" s="25" t="s">
        <v>697</v>
      </c>
      <c r="D1229" s="75">
        <f t="shared" si="409"/>
        <v>46165</v>
      </c>
      <c r="E1229" s="75">
        <f t="shared" si="410"/>
        <v>46149</v>
      </c>
      <c r="F1229" s="75">
        <f t="shared" si="411"/>
        <v>46156</v>
      </c>
      <c r="G1229" s="75">
        <f t="shared" si="412"/>
        <v>46162</v>
      </c>
      <c r="H1229" s="75">
        <f t="shared" si="413"/>
        <v>46150</v>
      </c>
      <c r="I1229" s="75">
        <f t="shared" si="414"/>
        <v>46157</v>
      </c>
      <c r="J1229" s="75"/>
      <c r="K1229" s="25">
        <f t="shared" si="415"/>
        <v>-46142</v>
      </c>
      <c r="L1229" s="25"/>
      <c r="M1229" s="25"/>
      <c r="N1229" s="25">
        <f t="shared" ref="N1229:N1292" si="416">L1229-M1229</f>
        <v>0</v>
      </c>
      <c r="O1229" s="25" t="s">
        <v>545</v>
      </c>
    </row>
    <row r="1230" spans="1:15" x14ac:dyDescent="0.25">
      <c r="A1230" s="75">
        <v>46142</v>
      </c>
      <c r="B1230" s="25" t="s">
        <v>416</v>
      </c>
      <c r="C1230" s="25" t="s">
        <v>697</v>
      </c>
      <c r="D1230" s="75">
        <f t="shared" si="409"/>
        <v>46165</v>
      </c>
      <c r="E1230" s="75">
        <f t="shared" si="410"/>
        <v>46149</v>
      </c>
      <c r="F1230" s="75">
        <f t="shared" si="411"/>
        <v>46156</v>
      </c>
      <c r="G1230" s="75">
        <f t="shared" si="412"/>
        <v>46162</v>
      </c>
      <c r="H1230" s="75">
        <f t="shared" si="413"/>
        <v>46150</v>
      </c>
      <c r="I1230" s="75">
        <f t="shared" si="414"/>
        <v>46157</v>
      </c>
      <c r="J1230" s="75"/>
      <c r="K1230" s="25">
        <f t="shared" si="415"/>
        <v>-46142</v>
      </c>
      <c r="L1230" s="25"/>
      <c r="M1230" s="25"/>
      <c r="N1230" s="25">
        <f t="shared" si="416"/>
        <v>0</v>
      </c>
      <c r="O1230" s="25" t="s">
        <v>545</v>
      </c>
    </row>
    <row r="1231" spans="1:15" x14ac:dyDescent="0.25">
      <c r="A1231" s="75">
        <v>46143</v>
      </c>
      <c r="B1231" s="25" t="s">
        <v>417</v>
      </c>
      <c r="C1231" s="25" t="s">
        <v>697</v>
      </c>
      <c r="D1231" s="75">
        <f t="shared" ref="D1231:D1275" si="417">A1231+23</f>
        <v>46166</v>
      </c>
      <c r="E1231" s="75">
        <f t="shared" ref="E1231:E1275" si="418">A1231+7</f>
        <v>46150</v>
      </c>
      <c r="F1231" s="75">
        <f t="shared" ref="F1231:F1275" si="419">A1231+14</f>
        <v>46157</v>
      </c>
      <c r="G1231" s="75">
        <f t="shared" ref="G1231:G1275" si="420">A1231+20</f>
        <v>46163</v>
      </c>
      <c r="H1231" s="75">
        <f t="shared" ref="H1231:H1275" si="421">A1231+8</f>
        <v>46151</v>
      </c>
      <c r="I1231" s="75">
        <f t="shared" ref="I1231:I1275" si="422">A1231+15</f>
        <v>46158</v>
      </c>
      <c r="J1231" s="75">
        <v>46165</v>
      </c>
      <c r="K1231" s="25">
        <f t="shared" si="415"/>
        <v>22</v>
      </c>
      <c r="L1231" s="25">
        <v>13.28</v>
      </c>
      <c r="M1231" s="25">
        <v>11.4</v>
      </c>
      <c r="N1231" s="25">
        <f t="shared" si="416"/>
        <v>1.879999999999999</v>
      </c>
      <c r="O1231" s="25" t="s">
        <v>545</v>
      </c>
    </row>
    <row r="1232" spans="1:15" x14ac:dyDescent="0.25">
      <c r="A1232" s="75">
        <v>46143</v>
      </c>
      <c r="B1232" s="25" t="s">
        <v>418</v>
      </c>
      <c r="C1232" s="25" t="s">
        <v>697</v>
      </c>
      <c r="D1232" s="75">
        <f t="shared" si="417"/>
        <v>46166</v>
      </c>
      <c r="E1232" s="75">
        <f t="shared" si="418"/>
        <v>46150</v>
      </c>
      <c r="F1232" s="75">
        <f t="shared" si="419"/>
        <v>46157</v>
      </c>
      <c r="G1232" s="75">
        <f t="shared" si="420"/>
        <v>46163</v>
      </c>
      <c r="H1232" s="75">
        <f t="shared" si="421"/>
        <v>46151</v>
      </c>
      <c r="I1232" s="75">
        <f t="shared" si="422"/>
        <v>46158</v>
      </c>
      <c r="J1232" s="75">
        <v>46166</v>
      </c>
      <c r="K1232" s="25">
        <f t="shared" si="415"/>
        <v>23</v>
      </c>
      <c r="L1232" s="25">
        <v>13.1</v>
      </c>
      <c r="M1232" s="25">
        <v>11.36</v>
      </c>
      <c r="N1232" s="25">
        <f t="shared" si="416"/>
        <v>1.7400000000000002</v>
      </c>
      <c r="O1232" s="25" t="s">
        <v>545</v>
      </c>
    </row>
    <row r="1233" spans="1:15" x14ac:dyDescent="0.25">
      <c r="A1233" s="75">
        <v>46143</v>
      </c>
      <c r="B1233" s="25" t="s">
        <v>419</v>
      </c>
      <c r="C1233" s="25" t="s">
        <v>697</v>
      </c>
      <c r="D1233" s="75">
        <f t="shared" si="417"/>
        <v>46166</v>
      </c>
      <c r="E1233" s="75">
        <f t="shared" si="418"/>
        <v>46150</v>
      </c>
      <c r="F1233" s="75">
        <f t="shared" si="419"/>
        <v>46157</v>
      </c>
      <c r="G1233" s="75">
        <f t="shared" si="420"/>
        <v>46163</v>
      </c>
      <c r="H1233" s="75">
        <f t="shared" si="421"/>
        <v>46151</v>
      </c>
      <c r="I1233" s="75">
        <f t="shared" si="422"/>
        <v>46158</v>
      </c>
      <c r="J1233" s="75">
        <v>46166</v>
      </c>
      <c r="K1233" s="25">
        <f t="shared" si="415"/>
        <v>23</v>
      </c>
      <c r="L1233" s="25">
        <v>13.98</v>
      </c>
      <c r="M1233" s="25">
        <v>12.11</v>
      </c>
      <c r="N1233" s="25">
        <f t="shared" si="416"/>
        <v>1.870000000000001</v>
      </c>
      <c r="O1233" s="25" t="s">
        <v>545</v>
      </c>
    </row>
    <row r="1234" spans="1:15" x14ac:dyDescent="0.25">
      <c r="A1234" s="75">
        <v>46143</v>
      </c>
      <c r="B1234" s="25" t="s">
        <v>561</v>
      </c>
      <c r="C1234" s="25" t="s">
        <v>697</v>
      </c>
      <c r="D1234" s="75">
        <f t="shared" si="417"/>
        <v>46166</v>
      </c>
      <c r="E1234" s="75">
        <f t="shared" si="418"/>
        <v>46150</v>
      </c>
      <c r="F1234" s="75">
        <f t="shared" si="419"/>
        <v>46157</v>
      </c>
      <c r="G1234" s="75">
        <f t="shared" si="420"/>
        <v>46163</v>
      </c>
      <c r="H1234" s="75">
        <f t="shared" si="421"/>
        <v>46151</v>
      </c>
      <c r="I1234" s="75">
        <f t="shared" si="422"/>
        <v>46158</v>
      </c>
      <c r="J1234" s="75">
        <v>46169</v>
      </c>
      <c r="K1234" s="25">
        <f t="shared" si="415"/>
        <v>26</v>
      </c>
      <c r="L1234" s="25">
        <v>12.35</v>
      </c>
      <c r="M1234" s="25">
        <v>10.29</v>
      </c>
      <c r="N1234" s="25">
        <f t="shared" si="416"/>
        <v>2.0600000000000005</v>
      </c>
      <c r="O1234" s="25" t="s">
        <v>545</v>
      </c>
    </row>
    <row r="1235" spans="1:15" x14ac:dyDescent="0.25">
      <c r="A1235" s="75">
        <v>46143</v>
      </c>
      <c r="B1235" s="25" t="s">
        <v>562</v>
      </c>
      <c r="C1235" s="25" t="s">
        <v>697</v>
      </c>
      <c r="D1235" s="75">
        <f t="shared" si="417"/>
        <v>46166</v>
      </c>
      <c r="E1235" s="75">
        <f t="shared" si="418"/>
        <v>46150</v>
      </c>
      <c r="F1235" s="75">
        <f t="shared" si="419"/>
        <v>46157</v>
      </c>
      <c r="G1235" s="75">
        <f t="shared" si="420"/>
        <v>46163</v>
      </c>
      <c r="H1235" s="75">
        <f t="shared" si="421"/>
        <v>46151</v>
      </c>
      <c r="I1235" s="75">
        <f t="shared" si="422"/>
        <v>46158</v>
      </c>
      <c r="J1235" s="75">
        <v>46169</v>
      </c>
      <c r="K1235" s="25">
        <f t="shared" si="415"/>
        <v>26</v>
      </c>
      <c r="L1235" s="25">
        <v>11.19</v>
      </c>
      <c r="M1235" s="25">
        <v>9.27</v>
      </c>
      <c r="N1235" s="25">
        <f t="shared" si="416"/>
        <v>1.92</v>
      </c>
      <c r="O1235" s="25" t="s">
        <v>545</v>
      </c>
    </row>
    <row r="1236" spans="1:15" x14ac:dyDescent="0.25">
      <c r="A1236" s="75">
        <v>46143</v>
      </c>
      <c r="B1236" s="25" t="s">
        <v>563</v>
      </c>
      <c r="C1236" s="25" t="s">
        <v>697</v>
      </c>
      <c r="D1236" s="75">
        <f t="shared" si="417"/>
        <v>46166</v>
      </c>
      <c r="E1236" s="75">
        <f t="shared" si="418"/>
        <v>46150</v>
      </c>
      <c r="F1236" s="75">
        <f t="shared" si="419"/>
        <v>46157</v>
      </c>
      <c r="G1236" s="75">
        <f t="shared" si="420"/>
        <v>46163</v>
      </c>
      <c r="H1236" s="75">
        <f t="shared" si="421"/>
        <v>46151</v>
      </c>
      <c r="I1236" s="75">
        <f t="shared" si="422"/>
        <v>46158</v>
      </c>
      <c r="J1236" s="75">
        <v>46169</v>
      </c>
      <c r="K1236" s="25">
        <f t="shared" si="415"/>
        <v>26</v>
      </c>
      <c r="L1236" s="25">
        <v>13.1</v>
      </c>
      <c r="M1236" s="25">
        <v>11.12</v>
      </c>
      <c r="N1236" s="25">
        <f t="shared" si="416"/>
        <v>1.9800000000000004</v>
      </c>
      <c r="O1236" s="25" t="s">
        <v>545</v>
      </c>
    </row>
    <row r="1237" spans="1:15" x14ac:dyDescent="0.25">
      <c r="A1237" s="75">
        <v>46143</v>
      </c>
      <c r="B1237" s="25" t="s">
        <v>564</v>
      </c>
      <c r="C1237" s="25" t="s">
        <v>697</v>
      </c>
      <c r="D1237" s="75">
        <f t="shared" si="417"/>
        <v>46166</v>
      </c>
      <c r="E1237" s="75">
        <f t="shared" si="418"/>
        <v>46150</v>
      </c>
      <c r="F1237" s="75">
        <f t="shared" si="419"/>
        <v>46157</v>
      </c>
      <c r="G1237" s="75">
        <f t="shared" si="420"/>
        <v>46163</v>
      </c>
      <c r="H1237" s="75">
        <f t="shared" si="421"/>
        <v>46151</v>
      </c>
      <c r="I1237" s="75">
        <f t="shared" si="422"/>
        <v>46158</v>
      </c>
      <c r="J1237" s="75">
        <v>46169</v>
      </c>
      <c r="K1237" s="25">
        <f t="shared" si="415"/>
        <v>26</v>
      </c>
      <c r="L1237" s="25">
        <v>11.86</v>
      </c>
      <c r="M1237" s="25">
        <v>10.54</v>
      </c>
      <c r="N1237" s="25">
        <f t="shared" si="416"/>
        <v>1.3200000000000003</v>
      </c>
      <c r="O1237" s="25" t="s">
        <v>545</v>
      </c>
    </row>
    <row r="1238" spans="1:15" x14ac:dyDescent="0.25">
      <c r="A1238" s="75">
        <v>46144</v>
      </c>
      <c r="B1238" s="25" t="s">
        <v>565</v>
      </c>
      <c r="C1238" s="25" t="s">
        <v>697</v>
      </c>
      <c r="D1238" s="75">
        <f t="shared" si="417"/>
        <v>46167</v>
      </c>
      <c r="E1238" s="75">
        <f t="shared" si="418"/>
        <v>46151</v>
      </c>
      <c r="F1238" s="75">
        <f t="shared" si="419"/>
        <v>46158</v>
      </c>
      <c r="G1238" s="75">
        <f t="shared" si="420"/>
        <v>46164</v>
      </c>
      <c r="H1238" s="75">
        <f t="shared" si="421"/>
        <v>46152</v>
      </c>
      <c r="I1238" s="75">
        <f t="shared" si="422"/>
        <v>46159</v>
      </c>
      <c r="J1238" s="75">
        <v>46169</v>
      </c>
      <c r="K1238" s="25">
        <f t="shared" si="415"/>
        <v>25</v>
      </c>
      <c r="L1238" s="25">
        <v>12.97</v>
      </c>
      <c r="M1238" s="25">
        <v>11.08</v>
      </c>
      <c r="N1238" s="25">
        <f t="shared" si="416"/>
        <v>1.8900000000000006</v>
      </c>
      <c r="O1238" s="25" t="s">
        <v>545</v>
      </c>
    </row>
    <row r="1239" spans="1:15" x14ac:dyDescent="0.25">
      <c r="A1239" s="75">
        <v>46144</v>
      </c>
      <c r="B1239" s="25" t="s">
        <v>566</v>
      </c>
      <c r="C1239" s="25" t="s">
        <v>697</v>
      </c>
      <c r="D1239" s="75">
        <f t="shared" si="417"/>
        <v>46167</v>
      </c>
      <c r="E1239" s="75">
        <f t="shared" si="418"/>
        <v>46151</v>
      </c>
      <c r="F1239" s="75">
        <f t="shared" si="419"/>
        <v>46158</v>
      </c>
      <c r="G1239" s="75">
        <f t="shared" si="420"/>
        <v>46164</v>
      </c>
      <c r="H1239" s="75">
        <f t="shared" si="421"/>
        <v>46152</v>
      </c>
      <c r="I1239" s="75">
        <f t="shared" si="422"/>
        <v>46159</v>
      </c>
      <c r="J1239" s="75">
        <v>46169</v>
      </c>
      <c r="K1239" s="25">
        <f t="shared" si="415"/>
        <v>25</v>
      </c>
      <c r="L1239" s="25">
        <v>12.81</v>
      </c>
      <c r="M1239" s="25">
        <v>10.73</v>
      </c>
      <c r="N1239" s="25">
        <f t="shared" si="416"/>
        <v>2.08</v>
      </c>
      <c r="O1239" s="25" t="s">
        <v>545</v>
      </c>
    </row>
    <row r="1240" spans="1:15" x14ac:dyDescent="0.25">
      <c r="A1240" s="75">
        <v>46144</v>
      </c>
      <c r="B1240" s="25" t="s">
        <v>795</v>
      </c>
      <c r="C1240" s="25" t="s">
        <v>697</v>
      </c>
      <c r="D1240" s="75">
        <f t="shared" si="417"/>
        <v>46167</v>
      </c>
      <c r="E1240" s="75">
        <f t="shared" si="418"/>
        <v>46151</v>
      </c>
      <c r="F1240" s="75">
        <f t="shared" si="419"/>
        <v>46158</v>
      </c>
      <c r="G1240" s="75">
        <f t="shared" si="420"/>
        <v>46164</v>
      </c>
      <c r="H1240" s="75">
        <f t="shared" si="421"/>
        <v>46152</v>
      </c>
      <c r="I1240" s="75">
        <f t="shared" si="422"/>
        <v>46159</v>
      </c>
      <c r="J1240" s="75">
        <v>46169</v>
      </c>
      <c r="K1240" s="25">
        <f t="shared" si="415"/>
        <v>25</v>
      </c>
      <c r="L1240" s="25">
        <v>11.63</v>
      </c>
      <c r="M1240" s="25">
        <v>9.5500000000000007</v>
      </c>
      <c r="N1240" s="25">
        <f t="shared" si="416"/>
        <v>2.08</v>
      </c>
      <c r="O1240" s="25" t="s">
        <v>545</v>
      </c>
    </row>
    <row r="1241" spans="1:15" x14ac:dyDescent="0.25">
      <c r="A1241" s="75">
        <v>46144</v>
      </c>
      <c r="B1241" s="25" t="s">
        <v>796</v>
      </c>
      <c r="C1241" s="25" t="s">
        <v>697</v>
      </c>
      <c r="D1241" s="75">
        <f t="shared" si="417"/>
        <v>46167</v>
      </c>
      <c r="E1241" s="75">
        <f t="shared" si="418"/>
        <v>46151</v>
      </c>
      <c r="F1241" s="75">
        <f t="shared" si="419"/>
        <v>46158</v>
      </c>
      <c r="G1241" s="75">
        <f t="shared" si="420"/>
        <v>46164</v>
      </c>
      <c r="H1241" s="75">
        <f t="shared" si="421"/>
        <v>46152</v>
      </c>
      <c r="I1241" s="75">
        <f t="shared" si="422"/>
        <v>46159</v>
      </c>
      <c r="J1241" s="75">
        <v>46168</v>
      </c>
      <c r="K1241" s="25">
        <f t="shared" si="415"/>
        <v>24</v>
      </c>
      <c r="L1241" s="25">
        <v>14.26</v>
      </c>
      <c r="M1241" s="25">
        <v>12.56</v>
      </c>
      <c r="N1241" s="25">
        <f t="shared" si="416"/>
        <v>1.6999999999999993</v>
      </c>
      <c r="O1241" s="25" t="s">
        <v>545</v>
      </c>
    </row>
    <row r="1242" spans="1:15" x14ac:dyDescent="0.25">
      <c r="A1242" s="75">
        <v>46144</v>
      </c>
      <c r="B1242" s="25" t="s">
        <v>797</v>
      </c>
      <c r="C1242" s="25" t="s">
        <v>697</v>
      </c>
      <c r="D1242" s="75">
        <f t="shared" si="417"/>
        <v>46167</v>
      </c>
      <c r="E1242" s="75">
        <f t="shared" si="418"/>
        <v>46151</v>
      </c>
      <c r="F1242" s="75">
        <f t="shared" si="419"/>
        <v>46158</v>
      </c>
      <c r="G1242" s="75">
        <f t="shared" si="420"/>
        <v>46164</v>
      </c>
      <c r="H1242" s="75">
        <f t="shared" si="421"/>
        <v>46152</v>
      </c>
      <c r="I1242" s="75">
        <f t="shared" si="422"/>
        <v>46159</v>
      </c>
      <c r="J1242" s="75">
        <v>46168</v>
      </c>
      <c r="K1242" s="25">
        <f t="shared" si="415"/>
        <v>24</v>
      </c>
      <c r="L1242" s="25">
        <v>14.15</v>
      </c>
      <c r="M1242" s="25">
        <v>12.31</v>
      </c>
      <c r="N1242" s="25">
        <f t="shared" si="416"/>
        <v>1.8399999999999999</v>
      </c>
      <c r="O1242" s="25" t="s">
        <v>545</v>
      </c>
    </row>
    <row r="1243" spans="1:15" x14ac:dyDescent="0.25">
      <c r="A1243" s="75">
        <v>46144</v>
      </c>
      <c r="B1243" s="25" t="s">
        <v>798</v>
      </c>
      <c r="C1243" s="25" t="s">
        <v>697</v>
      </c>
      <c r="D1243" s="75">
        <f t="shared" si="417"/>
        <v>46167</v>
      </c>
      <c r="E1243" s="75">
        <f t="shared" si="418"/>
        <v>46151</v>
      </c>
      <c r="F1243" s="75">
        <f t="shared" si="419"/>
        <v>46158</v>
      </c>
      <c r="G1243" s="75">
        <f t="shared" si="420"/>
        <v>46164</v>
      </c>
      <c r="H1243" s="75">
        <f t="shared" si="421"/>
        <v>46152</v>
      </c>
      <c r="I1243" s="75">
        <f t="shared" si="422"/>
        <v>46159</v>
      </c>
      <c r="J1243" s="75">
        <v>46167</v>
      </c>
      <c r="K1243" s="25">
        <f t="shared" si="415"/>
        <v>23</v>
      </c>
      <c r="L1243" s="25">
        <v>13.18</v>
      </c>
      <c r="M1243" s="25">
        <v>11.32</v>
      </c>
      <c r="N1243" s="25">
        <f t="shared" si="416"/>
        <v>1.8599999999999994</v>
      </c>
      <c r="O1243" s="25" t="s">
        <v>545</v>
      </c>
    </row>
    <row r="1244" spans="1:15" x14ac:dyDescent="0.25">
      <c r="A1244" s="75">
        <v>46145</v>
      </c>
      <c r="B1244" s="25" t="s">
        <v>511</v>
      </c>
      <c r="C1244" s="25" t="s">
        <v>697</v>
      </c>
      <c r="D1244" s="75">
        <f t="shared" si="417"/>
        <v>46168</v>
      </c>
      <c r="E1244" s="75">
        <f t="shared" si="418"/>
        <v>46152</v>
      </c>
      <c r="F1244" s="75">
        <f t="shared" si="419"/>
        <v>46159</v>
      </c>
      <c r="G1244" s="75">
        <f t="shared" si="420"/>
        <v>46165</v>
      </c>
      <c r="H1244" s="75">
        <f t="shared" si="421"/>
        <v>46153</v>
      </c>
      <c r="I1244" s="75">
        <f t="shared" si="422"/>
        <v>46160</v>
      </c>
      <c r="J1244" s="75">
        <v>46170</v>
      </c>
      <c r="K1244" s="25">
        <f t="shared" si="415"/>
        <v>25</v>
      </c>
      <c r="L1244" s="25">
        <v>13.1</v>
      </c>
      <c r="M1244" s="25">
        <v>11.35</v>
      </c>
      <c r="N1244" s="25">
        <f t="shared" si="416"/>
        <v>1.75</v>
      </c>
      <c r="O1244" s="25" t="s">
        <v>545</v>
      </c>
    </row>
    <row r="1245" spans="1:15" x14ac:dyDescent="0.25">
      <c r="A1245" s="75">
        <v>46145</v>
      </c>
      <c r="B1245" s="25" t="s">
        <v>512</v>
      </c>
      <c r="C1245" s="25" t="s">
        <v>697</v>
      </c>
      <c r="D1245" s="75">
        <f t="shared" si="417"/>
        <v>46168</v>
      </c>
      <c r="E1245" s="75">
        <f t="shared" si="418"/>
        <v>46152</v>
      </c>
      <c r="F1245" s="75">
        <f t="shared" si="419"/>
        <v>46159</v>
      </c>
      <c r="G1245" s="75">
        <f t="shared" si="420"/>
        <v>46165</v>
      </c>
      <c r="H1245" s="75">
        <f t="shared" si="421"/>
        <v>46153</v>
      </c>
      <c r="I1245" s="75">
        <f t="shared" si="422"/>
        <v>46160</v>
      </c>
      <c r="J1245" s="75">
        <v>46170</v>
      </c>
      <c r="K1245" s="25">
        <f t="shared" si="415"/>
        <v>25</v>
      </c>
      <c r="L1245" s="25">
        <v>13.52</v>
      </c>
      <c r="M1245" s="25">
        <v>11.73</v>
      </c>
      <c r="N1245" s="25">
        <f t="shared" si="416"/>
        <v>1.7899999999999991</v>
      </c>
      <c r="O1245" s="25" t="s">
        <v>545</v>
      </c>
    </row>
    <row r="1246" spans="1:15" x14ac:dyDescent="0.25">
      <c r="A1246" s="75">
        <v>46145</v>
      </c>
      <c r="B1246" s="25" t="s">
        <v>513</v>
      </c>
      <c r="C1246" s="25" t="s">
        <v>697</v>
      </c>
      <c r="D1246" s="75">
        <f t="shared" si="417"/>
        <v>46168</v>
      </c>
      <c r="E1246" s="75">
        <f t="shared" si="418"/>
        <v>46152</v>
      </c>
      <c r="F1246" s="75">
        <f t="shared" si="419"/>
        <v>46159</v>
      </c>
      <c r="G1246" s="75">
        <f t="shared" si="420"/>
        <v>46165</v>
      </c>
      <c r="H1246" s="75">
        <f t="shared" si="421"/>
        <v>46153</v>
      </c>
      <c r="I1246" s="75">
        <f t="shared" si="422"/>
        <v>46160</v>
      </c>
      <c r="J1246" s="75">
        <v>46170</v>
      </c>
      <c r="K1246" s="25">
        <f t="shared" si="415"/>
        <v>25</v>
      </c>
      <c r="L1246" s="25">
        <v>13.98</v>
      </c>
      <c r="M1246" s="25">
        <v>12.1</v>
      </c>
      <c r="N1246" s="25">
        <f t="shared" si="416"/>
        <v>1.8800000000000008</v>
      </c>
      <c r="O1246" s="25" t="s">
        <v>545</v>
      </c>
    </row>
    <row r="1247" spans="1:15" x14ac:dyDescent="0.25">
      <c r="A1247" s="75">
        <v>46145</v>
      </c>
      <c r="B1247" s="25" t="s">
        <v>514</v>
      </c>
      <c r="C1247" s="25" t="s">
        <v>697</v>
      </c>
      <c r="D1247" s="75">
        <f t="shared" si="417"/>
        <v>46168</v>
      </c>
      <c r="E1247" s="75">
        <f t="shared" si="418"/>
        <v>46152</v>
      </c>
      <c r="F1247" s="75">
        <f t="shared" si="419"/>
        <v>46159</v>
      </c>
      <c r="G1247" s="75">
        <f t="shared" si="420"/>
        <v>46165</v>
      </c>
      <c r="H1247" s="75">
        <f t="shared" si="421"/>
        <v>46153</v>
      </c>
      <c r="I1247" s="75">
        <f t="shared" si="422"/>
        <v>46160</v>
      </c>
      <c r="J1247" s="75">
        <v>46170</v>
      </c>
      <c r="K1247" s="25">
        <f t="shared" si="415"/>
        <v>25</v>
      </c>
      <c r="L1247" s="25">
        <v>12.37</v>
      </c>
      <c r="M1247" s="25">
        <v>10.54</v>
      </c>
      <c r="N1247" s="25">
        <f t="shared" si="416"/>
        <v>1.83</v>
      </c>
      <c r="O1247" s="25" t="s">
        <v>545</v>
      </c>
    </row>
    <row r="1248" spans="1:15" x14ac:dyDescent="0.25">
      <c r="A1248" s="75">
        <v>46145</v>
      </c>
      <c r="B1248" s="25" t="s">
        <v>515</v>
      </c>
      <c r="C1248" s="25" t="s">
        <v>697</v>
      </c>
      <c r="D1248" s="75">
        <f t="shared" si="417"/>
        <v>46168</v>
      </c>
      <c r="E1248" s="75">
        <f t="shared" si="418"/>
        <v>46152</v>
      </c>
      <c r="F1248" s="75">
        <f t="shared" si="419"/>
        <v>46159</v>
      </c>
      <c r="G1248" s="75">
        <f t="shared" si="420"/>
        <v>46165</v>
      </c>
      <c r="H1248" s="75">
        <f t="shared" si="421"/>
        <v>46153</v>
      </c>
      <c r="I1248" s="75">
        <f t="shared" si="422"/>
        <v>46160</v>
      </c>
      <c r="J1248" s="75">
        <v>46170</v>
      </c>
      <c r="K1248" s="25">
        <f t="shared" si="415"/>
        <v>25</v>
      </c>
      <c r="L1248" s="25">
        <v>12.16</v>
      </c>
      <c r="M1248" s="25">
        <v>10.58</v>
      </c>
      <c r="N1248" s="25">
        <f t="shared" si="416"/>
        <v>1.58</v>
      </c>
      <c r="O1248" s="25" t="s">
        <v>545</v>
      </c>
    </row>
    <row r="1249" spans="1:15" x14ac:dyDescent="0.25">
      <c r="A1249" s="75">
        <v>46145</v>
      </c>
      <c r="B1249" s="25" t="s">
        <v>516</v>
      </c>
      <c r="C1249" s="25" t="s">
        <v>697</v>
      </c>
      <c r="D1249" s="75">
        <f t="shared" si="417"/>
        <v>46168</v>
      </c>
      <c r="E1249" s="75">
        <f t="shared" si="418"/>
        <v>46152</v>
      </c>
      <c r="F1249" s="75">
        <f t="shared" si="419"/>
        <v>46159</v>
      </c>
      <c r="G1249" s="75">
        <f t="shared" si="420"/>
        <v>46165</v>
      </c>
      <c r="H1249" s="75">
        <f t="shared" si="421"/>
        <v>46153</v>
      </c>
      <c r="I1249" s="75">
        <f t="shared" si="422"/>
        <v>46160</v>
      </c>
      <c r="J1249" s="75">
        <v>46170</v>
      </c>
      <c r="K1249" s="25">
        <f t="shared" si="415"/>
        <v>25</v>
      </c>
      <c r="L1249" s="25">
        <v>14.08</v>
      </c>
      <c r="M1249" s="25">
        <v>12.33</v>
      </c>
      <c r="N1249" s="25">
        <f t="shared" si="416"/>
        <v>1.75</v>
      </c>
      <c r="O1249" s="25" t="s">
        <v>545</v>
      </c>
    </row>
    <row r="1250" spans="1:15" x14ac:dyDescent="0.25">
      <c r="A1250" s="75">
        <v>46145</v>
      </c>
      <c r="B1250" s="25" t="s">
        <v>517</v>
      </c>
      <c r="C1250" s="25" t="s">
        <v>697</v>
      </c>
      <c r="D1250" s="75">
        <f t="shared" si="417"/>
        <v>46168</v>
      </c>
      <c r="E1250" s="75">
        <f t="shared" si="418"/>
        <v>46152</v>
      </c>
      <c r="F1250" s="75">
        <f t="shared" si="419"/>
        <v>46159</v>
      </c>
      <c r="G1250" s="75">
        <f t="shared" si="420"/>
        <v>46165</v>
      </c>
      <c r="H1250" s="75">
        <f t="shared" si="421"/>
        <v>46153</v>
      </c>
      <c r="I1250" s="75">
        <f t="shared" si="422"/>
        <v>46160</v>
      </c>
      <c r="J1250" s="75">
        <v>46171</v>
      </c>
      <c r="K1250" s="25">
        <f t="shared" si="415"/>
        <v>26</v>
      </c>
      <c r="L1250" s="25">
        <v>14.2</v>
      </c>
      <c r="M1250" s="25">
        <v>12.31</v>
      </c>
      <c r="N1250" s="25">
        <f t="shared" si="416"/>
        <v>1.8899999999999988</v>
      </c>
      <c r="O1250" s="25" t="s">
        <v>545</v>
      </c>
    </row>
    <row r="1251" spans="1:15" x14ac:dyDescent="0.25">
      <c r="A1251" s="75">
        <v>46146</v>
      </c>
      <c r="B1251" s="25" t="s">
        <v>518</v>
      </c>
      <c r="C1251" s="25" t="s">
        <v>697</v>
      </c>
      <c r="D1251" s="75">
        <f t="shared" si="417"/>
        <v>46169</v>
      </c>
      <c r="E1251" s="75">
        <f t="shared" si="418"/>
        <v>46153</v>
      </c>
      <c r="F1251" s="75">
        <f t="shared" si="419"/>
        <v>46160</v>
      </c>
      <c r="G1251" s="75">
        <f t="shared" si="420"/>
        <v>46166</v>
      </c>
      <c r="H1251" s="75">
        <f t="shared" si="421"/>
        <v>46154</v>
      </c>
      <c r="I1251" s="75">
        <f t="shared" si="422"/>
        <v>46161</v>
      </c>
      <c r="J1251" s="75">
        <v>46171</v>
      </c>
      <c r="K1251" s="25">
        <f t="shared" si="415"/>
        <v>25</v>
      </c>
      <c r="L1251" s="25">
        <v>12.16</v>
      </c>
      <c r="M1251" s="25">
        <v>10.33</v>
      </c>
      <c r="N1251" s="25">
        <f t="shared" si="416"/>
        <v>1.83</v>
      </c>
      <c r="O1251" s="25" t="s">
        <v>545</v>
      </c>
    </row>
    <row r="1252" spans="1:15" x14ac:dyDescent="0.25">
      <c r="A1252" s="75">
        <v>46146</v>
      </c>
      <c r="B1252" s="25" t="s">
        <v>519</v>
      </c>
      <c r="C1252" s="25" t="s">
        <v>697</v>
      </c>
      <c r="D1252" s="75">
        <f t="shared" si="417"/>
        <v>46169</v>
      </c>
      <c r="E1252" s="75">
        <f t="shared" si="418"/>
        <v>46153</v>
      </c>
      <c r="F1252" s="75">
        <f t="shared" si="419"/>
        <v>46160</v>
      </c>
      <c r="G1252" s="75">
        <f t="shared" si="420"/>
        <v>46166</v>
      </c>
      <c r="H1252" s="75">
        <f t="shared" si="421"/>
        <v>46154</v>
      </c>
      <c r="I1252" s="75">
        <f t="shared" si="422"/>
        <v>46161</v>
      </c>
      <c r="J1252" s="75">
        <v>46171</v>
      </c>
      <c r="K1252" s="25">
        <f t="shared" si="415"/>
        <v>25</v>
      </c>
      <c r="L1252" s="25">
        <v>13.08</v>
      </c>
      <c r="M1252" s="25">
        <v>11.15</v>
      </c>
      <c r="N1252" s="25">
        <f t="shared" si="416"/>
        <v>1.9299999999999997</v>
      </c>
      <c r="O1252" s="25" t="s">
        <v>545</v>
      </c>
    </row>
    <row r="1253" spans="1:15" x14ac:dyDescent="0.25">
      <c r="A1253" s="75">
        <v>46146</v>
      </c>
      <c r="B1253" s="25" t="s">
        <v>520</v>
      </c>
      <c r="C1253" s="25" t="s">
        <v>697</v>
      </c>
      <c r="D1253" s="75">
        <f t="shared" si="417"/>
        <v>46169</v>
      </c>
      <c r="E1253" s="75">
        <f t="shared" si="418"/>
        <v>46153</v>
      </c>
      <c r="F1253" s="75">
        <f t="shared" si="419"/>
        <v>46160</v>
      </c>
      <c r="G1253" s="75">
        <f t="shared" si="420"/>
        <v>46166</v>
      </c>
      <c r="H1253" s="75">
        <f t="shared" si="421"/>
        <v>46154</v>
      </c>
      <c r="I1253" s="75">
        <f t="shared" si="422"/>
        <v>46161</v>
      </c>
      <c r="J1253" s="75">
        <v>46171</v>
      </c>
      <c r="K1253" s="25">
        <f t="shared" si="415"/>
        <v>25</v>
      </c>
      <c r="L1253" s="25">
        <v>14.41</v>
      </c>
      <c r="M1253" s="25">
        <v>12.74</v>
      </c>
      <c r="N1253" s="25">
        <f t="shared" si="416"/>
        <v>1.67</v>
      </c>
      <c r="O1253" s="25" t="s">
        <v>545</v>
      </c>
    </row>
    <row r="1254" spans="1:15" x14ac:dyDescent="0.25">
      <c r="A1254" s="75">
        <v>46146</v>
      </c>
      <c r="B1254" s="25" t="s">
        <v>521</v>
      </c>
      <c r="C1254" s="25" t="s">
        <v>697</v>
      </c>
      <c r="D1254" s="75">
        <f t="shared" si="417"/>
        <v>46169</v>
      </c>
      <c r="E1254" s="75">
        <f t="shared" si="418"/>
        <v>46153</v>
      </c>
      <c r="F1254" s="75">
        <f t="shared" si="419"/>
        <v>46160</v>
      </c>
      <c r="G1254" s="75">
        <f t="shared" si="420"/>
        <v>46166</v>
      </c>
      <c r="H1254" s="75">
        <f t="shared" si="421"/>
        <v>46154</v>
      </c>
      <c r="I1254" s="75">
        <f t="shared" si="422"/>
        <v>46161</v>
      </c>
      <c r="J1254" s="75">
        <v>46171</v>
      </c>
      <c r="K1254" s="25">
        <f t="shared" si="415"/>
        <v>25</v>
      </c>
      <c r="L1254" s="25">
        <v>14.35</v>
      </c>
      <c r="M1254" s="25">
        <v>12.58</v>
      </c>
      <c r="N1254" s="25">
        <f t="shared" si="416"/>
        <v>1.7699999999999996</v>
      </c>
      <c r="O1254" s="25" t="s">
        <v>545</v>
      </c>
    </row>
    <row r="1255" spans="1:15" x14ac:dyDescent="0.25">
      <c r="A1255" s="75">
        <v>46146</v>
      </c>
      <c r="B1255" s="25" t="s">
        <v>522</v>
      </c>
      <c r="C1255" s="25" t="s">
        <v>697</v>
      </c>
      <c r="D1255" s="75">
        <f t="shared" si="417"/>
        <v>46169</v>
      </c>
      <c r="E1255" s="75">
        <f t="shared" si="418"/>
        <v>46153</v>
      </c>
      <c r="F1255" s="75">
        <f t="shared" si="419"/>
        <v>46160</v>
      </c>
      <c r="G1255" s="75">
        <f t="shared" si="420"/>
        <v>46166</v>
      </c>
      <c r="H1255" s="75">
        <f t="shared" si="421"/>
        <v>46154</v>
      </c>
      <c r="I1255" s="75">
        <f t="shared" si="422"/>
        <v>46161</v>
      </c>
      <c r="J1255" s="75">
        <v>46171</v>
      </c>
      <c r="K1255" s="25">
        <f t="shared" si="415"/>
        <v>25</v>
      </c>
      <c r="L1255" s="25">
        <v>15.38</v>
      </c>
      <c r="M1255" s="25">
        <v>13.41</v>
      </c>
      <c r="N1255" s="25">
        <f t="shared" si="416"/>
        <v>1.9700000000000006</v>
      </c>
      <c r="O1255" s="25" t="s">
        <v>545</v>
      </c>
    </row>
    <row r="1256" spans="1:15" x14ac:dyDescent="0.25">
      <c r="A1256" s="75">
        <v>46146</v>
      </c>
      <c r="B1256" s="25" t="s">
        <v>523</v>
      </c>
      <c r="C1256" s="25" t="s">
        <v>697</v>
      </c>
      <c r="D1256" s="75">
        <f t="shared" si="417"/>
        <v>46169</v>
      </c>
      <c r="E1256" s="75">
        <f t="shared" si="418"/>
        <v>46153</v>
      </c>
      <c r="F1256" s="75">
        <f t="shared" si="419"/>
        <v>46160</v>
      </c>
      <c r="G1256" s="75">
        <f t="shared" si="420"/>
        <v>46166</v>
      </c>
      <c r="H1256" s="75">
        <f t="shared" si="421"/>
        <v>46154</v>
      </c>
      <c r="I1256" s="75">
        <f t="shared" si="422"/>
        <v>46161</v>
      </c>
      <c r="J1256" s="75">
        <v>46171</v>
      </c>
      <c r="K1256" s="25">
        <f t="shared" si="415"/>
        <v>25</v>
      </c>
      <c r="L1256" s="25">
        <v>15.06</v>
      </c>
      <c r="M1256" s="25">
        <v>13.1</v>
      </c>
      <c r="N1256" s="25">
        <f t="shared" si="416"/>
        <v>1.9600000000000009</v>
      </c>
      <c r="O1256" s="25" t="s">
        <v>545</v>
      </c>
    </row>
    <row r="1257" spans="1:15" x14ac:dyDescent="0.25">
      <c r="A1257" s="75">
        <v>46146</v>
      </c>
      <c r="B1257" s="25" t="s">
        <v>524</v>
      </c>
      <c r="C1257" s="25" t="s">
        <v>697</v>
      </c>
      <c r="D1257" s="75">
        <f t="shared" si="417"/>
        <v>46169</v>
      </c>
      <c r="E1257" s="75">
        <f t="shared" si="418"/>
        <v>46153</v>
      </c>
      <c r="F1257" s="75">
        <f t="shared" si="419"/>
        <v>46160</v>
      </c>
      <c r="G1257" s="75">
        <f t="shared" si="420"/>
        <v>46166</v>
      </c>
      <c r="H1257" s="75">
        <f t="shared" si="421"/>
        <v>46154</v>
      </c>
      <c r="I1257" s="75">
        <f t="shared" si="422"/>
        <v>46161</v>
      </c>
      <c r="J1257" s="75">
        <v>46171</v>
      </c>
      <c r="K1257" s="25">
        <f t="shared" si="415"/>
        <v>25</v>
      </c>
      <c r="L1257" s="25">
        <v>13.37</v>
      </c>
      <c r="M1257" s="25">
        <v>11.58</v>
      </c>
      <c r="N1257" s="25">
        <f t="shared" si="416"/>
        <v>1.7899999999999991</v>
      </c>
      <c r="O1257" s="25" t="s">
        <v>545</v>
      </c>
    </row>
    <row r="1258" spans="1:15" x14ac:dyDescent="0.25">
      <c r="A1258" s="75">
        <v>46147</v>
      </c>
      <c r="B1258" s="25" t="s">
        <v>525</v>
      </c>
      <c r="C1258" s="25" t="s">
        <v>697</v>
      </c>
      <c r="D1258" s="75">
        <f t="shared" si="417"/>
        <v>46170</v>
      </c>
      <c r="E1258" s="75">
        <f t="shared" si="418"/>
        <v>46154</v>
      </c>
      <c r="F1258" s="75">
        <f t="shared" si="419"/>
        <v>46161</v>
      </c>
      <c r="G1258" s="75">
        <f t="shared" si="420"/>
        <v>46167</v>
      </c>
      <c r="H1258" s="75">
        <f t="shared" si="421"/>
        <v>46155</v>
      </c>
      <c r="I1258" s="75">
        <f t="shared" si="422"/>
        <v>46162</v>
      </c>
      <c r="J1258" s="75">
        <v>46171</v>
      </c>
      <c r="K1258" s="25">
        <f t="shared" si="415"/>
        <v>24</v>
      </c>
      <c r="L1258" s="25">
        <v>14.43</v>
      </c>
      <c r="M1258" s="25">
        <v>12.64</v>
      </c>
      <c r="N1258" s="25">
        <f t="shared" si="416"/>
        <v>1.7899999999999991</v>
      </c>
      <c r="O1258" s="25" t="s">
        <v>545</v>
      </c>
    </row>
    <row r="1259" spans="1:15" x14ac:dyDescent="0.25">
      <c r="A1259" s="75">
        <v>46147</v>
      </c>
      <c r="B1259" s="25" t="s">
        <v>526</v>
      </c>
      <c r="C1259" s="25" t="s">
        <v>697</v>
      </c>
      <c r="D1259" s="75">
        <f t="shared" si="417"/>
        <v>46170</v>
      </c>
      <c r="E1259" s="75">
        <f t="shared" si="418"/>
        <v>46154</v>
      </c>
      <c r="F1259" s="75">
        <f t="shared" si="419"/>
        <v>46161</v>
      </c>
      <c r="G1259" s="75">
        <f t="shared" si="420"/>
        <v>46167</v>
      </c>
      <c r="H1259" s="75">
        <f t="shared" si="421"/>
        <v>46155</v>
      </c>
      <c r="I1259" s="75">
        <f t="shared" si="422"/>
        <v>46162</v>
      </c>
      <c r="J1259" s="75">
        <v>46171</v>
      </c>
      <c r="K1259" s="25">
        <f t="shared" si="415"/>
        <v>24</v>
      </c>
      <c r="L1259" s="25">
        <v>15.24</v>
      </c>
      <c r="M1259" s="25">
        <v>13.55</v>
      </c>
      <c r="N1259" s="25">
        <f t="shared" si="416"/>
        <v>1.6899999999999995</v>
      </c>
      <c r="O1259" s="25" t="s">
        <v>545</v>
      </c>
    </row>
    <row r="1260" spans="1:15" x14ac:dyDescent="0.25">
      <c r="A1260" s="75">
        <v>46147</v>
      </c>
      <c r="B1260" s="25" t="s">
        <v>527</v>
      </c>
      <c r="C1260" s="25" t="s">
        <v>697</v>
      </c>
      <c r="D1260" s="75">
        <f t="shared" si="417"/>
        <v>46170</v>
      </c>
      <c r="E1260" s="75">
        <f t="shared" si="418"/>
        <v>46154</v>
      </c>
      <c r="F1260" s="75">
        <f t="shared" si="419"/>
        <v>46161</v>
      </c>
      <c r="G1260" s="75">
        <f t="shared" si="420"/>
        <v>46167</v>
      </c>
      <c r="H1260" s="75">
        <f t="shared" si="421"/>
        <v>46155</v>
      </c>
      <c r="I1260" s="75">
        <f t="shared" si="422"/>
        <v>46162</v>
      </c>
      <c r="J1260" s="75">
        <v>46172</v>
      </c>
      <c r="K1260" s="25">
        <f t="shared" si="415"/>
        <v>25</v>
      </c>
      <c r="L1260" s="25">
        <v>14.36</v>
      </c>
      <c r="M1260" s="25">
        <v>12.53</v>
      </c>
      <c r="N1260" s="25">
        <f t="shared" si="416"/>
        <v>1.83</v>
      </c>
      <c r="O1260" s="25" t="s">
        <v>545</v>
      </c>
    </row>
    <row r="1261" spans="1:15" x14ac:dyDescent="0.25">
      <c r="A1261" s="75">
        <v>46147</v>
      </c>
      <c r="B1261" s="25" t="s">
        <v>528</v>
      </c>
      <c r="C1261" s="25" t="s">
        <v>697</v>
      </c>
      <c r="D1261" s="75">
        <f t="shared" si="417"/>
        <v>46170</v>
      </c>
      <c r="E1261" s="75">
        <f t="shared" si="418"/>
        <v>46154</v>
      </c>
      <c r="F1261" s="75">
        <f t="shared" si="419"/>
        <v>46161</v>
      </c>
      <c r="G1261" s="75">
        <f t="shared" si="420"/>
        <v>46167</v>
      </c>
      <c r="H1261" s="75">
        <f t="shared" si="421"/>
        <v>46155</v>
      </c>
      <c r="I1261" s="75">
        <f t="shared" si="422"/>
        <v>46162</v>
      </c>
      <c r="J1261" s="75">
        <v>46172</v>
      </c>
      <c r="K1261" s="25">
        <f t="shared" si="415"/>
        <v>25</v>
      </c>
      <c r="L1261" s="25">
        <v>15.21</v>
      </c>
      <c r="M1261" s="25">
        <v>13.58</v>
      </c>
      <c r="N1261" s="25">
        <f t="shared" si="416"/>
        <v>1.6300000000000008</v>
      </c>
      <c r="O1261" s="25" t="s">
        <v>545</v>
      </c>
    </row>
    <row r="1262" spans="1:15" x14ac:dyDescent="0.25">
      <c r="A1262" s="75">
        <v>46147</v>
      </c>
      <c r="B1262" s="25" t="s">
        <v>529</v>
      </c>
      <c r="C1262" s="25" t="s">
        <v>697</v>
      </c>
      <c r="D1262" s="75">
        <f t="shared" si="417"/>
        <v>46170</v>
      </c>
      <c r="E1262" s="75">
        <f t="shared" si="418"/>
        <v>46154</v>
      </c>
      <c r="F1262" s="75">
        <f t="shared" si="419"/>
        <v>46161</v>
      </c>
      <c r="G1262" s="75">
        <f t="shared" si="420"/>
        <v>46167</v>
      </c>
      <c r="H1262" s="75">
        <f t="shared" si="421"/>
        <v>46155</v>
      </c>
      <c r="I1262" s="75">
        <f t="shared" si="422"/>
        <v>46162</v>
      </c>
      <c r="J1262" s="75">
        <v>46172</v>
      </c>
      <c r="K1262" s="25">
        <f t="shared" si="415"/>
        <v>25</v>
      </c>
      <c r="L1262" s="25">
        <v>14.93</v>
      </c>
      <c r="M1262" s="25">
        <v>13.1</v>
      </c>
      <c r="N1262" s="25">
        <f t="shared" si="416"/>
        <v>1.83</v>
      </c>
      <c r="O1262" s="25" t="s">
        <v>545</v>
      </c>
    </row>
    <row r="1263" spans="1:15" x14ac:dyDescent="0.25">
      <c r="A1263" s="75">
        <v>46147</v>
      </c>
      <c r="B1263" s="25" t="s">
        <v>530</v>
      </c>
      <c r="C1263" s="25" t="s">
        <v>697</v>
      </c>
      <c r="D1263" s="75">
        <f t="shared" si="417"/>
        <v>46170</v>
      </c>
      <c r="E1263" s="75">
        <f t="shared" si="418"/>
        <v>46154</v>
      </c>
      <c r="F1263" s="75">
        <f t="shared" si="419"/>
        <v>46161</v>
      </c>
      <c r="G1263" s="75">
        <f t="shared" si="420"/>
        <v>46167</v>
      </c>
      <c r="H1263" s="75">
        <f t="shared" si="421"/>
        <v>46155</v>
      </c>
      <c r="I1263" s="75">
        <f t="shared" si="422"/>
        <v>46162</v>
      </c>
      <c r="J1263" s="75">
        <v>46172</v>
      </c>
      <c r="K1263" s="25">
        <f t="shared" si="415"/>
        <v>25</v>
      </c>
      <c r="L1263" s="25">
        <v>13.88</v>
      </c>
      <c r="M1263" s="25">
        <v>12.05</v>
      </c>
      <c r="N1263" s="25">
        <f t="shared" si="416"/>
        <v>1.83</v>
      </c>
      <c r="O1263" s="25" t="s">
        <v>545</v>
      </c>
    </row>
    <row r="1264" spans="1:15" x14ac:dyDescent="0.25">
      <c r="A1264" s="75">
        <v>46147</v>
      </c>
      <c r="B1264" s="25" t="s">
        <v>558</v>
      </c>
      <c r="C1264" s="25" t="s">
        <v>697</v>
      </c>
      <c r="D1264" s="75">
        <f t="shared" si="417"/>
        <v>46170</v>
      </c>
      <c r="E1264" s="75">
        <f t="shared" si="418"/>
        <v>46154</v>
      </c>
      <c r="F1264" s="75">
        <f t="shared" si="419"/>
        <v>46161</v>
      </c>
      <c r="G1264" s="75">
        <f t="shared" si="420"/>
        <v>46167</v>
      </c>
      <c r="H1264" s="75">
        <f t="shared" si="421"/>
        <v>46155</v>
      </c>
      <c r="I1264" s="75">
        <f t="shared" si="422"/>
        <v>46162</v>
      </c>
      <c r="J1264" s="75">
        <v>46170</v>
      </c>
      <c r="K1264" s="25">
        <f t="shared" si="415"/>
        <v>23</v>
      </c>
      <c r="L1264" s="25">
        <v>12.98</v>
      </c>
      <c r="M1264" s="25">
        <v>11.28</v>
      </c>
      <c r="N1264" s="25">
        <f t="shared" si="416"/>
        <v>1.7000000000000011</v>
      </c>
      <c r="O1264" s="25" t="s">
        <v>545</v>
      </c>
    </row>
    <row r="1265" spans="1:15" x14ac:dyDescent="0.25">
      <c r="A1265" s="75">
        <v>46148</v>
      </c>
      <c r="B1265" s="25" t="s">
        <v>420</v>
      </c>
      <c r="C1265" s="25" t="s">
        <v>697</v>
      </c>
      <c r="D1265" s="75">
        <f t="shared" si="417"/>
        <v>46171</v>
      </c>
      <c r="E1265" s="75">
        <f t="shared" si="418"/>
        <v>46155</v>
      </c>
      <c r="F1265" s="75">
        <f t="shared" si="419"/>
        <v>46162</v>
      </c>
      <c r="G1265" s="75">
        <f t="shared" si="420"/>
        <v>46168</v>
      </c>
      <c r="H1265" s="75">
        <f t="shared" si="421"/>
        <v>46156</v>
      </c>
      <c r="I1265" s="75">
        <f t="shared" si="422"/>
        <v>46163</v>
      </c>
      <c r="J1265" s="75"/>
      <c r="K1265" s="25">
        <f t="shared" si="415"/>
        <v>-46148</v>
      </c>
      <c r="L1265" s="25"/>
      <c r="M1265" s="25"/>
      <c r="N1265" s="25">
        <f t="shared" si="416"/>
        <v>0</v>
      </c>
      <c r="O1265" s="25" t="s">
        <v>545</v>
      </c>
    </row>
    <row r="1266" spans="1:15" x14ac:dyDescent="0.25">
      <c r="A1266" s="75">
        <v>46148</v>
      </c>
      <c r="B1266" s="25" t="s">
        <v>421</v>
      </c>
      <c r="C1266" s="25" t="s">
        <v>697</v>
      </c>
      <c r="D1266" s="75">
        <f t="shared" si="417"/>
        <v>46171</v>
      </c>
      <c r="E1266" s="75">
        <f t="shared" si="418"/>
        <v>46155</v>
      </c>
      <c r="F1266" s="75">
        <f t="shared" si="419"/>
        <v>46162</v>
      </c>
      <c r="G1266" s="75">
        <f t="shared" si="420"/>
        <v>46168</v>
      </c>
      <c r="H1266" s="75">
        <f t="shared" si="421"/>
        <v>46156</v>
      </c>
      <c r="I1266" s="75">
        <f t="shared" si="422"/>
        <v>46163</v>
      </c>
      <c r="J1266" s="75"/>
      <c r="K1266" s="25">
        <f t="shared" si="415"/>
        <v>-46148</v>
      </c>
      <c r="L1266" s="25"/>
      <c r="M1266" s="25"/>
      <c r="N1266" s="25">
        <f t="shared" si="416"/>
        <v>0</v>
      </c>
      <c r="O1266" s="25" t="s">
        <v>545</v>
      </c>
    </row>
    <row r="1267" spans="1:15" x14ac:dyDescent="0.25">
      <c r="A1267" s="75">
        <v>46148</v>
      </c>
      <c r="B1267" s="25" t="s">
        <v>422</v>
      </c>
      <c r="C1267" s="25" t="s">
        <v>697</v>
      </c>
      <c r="D1267" s="75">
        <f t="shared" si="417"/>
        <v>46171</v>
      </c>
      <c r="E1267" s="75">
        <f t="shared" si="418"/>
        <v>46155</v>
      </c>
      <c r="F1267" s="75">
        <f t="shared" si="419"/>
        <v>46162</v>
      </c>
      <c r="G1267" s="75">
        <f t="shared" si="420"/>
        <v>46168</v>
      </c>
      <c r="H1267" s="75">
        <f t="shared" si="421"/>
        <v>46156</v>
      </c>
      <c r="I1267" s="75">
        <f t="shared" si="422"/>
        <v>46163</v>
      </c>
      <c r="J1267" s="75">
        <v>46173</v>
      </c>
      <c r="K1267" s="25">
        <f t="shared" si="415"/>
        <v>25</v>
      </c>
      <c r="L1267" s="25">
        <v>11.38</v>
      </c>
      <c r="M1267" s="25">
        <v>9.2100000000000009</v>
      </c>
      <c r="N1267" s="25">
        <f t="shared" si="416"/>
        <v>2.17</v>
      </c>
      <c r="O1267" s="25" t="s">
        <v>545</v>
      </c>
    </row>
    <row r="1268" spans="1:15" x14ac:dyDescent="0.25">
      <c r="A1268" s="75">
        <v>46148</v>
      </c>
      <c r="B1268" s="25" t="s">
        <v>423</v>
      </c>
      <c r="C1268" s="25" t="s">
        <v>697</v>
      </c>
      <c r="D1268" s="75">
        <f t="shared" si="417"/>
        <v>46171</v>
      </c>
      <c r="E1268" s="75">
        <f t="shared" si="418"/>
        <v>46155</v>
      </c>
      <c r="F1268" s="75">
        <f t="shared" si="419"/>
        <v>46162</v>
      </c>
      <c r="G1268" s="75">
        <f t="shared" si="420"/>
        <v>46168</v>
      </c>
      <c r="H1268" s="75">
        <f t="shared" si="421"/>
        <v>46156</v>
      </c>
      <c r="I1268" s="75">
        <f t="shared" si="422"/>
        <v>46163</v>
      </c>
      <c r="J1268" s="75">
        <v>46173</v>
      </c>
      <c r="K1268" s="25">
        <f t="shared" si="415"/>
        <v>25</v>
      </c>
      <c r="L1268" s="25">
        <v>12.1</v>
      </c>
      <c r="M1268" s="25">
        <v>10.36</v>
      </c>
      <c r="N1268" s="25">
        <f t="shared" si="416"/>
        <v>1.7400000000000002</v>
      </c>
      <c r="O1268" s="25" t="s">
        <v>545</v>
      </c>
    </row>
    <row r="1269" spans="1:15" x14ac:dyDescent="0.25">
      <c r="A1269" s="75">
        <v>46150</v>
      </c>
      <c r="B1269" s="25" t="s">
        <v>373</v>
      </c>
      <c r="C1269" s="25" t="s">
        <v>697</v>
      </c>
      <c r="D1269" s="75">
        <f t="shared" si="417"/>
        <v>46173</v>
      </c>
      <c r="E1269" s="75">
        <f t="shared" si="418"/>
        <v>46157</v>
      </c>
      <c r="F1269" s="75">
        <f t="shared" si="419"/>
        <v>46164</v>
      </c>
      <c r="G1269" s="75">
        <f t="shared" si="420"/>
        <v>46170</v>
      </c>
      <c r="H1269" s="75">
        <f t="shared" si="421"/>
        <v>46158</v>
      </c>
      <c r="I1269" s="75">
        <f t="shared" si="422"/>
        <v>46165</v>
      </c>
      <c r="J1269" s="75"/>
      <c r="K1269" s="25">
        <f t="shared" si="415"/>
        <v>-46150</v>
      </c>
      <c r="L1269" s="25"/>
      <c r="M1269" s="25"/>
      <c r="N1269" s="25">
        <f t="shared" si="416"/>
        <v>0</v>
      </c>
      <c r="O1269" s="25" t="s">
        <v>545</v>
      </c>
    </row>
    <row r="1270" spans="1:15" x14ac:dyDescent="0.25">
      <c r="A1270" s="75">
        <v>46150</v>
      </c>
      <c r="B1270" s="25" t="s">
        <v>374</v>
      </c>
      <c r="C1270" s="25" t="s">
        <v>697</v>
      </c>
      <c r="D1270" s="75">
        <f t="shared" si="417"/>
        <v>46173</v>
      </c>
      <c r="E1270" s="75">
        <f t="shared" si="418"/>
        <v>46157</v>
      </c>
      <c r="F1270" s="75">
        <f t="shared" si="419"/>
        <v>46164</v>
      </c>
      <c r="G1270" s="75">
        <f t="shared" si="420"/>
        <v>46170</v>
      </c>
      <c r="H1270" s="75">
        <f t="shared" si="421"/>
        <v>46158</v>
      </c>
      <c r="I1270" s="75">
        <f t="shared" si="422"/>
        <v>46165</v>
      </c>
      <c r="J1270" s="75"/>
      <c r="K1270" s="25">
        <f t="shared" si="415"/>
        <v>-46150</v>
      </c>
      <c r="L1270" s="25"/>
      <c r="M1270" s="25"/>
      <c r="N1270" s="25">
        <f t="shared" si="416"/>
        <v>0</v>
      </c>
      <c r="O1270" s="25" t="s">
        <v>545</v>
      </c>
    </row>
    <row r="1271" spans="1:15" x14ac:dyDescent="0.25">
      <c r="A1271" s="75">
        <v>46150</v>
      </c>
      <c r="B1271" s="25" t="s">
        <v>375</v>
      </c>
      <c r="C1271" s="25" t="s">
        <v>697</v>
      </c>
      <c r="D1271" s="75">
        <f t="shared" si="417"/>
        <v>46173</v>
      </c>
      <c r="E1271" s="75">
        <f t="shared" si="418"/>
        <v>46157</v>
      </c>
      <c r="F1271" s="75">
        <f t="shared" si="419"/>
        <v>46164</v>
      </c>
      <c r="G1271" s="75">
        <f t="shared" si="420"/>
        <v>46170</v>
      </c>
      <c r="H1271" s="75">
        <f t="shared" si="421"/>
        <v>46158</v>
      </c>
      <c r="I1271" s="75">
        <f t="shared" si="422"/>
        <v>46165</v>
      </c>
      <c r="J1271" s="75"/>
      <c r="K1271" s="25"/>
      <c r="L1271" s="25"/>
      <c r="M1271" s="25"/>
      <c r="N1271" s="25">
        <f t="shared" si="416"/>
        <v>0</v>
      </c>
      <c r="O1271" s="25" t="s">
        <v>545</v>
      </c>
    </row>
    <row r="1272" spans="1:15" x14ac:dyDescent="0.25">
      <c r="A1272" s="75">
        <v>46150</v>
      </c>
      <c r="B1272" s="25" t="s">
        <v>376</v>
      </c>
      <c r="C1272" s="25" t="s">
        <v>697</v>
      </c>
      <c r="D1272" s="75">
        <f t="shared" si="417"/>
        <v>46173</v>
      </c>
      <c r="E1272" s="75">
        <f t="shared" si="418"/>
        <v>46157</v>
      </c>
      <c r="F1272" s="75">
        <f t="shared" si="419"/>
        <v>46164</v>
      </c>
      <c r="G1272" s="75">
        <f t="shared" si="420"/>
        <v>46170</v>
      </c>
      <c r="H1272" s="75">
        <f t="shared" si="421"/>
        <v>46158</v>
      </c>
      <c r="I1272" s="75">
        <f t="shared" si="422"/>
        <v>46165</v>
      </c>
      <c r="J1272" s="75"/>
      <c r="K1272" s="25"/>
      <c r="L1272" s="25"/>
      <c r="M1272" s="25"/>
      <c r="N1272" s="25">
        <f t="shared" si="416"/>
        <v>0</v>
      </c>
      <c r="O1272" s="25" t="s">
        <v>545</v>
      </c>
    </row>
    <row r="1273" spans="1:15" x14ac:dyDescent="0.25">
      <c r="A1273" s="75">
        <v>46150</v>
      </c>
      <c r="B1273" s="25" t="s">
        <v>377</v>
      </c>
      <c r="C1273" s="25" t="s">
        <v>697</v>
      </c>
      <c r="D1273" s="75">
        <f t="shared" si="417"/>
        <v>46173</v>
      </c>
      <c r="E1273" s="75">
        <f t="shared" si="418"/>
        <v>46157</v>
      </c>
      <c r="F1273" s="75">
        <f t="shared" si="419"/>
        <v>46164</v>
      </c>
      <c r="G1273" s="75">
        <f t="shared" si="420"/>
        <v>46170</v>
      </c>
      <c r="H1273" s="75">
        <f t="shared" si="421"/>
        <v>46158</v>
      </c>
      <c r="I1273" s="75">
        <f t="shared" si="422"/>
        <v>46165</v>
      </c>
      <c r="J1273" s="75"/>
      <c r="K1273" s="25"/>
      <c r="L1273" s="25"/>
      <c r="M1273" s="25"/>
      <c r="N1273" s="25">
        <f t="shared" si="416"/>
        <v>0</v>
      </c>
      <c r="O1273" s="25" t="s">
        <v>545</v>
      </c>
    </row>
    <row r="1274" spans="1:15" x14ac:dyDescent="0.25">
      <c r="A1274" s="75">
        <v>46150</v>
      </c>
      <c r="B1274" s="25" t="s">
        <v>378</v>
      </c>
      <c r="C1274" s="25" t="s">
        <v>697</v>
      </c>
      <c r="D1274" s="75">
        <f t="shared" si="417"/>
        <v>46173</v>
      </c>
      <c r="E1274" s="75">
        <f t="shared" si="418"/>
        <v>46157</v>
      </c>
      <c r="F1274" s="75">
        <f t="shared" si="419"/>
        <v>46164</v>
      </c>
      <c r="G1274" s="75">
        <f t="shared" si="420"/>
        <v>46170</v>
      </c>
      <c r="H1274" s="75">
        <f t="shared" si="421"/>
        <v>46158</v>
      </c>
      <c r="I1274" s="75">
        <f t="shared" si="422"/>
        <v>46165</v>
      </c>
      <c r="J1274" s="75"/>
      <c r="K1274" s="25"/>
      <c r="L1274" s="25"/>
      <c r="M1274" s="25"/>
      <c r="N1274" s="25">
        <f t="shared" si="416"/>
        <v>0</v>
      </c>
      <c r="O1274" s="25" t="s">
        <v>545</v>
      </c>
    </row>
    <row r="1275" spans="1:15" x14ac:dyDescent="0.25">
      <c r="A1275" s="75">
        <v>46150</v>
      </c>
      <c r="B1275" s="25" t="s">
        <v>379</v>
      </c>
      <c r="C1275" s="25" t="s">
        <v>697</v>
      </c>
      <c r="D1275" s="75">
        <f t="shared" si="417"/>
        <v>46173</v>
      </c>
      <c r="E1275" s="75">
        <f t="shared" si="418"/>
        <v>46157</v>
      </c>
      <c r="F1275" s="75">
        <f t="shared" si="419"/>
        <v>46164</v>
      </c>
      <c r="G1275" s="75">
        <f t="shared" si="420"/>
        <v>46170</v>
      </c>
      <c r="H1275" s="75">
        <f t="shared" si="421"/>
        <v>46158</v>
      </c>
      <c r="I1275" s="75">
        <f t="shared" si="422"/>
        <v>46165</v>
      </c>
      <c r="J1275" s="75"/>
      <c r="K1275" s="25"/>
      <c r="L1275" s="25"/>
      <c r="M1275" s="25"/>
      <c r="N1275" s="25">
        <f t="shared" si="416"/>
        <v>0</v>
      </c>
      <c r="O1275" s="25" t="s">
        <v>545</v>
      </c>
    </row>
    <row r="1276" spans="1:15" x14ac:dyDescent="0.25">
      <c r="A1276" s="75">
        <v>46151</v>
      </c>
      <c r="B1276" s="25" t="s">
        <v>403</v>
      </c>
      <c r="C1276" s="25" t="s">
        <v>799</v>
      </c>
      <c r="D1276" s="75">
        <f t="shared" ref="D1276:D1280" si="423">A1276+23</f>
        <v>46174</v>
      </c>
      <c r="E1276" s="75">
        <f t="shared" ref="E1276:E1280" si="424">A1276+7</f>
        <v>46158</v>
      </c>
      <c r="F1276" s="75">
        <f t="shared" ref="F1276:F1280" si="425">A1276+14</f>
        <v>46165</v>
      </c>
      <c r="G1276" s="75">
        <f t="shared" ref="G1276:G1280" si="426">A1276+20</f>
        <v>46171</v>
      </c>
      <c r="H1276" s="75">
        <f t="shared" ref="H1276:H1280" si="427">A1276+8</f>
        <v>46159</v>
      </c>
      <c r="I1276" s="75">
        <f t="shared" ref="I1276:I1280" si="428">A1276+15</f>
        <v>46166</v>
      </c>
      <c r="J1276" s="75"/>
      <c r="K1276" s="25"/>
      <c r="L1276" s="25"/>
      <c r="M1276" s="25"/>
      <c r="N1276" s="25">
        <f t="shared" si="416"/>
        <v>0</v>
      </c>
      <c r="O1276" s="25" t="s">
        <v>545</v>
      </c>
    </row>
    <row r="1277" spans="1:15" x14ac:dyDescent="0.25">
      <c r="A1277" s="75">
        <v>46151</v>
      </c>
      <c r="B1277" s="25" t="s">
        <v>404</v>
      </c>
      <c r="C1277" s="25" t="s">
        <v>800</v>
      </c>
      <c r="D1277" s="75">
        <f t="shared" si="423"/>
        <v>46174</v>
      </c>
      <c r="E1277" s="75">
        <f t="shared" si="424"/>
        <v>46158</v>
      </c>
      <c r="F1277" s="75">
        <f t="shared" si="425"/>
        <v>46165</v>
      </c>
      <c r="G1277" s="75">
        <f t="shared" si="426"/>
        <v>46171</v>
      </c>
      <c r="H1277" s="75">
        <f t="shared" si="427"/>
        <v>46159</v>
      </c>
      <c r="I1277" s="75">
        <f t="shared" si="428"/>
        <v>46166</v>
      </c>
      <c r="J1277" s="75"/>
      <c r="K1277" s="25"/>
      <c r="L1277" s="25"/>
      <c r="M1277" s="25"/>
      <c r="N1277" s="25">
        <f t="shared" si="416"/>
        <v>0</v>
      </c>
      <c r="O1277" s="25" t="s">
        <v>545</v>
      </c>
    </row>
    <row r="1278" spans="1:15" x14ac:dyDescent="0.25">
      <c r="A1278" s="75">
        <v>46151</v>
      </c>
      <c r="B1278" s="25" t="s">
        <v>405</v>
      </c>
      <c r="C1278" s="25" t="s">
        <v>801</v>
      </c>
      <c r="D1278" s="75">
        <f t="shared" si="423"/>
        <v>46174</v>
      </c>
      <c r="E1278" s="75">
        <f t="shared" si="424"/>
        <v>46158</v>
      </c>
      <c r="F1278" s="75">
        <f t="shared" si="425"/>
        <v>46165</v>
      </c>
      <c r="G1278" s="75">
        <f t="shared" si="426"/>
        <v>46171</v>
      </c>
      <c r="H1278" s="75">
        <f t="shared" si="427"/>
        <v>46159</v>
      </c>
      <c r="I1278" s="75">
        <f t="shared" si="428"/>
        <v>46166</v>
      </c>
      <c r="J1278" s="75"/>
      <c r="K1278" s="25"/>
      <c r="L1278" s="25"/>
      <c r="M1278" s="25"/>
      <c r="N1278" s="25">
        <f t="shared" si="416"/>
        <v>0</v>
      </c>
      <c r="O1278" s="25" t="s">
        <v>545</v>
      </c>
    </row>
    <row r="1279" spans="1:15" x14ac:dyDescent="0.25">
      <c r="A1279" s="75">
        <v>46151</v>
      </c>
      <c r="B1279" s="25" t="s">
        <v>406</v>
      </c>
      <c r="C1279" s="25" t="s">
        <v>802</v>
      </c>
      <c r="D1279" s="75">
        <f t="shared" si="423"/>
        <v>46174</v>
      </c>
      <c r="E1279" s="75">
        <f t="shared" si="424"/>
        <v>46158</v>
      </c>
      <c r="F1279" s="75">
        <f t="shared" si="425"/>
        <v>46165</v>
      </c>
      <c r="G1279" s="75">
        <f t="shared" si="426"/>
        <v>46171</v>
      </c>
      <c r="H1279" s="75">
        <f t="shared" si="427"/>
        <v>46159</v>
      </c>
      <c r="I1279" s="75">
        <f t="shared" si="428"/>
        <v>46166</v>
      </c>
      <c r="J1279" s="75"/>
      <c r="K1279" s="25"/>
      <c r="L1279" s="25"/>
      <c r="M1279" s="25"/>
      <c r="N1279" s="25">
        <f t="shared" si="416"/>
        <v>0</v>
      </c>
      <c r="O1279" s="25" t="s">
        <v>545</v>
      </c>
    </row>
    <row r="1280" spans="1:15" x14ac:dyDescent="0.25">
      <c r="A1280" s="75">
        <v>46151</v>
      </c>
      <c r="B1280" s="25" t="s">
        <v>407</v>
      </c>
      <c r="C1280" s="25" t="s">
        <v>803</v>
      </c>
      <c r="D1280" s="75">
        <f t="shared" si="423"/>
        <v>46174</v>
      </c>
      <c r="E1280" s="75">
        <f t="shared" si="424"/>
        <v>46158</v>
      </c>
      <c r="F1280" s="75">
        <f t="shared" si="425"/>
        <v>46165</v>
      </c>
      <c r="G1280" s="75">
        <f t="shared" si="426"/>
        <v>46171</v>
      </c>
      <c r="H1280" s="75">
        <f t="shared" si="427"/>
        <v>46159</v>
      </c>
      <c r="I1280" s="75">
        <f t="shared" si="428"/>
        <v>46166</v>
      </c>
      <c r="J1280" s="75"/>
      <c r="K1280" s="25"/>
      <c r="L1280" s="25"/>
      <c r="M1280" s="25"/>
      <c r="N1280" s="25">
        <f t="shared" si="416"/>
        <v>0</v>
      </c>
      <c r="O1280" s="25" t="s">
        <v>545</v>
      </c>
    </row>
    <row r="1281" spans="1:15" x14ac:dyDescent="0.25">
      <c r="A1281" s="75">
        <v>46151</v>
      </c>
      <c r="B1281" s="25" t="s">
        <v>408</v>
      </c>
      <c r="C1281" s="25" t="s">
        <v>804</v>
      </c>
      <c r="D1281" s="75">
        <f>A1281+23</f>
        <v>46174</v>
      </c>
      <c r="E1281" s="75">
        <f>A1281+7</f>
        <v>46158</v>
      </c>
      <c r="F1281" s="75">
        <f>A1281+14</f>
        <v>46165</v>
      </c>
      <c r="G1281" s="75">
        <f>A1281+20</f>
        <v>46171</v>
      </c>
      <c r="H1281" s="75">
        <f>A1281+8</f>
        <v>46159</v>
      </c>
      <c r="I1281" s="75">
        <f>A1281+15</f>
        <v>46166</v>
      </c>
      <c r="J1281" s="75"/>
      <c r="K1281" s="25"/>
      <c r="L1281" s="25"/>
      <c r="M1281" s="25"/>
      <c r="N1281" s="25">
        <f t="shared" si="416"/>
        <v>0</v>
      </c>
      <c r="O1281" s="25" t="s">
        <v>545</v>
      </c>
    </row>
    <row r="1282" spans="1:15" x14ac:dyDescent="0.25">
      <c r="A1282" s="75">
        <v>46151</v>
      </c>
      <c r="B1282" s="25" t="s">
        <v>409</v>
      </c>
      <c r="C1282" s="25" t="s">
        <v>805</v>
      </c>
      <c r="D1282" s="75">
        <f>A1282+23</f>
        <v>46174</v>
      </c>
      <c r="E1282" s="75">
        <f>A1282+7</f>
        <v>46158</v>
      </c>
      <c r="F1282" s="75">
        <f>A1282+14</f>
        <v>46165</v>
      </c>
      <c r="G1282" s="75">
        <f>A1282+20</f>
        <v>46171</v>
      </c>
      <c r="H1282" s="75">
        <f>A1282+8</f>
        <v>46159</v>
      </c>
      <c r="I1282" s="75">
        <f>A1282+15</f>
        <v>46166</v>
      </c>
      <c r="J1282" s="75"/>
      <c r="K1282" s="25"/>
      <c r="L1282" s="25"/>
      <c r="M1282" s="25"/>
      <c r="N1282" s="25">
        <f t="shared" si="416"/>
        <v>0</v>
      </c>
      <c r="O1282" s="25" t="s">
        <v>545</v>
      </c>
    </row>
    <row r="1283" spans="1:15" x14ac:dyDescent="0.25">
      <c r="A1283" s="75">
        <v>46152</v>
      </c>
      <c r="B1283" s="25" t="s">
        <v>366</v>
      </c>
      <c r="C1283" s="25" t="s">
        <v>806</v>
      </c>
      <c r="D1283" s="75">
        <f t="shared" ref="D1283:D1290" si="429">A1283+23</f>
        <v>46175</v>
      </c>
      <c r="E1283" s="75">
        <f t="shared" ref="E1283:E1290" si="430">A1283+7</f>
        <v>46159</v>
      </c>
      <c r="F1283" s="75">
        <f t="shared" ref="F1283:F1290" si="431">A1283+14</f>
        <v>46166</v>
      </c>
      <c r="G1283" s="75">
        <f t="shared" ref="G1283:G1290" si="432">A1283+20</f>
        <v>46172</v>
      </c>
      <c r="H1283" s="75">
        <f t="shared" ref="H1283:H1290" si="433">A1283+8</f>
        <v>46160</v>
      </c>
      <c r="I1283" s="75">
        <f t="shared" ref="I1283:I1290" si="434">A1283+15</f>
        <v>46167</v>
      </c>
      <c r="J1283" s="75"/>
      <c r="K1283" s="25"/>
      <c r="L1283" s="25"/>
      <c r="M1283" s="25"/>
      <c r="N1283" s="25">
        <f t="shared" si="416"/>
        <v>0</v>
      </c>
      <c r="O1283" s="25" t="s">
        <v>545</v>
      </c>
    </row>
    <row r="1284" spans="1:15" x14ac:dyDescent="0.25">
      <c r="A1284" s="75">
        <v>46152</v>
      </c>
      <c r="B1284" s="25" t="s">
        <v>367</v>
      </c>
      <c r="C1284" s="25" t="s">
        <v>807</v>
      </c>
      <c r="D1284" s="75">
        <f t="shared" si="429"/>
        <v>46175</v>
      </c>
      <c r="E1284" s="75">
        <f t="shared" si="430"/>
        <v>46159</v>
      </c>
      <c r="F1284" s="75">
        <f t="shared" si="431"/>
        <v>46166</v>
      </c>
      <c r="G1284" s="75">
        <f t="shared" si="432"/>
        <v>46172</v>
      </c>
      <c r="H1284" s="75">
        <f t="shared" si="433"/>
        <v>46160</v>
      </c>
      <c r="I1284" s="75">
        <f t="shared" si="434"/>
        <v>46167</v>
      </c>
      <c r="J1284" s="75"/>
      <c r="K1284" s="25"/>
      <c r="L1284" s="25"/>
      <c r="M1284" s="25"/>
      <c r="N1284" s="25">
        <f t="shared" si="416"/>
        <v>0</v>
      </c>
      <c r="O1284" s="25" t="s">
        <v>545</v>
      </c>
    </row>
    <row r="1285" spans="1:15" x14ac:dyDescent="0.25">
      <c r="A1285" s="75">
        <v>46152</v>
      </c>
      <c r="B1285" s="25" t="s">
        <v>368</v>
      </c>
      <c r="C1285" s="25" t="s">
        <v>808</v>
      </c>
      <c r="D1285" s="75">
        <f t="shared" si="429"/>
        <v>46175</v>
      </c>
      <c r="E1285" s="75">
        <f t="shared" si="430"/>
        <v>46159</v>
      </c>
      <c r="F1285" s="75">
        <f t="shared" si="431"/>
        <v>46166</v>
      </c>
      <c r="G1285" s="75">
        <f t="shared" si="432"/>
        <v>46172</v>
      </c>
      <c r="H1285" s="75">
        <f t="shared" si="433"/>
        <v>46160</v>
      </c>
      <c r="I1285" s="75">
        <f t="shared" si="434"/>
        <v>46167</v>
      </c>
      <c r="J1285" s="75"/>
      <c r="K1285" s="25"/>
      <c r="L1285" s="25"/>
      <c r="M1285" s="25"/>
      <c r="N1285" s="25">
        <f t="shared" si="416"/>
        <v>0</v>
      </c>
      <c r="O1285" s="25" t="s">
        <v>545</v>
      </c>
    </row>
    <row r="1286" spans="1:15" x14ac:dyDescent="0.25">
      <c r="A1286" s="75">
        <v>46152</v>
      </c>
      <c r="B1286" s="25" t="s">
        <v>369</v>
      </c>
      <c r="C1286" s="25" t="s">
        <v>809</v>
      </c>
      <c r="D1286" s="75">
        <f t="shared" si="429"/>
        <v>46175</v>
      </c>
      <c r="E1286" s="75">
        <f t="shared" si="430"/>
        <v>46159</v>
      </c>
      <c r="F1286" s="75">
        <f t="shared" si="431"/>
        <v>46166</v>
      </c>
      <c r="G1286" s="75">
        <f t="shared" si="432"/>
        <v>46172</v>
      </c>
      <c r="H1286" s="75">
        <f t="shared" si="433"/>
        <v>46160</v>
      </c>
      <c r="I1286" s="75">
        <f t="shared" si="434"/>
        <v>46167</v>
      </c>
      <c r="J1286" s="75"/>
      <c r="K1286" s="25"/>
      <c r="L1286" s="25"/>
      <c r="M1286" s="25"/>
      <c r="N1286" s="25">
        <f t="shared" si="416"/>
        <v>0</v>
      </c>
      <c r="O1286" s="25" t="s">
        <v>545</v>
      </c>
    </row>
    <row r="1287" spans="1:15" x14ac:dyDescent="0.25">
      <c r="A1287" s="75">
        <v>46152</v>
      </c>
      <c r="B1287" s="25" t="s">
        <v>370</v>
      </c>
      <c r="C1287" s="25" t="s">
        <v>810</v>
      </c>
      <c r="D1287" s="75">
        <f t="shared" si="429"/>
        <v>46175</v>
      </c>
      <c r="E1287" s="75">
        <f t="shared" si="430"/>
        <v>46159</v>
      </c>
      <c r="F1287" s="75">
        <f t="shared" si="431"/>
        <v>46166</v>
      </c>
      <c r="G1287" s="75">
        <f t="shared" si="432"/>
        <v>46172</v>
      </c>
      <c r="H1287" s="75">
        <f t="shared" si="433"/>
        <v>46160</v>
      </c>
      <c r="I1287" s="75">
        <f t="shared" si="434"/>
        <v>46167</v>
      </c>
      <c r="J1287" s="75"/>
      <c r="K1287" s="25"/>
      <c r="L1287" s="25"/>
      <c r="M1287" s="25"/>
      <c r="N1287" s="25">
        <f t="shared" si="416"/>
        <v>0</v>
      </c>
      <c r="O1287" s="25" t="s">
        <v>545</v>
      </c>
    </row>
    <row r="1288" spans="1:15" x14ac:dyDescent="0.25">
      <c r="A1288" s="75">
        <v>46152</v>
      </c>
      <c r="B1288" s="25" t="s">
        <v>371</v>
      </c>
      <c r="C1288" s="25" t="s">
        <v>811</v>
      </c>
      <c r="D1288" s="75">
        <f t="shared" si="429"/>
        <v>46175</v>
      </c>
      <c r="E1288" s="75">
        <f t="shared" si="430"/>
        <v>46159</v>
      </c>
      <c r="F1288" s="75">
        <f t="shared" si="431"/>
        <v>46166</v>
      </c>
      <c r="G1288" s="75">
        <f t="shared" si="432"/>
        <v>46172</v>
      </c>
      <c r="H1288" s="75">
        <f t="shared" si="433"/>
        <v>46160</v>
      </c>
      <c r="I1288" s="75">
        <f t="shared" si="434"/>
        <v>46167</v>
      </c>
      <c r="J1288" s="75"/>
      <c r="K1288" s="25"/>
      <c r="L1288" s="25"/>
      <c r="M1288" s="25"/>
      <c r="N1288" s="25">
        <f t="shared" si="416"/>
        <v>0</v>
      </c>
      <c r="O1288" s="25" t="s">
        <v>545</v>
      </c>
    </row>
    <row r="1289" spans="1:15" x14ac:dyDescent="0.25">
      <c r="A1289" s="75">
        <v>46152</v>
      </c>
      <c r="B1289" s="25" t="s">
        <v>372</v>
      </c>
      <c r="C1289" s="25" t="s">
        <v>812</v>
      </c>
      <c r="D1289" s="75">
        <f t="shared" si="429"/>
        <v>46175</v>
      </c>
      <c r="E1289" s="75">
        <f t="shared" si="430"/>
        <v>46159</v>
      </c>
      <c r="F1289" s="75">
        <f t="shared" si="431"/>
        <v>46166</v>
      </c>
      <c r="G1289" s="75">
        <f t="shared" si="432"/>
        <v>46172</v>
      </c>
      <c r="H1289" s="75">
        <f t="shared" si="433"/>
        <v>46160</v>
      </c>
      <c r="I1289" s="75">
        <f t="shared" si="434"/>
        <v>46167</v>
      </c>
      <c r="J1289" s="75"/>
      <c r="K1289" s="25"/>
      <c r="L1289" s="25"/>
      <c r="M1289" s="25"/>
      <c r="N1289" s="25">
        <f t="shared" si="416"/>
        <v>0</v>
      </c>
      <c r="O1289" s="25" t="s">
        <v>545</v>
      </c>
    </row>
    <row r="1290" spans="1:15" x14ac:dyDescent="0.25">
      <c r="A1290" s="75">
        <v>46152</v>
      </c>
      <c r="B1290" s="25" t="s">
        <v>373</v>
      </c>
      <c r="C1290" s="25" t="s">
        <v>813</v>
      </c>
      <c r="D1290" s="75">
        <f t="shared" si="429"/>
        <v>46175</v>
      </c>
      <c r="E1290" s="75">
        <f t="shared" si="430"/>
        <v>46159</v>
      </c>
      <c r="F1290" s="75">
        <f t="shared" si="431"/>
        <v>46166</v>
      </c>
      <c r="G1290" s="75">
        <f t="shared" si="432"/>
        <v>46172</v>
      </c>
      <c r="H1290" s="75">
        <f t="shared" si="433"/>
        <v>46160</v>
      </c>
      <c r="I1290" s="75">
        <f t="shared" si="434"/>
        <v>46167</v>
      </c>
      <c r="J1290" s="75"/>
      <c r="K1290" s="25"/>
      <c r="L1290" s="25"/>
      <c r="M1290" s="25"/>
      <c r="N1290" s="25">
        <f t="shared" si="416"/>
        <v>0</v>
      </c>
      <c r="O1290" s="25" t="s">
        <v>545</v>
      </c>
    </row>
    <row r="1291" spans="1:15" x14ac:dyDescent="0.25">
      <c r="A1291" s="75">
        <v>46153</v>
      </c>
      <c r="B1291" s="25" t="s">
        <v>396</v>
      </c>
      <c r="C1291" s="25" t="s">
        <v>814</v>
      </c>
      <c r="D1291" s="75">
        <f t="shared" ref="D1291:D1297" si="435">A1291+23</f>
        <v>46176</v>
      </c>
      <c r="E1291" s="75">
        <f t="shared" ref="E1291:E1297" si="436">A1291+7</f>
        <v>46160</v>
      </c>
      <c r="F1291" s="75">
        <f t="shared" ref="F1291:F1297" si="437">A1291+14</f>
        <v>46167</v>
      </c>
      <c r="G1291" s="75">
        <f t="shared" ref="G1291:G1297" si="438">A1291+20</f>
        <v>46173</v>
      </c>
      <c r="H1291" s="75">
        <f t="shared" ref="H1291:H1297" si="439">A1291+8</f>
        <v>46161</v>
      </c>
      <c r="I1291" s="75">
        <f t="shared" ref="I1291:I1297" si="440">A1291+15</f>
        <v>46168</v>
      </c>
      <c r="J1291" s="75"/>
      <c r="K1291" s="25"/>
      <c r="L1291" s="25"/>
      <c r="M1291" s="25"/>
      <c r="N1291" s="25">
        <f t="shared" si="416"/>
        <v>0</v>
      </c>
      <c r="O1291" s="25" t="s">
        <v>545</v>
      </c>
    </row>
    <row r="1292" spans="1:15" x14ac:dyDescent="0.25">
      <c r="A1292" s="75">
        <v>46153</v>
      </c>
      <c r="B1292" s="25" t="s">
        <v>397</v>
      </c>
      <c r="C1292" s="25" t="s">
        <v>815</v>
      </c>
      <c r="D1292" s="75">
        <f t="shared" si="435"/>
        <v>46176</v>
      </c>
      <c r="E1292" s="75">
        <f t="shared" si="436"/>
        <v>46160</v>
      </c>
      <c r="F1292" s="75">
        <f t="shared" si="437"/>
        <v>46167</v>
      </c>
      <c r="G1292" s="75">
        <f t="shared" si="438"/>
        <v>46173</v>
      </c>
      <c r="H1292" s="75">
        <f t="shared" si="439"/>
        <v>46161</v>
      </c>
      <c r="I1292" s="75">
        <f t="shared" si="440"/>
        <v>46168</v>
      </c>
      <c r="J1292" s="75"/>
      <c r="K1292" s="25"/>
      <c r="L1292" s="25"/>
      <c r="M1292" s="25"/>
      <c r="N1292" s="25">
        <f t="shared" si="416"/>
        <v>0</v>
      </c>
      <c r="O1292" s="25" t="s">
        <v>545</v>
      </c>
    </row>
    <row r="1293" spans="1:15" x14ac:dyDescent="0.25">
      <c r="A1293" s="75">
        <v>46153</v>
      </c>
      <c r="B1293" s="25" t="s">
        <v>398</v>
      </c>
      <c r="C1293" s="25" t="s">
        <v>816</v>
      </c>
      <c r="D1293" s="75">
        <f t="shared" si="435"/>
        <v>46176</v>
      </c>
      <c r="E1293" s="75">
        <f t="shared" si="436"/>
        <v>46160</v>
      </c>
      <c r="F1293" s="75">
        <f t="shared" si="437"/>
        <v>46167</v>
      </c>
      <c r="G1293" s="75">
        <f t="shared" si="438"/>
        <v>46173</v>
      </c>
      <c r="H1293" s="75">
        <f t="shared" si="439"/>
        <v>46161</v>
      </c>
      <c r="I1293" s="75">
        <f t="shared" si="440"/>
        <v>46168</v>
      </c>
      <c r="J1293" s="75"/>
      <c r="K1293" s="25"/>
      <c r="L1293" s="25"/>
      <c r="M1293" s="25"/>
      <c r="N1293" s="25">
        <f t="shared" ref="N1293:N1356" si="441">L1293-M1293</f>
        <v>0</v>
      </c>
      <c r="O1293" s="25" t="s">
        <v>545</v>
      </c>
    </row>
    <row r="1294" spans="1:15" x14ac:dyDescent="0.25">
      <c r="A1294" s="75">
        <v>46153</v>
      </c>
      <c r="B1294" s="25" t="s">
        <v>399</v>
      </c>
      <c r="C1294" s="25" t="s">
        <v>817</v>
      </c>
      <c r="D1294" s="75">
        <f t="shared" si="435"/>
        <v>46176</v>
      </c>
      <c r="E1294" s="75">
        <f t="shared" si="436"/>
        <v>46160</v>
      </c>
      <c r="F1294" s="75">
        <f t="shared" si="437"/>
        <v>46167</v>
      </c>
      <c r="G1294" s="75">
        <f t="shared" si="438"/>
        <v>46173</v>
      </c>
      <c r="H1294" s="75">
        <f t="shared" si="439"/>
        <v>46161</v>
      </c>
      <c r="I1294" s="75">
        <f t="shared" si="440"/>
        <v>46168</v>
      </c>
      <c r="J1294" s="75"/>
      <c r="K1294" s="25"/>
      <c r="L1294" s="25"/>
      <c r="M1294" s="25"/>
      <c r="N1294" s="25">
        <f t="shared" si="441"/>
        <v>0</v>
      </c>
      <c r="O1294" s="25" t="s">
        <v>545</v>
      </c>
    </row>
    <row r="1295" spans="1:15" x14ac:dyDescent="0.25">
      <c r="A1295" s="75">
        <v>46153</v>
      </c>
      <c r="B1295" s="25" t="s">
        <v>400</v>
      </c>
      <c r="C1295" s="25" t="s">
        <v>818</v>
      </c>
      <c r="D1295" s="75">
        <f t="shared" si="435"/>
        <v>46176</v>
      </c>
      <c r="E1295" s="75">
        <f t="shared" si="436"/>
        <v>46160</v>
      </c>
      <c r="F1295" s="75">
        <f t="shared" si="437"/>
        <v>46167</v>
      </c>
      <c r="G1295" s="75">
        <f t="shared" si="438"/>
        <v>46173</v>
      </c>
      <c r="H1295" s="75">
        <f t="shared" si="439"/>
        <v>46161</v>
      </c>
      <c r="I1295" s="75">
        <f t="shared" si="440"/>
        <v>46168</v>
      </c>
      <c r="J1295" s="75"/>
      <c r="K1295" s="25"/>
      <c r="L1295" s="25"/>
      <c r="M1295" s="25"/>
      <c r="N1295" s="25">
        <f t="shared" si="441"/>
        <v>0</v>
      </c>
      <c r="O1295" s="25" t="s">
        <v>545</v>
      </c>
    </row>
    <row r="1296" spans="1:15" x14ac:dyDescent="0.25">
      <c r="A1296" s="75">
        <v>46153</v>
      </c>
      <c r="B1296" s="25" t="s">
        <v>401</v>
      </c>
      <c r="C1296" s="25" t="s">
        <v>819</v>
      </c>
      <c r="D1296" s="75">
        <f t="shared" si="435"/>
        <v>46176</v>
      </c>
      <c r="E1296" s="75">
        <f t="shared" si="436"/>
        <v>46160</v>
      </c>
      <c r="F1296" s="75">
        <f t="shared" si="437"/>
        <v>46167</v>
      </c>
      <c r="G1296" s="75">
        <f t="shared" si="438"/>
        <v>46173</v>
      </c>
      <c r="H1296" s="75">
        <f t="shared" si="439"/>
        <v>46161</v>
      </c>
      <c r="I1296" s="75">
        <f t="shared" si="440"/>
        <v>46168</v>
      </c>
      <c r="J1296" s="75"/>
      <c r="K1296" s="25"/>
      <c r="L1296" s="25"/>
      <c r="M1296" s="25"/>
      <c r="N1296" s="25">
        <f t="shared" si="441"/>
        <v>0</v>
      </c>
      <c r="O1296" s="25" t="s">
        <v>545</v>
      </c>
    </row>
    <row r="1297" spans="1:15" x14ac:dyDescent="0.25">
      <c r="A1297" s="75">
        <v>46153</v>
      </c>
      <c r="B1297" s="25" t="s">
        <v>402</v>
      </c>
      <c r="C1297" s="25" t="s">
        <v>820</v>
      </c>
      <c r="D1297" s="75">
        <f t="shared" si="435"/>
        <v>46176</v>
      </c>
      <c r="E1297" s="75">
        <f t="shared" si="436"/>
        <v>46160</v>
      </c>
      <c r="F1297" s="75">
        <f t="shared" si="437"/>
        <v>46167</v>
      </c>
      <c r="G1297" s="75">
        <f t="shared" si="438"/>
        <v>46173</v>
      </c>
      <c r="H1297" s="75">
        <f t="shared" si="439"/>
        <v>46161</v>
      </c>
      <c r="I1297" s="75">
        <f t="shared" si="440"/>
        <v>46168</v>
      </c>
      <c r="J1297" s="75"/>
      <c r="K1297" s="25"/>
      <c r="L1297" s="25"/>
      <c r="M1297" s="25"/>
      <c r="N1297" s="25">
        <f t="shared" si="441"/>
        <v>0</v>
      </c>
      <c r="O1297" s="25" t="s">
        <v>545</v>
      </c>
    </row>
    <row r="1298" spans="1:15" x14ac:dyDescent="0.25">
      <c r="A1298" s="75">
        <v>46154</v>
      </c>
      <c r="B1298" s="25" t="s">
        <v>364</v>
      </c>
      <c r="C1298" s="25" t="s">
        <v>821</v>
      </c>
      <c r="D1298" s="75">
        <f t="shared" ref="D1298:D1305" si="442">A1298+23</f>
        <v>46177</v>
      </c>
      <c r="E1298" s="75">
        <f t="shared" ref="E1298:E1305" si="443">A1298+7</f>
        <v>46161</v>
      </c>
      <c r="F1298" s="75">
        <f t="shared" ref="F1298:F1305" si="444">A1298+14</f>
        <v>46168</v>
      </c>
      <c r="G1298" s="75">
        <f t="shared" ref="G1298:G1305" si="445">A1298+20</f>
        <v>46174</v>
      </c>
      <c r="H1298" s="75">
        <f t="shared" ref="H1298:H1305" si="446">A1298+8</f>
        <v>46162</v>
      </c>
      <c r="I1298" s="75">
        <f t="shared" ref="I1298:I1305" si="447">A1298+15</f>
        <v>46169</v>
      </c>
      <c r="J1298" s="75"/>
      <c r="K1298" s="25"/>
      <c r="L1298" s="25"/>
      <c r="M1298" s="25"/>
      <c r="N1298" s="25">
        <f t="shared" si="441"/>
        <v>0</v>
      </c>
      <c r="O1298" s="25" t="s">
        <v>545</v>
      </c>
    </row>
    <row r="1299" spans="1:15" x14ac:dyDescent="0.25">
      <c r="A1299" s="75">
        <v>46154</v>
      </c>
      <c r="B1299" s="25" t="s">
        <v>365</v>
      </c>
      <c r="C1299" s="25" t="s">
        <v>822</v>
      </c>
      <c r="D1299" s="75">
        <f t="shared" si="442"/>
        <v>46177</v>
      </c>
      <c r="E1299" s="75">
        <f t="shared" si="443"/>
        <v>46161</v>
      </c>
      <c r="F1299" s="75">
        <f t="shared" si="444"/>
        <v>46168</v>
      </c>
      <c r="G1299" s="75">
        <f t="shared" si="445"/>
        <v>46174</v>
      </c>
      <c r="H1299" s="75">
        <f t="shared" si="446"/>
        <v>46162</v>
      </c>
      <c r="I1299" s="75">
        <f t="shared" si="447"/>
        <v>46169</v>
      </c>
      <c r="J1299" s="75"/>
      <c r="K1299" s="25"/>
      <c r="L1299" s="25"/>
      <c r="M1299" s="25"/>
      <c r="N1299" s="25">
        <f t="shared" si="441"/>
        <v>0</v>
      </c>
      <c r="O1299" s="25" t="s">
        <v>545</v>
      </c>
    </row>
    <row r="1300" spans="1:15" x14ac:dyDescent="0.25">
      <c r="A1300" s="75">
        <v>46154</v>
      </c>
      <c r="B1300" s="25" t="s">
        <v>394</v>
      </c>
      <c r="C1300" s="25" t="s">
        <v>823</v>
      </c>
      <c r="D1300" s="75">
        <f t="shared" si="442"/>
        <v>46177</v>
      </c>
      <c r="E1300" s="75">
        <f t="shared" si="443"/>
        <v>46161</v>
      </c>
      <c r="F1300" s="75">
        <f t="shared" si="444"/>
        <v>46168</v>
      </c>
      <c r="G1300" s="75">
        <f t="shared" si="445"/>
        <v>46174</v>
      </c>
      <c r="H1300" s="75">
        <f t="shared" si="446"/>
        <v>46162</v>
      </c>
      <c r="I1300" s="75">
        <f t="shared" si="447"/>
        <v>46169</v>
      </c>
      <c r="J1300" s="75"/>
      <c r="K1300" s="25"/>
      <c r="L1300" s="25"/>
      <c r="M1300" s="25"/>
      <c r="N1300" s="25">
        <f t="shared" si="441"/>
        <v>0</v>
      </c>
      <c r="O1300" s="25" t="s">
        <v>545</v>
      </c>
    </row>
    <row r="1301" spans="1:15" x14ac:dyDescent="0.25">
      <c r="A1301" s="75">
        <v>46154</v>
      </c>
      <c r="B1301" s="25" t="s">
        <v>395</v>
      </c>
      <c r="C1301" s="25" t="s">
        <v>824</v>
      </c>
      <c r="D1301" s="75">
        <f t="shared" si="442"/>
        <v>46177</v>
      </c>
      <c r="E1301" s="75">
        <f t="shared" si="443"/>
        <v>46161</v>
      </c>
      <c r="F1301" s="75">
        <f t="shared" si="444"/>
        <v>46168</v>
      </c>
      <c r="G1301" s="75">
        <f t="shared" si="445"/>
        <v>46174</v>
      </c>
      <c r="H1301" s="75">
        <f t="shared" si="446"/>
        <v>46162</v>
      </c>
      <c r="I1301" s="75">
        <f t="shared" si="447"/>
        <v>46169</v>
      </c>
      <c r="J1301" s="75"/>
      <c r="K1301" s="25"/>
      <c r="L1301" s="25"/>
      <c r="M1301" s="25"/>
      <c r="N1301" s="25">
        <f t="shared" si="441"/>
        <v>0</v>
      </c>
      <c r="O1301" s="25" t="s">
        <v>545</v>
      </c>
    </row>
    <row r="1302" spans="1:15" x14ac:dyDescent="0.25">
      <c r="A1302" s="75">
        <v>46154</v>
      </c>
      <c r="B1302" s="25" t="s">
        <v>559</v>
      </c>
      <c r="C1302" s="25" t="s">
        <v>825</v>
      </c>
      <c r="D1302" s="75">
        <f t="shared" si="442"/>
        <v>46177</v>
      </c>
      <c r="E1302" s="75">
        <f t="shared" si="443"/>
        <v>46161</v>
      </c>
      <c r="F1302" s="75">
        <f t="shared" si="444"/>
        <v>46168</v>
      </c>
      <c r="G1302" s="75">
        <f t="shared" si="445"/>
        <v>46174</v>
      </c>
      <c r="H1302" s="75">
        <f t="shared" si="446"/>
        <v>46162</v>
      </c>
      <c r="I1302" s="75">
        <f t="shared" si="447"/>
        <v>46169</v>
      </c>
      <c r="J1302" s="75"/>
      <c r="K1302" s="25"/>
      <c r="L1302" s="25"/>
      <c r="M1302" s="25"/>
      <c r="N1302" s="25">
        <f t="shared" si="441"/>
        <v>0</v>
      </c>
      <c r="O1302" s="25" t="s">
        <v>545</v>
      </c>
    </row>
    <row r="1303" spans="1:15" x14ac:dyDescent="0.25">
      <c r="A1303" s="75">
        <v>46154</v>
      </c>
      <c r="B1303" s="25" t="s">
        <v>560</v>
      </c>
      <c r="C1303" s="25" t="s">
        <v>826</v>
      </c>
      <c r="D1303" s="75">
        <f t="shared" si="442"/>
        <v>46177</v>
      </c>
      <c r="E1303" s="75">
        <f t="shared" si="443"/>
        <v>46161</v>
      </c>
      <c r="F1303" s="75">
        <f t="shared" si="444"/>
        <v>46168</v>
      </c>
      <c r="G1303" s="75">
        <f t="shared" si="445"/>
        <v>46174</v>
      </c>
      <c r="H1303" s="75">
        <f t="shared" si="446"/>
        <v>46162</v>
      </c>
      <c r="I1303" s="75">
        <f t="shared" si="447"/>
        <v>46169</v>
      </c>
      <c r="J1303" s="75"/>
      <c r="K1303" s="25"/>
      <c r="L1303" s="25"/>
      <c r="M1303" s="25"/>
      <c r="N1303" s="25">
        <f t="shared" si="441"/>
        <v>0</v>
      </c>
      <c r="O1303" s="25" t="s">
        <v>545</v>
      </c>
    </row>
    <row r="1304" spans="1:15" x14ac:dyDescent="0.25">
      <c r="A1304" s="75">
        <v>46154</v>
      </c>
      <c r="B1304" s="25" t="s">
        <v>426</v>
      </c>
      <c r="C1304" s="25" t="s">
        <v>827</v>
      </c>
      <c r="D1304" s="75">
        <f t="shared" si="442"/>
        <v>46177</v>
      </c>
      <c r="E1304" s="75">
        <f t="shared" si="443"/>
        <v>46161</v>
      </c>
      <c r="F1304" s="75">
        <f t="shared" si="444"/>
        <v>46168</v>
      </c>
      <c r="G1304" s="75">
        <f t="shared" si="445"/>
        <v>46174</v>
      </c>
      <c r="H1304" s="75">
        <f t="shared" si="446"/>
        <v>46162</v>
      </c>
      <c r="I1304" s="75">
        <f t="shared" si="447"/>
        <v>46169</v>
      </c>
      <c r="J1304" s="75"/>
      <c r="K1304" s="25"/>
      <c r="L1304" s="25"/>
      <c r="M1304" s="25"/>
      <c r="N1304" s="25">
        <f t="shared" si="441"/>
        <v>0</v>
      </c>
      <c r="O1304" s="25" t="s">
        <v>545</v>
      </c>
    </row>
    <row r="1305" spans="1:15" x14ac:dyDescent="0.25">
      <c r="A1305" s="75">
        <v>46154</v>
      </c>
      <c r="B1305" s="25" t="s">
        <v>427</v>
      </c>
      <c r="C1305" s="25" t="s">
        <v>828</v>
      </c>
      <c r="D1305" s="75">
        <f t="shared" si="442"/>
        <v>46177</v>
      </c>
      <c r="E1305" s="75">
        <f t="shared" si="443"/>
        <v>46161</v>
      </c>
      <c r="F1305" s="75">
        <f t="shared" si="444"/>
        <v>46168</v>
      </c>
      <c r="G1305" s="75">
        <f t="shared" si="445"/>
        <v>46174</v>
      </c>
      <c r="H1305" s="75">
        <f t="shared" si="446"/>
        <v>46162</v>
      </c>
      <c r="I1305" s="75">
        <f t="shared" si="447"/>
        <v>46169</v>
      </c>
      <c r="J1305" s="75"/>
      <c r="K1305" s="25"/>
      <c r="L1305" s="25"/>
      <c r="M1305" s="25"/>
      <c r="N1305" s="25">
        <f t="shared" si="441"/>
        <v>0</v>
      </c>
      <c r="O1305" s="25" t="s">
        <v>545</v>
      </c>
    </row>
    <row r="1306" spans="1:15" x14ac:dyDescent="0.25">
      <c r="A1306" s="75">
        <v>46155</v>
      </c>
      <c r="B1306" s="25" t="s">
        <v>428</v>
      </c>
      <c r="C1306" s="25" t="s">
        <v>829</v>
      </c>
      <c r="D1306" s="75">
        <f t="shared" ref="D1306:D1312" si="448">A1306+23</f>
        <v>46178</v>
      </c>
      <c r="E1306" s="75">
        <f t="shared" ref="E1306:E1312" si="449">A1306+7</f>
        <v>46162</v>
      </c>
      <c r="F1306" s="75">
        <f t="shared" ref="F1306:F1312" si="450">A1306+14</f>
        <v>46169</v>
      </c>
      <c r="G1306" s="75">
        <f t="shared" ref="G1306:G1312" si="451">A1306+20</f>
        <v>46175</v>
      </c>
      <c r="H1306" s="75">
        <f t="shared" ref="H1306:H1312" si="452">A1306+8</f>
        <v>46163</v>
      </c>
      <c r="I1306" s="75">
        <f t="shared" ref="I1306:I1312" si="453">A1306+15</f>
        <v>46170</v>
      </c>
      <c r="J1306" s="75"/>
      <c r="K1306" s="25"/>
      <c r="L1306" s="25"/>
      <c r="M1306" s="25"/>
      <c r="N1306" s="25">
        <f t="shared" si="441"/>
        <v>0</v>
      </c>
      <c r="O1306" s="25" t="s">
        <v>545</v>
      </c>
    </row>
    <row r="1307" spans="1:15" x14ac:dyDescent="0.25">
      <c r="A1307" s="75">
        <v>46155</v>
      </c>
      <c r="B1307" s="25" t="s">
        <v>429</v>
      </c>
      <c r="C1307" s="25" t="s">
        <v>830</v>
      </c>
      <c r="D1307" s="75">
        <f t="shared" si="448"/>
        <v>46178</v>
      </c>
      <c r="E1307" s="75">
        <f t="shared" si="449"/>
        <v>46162</v>
      </c>
      <c r="F1307" s="75">
        <f t="shared" si="450"/>
        <v>46169</v>
      </c>
      <c r="G1307" s="75">
        <f t="shared" si="451"/>
        <v>46175</v>
      </c>
      <c r="H1307" s="75">
        <f t="shared" si="452"/>
        <v>46163</v>
      </c>
      <c r="I1307" s="75">
        <f t="shared" si="453"/>
        <v>46170</v>
      </c>
      <c r="J1307" s="75"/>
      <c r="K1307" s="25"/>
      <c r="L1307" s="25"/>
      <c r="M1307" s="25"/>
      <c r="N1307" s="25">
        <f t="shared" si="441"/>
        <v>0</v>
      </c>
      <c r="O1307" s="25" t="s">
        <v>545</v>
      </c>
    </row>
    <row r="1308" spans="1:15" x14ac:dyDescent="0.25">
      <c r="A1308" s="75">
        <v>46155</v>
      </c>
      <c r="B1308" s="25" t="s">
        <v>430</v>
      </c>
      <c r="C1308" s="25" t="s">
        <v>831</v>
      </c>
      <c r="D1308" s="75">
        <f t="shared" si="448"/>
        <v>46178</v>
      </c>
      <c r="E1308" s="75">
        <f t="shared" si="449"/>
        <v>46162</v>
      </c>
      <c r="F1308" s="75">
        <f t="shared" si="450"/>
        <v>46169</v>
      </c>
      <c r="G1308" s="75">
        <f t="shared" si="451"/>
        <v>46175</v>
      </c>
      <c r="H1308" s="75">
        <f t="shared" si="452"/>
        <v>46163</v>
      </c>
      <c r="I1308" s="75">
        <f t="shared" si="453"/>
        <v>46170</v>
      </c>
      <c r="J1308" s="75"/>
      <c r="K1308" s="25"/>
      <c r="L1308" s="25"/>
      <c r="M1308" s="25"/>
      <c r="N1308" s="25">
        <f t="shared" si="441"/>
        <v>0</v>
      </c>
      <c r="O1308" s="25" t="s">
        <v>545</v>
      </c>
    </row>
    <row r="1309" spans="1:15" x14ac:dyDescent="0.25">
      <c r="A1309" s="75">
        <v>46155</v>
      </c>
      <c r="B1309" s="25" t="s">
        <v>431</v>
      </c>
      <c r="C1309" s="25" t="s">
        <v>832</v>
      </c>
      <c r="D1309" s="75">
        <f t="shared" si="448"/>
        <v>46178</v>
      </c>
      <c r="E1309" s="75">
        <f t="shared" si="449"/>
        <v>46162</v>
      </c>
      <c r="F1309" s="75">
        <f t="shared" si="450"/>
        <v>46169</v>
      </c>
      <c r="G1309" s="75">
        <f t="shared" si="451"/>
        <v>46175</v>
      </c>
      <c r="H1309" s="75">
        <f t="shared" si="452"/>
        <v>46163</v>
      </c>
      <c r="I1309" s="75">
        <f t="shared" si="453"/>
        <v>46170</v>
      </c>
      <c r="J1309" s="75"/>
      <c r="K1309" s="25"/>
      <c r="L1309" s="25"/>
      <c r="M1309" s="25"/>
      <c r="N1309" s="25">
        <f t="shared" si="441"/>
        <v>0</v>
      </c>
      <c r="O1309" s="25" t="s">
        <v>545</v>
      </c>
    </row>
    <row r="1310" spans="1:15" x14ac:dyDescent="0.25">
      <c r="A1310" s="75">
        <v>46155</v>
      </c>
      <c r="B1310" s="25" t="s">
        <v>432</v>
      </c>
      <c r="C1310" s="25" t="s">
        <v>833</v>
      </c>
      <c r="D1310" s="75">
        <f t="shared" si="448"/>
        <v>46178</v>
      </c>
      <c r="E1310" s="75">
        <f t="shared" si="449"/>
        <v>46162</v>
      </c>
      <c r="F1310" s="75">
        <f t="shared" si="450"/>
        <v>46169</v>
      </c>
      <c r="G1310" s="75">
        <f t="shared" si="451"/>
        <v>46175</v>
      </c>
      <c r="H1310" s="75">
        <f t="shared" si="452"/>
        <v>46163</v>
      </c>
      <c r="I1310" s="75">
        <f t="shared" si="453"/>
        <v>46170</v>
      </c>
      <c r="J1310" s="75"/>
      <c r="K1310" s="25"/>
      <c r="L1310" s="25"/>
      <c r="M1310" s="25"/>
      <c r="N1310" s="25">
        <f t="shared" si="441"/>
        <v>0</v>
      </c>
      <c r="O1310" s="25" t="s">
        <v>545</v>
      </c>
    </row>
    <row r="1311" spans="1:15" x14ac:dyDescent="0.25">
      <c r="A1311" s="75">
        <v>46155</v>
      </c>
      <c r="B1311" s="25" t="s">
        <v>433</v>
      </c>
      <c r="C1311" s="25" t="s">
        <v>834</v>
      </c>
      <c r="D1311" s="75">
        <f t="shared" si="448"/>
        <v>46178</v>
      </c>
      <c r="E1311" s="75">
        <f t="shared" si="449"/>
        <v>46162</v>
      </c>
      <c r="F1311" s="75">
        <f t="shared" si="450"/>
        <v>46169</v>
      </c>
      <c r="G1311" s="75">
        <f t="shared" si="451"/>
        <v>46175</v>
      </c>
      <c r="H1311" s="75">
        <f t="shared" si="452"/>
        <v>46163</v>
      </c>
      <c r="I1311" s="75">
        <f t="shared" si="453"/>
        <v>46170</v>
      </c>
      <c r="J1311" s="75"/>
      <c r="K1311" s="25"/>
      <c r="L1311" s="25"/>
      <c r="M1311" s="25"/>
      <c r="N1311" s="25">
        <f t="shared" si="441"/>
        <v>0</v>
      </c>
      <c r="O1311" s="25" t="s">
        <v>545</v>
      </c>
    </row>
    <row r="1312" spans="1:15" x14ac:dyDescent="0.25">
      <c r="A1312" s="75">
        <v>46155</v>
      </c>
      <c r="B1312" s="25" t="s">
        <v>434</v>
      </c>
      <c r="C1312" s="25" t="s">
        <v>835</v>
      </c>
      <c r="D1312" s="75">
        <f t="shared" si="448"/>
        <v>46178</v>
      </c>
      <c r="E1312" s="75">
        <f t="shared" si="449"/>
        <v>46162</v>
      </c>
      <c r="F1312" s="75">
        <f t="shared" si="450"/>
        <v>46169</v>
      </c>
      <c r="G1312" s="75">
        <f t="shared" si="451"/>
        <v>46175</v>
      </c>
      <c r="H1312" s="75">
        <f t="shared" si="452"/>
        <v>46163</v>
      </c>
      <c r="I1312" s="75">
        <f t="shared" si="453"/>
        <v>46170</v>
      </c>
      <c r="J1312" s="75"/>
      <c r="K1312" s="25"/>
      <c r="L1312" s="25"/>
      <c r="M1312" s="25"/>
      <c r="N1312" s="25">
        <f t="shared" si="441"/>
        <v>0</v>
      </c>
      <c r="O1312" s="25" t="s">
        <v>545</v>
      </c>
    </row>
    <row r="1313" spans="1:15" x14ac:dyDescent="0.25">
      <c r="A1313" s="75">
        <v>46156</v>
      </c>
      <c r="B1313" s="25" t="s">
        <v>435</v>
      </c>
      <c r="C1313" s="25" t="s">
        <v>836</v>
      </c>
      <c r="D1313" s="75">
        <f t="shared" ref="D1313:D1319" si="454">A1313+23</f>
        <v>46179</v>
      </c>
      <c r="E1313" s="75">
        <f t="shared" ref="E1313:E1319" si="455">A1313+7</f>
        <v>46163</v>
      </c>
      <c r="F1313" s="75">
        <f t="shared" ref="F1313:F1319" si="456">A1313+14</f>
        <v>46170</v>
      </c>
      <c r="G1313" s="75">
        <f t="shared" ref="G1313:G1319" si="457">A1313+20</f>
        <v>46176</v>
      </c>
      <c r="H1313" s="75">
        <f t="shared" ref="H1313:H1319" si="458">A1313+8</f>
        <v>46164</v>
      </c>
      <c r="I1313" s="75">
        <f t="shared" ref="I1313:I1319" si="459">A1313+15</f>
        <v>46171</v>
      </c>
      <c r="J1313" s="75"/>
      <c r="K1313" s="25"/>
      <c r="L1313" s="25"/>
      <c r="M1313" s="25"/>
      <c r="N1313" s="25">
        <f t="shared" si="441"/>
        <v>0</v>
      </c>
      <c r="O1313" s="25" t="s">
        <v>545</v>
      </c>
    </row>
    <row r="1314" spans="1:15" x14ac:dyDescent="0.25">
      <c r="A1314" s="75">
        <v>46156</v>
      </c>
      <c r="B1314" s="25" t="s">
        <v>436</v>
      </c>
      <c r="C1314" s="25" t="s">
        <v>837</v>
      </c>
      <c r="D1314" s="75">
        <f t="shared" si="454"/>
        <v>46179</v>
      </c>
      <c r="E1314" s="75">
        <f t="shared" si="455"/>
        <v>46163</v>
      </c>
      <c r="F1314" s="75">
        <f t="shared" si="456"/>
        <v>46170</v>
      </c>
      <c r="G1314" s="75">
        <f t="shared" si="457"/>
        <v>46176</v>
      </c>
      <c r="H1314" s="75">
        <f t="shared" si="458"/>
        <v>46164</v>
      </c>
      <c r="I1314" s="75">
        <f t="shared" si="459"/>
        <v>46171</v>
      </c>
      <c r="J1314" s="75"/>
      <c r="K1314" s="25"/>
      <c r="L1314" s="25"/>
      <c r="M1314" s="25"/>
      <c r="N1314" s="25">
        <f t="shared" si="441"/>
        <v>0</v>
      </c>
      <c r="O1314" s="25" t="s">
        <v>545</v>
      </c>
    </row>
    <row r="1315" spans="1:15" x14ac:dyDescent="0.25">
      <c r="A1315" s="75">
        <v>46156</v>
      </c>
      <c r="B1315" s="25" t="s">
        <v>437</v>
      </c>
      <c r="C1315" s="25" t="s">
        <v>838</v>
      </c>
      <c r="D1315" s="75">
        <f t="shared" si="454"/>
        <v>46179</v>
      </c>
      <c r="E1315" s="75">
        <f t="shared" si="455"/>
        <v>46163</v>
      </c>
      <c r="F1315" s="75">
        <f t="shared" si="456"/>
        <v>46170</v>
      </c>
      <c r="G1315" s="75">
        <f t="shared" si="457"/>
        <v>46176</v>
      </c>
      <c r="H1315" s="75">
        <f t="shared" si="458"/>
        <v>46164</v>
      </c>
      <c r="I1315" s="75">
        <f t="shared" si="459"/>
        <v>46171</v>
      </c>
      <c r="J1315" s="75"/>
      <c r="K1315" s="25"/>
      <c r="L1315" s="25"/>
      <c r="M1315" s="25"/>
      <c r="N1315" s="25">
        <f t="shared" si="441"/>
        <v>0</v>
      </c>
      <c r="O1315" s="25" t="s">
        <v>545</v>
      </c>
    </row>
    <row r="1316" spans="1:15" x14ac:dyDescent="0.25">
      <c r="A1316" s="75">
        <v>46156</v>
      </c>
      <c r="B1316" s="25" t="s">
        <v>438</v>
      </c>
      <c r="C1316" s="25" t="s">
        <v>839</v>
      </c>
      <c r="D1316" s="75">
        <f t="shared" si="454"/>
        <v>46179</v>
      </c>
      <c r="E1316" s="75">
        <f t="shared" si="455"/>
        <v>46163</v>
      </c>
      <c r="F1316" s="75">
        <f t="shared" si="456"/>
        <v>46170</v>
      </c>
      <c r="G1316" s="75">
        <f t="shared" si="457"/>
        <v>46176</v>
      </c>
      <c r="H1316" s="75">
        <f t="shared" si="458"/>
        <v>46164</v>
      </c>
      <c r="I1316" s="75">
        <f t="shared" si="459"/>
        <v>46171</v>
      </c>
      <c r="J1316" s="75"/>
      <c r="K1316" s="25"/>
      <c r="L1316" s="25"/>
      <c r="M1316" s="25"/>
      <c r="N1316" s="25">
        <f t="shared" si="441"/>
        <v>0</v>
      </c>
      <c r="O1316" s="25" t="s">
        <v>545</v>
      </c>
    </row>
    <row r="1317" spans="1:15" x14ac:dyDescent="0.25">
      <c r="A1317" s="75">
        <v>46156</v>
      </c>
      <c r="B1317" s="25" t="s">
        <v>439</v>
      </c>
      <c r="C1317" s="25" t="s">
        <v>840</v>
      </c>
      <c r="D1317" s="75">
        <f t="shared" si="454"/>
        <v>46179</v>
      </c>
      <c r="E1317" s="75">
        <f t="shared" si="455"/>
        <v>46163</v>
      </c>
      <c r="F1317" s="75">
        <f t="shared" si="456"/>
        <v>46170</v>
      </c>
      <c r="G1317" s="75">
        <f t="shared" si="457"/>
        <v>46176</v>
      </c>
      <c r="H1317" s="75">
        <f t="shared" si="458"/>
        <v>46164</v>
      </c>
      <c r="I1317" s="75">
        <f t="shared" si="459"/>
        <v>46171</v>
      </c>
      <c r="J1317" s="75"/>
      <c r="K1317" s="25"/>
      <c r="L1317" s="25"/>
      <c r="M1317" s="25"/>
      <c r="N1317" s="25">
        <f t="shared" si="441"/>
        <v>0</v>
      </c>
      <c r="O1317" s="25" t="s">
        <v>545</v>
      </c>
    </row>
    <row r="1318" spans="1:15" x14ac:dyDescent="0.25">
      <c r="A1318" s="75">
        <v>46156</v>
      </c>
      <c r="B1318" s="25" t="s">
        <v>440</v>
      </c>
      <c r="C1318" s="25" t="s">
        <v>841</v>
      </c>
      <c r="D1318" s="75">
        <f t="shared" si="454"/>
        <v>46179</v>
      </c>
      <c r="E1318" s="75">
        <f t="shared" si="455"/>
        <v>46163</v>
      </c>
      <c r="F1318" s="75">
        <f t="shared" si="456"/>
        <v>46170</v>
      </c>
      <c r="G1318" s="75">
        <f t="shared" si="457"/>
        <v>46176</v>
      </c>
      <c r="H1318" s="75">
        <f t="shared" si="458"/>
        <v>46164</v>
      </c>
      <c r="I1318" s="75">
        <f t="shared" si="459"/>
        <v>46171</v>
      </c>
      <c r="J1318" s="75"/>
      <c r="K1318" s="25"/>
      <c r="L1318" s="25"/>
      <c r="M1318" s="25"/>
      <c r="N1318" s="25">
        <f t="shared" si="441"/>
        <v>0</v>
      </c>
      <c r="O1318" s="25" t="s">
        <v>545</v>
      </c>
    </row>
    <row r="1319" spans="1:15" x14ac:dyDescent="0.25">
      <c r="A1319" s="75">
        <v>46156</v>
      </c>
      <c r="B1319" s="25" t="s">
        <v>441</v>
      </c>
      <c r="C1319" s="25" t="s">
        <v>842</v>
      </c>
      <c r="D1319" s="75">
        <f t="shared" si="454"/>
        <v>46179</v>
      </c>
      <c r="E1319" s="75">
        <f t="shared" si="455"/>
        <v>46163</v>
      </c>
      <c r="F1319" s="75">
        <f t="shared" si="456"/>
        <v>46170</v>
      </c>
      <c r="G1319" s="75">
        <f t="shared" si="457"/>
        <v>46176</v>
      </c>
      <c r="H1319" s="75">
        <f t="shared" si="458"/>
        <v>46164</v>
      </c>
      <c r="I1319" s="75">
        <f t="shared" si="459"/>
        <v>46171</v>
      </c>
      <c r="J1319" s="75"/>
      <c r="K1319" s="25"/>
      <c r="L1319" s="25"/>
      <c r="M1319" s="25"/>
      <c r="N1319" s="25">
        <f t="shared" si="441"/>
        <v>0</v>
      </c>
      <c r="O1319" s="25" t="s">
        <v>545</v>
      </c>
    </row>
    <row r="1320" spans="1:15" x14ac:dyDescent="0.25">
      <c r="A1320" s="75">
        <v>46157</v>
      </c>
      <c r="B1320" s="25" t="s">
        <v>442</v>
      </c>
      <c r="C1320" s="25" t="s">
        <v>843</v>
      </c>
      <c r="D1320" s="75">
        <f t="shared" ref="D1320:D1326" si="460">A1320+23</f>
        <v>46180</v>
      </c>
      <c r="E1320" s="75">
        <f t="shared" ref="E1320:E1326" si="461">A1320+7</f>
        <v>46164</v>
      </c>
      <c r="F1320" s="75">
        <f t="shared" ref="F1320:F1326" si="462">A1320+14</f>
        <v>46171</v>
      </c>
      <c r="G1320" s="75">
        <f t="shared" ref="G1320:G1326" si="463">A1320+20</f>
        <v>46177</v>
      </c>
      <c r="H1320" s="75">
        <f t="shared" ref="H1320:H1326" si="464">A1320+8</f>
        <v>46165</v>
      </c>
      <c r="I1320" s="75">
        <f t="shared" ref="I1320:I1326" si="465">A1320+15</f>
        <v>46172</v>
      </c>
      <c r="J1320" s="75"/>
      <c r="K1320" s="25"/>
      <c r="L1320" s="25"/>
      <c r="M1320" s="25"/>
      <c r="N1320" s="25">
        <f t="shared" si="441"/>
        <v>0</v>
      </c>
      <c r="O1320" s="25" t="s">
        <v>545</v>
      </c>
    </row>
    <row r="1321" spans="1:15" x14ac:dyDescent="0.25">
      <c r="A1321" s="75">
        <v>46157</v>
      </c>
      <c r="B1321" s="25" t="s">
        <v>443</v>
      </c>
      <c r="C1321" s="25" t="s">
        <v>844</v>
      </c>
      <c r="D1321" s="75">
        <f t="shared" si="460"/>
        <v>46180</v>
      </c>
      <c r="E1321" s="75">
        <f t="shared" si="461"/>
        <v>46164</v>
      </c>
      <c r="F1321" s="75">
        <f t="shared" si="462"/>
        <v>46171</v>
      </c>
      <c r="G1321" s="75">
        <f t="shared" si="463"/>
        <v>46177</v>
      </c>
      <c r="H1321" s="75">
        <f t="shared" si="464"/>
        <v>46165</v>
      </c>
      <c r="I1321" s="75">
        <f t="shared" si="465"/>
        <v>46172</v>
      </c>
      <c r="J1321" s="75"/>
      <c r="K1321" s="25"/>
      <c r="L1321" s="25"/>
      <c r="M1321" s="25"/>
      <c r="N1321" s="25">
        <f t="shared" si="441"/>
        <v>0</v>
      </c>
      <c r="O1321" s="25" t="s">
        <v>545</v>
      </c>
    </row>
    <row r="1322" spans="1:15" x14ac:dyDescent="0.25">
      <c r="A1322" s="75">
        <v>46157</v>
      </c>
      <c r="B1322" s="25" t="s">
        <v>444</v>
      </c>
      <c r="C1322" s="25" t="s">
        <v>845</v>
      </c>
      <c r="D1322" s="75">
        <f t="shared" si="460"/>
        <v>46180</v>
      </c>
      <c r="E1322" s="75">
        <f t="shared" si="461"/>
        <v>46164</v>
      </c>
      <c r="F1322" s="75">
        <f t="shared" si="462"/>
        <v>46171</v>
      </c>
      <c r="G1322" s="75">
        <f t="shared" si="463"/>
        <v>46177</v>
      </c>
      <c r="H1322" s="75">
        <f t="shared" si="464"/>
        <v>46165</v>
      </c>
      <c r="I1322" s="75">
        <f t="shared" si="465"/>
        <v>46172</v>
      </c>
      <c r="J1322" s="75"/>
      <c r="K1322" s="25"/>
      <c r="L1322" s="25"/>
      <c r="M1322" s="25"/>
      <c r="N1322" s="25">
        <f t="shared" si="441"/>
        <v>0</v>
      </c>
      <c r="O1322" s="25" t="s">
        <v>545</v>
      </c>
    </row>
    <row r="1323" spans="1:15" x14ac:dyDescent="0.25">
      <c r="A1323" s="75">
        <v>46157</v>
      </c>
      <c r="B1323" s="25" t="s">
        <v>445</v>
      </c>
      <c r="C1323" s="25" t="s">
        <v>846</v>
      </c>
      <c r="D1323" s="75">
        <f t="shared" si="460"/>
        <v>46180</v>
      </c>
      <c r="E1323" s="75">
        <f t="shared" si="461"/>
        <v>46164</v>
      </c>
      <c r="F1323" s="75">
        <f t="shared" si="462"/>
        <v>46171</v>
      </c>
      <c r="G1323" s="75">
        <f t="shared" si="463"/>
        <v>46177</v>
      </c>
      <c r="H1323" s="75">
        <f t="shared" si="464"/>
        <v>46165</v>
      </c>
      <c r="I1323" s="75">
        <f t="shared" si="465"/>
        <v>46172</v>
      </c>
      <c r="J1323" s="75"/>
      <c r="K1323" s="25"/>
      <c r="L1323" s="25"/>
      <c r="M1323" s="25"/>
      <c r="N1323" s="25">
        <f t="shared" si="441"/>
        <v>0</v>
      </c>
      <c r="O1323" s="25" t="s">
        <v>545</v>
      </c>
    </row>
    <row r="1324" spans="1:15" x14ac:dyDescent="0.25">
      <c r="A1324" s="75">
        <v>46157</v>
      </c>
      <c r="B1324" s="25" t="s">
        <v>446</v>
      </c>
      <c r="C1324" s="25" t="s">
        <v>847</v>
      </c>
      <c r="D1324" s="75">
        <f t="shared" si="460"/>
        <v>46180</v>
      </c>
      <c r="E1324" s="75">
        <f t="shared" si="461"/>
        <v>46164</v>
      </c>
      <c r="F1324" s="75">
        <f t="shared" si="462"/>
        <v>46171</v>
      </c>
      <c r="G1324" s="75">
        <f t="shared" si="463"/>
        <v>46177</v>
      </c>
      <c r="H1324" s="75">
        <f t="shared" si="464"/>
        <v>46165</v>
      </c>
      <c r="I1324" s="75">
        <f t="shared" si="465"/>
        <v>46172</v>
      </c>
      <c r="J1324" s="75"/>
      <c r="K1324" s="25"/>
      <c r="L1324" s="25"/>
      <c r="M1324" s="25"/>
      <c r="N1324" s="25">
        <f t="shared" si="441"/>
        <v>0</v>
      </c>
      <c r="O1324" s="25" t="s">
        <v>545</v>
      </c>
    </row>
    <row r="1325" spans="1:15" x14ac:dyDescent="0.25">
      <c r="A1325" s="75">
        <v>46157</v>
      </c>
      <c r="B1325" s="25" t="s">
        <v>447</v>
      </c>
      <c r="C1325" s="25" t="s">
        <v>848</v>
      </c>
      <c r="D1325" s="75">
        <f t="shared" si="460"/>
        <v>46180</v>
      </c>
      <c r="E1325" s="75">
        <f t="shared" si="461"/>
        <v>46164</v>
      </c>
      <c r="F1325" s="75">
        <f t="shared" si="462"/>
        <v>46171</v>
      </c>
      <c r="G1325" s="75">
        <f t="shared" si="463"/>
        <v>46177</v>
      </c>
      <c r="H1325" s="75">
        <f t="shared" si="464"/>
        <v>46165</v>
      </c>
      <c r="I1325" s="75">
        <f t="shared" si="465"/>
        <v>46172</v>
      </c>
      <c r="J1325" s="75"/>
      <c r="K1325" s="25"/>
      <c r="L1325" s="25"/>
      <c r="M1325" s="25"/>
      <c r="N1325" s="25">
        <f t="shared" si="441"/>
        <v>0</v>
      </c>
      <c r="O1325" s="25" t="s">
        <v>545</v>
      </c>
    </row>
    <row r="1326" spans="1:15" x14ac:dyDescent="0.25">
      <c r="A1326" s="75">
        <v>46157</v>
      </c>
      <c r="B1326" s="25" t="s">
        <v>448</v>
      </c>
      <c r="C1326" s="25" t="s">
        <v>849</v>
      </c>
      <c r="D1326" s="75">
        <f t="shared" si="460"/>
        <v>46180</v>
      </c>
      <c r="E1326" s="75">
        <f t="shared" si="461"/>
        <v>46164</v>
      </c>
      <c r="F1326" s="75">
        <f t="shared" si="462"/>
        <v>46171</v>
      </c>
      <c r="G1326" s="75">
        <f t="shared" si="463"/>
        <v>46177</v>
      </c>
      <c r="H1326" s="75">
        <f t="shared" si="464"/>
        <v>46165</v>
      </c>
      <c r="I1326" s="75">
        <f t="shared" si="465"/>
        <v>46172</v>
      </c>
      <c r="J1326" s="75"/>
      <c r="K1326" s="25"/>
      <c r="L1326" s="25"/>
      <c r="M1326" s="25"/>
      <c r="N1326" s="25">
        <f t="shared" si="441"/>
        <v>0</v>
      </c>
      <c r="O1326" s="25" t="s">
        <v>545</v>
      </c>
    </row>
    <row r="1327" spans="1:15" x14ac:dyDescent="0.25">
      <c r="A1327" s="75">
        <v>46158</v>
      </c>
      <c r="B1327" s="25" t="s">
        <v>449</v>
      </c>
      <c r="C1327" s="25" t="s">
        <v>850</v>
      </c>
      <c r="D1327" s="75">
        <f t="shared" ref="D1327:D1333" si="466">A1327+23</f>
        <v>46181</v>
      </c>
      <c r="E1327" s="75">
        <f t="shared" ref="E1327:E1333" si="467">A1327+7</f>
        <v>46165</v>
      </c>
      <c r="F1327" s="75">
        <f t="shared" ref="F1327:F1333" si="468">A1327+14</f>
        <v>46172</v>
      </c>
      <c r="G1327" s="75">
        <f t="shared" ref="G1327:G1333" si="469">A1327+20</f>
        <v>46178</v>
      </c>
      <c r="H1327" s="75">
        <f t="shared" ref="H1327:H1333" si="470">A1327+8</f>
        <v>46166</v>
      </c>
      <c r="I1327" s="75">
        <f t="shared" ref="I1327:I1333" si="471">A1327+15</f>
        <v>46173</v>
      </c>
      <c r="J1327" s="75"/>
      <c r="K1327" s="25"/>
      <c r="L1327" s="25"/>
      <c r="M1327" s="25"/>
      <c r="N1327" s="25">
        <f t="shared" si="441"/>
        <v>0</v>
      </c>
      <c r="O1327" s="25" t="s">
        <v>545</v>
      </c>
    </row>
    <row r="1328" spans="1:15" x14ac:dyDescent="0.25">
      <c r="A1328" s="75">
        <v>46158</v>
      </c>
      <c r="B1328" s="25" t="s">
        <v>450</v>
      </c>
      <c r="C1328" s="25" t="s">
        <v>851</v>
      </c>
      <c r="D1328" s="75">
        <f t="shared" si="466"/>
        <v>46181</v>
      </c>
      <c r="E1328" s="75">
        <f t="shared" si="467"/>
        <v>46165</v>
      </c>
      <c r="F1328" s="75">
        <f t="shared" si="468"/>
        <v>46172</v>
      </c>
      <c r="G1328" s="75">
        <f t="shared" si="469"/>
        <v>46178</v>
      </c>
      <c r="H1328" s="75">
        <f t="shared" si="470"/>
        <v>46166</v>
      </c>
      <c r="I1328" s="75">
        <f t="shared" si="471"/>
        <v>46173</v>
      </c>
      <c r="J1328" s="75"/>
      <c r="K1328" s="25"/>
      <c r="L1328" s="25"/>
      <c r="M1328" s="25"/>
      <c r="N1328" s="25">
        <f t="shared" si="441"/>
        <v>0</v>
      </c>
      <c r="O1328" s="25" t="s">
        <v>545</v>
      </c>
    </row>
    <row r="1329" spans="1:15" x14ac:dyDescent="0.25">
      <c r="A1329" s="75">
        <v>46158</v>
      </c>
      <c r="B1329" s="25" t="s">
        <v>451</v>
      </c>
      <c r="C1329" s="25" t="s">
        <v>852</v>
      </c>
      <c r="D1329" s="75">
        <f t="shared" si="466"/>
        <v>46181</v>
      </c>
      <c r="E1329" s="75">
        <f t="shared" si="467"/>
        <v>46165</v>
      </c>
      <c r="F1329" s="75">
        <f t="shared" si="468"/>
        <v>46172</v>
      </c>
      <c r="G1329" s="75">
        <f t="shared" si="469"/>
        <v>46178</v>
      </c>
      <c r="H1329" s="75">
        <f t="shared" si="470"/>
        <v>46166</v>
      </c>
      <c r="I1329" s="75">
        <f t="shared" si="471"/>
        <v>46173</v>
      </c>
      <c r="J1329" s="75"/>
      <c r="K1329" s="25"/>
      <c r="L1329" s="25"/>
      <c r="M1329" s="25"/>
      <c r="N1329" s="25">
        <f t="shared" si="441"/>
        <v>0</v>
      </c>
      <c r="O1329" s="25" t="s">
        <v>545</v>
      </c>
    </row>
    <row r="1330" spans="1:15" x14ac:dyDescent="0.25">
      <c r="A1330" s="75">
        <v>46158</v>
      </c>
      <c r="B1330" s="25" t="s">
        <v>452</v>
      </c>
      <c r="C1330" s="25" t="s">
        <v>853</v>
      </c>
      <c r="D1330" s="75">
        <f t="shared" si="466"/>
        <v>46181</v>
      </c>
      <c r="E1330" s="75">
        <f t="shared" si="467"/>
        <v>46165</v>
      </c>
      <c r="F1330" s="75">
        <f t="shared" si="468"/>
        <v>46172</v>
      </c>
      <c r="G1330" s="75">
        <f t="shared" si="469"/>
        <v>46178</v>
      </c>
      <c r="H1330" s="75">
        <f t="shared" si="470"/>
        <v>46166</v>
      </c>
      <c r="I1330" s="75">
        <f t="shared" si="471"/>
        <v>46173</v>
      </c>
      <c r="J1330" s="75"/>
      <c r="K1330" s="25"/>
      <c r="L1330" s="25"/>
      <c r="M1330" s="25"/>
      <c r="N1330" s="25">
        <f t="shared" si="441"/>
        <v>0</v>
      </c>
      <c r="O1330" s="25" t="s">
        <v>545</v>
      </c>
    </row>
    <row r="1331" spans="1:15" x14ac:dyDescent="0.25">
      <c r="A1331" s="75">
        <v>46158</v>
      </c>
      <c r="B1331" s="25" t="s">
        <v>453</v>
      </c>
      <c r="C1331" s="25" t="s">
        <v>854</v>
      </c>
      <c r="D1331" s="75">
        <f t="shared" si="466"/>
        <v>46181</v>
      </c>
      <c r="E1331" s="75">
        <f t="shared" si="467"/>
        <v>46165</v>
      </c>
      <c r="F1331" s="75">
        <f t="shared" si="468"/>
        <v>46172</v>
      </c>
      <c r="G1331" s="75">
        <f t="shared" si="469"/>
        <v>46178</v>
      </c>
      <c r="H1331" s="75">
        <f t="shared" si="470"/>
        <v>46166</v>
      </c>
      <c r="I1331" s="75">
        <f t="shared" si="471"/>
        <v>46173</v>
      </c>
      <c r="J1331" s="75"/>
      <c r="K1331" s="25"/>
      <c r="L1331" s="25"/>
      <c r="M1331" s="25"/>
      <c r="N1331" s="25">
        <f t="shared" si="441"/>
        <v>0</v>
      </c>
      <c r="O1331" s="25" t="s">
        <v>545</v>
      </c>
    </row>
    <row r="1332" spans="1:15" x14ac:dyDescent="0.25">
      <c r="A1332" s="75">
        <v>46158</v>
      </c>
      <c r="B1332" s="25" t="s">
        <v>454</v>
      </c>
      <c r="C1332" s="25" t="s">
        <v>855</v>
      </c>
      <c r="D1332" s="75">
        <f t="shared" si="466"/>
        <v>46181</v>
      </c>
      <c r="E1332" s="75">
        <f t="shared" si="467"/>
        <v>46165</v>
      </c>
      <c r="F1332" s="75">
        <f t="shared" si="468"/>
        <v>46172</v>
      </c>
      <c r="G1332" s="75">
        <f t="shared" si="469"/>
        <v>46178</v>
      </c>
      <c r="H1332" s="75">
        <f t="shared" si="470"/>
        <v>46166</v>
      </c>
      <c r="I1332" s="75">
        <f t="shared" si="471"/>
        <v>46173</v>
      </c>
      <c r="J1332" s="75"/>
      <c r="K1332" s="25"/>
      <c r="L1332" s="25"/>
      <c r="M1332" s="25"/>
      <c r="N1332" s="25">
        <f t="shared" si="441"/>
        <v>0</v>
      </c>
      <c r="O1332" s="25" t="s">
        <v>545</v>
      </c>
    </row>
    <row r="1333" spans="1:15" x14ac:dyDescent="0.25">
      <c r="A1333" s="75">
        <v>46158</v>
      </c>
      <c r="B1333" s="25" t="s">
        <v>455</v>
      </c>
      <c r="C1333" s="25" t="s">
        <v>856</v>
      </c>
      <c r="D1333" s="75">
        <f t="shared" si="466"/>
        <v>46181</v>
      </c>
      <c r="E1333" s="75">
        <f t="shared" si="467"/>
        <v>46165</v>
      </c>
      <c r="F1333" s="75">
        <f t="shared" si="468"/>
        <v>46172</v>
      </c>
      <c r="G1333" s="75">
        <f t="shared" si="469"/>
        <v>46178</v>
      </c>
      <c r="H1333" s="75">
        <f t="shared" si="470"/>
        <v>46166</v>
      </c>
      <c r="I1333" s="75">
        <f t="shared" si="471"/>
        <v>46173</v>
      </c>
      <c r="J1333" s="75"/>
      <c r="K1333" s="25"/>
      <c r="L1333" s="25"/>
      <c r="M1333" s="25"/>
      <c r="N1333" s="25">
        <f t="shared" si="441"/>
        <v>0</v>
      </c>
      <c r="O1333" s="25" t="s">
        <v>545</v>
      </c>
    </row>
    <row r="1334" spans="1:15" x14ac:dyDescent="0.25">
      <c r="A1334" s="75">
        <v>46159</v>
      </c>
      <c r="B1334" s="25" t="s">
        <v>456</v>
      </c>
      <c r="C1334" s="25" t="s">
        <v>857</v>
      </c>
      <c r="D1334" s="75">
        <f t="shared" ref="D1334:D1340" si="472">A1334+23</f>
        <v>46182</v>
      </c>
      <c r="E1334" s="75">
        <f t="shared" ref="E1334:E1340" si="473">A1334+7</f>
        <v>46166</v>
      </c>
      <c r="F1334" s="75">
        <f t="shared" ref="F1334:F1340" si="474">A1334+14</f>
        <v>46173</v>
      </c>
      <c r="G1334" s="75">
        <f t="shared" ref="G1334:G1340" si="475">A1334+20</f>
        <v>46179</v>
      </c>
      <c r="H1334" s="75">
        <f t="shared" ref="H1334:H1340" si="476">A1334+8</f>
        <v>46167</v>
      </c>
      <c r="I1334" s="75">
        <f t="shared" ref="I1334:I1340" si="477">A1334+15</f>
        <v>46174</v>
      </c>
      <c r="J1334" s="75"/>
      <c r="K1334" s="25"/>
      <c r="L1334" s="25"/>
      <c r="M1334" s="25"/>
      <c r="N1334" s="25">
        <f t="shared" si="441"/>
        <v>0</v>
      </c>
      <c r="O1334" s="25" t="s">
        <v>545</v>
      </c>
    </row>
    <row r="1335" spans="1:15" x14ac:dyDescent="0.25">
      <c r="A1335" s="75">
        <v>46159</v>
      </c>
      <c r="B1335" s="25" t="s">
        <v>457</v>
      </c>
      <c r="C1335" s="25" t="s">
        <v>858</v>
      </c>
      <c r="D1335" s="75">
        <f t="shared" si="472"/>
        <v>46182</v>
      </c>
      <c r="E1335" s="75">
        <f t="shared" si="473"/>
        <v>46166</v>
      </c>
      <c r="F1335" s="75">
        <f t="shared" si="474"/>
        <v>46173</v>
      </c>
      <c r="G1335" s="75">
        <f t="shared" si="475"/>
        <v>46179</v>
      </c>
      <c r="H1335" s="75">
        <f t="shared" si="476"/>
        <v>46167</v>
      </c>
      <c r="I1335" s="75">
        <f t="shared" si="477"/>
        <v>46174</v>
      </c>
      <c r="J1335" s="75"/>
      <c r="K1335" s="25"/>
      <c r="L1335" s="25"/>
      <c r="M1335" s="25"/>
      <c r="N1335" s="25">
        <f t="shared" si="441"/>
        <v>0</v>
      </c>
      <c r="O1335" s="25" t="s">
        <v>545</v>
      </c>
    </row>
    <row r="1336" spans="1:15" x14ac:dyDescent="0.25">
      <c r="A1336" s="75">
        <v>46159</v>
      </c>
      <c r="B1336" s="25" t="s">
        <v>458</v>
      </c>
      <c r="C1336" s="25" t="s">
        <v>859</v>
      </c>
      <c r="D1336" s="75">
        <f t="shared" si="472"/>
        <v>46182</v>
      </c>
      <c r="E1336" s="75">
        <f t="shared" si="473"/>
        <v>46166</v>
      </c>
      <c r="F1336" s="75">
        <f t="shared" si="474"/>
        <v>46173</v>
      </c>
      <c r="G1336" s="75">
        <f t="shared" si="475"/>
        <v>46179</v>
      </c>
      <c r="H1336" s="75">
        <f t="shared" si="476"/>
        <v>46167</v>
      </c>
      <c r="I1336" s="75">
        <f t="shared" si="477"/>
        <v>46174</v>
      </c>
      <c r="J1336" s="75"/>
      <c r="K1336" s="25"/>
      <c r="L1336" s="25"/>
      <c r="M1336" s="25"/>
      <c r="N1336" s="25">
        <f t="shared" si="441"/>
        <v>0</v>
      </c>
      <c r="O1336" s="25" t="s">
        <v>545</v>
      </c>
    </row>
    <row r="1337" spans="1:15" x14ac:dyDescent="0.25">
      <c r="A1337" s="75">
        <v>46159</v>
      </c>
      <c r="B1337" s="25" t="s">
        <v>459</v>
      </c>
      <c r="C1337" s="25" t="s">
        <v>860</v>
      </c>
      <c r="D1337" s="75">
        <f t="shared" si="472"/>
        <v>46182</v>
      </c>
      <c r="E1337" s="75">
        <f t="shared" si="473"/>
        <v>46166</v>
      </c>
      <c r="F1337" s="75">
        <f t="shared" si="474"/>
        <v>46173</v>
      </c>
      <c r="G1337" s="75">
        <f t="shared" si="475"/>
        <v>46179</v>
      </c>
      <c r="H1337" s="75">
        <f t="shared" si="476"/>
        <v>46167</v>
      </c>
      <c r="I1337" s="75">
        <f t="shared" si="477"/>
        <v>46174</v>
      </c>
      <c r="J1337" s="75"/>
      <c r="K1337" s="25"/>
      <c r="L1337" s="25"/>
      <c r="M1337" s="25"/>
      <c r="N1337" s="25">
        <f t="shared" si="441"/>
        <v>0</v>
      </c>
      <c r="O1337" s="25" t="s">
        <v>545</v>
      </c>
    </row>
    <row r="1338" spans="1:15" x14ac:dyDescent="0.25">
      <c r="A1338" s="75">
        <v>46159</v>
      </c>
      <c r="B1338" s="25" t="s">
        <v>460</v>
      </c>
      <c r="C1338" s="25" t="s">
        <v>861</v>
      </c>
      <c r="D1338" s="75">
        <f t="shared" si="472"/>
        <v>46182</v>
      </c>
      <c r="E1338" s="75">
        <f t="shared" si="473"/>
        <v>46166</v>
      </c>
      <c r="F1338" s="75">
        <f t="shared" si="474"/>
        <v>46173</v>
      </c>
      <c r="G1338" s="75">
        <f t="shared" si="475"/>
        <v>46179</v>
      </c>
      <c r="H1338" s="75">
        <f t="shared" si="476"/>
        <v>46167</v>
      </c>
      <c r="I1338" s="75">
        <f t="shared" si="477"/>
        <v>46174</v>
      </c>
      <c r="J1338" s="75"/>
      <c r="K1338" s="25"/>
      <c r="L1338" s="25"/>
      <c r="M1338" s="25"/>
      <c r="N1338" s="25">
        <f t="shared" si="441"/>
        <v>0</v>
      </c>
      <c r="O1338" s="25" t="s">
        <v>545</v>
      </c>
    </row>
    <row r="1339" spans="1:15" x14ac:dyDescent="0.25">
      <c r="A1339" s="75">
        <v>46159</v>
      </c>
      <c r="B1339" s="25" t="s">
        <v>461</v>
      </c>
      <c r="C1339" s="25" t="s">
        <v>862</v>
      </c>
      <c r="D1339" s="75">
        <f t="shared" si="472"/>
        <v>46182</v>
      </c>
      <c r="E1339" s="75">
        <f t="shared" si="473"/>
        <v>46166</v>
      </c>
      <c r="F1339" s="75">
        <f t="shared" si="474"/>
        <v>46173</v>
      </c>
      <c r="G1339" s="75">
        <f t="shared" si="475"/>
        <v>46179</v>
      </c>
      <c r="H1339" s="75">
        <f t="shared" si="476"/>
        <v>46167</v>
      </c>
      <c r="I1339" s="75">
        <f t="shared" si="477"/>
        <v>46174</v>
      </c>
      <c r="J1339" s="75"/>
      <c r="K1339" s="25"/>
      <c r="L1339" s="25"/>
      <c r="M1339" s="25"/>
      <c r="N1339" s="25">
        <f t="shared" si="441"/>
        <v>0</v>
      </c>
      <c r="O1339" s="25" t="s">
        <v>545</v>
      </c>
    </row>
    <row r="1340" spans="1:15" x14ac:dyDescent="0.25">
      <c r="A1340" s="75">
        <v>46159</v>
      </c>
      <c r="B1340" s="25" t="s">
        <v>462</v>
      </c>
      <c r="C1340" s="25" t="s">
        <v>863</v>
      </c>
      <c r="D1340" s="75">
        <f t="shared" si="472"/>
        <v>46182</v>
      </c>
      <c r="E1340" s="75">
        <f t="shared" si="473"/>
        <v>46166</v>
      </c>
      <c r="F1340" s="75">
        <f t="shared" si="474"/>
        <v>46173</v>
      </c>
      <c r="G1340" s="75">
        <f t="shared" si="475"/>
        <v>46179</v>
      </c>
      <c r="H1340" s="75">
        <f t="shared" si="476"/>
        <v>46167</v>
      </c>
      <c r="I1340" s="75">
        <f t="shared" si="477"/>
        <v>46174</v>
      </c>
      <c r="J1340" s="75"/>
      <c r="K1340" s="25"/>
      <c r="L1340" s="25"/>
      <c r="M1340" s="25"/>
      <c r="N1340" s="25">
        <f t="shared" si="441"/>
        <v>0</v>
      </c>
      <c r="O1340" s="25" t="s">
        <v>545</v>
      </c>
    </row>
    <row r="1341" spans="1:15" x14ac:dyDescent="0.25">
      <c r="A1341" s="75">
        <v>46160</v>
      </c>
      <c r="B1341" s="25" t="s">
        <v>504</v>
      </c>
      <c r="C1341" s="25" t="s">
        <v>864</v>
      </c>
      <c r="D1341" s="75">
        <f t="shared" ref="D1341:D1347" si="478">A1341+23</f>
        <v>46183</v>
      </c>
      <c r="E1341" s="75">
        <f t="shared" ref="E1341:E1347" si="479">A1341+7</f>
        <v>46167</v>
      </c>
      <c r="F1341" s="75">
        <f t="shared" ref="F1341:F1347" si="480">A1341+14</f>
        <v>46174</v>
      </c>
      <c r="G1341" s="75">
        <f t="shared" ref="G1341:G1347" si="481">A1341+20</f>
        <v>46180</v>
      </c>
      <c r="H1341" s="75">
        <f t="shared" ref="H1341:H1347" si="482">A1341+8</f>
        <v>46168</v>
      </c>
      <c r="I1341" s="75">
        <f t="shared" ref="I1341:I1347" si="483">A1341+15</f>
        <v>46175</v>
      </c>
      <c r="J1341" s="75"/>
      <c r="K1341" s="25"/>
      <c r="L1341" s="25"/>
      <c r="M1341" s="25"/>
      <c r="N1341" s="25">
        <f t="shared" si="441"/>
        <v>0</v>
      </c>
      <c r="O1341" s="25" t="s">
        <v>545</v>
      </c>
    </row>
    <row r="1342" spans="1:15" x14ac:dyDescent="0.25">
      <c r="A1342" s="75">
        <v>46160</v>
      </c>
      <c r="B1342" s="25" t="s">
        <v>505</v>
      </c>
      <c r="C1342" s="25" t="s">
        <v>865</v>
      </c>
      <c r="D1342" s="75">
        <f t="shared" si="478"/>
        <v>46183</v>
      </c>
      <c r="E1342" s="75">
        <f t="shared" si="479"/>
        <v>46167</v>
      </c>
      <c r="F1342" s="75">
        <f t="shared" si="480"/>
        <v>46174</v>
      </c>
      <c r="G1342" s="75">
        <f t="shared" si="481"/>
        <v>46180</v>
      </c>
      <c r="H1342" s="75">
        <f t="shared" si="482"/>
        <v>46168</v>
      </c>
      <c r="I1342" s="75">
        <f t="shared" si="483"/>
        <v>46175</v>
      </c>
      <c r="J1342" s="75"/>
      <c r="K1342" s="25"/>
      <c r="L1342" s="25"/>
      <c r="M1342" s="25"/>
      <c r="N1342" s="25">
        <f t="shared" si="441"/>
        <v>0</v>
      </c>
      <c r="O1342" s="25" t="s">
        <v>545</v>
      </c>
    </row>
    <row r="1343" spans="1:15" x14ac:dyDescent="0.25">
      <c r="A1343" s="75">
        <v>46160</v>
      </c>
      <c r="B1343" s="25" t="s">
        <v>506</v>
      </c>
      <c r="C1343" s="25" t="s">
        <v>866</v>
      </c>
      <c r="D1343" s="75">
        <f t="shared" si="478"/>
        <v>46183</v>
      </c>
      <c r="E1343" s="75">
        <f t="shared" si="479"/>
        <v>46167</v>
      </c>
      <c r="F1343" s="75">
        <f t="shared" si="480"/>
        <v>46174</v>
      </c>
      <c r="G1343" s="75">
        <f t="shared" si="481"/>
        <v>46180</v>
      </c>
      <c r="H1343" s="75">
        <f t="shared" si="482"/>
        <v>46168</v>
      </c>
      <c r="I1343" s="75">
        <f t="shared" si="483"/>
        <v>46175</v>
      </c>
      <c r="J1343" s="75"/>
      <c r="K1343" s="25"/>
      <c r="L1343" s="25"/>
      <c r="M1343" s="25"/>
      <c r="N1343" s="25">
        <f t="shared" si="441"/>
        <v>0</v>
      </c>
      <c r="O1343" s="25" t="s">
        <v>545</v>
      </c>
    </row>
    <row r="1344" spans="1:15" x14ac:dyDescent="0.25">
      <c r="A1344" s="75">
        <v>46160</v>
      </c>
      <c r="B1344" s="25" t="s">
        <v>507</v>
      </c>
      <c r="C1344" s="25" t="s">
        <v>867</v>
      </c>
      <c r="D1344" s="75">
        <f t="shared" si="478"/>
        <v>46183</v>
      </c>
      <c r="E1344" s="75">
        <f t="shared" si="479"/>
        <v>46167</v>
      </c>
      <c r="F1344" s="75">
        <f t="shared" si="480"/>
        <v>46174</v>
      </c>
      <c r="G1344" s="75">
        <f t="shared" si="481"/>
        <v>46180</v>
      </c>
      <c r="H1344" s="75">
        <f t="shared" si="482"/>
        <v>46168</v>
      </c>
      <c r="I1344" s="75">
        <f t="shared" si="483"/>
        <v>46175</v>
      </c>
      <c r="J1344" s="75"/>
      <c r="K1344" s="25"/>
      <c r="L1344" s="25"/>
      <c r="M1344" s="25"/>
      <c r="N1344" s="25">
        <f t="shared" si="441"/>
        <v>0</v>
      </c>
      <c r="O1344" s="25" t="s">
        <v>545</v>
      </c>
    </row>
    <row r="1345" spans="1:15" x14ac:dyDescent="0.25">
      <c r="A1345" s="75">
        <v>46160</v>
      </c>
      <c r="B1345" s="25" t="s">
        <v>508</v>
      </c>
      <c r="C1345" s="25" t="s">
        <v>868</v>
      </c>
      <c r="D1345" s="75">
        <f t="shared" si="478"/>
        <v>46183</v>
      </c>
      <c r="E1345" s="75">
        <f t="shared" si="479"/>
        <v>46167</v>
      </c>
      <c r="F1345" s="75">
        <f t="shared" si="480"/>
        <v>46174</v>
      </c>
      <c r="G1345" s="75">
        <f t="shared" si="481"/>
        <v>46180</v>
      </c>
      <c r="H1345" s="75">
        <f t="shared" si="482"/>
        <v>46168</v>
      </c>
      <c r="I1345" s="75">
        <f t="shared" si="483"/>
        <v>46175</v>
      </c>
      <c r="J1345" s="75"/>
      <c r="K1345" s="25"/>
      <c r="L1345" s="25"/>
      <c r="M1345" s="25"/>
      <c r="N1345" s="25">
        <f t="shared" si="441"/>
        <v>0</v>
      </c>
      <c r="O1345" s="25" t="s">
        <v>545</v>
      </c>
    </row>
    <row r="1346" spans="1:15" x14ac:dyDescent="0.25">
      <c r="A1346" s="75">
        <v>46160</v>
      </c>
      <c r="B1346" s="25" t="s">
        <v>509</v>
      </c>
      <c r="C1346" s="25" t="s">
        <v>869</v>
      </c>
      <c r="D1346" s="75">
        <f t="shared" si="478"/>
        <v>46183</v>
      </c>
      <c r="E1346" s="75">
        <f t="shared" si="479"/>
        <v>46167</v>
      </c>
      <c r="F1346" s="75">
        <f t="shared" si="480"/>
        <v>46174</v>
      </c>
      <c r="G1346" s="75">
        <f t="shared" si="481"/>
        <v>46180</v>
      </c>
      <c r="H1346" s="75">
        <f t="shared" si="482"/>
        <v>46168</v>
      </c>
      <c r="I1346" s="75">
        <f t="shared" si="483"/>
        <v>46175</v>
      </c>
      <c r="J1346" s="75"/>
      <c r="K1346" s="25"/>
      <c r="L1346" s="25"/>
      <c r="M1346" s="25"/>
      <c r="N1346" s="25">
        <f t="shared" si="441"/>
        <v>0</v>
      </c>
      <c r="O1346" s="25" t="s">
        <v>545</v>
      </c>
    </row>
    <row r="1347" spans="1:15" x14ac:dyDescent="0.25">
      <c r="A1347" s="75">
        <v>46160</v>
      </c>
      <c r="B1347" s="25" t="s">
        <v>510</v>
      </c>
      <c r="C1347" s="25" t="s">
        <v>870</v>
      </c>
      <c r="D1347" s="75">
        <f t="shared" si="478"/>
        <v>46183</v>
      </c>
      <c r="E1347" s="75">
        <f t="shared" si="479"/>
        <v>46167</v>
      </c>
      <c r="F1347" s="75">
        <f t="shared" si="480"/>
        <v>46174</v>
      </c>
      <c r="G1347" s="75">
        <f t="shared" si="481"/>
        <v>46180</v>
      </c>
      <c r="H1347" s="75">
        <f t="shared" si="482"/>
        <v>46168</v>
      </c>
      <c r="I1347" s="75">
        <f t="shared" si="483"/>
        <v>46175</v>
      </c>
      <c r="J1347" s="75"/>
      <c r="K1347" s="25"/>
      <c r="L1347" s="25"/>
      <c r="M1347" s="25"/>
      <c r="N1347" s="25">
        <f t="shared" si="441"/>
        <v>0</v>
      </c>
      <c r="O1347" s="25" t="s">
        <v>545</v>
      </c>
    </row>
    <row r="1348" spans="1:15" x14ac:dyDescent="0.25">
      <c r="A1348" s="75">
        <v>46161</v>
      </c>
      <c r="B1348" s="25" t="s">
        <v>497</v>
      </c>
      <c r="C1348" s="25" t="s">
        <v>871</v>
      </c>
      <c r="D1348" s="75">
        <f t="shared" ref="D1348:D1355" si="484">A1348+23</f>
        <v>46184</v>
      </c>
      <c r="E1348" s="75">
        <f t="shared" ref="E1348:E1355" si="485">A1348+7</f>
        <v>46168</v>
      </c>
      <c r="F1348" s="75">
        <f t="shared" ref="F1348:F1355" si="486">A1348+14</f>
        <v>46175</v>
      </c>
      <c r="G1348" s="75">
        <f t="shared" ref="G1348:G1355" si="487">A1348+20</f>
        <v>46181</v>
      </c>
      <c r="H1348" s="75">
        <f t="shared" ref="H1348:H1355" si="488">A1348+8</f>
        <v>46169</v>
      </c>
      <c r="I1348" s="75">
        <f t="shared" ref="I1348:I1355" si="489">A1348+15</f>
        <v>46176</v>
      </c>
      <c r="J1348" s="75"/>
      <c r="K1348" s="25"/>
      <c r="L1348" s="25"/>
      <c r="M1348" s="25"/>
      <c r="N1348" s="25">
        <f t="shared" si="441"/>
        <v>0</v>
      </c>
      <c r="O1348" s="25" t="s">
        <v>545</v>
      </c>
    </row>
    <row r="1349" spans="1:15" x14ac:dyDescent="0.25">
      <c r="A1349" s="75">
        <v>46161</v>
      </c>
      <c r="B1349" s="25" t="s">
        <v>498</v>
      </c>
      <c r="C1349" s="25" t="s">
        <v>872</v>
      </c>
      <c r="D1349" s="75">
        <f t="shared" si="484"/>
        <v>46184</v>
      </c>
      <c r="E1349" s="75">
        <f t="shared" si="485"/>
        <v>46168</v>
      </c>
      <c r="F1349" s="75">
        <f t="shared" si="486"/>
        <v>46175</v>
      </c>
      <c r="G1349" s="75">
        <f t="shared" si="487"/>
        <v>46181</v>
      </c>
      <c r="H1349" s="75">
        <f t="shared" si="488"/>
        <v>46169</v>
      </c>
      <c r="I1349" s="75">
        <f t="shared" si="489"/>
        <v>46176</v>
      </c>
      <c r="J1349" s="75"/>
      <c r="K1349" s="25"/>
      <c r="L1349" s="25"/>
      <c r="M1349" s="25"/>
      <c r="N1349" s="25">
        <f t="shared" si="441"/>
        <v>0</v>
      </c>
      <c r="O1349" s="25" t="s">
        <v>545</v>
      </c>
    </row>
    <row r="1350" spans="1:15" x14ac:dyDescent="0.25">
      <c r="A1350" s="75">
        <v>46161</v>
      </c>
      <c r="B1350" s="25" t="s">
        <v>499</v>
      </c>
      <c r="C1350" s="25" t="s">
        <v>873</v>
      </c>
      <c r="D1350" s="75">
        <f t="shared" si="484"/>
        <v>46184</v>
      </c>
      <c r="E1350" s="75">
        <f t="shared" si="485"/>
        <v>46168</v>
      </c>
      <c r="F1350" s="75">
        <f t="shared" si="486"/>
        <v>46175</v>
      </c>
      <c r="G1350" s="75">
        <f t="shared" si="487"/>
        <v>46181</v>
      </c>
      <c r="H1350" s="75">
        <f t="shared" si="488"/>
        <v>46169</v>
      </c>
      <c r="I1350" s="75">
        <f t="shared" si="489"/>
        <v>46176</v>
      </c>
      <c r="J1350" s="75"/>
      <c r="K1350" s="25"/>
      <c r="L1350" s="25"/>
      <c r="M1350" s="25"/>
      <c r="N1350" s="25">
        <f t="shared" si="441"/>
        <v>0</v>
      </c>
      <c r="O1350" s="25" t="s">
        <v>545</v>
      </c>
    </row>
    <row r="1351" spans="1:15" x14ac:dyDescent="0.25">
      <c r="A1351" s="75">
        <v>46161</v>
      </c>
      <c r="B1351" s="25" t="s">
        <v>500</v>
      </c>
      <c r="C1351" s="25" t="s">
        <v>874</v>
      </c>
      <c r="D1351" s="75">
        <f t="shared" si="484"/>
        <v>46184</v>
      </c>
      <c r="E1351" s="75">
        <f t="shared" si="485"/>
        <v>46168</v>
      </c>
      <c r="F1351" s="75">
        <f t="shared" si="486"/>
        <v>46175</v>
      </c>
      <c r="G1351" s="75">
        <f t="shared" si="487"/>
        <v>46181</v>
      </c>
      <c r="H1351" s="75">
        <f t="shared" si="488"/>
        <v>46169</v>
      </c>
      <c r="I1351" s="75">
        <f t="shared" si="489"/>
        <v>46176</v>
      </c>
      <c r="J1351" s="75"/>
      <c r="K1351" s="25"/>
      <c r="L1351" s="25"/>
      <c r="M1351" s="25"/>
      <c r="N1351" s="25">
        <f t="shared" si="441"/>
        <v>0</v>
      </c>
      <c r="O1351" s="25" t="s">
        <v>545</v>
      </c>
    </row>
    <row r="1352" spans="1:15" x14ac:dyDescent="0.25">
      <c r="A1352" s="75">
        <v>46161</v>
      </c>
      <c r="B1352" s="25" t="s">
        <v>501</v>
      </c>
      <c r="C1352" s="25" t="s">
        <v>875</v>
      </c>
      <c r="D1352" s="75">
        <f t="shared" si="484"/>
        <v>46184</v>
      </c>
      <c r="E1352" s="75">
        <f t="shared" si="485"/>
        <v>46168</v>
      </c>
      <c r="F1352" s="75">
        <f t="shared" si="486"/>
        <v>46175</v>
      </c>
      <c r="G1352" s="75">
        <f t="shared" si="487"/>
        <v>46181</v>
      </c>
      <c r="H1352" s="75">
        <f t="shared" si="488"/>
        <v>46169</v>
      </c>
      <c r="I1352" s="75">
        <f t="shared" si="489"/>
        <v>46176</v>
      </c>
      <c r="J1352" s="75"/>
      <c r="K1352" s="25"/>
      <c r="L1352" s="25"/>
      <c r="M1352" s="25"/>
      <c r="N1352" s="25">
        <f t="shared" si="441"/>
        <v>0</v>
      </c>
      <c r="O1352" s="25" t="s">
        <v>545</v>
      </c>
    </row>
    <row r="1353" spans="1:15" x14ac:dyDescent="0.25">
      <c r="A1353" s="75">
        <v>46161</v>
      </c>
      <c r="B1353" s="25" t="s">
        <v>502</v>
      </c>
      <c r="C1353" s="25" t="s">
        <v>876</v>
      </c>
      <c r="D1353" s="75">
        <f t="shared" si="484"/>
        <v>46184</v>
      </c>
      <c r="E1353" s="75">
        <f t="shared" si="485"/>
        <v>46168</v>
      </c>
      <c r="F1353" s="75">
        <f t="shared" si="486"/>
        <v>46175</v>
      </c>
      <c r="G1353" s="75">
        <f t="shared" si="487"/>
        <v>46181</v>
      </c>
      <c r="H1353" s="75">
        <f t="shared" si="488"/>
        <v>46169</v>
      </c>
      <c r="I1353" s="75">
        <f t="shared" si="489"/>
        <v>46176</v>
      </c>
      <c r="J1353" s="75"/>
      <c r="K1353" s="25"/>
      <c r="L1353" s="25"/>
      <c r="M1353" s="25"/>
      <c r="N1353" s="25">
        <f t="shared" si="441"/>
        <v>0</v>
      </c>
      <c r="O1353" s="25" t="s">
        <v>545</v>
      </c>
    </row>
    <row r="1354" spans="1:15" x14ac:dyDescent="0.25">
      <c r="A1354" s="75">
        <v>46161</v>
      </c>
      <c r="B1354" s="25" t="s">
        <v>503</v>
      </c>
      <c r="C1354" s="25" t="s">
        <v>877</v>
      </c>
      <c r="D1354" s="75">
        <f t="shared" si="484"/>
        <v>46184</v>
      </c>
      <c r="E1354" s="75">
        <f t="shared" si="485"/>
        <v>46168</v>
      </c>
      <c r="F1354" s="75">
        <f t="shared" si="486"/>
        <v>46175</v>
      </c>
      <c r="G1354" s="75">
        <f t="shared" si="487"/>
        <v>46181</v>
      </c>
      <c r="H1354" s="75">
        <f t="shared" si="488"/>
        <v>46169</v>
      </c>
      <c r="I1354" s="75">
        <f t="shared" si="489"/>
        <v>46176</v>
      </c>
      <c r="J1354" s="75"/>
      <c r="K1354" s="25"/>
      <c r="L1354" s="25"/>
      <c r="M1354" s="25"/>
      <c r="N1354" s="25">
        <f t="shared" si="441"/>
        <v>0</v>
      </c>
      <c r="O1354" s="25" t="s">
        <v>545</v>
      </c>
    </row>
    <row r="1355" spans="1:15" x14ac:dyDescent="0.25">
      <c r="A1355" s="75">
        <v>46162</v>
      </c>
      <c r="B1355" s="25" t="s">
        <v>489</v>
      </c>
      <c r="C1355" s="25" t="s">
        <v>877</v>
      </c>
      <c r="D1355" s="75">
        <f t="shared" si="484"/>
        <v>46185</v>
      </c>
      <c r="E1355" s="75">
        <f t="shared" si="485"/>
        <v>46169</v>
      </c>
      <c r="F1355" s="75">
        <f t="shared" si="486"/>
        <v>46176</v>
      </c>
      <c r="G1355" s="75">
        <f t="shared" si="487"/>
        <v>46182</v>
      </c>
      <c r="H1355" s="75">
        <f t="shared" si="488"/>
        <v>46170</v>
      </c>
      <c r="I1355" s="75">
        <f t="shared" si="489"/>
        <v>46177</v>
      </c>
      <c r="J1355" s="75"/>
      <c r="K1355" s="25"/>
      <c r="L1355" s="25"/>
      <c r="M1355" s="25"/>
      <c r="N1355" s="25">
        <f t="shared" si="441"/>
        <v>0</v>
      </c>
      <c r="O1355" s="25" t="s">
        <v>545</v>
      </c>
    </row>
    <row r="1356" spans="1:15" x14ac:dyDescent="0.25">
      <c r="A1356" s="75">
        <v>46162</v>
      </c>
      <c r="B1356" s="25" t="s">
        <v>490</v>
      </c>
      <c r="C1356" s="25" t="s">
        <v>878</v>
      </c>
      <c r="D1356" s="75">
        <f t="shared" ref="D1356:D1362" si="490">A1356+23</f>
        <v>46185</v>
      </c>
      <c r="E1356" s="75">
        <f t="shared" ref="E1356:E1362" si="491">A1356+7</f>
        <v>46169</v>
      </c>
      <c r="F1356" s="75">
        <f t="shared" ref="F1356:F1362" si="492">A1356+14</f>
        <v>46176</v>
      </c>
      <c r="G1356" s="75">
        <f t="shared" ref="G1356:G1362" si="493">A1356+20</f>
        <v>46182</v>
      </c>
      <c r="H1356" s="75">
        <f t="shared" ref="H1356:H1362" si="494">A1356+8</f>
        <v>46170</v>
      </c>
      <c r="I1356" s="75">
        <f t="shared" ref="I1356:I1362" si="495">A1356+15</f>
        <v>46177</v>
      </c>
      <c r="J1356" s="75"/>
      <c r="K1356" s="25"/>
      <c r="L1356" s="25"/>
      <c r="M1356" s="25"/>
      <c r="N1356" s="25">
        <f t="shared" si="441"/>
        <v>0</v>
      </c>
      <c r="O1356" s="25" t="s">
        <v>545</v>
      </c>
    </row>
    <row r="1357" spans="1:15" x14ac:dyDescent="0.25">
      <c r="A1357" s="75">
        <v>46162</v>
      </c>
      <c r="B1357" s="25" t="s">
        <v>491</v>
      </c>
      <c r="C1357" s="25" t="s">
        <v>879</v>
      </c>
      <c r="D1357" s="75">
        <f t="shared" si="490"/>
        <v>46185</v>
      </c>
      <c r="E1357" s="75">
        <f t="shared" si="491"/>
        <v>46169</v>
      </c>
      <c r="F1357" s="75">
        <f t="shared" si="492"/>
        <v>46176</v>
      </c>
      <c r="G1357" s="75">
        <f t="shared" si="493"/>
        <v>46182</v>
      </c>
      <c r="H1357" s="75">
        <f t="shared" si="494"/>
        <v>46170</v>
      </c>
      <c r="I1357" s="75">
        <f t="shared" si="495"/>
        <v>46177</v>
      </c>
      <c r="J1357" s="75"/>
      <c r="K1357" s="25"/>
      <c r="L1357" s="25"/>
      <c r="M1357" s="25"/>
      <c r="N1357" s="25">
        <f t="shared" ref="N1357:N1420" si="496">L1357-M1357</f>
        <v>0</v>
      </c>
      <c r="O1357" s="25" t="s">
        <v>545</v>
      </c>
    </row>
    <row r="1358" spans="1:15" x14ac:dyDescent="0.25">
      <c r="A1358" s="75">
        <v>46162</v>
      </c>
      <c r="B1358" s="25" t="s">
        <v>492</v>
      </c>
      <c r="C1358" s="25" t="s">
        <v>880</v>
      </c>
      <c r="D1358" s="75">
        <f t="shared" si="490"/>
        <v>46185</v>
      </c>
      <c r="E1358" s="75">
        <f t="shared" si="491"/>
        <v>46169</v>
      </c>
      <c r="F1358" s="75">
        <f t="shared" si="492"/>
        <v>46176</v>
      </c>
      <c r="G1358" s="75">
        <f t="shared" si="493"/>
        <v>46182</v>
      </c>
      <c r="H1358" s="75">
        <f t="shared" si="494"/>
        <v>46170</v>
      </c>
      <c r="I1358" s="75">
        <f t="shared" si="495"/>
        <v>46177</v>
      </c>
      <c r="J1358" s="75"/>
      <c r="K1358" s="25"/>
      <c r="L1358" s="25"/>
      <c r="M1358" s="25"/>
      <c r="N1358" s="25">
        <f t="shared" si="496"/>
        <v>0</v>
      </c>
      <c r="O1358" s="25" t="s">
        <v>545</v>
      </c>
    </row>
    <row r="1359" spans="1:15" x14ac:dyDescent="0.25">
      <c r="A1359" s="75">
        <v>46162</v>
      </c>
      <c r="B1359" s="25" t="s">
        <v>493</v>
      </c>
      <c r="C1359" s="25" t="s">
        <v>881</v>
      </c>
      <c r="D1359" s="75">
        <f t="shared" si="490"/>
        <v>46185</v>
      </c>
      <c r="E1359" s="75">
        <f t="shared" si="491"/>
        <v>46169</v>
      </c>
      <c r="F1359" s="75">
        <f t="shared" si="492"/>
        <v>46176</v>
      </c>
      <c r="G1359" s="75">
        <f t="shared" si="493"/>
        <v>46182</v>
      </c>
      <c r="H1359" s="75">
        <f t="shared" si="494"/>
        <v>46170</v>
      </c>
      <c r="I1359" s="75">
        <f t="shared" si="495"/>
        <v>46177</v>
      </c>
      <c r="J1359" s="75"/>
      <c r="K1359" s="25"/>
      <c r="L1359" s="25"/>
      <c r="M1359" s="25"/>
      <c r="N1359" s="25">
        <f t="shared" si="496"/>
        <v>0</v>
      </c>
      <c r="O1359" s="25" t="s">
        <v>545</v>
      </c>
    </row>
    <row r="1360" spans="1:15" x14ac:dyDescent="0.25">
      <c r="A1360" s="75">
        <v>46162</v>
      </c>
      <c r="B1360" s="25" t="s">
        <v>494</v>
      </c>
      <c r="C1360" s="25" t="s">
        <v>882</v>
      </c>
      <c r="D1360" s="75">
        <f t="shared" si="490"/>
        <v>46185</v>
      </c>
      <c r="E1360" s="75">
        <f t="shared" si="491"/>
        <v>46169</v>
      </c>
      <c r="F1360" s="75">
        <f t="shared" si="492"/>
        <v>46176</v>
      </c>
      <c r="G1360" s="75">
        <f t="shared" si="493"/>
        <v>46182</v>
      </c>
      <c r="H1360" s="75">
        <f t="shared" si="494"/>
        <v>46170</v>
      </c>
      <c r="I1360" s="75">
        <f t="shared" si="495"/>
        <v>46177</v>
      </c>
      <c r="J1360" s="75"/>
      <c r="K1360" s="25"/>
      <c r="L1360" s="25"/>
      <c r="M1360" s="25"/>
      <c r="N1360" s="25">
        <f t="shared" si="496"/>
        <v>0</v>
      </c>
      <c r="O1360" s="25" t="s">
        <v>545</v>
      </c>
    </row>
    <row r="1361" spans="1:15" x14ac:dyDescent="0.25">
      <c r="A1361" s="75">
        <v>46162</v>
      </c>
      <c r="B1361" s="25" t="s">
        <v>495</v>
      </c>
      <c r="C1361" s="25" t="s">
        <v>883</v>
      </c>
      <c r="D1361" s="75">
        <f t="shared" si="490"/>
        <v>46185</v>
      </c>
      <c r="E1361" s="75">
        <f t="shared" si="491"/>
        <v>46169</v>
      </c>
      <c r="F1361" s="75">
        <f t="shared" si="492"/>
        <v>46176</v>
      </c>
      <c r="G1361" s="75">
        <f t="shared" si="493"/>
        <v>46182</v>
      </c>
      <c r="H1361" s="75">
        <f t="shared" si="494"/>
        <v>46170</v>
      </c>
      <c r="I1361" s="75">
        <f t="shared" si="495"/>
        <v>46177</v>
      </c>
      <c r="J1361" s="75"/>
      <c r="K1361" s="25"/>
      <c r="L1361" s="25"/>
      <c r="M1361" s="25"/>
      <c r="N1361" s="25">
        <f t="shared" si="496"/>
        <v>0</v>
      </c>
      <c r="O1361" s="25" t="s">
        <v>545</v>
      </c>
    </row>
    <row r="1362" spans="1:15" x14ac:dyDescent="0.25">
      <c r="A1362" s="75">
        <v>46162</v>
      </c>
      <c r="B1362" s="25" t="s">
        <v>496</v>
      </c>
      <c r="C1362" s="25" t="s">
        <v>884</v>
      </c>
      <c r="D1362" s="75">
        <f t="shared" si="490"/>
        <v>46185</v>
      </c>
      <c r="E1362" s="75">
        <f t="shared" si="491"/>
        <v>46169</v>
      </c>
      <c r="F1362" s="75">
        <f t="shared" si="492"/>
        <v>46176</v>
      </c>
      <c r="G1362" s="75">
        <f t="shared" si="493"/>
        <v>46182</v>
      </c>
      <c r="H1362" s="75">
        <f t="shared" si="494"/>
        <v>46170</v>
      </c>
      <c r="I1362" s="75">
        <f t="shared" si="495"/>
        <v>46177</v>
      </c>
      <c r="J1362" s="75"/>
      <c r="K1362" s="25"/>
      <c r="L1362" s="25"/>
      <c r="M1362" s="25"/>
      <c r="N1362" s="25">
        <f t="shared" si="496"/>
        <v>0</v>
      </c>
      <c r="O1362" s="25" t="s">
        <v>545</v>
      </c>
    </row>
    <row r="1363" spans="1:15" x14ac:dyDescent="0.25">
      <c r="A1363" s="75">
        <v>46163</v>
      </c>
      <c r="B1363" s="25" t="s">
        <v>465</v>
      </c>
      <c r="C1363" s="25" t="s">
        <v>885</v>
      </c>
      <c r="D1363" s="75">
        <f t="shared" ref="D1363:D1369" si="497">A1363+23</f>
        <v>46186</v>
      </c>
      <c r="E1363" s="75">
        <f t="shared" ref="E1363:E1369" si="498">A1363+7</f>
        <v>46170</v>
      </c>
      <c r="F1363" s="75">
        <f t="shared" ref="F1363:F1369" si="499">A1363+14</f>
        <v>46177</v>
      </c>
      <c r="G1363" s="75">
        <f t="shared" ref="G1363:G1369" si="500">A1363+20</f>
        <v>46183</v>
      </c>
      <c r="H1363" s="75">
        <f t="shared" ref="H1363:H1369" si="501">A1363+8</f>
        <v>46171</v>
      </c>
      <c r="I1363" s="75">
        <f t="shared" ref="I1363:I1369" si="502">A1363+15</f>
        <v>46178</v>
      </c>
      <c r="J1363" s="75"/>
      <c r="K1363" s="25"/>
      <c r="L1363" s="25"/>
      <c r="M1363" s="25"/>
      <c r="N1363" s="25">
        <f t="shared" si="496"/>
        <v>0</v>
      </c>
      <c r="O1363" s="25" t="s">
        <v>545</v>
      </c>
    </row>
    <row r="1364" spans="1:15" x14ac:dyDescent="0.25">
      <c r="A1364" s="75">
        <v>46163</v>
      </c>
      <c r="B1364" s="25" t="s">
        <v>466</v>
      </c>
      <c r="C1364" s="25" t="s">
        <v>886</v>
      </c>
      <c r="D1364" s="75">
        <f t="shared" si="497"/>
        <v>46186</v>
      </c>
      <c r="E1364" s="75">
        <f t="shared" si="498"/>
        <v>46170</v>
      </c>
      <c r="F1364" s="75">
        <f t="shared" si="499"/>
        <v>46177</v>
      </c>
      <c r="G1364" s="75">
        <f t="shared" si="500"/>
        <v>46183</v>
      </c>
      <c r="H1364" s="75">
        <f t="shared" si="501"/>
        <v>46171</v>
      </c>
      <c r="I1364" s="75">
        <f t="shared" si="502"/>
        <v>46178</v>
      </c>
      <c r="J1364" s="75"/>
      <c r="K1364" s="25"/>
      <c r="L1364" s="25"/>
      <c r="M1364" s="25"/>
      <c r="N1364" s="25">
        <f t="shared" si="496"/>
        <v>0</v>
      </c>
      <c r="O1364" s="25" t="s">
        <v>545</v>
      </c>
    </row>
    <row r="1365" spans="1:15" x14ac:dyDescent="0.25">
      <c r="A1365" s="75">
        <v>46163</v>
      </c>
      <c r="B1365" s="25" t="s">
        <v>467</v>
      </c>
      <c r="C1365" s="25" t="s">
        <v>887</v>
      </c>
      <c r="D1365" s="75">
        <f t="shared" si="497"/>
        <v>46186</v>
      </c>
      <c r="E1365" s="75">
        <f t="shared" si="498"/>
        <v>46170</v>
      </c>
      <c r="F1365" s="75">
        <f t="shared" si="499"/>
        <v>46177</v>
      </c>
      <c r="G1365" s="75">
        <f t="shared" si="500"/>
        <v>46183</v>
      </c>
      <c r="H1365" s="75">
        <f t="shared" si="501"/>
        <v>46171</v>
      </c>
      <c r="I1365" s="75">
        <f t="shared" si="502"/>
        <v>46178</v>
      </c>
      <c r="J1365" s="75"/>
      <c r="K1365" s="25"/>
      <c r="L1365" s="25"/>
      <c r="M1365" s="25"/>
      <c r="N1365" s="25">
        <f t="shared" si="496"/>
        <v>0</v>
      </c>
      <c r="O1365" s="25" t="s">
        <v>545</v>
      </c>
    </row>
    <row r="1366" spans="1:15" x14ac:dyDescent="0.25">
      <c r="A1366" s="75">
        <v>46163</v>
      </c>
      <c r="B1366" s="25" t="s">
        <v>468</v>
      </c>
      <c r="C1366" s="25" t="s">
        <v>888</v>
      </c>
      <c r="D1366" s="75">
        <f t="shared" si="497"/>
        <v>46186</v>
      </c>
      <c r="E1366" s="75">
        <f t="shared" si="498"/>
        <v>46170</v>
      </c>
      <c r="F1366" s="75">
        <f t="shared" si="499"/>
        <v>46177</v>
      </c>
      <c r="G1366" s="75">
        <f t="shared" si="500"/>
        <v>46183</v>
      </c>
      <c r="H1366" s="75">
        <f t="shared" si="501"/>
        <v>46171</v>
      </c>
      <c r="I1366" s="75">
        <f t="shared" si="502"/>
        <v>46178</v>
      </c>
      <c r="J1366" s="75"/>
      <c r="K1366" s="25"/>
      <c r="L1366" s="25"/>
      <c r="M1366" s="25"/>
      <c r="N1366" s="25">
        <f t="shared" si="496"/>
        <v>0</v>
      </c>
      <c r="O1366" s="25" t="s">
        <v>545</v>
      </c>
    </row>
    <row r="1367" spans="1:15" x14ac:dyDescent="0.25">
      <c r="A1367" s="75">
        <v>46163</v>
      </c>
      <c r="B1367" s="25" t="s">
        <v>469</v>
      </c>
      <c r="C1367" s="25" t="s">
        <v>889</v>
      </c>
      <c r="D1367" s="75">
        <f t="shared" si="497"/>
        <v>46186</v>
      </c>
      <c r="E1367" s="75">
        <f t="shared" si="498"/>
        <v>46170</v>
      </c>
      <c r="F1367" s="75">
        <f t="shared" si="499"/>
        <v>46177</v>
      </c>
      <c r="G1367" s="75">
        <f t="shared" si="500"/>
        <v>46183</v>
      </c>
      <c r="H1367" s="75">
        <f t="shared" si="501"/>
        <v>46171</v>
      </c>
      <c r="I1367" s="75">
        <f t="shared" si="502"/>
        <v>46178</v>
      </c>
      <c r="J1367" s="75"/>
      <c r="K1367" s="25"/>
      <c r="L1367" s="25"/>
      <c r="M1367" s="25"/>
      <c r="N1367" s="25">
        <f t="shared" si="496"/>
        <v>0</v>
      </c>
      <c r="O1367" s="25" t="s">
        <v>545</v>
      </c>
    </row>
    <row r="1368" spans="1:15" x14ac:dyDescent="0.25">
      <c r="A1368" s="75">
        <v>46163</v>
      </c>
      <c r="B1368" s="25" t="s">
        <v>470</v>
      </c>
      <c r="C1368" s="25" t="s">
        <v>890</v>
      </c>
      <c r="D1368" s="75">
        <f t="shared" si="497"/>
        <v>46186</v>
      </c>
      <c r="E1368" s="75">
        <f t="shared" si="498"/>
        <v>46170</v>
      </c>
      <c r="F1368" s="75">
        <f t="shared" si="499"/>
        <v>46177</v>
      </c>
      <c r="G1368" s="75">
        <f t="shared" si="500"/>
        <v>46183</v>
      </c>
      <c r="H1368" s="75">
        <f t="shared" si="501"/>
        <v>46171</v>
      </c>
      <c r="I1368" s="75">
        <f t="shared" si="502"/>
        <v>46178</v>
      </c>
      <c r="J1368" s="75"/>
      <c r="K1368" s="25"/>
      <c r="L1368" s="25"/>
      <c r="M1368" s="25"/>
      <c r="N1368" s="25">
        <f t="shared" si="496"/>
        <v>0</v>
      </c>
      <c r="O1368" s="25" t="s">
        <v>545</v>
      </c>
    </row>
    <row r="1369" spans="1:15" x14ac:dyDescent="0.25">
      <c r="A1369" s="75">
        <v>46163</v>
      </c>
      <c r="B1369" s="25" t="s">
        <v>471</v>
      </c>
      <c r="C1369" s="25" t="s">
        <v>891</v>
      </c>
      <c r="D1369" s="75">
        <f t="shared" si="497"/>
        <v>46186</v>
      </c>
      <c r="E1369" s="75">
        <f t="shared" si="498"/>
        <v>46170</v>
      </c>
      <c r="F1369" s="75">
        <f t="shared" si="499"/>
        <v>46177</v>
      </c>
      <c r="G1369" s="75">
        <f t="shared" si="500"/>
        <v>46183</v>
      </c>
      <c r="H1369" s="75">
        <f t="shared" si="501"/>
        <v>46171</v>
      </c>
      <c r="I1369" s="75">
        <f t="shared" si="502"/>
        <v>46178</v>
      </c>
      <c r="J1369" s="75"/>
      <c r="K1369" s="25"/>
      <c r="L1369" s="25"/>
      <c r="M1369" s="25"/>
      <c r="N1369" s="25">
        <f t="shared" si="496"/>
        <v>0</v>
      </c>
      <c r="O1369" s="25" t="s">
        <v>545</v>
      </c>
    </row>
    <row r="1370" spans="1:15" x14ac:dyDescent="0.25">
      <c r="A1370" s="75">
        <v>46164</v>
      </c>
      <c r="B1370" s="25" t="s">
        <v>472</v>
      </c>
      <c r="C1370" s="25" t="s">
        <v>892</v>
      </c>
      <c r="D1370" s="75">
        <f t="shared" ref="D1370:D1376" si="503">A1370+23</f>
        <v>46187</v>
      </c>
      <c r="E1370" s="75">
        <f t="shared" ref="E1370:E1376" si="504">A1370+7</f>
        <v>46171</v>
      </c>
      <c r="F1370" s="75">
        <f t="shared" ref="F1370:F1376" si="505">A1370+14</f>
        <v>46178</v>
      </c>
      <c r="G1370" s="75">
        <f t="shared" ref="G1370:G1376" si="506">A1370+20</f>
        <v>46184</v>
      </c>
      <c r="H1370" s="75">
        <f t="shared" ref="H1370:H1376" si="507">A1370+8</f>
        <v>46172</v>
      </c>
      <c r="I1370" s="75">
        <f t="shared" ref="I1370:I1376" si="508">A1370+15</f>
        <v>46179</v>
      </c>
      <c r="J1370" s="75"/>
      <c r="K1370" s="25"/>
      <c r="L1370" s="25"/>
      <c r="M1370" s="25"/>
      <c r="N1370" s="25">
        <f t="shared" si="496"/>
        <v>0</v>
      </c>
      <c r="O1370" s="25" t="s">
        <v>545</v>
      </c>
    </row>
    <row r="1371" spans="1:15" x14ac:dyDescent="0.25">
      <c r="A1371" s="75">
        <v>46164</v>
      </c>
      <c r="B1371" s="25" t="s">
        <v>473</v>
      </c>
      <c r="C1371" s="25" t="s">
        <v>893</v>
      </c>
      <c r="D1371" s="75">
        <f t="shared" si="503"/>
        <v>46187</v>
      </c>
      <c r="E1371" s="75">
        <f t="shared" si="504"/>
        <v>46171</v>
      </c>
      <c r="F1371" s="75">
        <f t="shared" si="505"/>
        <v>46178</v>
      </c>
      <c r="G1371" s="75">
        <f t="shared" si="506"/>
        <v>46184</v>
      </c>
      <c r="H1371" s="75">
        <f t="shared" si="507"/>
        <v>46172</v>
      </c>
      <c r="I1371" s="75">
        <f t="shared" si="508"/>
        <v>46179</v>
      </c>
      <c r="J1371" s="75"/>
      <c r="K1371" s="25"/>
      <c r="L1371" s="25"/>
      <c r="M1371" s="25"/>
      <c r="N1371" s="25">
        <f t="shared" si="496"/>
        <v>0</v>
      </c>
      <c r="O1371" s="25" t="s">
        <v>545</v>
      </c>
    </row>
    <row r="1372" spans="1:15" x14ac:dyDescent="0.25">
      <c r="A1372" s="75">
        <v>46164</v>
      </c>
      <c r="B1372" s="25" t="s">
        <v>474</v>
      </c>
      <c r="C1372" s="25" t="s">
        <v>894</v>
      </c>
      <c r="D1372" s="75">
        <f t="shared" si="503"/>
        <v>46187</v>
      </c>
      <c r="E1372" s="75">
        <f t="shared" si="504"/>
        <v>46171</v>
      </c>
      <c r="F1372" s="75">
        <f t="shared" si="505"/>
        <v>46178</v>
      </c>
      <c r="G1372" s="75">
        <f t="shared" si="506"/>
        <v>46184</v>
      </c>
      <c r="H1372" s="75">
        <f t="shared" si="507"/>
        <v>46172</v>
      </c>
      <c r="I1372" s="75">
        <f t="shared" si="508"/>
        <v>46179</v>
      </c>
      <c r="J1372" s="75"/>
      <c r="K1372" s="25"/>
      <c r="L1372" s="25"/>
      <c r="M1372" s="25"/>
      <c r="N1372" s="25">
        <f t="shared" si="496"/>
        <v>0</v>
      </c>
      <c r="O1372" s="25" t="s">
        <v>545</v>
      </c>
    </row>
    <row r="1373" spans="1:15" x14ac:dyDescent="0.25">
      <c r="A1373" s="75">
        <v>46164</v>
      </c>
      <c r="B1373" s="25" t="s">
        <v>475</v>
      </c>
      <c r="C1373" s="25" t="s">
        <v>895</v>
      </c>
      <c r="D1373" s="75">
        <f t="shared" si="503"/>
        <v>46187</v>
      </c>
      <c r="E1373" s="75">
        <f t="shared" si="504"/>
        <v>46171</v>
      </c>
      <c r="F1373" s="75">
        <f t="shared" si="505"/>
        <v>46178</v>
      </c>
      <c r="G1373" s="75">
        <f t="shared" si="506"/>
        <v>46184</v>
      </c>
      <c r="H1373" s="75">
        <f t="shared" si="507"/>
        <v>46172</v>
      </c>
      <c r="I1373" s="75">
        <f t="shared" si="508"/>
        <v>46179</v>
      </c>
      <c r="J1373" s="75"/>
      <c r="K1373" s="25"/>
      <c r="L1373" s="25"/>
      <c r="M1373" s="25"/>
      <c r="N1373" s="25">
        <f t="shared" si="496"/>
        <v>0</v>
      </c>
      <c r="O1373" s="25" t="s">
        <v>545</v>
      </c>
    </row>
    <row r="1374" spans="1:15" x14ac:dyDescent="0.25">
      <c r="A1374" s="75">
        <v>46164</v>
      </c>
      <c r="B1374" s="25" t="s">
        <v>476</v>
      </c>
      <c r="C1374" s="25" t="s">
        <v>896</v>
      </c>
      <c r="D1374" s="75">
        <f t="shared" si="503"/>
        <v>46187</v>
      </c>
      <c r="E1374" s="75">
        <f t="shared" si="504"/>
        <v>46171</v>
      </c>
      <c r="F1374" s="75">
        <f t="shared" si="505"/>
        <v>46178</v>
      </c>
      <c r="G1374" s="75">
        <f t="shared" si="506"/>
        <v>46184</v>
      </c>
      <c r="H1374" s="75">
        <f t="shared" si="507"/>
        <v>46172</v>
      </c>
      <c r="I1374" s="75">
        <f t="shared" si="508"/>
        <v>46179</v>
      </c>
      <c r="J1374" s="75"/>
      <c r="K1374" s="25"/>
      <c r="L1374" s="25"/>
      <c r="M1374" s="25"/>
      <c r="N1374" s="25">
        <f t="shared" si="496"/>
        <v>0</v>
      </c>
      <c r="O1374" s="25" t="s">
        <v>545</v>
      </c>
    </row>
    <row r="1375" spans="1:15" x14ac:dyDescent="0.25">
      <c r="A1375" s="75">
        <v>46164</v>
      </c>
      <c r="B1375" s="25" t="s">
        <v>477</v>
      </c>
      <c r="C1375" s="25" t="s">
        <v>897</v>
      </c>
      <c r="D1375" s="75">
        <f t="shared" si="503"/>
        <v>46187</v>
      </c>
      <c r="E1375" s="75">
        <f t="shared" si="504"/>
        <v>46171</v>
      </c>
      <c r="F1375" s="75">
        <f t="shared" si="505"/>
        <v>46178</v>
      </c>
      <c r="G1375" s="75">
        <f t="shared" si="506"/>
        <v>46184</v>
      </c>
      <c r="H1375" s="75">
        <f t="shared" si="507"/>
        <v>46172</v>
      </c>
      <c r="I1375" s="75">
        <f t="shared" si="508"/>
        <v>46179</v>
      </c>
      <c r="J1375" s="75"/>
      <c r="K1375" s="25"/>
      <c r="L1375" s="25"/>
      <c r="M1375" s="25"/>
      <c r="N1375" s="25">
        <f t="shared" si="496"/>
        <v>0</v>
      </c>
      <c r="O1375" s="25" t="s">
        <v>545</v>
      </c>
    </row>
    <row r="1376" spans="1:15" x14ac:dyDescent="0.25">
      <c r="A1376" s="75">
        <v>46164</v>
      </c>
      <c r="B1376" s="25" t="s">
        <v>478</v>
      </c>
      <c r="C1376" s="25" t="s">
        <v>898</v>
      </c>
      <c r="D1376" s="75">
        <f t="shared" si="503"/>
        <v>46187</v>
      </c>
      <c r="E1376" s="75">
        <f t="shared" si="504"/>
        <v>46171</v>
      </c>
      <c r="F1376" s="75">
        <f t="shared" si="505"/>
        <v>46178</v>
      </c>
      <c r="G1376" s="75">
        <f t="shared" si="506"/>
        <v>46184</v>
      </c>
      <c r="H1376" s="75">
        <f t="shared" si="507"/>
        <v>46172</v>
      </c>
      <c r="I1376" s="75">
        <f t="shared" si="508"/>
        <v>46179</v>
      </c>
      <c r="J1376" s="75"/>
      <c r="K1376" s="25"/>
      <c r="L1376" s="25"/>
      <c r="M1376" s="25"/>
      <c r="N1376" s="25">
        <f t="shared" si="496"/>
        <v>0</v>
      </c>
      <c r="O1376" s="25" t="s">
        <v>545</v>
      </c>
    </row>
    <row r="1377" spans="1:15" x14ac:dyDescent="0.25">
      <c r="A1377" s="75">
        <v>46165</v>
      </c>
      <c r="B1377" s="25" t="s">
        <v>479</v>
      </c>
      <c r="C1377" s="25" t="s">
        <v>899</v>
      </c>
      <c r="D1377" s="75">
        <f t="shared" ref="D1377:D1383" si="509">A1377+23</f>
        <v>46188</v>
      </c>
      <c r="E1377" s="75">
        <f t="shared" ref="E1377:E1383" si="510">A1377+7</f>
        <v>46172</v>
      </c>
      <c r="F1377" s="75">
        <f t="shared" ref="F1377:F1383" si="511">A1377+14</f>
        <v>46179</v>
      </c>
      <c r="G1377" s="75">
        <f t="shared" ref="G1377:G1383" si="512">A1377+20</f>
        <v>46185</v>
      </c>
      <c r="H1377" s="75">
        <f t="shared" ref="H1377:H1383" si="513">A1377+8</f>
        <v>46173</v>
      </c>
      <c r="I1377" s="75">
        <f t="shared" ref="I1377:I1383" si="514">A1377+15</f>
        <v>46180</v>
      </c>
      <c r="J1377" s="75"/>
      <c r="K1377" s="25"/>
      <c r="L1377" s="25"/>
      <c r="M1377" s="25"/>
      <c r="N1377" s="25">
        <f t="shared" si="496"/>
        <v>0</v>
      </c>
      <c r="O1377" s="25" t="s">
        <v>545</v>
      </c>
    </row>
    <row r="1378" spans="1:15" x14ac:dyDescent="0.25">
      <c r="A1378" s="75">
        <v>46165</v>
      </c>
      <c r="B1378" s="25" t="s">
        <v>480</v>
      </c>
      <c r="C1378" s="25" t="s">
        <v>900</v>
      </c>
      <c r="D1378" s="75">
        <f t="shared" si="509"/>
        <v>46188</v>
      </c>
      <c r="E1378" s="75">
        <f t="shared" si="510"/>
        <v>46172</v>
      </c>
      <c r="F1378" s="75">
        <f t="shared" si="511"/>
        <v>46179</v>
      </c>
      <c r="G1378" s="75">
        <f t="shared" si="512"/>
        <v>46185</v>
      </c>
      <c r="H1378" s="75">
        <f t="shared" si="513"/>
        <v>46173</v>
      </c>
      <c r="I1378" s="75">
        <f t="shared" si="514"/>
        <v>46180</v>
      </c>
      <c r="J1378" s="75"/>
      <c r="K1378" s="25"/>
      <c r="L1378" s="25"/>
      <c r="M1378" s="25"/>
      <c r="N1378" s="25">
        <f t="shared" si="496"/>
        <v>0</v>
      </c>
      <c r="O1378" s="25" t="s">
        <v>545</v>
      </c>
    </row>
    <row r="1379" spans="1:15" x14ac:dyDescent="0.25">
      <c r="A1379" s="75">
        <v>46165</v>
      </c>
      <c r="B1379" s="25" t="s">
        <v>481</v>
      </c>
      <c r="C1379" s="25" t="s">
        <v>901</v>
      </c>
      <c r="D1379" s="75">
        <f t="shared" si="509"/>
        <v>46188</v>
      </c>
      <c r="E1379" s="75">
        <f t="shared" si="510"/>
        <v>46172</v>
      </c>
      <c r="F1379" s="75">
        <f t="shared" si="511"/>
        <v>46179</v>
      </c>
      <c r="G1379" s="75">
        <f t="shared" si="512"/>
        <v>46185</v>
      </c>
      <c r="H1379" s="75">
        <f t="shared" si="513"/>
        <v>46173</v>
      </c>
      <c r="I1379" s="75">
        <f t="shared" si="514"/>
        <v>46180</v>
      </c>
      <c r="J1379" s="75"/>
      <c r="K1379" s="25"/>
      <c r="L1379" s="25"/>
      <c r="M1379" s="25"/>
      <c r="N1379" s="25">
        <f t="shared" si="496"/>
        <v>0</v>
      </c>
      <c r="O1379" s="25" t="s">
        <v>545</v>
      </c>
    </row>
    <row r="1380" spans="1:15" x14ac:dyDescent="0.25">
      <c r="A1380" s="75">
        <v>46165</v>
      </c>
      <c r="B1380" s="25" t="s">
        <v>482</v>
      </c>
      <c r="C1380" s="25" t="s">
        <v>902</v>
      </c>
      <c r="D1380" s="75">
        <f t="shared" si="509"/>
        <v>46188</v>
      </c>
      <c r="E1380" s="75">
        <f t="shared" si="510"/>
        <v>46172</v>
      </c>
      <c r="F1380" s="75">
        <f t="shared" si="511"/>
        <v>46179</v>
      </c>
      <c r="G1380" s="75">
        <f t="shared" si="512"/>
        <v>46185</v>
      </c>
      <c r="H1380" s="75">
        <f t="shared" si="513"/>
        <v>46173</v>
      </c>
      <c r="I1380" s="75">
        <f t="shared" si="514"/>
        <v>46180</v>
      </c>
      <c r="J1380" s="75"/>
      <c r="K1380" s="25"/>
      <c r="L1380" s="25"/>
      <c r="M1380" s="25"/>
      <c r="N1380" s="25">
        <f t="shared" si="496"/>
        <v>0</v>
      </c>
      <c r="O1380" s="25" t="s">
        <v>545</v>
      </c>
    </row>
    <row r="1381" spans="1:15" x14ac:dyDescent="0.25">
      <c r="A1381" s="75">
        <v>46165</v>
      </c>
      <c r="B1381" s="25" t="s">
        <v>483</v>
      </c>
      <c r="C1381" s="25" t="s">
        <v>903</v>
      </c>
      <c r="D1381" s="75">
        <f t="shared" si="509"/>
        <v>46188</v>
      </c>
      <c r="E1381" s="75">
        <f t="shared" si="510"/>
        <v>46172</v>
      </c>
      <c r="F1381" s="75">
        <f t="shared" si="511"/>
        <v>46179</v>
      </c>
      <c r="G1381" s="75">
        <f t="shared" si="512"/>
        <v>46185</v>
      </c>
      <c r="H1381" s="75">
        <f t="shared" si="513"/>
        <v>46173</v>
      </c>
      <c r="I1381" s="75">
        <f t="shared" si="514"/>
        <v>46180</v>
      </c>
      <c r="J1381" s="75"/>
      <c r="K1381" s="25"/>
      <c r="L1381" s="25"/>
      <c r="M1381" s="25"/>
      <c r="N1381" s="25">
        <f t="shared" si="496"/>
        <v>0</v>
      </c>
      <c r="O1381" s="25" t="s">
        <v>545</v>
      </c>
    </row>
    <row r="1382" spans="1:15" x14ac:dyDescent="0.25">
      <c r="A1382" s="75">
        <v>46165</v>
      </c>
      <c r="B1382" s="25" t="s">
        <v>484</v>
      </c>
      <c r="C1382" s="25" t="s">
        <v>904</v>
      </c>
      <c r="D1382" s="75">
        <f t="shared" si="509"/>
        <v>46188</v>
      </c>
      <c r="E1382" s="75">
        <f t="shared" si="510"/>
        <v>46172</v>
      </c>
      <c r="F1382" s="75">
        <f t="shared" si="511"/>
        <v>46179</v>
      </c>
      <c r="G1382" s="75">
        <f t="shared" si="512"/>
        <v>46185</v>
      </c>
      <c r="H1382" s="75">
        <f t="shared" si="513"/>
        <v>46173</v>
      </c>
      <c r="I1382" s="75">
        <f t="shared" si="514"/>
        <v>46180</v>
      </c>
      <c r="J1382" s="75"/>
      <c r="K1382" s="25"/>
      <c r="L1382" s="25"/>
      <c r="M1382" s="25"/>
      <c r="N1382" s="25">
        <f t="shared" si="496"/>
        <v>0</v>
      </c>
      <c r="O1382" s="25" t="s">
        <v>545</v>
      </c>
    </row>
    <row r="1383" spans="1:15" x14ac:dyDescent="0.25">
      <c r="A1383" s="75">
        <v>46165</v>
      </c>
      <c r="B1383" s="25" t="s">
        <v>485</v>
      </c>
      <c r="C1383" s="25" t="s">
        <v>905</v>
      </c>
      <c r="D1383" s="75">
        <f t="shared" si="509"/>
        <v>46188</v>
      </c>
      <c r="E1383" s="75">
        <f t="shared" si="510"/>
        <v>46172</v>
      </c>
      <c r="F1383" s="75">
        <f t="shared" si="511"/>
        <v>46179</v>
      </c>
      <c r="G1383" s="75">
        <f t="shared" si="512"/>
        <v>46185</v>
      </c>
      <c r="H1383" s="75">
        <f t="shared" si="513"/>
        <v>46173</v>
      </c>
      <c r="I1383" s="75">
        <f t="shared" si="514"/>
        <v>46180</v>
      </c>
      <c r="J1383" s="75"/>
      <c r="K1383" s="25"/>
      <c r="L1383" s="25"/>
      <c r="M1383" s="25"/>
      <c r="N1383" s="25">
        <f t="shared" si="496"/>
        <v>0</v>
      </c>
      <c r="O1383" s="25" t="s">
        <v>545</v>
      </c>
    </row>
    <row r="1384" spans="1:15" x14ac:dyDescent="0.25">
      <c r="A1384" s="75">
        <v>46166</v>
      </c>
      <c r="B1384" s="25" t="s">
        <v>311</v>
      </c>
      <c r="C1384" s="25" t="s">
        <v>906</v>
      </c>
      <c r="D1384" s="75">
        <f t="shared" ref="D1384:D1390" si="515">A1384+23</f>
        <v>46189</v>
      </c>
      <c r="E1384" s="75">
        <f t="shared" ref="E1384:E1390" si="516">A1384+7</f>
        <v>46173</v>
      </c>
      <c r="F1384" s="75">
        <f t="shared" ref="F1384:F1390" si="517">A1384+14</f>
        <v>46180</v>
      </c>
      <c r="G1384" s="75">
        <f t="shared" ref="G1384:G1390" si="518">A1384+20</f>
        <v>46186</v>
      </c>
      <c r="H1384" s="75">
        <f t="shared" ref="H1384:H1390" si="519">A1384+8</f>
        <v>46174</v>
      </c>
      <c r="I1384" s="75">
        <f t="shared" ref="I1384:I1390" si="520">A1384+15</f>
        <v>46181</v>
      </c>
      <c r="J1384" s="75"/>
      <c r="K1384" s="25"/>
      <c r="L1384" s="25"/>
      <c r="M1384" s="25"/>
      <c r="N1384" s="25">
        <f t="shared" si="496"/>
        <v>0</v>
      </c>
      <c r="O1384" s="25" t="s">
        <v>545</v>
      </c>
    </row>
    <row r="1385" spans="1:15" x14ac:dyDescent="0.25">
      <c r="A1385" s="75">
        <v>46166</v>
      </c>
      <c r="B1385" s="25" t="s">
        <v>312</v>
      </c>
      <c r="C1385" s="25" t="s">
        <v>907</v>
      </c>
      <c r="D1385" s="75">
        <f t="shared" si="515"/>
        <v>46189</v>
      </c>
      <c r="E1385" s="75">
        <f t="shared" si="516"/>
        <v>46173</v>
      </c>
      <c r="F1385" s="75">
        <f t="shared" si="517"/>
        <v>46180</v>
      </c>
      <c r="G1385" s="75">
        <f t="shared" si="518"/>
        <v>46186</v>
      </c>
      <c r="H1385" s="75">
        <f t="shared" si="519"/>
        <v>46174</v>
      </c>
      <c r="I1385" s="75">
        <f t="shared" si="520"/>
        <v>46181</v>
      </c>
      <c r="J1385" s="75"/>
      <c r="K1385" s="25"/>
      <c r="L1385" s="25"/>
      <c r="M1385" s="25"/>
      <c r="N1385" s="25">
        <f t="shared" si="496"/>
        <v>0</v>
      </c>
      <c r="O1385" s="25" t="s">
        <v>545</v>
      </c>
    </row>
    <row r="1386" spans="1:15" x14ac:dyDescent="0.25">
      <c r="A1386" s="75">
        <v>46166</v>
      </c>
      <c r="B1386" s="25" t="s">
        <v>313</v>
      </c>
      <c r="C1386" s="25" t="s">
        <v>908</v>
      </c>
      <c r="D1386" s="75">
        <f t="shared" si="515"/>
        <v>46189</v>
      </c>
      <c r="E1386" s="75">
        <f t="shared" si="516"/>
        <v>46173</v>
      </c>
      <c r="F1386" s="75">
        <f t="shared" si="517"/>
        <v>46180</v>
      </c>
      <c r="G1386" s="75">
        <f t="shared" si="518"/>
        <v>46186</v>
      </c>
      <c r="H1386" s="75">
        <f t="shared" si="519"/>
        <v>46174</v>
      </c>
      <c r="I1386" s="75">
        <f t="shared" si="520"/>
        <v>46181</v>
      </c>
      <c r="J1386" s="75"/>
      <c r="K1386" s="25"/>
      <c r="L1386" s="25"/>
      <c r="M1386" s="25"/>
      <c r="N1386" s="25">
        <f t="shared" si="496"/>
        <v>0</v>
      </c>
      <c r="O1386" s="25" t="s">
        <v>545</v>
      </c>
    </row>
    <row r="1387" spans="1:15" x14ac:dyDescent="0.25">
      <c r="A1387" s="75">
        <v>46166</v>
      </c>
      <c r="B1387" s="25" t="s">
        <v>314</v>
      </c>
      <c r="C1387" s="25" t="s">
        <v>909</v>
      </c>
      <c r="D1387" s="75">
        <f t="shared" si="515"/>
        <v>46189</v>
      </c>
      <c r="E1387" s="75">
        <f t="shared" si="516"/>
        <v>46173</v>
      </c>
      <c r="F1387" s="75">
        <f t="shared" si="517"/>
        <v>46180</v>
      </c>
      <c r="G1387" s="75">
        <f t="shared" si="518"/>
        <v>46186</v>
      </c>
      <c r="H1387" s="75">
        <f t="shared" si="519"/>
        <v>46174</v>
      </c>
      <c r="I1387" s="75">
        <f t="shared" si="520"/>
        <v>46181</v>
      </c>
      <c r="J1387" s="75"/>
      <c r="K1387" s="25"/>
      <c r="L1387" s="25"/>
      <c r="M1387" s="25"/>
      <c r="N1387" s="25">
        <f t="shared" si="496"/>
        <v>0</v>
      </c>
      <c r="O1387" s="25" t="s">
        <v>545</v>
      </c>
    </row>
    <row r="1388" spans="1:15" x14ac:dyDescent="0.25">
      <c r="A1388" s="75">
        <v>46166</v>
      </c>
      <c r="B1388" s="25" t="s">
        <v>315</v>
      </c>
      <c r="C1388" s="25" t="s">
        <v>910</v>
      </c>
      <c r="D1388" s="75">
        <f t="shared" si="515"/>
        <v>46189</v>
      </c>
      <c r="E1388" s="75">
        <f t="shared" si="516"/>
        <v>46173</v>
      </c>
      <c r="F1388" s="75">
        <f t="shared" si="517"/>
        <v>46180</v>
      </c>
      <c r="G1388" s="75">
        <f t="shared" si="518"/>
        <v>46186</v>
      </c>
      <c r="H1388" s="75">
        <f t="shared" si="519"/>
        <v>46174</v>
      </c>
      <c r="I1388" s="75">
        <f t="shared" si="520"/>
        <v>46181</v>
      </c>
      <c r="J1388" s="75"/>
      <c r="K1388" s="25"/>
      <c r="L1388" s="25"/>
      <c r="M1388" s="25"/>
      <c r="N1388" s="25">
        <f t="shared" si="496"/>
        <v>0</v>
      </c>
      <c r="O1388" s="25" t="s">
        <v>545</v>
      </c>
    </row>
    <row r="1389" spans="1:15" x14ac:dyDescent="0.25">
      <c r="A1389" s="75">
        <v>46166</v>
      </c>
      <c r="B1389" s="25" t="s">
        <v>316</v>
      </c>
      <c r="C1389" s="25" t="s">
        <v>911</v>
      </c>
      <c r="D1389" s="75">
        <f t="shared" si="515"/>
        <v>46189</v>
      </c>
      <c r="E1389" s="75">
        <f t="shared" si="516"/>
        <v>46173</v>
      </c>
      <c r="F1389" s="75">
        <f t="shared" si="517"/>
        <v>46180</v>
      </c>
      <c r="G1389" s="75">
        <f t="shared" si="518"/>
        <v>46186</v>
      </c>
      <c r="H1389" s="75">
        <f t="shared" si="519"/>
        <v>46174</v>
      </c>
      <c r="I1389" s="75">
        <f t="shared" si="520"/>
        <v>46181</v>
      </c>
      <c r="J1389" s="75"/>
      <c r="K1389" s="25"/>
      <c r="L1389" s="25"/>
      <c r="M1389" s="25"/>
      <c r="N1389" s="25">
        <f t="shared" si="496"/>
        <v>0</v>
      </c>
      <c r="O1389" s="25" t="s">
        <v>545</v>
      </c>
    </row>
    <row r="1390" spans="1:15" x14ac:dyDescent="0.25">
      <c r="A1390" s="75">
        <v>46166</v>
      </c>
      <c r="B1390" s="25" t="s">
        <v>317</v>
      </c>
      <c r="C1390" s="25" t="s">
        <v>912</v>
      </c>
      <c r="D1390" s="75">
        <f t="shared" si="515"/>
        <v>46189</v>
      </c>
      <c r="E1390" s="75">
        <f t="shared" si="516"/>
        <v>46173</v>
      </c>
      <c r="F1390" s="75">
        <f t="shared" si="517"/>
        <v>46180</v>
      </c>
      <c r="G1390" s="75">
        <f t="shared" si="518"/>
        <v>46186</v>
      </c>
      <c r="H1390" s="75">
        <f t="shared" si="519"/>
        <v>46174</v>
      </c>
      <c r="I1390" s="75">
        <f t="shared" si="520"/>
        <v>46181</v>
      </c>
      <c r="J1390" s="75"/>
      <c r="K1390" s="25"/>
      <c r="L1390" s="25"/>
      <c r="M1390" s="25"/>
      <c r="N1390" s="25">
        <f t="shared" si="496"/>
        <v>0</v>
      </c>
      <c r="O1390" s="25" t="s">
        <v>545</v>
      </c>
    </row>
    <row r="1391" spans="1:15" x14ac:dyDescent="0.25">
      <c r="A1391" s="75">
        <v>46167</v>
      </c>
      <c r="B1391" s="25" t="s">
        <v>331</v>
      </c>
      <c r="C1391" s="25" t="s">
        <v>913</v>
      </c>
      <c r="D1391" s="75">
        <f t="shared" ref="D1391:D1397" si="521">A1391+23</f>
        <v>46190</v>
      </c>
      <c r="E1391" s="75">
        <f t="shared" ref="E1391:E1397" si="522">A1391+7</f>
        <v>46174</v>
      </c>
      <c r="F1391" s="75">
        <f t="shared" ref="F1391:F1397" si="523">A1391+14</f>
        <v>46181</v>
      </c>
      <c r="G1391" s="75">
        <f t="shared" ref="G1391:G1397" si="524">A1391+20</f>
        <v>46187</v>
      </c>
      <c r="H1391" s="75">
        <f t="shared" ref="H1391:H1397" si="525">A1391+8</f>
        <v>46175</v>
      </c>
      <c r="I1391" s="75">
        <f t="shared" ref="I1391:I1397" si="526">A1391+15</f>
        <v>46182</v>
      </c>
      <c r="J1391" s="75"/>
      <c r="K1391" s="25"/>
      <c r="L1391" s="25"/>
      <c r="M1391" s="25"/>
      <c r="N1391" s="25">
        <f t="shared" si="496"/>
        <v>0</v>
      </c>
      <c r="O1391" s="25" t="s">
        <v>545</v>
      </c>
    </row>
    <row r="1392" spans="1:15" x14ac:dyDescent="0.25">
      <c r="A1392" s="75">
        <v>46167</v>
      </c>
      <c r="B1392" s="25" t="s">
        <v>332</v>
      </c>
      <c r="C1392" s="25" t="s">
        <v>914</v>
      </c>
      <c r="D1392" s="75">
        <f t="shared" si="521"/>
        <v>46190</v>
      </c>
      <c r="E1392" s="75">
        <f t="shared" si="522"/>
        <v>46174</v>
      </c>
      <c r="F1392" s="75">
        <f t="shared" si="523"/>
        <v>46181</v>
      </c>
      <c r="G1392" s="75">
        <f t="shared" si="524"/>
        <v>46187</v>
      </c>
      <c r="H1392" s="75">
        <f t="shared" si="525"/>
        <v>46175</v>
      </c>
      <c r="I1392" s="75">
        <f t="shared" si="526"/>
        <v>46182</v>
      </c>
      <c r="J1392" s="75"/>
      <c r="K1392" s="25"/>
      <c r="L1392" s="25"/>
      <c r="M1392" s="25"/>
      <c r="N1392" s="25">
        <f t="shared" si="496"/>
        <v>0</v>
      </c>
      <c r="O1392" s="25" t="s">
        <v>545</v>
      </c>
    </row>
    <row r="1393" spans="1:15" x14ac:dyDescent="0.25">
      <c r="A1393" s="75">
        <v>46167</v>
      </c>
      <c r="B1393" s="25" t="s">
        <v>333</v>
      </c>
      <c r="C1393" s="25" t="s">
        <v>915</v>
      </c>
      <c r="D1393" s="75">
        <f t="shared" si="521"/>
        <v>46190</v>
      </c>
      <c r="E1393" s="75">
        <f t="shared" si="522"/>
        <v>46174</v>
      </c>
      <c r="F1393" s="75">
        <f t="shared" si="523"/>
        <v>46181</v>
      </c>
      <c r="G1393" s="75">
        <f t="shared" si="524"/>
        <v>46187</v>
      </c>
      <c r="H1393" s="75">
        <f t="shared" si="525"/>
        <v>46175</v>
      </c>
      <c r="I1393" s="75">
        <f t="shared" si="526"/>
        <v>46182</v>
      </c>
      <c r="J1393" s="75"/>
      <c r="K1393" s="25"/>
      <c r="L1393" s="25"/>
      <c r="M1393" s="25"/>
      <c r="N1393" s="25">
        <f t="shared" si="496"/>
        <v>0</v>
      </c>
      <c r="O1393" s="25" t="s">
        <v>545</v>
      </c>
    </row>
    <row r="1394" spans="1:15" x14ac:dyDescent="0.25">
      <c r="A1394" s="75">
        <v>46167</v>
      </c>
      <c r="B1394" s="25" t="s">
        <v>334</v>
      </c>
      <c r="C1394" s="25" t="s">
        <v>916</v>
      </c>
      <c r="D1394" s="75">
        <f t="shared" si="521"/>
        <v>46190</v>
      </c>
      <c r="E1394" s="75">
        <f t="shared" si="522"/>
        <v>46174</v>
      </c>
      <c r="F1394" s="75">
        <f t="shared" si="523"/>
        <v>46181</v>
      </c>
      <c r="G1394" s="75">
        <f t="shared" si="524"/>
        <v>46187</v>
      </c>
      <c r="H1394" s="75">
        <f t="shared" si="525"/>
        <v>46175</v>
      </c>
      <c r="I1394" s="75">
        <f t="shared" si="526"/>
        <v>46182</v>
      </c>
      <c r="J1394" s="75"/>
      <c r="K1394" s="25"/>
      <c r="L1394" s="25"/>
      <c r="M1394" s="25"/>
      <c r="N1394" s="25">
        <f t="shared" si="496"/>
        <v>0</v>
      </c>
      <c r="O1394" s="25" t="s">
        <v>545</v>
      </c>
    </row>
    <row r="1395" spans="1:15" x14ac:dyDescent="0.25">
      <c r="A1395" s="75">
        <v>46167</v>
      </c>
      <c r="B1395" s="25" t="s">
        <v>335</v>
      </c>
      <c r="C1395" s="25" t="s">
        <v>917</v>
      </c>
      <c r="D1395" s="75">
        <f t="shared" si="521"/>
        <v>46190</v>
      </c>
      <c r="E1395" s="75">
        <f t="shared" si="522"/>
        <v>46174</v>
      </c>
      <c r="F1395" s="75">
        <f t="shared" si="523"/>
        <v>46181</v>
      </c>
      <c r="G1395" s="75">
        <f t="shared" si="524"/>
        <v>46187</v>
      </c>
      <c r="H1395" s="75">
        <f t="shared" si="525"/>
        <v>46175</v>
      </c>
      <c r="I1395" s="75">
        <f t="shared" si="526"/>
        <v>46182</v>
      </c>
      <c r="J1395" s="75"/>
      <c r="K1395" s="25"/>
      <c r="L1395" s="25"/>
      <c r="M1395" s="25"/>
      <c r="N1395" s="25">
        <f t="shared" si="496"/>
        <v>0</v>
      </c>
      <c r="O1395" s="25" t="s">
        <v>545</v>
      </c>
    </row>
    <row r="1396" spans="1:15" x14ac:dyDescent="0.25">
      <c r="A1396" s="75">
        <v>46167</v>
      </c>
      <c r="B1396" s="25" t="s">
        <v>336</v>
      </c>
      <c r="C1396" s="25" t="s">
        <v>918</v>
      </c>
      <c r="D1396" s="75">
        <f t="shared" si="521"/>
        <v>46190</v>
      </c>
      <c r="E1396" s="75">
        <f t="shared" si="522"/>
        <v>46174</v>
      </c>
      <c r="F1396" s="75">
        <f t="shared" si="523"/>
        <v>46181</v>
      </c>
      <c r="G1396" s="75">
        <f t="shared" si="524"/>
        <v>46187</v>
      </c>
      <c r="H1396" s="75">
        <f t="shared" si="525"/>
        <v>46175</v>
      </c>
      <c r="I1396" s="75">
        <f t="shared" si="526"/>
        <v>46182</v>
      </c>
      <c r="J1396" s="75"/>
      <c r="K1396" s="25"/>
      <c r="L1396" s="25"/>
      <c r="M1396" s="25"/>
      <c r="N1396" s="25">
        <f t="shared" si="496"/>
        <v>0</v>
      </c>
      <c r="O1396" s="25" t="s">
        <v>545</v>
      </c>
    </row>
    <row r="1397" spans="1:15" x14ac:dyDescent="0.25">
      <c r="A1397" s="75">
        <v>46167</v>
      </c>
      <c r="B1397" s="25" t="s">
        <v>337</v>
      </c>
      <c r="C1397" s="25" t="s">
        <v>919</v>
      </c>
      <c r="D1397" s="75">
        <f t="shared" si="521"/>
        <v>46190</v>
      </c>
      <c r="E1397" s="75">
        <f t="shared" si="522"/>
        <v>46174</v>
      </c>
      <c r="F1397" s="75">
        <f t="shared" si="523"/>
        <v>46181</v>
      </c>
      <c r="G1397" s="75">
        <f t="shared" si="524"/>
        <v>46187</v>
      </c>
      <c r="H1397" s="75">
        <f t="shared" si="525"/>
        <v>46175</v>
      </c>
      <c r="I1397" s="75">
        <f t="shared" si="526"/>
        <v>46182</v>
      </c>
      <c r="J1397" s="75"/>
      <c r="K1397" s="25"/>
      <c r="L1397" s="25"/>
      <c r="M1397" s="25"/>
      <c r="N1397" s="25">
        <f t="shared" si="496"/>
        <v>0</v>
      </c>
      <c r="O1397" s="25" t="s">
        <v>545</v>
      </c>
    </row>
    <row r="1398" spans="1:15" x14ac:dyDescent="0.25">
      <c r="A1398" s="75">
        <v>46169</v>
      </c>
      <c r="B1398" s="25" t="s">
        <v>318</v>
      </c>
      <c r="C1398" s="25" t="s">
        <v>920</v>
      </c>
      <c r="D1398" s="75">
        <f t="shared" ref="D1398:D1404" si="527">A1398+23</f>
        <v>46192</v>
      </c>
      <c r="E1398" s="75">
        <f t="shared" ref="E1398:E1404" si="528">A1398+7</f>
        <v>46176</v>
      </c>
      <c r="F1398" s="75">
        <f t="shared" ref="F1398:F1404" si="529">A1398+14</f>
        <v>46183</v>
      </c>
      <c r="G1398" s="75">
        <f t="shared" ref="G1398:G1404" si="530">A1398+20</f>
        <v>46189</v>
      </c>
      <c r="H1398" s="75">
        <f t="shared" ref="H1398:H1404" si="531">A1398+8</f>
        <v>46177</v>
      </c>
      <c r="I1398" s="75">
        <f t="shared" ref="I1398:I1404" si="532">A1398+15</f>
        <v>46184</v>
      </c>
      <c r="J1398" s="75"/>
      <c r="K1398" s="25"/>
      <c r="L1398" s="25"/>
      <c r="M1398" s="25"/>
      <c r="N1398" s="25">
        <f t="shared" si="496"/>
        <v>0</v>
      </c>
      <c r="O1398" s="25" t="s">
        <v>545</v>
      </c>
    </row>
    <row r="1399" spans="1:15" x14ac:dyDescent="0.25">
      <c r="A1399" s="75">
        <v>46169</v>
      </c>
      <c r="B1399" s="25" t="s">
        <v>319</v>
      </c>
      <c r="C1399" s="25" t="s">
        <v>921</v>
      </c>
      <c r="D1399" s="75">
        <f t="shared" si="527"/>
        <v>46192</v>
      </c>
      <c r="E1399" s="75">
        <f t="shared" si="528"/>
        <v>46176</v>
      </c>
      <c r="F1399" s="75">
        <f t="shared" si="529"/>
        <v>46183</v>
      </c>
      <c r="G1399" s="75">
        <f t="shared" si="530"/>
        <v>46189</v>
      </c>
      <c r="H1399" s="75">
        <f t="shared" si="531"/>
        <v>46177</v>
      </c>
      <c r="I1399" s="75">
        <f t="shared" si="532"/>
        <v>46184</v>
      </c>
      <c r="J1399" s="75"/>
      <c r="K1399" s="25"/>
      <c r="L1399" s="25"/>
      <c r="M1399" s="25"/>
      <c r="N1399" s="25">
        <f t="shared" si="496"/>
        <v>0</v>
      </c>
      <c r="O1399" s="25" t="s">
        <v>545</v>
      </c>
    </row>
    <row r="1400" spans="1:15" x14ac:dyDescent="0.25">
      <c r="A1400" s="75">
        <v>46169</v>
      </c>
      <c r="B1400" s="25" t="s">
        <v>320</v>
      </c>
      <c r="C1400" s="25" t="s">
        <v>922</v>
      </c>
      <c r="D1400" s="75">
        <f t="shared" si="527"/>
        <v>46192</v>
      </c>
      <c r="E1400" s="75">
        <f t="shared" si="528"/>
        <v>46176</v>
      </c>
      <c r="F1400" s="75">
        <f t="shared" si="529"/>
        <v>46183</v>
      </c>
      <c r="G1400" s="75">
        <f t="shared" si="530"/>
        <v>46189</v>
      </c>
      <c r="H1400" s="75">
        <f t="shared" si="531"/>
        <v>46177</v>
      </c>
      <c r="I1400" s="75">
        <f t="shared" si="532"/>
        <v>46184</v>
      </c>
      <c r="J1400" s="75"/>
      <c r="K1400" s="25"/>
      <c r="L1400" s="25"/>
      <c r="M1400" s="25"/>
      <c r="N1400" s="25">
        <f t="shared" si="496"/>
        <v>0</v>
      </c>
      <c r="O1400" s="25" t="s">
        <v>545</v>
      </c>
    </row>
    <row r="1401" spans="1:15" x14ac:dyDescent="0.25">
      <c r="A1401" s="75">
        <v>46169</v>
      </c>
      <c r="B1401" s="25" t="s">
        <v>321</v>
      </c>
      <c r="C1401" s="25" t="s">
        <v>923</v>
      </c>
      <c r="D1401" s="75">
        <f t="shared" si="527"/>
        <v>46192</v>
      </c>
      <c r="E1401" s="75">
        <f t="shared" si="528"/>
        <v>46176</v>
      </c>
      <c r="F1401" s="75">
        <f t="shared" si="529"/>
        <v>46183</v>
      </c>
      <c r="G1401" s="75">
        <f t="shared" si="530"/>
        <v>46189</v>
      </c>
      <c r="H1401" s="75">
        <f t="shared" si="531"/>
        <v>46177</v>
      </c>
      <c r="I1401" s="75">
        <f t="shared" si="532"/>
        <v>46184</v>
      </c>
      <c r="J1401" s="75"/>
      <c r="K1401" s="25"/>
      <c r="L1401" s="25"/>
      <c r="M1401" s="25"/>
      <c r="N1401" s="25">
        <f t="shared" si="496"/>
        <v>0</v>
      </c>
      <c r="O1401" s="25" t="s">
        <v>545</v>
      </c>
    </row>
    <row r="1402" spans="1:15" x14ac:dyDescent="0.25">
      <c r="A1402" s="75">
        <v>46169</v>
      </c>
      <c r="B1402" s="25" t="s">
        <v>322</v>
      </c>
      <c r="C1402" s="25" t="s">
        <v>924</v>
      </c>
      <c r="D1402" s="75">
        <f t="shared" si="527"/>
        <v>46192</v>
      </c>
      <c r="E1402" s="75">
        <f t="shared" si="528"/>
        <v>46176</v>
      </c>
      <c r="F1402" s="75">
        <f t="shared" si="529"/>
        <v>46183</v>
      </c>
      <c r="G1402" s="75">
        <f t="shared" si="530"/>
        <v>46189</v>
      </c>
      <c r="H1402" s="75">
        <f t="shared" si="531"/>
        <v>46177</v>
      </c>
      <c r="I1402" s="75">
        <f t="shared" si="532"/>
        <v>46184</v>
      </c>
      <c r="J1402" s="75"/>
      <c r="K1402" s="25"/>
      <c r="L1402" s="25"/>
      <c r="M1402" s="25"/>
      <c r="N1402" s="25">
        <f t="shared" si="496"/>
        <v>0</v>
      </c>
      <c r="O1402" s="25" t="s">
        <v>545</v>
      </c>
    </row>
    <row r="1403" spans="1:15" x14ac:dyDescent="0.25">
      <c r="A1403" s="75">
        <v>46169</v>
      </c>
      <c r="B1403" s="25" t="s">
        <v>323</v>
      </c>
      <c r="C1403" s="25" t="s">
        <v>925</v>
      </c>
      <c r="D1403" s="75">
        <f t="shared" si="527"/>
        <v>46192</v>
      </c>
      <c r="E1403" s="75">
        <f t="shared" si="528"/>
        <v>46176</v>
      </c>
      <c r="F1403" s="75">
        <f t="shared" si="529"/>
        <v>46183</v>
      </c>
      <c r="G1403" s="75">
        <f t="shared" si="530"/>
        <v>46189</v>
      </c>
      <c r="H1403" s="75">
        <f t="shared" si="531"/>
        <v>46177</v>
      </c>
      <c r="I1403" s="75">
        <f t="shared" si="532"/>
        <v>46184</v>
      </c>
      <c r="J1403" s="75"/>
      <c r="K1403" s="25"/>
      <c r="L1403" s="25"/>
      <c r="M1403" s="25"/>
      <c r="N1403" s="25">
        <f t="shared" si="496"/>
        <v>0</v>
      </c>
      <c r="O1403" s="25" t="s">
        <v>545</v>
      </c>
    </row>
    <row r="1404" spans="1:15" x14ac:dyDescent="0.25">
      <c r="A1404" s="75">
        <v>46169</v>
      </c>
      <c r="B1404" s="25" t="s">
        <v>324</v>
      </c>
      <c r="C1404" s="25" t="s">
        <v>926</v>
      </c>
      <c r="D1404" s="75">
        <f t="shared" si="527"/>
        <v>46192</v>
      </c>
      <c r="E1404" s="75">
        <f t="shared" si="528"/>
        <v>46176</v>
      </c>
      <c r="F1404" s="75">
        <f t="shared" si="529"/>
        <v>46183</v>
      </c>
      <c r="G1404" s="75">
        <f t="shared" si="530"/>
        <v>46189</v>
      </c>
      <c r="H1404" s="75">
        <f t="shared" si="531"/>
        <v>46177</v>
      </c>
      <c r="I1404" s="75">
        <f t="shared" si="532"/>
        <v>46184</v>
      </c>
      <c r="J1404" s="75"/>
      <c r="K1404" s="25"/>
      <c r="L1404" s="25"/>
      <c r="M1404" s="25"/>
      <c r="N1404" s="25">
        <f t="shared" si="496"/>
        <v>0</v>
      </c>
      <c r="O1404" s="25" t="s">
        <v>545</v>
      </c>
    </row>
    <row r="1405" spans="1:15" x14ac:dyDescent="0.25">
      <c r="A1405" s="75">
        <v>46170</v>
      </c>
      <c r="B1405" s="25" t="s">
        <v>338</v>
      </c>
      <c r="C1405" s="25" t="s">
        <v>927</v>
      </c>
      <c r="D1405" s="75">
        <f t="shared" ref="D1405:D1411" si="533">A1405+23</f>
        <v>46193</v>
      </c>
      <c r="E1405" s="75">
        <f t="shared" ref="E1405:E1411" si="534">A1405+7</f>
        <v>46177</v>
      </c>
      <c r="F1405" s="75">
        <f t="shared" ref="F1405:F1411" si="535">A1405+14</f>
        <v>46184</v>
      </c>
      <c r="G1405" s="75">
        <f t="shared" ref="G1405:G1411" si="536">A1405+20</f>
        <v>46190</v>
      </c>
      <c r="H1405" s="75">
        <f t="shared" ref="H1405:H1411" si="537">A1405+8</f>
        <v>46178</v>
      </c>
      <c r="I1405" s="75">
        <f t="shared" ref="I1405:I1411" si="538">A1405+15</f>
        <v>46185</v>
      </c>
      <c r="J1405" s="75"/>
      <c r="K1405" s="25"/>
      <c r="L1405" s="25"/>
      <c r="M1405" s="25"/>
      <c r="N1405" s="25">
        <f t="shared" si="496"/>
        <v>0</v>
      </c>
      <c r="O1405" s="25" t="s">
        <v>545</v>
      </c>
    </row>
    <row r="1406" spans="1:15" x14ac:dyDescent="0.25">
      <c r="A1406" s="75">
        <v>46170</v>
      </c>
      <c r="B1406" s="25" t="s">
        <v>339</v>
      </c>
      <c r="C1406" s="25" t="s">
        <v>928</v>
      </c>
      <c r="D1406" s="75">
        <f t="shared" si="533"/>
        <v>46193</v>
      </c>
      <c r="E1406" s="75">
        <f t="shared" si="534"/>
        <v>46177</v>
      </c>
      <c r="F1406" s="75">
        <f t="shared" si="535"/>
        <v>46184</v>
      </c>
      <c r="G1406" s="75">
        <f t="shared" si="536"/>
        <v>46190</v>
      </c>
      <c r="H1406" s="75">
        <f t="shared" si="537"/>
        <v>46178</v>
      </c>
      <c r="I1406" s="75">
        <f t="shared" si="538"/>
        <v>46185</v>
      </c>
      <c r="J1406" s="75"/>
      <c r="K1406" s="25"/>
      <c r="L1406" s="25"/>
      <c r="M1406" s="25"/>
      <c r="N1406" s="25">
        <f t="shared" si="496"/>
        <v>0</v>
      </c>
      <c r="O1406" s="25" t="s">
        <v>545</v>
      </c>
    </row>
    <row r="1407" spans="1:15" x14ac:dyDescent="0.25">
      <c r="A1407" s="75">
        <v>46170</v>
      </c>
      <c r="B1407" s="25" t="s">
        <v>340</v>
      </c>
      <c r="C1407" s="25" t="s">
        <v>929</v>
      </c>
      <c r="D1407" s="75">
        <f t="shared" si="533"/>
        <v>46193</v>
      </c>
      <c r="E1407" s="75">
        <f t="shared" si="534"/>
        <v>46177</v>
      </c>
      <c r="F1407" s="75">
        <f t="shared" si="535"/>
        <v>46184</v>
      </c>
      <c r="G1407" s="75">
        <f t="shared" si="536"/>
        <v>46190</v>
      </c>
      <c r="H1407" s="75">
        <f t="shared" si="537"/>
        <v>46178</v>
      </c>
      <c r="I1407" s="75">
        <f t="shared" si="538"/>
        <v>46185</v>
      </c>
      <c r="J1407" s="75"/>
      <c r="K1407" s="25"/>
      <c r="L1407" s="25"/>
      <c r="M1407" s="25"/>
      <c r="N1407" s="25">
        <f t="shared" si="496"/>
        <v>0</v>
      </c>
      <c r="O1407" s="25" t="s">
        <v>545</v>
      </c>
    </row>
    <row r="1408" spans="1:15" x14ac:dyDescent="0.25">
      <c r="A1408" s="75">
        <v>46170</v>
      </c>
      <c r="B1408" s="25" t="s">
        <v>341</v>
      </c>
      <c r="C1408" s="25" t="s">
        <v>930</v>
      </c>
      <c r="D1408" s="75">
        <f t="shared" si="533"/>
        <v>46193</v>
      </c>
      <c r="E1408" s="75">
        <f t="shared" si="534"/>
        <v>46177</v>
      </c>
      <c r="F1408" s="75">
        <f t="shared" si="535"/>
        <v>46184</v>
      </c>
      <c r="G1408" s="75">
        <f t="shared" si="536"/>
        <v>46190</v>
      </c>
      <c r="H1408" s="75">
        <f t="shared" si="537"/>
        <v>46178</v>
      </c>
      <c r="I1408" s="75">
        <f t="shared" si="538"/>
        <v>46185</v>
      </c>
      <c r="J1408" s="75"/>
      <c r="K1408" s="25"/>
      <c r="L1408" s="25"/>
      <c r="M1408" s="25"/>
      <c r="N1408" s="25">
        <f t="shared" si="496"/>
        <v>0</v>
      </c>
      <c r="O1408" s="25" t="s">
        <v>545</v>
      </c>
    </row>
    <row r="1409" spans="1:15" x14ac:dyDescent="0.25">
      <c r="A1409" s="75">
        <v>46170</v>
      </c>
      <c r="B1409" s="25" t="s">
        <v>342</v>
      </c>
      <c r="C1409" s="25" t="s">
        <v>931</v>
      </c>
      <c r="D1409" s="75">
        <f t="shared" si="533"/>
        <v>46193</v>
      </c>
      <c r="E1409" s="75">
        <f t="shared" si="534"/>
        <v>46177</v>
      </c>
      <c r="F1409" s="75">
        <f t="shared" si="535"/>
        <v>46184</v>
      </c>
      <c r="G1409" s="75">
        <f t="shared" si="536"/>
        <v>46190</v>
      </c>
      <c r="H1409" s="75">
        <f t="shared" si="537"/>
        <v>46178</v>
      </c>
      <c r="I1409" s="75">
        <f t="shared" si="538"/>
        <v>46185</v>
      </c>
      <c r="J1409" s="75"/>
      <c r="K1409" s="25"/>
      <c r="L1409" s="25"/>
      <c r="M1409" s="25"/>
      <c r="N1409" s="25">
        <f t="shared" si="496"/>
        <v>0</v>
      </c>
      <c r="O1409" s="25" t="s">
        <v>545</v>
      </c>
    </row>
    <row r="1410" spans="1:15" x14ac:dyDescent="0.25">
      <c r="A1410" s="75">
        <v>46170</v>
      </c>
      <c r="B1410" s="25" t="s">
        <v>343</v>
      </c>
      <c r="C1410" s="25" t="s">
        <v>932</v>
      </c>
      <c r="D1410" s="75">
        <f t="shared" si="533"/>
        <v>46193</v>
      </c>
      <c r="E1410" s="75">
        <f t="shared" si="534"/>
        <v>46177</v>
      </c>
      <c r="F1410" s="75">
        <f t="shared" si="535"/>
        <v>46184</v>
      </c>
      <c r="G1410" s="75">
        <f t="shared" si="536"/>
        <v>46190</v>
      </c>
      <c r="H1410" s="75">
        <f t="shared" si="537"/>
        <v>46178</v>
      </c>
      <c r="I1410" s="75">
        <f t="shared" si="538"/>
        <v>46185</v>
      </c>
      <c r="J1410" s="75"/>
      <c r="K1410" s="25"/>
      <c r="L1410" s="25"/>
      <c r="M1410" s="25"/>
      <c r="N1410" s="25">
        <f t="shared" si="496"/>
        <v>0</v>
      </c>
      <c r="O1410" s="25" t="s">
        <v>545</v>
      </c>
    </row>
    <row r="1411" spans="1:15" x14ac:dyDescent="0.25">
      <c r="A1411" s="75">
        <v>46170</v>
      </c>
      <c r="B1411" s="25" t="s">
        <v>344</v>
      </c>
      <c r="C1411" s="25" t="s">
        <v>933</v>
      </c>
      <c r="D1411" s="75">
        <f t="shared" si="533"/>
        <v>46193</v>
      </c>
      <c r="E1411" s="75">
        <f t="shared" si="534"/>
        <v>46177</v>
      </c>
      <c r="F1411" s="75">
        <f t="shared" si="535"/>
        <v>46184</v>
      </c>
      <c r="G1411" s="75">
        <f t="shared" si="536"/>
        <v>46190</v>
      </c>
      <c r="H1411" s="75">
        <f t="shared" si="537"/>
        <v>46178</v>
      </c>
      <c r="I1411" s="75">
        <f t="shared" si="538"/>
        <v>46185</v>
      </c>
      <c r="J1411" s="75"/>
      <c r="K1411" s="25"/>
      <c r="L1411" s="25"/>
      <c r="M1411" s="25"/>
      <c r="N1411" s="25">
        <f t="shared" si="496"/>
        <v>0</v>
      </c>
      <c r="O1411" s="25" t="s">
        <v>545</v>
      </c>
    </row>
    <row r="1412" spans="1:15" x14ac:dyDescent="0.25">
      <c r="A1412" s="75">
        <v>46171</v>
      </c>
      <c r="B1412" s="25" t="s">
        <v>325</v>
      </c>
      <c r="C1412" s="25" t="s">
        <v>934</v>
      </c>
      <c r="D1412" s="75">
        <f t="shared" ref="D1412:D1419" si="539">A1412+23</f>
        <v>46194</v>
      </c>
      <c r="E1412" s="75">
        <f t="shared" ref="E1412:E1419" si="540">A1412+7</f>
        <v>46178</v>
      </c>
      <c r="F1412" s="75">
        <f t="shared" ref="F1412:F1419" si="541">A1412+14</f>
        <v>46185</v>
      </c>
      <c r="G1412" s="75">
        <f t="shared" ref="G1412:G1419" si="542">A1412+20</f>
        <v>46191</v>
      </c>
      <c r="H1412" s="75">
        <f t="shared" ref="H1412:H1419" si="543">A1412+8</f>
        <v>46179</v>
      </c>
      <c r="I1412" s="75">
        <f t="shared" ref="I1412:I1419" si="544">A1412+15</f>
        <v>46186</v>
      </c>
      <c r="J1412" s="75"/>
      <c r="K1412" s="25"/>
      <c r="L1412" s="25"/>
      <c r="M1412" s="25"/>
      <c r="N1412" s="25">
        <f t="shared" si="496"/>
        <v>0</v>
      </c>
      <c r="O1412" s="25" t="s">
        <v>545</v>
      </c>
    </row>
    <row r="1413" spans="1:15" x14ac:dyDescent="0.25">
      <c r="A1413" s="75">
        <v>46171</v>
      </c>
      <c r="B1413" s="25" t="s">
        <v>326</v>
      </c>
      <c r="C1413" s="25" t="s">
        <v>935</v>
      </c>
      <c r="D1413" s="75">
        <f t="shared" si="539"/>
        <v>46194</v>
      </c>
      <c r="E1413" s="75">
        <f t="shared" si="540"/>
        <v>46178</v>
      </c>
      <c r="F1413" s="75">
        <f t="shared" si="541"/>
        <v>46185</v>
      </c>
      <c r="G1413" s="75">
        <f t="shared" si="542"/>
        <v>46191</v>
      </c>
      <c r="H1413" s="75">
        <f t="shared" si="543"/>
        <v>46179</v>
      </c>
      <c r="I1413" s="75">
        <f t="shared" si="544"/>
        <v>46186</v>
      </c>
      <c r="J1413" s="75"/>
      <c r="K1413" s="25"/>
      <c r="L1413" s="25"/>
      <c r="M1413" s="25"/>
      <c r="N1413" s="25">
        <f t="shared" si="496"/>
        <v>0</v>
      </c>
      <c r="O1413" s="25" t="s">
        <v>545</v>
      </c>
    </row>
    <row r="1414" spans="1:15" x14ac:dyDescent="0.25">
      <c r="A1414" s="75">
        <v>46171</v>
      </c>
      <c r="B1414" s="25" t="s">
        <v>327</v>
      </c>
      <c r="C1414" s="25" t="s">
        <v>936</v>
      </c>
      <c r="D1414" s="75">
        <f t="shared" si="539"/>
        <v>46194</v>
      </c>
      <c r="E1414" s="75">
        <f t="shared" si="540"/>
        <v>46178</v>
      </c>
      <c r="F1414" s="75">
        <f t="shared" si="541"/>
        <v>46185</v>
      </c>
      <c r="G1414" s="75">
        <f t="shared" si="542"/>
        <v>46191</v>
      </c>
      <c r="H1414" s="75">
        <f t="shared" si="543"/>
        <v>46179</v>
      </c>
      <c r="I1414" s="75">
        <f t="shared" si="544"/>
        <v>46186</v>
      </c>
      <c r="J1414" s="75"/>
      <c r="K1414" s="25"/>
      <c r="L1414" s="25"/>
      <c r="M1414" s="25"/>
      <c r="N1414" s="25">
        <f t="shared" si="496"/>
        <v>0</v>
      </c>
      <c r="O1414" s="25" t="s">
        <v>545</v>
      </c>
    </row>
    <row r="1415" spans="1:15" x14ac:dyDescent="0.25">
      <c r="A1415" s="75">
        <v>46171</v>
      </c>
      <c r="B1415" s="25" t="s">
        <v>328</v>
      </c>
      <c r="C1415" s="25" t="s">
        <v>937</v>
      </c>
      <c r="D1415" s="75">
        <f t="shared" si="539"/>
        <v>46194</v>
      </c>
      <c r="E1415" s="75">
        <f t="shared" si="540"/>
        <v>46178</v>
      </c>
      <c r="F1415" s="75">
        <f t="shared" si="541"/>
        <v>46185</v>
      </c>
      <c r="G1415" s="75">
        <f t="shared" si="542"/>
        <v>46191</v>
      </c>
      <c r="H1415" s="75">
        <f t="shared" si="543"/>
        <v>46179</v>
      </c>
      <c r="I1415" s="75">
        <f t="shared" si="544"/>
        <v>46186</v>
      </c>
      <c r="J1415" s="75"/>
      <c r="K1415" s="25"/>
      <c r="L1415" s="25"/>
      <c r="M1415" s="25"/>
      <c r="N1415" s="25">
        <f t="shared" si="496"/>
        <v>0</v>
      </c>
      <c r="O1415" s="25" t="s">
        <v>545</v>
      </c>
    </row>
    <row r="1416" spans="1:15" x14ac:dyDescent="0.25">
      <c r="A1416" s="75">
        <v>46171</v>
      </c>
      <c r="B1416" s="25" t="s">
        <v>329</v>
      </c>
      <c r="C1416" s="25" t="s">
        <v>938</v>
      </c>
      <c r="D1416" s="75">
        <f t="shared" si="539"/>
        <v>46194</v>
      </c>
      <c r="E1416" s="75">
        <f t="shared" si="540"/>
        <v>46178</v>
      </c>
      <c r="F1416" s="75">
        <f t="shared" si="541"/>
        <v>46185</v>
      </c>
      <c r="G1416" s="75">
        <f t="shared" si="542"/>
        <v>46191</v>
      </c>
      <c r="H1416" s="75">
        <f t="shared" si="543"/>
        <v>46179</v>
      </c>
      <c r="I1416" s="75">
        <f t="shared" si="544"/>
        <v>46186</v>
      </c>
      <c r="J1416" s="75"/>
      <c r="K1416" s="25"/>
      <c r="L1416" s="25"/>
      <c r="M1416" s="25"/>
      <c r="N1416" s="25">
        <f t="shared" si="496"/>
        <v>0</v>
      </c>
      <c r="O1416" s="25" t="s">
        <v>545</v>
      </c>
    </row>
    <row r="1417" spans="1:15" x14ac:dyDescent="0.25">
      <c r="A1417" s="75">
        <v>46171</v>
      </c>
      <c r="B1417" s="25" t="s">
        <v>330</v>
      </c>
      <c r="C1417" s="25" t="s">
        <v>939</v>
      </c>
      <c r="D1417" s="75">
        <f t="shared" si="539"/>
        <v>46194</v>
      </c>
      <c r="E1417" s="75">
        <f t="shared" si="540"/>
        <v>46178</v>
      </c>
      <c r="F1417" s="75">
        <f t="shared" si="541"/>
        <v>46185</v>
      </c>
      <c r="G1417" s="75">
        <f t="shared" si="542"/>
        <v>46191</v>
      </c>
      <c r="H1417" s="75">
        <f t="shared" si="543"/>
        <v>46179</v>
      </c>
      <c r="I1417" s="75">
        <f t="shared" si="544"/>
        <v>46186</v>
      </c>
      <c r="J1417" s="75"/>
      <c r="K1417" s="25"/>
      <c r="L1417" s="25"/>
      <c r="M1417" s="25"/>
      <c r="N1417" s="25">
        <f t="shared" si="496"/>
        <v>0</v>
      </c>
      <c r="O1417" s="25" t="s">
        <v>545</v>
      </c>
    </row>
    <row r="1418" spans="1:15" x14ac:dyDescent="0.25">
      <c r="A1418" s="75">
        <v>46171</v>
      </c>
      <c r="B1418" s="25" t="s">
        <v>344</v>
      </c>
      <c r="C1418" s="25" t="s">
        <v>940</v>
      </c>
      <c r="D1418" s="75">
        <f t="shared" si="539"/>
        <v>46194</v>
      </c>
      <c r="E1418" s="75">
        <f t="shared" si="540"/>
        <v>46178</v>
      </c>
      <c r="F1418" s="75">
        <f t="shared" si="541"/>
        <v>46185</v>
      </c>
      <c r="G1418" s="75">
        <f t="shared" si="542"/>
        <v>46191</v>
      </c>
      <c r="H1418" s="75">
        <f t="shared" si="543"/>
        <v>46179</v>
      </c>
      <c r="I1418" s="75">
        <f t="shared" si="544"/>
        <v>46186</v>
      </c>
      <c r="J1418" s="75"/>
      <c r="K1418" s="25"/>
      <c r="L1418" s="25"/>
      <c r="M1418" s="25"/>
      <c r="N1418" s="25">
        <f t="shared" si="496"/>
        <v>0</v>
      </c>
      <c r="O1418" s="25" t="s">
        <v>545</v>
      </c>
    </row>
    <row r="1419" spans="1:15" x14ac:dyDescent="0.25">
      <c r="A1419" s="75">
        <v>46171</v>
      </c>
      <c r="B1419" s="25" t="s">
        <v>345</v>
      </c>
      <c r="C1419" s="25" t="s">
        <v>941</v>
      </c>
      <c r="D1419" s="75">
        <f t="shared" si="539"/>
        <v>46194</v>
      </c>
      <c r="E1419" s="75">
        <f t="shared" si="540"/>
        <v>46178</v>
      </c>
      <c r="F1419" s="75">
        <f t="shared" si="541"/>
        <v>46185</v>
      </c>
      <c r="G1419" s="75">
        <f t="shared" si="542"/>
        <v>46191</v>
      </c>
      <c r="H1419" s="75">
        <f t="shared" si="543"/>
        <v>46179</v>
      </c>
      <c r="I1419" s="75">
        <f t="shared" si="544"/>
        <v>46186</v>
      </c>
      <c r="J1419" s="75"/>
      <c r="K1419" s="25"/>
      <c r="L1419" s="25"/>
      <c r="M1419" s="25"/>
      <c r="N1419" s="25">
        <f t="shared" si="496"/>
        <v>0</v>
      </c>
      <c r="O1419" s="25" t="s">
        <v>545</v>
      </c>
    </row>
    <row r="1420" spans="1:15" x14ac:dyDescent="0.25">
      <c r="A1420" s="75">
        <v>46172</v>
      </c>
      <c r="B1420" s="25" t="s">
        <v>346</v>
      </c>
      <c r="C1420" s="25" t="s">
        <v>942</v>
      </c>
      <c r="D1420" s="75">
        <f t="shared" ref="D1420:D1427" si="545">A1420+23</f>
        <v>46195</v>
      </c>
      <c r="E1420" s="75">
        <f t="shared" ref="E1420:E1427" si="546">A1420+7</f>
        <v>46179</v>
      </c>
      <c r="F1420" s="75">
        <f t="shared" ref="F1420:F1427" si="547">A1420+14</f>
        <v>46186</v>
      </c>
      <c r="G1420" s="75">
        <f t="shared" ref="G1420:G1427" si="548">A1420+20</f>
        <v>46192</v>
      </c>
      <c r="H1420" s="75">
        <f t="shared" ref="H1420:H1427" si="549">A1420+8</f>
        <v>46180</v>
      </c>
      <c r="I1420" s="75">
        <f t="shared" ref="I1420:I1427" si="550">A1420+15</f>
        <v>46187</v>
      </c>
      <c r="J1420" s="75"/>
      <c r="K1420" s="25"/>
      <c r="L1420" s="25"/>
      <c r="M1420" s="25"/>
      <c r="N1420" s="25">
        <f t="shared" si="496"/>
        <v>0</v>
      </c>
      <c r="O1420" s="25" t="s">
        <v>545</v>
      </c>
    </row>
    <row r="1421" spans="1:15" x14ac:dyDescent="0.25">
      <c r="A1421" s="75">
        <v>46172</v>
      </c>
      <c r="B1421" s="25" t="s">
        <v>347</v>
      </c>
      <c r="C1421" s="25" t="s">
        <v>943</v>
      </c>
      <c r="D1421" s="75">
        <f t="shared" si="545"/>
        <v>46195</v>
      </c>
      <c r="E1421" s="75">
        <f t="shared" si="546"/>
        <v>46179</v>
      </c>
      <c r="F1421" s="75">
        <f t="shared" si="547"/>
        <v>46186</v>
      </c>
      <c r="G1421" s="75">
        <f t="shared" si="548"/>
        <v>46192</v>
      </c>
      <c r="H1421" s="75">
        <f t="shared" si="549"/>
        <v>46180</v>
      </c>
      <c r="I1421" s="75">
        <f t="shared" si="550"/>
        <v>46187</v>
      </c>
      <c r="J1421" s="75"/>
      <c r="K1421" s="25"/>
      <c r="L1421" s="25"/>
      <c r="M1421" s="25"/>
      <c r="N1421" s="25">
        <f t="shared" ref="N1421:N1434" si="551">L1421-M1421</f>
        <v>0</v>
      </c>
      <c r="O1421" s="25" t="s">
        <v>545</v>
      </c>
    </row>
    <row r="1422" spans="1:15" x14ac:dyDescent="0.25">
      <c r="A1422" s="75">
        <v>46172</v>
      </c>
      <c r="B1422" s="25" t="s">
        <v>348</v>
      </c>
      <c r="C1422" s="25" t="s">
        <v>944</v>
      </c>
      <c r="D1422" s="75">
        <f t="shared" si="545"/>
        <v>46195</v>
      </c>
      <c r="E1422" s="75">
        <f t="shared" si="546"/>
        <v>46179</v>
      </c>
      <c r="F1422" s="75">
        <f t="shared" si="547"/>
        <v>46186</v>
      </c>
      <c r="G1422" s="75">
        <f t="shared" si="548"/>
        <v>46192</v>
      </c>
      <c r="H1422" s="75">
        <f t="shared" si="549"/>
        <v>46180</v>
      </c>
      <c r="I1422" s="75">
        <f t="shared" si="550"/>
        <v>46187</v>
      </c>
      <c r="J1422" s="75"/>
      <c r="K1422" s="25"/>
      <c r="L1422" s="25"/>
      <c r="M1422" s="25"/>
      <c r="N1422" s="25">
        <f t="shared" si="551"/>
        <v>0</v>
      </c>
      <c r="O1422" s="25" t="s">
        <v>545</v>
      </c>
    </row>
    <row r="1423" spans="1:15" x14ac:dyDescent="0.25">
      <c r="A1423" s="75">
        <v>46172</v>
      </c>
      <c r="B1423" s="25" t="s">
        <v>349</v>
      </c>
      <c r="C1423" s="25" t="s">
        <v>945</v>
      </c>
      <c r="D1423" s="75">
        <f t="shared" si="545"/>
        <v>46195</v>
      </c>
      <c r="E1423" s="75">
        <f t="shared" si="546"/>
        <v>46179</v>
      </c>
      <c r="F1423" s="75">
        <f t="shared" si="547"/>
        <v>46186</v>
      </c>
      <c r="G1423" s="75">
        <f t="shared" si="548"/>
        <v>46192</v>
      </c>
      <c r="H1423" s="75">
        <f t="shared" si="549"/>
        <v>46180</v>
      </c>
      <c r="I1423" s="75">
        <f t="shared" si="550"/>
        <v>46187</v>
      </c>
      <c r="J1423" s="75"/>
      <c r="K1423" s="25"/>
      <c r="L1423" s="25"/>
      <c r="M1423" s="25"/>
      <c r="N1423" s="25">
        <f t="shared" si="551"/>
        <v>0</v>
      </c>
      <c r="O1423" s="25" t="s">
        <v>545</v>
      </c>
    </row>
    <row r="1424" spans="1:15" x14ac:dyDescent="0.25">
      <c r="A1424" s="75">
        <v>46172</v>
      </c>
      <c r="B1424" s="25" t="s">
        <v>350</v>
      </c>
      <c r="C1424" s="25" t="s">
        <v>946</v>
      </c>
      <c r="D1424" s="75">
        <f t="shared" si="545"/>
        <v>46195</v>
      </c>
      <c r="E1424" s="75">
        <f t="shared" si="546"/>
        <v>46179</v>
      </c>
      <c r="F1424" s="75">
        <f t="shared" si="547"/>
        <v>46186</v>
      </c>
      <c r="G1424" s="75">
        <f t="shared" si="548"/>
        <v>46192</v>
      </c>
      <c r="H1424" s="75">
        <f t="shared" si="549"/>
        <v>46180</v>
      </c>
      <c r="I1424" s="75">
        <f t="shared" si="550"/>
        <v>46187</v>
      </c>
      <c r="J1424" s="75"/>
      <c r="K1424" s="25"/>
      <c r="L1424" s="25"/>
      <c r="M1424" s="25"/>
      <c r="N1424" s="25">
        <f t="shared" si="551"/>
        <v>0</v>
      </c>
      <c r="O1424" s="25" t="s">
        <v>545</v>
      </c>
    </row>
    <row r="1425" spans="1:15" x14ac:dyDescent="0.25">
      <c r="A1425" s="75">
        <v>46172</v>
      </c>
      <c r="B1425" s="25" t="s">
        <v>361</v>
      </c>
      <c r="C1425" s="25" t="s">
        <v>947</v>
      </c>
      <c r="D1425" s="75">
        <f t="shared" si="545"/>
        <v>46195</v>
      </c>
      <c r="E1425" s="75">
        <f t="shared" si="546"/>
        <v>46179</v>
      </c>
      <c r="F1425" s="75">
        <f t="shared" si="547"/>
        <v>46186</v>
      </c>
      <c r="G1425" s="75">
        <f t="shared" si="548"/>
        <v>46192</v>
      </c>
      <c r="H1425" s="75">
        <f t="shared" si="549"/>
        <v>46180</v>
      </c>
      <c r="I1425" s="75">
        <f t="shared" si="550"/>
        <v>46187</v>
      </c>
      <c r="J1425" s="75"/>
      <c r="K1425" s="25"/>
      <c r="L1425" s="25"/>
      <c r="M1425" s="25"/>
      <c r="N1425" s="25">
        <f t="shared" si="551"/>
        <v>0</v>
      </c>
      <c r="O1425" s="25" t="s">
        <v>545</v>
      </c>
    </row>
    <row r="1426" spans="1:15" x14ac:dyDescent="0.25">
      <c r="A1426" s="75">
        <v>46172</v>
      </c>
      <c r="B1426" s="25" t="s">
        <v>362</v>
      </c>
      <c r="C1426" s="25" t="s">
        <v>948</v>
      </c>
      <c r="D1426" s="75">
        <f t="shared" si="545"/>
        <v>46195</v>
      </c>
      <c r="E1426" s="75">
        <f t="shared" si="546"/>
        <v>46179</v>
      </c>
      <c r="F1426" s="75">
        <f t="shared" si="547"/>
        <v>46186</v>
      </c>
      <c r="G1426" s="75">
        <f t="shared" si="548"/>
        <v>46192</v>
      </c>
      <c r="H1426" s="75">
        <f t="shared" si="549"/>
        <v>46180</v>
      </c>
      <c r="I1426" s="75">
        <f t="shared" si="550"/>
        <v>46187</v>
      </c>
      <c r="J1426" s="75"/>
      <c r="K1426" s="25"/>
      <c r="L1426" s="25"/>
      <c r="M1426" s="25"/>
      <c r="N1426" s="25">
        <f t="shared" si="551"/>
        <v>0</v>
      </c>
      <c r="O1426" s="25" t="s">
        <v>545</v>
      </c>
    </row>
    <row r="1427" spans="1:15" x14ac:dyDescent="0.25">
      <c r="A1427" s="75">
        <v>46172</v>
      </c>
      <c r="B1427" s="25" t="s">
        <v>363</v>
      </c>
      <c r="C1427" s="25" t="s">
        <v>949</v>
      </c>
      <c r="D1427" s="75">
        <f t="shared" si="545"/>
        <v>46195</v>
      </c>
      <c r="E1427" s="75">
        <f t="shared" si="546"/>
        <v>46179</v>
      </c>
      <c r="F1427" s="75">
        <f t="shared" si="547"/>
        <v>46186</v>
      </c>
      <c r="G1427" s="75">
        <f t="shared" si="548"/>
        <v>46192</v>
      </c>
      <c r="H1427" s="75">
        <f t="shared" si="549"/>
        <v>46180</v>
      </c>
      <c r="I1427" s="75">
        <f t="shared" si="550"/>
        <v>46187</v>
      </c>
      <c r="J1427" s="75"/>
      <c r="K1427" s="25"/>
      <c r="L1427" s="25"/>
      <c r="M1427" s="25"/>
      <c r="N1427" s="25">
        <f t="shared" si="551"/>
        <v>0</v>
      </c>
      <c r="O1427" s="25" t="s">
        <v>545</v>
      </c>
    </row>
    <row r="1428" spans="1:15" x14ac:dyDescent="0.25">
      <c r="A1428" s="75">
        <v>46173</v>
      </c>
      <c r="B1428" s="25" t="s">
        <v>354</v>
      </c>
      <c r="C1428" s="25" t="s">
        <v>950</v>
      </c>
      <c r="D1428" s="75">
        <f t="shared" ref="D1428:D1434" si="552">A1428+23</f>
        <v>46196</v>
      </c>
      <c r="E1428" s="75">
        <f t="shared" ref="E1428:E1434" si="553">A1428+7</f>
        <v>46180</v>
      </c>
      <c r="F1428" s="75">
        <f t="shared" ref="F1428:F1434" si="554">A1428+14</f>
        <v>46187</v>
      </c>
      <c r="G1428" s="75">
        <f t="shared" ref="G1428:G1434" si="555">A1428+20</f>
        <v>46193</v>
      </c>
      <c r="H1428" s="75">
        <f t="shared" ref="H1428:H1434" si="556">A1428+8</f>
        <v>46181</v>
      </c>
      <c r="I1428" s="75">
        <f t="shared" ref="I1428:I1434" si="557">A1428+15</f>
        <v>46188</v>
      </c>
      <c r="J1428" s="75"/>
      <c r="K1428" s="25"/>
      <c r="L1428" s="25"/>
      <c r="M1428" s="25"/>
      <c r="N1428" s="25">
        <f t="shared" si="551"/>
        <v>0</v>
      </c>
      <c r="O1428" s="25" t="s">
        <v>545</v>
      </c>
    </row>
    <row r="1429" spans="1:15" x14ac:dyDescent="0.25">
      <c r="A1429" s="75">
        <v>46173</v>
      </c>
      <c r="B1429" s="25" t="s">
        <v>355</v>
      </c>
      <c r="C1429" s="25" t="s">
        <v>951</v>
      </c>
      <c r="D1429" s="75">
        <f t="shared" si="552"/>
        <v>46196</v>
      </c>
      <c r="E1429" s="75">
        <f t="shared" si="553"/>
        <v>46180</v>
      </c>
      <c r="F1429" s="75">
        <f t="shared" si="554"/>
        <v>46187</v>
      </c>
      <c r="G1429" s="75">
        <f t="shared" si="555"/>
        <v>46193</v>
      </c>
      <c r="H1429" s="75">
        <f t="shared" si="556"/>
        <v>46181</v>
      </c>
      <c r="I1429" s="75">
        <f t="shared" si="557"/>
        <v>46188</v>
      </c>
      <c r="J1429" s="75"/>
      <c r="K1429" s="25"/>
      <c r="L1429" s="25"/>
      <c r="M1429" s="25"/>
      <c r="N1429" s="25">
        <f t="shared" si="551"/>
        <v>0</v>
      </c>
      <c r="O1429" s="25" t="s">
        <v>545</v>
      </c>
    </row>
    <row r="1430" spans="1:15" x14ac:dyDescent="0.25">
      <c r="A1430" s="75">
        <v>46173</v>
      </c>
      <c r="B1430" s="25" t="s">
        <v>356</v>
      </c>
      <c r="C1430" s="25" t="s">
        <v>952</v>
      </c>
      <c r="D1430" s="75">
        <f t="shared" si="552"/>
        <v>46196</v>
      </c>
      <c r="E1430" s="75">
        <f t="shared" si="553"/>
        <v>46180</v>
      </c>
      <c r="F1430" s="75">
        <f t="shared" si="554"/>
        <v>46187</v>
      </c>
      <c r="G1430" s="75">
        <f t="shared" si="555"/>
        <v>46193</v>
      </c>
      <c r="H1430" s="75">
        <f t="shared" si="556"/>
        <v>46181</v>
      </c>
      <c r="I1430" s="75">
        <f t="shared" si="557"/>
        <v>46188</v>
      </c>
      <c r="J1430" s="75"/>
      <c r="K1430" s="25"/>
      <c r="L1430" s="25"/>
      <c r="M1430" s="25"/>
      <c r="N1430" s="25">
        <f t="shared" si="551"/>
        <v>0</v>
      </c>
      <c r="O1430" s="25" t="s">
        <v>545</v>
      </c>
    </row>
    <row r="1431" spans="1:15" x14ac:dyDescent="0.25">
      <c r="A1431" s="75">
        <v>46173</v>
      </c>
      <c r="B1431" s="25" t="s">
        <v>357</v>
      </c>
      <c r="C1431" s="25" t="s">
        <v>953</v>
      </c>
      <c r="D1431" s="75">
        <f t="shared" si="552"/>
        <v>46196</v>
      </c>
      <c r="E1431" s="75">
        <f t="shared" si="553"/>
        <v>46180</v>
      </c>
      <c r="F1431" s="75">
        <f t="shared" si="554"/>
        <v>46187</v>
      </c>
      <c r="G1431" s="75">
        <f t="shared" si="555"/>
        <v>46193</v>
      </c>
      <c r="H1431" s="75">
        <f t="shared" si="556"/>
        <v>46181</v>
      </c>
      <c r="I1431" s="75">
        <f t="shared" si="557"/>
        <v>46188</v>
      </c>
      <c r="J1431" s="75"/>
      <c r="K1431" s="25"/>
      <c r="L1431" s="25"/>
      <c r="M1431" s="25"/>
      <c r="N1431" s="25">
        <f t="shared" si="551"/>
        <v>0</v>
      </c>
      <c r="O1431" s="25" t="s">
        <v>545</v>
      </c>
    </row>
    <row r="1432" spans="1:15" x14ac:dyDescent="0.25">
      <c r="A1432" s="75">
        <v>46173</v>
      </c>
      <c r="B1432" s="25" t="s">
        <v>358</v>
      </c>
      <c r="C1432" s="25" t="s">
        <v>954</v>
      </c>
      <c r="D1432" s="75">
        <f t="shared" si="552"/>
        <v>46196</v>
      </c>
      <c r="E1432" s="75">
        <f t="shared" si="553"/>
        <v>46180</v>
      </c>
      <c r="F1432" s="75">
        <f t="shared" si="554"/>
        <v>46187</v>
      </c>
      <c r="G1432" s="75">
        <f t="shared" si="555"/>
        <v>46193</v>
      </c>
      <c r="H1432" s="75">
        <f t="shared" si="556"/>
        <v>46181</v>
      </c>
      <c r="I1432" s="75">
        <f t="shared" si="557"/>
        <v>46188</v>
      </c>
      <c r="J1432" s="75"/>
      <c r="K1432" s="25"/>
      <c r="L1432" s="25"/>
      <c r="M1432" s="25"/>
      <c r="N1432" s="25">
        <f t="shared" si="551"/>
        <v>0</v>
      </c>
      <c r="O1432" s="25" t="s">
        <v>545</v>
      </c>
    </row>
    <row r="1433" spans="1:15" x14ac:dyDescent="0.25">
      <c r="A1433" s="75">
        <v>46173</v>
      </c>
      <c r="B1433" s="25" t="s">
        <v>359</v>
      </c>
      <c r="C1433" s="25" t="s">
        <v>955</v>
      </c>
      <c r="D1433" s="75">
        <f t="shared" si="552"/>
        <v>46196</v>
      </c>
      <c r="E1433" s="75">
        <f t="shared" si="553"/>
        <v>46180</v>
      </c>
      <c r="F1433" s="75">
        <f t="shared" si="554"/>
        <v>46187</v>
      </c>
      <c r="G1433" s="75">
        <f t="shared" si="555"/>
        <v>46193</v>
      </c>
      <c r="H1433" s="75">
        <f t="shared" si="556"/>
        <v>46181</v>
      </c>
      <c r="I1433" s="75">
        <f t="shared" si="557"/>
        <v>46188</v>
      </c>
      <c r="J1433" s="75"/>
      <c r="K1433" s="25"/>
      <c r="L1433" s="25"/>
      <c r="M1433" s="25"/>
      <c r="N1433" s="25">
        <f t="shared" si="551"/>
        <v>0</v>
      </c>
      <c r="O1433" s="25" t="s">
        <v>545</v>
      </c>
    </row>
    <row r="1434" spans="1:15" x14ac:dyDescent="0.25">
      <c r="A1434" s="75">
        <v>46173</v>
      </c>
      <c r="B1434" s="25" t="s">
        <v>360</v>
      </c>
      <c r="C1434" s="25" t="s">
        <v>956</v>
      </c>
      <c r="D1434" s="75">
        <f t="shared" si="552"/>
        <v>46196</v>
      </c>
      <c r="E1434" s="75">
        <f t="shared" si="553"/>
        <v>46180</v>
      </c>
      <c r="F1434" s="75">
        <f t="shared" si="554"/>
        <v>46187</v>
      </c>
      <c r="G1434" s="75">
        <f t="shared" si="555"/>
        <v>46193</v>
      </c>
      <c r="H1434" s="75">
        <f t="shared" si="556"/>
        <v>46181</v>
      </c>
      <c r="I1434" s="75">
        <f t="shared" si="557"/>
        <v>46188</v>
      </c>
      <c r="J1434" s="75"/>
      <c r="K1434" s="25"/>
      <c r="L1434" s="25"/>
      <c r="M1434" s="25"/>
      <c r="N1434" s="25">
        <f t="shared" si="551"/>
        <v>0</v>
      </c>
      <c r="O1434" s="25" t="s">
        <v>545</v>
      </c>
    </row>
  </sheetData>
  <autoFilter ref="A2:O683" xr:uid="{20199F35-F489-4132-BF95-FF556C1B36C1}">
    <sortState xmlns:xlrd2="http://schemas.microsoft.com/office/spreadsheetml/2017/richdata2" ref="A236:O251">
      <sortCondition ref="O2:O422"/>
    </sortState>
  </autoFilter>
  <phoneticPr fontId="11" type="noConversion"/>
  <conditionalFormatting sqref="J716:J1032 J1071:J1078 J1080:J1081 J1042:J1063 A1435:C1048576 C1225:C1434 A802:A1434 J1091:J1230 J1232:J1048576">
    <cfRule type="expression" dxfId="3" priority="36">
      <formula>$L716&gt;0</formula>
    </cfRule>
  </conditionalFormatting>
  <conditionalFormatting sqref="A579:B710 J610:J713 C1200:C1434 A1200:A1434">
    <cfRule type="expression" dxfId="66" priority="134">
      <formula>$L579&gt;0</formula>
    </cfRule>
  </conditionalFormatting>
  <conditionalFormatting sqref="A711:B715 J712:J715 J1042:J1048">
    <cfRule type="expression" dxfId="65" priority="138">
      <formula>$N715&gt;0</formula>
    </cfRule>
  </conditionalFormatting>
  <conditionalFormatting sqref="A716:B801">
    <cfRule type="expression" dxfId="64" priority="95">
      <formula>$L716&gt;0</formula>
    </cfRule>
  </conditionalFormatting>
  <conditionalFormatting sqref="A1035:I1040 J1034:J1041 A885:J1033 A1042:J1063 D1435:I1048576 C1231:I1231 C1064:J1230 C1232:J1434">
    <cfRule type="expression" dxfId="2" priority="35">
      <formula>$K885&gt;0</formula>
    </cfRule>
  </conditionalFormatting>
  <conditionalFormatting sqref="A1:C169 D349:I369 D370:J370 D373:K373 A373:C376 D374:I376 K374:K376 A381:K414 A416:I422 A463:I463 D483:I483 A483:C578">
    <cfRule type="expression" dxfId="63" priority="198">
      <formula>$L1&gt;0</formula>
    </cfRule>
  </conditionalFormatting>
  <conditionalFormatting sqref="A189:C370">
    <cfRule type="expression" dxfId="62" priority="186">
      <formula>$L189&gt;0</formula>
    </cfRule>
  </conditionalFormatting>
  <conditionalFormatting sqref="A415:I415 A423:I429 B430:I430 A430:A434 A431:K434 A435:I437 A438:K462 A464:K482">
    <cfRule type="expression" dxfId="61" priority="9021">
      <formula>#REF!&gt;0</formula>
    </cfRule>
  </conditionalFormatting>
  <conditionalFormatting sqref="A814:J884">
    <cfRule type="expression" dxfId="60" priority="86">
      <formula>$K814&gt;0</formula>
    </cfRule>
  </conditionalFormatting>
  <conditionalFormatting sqref="A371:K372 K372:K376 A377:K380">
    <cfRule type="expression" dxfId="59" priority="9019">
      <formula>#REF!&gt;0</formula>
    </cfRule>
  </conditionalFormatting>
  <conditionalFormatting sqref="B1123:B1434">
    <cfRule type="expression" dxfId="58" priority="34">
      <formula>$L1123&gt;0</formula>
    </cfRule>
  </conditionalFormatting>
  <conditionalFormatting sqref="B802:I802">
    <cfRule type="expression" dxfId="57" priority="98">
      <formula>$K802&gt;0</formula>
    </cfRule>
  </conditionalFormatting>
  <conditionalFormatting sqref="C1181:C1434">
    <cfRule type="expression" dxfId="56" priority="40">
      <formula>$K1181&gt;0</formula>
    </cfRule>
  </conditionalFormatting>
  <conditionalFormatting sqref="C579:I813 A803:B813">
    <cfRule type="expression" dxfId="55" priority="97">
      <formula>$K579&gt;0</formula>
    </cfRule>
  </conditionalFormatting>
  <conditionalFormatting sqref="A1063:A1118 B1064:B1118 A1119:B1119 B1120:B1122 A1120:A1434">
    <cfRule type="expression" dxfId="54" priority="37">
      <formula>$K1063&gt;0</formula>
    </cfRule>
  </conditionalFormatting>
  <conditionalFormatting sqref="D1:I169 A170:J188 D189:I348 D363:I578">
    <cfRule type="expression" dxfId="53" priority="201">
      <formula>$K1&gt;0</formula>
    </cfRule>
  </conditionalFormatting>
  <conditionalFormatting sqref="D1182:J1198">
    <cfRule type="expression" dxfId="11" priority="32">
      <formula>$K1182&gt;0</formula>
    </cfRule>
  </conditionalFormatting>
  <conditionalFormatting sqref="D484:K609">
    <cfRule type="expression" dxfId="52" priority="160">
      <formula>$L484&gt;0</formula>
    </cfRule>
  </conditionalFormatting>
  <conditionalFormatting sqref="J1:J247">
    <cfRule type="expression" dxfId="51" priority="190">
      <formula>$L1&gt;0</formula>
    </cfRule>
  </conditionalFormatting>
  <conditionalFormatting sqref="J248:J249">
    <cfRule type="expression" dxfId="50" priority="8984">
      <formula>$L247&gt;0</formula>
    </cfRule>
  </conditionalFormatting>
  <conditionalFormatting sqref="J250:J380">
    <cfRule type="expression" dxfId="49" priority="185">
      <formula>$L250&gt;0</formula>
    </cfRule>
  </conditionalFormatting>
  <conditionalFormatting sqref="J450:J578">
    <cfRule type="expression" dxfId="48" priority="161">
      <formula>$L450&gt;0</formula>
    </cfRule>
  </conditionalFormatting>
  <conditionalFormatting sqref="J723:J959">
    <cfRule type="expression" dxfId="47" priority="46">
      <formula>$N727&gt;0</formula>
    </cfRule>
  </conditionalFormatting>
  <conditionalFormatting sqref="J885:J1020">
    <cfRule type="expression" dxfId="46" priority="28">
      <formula>$K885&gt;0</formula>
    </cfRule>
  </conditionalFormatting>
  <conditionalFormatting sqref="J960">
    <cfRule type="expression" dxfId="45" priority="56">
      <formula>$N972&gt;0</formula>
    </cfRule>
  </conditionalFormatting>
  <conditionalFormatting sqref="J961:J1020">
    <cfRule type="expression" dxfId="44" priority="29">
      <formula>$N965&gt;0</formula>
    </cfRule>
  </conditionalFormatting>
  <conditionalFormatting sqref="J415:K450">
    <cfRule type="expression" dxfId="43" priority="178">
      <formula>$L415&gt;0</formula>
    </cfRule>
  </conditionalFormatting>
  <conditionalFormatting sqref="J456:K457">
    <cfRule type="expression" dxfId="42" priority="177">
      <formula>$L456&gt;0</formula>
    </cfRule>
  </conditionalFormatting>
  <conditionalFormatting sqref="J463:K463">
    <cfRule type="expression" dxfId="41" priority="166">
      <formula>#REF!&gt;0</formula>
    </cfRule>
  </conditionalFormatting>
  <conditionalFormatting sqref="J483:K489">
    <cfRule type="expression" dxfId="40" priority="165">
      <formula>#REF!&gt;0</formula>
    </cfRule>
  </conditionalFormatting>
  <conditionalFormatting sqref="J501:K501 J501:J504">
    <cfRule type="expression" dxfId="39" priority="164">
      <formula>#REF!&gt;0</formula>
    </cfRule>
  </conditionalFormatting>
  <conditionalFormatting sqref="K450:K456">
    <cfRule type="expression" dxfId="38" priority="180">
      <formula>$L450&gt;0</formula>
    </cfRule>
  </conditionalFormatting>
  <conditionalFormatting sqref="K458:K489">
    <cfRule type="expression" dxfId="37" priority="170">
      <formula>$L458&gt;0</formula>
    </cfRule>
  </conditionalFormatting>
  <conditionalFormatting sqref="K501">
    <cfRule type="expression" dxfId="36" priority="163">
      <formula>$L501&gt;0</formula>
    </cfRule>
  </conditionalFormatting>
  <conditionalFormatting sqref="K609:K628">
    <cfRule type="expression" dxfId="35" priority="149">
      <formula>$L609&gt;0</formula>
    </cfRule>
  </conditionalFormatting>
  <conditionalFormatting sqref="K636:K642">
    <cfRule type="expression" dxfId="34" priority="150">
      <formula>$L636&gt;0</formula>
    </cfRule>
  </conditionalFormatting>
  <conditionalFormatting sqref="D1199:J1223">
    <cfRule type="expression" dxfId="6" priority="27">
      <formula>$K1199&gt;0</formula>
    </cfRule>
  </conditionalFormatting>
  <conditionalFormatting sqref="J1021:J1027">
    <cfRule type="expression" dxfId="33" priority="25">
      <formula>$K1021&gt;0</formula>
    </cfRule>
  </conditionalFormatting>
  <conditionalFormatting sqref="J1021:J1027">
    <cfRule type="expression" dxfId="32" priority="26">
      <formula>$N1025&gt;0</formula>
    </cfRule>
  </conditionalFormatting>
  <conditionalFormatting sqref="J1063">
    <cfRule type="expression" dxfId="31" priority="21">
      <formula>$K1063&gt;0</formula>
    </cfRule>
  </conditionalFormatting>
  <conditionalFormatting sqref="J1063">
    <cfRule type="expression" dxfId="30" priority="22">
      <formula>$N1067&gt;0</formula>
    </cfRule>
  </conditionalFormatting>
  <conditionalFormatting sqref="A1041:I1041">
    <cfRule type="expression" dxfId="29" priority="9024">
      <formula>$K1034&gt;0</formula>
    </cfRule>
  </conditionalFormatting>
  <conditionalFormatting sqref="A1034:I1034">
    <cfRule type="expression" dxfId="28" priority="9025">
      <formula>#REF!&gt;0</formula>
    </cfRule>
  </conditionalFormatting>
  <conditionalFormatting sqref="J1028:J1041">
    <cfRule type="expression" dxfId="27" priority="9032">
      <formula>$L1035&gt;0</formula>
    </cfRule>
  </conditionalFormatting>
  <conditionalFormatting sqref="J1028:J1041">
    <cfRule type="expression" dxfId="26" priority="9036">
      <formula>$N1039&gt;0</formula>
    </cfRule>
  </conditionalFormatting>
  <conditionalFormatting sqref="J1064:J1065">
    <cfRule type="expression" dxfId="25" priority="19">
      <formula>$L1071&gt;0</formula>
    </cfRule>
  </conditionalFormatting>
  <conditionalFormatting sqref="J1064:J1065">
    <cfRule type="expression" dxfId="24" priority="20">
      <formula>$N1075&gt;0</formula>
    </cfRule>
  </conditionalFormatting>
  <conditionalFormatting sqref="J1082:J1086">
    <cfRule type="expression" dxfId="23" priority="17">
      <formula>$L1089&gt;0</formula>
    </cfRule>
  </conditionalFormatting>
  <conditionalFormatting sqref="J1082:J1086">
    <cfRule type="expression" dxfId="22" priority="18">
      <formula>$N1093&gt;0</formula>
    </cfRule>
  </conditionalFormatting>
  <conditionalFormatting sqref="J1070:J1078">
    <cfRule type="expression" dxfId="21" priority="15">
      <formula>$L1077&gt;0</formula>
    </cfRule>
  </conditionalFormatting>
  <conditionalFormatting sqref="J1070:J1078">
    <cfRule type="expression" dxfId="20" priority="16">
      <formula>$N1081&gt;0</formula>
    </cfRule>
  </conditionalFormatting>
  <conditionalFormatting sqref="J1079:J1086">
    <cfRule type="expression" dxfId="19" priority="13">
      <formula>$L1086&gt;0</formula>
    </cfRule>
  </conditionalFormatting>
  <conditionalFormatting sqref="J1079:J1086">
    <cfRule type="expression" dxfId="18" priority="14">
      <formula>$N1090&gt;0</formula>
    </cfRule>
  </conditionalFormatting>
  <conditionalFormatting sqref="J1066:J1069">
    <cfRule type="expression" dxfId="17" priority="11">
      <formula>$L1073&gt;0</formula>
    </cfRule>
  </conditionalFormatting>
  <conditionalFormatting sqref="J1066:J1069">
    <cfRule type="expression" dxfId="16" priority="12">
      <formula>$N1077&gt;0</formula>
    </cfRule>
  </conditionalFormatting>
  <conditionalFormatting sqref="J1087:J1090">
    <cfRule type="expression" dxfId="5" priority="9">
      <formula>$L1094&gt;0</formula>
    </cfRule>
  </conditionalFormatting>
  <conditionalFormatting sqref="J1087:J1090">
    <cfRule type="expression" dxfId="4" priority="10">
      <formula>$N1098&gt;0</formula>
    </cfRule>
  </conditionalFormatting>
  <conditionalFormatting sqref="J1052:J1062">
    <cfRule type="expression" dxfId="15" priority="8">
      <formula>$N1056&gt;0</formula>
    </cfRule>
  </conditionalFormatting>
  <conditionalFormatting sqref="J1091:J1111">
    <cfRule type="expression" dxfId="14" priority="7">
      <formula>$N1095&gt;0</formula>
    </cfRule>
  </conditionalFormatting>
  <conditionalFormatting sqref="D1224:J1230 D1231:I1231 D1232:J1434">
    <cfRule type="expression" dxfId="1" priority="6">
      <formula>$K1224&gt;0</formula>
    </cfRule>
  </conditionalFormatting>
  <conditionalFormatting sqref="J1112:J1230 J1232:J1434">
    <cfRule type="expression" dxfId="0" priority="5">
      <formula>$N1116&gt;0</formula>
    </cfRule>
  </conditionalFormatting>
  <conditionalFormatting sqref="J1231">
    <cfRule type="expression" dxfId="10" priority="4">
      <formula>$L1231&gt;0</formula>
    </cfRule>
  </conditionalFormatting>
  <conditionalFormatting sqref="J1231">
    <cfRule type="expression" dxfId="9" priority="3">
      <formula>$K1231&gt;0</formula>
    </cfRule>
  </conditionalFormatting>
  <conditionalFormatting sqref="J1231">
    <cfRule type="expression" dxfId="8" priority="2">
      <formula>$K1231&gt;0</formula>
    </cfRule>
  </conditionalFormatting>
  <conditionalFormatting sqref="J1231">
    <cfRule type="expression" dxfId="7" priority="1">
      <formula>$N1235&gt;0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0FBAD-53B6-4F6C-B4B5-B313DC42BAA3}">
  <dimension ref="B2:Q301"/>
  <sheetViews>
    <sheetView workbookViewId="0">
      <pane xSplit="6" ySplit="4" topLeftCell="H50" activePane="bottomRight" state="frozen"/>
      <selection pane="topRight" activeCell="G1" sqref="G1"/>
      <selection pane="bottomLeft" activeCell="A5" sqref="A5"/>
      <selection pane="bottomRight" activeCell="I40" sqref="I40"/>
    </sheetView>
  </sheetViews>
  <sheetFormatPr defaultRowHeight="15" x14ac:dyDescent="0.25"/>
  <cols>
    <col min="4" max="4" width="17.42578125" customWidth="1"/>
    <col min="5" max="5" width="14.5703125" customWidth="1"/>
    <col min="6" max="6" width="15.85546875" customWidth="1"/>
    <col min="7" max="7" width="21.7109375" customWidth="1"/>
    <col min="8" max="8" width="10.7109375" bestFit="1" customWidth="1"/>
    <col min="9" max="12" width="13.5703125" customWidth="1"/>
    <col min="13" max="13" width="5" customWidth="1"/>
    <col min="14" max="17" width="13.5703125" customWidth="1"/>
  </cols>
  <sheetData>
    <row r="2" spans="2:17" ht="23.25" x14ac:dyDescent="0.35">
      <c r="B2" s="135" t="s">
        <v>957</v>
      </c>
      <c r="C2" s="135"/>
      <c r="D2" s="135"/>
      <c r="E2" s="135"/>
      <c r="F2" s="78">
        <f ca="1">TODAY()</f>
        <v>46178</v>
      </c>
    </row>
    <row r="3" spans="2:17" x14ac:dyDescent="0.25">
      <c r="B3" s="92" t="s">
        <v>958</v>
      </c>
      <c r="C3" s="92" t="s">
        <v>959</v>
      </c>
      <c r="D3" s="92" t="s">
        <v>960</v>
      </c>
      <c r="E3" s="92" t="s">
        <v>961</v>
      </c>
      <c r="F3" s="93" t="s">
        <v>159</v>
      </c>
      <c r="G3" s="93" t="s">
        <v>962</v>
      </c>
      <c r="I3" s="136" t="s">
        <v>1560</v>
      </c>
      <c r="J3" s="136"/>
      <c r="K3" s="136"/>
      <c r="L3" s="136"/>
      <c r="N3" s="136" t="s">
        <v>1560</v>
      </c>
      <c r="O3" s="136"/>
      <c r="P3" s="136"/>
      <c r="Q3" s="136"/>
    </row>
    <row r="4" spans="2:17" x14ac:dyDescent="0.25">
      <c r="B4" s="92"/>
      <c r="C4" s="92"/>
      <c r="D4" s="92"/>
      <c r="E4" s="92"/>
      <c r="F4" s="93"/>
      <c r="G4" s="93"/>
      <c r="I4" s="115" t="s">
        <v>1557</v>
      </c>
      <c r="J4" s="115" t="s">
        <v>1558</v>
      </c>
      <c r="K4" s="115" t="s">
        <v>1559</v>
      </c>
      <c r="L4" s="115" t="s">
        <v>1561</v>
      </c>
      <c r="N4" s="115" t="s">
        <v>1557</v>
      </c>
      <c r="O4" s="115" t="s">
        <v>1558</v>
      </c>
      <c r="P4" s="115" t="s">
        <v>1559</v>
      </c>
      <c r="Q4" s="115" t="s">
        <v>1562</v>
      </c>
    </row>
    <row r="5" spans="2:17" x14ac:dyDescent="0.25">
      <c r="B5" s="94"/>
      <c r="C5" s="94"/>
      <c r="D5" s="94"/>
      <c r="E5" s="94"/>
      <c r="F5" s="95"/>
      <c r="G5" s="25"/>
      <c r="I5" s="25"/>
      <c r="J5" s="25"/>
      <c r="K5" s="25"/>
      <c r="L5" s="25"/>
      <c r="N5" s="25"/>
      <c r="O5" s="25"/>
      <c r="P5" s="25"/>
      <c r="Q5" s="25"/>
    </row>
    <row r="6" spans="2:17" x14ac:dyDescent="0.25">
      <c r="B6" s="96" t="s">
        <v>963</v>
      </c>
      <c r="C6" s="97" t="s">
        <v>964</v>
      </c>
      <c r="D6" s="98" t="s">
        <v>156</v>
      </c>
      <c r="E6" s="99">
        <v>45883</v>
      </c>
      <c r="F6" s="25">
        <f t="shared" ref="F6:F7" ca="1" si="0">$F$2-E6</f>
        <v>295</v>
      </c>
      <c r="G6" s="25"/>
      <c r="I6" s="25"/>
      <c r="J6" s="25"/>
      <c r="K6" s="25"/>
      <c r="L6" s="25"/>
      <c r="N6" s="25"/>
      <c r="O6" s="25"/>
      <c r="P6" s="25"/>
      <c r="Q6" s="25"/>
    </row>
    <row r="7" spans="2:17" x14ac:dyDescent="0.25">
      <c r="B7" s="96" t="s">
        <v>965</v>
      </c>
      <c r="C7" s="97" t="s">
        <v>966</v>
      </c>
      <c r="D7" s="98" t="s">
        <v>156</v>
      </c>
      <c r="E7" s="99">
        <v>45883</v>
      </c>
      <c r="F7" s="25">
        <f t="shared" ca="1" si="0"/>
        <v>295</v>
      </c>
      <c r="G7" s="25"/>
      <c r="I7" s="25"/>
      <c r="J7" s="25"/>
      <c r="K7" s="25"/>
      <c r="L7" s="25"/>
      <c r="N7" s="25"/>
      <c r="O7" s="25"/>
      <c r="P7" s="25"/>
      <c r="Q7" s="25"/>
    </row>
    <row r="8" spans="2:17" x14ac:dyDescent="0.25">
      <c r="B8" s="96" t="s">
        <v>1159</v>
      </c>
      <c r="C8" s="97" t="s">
        <v>1160</v>
      </c>
      <c r="D8" s="102" t="s">
        <v>163</v>
      </c>
      <c r="E8" s="75">
        <v>45864</v>
      </c>
      <c r="F8" s="71">
        <f t="shared" ref="F8:F71" ca="1" si="1">$F$2-E8</f>
        <v>314</v>
      </c>
      <c r="G8" s="104">
        <v>46146</v>
      </c>
      <c r="H8" s="84"/>
      <c r="I8" s="25"/>
      <c r="J8" s="25"/>
      <c r="K8" s="25"/>
      <c r="L8" s="25"/>
      <c r="N8" s="25"/>
      <c r="O8" s="25"/>
      <c r="P8" s="25"/>
      <c r="Q8" s="25"/>
    </row>
    <row r="9" spans="2:17" x14ac:dyDescent="0.25">
      <c r="B9" s="96" t="s">
        <v>1161</v>
      </c>
      <c r="C9" s="97" t="s">
        <v>1162</v>
      </c>
      <c r="D9" s="102" t="s">
        <v>163</v>
      </c>
      <c r="E9" s="75">
        <v>45864</v>
      </c>
      <c r="F9" s="71">
        <f t="shared" ca="1" si="1"/>
        <v>314</v>
      </c>
      <c r="G9" s="104">
        <v>46146</v>
      </c>
      <c r="H9" s="84"/>
      <c r="I9" s="25"/>
      <c r="J9" s="25"/>
      <c r="K9" s="25"/>
      <c r="L9" s="25"/>
      <c r="N9" s="25"/>
      <c r="O9" s="25"/>
      <c r="P9" s="25"/>
      <c r="Q9" s="25"/>
    </row>
    <row r="10" spans="2:17" x14ac:dyDescent="0.25">
      <c r="B10" s="96" t="s">
        <v>1163</v>
      </c>
      <c r="C10" s="97" t="s">
        <v>1164</v>
      </c>
      <c r="D10" s="102" t="s">
        <v>163</v>
      </c>
      <c r="E10" s="75">
        <v>45864</v>
      </c>
      <c r="F10" s="71">
        <f t="shared" ca="1" si="1"/>
        <v>314</v>
      </c>
      <c r="G10" s="104">
        <v>46146</v>
      </c>
      <c r="H10" s="84"/>
      <c r="I10" s="25"/>
      <c r="J10" s="25"/>
      <c r="K10" s="25"/>
      <c r="L10" s="25"/>
      <c r="N10" s="25"/>
      <c r="O10" s="25"/>
      <c r="P10" s="25"/>
      <c r="Q10" s="25"/>
    </row>
    <row r="11" spans="2:17" x14ac:dyDescent="0.25">
      <c r="B11" s="96" t="s">
        <v>1165</v>
      </c>
      <c r="C11" s="97" t="s">
        <v>1166</v>
      </c>
      <c r="D11" s="102" t="s">
        <v>163</v>
      </c>
      <c r="E11" s="75">
        <v>45864</v>
      </c>
      <c r="F11" s="71">
        <f t="shared" ca="1" si="1"/>
        <v>314</v>
      </c>
      <c r="G11" s="104">
        <v>46147</v>
      </c>
      <c r="H11" s="84"/>
      <c r="I11" s="25"/>
      <c r="J11" s="25"/>
      <c r="K11" s="25"/>
      <c r="L11" s="25"/>
      <c r="N11" s="25"/>
      <c r="O11" s="25"/>
      <c r="P11" s="25"/>
      <c r="Q11" s="25"/>
    </row>
    <row r="12" spans="2:17" x14ac:dyDescent="0.25">
      <c r="B12" s="96" t="s">
        <v>1167</v>
      </c>
      <c r="C12" s="97" t="s">
        <v>1168</v>
      </c>
      <c r="D12" s="102" t="s">
        <v>163</v>
      </c>
      <c r="E12" s="75">
        <v>45864</v>
      </c>
      <c r="F12" s="71">
        <f t="shared" ca="1" si="1"/>
        <v>314</v>
      </c>
      <c r="G12" s="104">
        <v>46147</v>
      </c>
      <c r="H12" s="84"/>
      <c r="I12" s="25"/>
      <c r="J12" s="25"/>
      <c r="K12" s="25"/>
      <c r="L12" s="25"/>
      <c r="N12" s="25"/>
      <c r="O12" s="25"/>
      <c r="P12" s="25"/>
      <c r="Q12" s="25"/>
    </row>
    <row r="13" spans="2:17" x14ac:dyDescent="0.25">
      <c r="B13" s="96" t="s">
        <v>1169</v>
      </c>
      <c r="C13" s="97" t="s">
        <v>1170</v>
      </c>
      <c r="D13" s="102" t="s">
        <v>163</v>
      </c>
      <c r="E13" s="99">
        <v>45867</v>
      </c>
      <c r="F13" s="71">
        <f t="shared" ca="1" si="1"/>
        <v>311</v>
      </c>
      <c r="G13" s="104">
        <v>46147</v>
      </c>
      <c r="H13" s="84"/>
      <c r="I13" s="25"/>
      <c r="J13" s="25"/>
      <c r="K13" s="25"/>
      <c r="L13" s="25"/>
      <c r="N13" s="25"/>
      <c r="O13" s="25"/>
      <c r="P13" s="25"/>
      <c r="Q13" s="25"/>
    </row>
    <row r="14" spans="2:17" x14ac:dyDescent="0.25">
      <c r="B14" s="96" t="s">
        <v>1171</v>
      </c>
      <c r="C14" s="97" t="s">
        <v>1172</v>
      </c>
      <c r="D14" s="102" t="s">
        <v>163</v>
      </c>
      <c r="E14" s="99">
        <v>45867</v>
      </c>
      <c r="F14" s="71">
        <f t="shared" ca="1" si="1"/>
        <v>311</v>
      </c>
      <c r="G14" s="104">
        <v>46147</v>
      </c>
      <c r="H14" s="84"/>
      <c r="I14" s="25"/>
      <c r="J14" s="25"/>
      <c r="K14" s="25"/>
      <c r="L14" s="25"/>
      <c r="N14" s="25"/>
      <c r="O14" s="25"/>
      <c r="P14" s="25"/>
      <c r="Q14" s="25"/>
    </row>
    <row r="15" spans="2:17" x14ac:dyDescent="0.25">
      <c r="B15" s="96" t="s">
        <v>1173</v>
      </c>
      <c r="C15" s="97" t="s">
        <v>1174</v>
      </c>
      <c r="D15" s="102" t="s">
        <v>163</v>
      </c>
      <c r="E15" s="99">
        <v>45867</v>
      </c>
      <c r="F15" s="71">
        <f t="shared" ca="1" si="1"/>
        <v>311</v>
      </c>
      <c r="G15" s="104">
        <v>46147</v>
      </c>
      <c r="H15" s="84"/>
      <c r="I15" s="25"/>
      <c r="J15" s="25"/>
      <c r="K15" s="25"/>
      <c r="L15" s="25"/>
      <c r="N15" s="25"/>
      <c r="O15" s="25"/>
      <c r="P15" s="25"/>
      <c r="Q15" s="25"/>
    </row>
    <row r="16" spans="2:17" x14ac:dyDescent="0.25">
      <c r="B16" s="96" t="s">
        <v>1175</v>
      </c>
      <c r="C16" s="97" t="s">
        <v>1176</v>
      </c>
      <c r="D16" s="102" t="s">
        <v>163</v>
      </c>
      <c r="E16" s="99">
        <v>45867</v>
      </c>
      <c r="F16" s="71">
        <f t="shared" ca="1" si="1"/>
        <v>311</v>
      </c>
      <c r="G16" s="104">
        <v>46147</v>
      </c>
      <c r="H16" s="84"/>
      <c r="I16" s="25"/>
      <c r="J16" s="25"/>
      <c r="K16" s="25"/>
      <c r="L16" s="25"/>
      <c r="N16" s="25"/>
      <c r="O16" s="25"/>
      <c r="P16" s="25"/>
      <c r="Q16" s="25"/>
    </row>
    <row r="17" spans="2:17" x14ac:dyDescent="0.25">
      <c r="B17" s="96" t="s">
        <v>1177</v>
      </c>
      <c r="C17" s="97" t="s">
        <v>1178</v>
      </c>
      <c r="D17" s="102" t="s">
        <v>163</v>
      </c>
      <c r="E17" s="99">
        <v>45867</v>
      </c>
      <c r="F17" s="71">
        <f t="shared" ca="1" si="1"/>
        <v>311</v>
      </c>
      <c r="G17" s="104">
        <v>46148</v>
      </c>
      <c r="H17" s="84"/>
      <c r="I17" s="25"/>
      <c r="J17" s="25"/>
      <c r="K17" s="25"/>
      <c r="L17" s="25"/>
      <c r="N17" s="25"/>
      <c r="O17" s="25"/>
      <c r="P17" s="25"/>
      <c r="Q17" s="25"/>
    </row>
    <row r="18" spans="2:17" x14ac:dyDescent="0.25">
      <c r="B18" s="96" t="s">
        <v>1201</v>
      </c>
      <c r="C18" s="97" t="s">
        <v>1202</v>
      </c>
      <c r="D18" s="102" t="s">
        <v>163</v>
      </c>
      <c r="E18" s="99">
        <v>45902</v>
      </c>
      <c r="F18" s="71">
        <f t="shared" ca="1" si="1"/>
        <v>276</v>
      </c>
      <c r="G18" s="104">
        <v>46148</v>
      </c>
      <c r="H18" s="84"/>
      <c r="I18" s="25"/>
      <c r="J18" s="25"/>
      <c r="K18" s="25"/>
      <c r="L18" s="25"/>
      <c r="N18" s="25"/>
      <c r="O18" s="25"/>
      <c r="P18" s="25"/>
      <c r="Q18" s="25"/>
    </row>
    <row r="19" spans="2:17" x14ac:dyDescent="0.25">
      <c r="B19" s="96" t="s">
        <v>1203</v>
      </c>
      <c r="C19" s="97" t="s">
        <v>1204</v>
      </c>
      <c r="D19" s="102" t="s">
        <v>163</v>
      </c>
      <c r="E19" s="99">
        <v>45902</v>
      </c>
      <c r="F19" s="71">
        <f t="shared" ca="1" si="1"/>
        <v>276</v>
      </c>
      <c r="G19" s="104">
        <v>46148</v>
      </c>
      <c r="H19" s="84"/>
      <c r="I19" s="25"/>
      <c r="J19" s="25"/>
      <c r="K19" s="25"/>
      <c r="L19" s="25"/>
      <c r="N19" s="25"/>
      <c r="O19" s="25"/>
      <c r="P19" s="25"/>
      <c r="Q19" s="25"/>
    </row>
    <row r="20" spans="2:17" x14ac:dyDescent="0.25">
      <c r="B20" s="96" t="s">
        <v>1205</v>
      </c>
      <c r="C20" s="97" t="s">
        <v>1206</v>
      </c>
      <c r="D20" s="102" t="s">
        <v>163</v>
      </c>
      <c r="E20" s="99">
        <v>45902</v>
      </c>
      <c r="F20" s="71">
        <f t="shared" ca="1" si="1"/>
        <v>276</v>
      </c>
      <c r="G20" s="104">
        <v>46148</v>
      </c>
      <c r="H20" s="84"/>
      <c r="I20" s="25"/>
      <c r="J20" s="25"/>
      <c r="K20" s="25"/>
      <c r="L20" s="25"/>
      <c r="N20" s="25"/>
      <c r="O20" s="25"/>
      <c r="P20" s="25"/>
      <c r="Q20" s="25"/>
    </row>
    <row r="21" spans="2:17" x14ac:dyDescent="0.25">
      <c r="B21" s="96" t="s">
        <v>1207</v>
      </c>
      <c r="C21" s="97" t="s">
        <v>1208</v>
      </c>
      <c r="D21" s="102" t="s">
        <v>163</v>
      </c>
      <c r="E21" s="99">
        <v>45902</v>
      </c>
      <c r="F21" s="71">
        <f t="shared" ca="1" si="1"/>
        <v>276</v>
      </c>
      <c r="G21" s="104">
        <v>46148</v>
      </c>
      <c r="H21" s="84"/>
      <c r="I21" s="25"/>
      <c r="J21" s="25"/>
      <c r="K21" s="25"/>
      <c r="L21" s="25"/>
      <c r="N21" s="25"/>
      <c r="O21" s="25"/>
      <c r="P21" s="25"/>
      <c r="Q21" s="25"/>
    </row>
    <row r="22" spans="2:17" x14ac:dyDescent="0.25">
      <c r="B22" s="96" t="s">
        <v>1209</v>
      </c>
      <c r="C22" s="97" t="s">
        <v>1210</v>
      </c>
      <c r="D22" s="102" t="s">
        <v>163</v>
      </c>
      <c r="E22" s="99">
        <v>45902</v>
      </c>
      <c r="F22" s="71">
        <f t="shared" ca="1" si="1"/>
        <v>276</v>
      </c>
      <c r="G22" s="104">
        <v>46148</v>
      </c>
      <c r="H22" s="84"/>
      <c r="I22" s="25"/>
      <c r="J22" s="25"/>
      <c r="K22" s="25"/>
      <c r="L22" s="25"/>
      <c r="N22" s="25"/>
      <c r="O22" s="25"/>
      <c r="P22" s="25"/>
      <c r="Q22" s="25"/>
    </row>
    <row r="23" spans="2:17" x14ac:dyDescent="0.25">
      <c r="B23" s="96" t="s">
        <v>1211</v>
      </c>
      <c r="C23" s="97" t="s">
        <v>1212</v>
      </c>
      <c r="D23" s="102" t="s">
        <v>163</v>
      </c>
      <c r="E23" s="99">
        <v>45902</v>
      </c>
      <c r="F23" s="71">
        <f t="shared" ca="1" si="1"/>
        <v>276</v>
      </c>
      <c r="G23" s="104">
        <v>46149</v>
      </c>
      <c r="H23" s="84"/>
      <c r="I23" s="25"/>
      <c r="J23" s="25"/>
      <c r="K23" s="25"/>
      <c r="L23" s="25"/>
      <c r="N23" s="25"/>
      <c r="O23" s="25"/>
      <c r="P23" s="25"/>
      <c r="Q23" s="25"/>
    </row>
    <row r="24" spans="2:17" x14ac:dyDescent="0.25">
      <c r="B24" s="96" t="s">
        <v>1213</v>
      </c>
      <c r="C24" s="97" t="s">
        <v>1214</v>
      </c>
      <c r="D24" s="102" t="s">
        <v>163</v>
      </c>
      <c r="E24" s="99">
        <v>45902</v>
      </c>
      <c r="F24" s="71">
        <f t="shared" ca="1" si="1"/>
        <v>276</v>
      </c>
      <c r="G24" s="104">
        <v>46149</v>
      </c>
      <c r="H24" s="84"/>
      <c r="I24" s="25"/>
      <c r="J24" s="25"/>
      <c r="K24" s="25"/>
      <c r="L24" s="25"/>
      <c r="N24" s="25"/>
      <c r="O24" s="25"/>
      <c r="P24" s="25"/>
      <c r="Q24" s="25"/>
    </row>
    <row r="25" spans="2:17" x14ac:dyDescent="0.25">
      <c r="B25" s="96" t="s">
        <v>1215</v>
      </c>
      <c r="C25" s="97" t="s">
        <v>1216</v>
      </c>
      <c r="D25" s="102" t="s">
        <v>163</v>
      </c>
      <c r="E25" s="99">
        <v>45902</v>
      </c>
      <c r="F25" s="71">
        <f t="shared" ca="1" si="1"/>
        <v>276</v>
      </c>
      <c r="G25" s="104">
        <v>46149</v>
      </c>
      <c r="H25" s="84"/>
      <c r="I25" s="25"/>
      <c r="J25" s="25"/>
      <c r="K25" s="25"/>
      <c r="L25" s="25"/>
      <c r="N25" s="25"/>
      <c r="O25" s="25"/>
      <c r="P25" s="25"/>
      <c r="Q25" s="25"/>
    </row>
    <row r="26" spans="2:17" x14ac:dyDescent="0.25">
      <c r="B26" s="96" t="s">
        <v>1237</v>
      </c>
      <c r="C26" s="97" t="s">
        <v>1238</v>
      </c>
      <c r="D26" s="102" t="s">
        <v>163</v>
      </c>
      <c r="E26" s="99">
        <v>45975</v>
      </c>
      <c r="F26" s="71">
        <f t="shared" ca="1" si="1"/>
        <v>203</v>
      </c>
      <c r="G26" s="104">
        <v>46141</v>
      </c>
      <c r="H26" s="84"/>
      <c r="I26" s="25"/>
      <c r="J26" s="25"/>
      <c r="K26" s="25"/>
      <c r="L26" s="25"/>
      <c r="N26" s="25"/>
      <c r="O26" s="25"/>
      <c r="P26" s="25"/>
      <c r="Q26" s="25"/>
    </row>
    <row r="27" spans="2:17" x14ac:dyDescent="0.25">
      <c r="B27" s="96" t="s">
        <v>1239</v>
      </c>
      <c r="C27" s="97" t="s">
        <v>1240</v>
      </c>
      <c r="D27" s="102" t="s">
        <v>163</v>
      </c>
      <c r="E27" s="99">
        <v>45975</v>
      </c>
      <c r="F27" s="71">
        <f t="shared" ca="1" si="1"/>
        <v>203</v>
      </c>
      <c r="G27" s="104">
        <v>46141</v>
      </c>
      <c r="H27" s="84"/>
      <c r="I27" s="25"/>
      <c r="J27" s="25"/>
      <c r="K27" s="25"/>
      <c r="L27" s="25"/>
      <c r="N27" s="25"/>
      <c r="O27" s="25"/>
      <c r="P27" s="25"/>
      <c r="Q27" s="25"/>
    </row>
    <row r="28" spans="2:17" x14ac:dyDescent="0.25">
      <c r="B28" s="96" t="s">
        <v>1241</v>
      </c>
      <c r="C28" s="97" t="s">
        <v>1242</v>
      </c>
      <c r="D28" s="102" t="s">
        <v>163</v>
      </c>
      <c r="E28" s="99">
        <v>45975</v>
      </c>
      <c r="F28" s="71">
        <f t="shared" ca="1" si="1"/>
        <v>203</v>
      </c>
      <c r="G28" s="104">
        <v>46141</v>
      </c>
      <c r="H28" s="84"/>
      <c r="I28" s="25"/>
      <c r="J28" s="25"/>
      <c r="K28" s="25"/>
      <c r="L28" s="25"/>
      <c r="N28" s="25"/>
      <c r="O28" s="25"/>
      <c r="P28" s="25"/>
      <c r="Q28" s="25"/>
    </row>
    <row r="29" spans="2:17" x14ac:dyDescent="0.25">
      <c r="B29" s="96" t="s">
        <v>1243</v>
      </c>
      <c r="C29" s="97" t="s">
        <v>1244</v>
      </c>
      <c r="D29" s="102" t="s">
        <v>163</v>
      </c>
      <c r="E29" s="99">
        <v>45975</v>
      </c>
      <c r="F29" s="71">
        <f t="shared" ca="1" si="1"/>
        <v>203</v>
      </c>
      <c r="G29" s="104">
        <v>46140</v>
      </c>
      <c r="H29" s="84"/>
      <c r="I29" s="25"/>
      <c r="J29" s="25"/>
      <c r="K29" s="25"/>
      <c r="L29" s="25"/>
      <c r="N29" s="25"/>
      <c r="O29" s="25"/>
      <c r="P29" s="25"/>
      <c r="Q29" s="25"/>
    </row>
    <row r="30" spans="2:17" x14ac:dyDescent="0.25">
      <c r="B30" s="96" t="s">
        <v>1245</v>
      </c>
      <c r="C30" s="97" t="s">
        <v>1246</v>
      </c>
      <c r="D30" s="102" t="s">
        <v>163</v>
      </c>
      <c r="E30" s="99">
        <v>45988</v>
      </c>
      <c r="F30" s="71">
        <f t="shared" ca="1" si="1"/>
        <v>190</v>
      </c>
      <c r="G30" s="104">
        <v>46140</v>
      </c>
      <c r="H30" s="84"/>
      <c r="I30" s="25"/>
      <c r="J30" s="25"/>
      <c r="K30" s="25"/>
      <c r="L30" s="25"/>
      <c r="N30" s="25"/>
      <c r="O30" s="25"/>
      <c r="P30" s="25"/>
      <c r="Q30" s="25"/>
    </row>
    <row r="31" spans="2:17" x14ac:dyDescent="0.25">
      <c r="B31" s="96" t="s">
        <v>1247</v>
      </c>
      <c r="C31" s="97" t="s">
        <v>1248</v>
      </c>
      <c r="D31" s="102" t="s">
        <v>163</v>
      </c>
      <c r="E31" s="99">
        <v>45988</v>
      </c>
      <c r="F31" s="71">
        <f t="shared" ca="1" si="1"/>
        <v>190</v>
      </c>
      <c r="G31" s="104">
        <v>46140</v>
      </c>
      <c r="H31" s="84"/>
      <c r="I31" s="25"/>
      <c r="J31" s="25"/>
      <c r="K31" s="25"/>
      <c r="L31" s="25"/>
      <c r="N31" s="25"/>
      <c r="O31" s="25"/>
      <c r="P31" s="25"/>
      <c r="Q31" s="25"/>
    </row>
    <row r="32" spans="2:17" x14ac:dyDescent="0.25">
      <c r="B32" s="96" t="s">
        <v>1249</v>
      </c>
      <c r="C32" s="97" t="s">
        <v>1250</v>
      </c>
      <c r="D32" s="102" t="s">
        <v>163</v>
      </c>
      <c r="E32" s="99">
        <v>45988</v>
      </c>
      <c r="F32" s="71">
        <f t="shared" ca="1" si="1"/>
        <v>190</v>
      </c>
      <c r="G32" s="104">
        <v>46140</v>
      </c>
      <c r="H32" s="84"/>
      <c r="I32" s="25"/>
      <c r="J32" s="25"/>
      <c r="K32" s="25"/>
      <c r="L32" s="25"/>
      <c r="N32" s="25"/>
      <c r="O32" s="25"/>
      <c r="P32" s="25"/>
      <c r="Q32" s="25"/>
    </row>
    <row r="33" spans="2:17" x14ac:dyDescent="0.25">
      <c r="B33" s="107" t="s">
        <v>1021</v>
      </c>
      <c r="C33" s="108" t="s">
        <v>1022</v>
      </c>
      <c r="D33" s="102" t="s">
        <v>163</v>
      </c>
      <c r="E33" s="75">
        <v>45803</v>
      </c>
      <c r="F33" s="71">
        <f t="shared" ca="1" si="1"/>
        <v>375</v>
      </c>
      <c r="G33" s="104">
        <v>46149</v>
      </c>
      <c r="H33" s="84"/>
      <c r="I33" s="25"/>
      <c r="J33" s="25"/>
      <c r="K33" s="25"/>
      <c r="L33" s="25"/>
      <c r="N33" s="25"/>
      <c r="O33" s="25"/>
      <c r="P33" s="25"/>
      <c r="Q33" s="25"/>
    </row>
    <row r="34" spans="2:17" x14ac:dyDescent="0.25">
      <c r="B34" s="107" t="s">
        <v>1023</v>
      </c>
      <c r="C34" s="108" t="s">
        <v>1024</v>
      </c>
      <c r="D34" s="102" t="s">
        <v>163</v>
      </c>
      <c r="E34" s="75">
        <v>45803</v>
      </c>
      <c r="F34" s="71">
        <f t="shared" ca="1" si="1"/>
        <v>375</v>
      </c>
      <c r="G34" s="104">
        <v>46149</v>
      </c>
      <c r="H34" s="84"/>
      <c r="I34" s="25"/>
      <c r="J34" s="25"/>
      <c r="K34" s="25"/>
      <c r="L34" s="25"/>
      <c r="N34" s="25"/>
      <c r="O34" s="25"/>
      <c r="P34" s="25"/>
      <c r="Q34" s="25"/>
    </row>
    <row r="35" spans="2:17" x14ac:dyDescent="0.25">
      <c r="B35" s="107" t="s">
        <v>1025</v>
      </c>
      <c r="C35" s="108" t="s">
        <v>1026</v>
      </c>
      <c r="D35" s="102" t="s">
        <v>163</v>
      </c>
      <c r="E35" s="75">
        <v>45803</v>
      </c>
      <c r="F35" s="71">
        <f t="shared" ca="1" si="1"/>
        <v>375</v>
      </c>
      <c r="G35" s="104">
        <v>46149</v>
      </c>
      <c r="H35" s="84"/>
      <c r="I35" s="25"/>
      <c r="J35" s="25"/>
      <c r="K35" s="25"/>
      <c r="L35" s="25"/>
      <c r="N35" s="25"/>
      <c r="O35" s="25"/>
      <c r="P35" s="25"/>
      <c r="Q35" s="25"/>
    </row>
    <row r="36" spans="2:17" x14ac:dyDescent="0.25">
      <c r="B36" s="107" t="s">
        <v>1027</v>
      </c>
      <c r="C36" s="108" t="s">
        <v>1028</v>
      </c>
      <c r="D36" s="102" t="s">
        <v>163</v>
      </c>
      <c r="E36" s="75">
        <v>45803</v>
      </c>
      <c r="F36" s="71">
        <f t="shared" ca="1" si="1"/>
        <v>375</v>
      </c>
      <c r="G36" s="104">
        <v>46149</v>
      </c>
      <c r="H36" s="84"/>
      <c r="I36" s="25"/>
      <c r="J36" s="25"/>
      <c r="K36" s="25"/>
      <c r="L36" s="25"/>
      <c r="N36" s="25"/>
      <c r="O36" s="25"/>
      <c r="P36" s="25"/>
      <c r="Q36" s="25"/>
    </row>
    <row r="37" spans="2:17" x14ac:dyDescent="0.25">
      <c r="B37" s="107" t="s">
        <v>1029</v>
      </c>
      <c r="C37" s="108" t="s">
        <v>1030</v>
      </c>
      <c r="D37" s="102" t="s">
        <v>163</v>
      </c>
      <c r="E37" s="75">
        <v>45803</v>
      </c>
      <c r="F37" s="71">
        <f t="shared" ca="1" si="1"/>
        <v>375</v>
      </c>
      <c r="G37" s="104">
        <v>46149</v>
      </c>
      <c r="H37" s="84"/>
      <c r="I37" s="25"/>
      <c r="J37" s="25"/>
      <c r="K37" s="25"/>
      <c r="L37" s="25"/>
      <c r="N37" s="25"/>
      <c r="O37" s="25"/>
      <c r="P37" s="25"/>
      <c r="Q37" s="25"/>
    </row>
    <row r="38" spans="2:17" x14ac:dyDescent="0.25">
      <c r="B38" s="107" t="s">
        <v>1031</v>
      </c>
      <c r="C38" s="108" t="s">
        <v>1032</v>
      </c>
      <c r="D38" s="102" t="s">
        <v>163</v>
      </c>
      <c r="E38" s="75">
        <v>45803</v>
      </c>
      <c r="F38" s="71">
        <f t="shared" ca="1" si="1"/>
        <v>375</v>
      </c>
      <c r="G38" s="104">
        <v>46149</v>
      </c>
      <c r="H38" s="84"/>
      <c r="I38" s="25"/>
      <c r="J38" s="25"/>
      <c r="K38" s="25"/>
      <c r="L38" s="25"/>
      <c r="N38" s="25"/>
      <c r="O38" s="25"/>
      <c r="P38" s="25"/>
      <c r="Q38" s="25"/>
    </row>
    <row r="39" spans="2:17" x14ac:dyDescent="0.25">
      <c r="B39" s="107" t="s">
        <v>1033</v>
      </c>
      <c r="C39" s="108" t="s">
        <v>1034</v>
      </c>
      <c r="D39" s="102" t="s">
        <v>163</v>
      </c>
      <c r="E39" s="75">
        <v>45803</v>
      </c>
      <c r="F39" s="71">
        <f t="shared" ca="1" si="1"/>
        <v>375</v>
      </c>
      <c r="G39" s="104">
        <v>46149</v>
      </c>
      <c r="H39" s="84"/>
      <c r="I39" s="25"/>
      <c r="J39" s="25"/>
      <c r="K39" s="25"/>
      <c r="L39" s="25"/>
      <c r="N39" s="25"/>
      <c r="O39" s="25"/>
      <c r="P39" s="25"/>
      <c r="Q39" s="25"/>
    </row>
    <row r="40" spans="2:17" x14ac:dyDescent="0.25">
      <c r="B40" s="107" t="s">
        <v>1035</v>
      </c>
      <c r="C40" s="108" t="s">
        <v>1036</v>
      </c>
      <c r="D40" s="102" t="s">
        <v>163</v>
      </c>
      <c r="E40" s="75">
        <v>45806</v>
      </c>
      <c r="F40" s="71">
        <f t="shared" ca="1" si="1"/>
        <v>372</v>
      </c>
      <c r="G40" s="104">
        <v>46149</v>
      </c>
      <c r="H40" s="84"/>
      <c r="I40" s="25"/>
      <c r="J40" s="25"/>
      <c r="K40" s="25"/>
      <c r="L40" s="25"/>
      <c r="N40" s="25"/>
      <c r="O40" s="25"/>
      <c r="P40" s="25"/>
      <c r="Q40" s="25"/>
    </row>
    <row r="41" spans="2:17" x14ac:dyDescent="0.25">
      <c r="B41" s="107" t="s">
        <v>1037</v>
      </c>
      <c r="C41" s="108" t="s">
        <v>1038</v>
      </c>
      <c r="D41" s="102" t="s">
        <v>163</v>
      </c>
      <c r="E41" s="75">
        <v>45806</v>
      </c>
      <c r="F41" s="71">
        <f t="shared" ca="1" si="1"/>
        <v>372</v>
      </c>
      <c r="G41" s="104">
        <v>46150</v>
      </c>
      <c r="H41" s="84"/>
      <c r="I41" s="25"/>
      <c r="J41" s="25"/>
      <c r="K41" s="25"/>
      <c r="L41" s="25"/>
      <c r="N41" s="25"/>
      <c r="O41" s="25"/>
      <c r="P41" s="25"/>
      <c r="Q41" s="25"/>
    </row>
    <row r="42" spans="2:17" x14ac:dyDescent="0.25">
      <c r="B42" s="107" t="s">
        <v>1039</v>
      </c>
      <c r="C42" s="108" t="s">
        <v>1040</v>
      </c>
      <c r="D42" s="102" t="s">
        <v>163</v>
      </c>
      <c r="E42" s="75">
        <v>45806</v>
      </c>
      <c r="F42" s="71">
        <f t="shared" ca="1" si="1"/>
        <v>372</v>
      </c>
      <c r="G42" s="104">
        <v>46150</v>
      </c>
      <c r="H42" s="84"/>
      <c r="I42" s="25"/>
      <c r="J42" s="25"/>
      <c r="K42" s="25"/>
      <c r="L42" s="25"/>
      <c r="N42" s="25"/>
      <c r="O42" s="25"/>
      <c r="P42" s="25"/>
      <c r="Q42" s="25"/>
    </row>
    <row r="43" spans="2:17" x14ac:dyDescent="0.25">
      <c r="B43" s="107" t="s">
        <v>1041</v>
      </c>
      <c r="C43" s="108" t="s">
        <v>1042</v>
      </c>
      <c r="D43" s="102" t="s">
        <v>163</v>
      </c>
      <c r="E43" s="75">
        <v>45806</v>
      </c>
      <c r="F43" s="71">
        <f t="shared" ca="1" si="1"/>
        <v>372</v>
      </c>
      <c r="G43" s="104">
        <v>46150</v>
      </c>
      <c r="H43" s="84"/>
      <c r="I43" s="25"/>
      <c r="J43" s="25"/>
      <c r="K43" s="25"/>
      <c r="L43" s="25"/>
      <c r="N43" s="25"/>
      <c r="O43" s="25"/>
      <c r="P43" s="25"/>
      <c r="Q43" s="25"/>
    </row>
    <row r="44" spans="2:17" x14ac:dyDescent="0.25">
      <c r="B44" s="107" t="s">
        <v>1043</v>
      </c>
      <c r="C44" s="108" t="s">
        <v>1044</v>
      </c>
      <c r="D44" s="102" t="s">
        <v>163</v>
      </c>
      <c r="E44" s="75">
        <v>45806</v>
      </c>
      <c r="F44" s="71">
        <f t="shared" ca="1" si="1"/>
        <v>372</v>
      </c>
      <c r="G44" s="104">
        <v>46150</v>
      </c>
      <c r="H44" s="84"/>
      <c r="I44" s="25"/>
      <c r="J44" s="25"/>
      <c r="K44" s="25"/>
      <c r="L44" s="25"/>
      <c r="N44" s="25"/>
      <c r="O44" s="25"/>
      <c r="P44" s="25"/>
      <c r="Q44" s="25"/>
    </row>
    <row r="45" spans="2:17" x14ac:dyDescent="0.25">
      <c r="B45" s="107" t="s">
        <v>1045</v>
      </c>
      <c r="C45" s="108" t="s">
        <v>1046</v>
      </c>
      <c r="D45" s="102" t="s">
        <v>163</v>
      </c>
      <c r="E45" s="75">
        <v>45806</v>
      </c>
      <c r="F45" s="71">
        <f t="shared" ca="1" si="1"/>
        <v>372</v>
      </c>
      <c r="G45" s="104">
        <v>46150</v>
      </c>
      <c r="H45" s="84"/>
      <c r="I45" s="25"/>
      <c r="J45" s="25"/>
      <c r="K45" s="25"/>
      <c r="L45" s="25"/>
      <c r="N45" s="25"/>
      <c r="O45" s="25"/>
      <c r="P45" s="25"/>
      <c r="Q45" s="25"/>
    </row>
    <row r="46" spans="2:17" x14ac:dyDescent="0.25">
      <c r="B46" s="107" t="s">
        <v>1047</v>
      </c>
      <c r="C46" s="108" t="s">
        <v>1048</v>
      </c>
      <c r="D46" s="102" t="s">
        <v>163</v>
      </c>
      <c r="E46" s="75">
        <v>45806</v>
      </c>
      <c r="F46" s="71">
        <f t="shared" ca="1" si="1"/>
        <v>372</v>
      </c>
      <c r="G46" s="104">
        <v>46121</v>
      </c>
      <c r="H46" s="84"/>
      <c r="I46" s="25"/>
      <c r="J46" s="25"/>
      <c r="K46" s="25"/>
      <c r="L46" s="25"/>
      <c r="N46" s="25"/>
      <c r="O46" s="25"/>
      <c r="P46" s="25"/>
      <c r="Q46" s="25"/>
    </row>
    <row r="47" spans="2:17" x14ac:dyDescent="0.25">
      <c r="B47" s="107" t="s">
        <v>1251</v>
      </c>
      <c r="C47" s="108" t="s">
        <v>1252</v>
      </c>
      <c r="D47" s="102" t="s">
        <v>163</v>
      </c>
      <c r="E47" s="99">
        <v>45989</v>
      </c>
      <c r="F47" s="71">
        <f t="shared" ca="1" si="1"/>
        <v>189</v>
      </c>
      <c r="G47" s="104">
        <v>46121</v>
      </c>
      <c r="H47" s="84"/>
      <c r="I47" s="104">
        <v>46176</v>
      </c>
      <c r="J47" s="25"/>
      <c r="K47" s="25">
        <v>8.6999999999999993</v>
      </c>
      <c r="L47" s="116">
        <f t="shared" ref="L47:L52" si="2">I47+21</f>
        <v>46197</v>
      </c>
      <c r="N47" s="25"/>
      <c r="O47" s="25"/>
      <c r="P47" s="25"/>
      <c r="Q47" s="25"/>
    </row>
    <row r="48" spans="2:17" x14ac:dyDescent="0.25">
      <c r="B48" s="107" t="s">
        <v>1253</v>
      </c>
      <c r="C48" s="108" t="s">
        <v>1254</v>
      </c>
      <c r="D48" s="102" t="s">
        <v>163</v>
      </c>
      <c r="E48" s="99">
        <v>45989</v>
      </c>
      <c r="F48" s="71">
        <f t="shared" ca="1" si="1"/>
        <v>189</v>
      </c>
      <c r="G48" s="104">
        <v>46121</v>
      </c>
      <c r="H48" s="84"/>
      <c r="I48" s="104">
        <v>46176</v>
      </c>
      <c r="J48" s="25"/>
      <c r="K48" s="25">
        <v>7.6</v>
      </c>
      <c r="L48" s="116">
        <f t="shared" si="2"/>
        <v>46197</v>
      </c>
      <c r="N48" s="25"/>
      <c r="O48" s="25"/>
      <c r="P48" s="25"/>
      <c r="Q48" s="25"/>
    </row>
    <row r="49" spans="2:17" x14ac:dyDescent="0.25">
      <c r="B49" s="107" t="s">
        <v>1255</v>
      </c>
      <c r="C49" s="108" t="s">
        <v>1256</v>
      </c>
      <c r="D49" s="102" t="s">
        <v>163</v>
      </c>
      <c r="E49" s="99">
        <v>45990</v>
      </c>
      <c r="F49" s="71">
        <f t="shared" ca="1" si="1"/>
        <v>188</v>
      </c>
      <c r="G49" s="104">
        <v>46122</v>
      </c>
      <c r="H49" s="84"/>
      <c r="I49" s="104">
        <v>46176</v>
      </c>
      <c r="J49" s="25"/>
      <c r="K49" s="25">
        <v>7.6</v>
      </c>
      <c r="L49" s="116">
        <f t="shared" si="2"/>
        <v>46197</v>
      </c>
      <c r="N49" s="25"/>
      <c r="O49" s="25"/>
      <c r="P49" s="25"/>
      <c r="Q49" s="25"/>
    </row>
    <row r="50" spans="2:17" x14ac:dyDescent="0.25">
      <c r="B50" s="107" t="s">
        <v>1257</v>
      </c>
      <c r="C50" s="108" t="s">
        <v>1258</v>
      </c>
      <c r="D50" s="102" t="s">
        <v>163</v>
      </c>
      <c r="E50" s="99">
        <v>45990</v>
      </c>
      <c r="F50" s="71">
        <f t="shared" ca="1" si="1"/>
        <v>188</v>
      </c>
      <c r="G50" s="104">
        <v>46122</v>
      </c>
      <c r="H50" s="84"/>
      <c r="I50" s="104">
        <v>46176</v>
      </c>
      <c r="J50" s="25"/>
      <c r="K50" s="25">
        <v>6.4</v>
      </c>
      <c r="L50" s="116">
        <f t="shared" si="2"/>
        <v>46197</v>
      </c>
      <c r="N50" s="25"/>
      <c r="O50" s="25"/>
      <c r="P50" s="25"/>
      <c r="Q50" s="25"/>
    </row>
    <row r="51" spans="2:17" x14ac:dyDescent="0.25">
      <c r="B51" s="107" t="s">
        <v>1259</v>
      </c>
      <c r="C51" s="108" t="s">
        <v>1260</v>
      </c>
      <c r="D51" s="102" t="s">
        <v>163</v>
      </c>
      <c r="E51" s="99">
        <v>45991</v>
      </c>
      <c r="F51" s="71">
        <f t="shared" ca="1" si="1"/>
        <v>187</v>
      </c>
      <c r="G51" s="104">
        <v>46122</v>
      </c>
      <c r="H51" s="84"/>
      <c r="I51" s="104">
        <v>46176</v>
      </c>
      <c r="J51" s="25"/>
      <c r="K51" s="25">
        <v>7.2</v>
      </c>
      <c r="L51" s="116">
        <f t="shared" si="2"/>
        <v>46197</v>
      </c>
      <c r="N51" s="25"/>
      <c r="O51" s="25"/>
      <c r="P51" s="25"/>
      <c r="Q51" s="25"/>
    </row>
    <row r="52" spans="2:17" x14ac:dyDescent="0.25">
      <c r="B52" s="107" t="s">
        <v>1261</v>
      </c>
      <c r="C52" s="108" t="s">
        <v>1262</v>
      </c>
      <c r="D52" s="102" t="s">
        <v>163</v>
      </c>
      <c r="E52" s="99">
        <v>45991</v>
      </c>
      <c r="F52" s="71">
        <f t="shared" ca="1" si="1"/>
        <v>187</v>
      </c>
      <c r="G52" s="104">
        <v>46122</v>
      </c>
      <c r="H52" s="84"/>
      <c r="I52" s="104">
        <v>46176</v>
      </c>
      <c r="J52" s="25"/>
      <c r="K52" s="25">
        <v>5.9</v>
      </c>
      <c r="L52" s="116">
        <f t="shared" si="2"/>
        <v>46197</v>
      </c>
      <c r="N52" s="25"/>
      <c r="O52" s="25"/>
      <c r="P52" s="25"/>
      <c r="Q52" s="25"/>
    </row>
    <row r="53" spans="2:17" x14ac:dyDescent="0.25">
      <c r="B53" s="107" t="s">
        <v>1263</v>
      </c>
      <c r="C53" s="108" t="s">
        <v>1264</v>
      </c>
      <c r="D53" s="102" t="s">
        <v>163</v>
      </c>
      <c r="E53" s="99">
        <v>45992</v>
      </c>
      <c r="F53" s="71">
        <f t="shared" ca="1" si="1"/>
        <v>186</v>
      </c>
      <c r="G53" s="104">
        <v>46122</v>
      </c>
      <c r="H53" s="84"/>
      <c r="I53" s="104">
        <v>46177</v>
      </c>
      <c r="J53" s="25"/>
      <c r="K53" s="25">
        <v>5.0999999999999996</v>
      </c>
      <c r="L53" s="116">
        <f t="shared" ref="L53:L59" si="3">I53+21</f>
        <v>46198</v>
      </c>
      <c r="N53" s="25"/>
      <c r="O53" s="25"/>
      <c r="P53" s="25"/>
      <c r="Q53" s="25"/>
    </row>
    <row r="54" spans="2:17" x14ac:dyDescent="0.25">
      <c r="B54" s="107" t="s">
        <v>1265</v>
      </c>
      <c r="C54" s="108" t="s">
        <v>1266</v>
      </c>
      <c r="D54" s="102" t="s">
        <v>163</v>
      </c>
      <c r="E54" s="99">
        <v>45992</v>
      </c>
      <c r="F54" s="71">
        <f t="shared" ca="1" si="1"/>
        <v>186</v>
      </c>
      <c r="G54" s="104">
        <v>46122</v>
      </c>
      <c r="H54" s="84"/>
      <c r="I54" s="104">
        <v>46177</v>
      </c>
      <c r="J54" s="25"/>
      <c r="K54" s="25">
        <v>5.3</v>
      </c>
      <c r="L54" s="116">
        <f t="shared" si="3"/>
        <v>46198</v>
      </c>
      <c r="N54" s="25"/>
      <c r="O54" s="25"/>
      <c r="P54" s="25"/>
      <c r="Q54" s="25"/>
    </row>
    <row r="55" spans="2:17" x14ac:dyDescent="0.25">
      <c r="B55" s="107" t="s">
        <v>1267</v>
      </c>
      <c r="C55" s="108" t="s">
        <v>1268</v>
      </c>
      <c r="D55" s="102" t="s">
        <v>163</v>
      </c>
      <c r="E55" s="99">
        <v>45993</v>
      </c>
      <c r="F55" s="71">
        <f t="shared" ca="1" si="1"/>
        <v>185</v>
      </c>
      <c r="G55" s="104">
        <v>46122</v>
      </c>
      <c r="H55" s="84"/>
      <c r="I55" s="104">
        <v>46177</v>
      </c>
      <c r="J55" s="25"/>
      <c r="K55" s="25">
        <v>5.9</v>
      </c>
      <c r="L55" s="116">
        <f t="shared" si="3"/>
        <v>46198</v>
      </c>
      <c r="N55" s="25"/>
      <c r="O55" s="25"/>
      <c r="P55" s="25"/>
      <c r="Q55" s="25"/>
    </row>
    <row r="56" spans="2:17" x14ac:dyDescent="0.25">
      <c r="B56" s="107" t="s">
        <v>1269</v>
      </c>
      <c r="C56" s="108" t="s">
        <v>1270</v>
      </c>
      <c r="D56" s="102" t="s">
        <v>163</v>
      </c>
      <c r="E56" s="99">
        <v>45993</v>
      </c>
      <c r="F56" s="71">
        <f t="shared" ca="1" si="1"/>
        <v>185</v>
      </c>
      <c r="G56" s="104">
        <v>46123</v>
      </c>
      <c r="H56" s="84"/>
      <c r="I56" s="104">
        <v>46177</v>
      </c>
      <c r="J56" s="25"/>
      <c r="K56" s="25">
        <v>5.8</v>
      </c>
      <c r="L56" s="116">
        <f t="shared" si="3"/>
        <v>46198</v>
      </c>
      <c r="N56" s="25"/>
      <c r="O56" s="25"/>
      <c r="P56" s="25"/>
      <c r="Q56" s="25"/>
    </row>
    <row r="57" spans="2:17" x14ac:dyDescent="0.25">
      <c r="B57" s="107" t="s">
        <v>1271</v>
      </c>
      <c r="C57" s="108" t="s">
        <v>1272</v>
      </c>
      <c r="D57" s="102" t="s">
        <v>163</v>
      </c>
      <c r="E57" s="99">
        <v>45995</v>
      </c>
      <c r="F57" s="71">
        <f t="shared" ca="1" si="1"/>
        <v>183</v>
      </c>
      <c r="G57" s="104">
        <v>46123</v>
      </c>
      <c r="H57" s="84"/>
      <c r="I57" s="104">
        <v>46177</v>
      </c>
      <c r="J57" s="25"/>
      <c r="K57" s="25">
        <v>4.9000000000000004</v>
      </c>
      <c r="L57" s="116">
        <f t="shared" si="3"/>
        <v>46198</v>
      </c>
      <c r="N57" s="25"/>
      <c r="O57" s="25"/>
      <c r="P57" s="25"/>
      <c r="Q57" s="25"/>
    </row>
    <row r="58" spans="2:17" x14ac:dyDescent="0.25">
      <c r="B58" s="107" t="s">
        <v>1273</v>
      </c>
      <c r="C58" s="108" t="s">
        <v>1274</v>
      </c>
      <c r="D58" s="102" t="s">
        <v>163</v>
      </c>
      <c r="E58" s="99">
        <v>45995</v>
      </c>
      <c r="F58" s="71">
        <f t="shared" ca="1" si="1"/>
        <v>183</v>
      </c>
      <c r="G58" s="104">
        <v>46123</v>
      </c>
      <c r="H58" s="84"/>
      <c r="I58" s="104">
        <v>46177</v>
      </c>
      <c r="J58" s="25"/>
      <c r="K58" s="25">
        <v>4.8</v>
      </c>
      <c r="L58" s="116">
        <f t="shared" si="3"/>
        <v>46198</v>
      </c>
      <c r="N58" s="25"/>
      <c r="O58" s="25"/>
      <c r="P58" s="25"/>
      <c r="Q58" s="25"/>
    </row>
    <row r="59" spans="2:17" x14ac:dyDescent="0.25">
      <c r="B59" s="107" t="s">
        <v>1275</v>
      </c>
      <c r="C59" s="108" t="s">
        <v>1276</v>
      </c>
      <c r="D59" s="102" t="s">
        <v>163</v>
      </c>
      <c r="E59" s="99">
        <v>45996</v>
      </c>
      <c r="F59" s="71">
        <f t="shared" ca="1" si="1"/>
        <v>182</v>
      </c>
      <c r="G59" s="104">
        <v>46123</v>
      </c>
      <c r="H59" s="84"/>
      <c r="I59" s="104">
        <v>46177</v>
      </c>
      <c r="J59" s="25"/>
      <c r="K59" s="25">
        <v>5.9</v>
      </c>
      <c r="L59" s="116">
        <f t="shared" si="3"/>
        <v>46198</v>
      </c>
      <c r="N59" s="25"/>
      <c r="O59" s="25"/>
      <c r="P59" s="25"/>
      <c r="Q59" s="25"/>
    </row>
    <row r="60" spans="2:17" x14ac:dyDescent="0.25">
      <c r="B60" s="107" t="s">
        <v>1282</v>
      </c>
      <c r="C60" s="108" t="s">
        <v>1283</v>
      </c>
      <c r="D60" s="102" t="s">
        <v>163</v>
      </c>
      <c r="E60" s="99">
        <v>45996</v>
      </c>
      <c r="F60" s="71">
        <f t="shared" ca="1" si="1"/>
        <v>182</v>
      </c>
      <c r="G60" s="104">
        <v>46123</v>
      </c>
      <c r="H60" s="84"/>
      <c r="I60" s="104">
        <v>46178</v>
      </c>
      <c r="J60" s="25"/>
      <c r="K60" s="25">
        <v>6.2</v>
      </c>
      <c r="L60" s="116">
        <f>I60+21</f>
        <v>46199</v>
      </c>
      <c r="N60" s="25"/>
      <c r="O60" s="25"/>
      <c r="P60" s="25"/>
      <c r="Q60" s="25"/>
    </row>
    <row r="61" spans="2:17" x14ac:dyDescent="0.25">
      <c r="B61" s="107" t="s">
        <v>1284</v>
      </c>
      <c r="C61" s="108" t="s">
        <v>1285</v>
      </c>
      <c r="D61" s="102" t="s">
        <v>163</v>
      </c>
      <c r="E61" s="99">
        <v>45996</v>
      </c>
      <c r="F61" s="71">
        <f t="shared" ca="1" si="1"/>
        <v>182</v>
      </c>
      <c r="G61" s="104">
        <v>46123</v>
      </c>
      <c r="H61" s="84"/>
      <c r="I61" s="104">
        <v>46178</v>
      </c>
      <c r="J61" s="25"/>
      <c r="K61" s="25">
        <v>7.2</v>
      </c>
      <c r="L61" s="116">
        <f t="shared" ref="L61:L66" si="4">I61+21</f>
        <v>46199</v>
      </c>
      <c r="N61" s="25"/>
      <c r="O61" s="25"/>
      <c r="P61" s="25"/>
      <c r="Q61" s="25"/>
    </row>
    <row r="62" spans="2:17" x14ac:dyDescent="0.25">
      <c r="B62" s="105" t="s">
        <v>1286</v>
      </c>
      <c r="C62" s="106" t="s">
        <v>1287</v>
      </c>
      <c r="D62" s="102" t="s">
        <v>163</v>
      </c>
      <c r="E62" s="99">
        <v>45997</v>
      </c>
      <c r="F62" s="71">
        <f t="shared" ca="1" si="1"/>
        <v>181</v>
      </c>
      <c r="G62" s="104">
        <v>46123</v>
      </c>
      <c r="H62" s="84"/>
      <c r="I62" s="104">
        <v>46178</v>
      </c>
      <c r="J62" s="25"/>
      <c r="K62" s="25">
        <v>6.6</v>
      </c>
      <c r="L62" s="116">
        <f t="shared" si="4"/>
        <v>46199</v>
      </c>
      <c r="N62" s="25"/>
      <c r="O62" s="25"/>
      <c r="P62" s="25"/>
      <c r="Q62" s="25"/>
    </row>
    <row r="63" spans="2:17" x14ac:dyDescent="0.25">
      <c r="B63" s="105" t="s">
        <v>1288</v>
      </c>
      <c r="C63" s="106" t="s">
        <v>1289</v>
      </c>
      <c r="D63" s="102" t="s">
        <v>163</v>
      </c>
      <c r="E63" s="99">
        <v>45997</v>
      </c>
      <c r="F63" s="71">
        <f t="shared" ca="1" si="1"/>
        <v>181</v>
      </c>
      <c r="G63" s="104">
        <v>46124</v>
      </c>
      <c r="H63" s="84"/>
      <c r="I63" s="104">
        <v>46178</v>
      </c>
      <c r="J63" s="25"/>
      <c r="K63" s="25">
        <v>6.7</v>
      </c>
      <c r="L63" s="116">
        <f t="shared" si="4"/>
        <v>46199</v>
      </c>
      <c r="N63" s="25"/>
      <c r="O63" s="25"/>
      <c r="P63" s="25"/>
      <c r="Q63" s="25"/>
    </row>
    <row r="64" spans="2:17" x14ac:dyDescent="0.25">
      <c r="B64" s="105" t="s">
        <v>1290</v>
      </c>
      <c r="C64" s="106" t="s">
        <v>1291</v>
      </c>
      <c r="D64" s="102" t="s">
        <v>163</v>
      </c>
      <c r="E64" s="99">
        <v>45997</v>
      </c>
      <c r="F64" s="71">
        <f t="shared" ca="1" si="1"/>
        <v>181</v>
      </c>
      <c r="G64" s="104">
        <v>46124</v>
      </c>
      <c r="H64" s="84"/>
      <c r="I64" s="104">
        <v>46178</v>
      </c>
      <c r="J64" s="25"/>
      <c r="K64" s="25">
        <v>7</v>
      </c>
      <c r="L64" s="116">
        <f t="shared" si="4"/>
        <v>46199</v>
      </c>
      <c r="N64" s="25"/>
      <c r="O64" s="25"/>
      <c r="P64" s="25"/>
      <c r="Q64" s="25"/>
    </row>
    <row r="65" spans="2:17" x14ac:dyDescent="0.25">
      <c r="B65" s="105" t="s">
        <v>1292</v>
      </c>
      <c r="C65" s="106" t="s">
        <v>1293</v>
      </c>
      <c r="D65" s="102" t="s">
        <v>163</v>
      </c>
      <c r="E65" s="99">
        <v>45998</v>
      </c>
      <c r="F65" s="71">
        <f t="shared" ca="1" si="1"/>
        <v>180</v>
      </c>
      <c r="G65" s="104">
        <v>46124</v>
      </c>
      <c r="H65" s="84"/>
      <c r="I65" s="104">
        <v>46178</v>
      </c>
      <c r="J65" s="25"/>
      <c r="K65" s="25">
        <v>7.1</v>
      </c>
      <c r="L65" s="116">
        <f t="shared" si="4"/>
        <v>46199</v>
      </c>
      <c r="N65" s="25"/>
      <c r="O65" s="25"/>
      <c r="P65" s="25"/>
      <c r="Q65" s="25"/>
    </row>
    <row r="66" spans="2:17" x14ac:dyDescent="0.25">
      <c r="B66" s="105" t="s">
        <v>1294</v>
      </c>
      <c r="C66" s="106" t="s">
        <v>1295</v>
      </c>
      <c r="D66" s="102" t="s">
        <v>163</v>
      </c>
      <c r="E66" s="99">
        <v>45998</v>
      </c>
      <c r="F66" s="71">
        <f t="shared" ca="1" si="1"/>
        <v>180</v>
      </c>
      <c r="G66" s="104">
        <v>46124</v>
      </c>
      <c r="H66" s="84"/>
      <c r="I66" s="104">
        <v>46178</v>
      </c>
      <c r="J66" s="25"/>
      <c r="K66" s="25">
        <v>7.3</v>
      </c>
      <c r="L66" s="116">
        <f t="shared" si="4"/>
        <v>46199</v>
      </c>
      <c r="N66" s="25"/>
      <c r="O66" s="25"/>
      <c r="P66" s="25"/>
      <c r="Q66" s="25"/>
    </row>
    <row r="67" spans="2:17" x14ac:dyDescent="0.25">
      <c r="B67" s="105" t="s">
        <v>1296</v>
      </c>
      <c r="C67" s="106" t="s">
        <v>1297</v>
      </c>
      <c r="D67" s="102" t="s">
        <v>163</v>
      </c>
      <c r="E67" s="99">
        <v>45999</v>
      </c>
      <c r="F67" s="71">
        <f t="shared" ca="1" si="1"/>
        <v>179</v>
      </c>
      <c r="G67" s="104">
        <v>46124</v>
      </c>
      <c r="H67" s="84"/>
      <c r="I67" s="25"/>
      <c r="J67" s="25"/>
      <c r="K67" s="25"/>
      <c r="L67" s="25"/>
      <c r="N67" s="25"/>
      <c r="O67" s="25"/>
      <c r="P67" s="25"/>
      <c r="Q67" s="25"/>
    </row>
    <row r="68" spans="2:17" x14ac:dyDescent="0.25">
      <c r="B68" s="105" t="s">
        <v>1298</v>
      </c>
      <c r="C68" s="106" t="s">
        <v>1299</v>
      </c>
      <c r="D68" s="102" t="s">
        <v>163</v>
      </c>
      <c r="E68" s="99">
        <v>45999</v>
      </c>
      <c r="F68" s="71">
        <f t="shared" ca="1" si="1"/>
        <v>179</v>
      </c>
      <c r="G68" s="104">
        <v>46124</v>
      </c>
      <c r="H68" s="84"/>
      <c r="I68" s="25"/>
      <c r="J68" s="25"/>
      <c r="K68" s="25"/>
      <c r="L68" s="25"/>
      <c r="N68" s="25"/>
      <c r="O68" s="25"/>
      <c r="P68" s="25"/>
      <c r="Q68" s="25"/>
    </row>
    <row r="69" spans="2:17" x14ac:dyDescent="0.25">
      <c r="B69" s="105" t="s">
        <v>1300</v>
      </c>
      <c r="C69" s="106" t="s">
        <v>1301</v>
      </c>
      <c r="D69" s="102" t="s">
        <v>163</v>
      </c>
      <c r="E69" s="99">
        <v>46000</v>
      </c>
      <c r="F69" s="71">
        <f t="shared" ca="1" si="1"/>
        <v>178</v>
      </c>
      <c r="G69" s="104">
        <v>46124</v>
      </c>
      <c r="H69" s="84"/>
      <c r="I69" s="25"/>
      <c r="J69" s="25"/>
      <c r="K69" s="25"/>
      <c r="L69" s="25"/>
      <c r="N69" s="25"/>
      <c r="O69" s="25"/>
      <c r="P69" s="25"/>
      <c r="Q69" s="25"/>
    </row>
    <row r="70" spans="2:17" x14ac:dyDescent="0.25">
      <c r="B70" s="105" t="s">
        <v>1318</v>
      </c>
      <c r="C70" s="106" t="s">
        <v>1319</v>
      </c>
      <c r="D70" s="102" t="s">
        <v>163</v>
      </c>
      <c r="E70" s="99">
        <v>46008</v>
      </c>
      <c r="F70" s="71">
        <f t="shared" ca="1" si="1"/>
        <v>170</v>
      </c>
      <c r="G70" s="104">
        <v>46124</v>
      </c>
      <c r="H70" s="84"/>
      <c r="I70" s="25"/>
      <c r="J70" s="25"/>
      <c r="K70" s="25"/>
      <c r="L70" s="25"/>
      <c r="N70" s="25"/>
      <c r="O70" s="25"/>
      <c r="P70" s="25"/>
      <c r="Q70" s="25"/>
    </row>
    <row r="71" spans="2:17" x14ac:dyDescent="0.25">
      <c r="B71" s="105" t="s">
        <v>1320</v>
      </c>
      <c r="C71" s="106" t="s">
        <v>1321</v>
      </c>
      <c r="D71" s="102" t="s">
        <v>163</v>
      </c>
      <c r="E71" s="99">
        <v>46009</v>
      </c>
      <c r="F71" s="71">
        <f t="shared" ca="1" si="1"/>
        <v>169</v>
      </c>
      <c r="G71" s="104">
        <v>46125</v>
      </c>
      <c r="H71" s="84"/>
      <c r="I71" s="25"/>
      <c r="J71" s="25"/>
      <c r="K71" s="25"/>
      <c r="L71" s="25"/>
      <c r="N71" s="25"/>
      <c r="O71" s="25"/>
      <c r="P71" s="25"/>
      <c r="Q71" s="25"/>
    </row>
    <row r="72" spans="2:17" x14ac:dyDescent="0.25">
      <c r="B72" s="105" t="s">
        <v>1433</v>
      </c>
      <c r="C72" s="106" t="s">
        <v>1434</v>
      </c>
      <c r="D72" s="102" t="s">
        <v>163</v>
      </c>
      <c r="E72" s="99">
        <v>46009</v>
      </c>
      <c r="F72" s="71">
        <f t="shared" ref="F72:F135" ca="1" si="5">$F$2-E72</f>
        <v>169</v>
      </c>
      <c r="G72" s="104">
        <v>46125</v>
      </c>
      <c r="H72" s="84"/>
      <c r="I72" s="25"/>
      <c r="J72" s="25"/>
      <c r="K72" s="25"/>
      <c r="L72" s="25"/>
      <c r="N72" s="25"/>
      <c r="O72" s="25"/>
      <c r="P72" s="25"/>
      <c r="Q72" s="25"/>
    </row>
    <row r="73" spans="2:17" x14ac:dyDescent="0.25">
      <c r="B73" s="105" t="s">
        <v>1435</v>
      </c>
      <c r="C73" s="106" t="s">
        <v>1436</v>
      </c>
      <c r="D73" s="102" t="s">
        <v>163</v>
      </c>
      <c r="E73" s="99">
        <v>46010</v>
      </c>
      <c r="F73" s="71">
        <f t="shared" ca="1" si="5"/>
        <v>168</v>
      </c>
      <c r="G73" s="104">
        <v>46125</v>
      </c>
      <c r="H73" s="84"/>
      <c r="I73" s="25"/>
      <c r="J73" s="25"/>
      <c r="K73" s="25"/>
      <c r="L73" s="25"/>
      <c r="N73" s="25"/>
      <c r="O73" s="25"/>
      <c r="P73" s="25"/>
      <c r="Q73" s="25"/>
    </row>
    <row r="74" spans="2:17" x14ac:dyDescent="0.25">
      <c r="B74" s="105" t="s">
        <v>1437</v>
      </c>
      <c r="C74" s="106" t="s">
        <v>1438</v>
      </c>
      <c r="D74" s="102" t="s">
        <v>163</v>
      </c>
      <c r="E74" s="99">
        <v>46011</v>
      </c>
      <c r="F74" s="71">
        <f t="shared" ca="1" si="5"/>
        <v>167</v>
      </c>
      <c r="G74" s="104">
        <v>46125</v>
      </c>
      <c r="H74" s="84"/>
      <c r="I74" s="25"/>
      <c r="J74" s="25"/>
      <c r="K74" s="25"/>
      <c r="L74" s="25"/>
      <c r="N74" s="25"/>
      <c r="O74" s="25"/>
      <c r="P74" s="25"/>
      <c r="Q74" s="25"/>
    </row>
    <row r="75" spans="2:17" x14ac:dyDescent="0.25">
      <c r="B75" s="105" t="s">
        <v>1439</v>
      </c>
      <c r="C75" s="106" t="s">
        <v>1440</v>
      </c>
      <c r="D75" s="102" t="s">
        <v>163</v>
      </c>
      <c r="E75" s="99">
        <v>46012</v>
      </c>
      <c r="F75" s="71">
        <f t="shared" ca="1" si="5"/>
        <v>166</v>
      </c>
      <c r="G75" s="104">
        <v>46125</v>
      </c>
      <c r="H75" s="84"/>
      <c r="I75" s="25"/>
      <c r="J75" s="25"/>
      <c r="K75" s="25"/>
      <c r="L75" s="25"/>
      <c r="N75" s="25"/>
      <c r="O75" s="25"/>
      <c r="P75" s="25"/>
      <c r="Q75" s="25"/>
    </row>
    <row r="76" spans="2:17" x14ac:dyDescent="0.25">
      <c r="B76" s="105" t="s">
        <v>1441</v>
      </c>
      <c r="C76" s="106" t="s">
        <v>1442</v>
      </c>
      <c r="D76" s="102" t="s">
        <v>163</v>
      </c>
      <c r="E76" s="99">
        <v>46014</v>
      </c>
      <c r="F76" s="71">
        <f t="shared" ca="1" si="5"/>
        <v>164</v>
      </c>
      <c r="G76" s="104">
        <v>46125</v>
      </c>
      <c r="H76" s="84"/>
      <c r="I76" s="25"/>
      <c r="J76" s="25"/>
      <c r="K76" s="25"/>
      <c r="L76" s="25"/>
      <c r="N76" s="25"/>
      <c r="O76" s="25"/>
      <c r="P76" s="25"/>
      <c r="Q76" s="25"/>
    </row>
    <row r="77" spans="2:17" x14ac:dyDescent="0.25">
      <c r="B77" s="105" t="s">
        <v>1443</v>
      </c>
      <c r="C77" s="106" t="s">
        <v>1444</v>
      </c>
      <c r="D77" s="102" t="s">
        <v>163</v>
      </c>
      <c r="E77" s="99">
        <v>46014</v>
      </c>
      <c r="F77" s="71">
        <f t="shared" ca="1" si="5"/>
        <v>164</v>
      </c>
      <c r="G77" s="104">
        <v>46125</v>
      </c>
      <c r="H77" s="84"/>
      <c r="I77" s="25"/>
      <c r="J77" s="25"/>
      <c r="K77" s="25"/>
      <c r="L77" s="25"/>
      <c r="N77" s="25"/>
      <c r="O77" s="25"/>
      <c r="P77" s="25"/>
      <c r="Q77" s="25"/>
    </row>
    <row r="78" spans="2:17" x14ac:dyDescent="0.25">
      <c r="B78" s="105" t="s">
        <v>1445</v>
      </c>
      <c r="C78" s="106" t="s">
        <v>1446</v>
      </c>
      <c r="D78" s="102" t="s">
        <v>163</v>
      </c>
      <c r="E78" s="99">
        <v>46015</v>
      </c>
      <c r="F78" s="71">
        <f t="shared" ca="1" si="5"/>
        <v>163</v>
      </c>
      <c r="G78" s="104">
        <v>46125</v>
      </c>
      <c r="H78" s="84"/>
      <c r="I78" s="25"/>
      <c r="J78" s="25"/>
      <c r="K78" s="25"/>
      <c r="L78" s="25"/>
      <c r="N78" s="25"/>
      <c r="O78" s="25"/>
      <c r="P78" s="25"/>
      <c r="Q78" s="25"/>
    </row>
    <row r="79" spans="2:17" x14ac:dyDescent="0.25">
      <c r="B79" s="105" t="s">
        <v>1447</v>
      </c>
      <c r="C79" s="106" t="s">
        <v>1448</v>
      </c>
      <c r="D79" s="102" t="s">
        <v>163</v>
      </c>
      <c r="E79" s="99">
        <v>46016</v>
      </c>
      <c r="F79" s="71">
        <f t="shared" ca="1" si="5"/>
        <v>162</v>
      </c>
      <c r="G79" s="104">
        <v>46126</v>
      </c>
      <c r="H79" s="84"/>
      <c r="I79" s="25"/>
      <c r="J79" s="25"/>
      <c r="K79" s="25"/>
      <c r="L79" s="25"/>
      <c r="N79" s="25"/>
      <c r="O79" s="25"/>
      <c r="P79" s="25"/>
      <c r="Q79" s="25"/>
    </row>
    <row r="80" spans="2:17" x14ac:dyDescent="0.25">
      <c r="B80" s="105" t="s">
        <v>1449</v>
      </c>
      <c r="C80" s="106" t="s">
        <v>1450</v>
      </c>
      <c r="D80" s="102" t="s">
        <v>163</v>
      </c>
      <c r="E80" s="99">
        <v>46017</v>
      </c>
      <c r="F80" s="71">
        <f t="shared" ca="1" si="5"/>
        <v>161</v>
      </c>
      <c r="G80" s="104">
        <v>46126</v>
      </c>
      <c r="H80" s="84"/>
      <c r="I80" s="25"/>
      <c r="J80" s="25"/>
      <c r="K80" s="25"/>
      <c r="L80" s="25"/>
      <c r="N80" s="25"/>
      <c r="O80" s="25"/>
      <c r="P80" s="25"/>
      <c r="Q80" s="25"/>
    </row>
    <row r="81" spans="2:17" x14ac:dyDescent="0.25">
      <c r="B81" s="105" t="s">
        <v>1451</v>
      </c>
      <c r="C81" s="106" t="s">
        <v>1452</v>
      </c>
      <c r="D81" s="102" t="s">
        <v>163</v>
      </c>
      <c r="E81" s="99">
        <v>46018</v>
      </c>
      <c r="F81" s="71">
        <f t="shared" ca="1" si="5"/>
        <v>160</v>
      </c>
      <c r="G81" s="104">
        <v>46126</v>
      </c>
      <c r="H81" s="84"/>
      <c r="I81" s="25"/>
      <c r="J81" s="25"/>
      <c r="K81" s="25"/>
      <c r="L81" s="25"/>
      <c r="N81" s="25"/>
      <c r="O81" s="25"/>
      <c r="P81" s="25"/>
      <c r="Q81" s="25"/>
    </row>
    <row r="82" spans="2:17" x14ac:dyDescent="0.25">
      <c r="B82" s="105" t="s">
        <v>1453</v>
      </c>
      <c r="C82" s="106" t="s">
        <v>1454</v>
      </c>
      <c r="D82" s="102" t="s">
        <v>163</v>
      </c>
      <c r="E82" s="99">
        <v>46018</v>
      </c>
      <c r="F82" s="71">
        <f t="shared" ca="1" si="5"/>
        <v>160</v>
      </c>
      <c r="G82" s="104">
        <v>46126</v>
      </c>
      <c r="H82" s="84"/>
      <c r="I82" s="25"/>
      <c r="J82" s="25"/>
      <c r="K82" s="25"/>
      <c r="L82" s="25"/>
      <c r="N82" s="25"/>
      <c r="O82" s="25"/>
      <c r="P82" s="25"/>
      <c r="Q82" s="25"/>
    </row>
    <row r="83" spans="2:17" x14ac:dyDescent="0.25">
      <c r="B83" s="105" t="s">
        <v>1455</v>
      </c>
      <c r="C83" s="106" t="s">
        <v>1456</v>
      </c>
      <c r="D83" s="102" t="s">
        <v>163</v>
      </c>
      <c r="E83" s="99">
        <v>46020</v>
      </c>
      <c r="F83" s="71">
        <f t="shared" ca="1" si="5"/>
        <v>158</v>
      </c>
      <c r="G83" s="104">
        <v>46126</v>
      </c>
      <c r="H83" s="84"/>
      <c r="I83" s="25"/>
      <c r="J83" s="25"/>
      <c r="K83" s="25"/>
      <c r="L83" s="25"/>
      <c r="N83" s="25"/>
      <c r="O83" s="25"/>
      <c r="P83" s="25"/>
      <c r="Q83" s="25"/>
    </row>
    <row r="84" spans="2:17" x14ac:dyDescent="0.25">
      <c r="B84" s="105" t="s">
        <v>1457</v>
      </c>
      <c r="C84" s="106" t="s">
        <v>1458</v>
      </c>
      <c r="D84" s="102" t="s">
        <v>163</v>
      </c>
      <c r="E84" s="99">
        <v>46021</v>
      </c>
      <c r="F84" s="71">
        <f t="shared" ca="1" si="5"/>
        <v>157</v>
      </c>
      <c r="G84" s="104">
        <v>46126</v>
      </c>
      <c r="H84" s="84"/>
      <c r="I84" s="25"/>
      <c r="J84" s="25"/>
      <c r="K84" s="25"/>
      <c r="L84" s="25"/>
      <c r="N84" s="25"/>
      <c r="O84" s="25"/>
      <c r="P84" s="25"/>
      <c r="Q84" s="25"/>
    </row>
    <row r="85" spans="2:17" x14ac:dyDescent="0.25">
      <c r="B85" s="109" t="s">
        <v>1302</v>
      </c>
      <c r="C85" s="110" t="s">
        <v>1303</v>
      </c>
      <c r="D85" s="102" t="s">
        <v>163</v>
      </c>
      <c r="E85" s="99">
        <v>46000</v>
      </c>
      <c r="F85" s="71">
        <f t="shared" ca="1" si="5"/>
        <v>178</v>
      </c>
      <c r="G85" s="104">
        <v>46126</v>
      </c>
      <c r="H85" s="84"/>
      <c r="I85" s="25"/>
      <c r="J85" s="25"/>
      <c r="K85" s="25"/>
      <c r="L85" s="25"/>
      <c r="N85" s="25"/>
      <c r="O85" s="25"/>
      <c r="P85" s="25"/>
      <c r="Q85" s="25"/>
    </row>
    <row r="86" spans="2:17" x14ac:dyDescent="0.25">
      <c r="B86" s="109" t="s">
        <v>1304</v>
      </c>
      <c r="C86" s="110" t="s">
        <v>1305</v>
      </c>
      <c r="D86" s="102" t="s">
        <v>163</v>
      </c>
      <c r="E86" s="99">
        <v>46000</v>
      </c>
      <c r="F86" s="71">
        <f t="shared" ca="1" si="5"/>
        <v>178</v>
      </c>
      <c r="G86" s="104">
        <v>46127</v>
      </c>
      <c r="H86" s="84"/>
      <c r="I86" s="25"/>
      <c r="J86" s="25"/>
      <c r="K86" s="25"/>
      <c r="L86" s="25"/>
      <c r="N86" s="25"/>
      <c r="O86" s="25"/>
      <c r="P86" s="25"/>
      <c r="Q86" s="25"/>
    </row>
    <row r="87" spans="2:17" x14ac:dyDescent="0.25">
      <c r="B87" s="109" t="s">
        <v>1306</v>
      </c>
      <c r="C87" s="110" t="s">
        <v>1307</v>
      </c>
      <c r="D87" s="102" t="s">
        <v>163</v>
      </c>
      <c r="E87" s="99">
        <v>46001</v>
      </c>
      <c r="F87" s="71">
        <f t="shared" ca="1" si="5"/>
        <v>177</v>
      </c>
      <c r="G87" s="104">
        <v>46127</v>
      </c>
      <c r="H87" s="84"/>
      <c r="I87" s="25"/>
      <c r="J87" s="25"/>
      <c r="K87" s="25"/>
      <c r="L87" s="25"/>
      <c r="N87" s="25"/>
      <c r="O87" s="25"/>
      <c r="P87" s="25"/>
      <c r="Q87" s="25"/>
    </row>
    <row r="88" spans="2:17" x14ac:dyDescent="0.25">
      <c r="B88" s="109" t="s">
        <v>1308</v>
      </c>
      <c r="C88" s="110" t="s">
        <v>1309</v>
      </c>
      <c r="D88" s="102" t="s">
        <v>163</v>
      </c>
      <c r="E88" s="99">
        <v>46001</v>
      </c>
      <c r="F88" s="71">
        <f t="shared" ca="1" si="5"/>
        <v>177</v>
      </c>
      <c r="G88" s="104">
        <v>46127</v>
      </c>
      <c r="H88" s="84"/>
      <c r="I88" s="25"/>
      <c r="J88" s="25"/>
      <c r="K88" s="25"/>
      <c r="L88" s="25"/>
      <c r="N88" s="25"/>
      <c r="O88" s="25"/>
      <c r="P88" s="25"/>
      <c r="Q88" s="25"/>
    </row>
    <row r="89" spans="2:17" x14ac:dyDescent="0.25">
      <c r="B89" s="109" t="s">
        <v>1310</v>
      </c>
      <c r="C89" s="110" t="s">
        <v>1311</v>
      </c>
      <c r="D89" s="102" t="s">
        <v>163</v>
      </c>
      <c r="E89" s="99">
        <v>46001</v>
      </c>
      <c r="F89" s="71">
        <f t="shared" ca="1" si="5"/>
        <v>177</v>
      </c>
      <c r="G89" s="104">
        <v>46127</v>
      </c>
      <c r="H89" s="84"/>
      <c r="I89" s="25"/>
      <c r="J89" s="25"/>
      <c r="K89" s="25"/>
      <c r="L89" s="25"/>
      <c r="N89" s="25"/>
      <c r="O89" s="25"/>
      <c r="P89" s="25"/>
      <c r="Q89" s="25"/>
    </row>
    <row r="90" spans="2:17" x14ac:dyDescent="0.25">
      <c r="B90" s="109" t="s">
        <v>1312</v>
      </c>
      <c r="C90" s="110" t="s">
        <v>1313</v>
      </c>
      <c r="D90" s="102" t="s">
        <v>163</v>
      </c>
      <c r="E90" s="99">
        <v>46003</v>
      </c>
      <c r="F90" s="71">
        <f t="shared" ca="1" si="5"/>
        <v>175</v>
      </c>
      <c r="G90" s="104">
        <v>46127</v>
      </c>
      <c r="H90" s="84"/>
      <c r="I90" s="25"/>
      <c r="J90" s="25"/>
      <c r="K90" s="25"/>
      <c r="L90" s="25"/>
      <c r="N90" s="25"/>
      <c r="O90" s="25"/>
      <c r="P90" s="25"/>
      <c r="Q90" s="25"/>
    </row>
    <row r="91" spans="2:17" x14ac:dyDescent="0.25">
      <c r="B91" s="109" t="s">
        <v>1314</v>
      </c>
      <c r="C91" s="110" t="s">
        <v>1315</v>
      </c>
      <c r="D91" s="102" t="s">
        <v>163</v>
      </c>
      <c r="E91" s="99">
        <v>46003</v>
      </c>
      <c r="F91" s="71">
        <f t="shared" ca="1" si="5"/>
        <v>175</v>
      </c>
      <c r="G91" s="104">
        <v>46127</v>
      </c>
      <c r="H91" s="84"/>
      <c r="I91" s="25"/>
      <c r="J91" s="25"/>
      <c r="K91" s="25"/>
      <c r="L91" s="25"/>
      <c r="N91" s="25"/>
      <c r="O91" s="25"/>
      <c r="P91" s="25"/>
      <c r="Q91" s="25"/>
    </row>
    <row r="92" spans="2:17" x14ac:dyDescent="0.25">
      <c r="B92" s="109" t="s">
        <v>1316</v>
      </c>
      <c r="C92" s="110" t="s">
        <v>1317</v>
      </c>
      <c r="D92" s="102" t="s">
        <v>163</v>
      </c>
      <c r="E92" s="99">
        <v>46003</v>
      </c>
      <c r="F92" s="71">
        <f t="shared" ca="1" si="5"/>
        <v>175</v>
      </c>
      <c r="G92" s="104">
        <v>46127</v>
      </c>
      <c r="H92" s="84"/>
      <c r="I92" s="25"/>
      <c r="J92" s="25"/>
      <c r="K92" s="25"/>
      <c r="L92" s="25"/>
      <c r="N92" s="25"/>
      <c r="O92" s="25"/>
      <c r="P92" s="25"/>
      <c r="Q92" s="25"/>
    </row>
    <row r="93" spans="2:17" x14ac:dyDescent="0.25">
      <c r="B93" s="109" t="s">
        <v>1459</v>
      </c>
      <c r="C93" s="110" t="s">
        <v>1460</v>
      </c>
      <c r="D93" s="102" t="s">
        <v>163</v>
      </c>
      <c r="E93" s="99">
        <v>46026</v>
      </c>
      <c r="F93" s="71">
        <f t="shared" ca="1" si="5"/>
        <v>152</v>
      </c>
      <c r="G93" s="104">
        <v>46128</v>
      </c>
      <c r="H93" s="84"/>
      <c r="I93" s="25"/>
      <c r="J93" s="25"/>
      <c r="K93" s="25"/>
      <c r="L93" s="25"/>
      <c r="N93" s="25"/>
      <c r="O93" s="25"/>
      <c r="P93" s="25"/>
      <c r="Q93" s="25"/>
    </row>
    <row r="94" spans="2:17" x14ac:dyDescent="0.25">
      <c r="B94" s="109" t="s">
        <v>1461</v>
      </c>
      <c r="C94" s="110" t="s">
        <v>1462</v>
      </c>
      <c r="D94" s="102" t="s">
        <v>163</v>
      </c>
      <c r="E94" s="99">
        <v>46026</v>
      </c>
      <c r="F94" s="71">
        <f t="shared" ca="1" si="5"/>
        <v>152</v>
      </c>
      <c r="G94" s="104">
        <v>46128</v>
      </c>
      <c r="H94" s="84"/>
      <c r="I94" s="25"/>
      <c r="J94" s="25"/>
      <c r="K94" s="25"/>
      <c r="L94" s="25"/>
      <c r="N94" s="25"/>
      <c r="O94" s="25"/>
      <c r="P94" s="25"/>
      <c r="Q94" s="25"/>
    </row>
    <row r="95" spans="2:17" x14ac:dyDescent="0.25">
      <c r="B95" s="109" t="s">
        <v>1463</v>
      </c>
      <c r="C95" s="110" t="s">
        <v>1464</v>
      </c>
      <c r="D95" s="102" t="s">
        <v>163</v>
      </c>
      <c r="E95" s="99">
        <v>46028</v>
      </c>
      <c r="F95" s="71">
        <f t="shared" ca="1" si="5"/>
        <v>150</v>
      </c>
      <c r="G95" s="104">
        <v>46128</v>
      </c>
      <c r="H95" s="84"/>
      <c r="I95" s="25"/>
      <c r="J95" s="25"/>
      <c r="K95" s="25"/>
      <c r="L95" s="25"/>
      <c r="N95" s="25"/>
      <c r="O95" s="25"/>
      <c r="P95" s="25"/>
      <c r="Q95" s="25"/>
    </row>
    <row r="96" spans="2:17" x14ac:dyDescent="0.25">
      <c r="B96" s="109" t="s">
        <v>1465</v>
      </c>
      <c r="C96" s="110" t="s">
        <v>1466</v>
      </c>
      <c r="D96" s="102" t="s">
        <v>163</v>
      </c>
      <c r="E96" s="99">
        <v>46028</v>
      </c>
      <c r="F96" s="71">
        <f t="shared" ca="1" si="5"/>
        <v>150</v>
      </c>
      <c r="G96" s="104">
        <v>46128</v>
      </c>
      <c r="H96" s="84"/>
      <c r="I96" s="25"/>
      <c r="J96" s="25"/>
      <c r="K96" s="25"/>
      <c r="L96" s="25"/>
      <c r="N96" s="25"/>
      <c r="O96" s="25"/>
      <c r="P96" s="25"/>
      <c r="Q96" s="25"/>
    </row>
    <row r="97" spans="2:17" x14ac:dyDescent="0.25">
      <c r="B97" s="109" t="s">
        <v>1467</v>
      </c>
      <c r="C97" s="110" t="s">
        <v>1468</v>
      </c>
      <c r="D97" s="102" t="s">
        <v>163</v>
      </c>
      <c r="E97" s="99">
        <v>46031</v>
      </c>
      <c r="F97" s="71">
        <f t="shared" ca="1" si="5"/>
        <v>147</v>
      </c>
      <c r="G97" s="104">
        <v>46128</v>
      </c>
      <c r="H97" s="84"/>
      <c r="I97" s="25"/>
      <c r="J97" s="25"/>
      <c r="K97" s="25"/>
      <c r="L97" s="25"/>
      <c r="N97" s="25"/>
      <c r="O97" s="25"/>
      <c r="P97" s="25"/>
      <c r="Q97" s="25"/>
    </row>
    <row r="98" spans="2:17" x14ac:dyDescent="0.25">
      <c r="B98" s="109" t="s">
        <v>1469</v>
      </c>
      <c r="C98" s="110" t="s">
        <v>1470</v>
      </c>
      <c r="D98" s="102" t="s">
        <v>163</v>
      </c>
      <c r="E98" s="99">
        <v>46031</v>
      </c>
      <c r="F98" s="71">
        <f t="shared" ca="1" si="5"/>
        <v>147</v>
      </c>
      <c r="G98" s="104">
        <v>46128</v>
      </c>
      <c r="H98" s="84"/>
      <c r="I98" s="25"/>
      <c r="J98" s="25"/>
      <c r="K98" s="25"/>
      <c r="L98" s="25"/>
      <c r="N98" s="25"/>
      <c r="O98" s="25"/>
      <c r="P98" s="25"/>
      <c r="Q98" s="25"/>
    </row>
    <row r="99" spans="2:17" x14ac:dyDescent="0.25">
      <c r="B99" s="109" t="s">
        <v>1535</v>
      </c>
      <c r="C99" s="110" t="s">
        <v>1536</v>
      </c>
      <c r="D99" s="102" t="s">
        <v>163</v>
      </c>
      <c r="E99" s="99">
        <v>46032</v>
      </c>
      <c r="F99" s="25">
        <f t="shared" ca="1" si="5"/>
        <v>146</v>
      </c>
      <c r="G99" s="104">
        <v>46128</v>
      </c>
      <c r="H99" s="84"/>
      <c r="I99" s="25"/>
      <c r="J99" s="25"/>
      <c r="K99" s="25"/>
      <c r="L99" s="25"/>
      <c r="N99" s="25"/>
      <c r="O99" s="25"/>
      <c r="P99" s="25"/>
      <c r="Q99" s="25"/>
    </row>
    <row r="100" spans="2:17" x14ac:dyDescent="0.25">
      <c r="B100" s="109" t="s">
        <v>1537</v>
      </c>
      <c r="C100" s="110" t="s">
        <v>1538</v>
      </c>
      <c r="D100" s="102" t="s">
        <v>163</v>
      </c>
      <c r="E100" s="99">
        <v>46032</v>
      </c>
      <c r="F100" s="25">
        <f t="shared" ca="1" si="5"/>
        <v>146</v>
      </c>
      <c r="G100" s="104">
        <v>46128</v>
      </c>
      <c r="H100" s="84"/>
      <c r="I100" s="25"/>
      <c r="J100" s="25"/>
      <c r="K100" s="25"/>
      <c r="L100" s="25"/>
      <c r="N100" s="25"/>
      <c r="O100" s="25"/>
      <c r="P100" s="25"/>
      <c r="Q100" s="25"/>
    </row>
    <row r="101" spans="2:17" x14ac:dyDescent="0.25">
      <c r="B101" s="109" t="s">
        <v>1539</v>
      </c>
      <c r="C101" s="110" t="s">
        <v>1540</v>
      </c>
      <c r="D101" s="102" t="s">
        <v>163</v>
      </c>
      <c r="E101" s="99">
        <v>46032</v>
      </c>
      <c r="F101" s="25">
        <f t="shared" ca="1" si="5"/>
        <v>146</v>
      </c>
      <c r="G101" s="104">
        <v>46129</v>
      </c>
      <c r="H101" s="84"/>
      <c r="I101" s="25"/>
      <c r="J101" s="25"/>
      <c r="K101" s="25"/>
      <c r="L101" s="25"/>
      <c r="N101" s="25"/>
      <c r="O101" s="25"/>
      <c r="P101" s="25"/>
      <c r="Q101" s="25"/>
    </row>
    <row r="102" spans="2:17" x14ac:dyDescent="0.25">
      <c r="B102" s="109" t="s">
        <v>1541</v>
      </c>
      <c r="C102" s="110" t="s">
        <v>1542</v>
      </c>
      <c r="D102" s="102" t="s">
        <v>163</v>
      </c>
      <c r="E102" s="99">
        <v>46032</v>
      </c>
      <c r="F102" s="25">
        <f t="shared" ca="1" si="5"/>
        <v>146</v>
      </c>
      <c r="G102" s="104">
        <v>46129</v>
      </c>
      <c r="H102" s="84"/>
      <c r="I102" s="25"/>
      <c r="J102" s="25"/>
      <c r="K102" s="25"/>
      <c r="L102" s="25"/>
      <c r="N102" s="25"/>
      <c r="O102" s="25"/>
      <c r="P102" s="25"/>
      <c r="Q102" s="25"/>
    </row>
    <row r="103" spans="2:17" x14ac:dyDescent="0.25">
      <c r="B103" s="109" t="s">
        <v>1543</v>
      </c>
      <c r="C103" s="110" t="s">
        <v>1544</v>
      </c>
      <c r="D103" s="102" t="s">
        <v>163</v>
      </c>
      <c r="E103" s="99">
        <v>46032</v>
      </c>
      <c r="F103" s="25">
        <f t="shared" ca="1" si="5"/>
        <v>146</v>
      </c>
      <c r="G103" s="104">
        <v>46129</v>
      </c>
      <c r="H103" s="84"/>
      <c r="I103" s="25"/>
      <c r="J103" s="25"/>
      <c r="K103" s="25"/>
      <c r="L103" s="25"/>
      <c r="N103" s="25"/>
      <c r="O103" s="25"/>
      <c r="P103" s="25"/>
      <c r="Q103" s="25"/>
    </row>
    <row r="104" spans="2:17" x14ac:dyDescent="0.25">
      <c r="B104" s="109" t="s">
        <v>1545</v>
      </c>
      <c r="C104" s="110" t="s">
        <v>1546</v>
      </c>
      <c r="D104" s="102" t="s">
        <v>163</v>
      </c>
      <c r="E104" s="99">
        <v>46032</v>
      </c>
      <c r="F104" s="25">
        <f t="shared" ca="1" si="5"/>
        <v>146</v>
      </c>
      <c r="G104" s="104">
        <v>46129</v>
      </c>
      <c r="H104" s="84"/>
      <c r="I104" s="25"/>
      <c r="J104" s="25"/>
      <c r="K104" s="25"/>
      <c r="L104" s="25"/>
      <c r="N104" s="25"/>
      <c r="O104" s="25"/>
      <c r="P104" s="25"/>
      <c r="Q104" s="25"/>
    </row>
    <row r="105" spans="2:17" x14ac:dyDescent="0.25">
      <c r="B105" s="109" t="s">
        <v>1547</v>
      </c>
      <c r="C105" s="110" t="s">
        <v>1548</v>
      </c>
      <c r="D105" s="102" t="s">
        <v>163</v>
      </c>
      <c r="E105" s="99">
        <v>46032</v>
      </c>
      <c r="F105" s="25">
        <f t="shared" ca="1" si="5"/>
        <v>146</v>
      </c>
      <c r="G105" s="104">
        <v>46129</v>
      </c>
      <c r="H105" s="84"/>
      <c r="I105" s="25"/>
      <c r="J105" s="25"/>
      <c r="K105" s="25"/>
      <c r="L105" s="25"/>
      <c r="N105" s="25"/>
      <c r="O105" s="25"/>
      <c r="P105" s="25"/>
      <c r="Q105" s="25"/>
    </row>
    <row r="106" spans="2:17" x14ac:dyDescent="0.25">
      <c r="B106" s="109" t="s">
        <v>1549</v>
      </c>
      <c r="C106" s="110" t="s">
        <v>1550</v>
      </c>
      <c r="D106" s="102" t="s">
        <v>163</v>
      </c>
      <c r="E106" s="99">
        <v>46032</v>
      </c>
      <c r="F106" s="25">
        <f t="shared" ca="1" si="5"/>
        <v>146</v>
      </c>
      <c r="G106" s="104">
        <v>46129</v>
      </c>
      <c r="H106" s="84"/>
      <c r="I106" s="25"/>
      <c r="J106" s="25"/>
      <c r="K106" s="25"/>
      <c r="L106" s="25"/>
      <c r="N106" s="25"/>
      <c r="O106" s="25"/>
      <c r="P106" s="25"/>
      <c r="Q106" s="25"/>
    </row>
    <row r="107" spans="2:17" x14ac:dyDescent="0.25">
      <c r="B107" s="109" t="s">
        <v>1551</v>
      </c>
      <c r="C107" s="110" t="s">
        <v>1552</v>
      </c>
      <c r="D107" s="102" t="s">
        <v>163</v>
      </c>
      <c r="E107" s="99">
        <v>46032</v>
      </c>
      <c r="F107" s="25">
        <f t="shared" ca="1" si="5"/>
        <v>146</v>
      </c>
      <c r="G107" s="104">
        <v>46129</v>
      </c>
      <c r="H107" s="84"/>
      <c r="I107" s="25"/>
      <c r="J107" s="25"/>
      <c r="K107" s="25"/>
      <c r="L107" s="25"/>
      <c r="N107" s="25"/>
      <c r="O107" s="25"/>
      <c r="P107" s="25"/>
      <c r="Q107" s="25"/>
    </row>
    <row r="108" spans="2:17" x14ac:dyDescent="0.25">
      <c r="B108" s="96" t="s">
        <v>1111</v>
      </c>
      <c r="C108" s="97" t="s">
        <v>1112</v>
      </c>
      <c r="D108" s="102" t="s">
        <v>163</v>
      </c>
      <c r="E108" s="99">
        <v>45848</v>
      </c>
      <c r="F108" s="71">
        <f t="shared" ca="1" si="5"/>
        <v>330</v>
      </c>
      <c r="G108" s="104">
        <v>46139</v>
      </c>
      <c r="H108" s="84"/>
      <c r="I108" s="25"/>
      <c r="J108" s="25"/>
      <c r="K108" s="25"/>
      <c r="L108" s="25"/>
      <c r="N108" s="25"/>
      <c r="O108" s="25"/>
      <c r="P108" s="25"/>
      <c r="Q108" s="25"/>
    </row>
    <row r="109" spans="2:17" x14ac:dyDescent="0.25">
      <c r="B109" s="96" t="s">
        <v>1113</v>
      </c>
      <c r="C109" s="97" t="s">
        <v>1114</v>
      </c>
      <c r="D109" s="102" t="s">
        <v>163</v>
      </c>
      <c r="E109" s="99">
        <v>45848</v>
      </c>
      <c r="F109" s="71">
        <f t="shared" ca="1" si="5"/>
        <v>330</v>
      </c>
      <c r="G109" s="104">
        <v>46139</v>
      </c>
      <c r="H109" s="84"/>
      <c r="I109" s="25"/>
      <c r="J109" s="25"/>
      <c r="K109" s="25"/>
      <c r="L109" s="25"/>
      <c r="N109" s="25"/>
      <c r="O109" s="25"/>
      <c r="P109" s="25"/>
      <c r="Q109" s="25"/>
    </row>
    <row r="110" spans="2:17" x14ac:dyDescent="0.25">
      <c r="B110" s="96" t="s">
        <v>1115</v>
      </c>
      <c r="C110" s="97" t="s">
        <v>1116</v>
      </c>
      <c r="D110" s="102" t="s">
        <v>163</v>
      </c>
      <c r="E110" s="99">
        <v>45848</v>
      </c>
      <c r="F110" s="71">
        <f t="shared" ca="1" si="5"/>
        <v>330</v>
      </c>
      <c r="G110" s="104">
        <v>46139</v>
      </c>
      <c r="H110" s="84"/>
      <c r="I110" s="25"/>
      <c r="J110" s="25"/>
      <c r="K110" s="25"/>
      <c r="L110" s="25"/>
      <c r="N110" s="25"/>
      <c r="O110" s="25"/>
      <c r="P110" s="25"/>
      <c r="Q110" s="25"/>
    </row>
    <row r="111" spans="2:17" x14ac:dyDescent="0.25">
      <c r="B111" s="96" t="s">
        <v>1117</v>
      </c>
      <c r="C111" s="97" t="s">
        <v>1118</v>
      </c>
      <c r="D111" s="102" t="s">
        <v>163</v>
      </c>
      <c r="E111" s="99">
        <v>45848</v>
      </c>
      <c r="F111" s="71">
        <f t="shared" ca="1" si="5"/>
        <v>330</v>
      </c>
      <c r="G111" s="104">
        <v>46139</v>
      </c>
      <c r="H111" s="84"/>
      <c r="I111" s="25"/>
      <c r="J111" s="25"/>
      <c r="K111" s="25"/>
      <c r="L111" s="25"/>
      <c r="N111" s="25"/>
      <c r="O111" s="25"/>
      <c r="P111" s="25"/>
      <c r="Q111" s="25"/>
    </row>
    <row r="112" spans="2:17" x14ac:dyDescent="0.25">
      <c r="B112" s="96" t="s">
        <v>1119</v>
      </c>
      <c r="C112" s="97" t="s">
        <v>1120</v>
      </c>
      <c r="D112" s="102" t="s">
        <v>163</v>
      </c>
      <c r="E112" s="99">
        <v>45848</v>
      </c>
      <c r="F112" s="71">
        <f t="shared" ca="1" si="5"/>
        <v>330</v>
      </c>
      <c r="G112" s="104">
        <v>46139</v>
      </c>
      <c r="H112" s="84"/>
      <c r="I112" s="25"/>
      <c r="J112" s="25"/>
      <c r="K112" s="25"/>
      <c r="L112" s="25"/>
      <c r="N112" s="25"/>
      <c r="O112" s="25"/>
      <c r="P112" s="25"/>
      <c r="Q112" s="25"/>
    </row>
    <row r="113" spans="2:17" x14ac:dyDescent="0.25">
      <c r="B113" s="96" t="s">
        <v>1121</v>
      </c>
      <c r="C113" s="97" t="s">
        <v>1122</v>
      </c>
      <c r="D113" s="102" t="s">
        <v>163</v>
      </c>
      <c r="E113" s="99">
        <v>45848</v>
      </c>
      <c r="F113" s="71">
        <f t="shared" ca="1" si="5"/>
        <v>330</v>
      </c>
      <c r="G113" s="104">
        <v>46139</v>
      </c>
      <c r="H113" s="84"/>
      <c r="I113" s="25"/>
      <c r="J113" s="25"/>
      <c r="K113" s="25"/>
      <c r="L113" s="25"/>
      <c r="N113" s="25"/>
      <c r="O113" s="25"/>
      <c r="P113" s="25"/>
      <c r="Q113" s="25"/>
    </row>
    <row r="114" spans="2:17" x14ac:dyDescent="0.25">
      <c r="B114" s="96" t="s">
        <v>1123</v>
      </c>
      <c r="C114" s="97" t="s">
        <v>1124</v>
      </c>
      <c r="D114" s="102" t="s">
        <v>163</v>
      </c>
      <c r="E114" s="99">
        <v>45848</v>
      </c>
      <c r="F114" s="71">
        <f t="shared" ca="1" si="5"/>
        <v>330</v>
      </c>
      <c r="G114" s="104">
        <v>46140</v>
      </c>
      <c r="H114" s="84"/>
      <c r="I114" s="25"/>
      <c r="J114" s="25"/>
      <c r="K114" s="25"/>
      <c r="L114" s="25"/>
      <c r="N114" s="25"/>
      <c r="O114" s="25"/>
      <c r="P114" s="25"/>
      <c r="Q114" s="25"/>
    </row>
    <row r="115" spans="2:17" x14ac:dyDescent="0.25">
      <c r="B115" s="96" t="s">
        <v>1125</v>
      </c>
      <c r="C115" s="97" t="s">
        <v>1126</v>
      </c>
      <c r="D115" s="102" t="s">
        <v>163</v>
      </c>
      <c r="E115" s="99">
        <v>45848</v>
      </c>
      <c r="F115" s="71">
        <f t="shared" ca="1" si="5"/>
        <v>330</v>
      </c>
      <c r="G115" s="104">
        <v>46140</v>
      </c>
      <c r="H115" s="84"/>
      <c r="I115" s="25"/>
      <c r="J115" s="25"/>
      <c r="K115" s="25"/>
      <c r="L115" s="25"/>
      <c r="N115" s="25"/>
      <c r="O115" s="25"/>
      <c r="P115" s="25"/>
      <c r="Q115" s="25"/>
    </row>
    <row r="116" spans="2:17" x14ac:dyDescent="0.25">
      <c r="B116" s="96" t="s">
        <v>1137</v>
      </c>
      <c r="C116" s="97" t="s">
        <v>1138</v>
      </c>
      <c r="D116" s="102" t="s">
        <v>163</v>
      </c>
      <c r="E116" s="75">
        <v>45856</v>
      </c>
      <c r="F116" s="71">
        <f t="shared" ca="1" si="5"/>
        <v>322</v>
      </c>
      <c r="G116" s="104">
        <v>46140</v>
      </c>
      <c r="H116" s="84"/>
      <c r="I116" s="25"/>
      <c r="J116" s="25"/>
      <c r="K116" s="25"/>
      <c r="L116" s="25"/>
      <c r="N116" s="25"/>
      <c r="O116" s="25"/>
      <c r="P116" s="25"/>
      <c r="Q116" s="25"/>
    </row>
    <row r="117" spans="2:17" x14ac:dyDescent="0.25">
      <c r="B117" s="96" t="s">
        <v>1139</v>
      </c>
      <c r="C117" s="97" t="s">
        <v>1140</v>
      </c>
      <c r="D117" s="102" t="s">
        <v>163</v>
      </c>
      <c r="E117" s="75">
        <v>45856</v>
      </c>
      <c r="F117" s="71">
        <f t="shared" ca="1" si="5"/>
        <v>322</v>
      </c>
      <c r="G117" s="104">
        <v>46140</v>
      </c>
      <c r="H117" s="84"/>
      <c r="I117" s="25"/>
      <c r="J117" s="25"/>
      <c r="K117" s="25"/>
      <c r="L117" s="25"/>
      <c r="N117" s="25"/>
      <c r="O117" s="25"/>
      <c r="P117" s="25"/>
      <c r="Q117" s="25"/>
    </row>
    <row r="118" spans="2:17" x14ac:dyDescent="0.25">
      <c r="B118" s="96" t="s">
        <v>1141</v>
      </c>
      <c r="C118" s="97" t="s">
        <v>1142</v>
      </c>
      <c r="D118" s="102" t="s">
        <v>163</v>
      </c>
      <c r="E118" s="75">
        <v>45856</v>
      </c>
      <c r="F118" s="71">
        <f t="shared" ca="1" si="5"/>
        <v>322</v>
      </c>
      <c r="G118" s="104">
        <v>46140</v>
      </c>
      <c r="H118" s="84"/>
      <c r="I118" s="25"/>
      <c r="J118" s="25"/>
      <c r="K118" s="25"/>
      <c r="L118" s="25"/>
      <c r="N118" s="25"/>
      <c r="O118" s="25"/>
      <c r="P118" s="25"/>
      <c r="Q118" s="25"/>
    </row>
    <row r="119" spans="2:17" x14ac:dyDescent="0.25">
      <c r="B119" s="96" t="s">
        <v>1143</v>
      </c>
      <c r="C119" s="97" t="s">
        <v>1144</v>
      </c>
      <c r="D119" s="102" t="s">
        <v>163</v>
      </c>
      <c r="E119" s="75">
        <v>45856</v>
      </c>
      <c r="F119" s="71">
        <f t="shared" ca="1" si="5"/>
        <v>322</v>
      </c>
      <c r="G119" s="104">
        <v>46140</v>
      </c>
      <c r="H119" s="84"/>
      <c r="I119" s="25"/>
      <c r="J119" s="25"/>
      <c r="K119" s="25"/>
      <c r="L119" s="25"/>
      <c r="N119" s="25"/>
      <c r="O119" s="25"/>
      <c r="P119" s="25"/>
      <c r="Q119" s="25"/>
    </row>
    <row r="120" spans="2:17" x14ac:dyDescent="0.25">
      <c r="B120" s="96" t="s">
        <v>1145</v>
      </c>
      <c r="C120" s="97" t="s">
        <v>1146</v>
      </c>
      <c r="D120" s="102" t="s">
        <v>163</v>
      </c>
      <c r="E120" s="75">
        <v>45856</v>
      </c>
      <c r="F120" s="71">
        <f t="shared" ca="1" si="5"/>
        <v>322</v>
      </c>
      <c r="G120" s="104">
        <v>46141</v>
      </c>
      <c r="H120" s="84"/>
      <c r="I120" s="25"/>
      <c r="J120" s="25"/>
      <c r="K120" s="25"/>
      <c r="L120" s="25"/>
      <c r="N120" s="25"/>
      <c r="O120" s="25"/>
      <c r="P120" s="25"/>
      <c r="Q120" s="25"/>
    </row>
    <row r="121" spans="2:17" x14ac:dyDescent="0.25">
      <c r="B121" s="96" t="s">
        <v>1147</v>
      </c>
      <c r="C121" s="97" t="s">
        <v>1148</v>
      </c>
      <c r="D121" s="102" t="s">
        <v>163</v>
      </c>
      <c r="E121" s="75">
        <v>45856</v>
      </c>
      <c r="F121" s="71">
        <f t="shared" ca="1" si="5"/>
        <v>322</v>
      </c>
      <c r="G121" s="104">
        <v>46141</v>
      </c>
      <c r="H121" s="84"/>
      <c r="I121" s="25"/>
      <c r="J121" s="25"/>
      <c r="K121" s="25"/>
      <c r="L121" s="25"/>
      <c r="N121" s="25"/>
      <c r="O121" s="25"/>
      <c r="P121" s="25"/>
      <c r="Q121" s="25"/>
    </row>
    <row r="122" spans="2:17" x14ac:dyDescent="0.25">
      <c r="B122" s="96" t="s">
        <v>1149</v>
      </c>
      <c r="C122" s="97" t="s">
        <v>1150</v>
      </c>
      <c r="D122" s="102" t="s">
        <v>163</v>
      </c>
      <c r="E122" s="75">
        <v>45856</v>
      </c>
      <c r="F122" s="71">
        <f t="shared" ca="1" si="5"/>
        <v>322</v>
      </c>
      <c r="G122" s="104">
        <v>46141</v>
      </c>
      <c r="H122" s="84"/>
      <c r="I122" s="25"/>
      <c r="J122" s="25"/>
      <c r="K122" s="25"/>
      <c r="L122" s="25"/>
      <c r="N122" s="25"/>
      <c r="O122" s="25"/>
      <c r="P122" s="25"/>
      <c r="Q122" s="25"/>
    </row>
    <row r="123" spans="2:17" x14ac:dyDescent="0.25">
      <c r="B123" s="96" t="s">
        <v>1151</v>
      </c>
      <c r="C123" s="97" t="s">
        <v>1152</v>
      </c>
      <c r="D123" s="102" t="s">
        <v>163</v>
      </c>
      <c r="E123" s="75">
        <v>45856</v>
      </c>
      <c r="F123" s="71">
        <f t="shared" ca="1" si="5"/>
        <v>322</v>
      </c>
      <c r="G123" s="104">
        <v>46141</v>
      </c>
      <c r="H123" s="84"/>
      <c r="I123" s="25"/>
      <c r="J123" s="25"/>
      <c r="K123" s="25"/>
      <c r="L123" s="25"/>
      <c r="N123" s="25"/>
      <c r="O123" s="25"/>
      <c r="P123" s="25"/>
      <c r="Q123" s="25"/>
    </row>
    <row r="124" spans="2:17" x14ac:dyDescent="0.25">
      <c r="B124" s="96" t="s">
        <v>1153</v>
      </c>
      <c r="C124" s="97" t="s">
        <v>1154</v>
      </c>
      <c r="D124" s="102" t="s">
        <v>163</v>
      </c>
      <c r="E124" s="75">
        <v>45856</v>
      </c>
      <c r="F124" s="71">
        <f t="shared" ca="1" si="5"/>
        <v>322</v>
      </c>
      <c r="G124" s="104">
        <v>46141</v>
      </c>
      <c r="H124" s="84"/>
      <c r="I124" s="25"/>
      <c r="J124" s="25"/>
      <c r="K124" s="25"/>
      <c r="L124" s="25"/>
      <c r="N124" s="25"/>
      <c r="O124" s="25"/>
      <c r="P124" s="25"/>
      <c r="Q124" s="25"/>
    </row>
    <row r="125" spans="2:17" x14ac:dyDescent="0.25">
      <c r="B125" s="96" t="s">
        <v>1155</v>
      </c>
      <c r="C125" s="97" t="s">
        <v>1156</v>
      </c>
      <c r="D125" s="102" t="s">
        <v>163</v>
      </c>
      <c r="E125" s="75">
        <v>45856</v>
      </c>
      <c r="F125" s="71">
        <f t="shared" ca="1" si="5"/>
        <v>322</v>
      </c>
      <c r="G125" s="104">
        <v>46141</v>
      </c>
      <c r="H125" s="84"/>
      <c r="I125" s="25"/>
      <c r="J125" s="25"/>
      <c r="K125" s="25"/>
      <c r="L125" s="25"/>
      <c r="N125" s="25"/>
      <c r="O125" s="25"/>
      <c r="P125" s="25"/>
      <c r="Q125" s="25"/>
    </row>
    <row r="126" spans="2:17" x14ac:dyDescent="0.25">
      <c r="B126" s="96" t="s">
        <v>1157</v>
      </c>
      <c r="C126" s="97" t="s">
        <v>1158</v>
      </c>
      <c r="D126" s="102" t="s">
        <v>163</v>
      </c>
      <c r="E126" s="75">
        <v>45856</v>
      </c>
      <c r="F126" s="71">
        <f t="shared" ca="1" si="5"/>
        <v>322</v>
      </c>
      <c r="G126" s="104">
        <v>46140</v>
      </c>
      <c r="H126" s="84"/>
      <c r="I126" s="25"/>
      <c r="J126" s="25"/>
      <c r="K126" s="25"/>
      <c r="L126" s="25"/>
      <c r="N126" s="25"/>
      <c r="O126" s="25"/>
      <c r="P126" s="25"/>
      <c r="Q126" s="25"/>
    </row>
    <row r="127" spans="2:17" x14ac:dyDescent="0.25">
      <c r="B127" s="107" t="s">
        <v>1083</v>
      </c>
      <c r="C127" s="108" t="s">
        <v>1084</v>
      </c>
      <c r="D127" s="102" t="s">
        <v>163</v>
      </c>
      <c r="E127" s="99">
        <v>45841</v>
      </c>
      <c r="F127" s="71">
        <f t="shared" ca="1" si="5"/>
        <v>337</v>
      </c>
      <c r="G127" s="104">
        <v>46135</v>
      </c>
      <c r="H127" s="84"/>
      <c r="I127" s="25"/>
      <c r="J127" s="25"/>
      <c r="K127" s="25"/>
      <c r="L127" s="25"/>
      <c r="N127" s="25"/>
      <c r="O127" s="25"/>
      <c r="P127" s="25"/>
      <c r="Q127" s="25"/>
    </row>
    <row r="128" spans="2:17" x14ac:dyDescent="0.25">
      <c r="B128" s="107" t="s">
        <v>1085</v>
      </c>
      <c r="C128" s="108" t="s">
        <v>1086</v>
      </c>
      <c r="D128" s="102" t="s">
        <v>163</v>
      </c>
      <c r="E128" s="99">
        <v>45841</v>
      </c>
      <c r="F128" s="71">
        <f t="shared" ca="1" si="5"/>
        <v>337</v>
      </c>
      <c r="G128" s="104">
        <v>46135</v>
      </c>
      <c r="H128" s="84"/>
      <c r="I128" s="25"/>
      <c r="J128" s="25"/>
      <c r="K128" s="25"/>
      <c r="L128" s="25"/>
      <c r="N128" s="25"/>
      <c r="O128" s="25"/>
      <c r="P128" s="25"/>
      <c r="Q128" s="25"/>
    </row>
    <row r="129" spans="2:17" x14ac:dyDescent="0.25">
      <c r="B129" s="107" t="s">
        <v>1087</v>
      </c>
      <c r="C129" s="108" t="s">
        <v>1088</v>
      </c>
      <c r="D129" s="102" t="s">
        <v>163</v>
      </c>
      <c r="E129" s="99">
        <v>45841</v>
      </c>
      <c r="F129" s="71">
        <f t="shared" ca="1" si="5"/>
        <v>337</v>
      </c>
      <c r="G129" s="104">
        <v>46135</v>
      </c>
      <c r="H129" s="84"/>
      <c r="I129" s="25"/>
      <c r="J129" s="25"/>
      <c r="K129" s="25"/>
      <c r="L129" s="25"/>
      <c r="N129" s="25"/>
      <c r="O129" s="25"/>
      <c r="P129" s="25"/>
      <c r="Q129" s="25"/>
    </row>
    <row r="130" spans="2:17" x14ac:dyDescent="0.25">
      <c r="B130" s="107" t="s">
        <v>1089</v>
      </c>
      <c r="C130" s="108" t="s">
        <v>1090</v>
      </c>
      <c r="D130" s="102" t="s">
        <v>163</v>
      </c>
      <c r="E130" s="99">
        <v>45841</v>
      </c>
      <c r="F130" s="71">
        <f t="shared" ca="1" si="5"/>
        <v>337</v>
      </c>
      <c r="G130" s="104">
        <v>46135</v>
      </c>
      <c r="H130" s="84"/>
      <c r="I130" s="25"/>
      <c r="J130" s="25"/>
      <c r="K130" s="25"/>
      <c r="L130" s="25"/>
      <c r="N130" s="25"/>
      <c r="O130" s="25"/>
      <c r="P130" s="25"/>
      <c r="Q130" s="25"/>
    </row>
    <row r="131" spans="2:17" x14ac:dyDescent="0.25">
      <c r="B131" s="107" t="s">
        <v>1091</v>
      </c>
      <c r="C131" s="108" t="s">
        <v>1092</v>
      </c>
      <c r="D131" s="102" t="s">
        <v>163</v>
      </c>
      <c r="E131" s="99">
        <v>45841</v>
      </c>
      <c r="F131" s="71">
        <f t="shared" ca="1" si="5"/>
        <v>337</v>
      </c>
      <c r="G131" s="104">
        <v>46135</v>
      </c>
      <c r="H131" s="84"/>
      <c r="I131" s="25"/>
      <c r="J131" s="25"/>
      <c r="K131" s="25"/>
      <c r="L131" s="25"/>
      <c r="N131" s="25"/>
      <c r="O131" s="25"/>
      <c r="P131" s="25"/>
      <c r="Q131" s="25"/>
    </row>
    <row r="132" spans="2:17" x14ac:dyDescent="0.25">
      <c r="B132" s="107" t="s">
        <v>1093</v>
      </c>
      <c r="C132" s="108" t="s">
        <v>1094</v>
      </c>
      <c r="D132" s="102" t="s">
        <v>163</v>
      </c>
      <c r="E132" s="99">
        <v>45841</v>
      </c>
      <c r="F132" s="71">
        <f t="shared" ca="1" si="5"/>
        <v>337</v>
      </c>
      <c r="G132" s="104">
        <v>46136</v>
      </c>
      <c r="H132" s="84"/>
      <c r="I132" s="25"/>
      <c r="J132" s="25"/>
      <c r="K132" s="25"/>
      <c r="L132" s="25"/>
      <c r="N132" s="25"/>
      <c r="O132" s="25"/>
      <c r="P132" s="25"/>
      <c r="Q132" s="25"/>
    </row>
    <row r="133" spans="2:17" x14ac:dyDescent="0.25">
      <c r="B133" s="107" t="s">
        <v>1095</v>
      </c>
      <c r="C133" s="108" t="s">
        <v>1096</v>
      </c>
      <c r="D133" s="102" t="s">
        <v>163</v>
      </c>
      <c r="E133" s="99">
        <v>45841</v>
      </c>
      <c r="F133" s="71">
        <f t="shared" ca="1" si="5"/>
        <v>337</v>
      </c>
      <c r="G133" s="104">
        <v>46136</v>
      </c>
      <c r="H133" s="84"/>
      <c r="I133" s="25"/>
      <c r="J133" s="25"/>
      <c r="K133" s="25"/>
      <c r="L133" s="25"/>
      <c r="N133" s="25"/>
      <c r="O133" s="25"/>
      <c r="P133" s="25"/>
      <c r="Q133" s="25"/>
    </row>
    <row r="134" spans="2:17" x14ac:dyDescent="0.25">
      <c r="B134" s="107" t="s">
        <v>1097</v>
      </c>
      <c r="C134" s="108" t="s">
        <v>1098</v>
      </c>
      <c r="D134" s="102" t="s">
        <v>163</v>
      </c>
      <c r="E134" s="99">
        <v>45844</v>
      </c>
      <c r="F134" s="71">
        <f t="shared" ca="1" si="5"/>
        <v>334</v>
      </c>
      <c r="G134" s="104">
        <v>46136</v>
      </c>
      <c r="H134" s="84"/>
      <c r="I134" s="25"/>
      <c r="J134" s="25"/>
      <c r="K134" s="25"/>
      <c r="L134" s="25"/>
      <c r="N134" s="25"/>
      <c r="O134" s="25"/>
      <c r="P134" s="25"/>
      <c r="Q134" s="25"/>
    </row>
    <row r="135" spans="2:17" x14ac:dyDescent="0.25">
      <c r="B135" s="107" t="s">
        <v>1099</v>
      </c>
      <c r="C135" s="108" t="s">
        <v>1100</v>
      </c>
      <c r="D135" s="102" t="s">
        <v>163</v>
      </c>
      <c r="E135" s="99">
        <v>45844</v>
      </c>
      <c r="F135" s="71">
        <f t="shared" ca="1" si="5"/>
        <v>334</v>
      </c>
      <c r="G135" s="104">
        <v>46136</v>
      </c>
      <c r="H135" s="84"/>
      <c r="I135" s="25"/>
      <c r="J135" s="25"/>
      <c r="K135" s="25"/>
      <c r="L135" s="25"/>
      <c r="N135" s="25"/>
      <c r="O135" s="25"/>
      <c r="P135" s="25"/>
      <c r="Q135" s="25"/>
    </row>
    <row r="136" spans="2:17" x14ac:dyDescent="0.25">
      <c r="B136" s="107" t="s">
        <v>1101</v>
      </c>
      <c r="C136" s="108" t="s">
        <v>1102</v>
      </c>
      <c r="D136" s="102" t="s">
        <v>163</v>
      </c>
      <c r="E136" s="99">
        <v>45844</v>
      </c>
      <c r="F136" s="71">
        <f t="shared" ref="F136:F199" ca="1" si="6">$F$2-E136</f>
        <v>334</v>
      </c>
      <c r="G136" s="104">
        <v>46136</v>
      </c>
      <c r="H136" s="84"/>
      <c r="I136" s="25"/>
      <c r="J136" s="25"/>
      <c r="K136" s="25"/>
      <c r="L136" s="25"/>
      <c r="N136" s="25"/>
      <c r="O136" s="25"/>
      <c r="P136" s="25"/>
      <c r="Q136" s="25"/>
    </row>
    <row r="137" spans="2:17" x14ac:dyDescent="0.25">
      <c r="B137" s="107" t="s">
        <v>1103</v>
      </c>
      <c r="C137" s="108" t="s">
        <v>1104</v>
      </c>
      <c r="D137" s="102" t="s">
        <v>163</v>
      </c>
      <c r="E137" s="99">
        <v>45844</v>
      </c>
      <c r="F137" s="71">
        <f t="shared" ca="1" si="6"/>
        <v>334</v>
      </c>
      <c r="G137" s="104">
        <v>46136</v>
      </c>
      <c r="H137" s="84"/>
      <c r="I137" s="25"/>
      <c r="J137" s="25"/>
      <c r="K137" s="25"/>
      <c r="L137" s="25"/>
      <c r="N137" s="25"/>
      <c r="O137" s="25"/>
      <c r="P137" s="25"/>
      <c r="Q137" s="25"/>
    </row>
    <row r="138" spans="2:17" x14ac:dyDescent="0.25">
      <c r="B138" s="107" t="s">
        <v>1105</v>
      </c>
      <c r="C138" s="108" t="s">
        <v>1106</v>
      </c>
      <c r="D138" s="102" t="s">
        <v>163</v>
      </c>
      <c r="E138" s="99">
        <v>45844</v>
      </c>
      <c r="F138" s="71">
        <f t="shared" ca="1" si="6"/>
        <v>334</v>
      </c>
      <c r="G138" s="104">
        <v>46136</v>
      </c>
      <c r="H138" s="84"/>
      <c r="I138" s="25"/>
      <c r="J138" s="25"/>
      <c r="K138" s="25"/>
      <c r="L138" s="25"/>
      <c r="N138" s="25"/>
      <c r="O138" s="25"/>
      <c r="P138" s="25"/>
      <c r="Q138" s="25"/>
    </row>
    <row r="139" spans="2:17" x14ac:dyDescent="0.25">
      <c r="B139" s="107" t="s">
        <v>1107</v>
      </c>
      <c r="C139" s="108" t="s">
        <v>1108</v>
      </c>
      <c r="D139" s="102" t="s">
        <v>163</v>
      </c>
      <c r="E139" s="99">
        <v>45844</v>
      </c>
      <c r="F139" s="71">
        <f t="shared" ca="1" si="6"/>
        <v>334</v>
      </c>
      <c r="G139" s="104">
        <v>46137</v>
      </c>
      <c r="H139" s="84"/>
      <c r="I139" s="25"/>
      <c r="J139" s="25"/>
      <c r="K139" s="25"/>
      <c r="L139" s="25"/>
      <c r="N139" s="25"/>
      <c r="O139" s="25"/>
      <c r="P139" s="25"/>
      <c r="Q139" s="25"/>
    </row>
    <row r="140" spans="2:17" x14ac:dyDescent="0.25">
      <c r="B140" s="107" t="s">
        <v>1109</v>
      </c>
      <c r="C140" s="108" t="s">
        <v>1110</v>
      </c>
      <c r="D140" s="102" t="s">
        <v>163</v>
      </c>
      <c r="E140" s="99">
        <v>45844</v>
      </c>
      <c r="F140" s="71">
        <f t="shared" ca="1" si="6"/>
        <v>334</v>
      </c>
      <c r="G140" s="104">
        <v>46137</v>
      </c>
      <c r="H140" s="84"/>
      <c r="I140" s="25"/>
      <c r="J140" s="25"/>
      <c r="K140" s="25"/>
      <c r="L140" s="25"/>
      <c r="N140" s="25"/>
      <c r="O140" s="25"/>
      <c r="P140" s="25"/>
      <c r="Q140" s="25"/>
    </row>
    <row r="141" spans="2:17" x14ac:dyDescent="0.25">
      <c r="B141" s="107" t="s">
        <v>1127</v>
      </c>
      <c r="C141" s="108" t="s">
        <v>1128</v>
      </c>
      <c r="D141" s="102" t="s">
        <v>163</v>
      </c>
      <c r="E141" s="99">
        <v>45848</v>
      </c>
      <c r="F141" s="71">
        <f t="shared" ca="1" si="6"/>
        <v>330</v>
      </c>
      <c r="G141" s="104">
        <v>46137</v>
      </c>
      <c r="H141" s="84"/>
      <c r="I141" s="25"/>
      <c r="J141" s="25"/>
      <c r="K141" s="25"/>
      <c r="L141" s="25"/>
      <c r="N141" s="25"/>
      <c r="O141" s="25"/>
      <c r="P141" s="25"/>
      <c r="Q141" s="25"/>
    </row>
    <row r="142" spans="2:17" x14ac:dyDescent="0.25">
      <c r="B142" s="107" t="s">
        <v>1129</v>
      </c>
      <c r="C142" s="108" t="s">
        <v>1130</v>
      </c>
      <c r="D142" s="102" t="s">
        <v>163</v>
      </c>
      <c r="E142" s="99">
        <v>45848</v>
      </c>
      <c r="F142" s="71">
        <f t="shared" ca="1" si="6"/>
        <v>330</v>
      </c>
      <c r="G142" s="104">
        <v>46138</v>
      </c>
      <c r="H142" s="84"/>
      <c r="I142" s="25"/>
      <c r="J142" s="25"/>
      <c r="K142" s="25"/>
      <c r="L142" s="25"/>
      <c r="N142" s="25"/>
      <c r="O142" s="25"/>
      <c r="P142" s="25"/>
      <c r="Q142" s="25"/>
    </row>
    <row r="143" spans="2:17" x14ac:dyDescent="0.25">
      <c r="B143" s="107" t="s">
        <v>1131</v>
      </c>
      <c r="C143" s="108" t="s">
        <v>1132</v>
      </c>
      <c r="D143" s="102" t="s">
        <v>163</v>
      </c>
      <c r="E143" s="99">
        <v>45848</v>
      </c>
      <c r="F143" s="71">
        <f t="shared" ca="1" si="6"/>
        <v>330</v>
      </c>
      <c r="G143" s="104">
        <v>46138</v>
      </c>
      <c r="H143" s="84"/>
      <c r="I143" s="25"/>
      <c r="J143" s="25"/>
      <c r="K143" s="25"/>
      <c r="L143" s="25"/>
      <c r="N143" s="25"/>
      <c r="O143" s="25"/>
      <c r="P143" s="25"/>
      <c r="Q143" s="25"/>
    </row>
    <row r="144" spans="2:17" x14ac:dyDescent="0.25">
      <c r="B144" s="107" t="s">
        <v>1133</v>
      </c>
      <c r="C144" s="108" t="s">
        <v>1134</v>
      </c>
      <c r="D144" s="102" t="s">
        <v>163</v>
      </c>
      <c r="E144" s="99">
        <v>45848</v>
      </c>
      <c r="F144" s="71">
        <f t="shared" ca="1" si="6"/>
        <v>330</v>
      </c>
      <c r="G144" s="104">
        <v>46138</v>
      </c>
      <c r="H144" s="84"/>
      <c r="I144" s="25"/>
      <c r="J144" s="25"/>
      <c r="K144" s="25"/>
      <c r="L144" s="25"/>
      <c r="N144" s="25"/>
      <c r="O144" s="25"/>
      <c r="P144" s="25"/>
      <c r="Q144" s="25"/>
    </row>
    <row r="145" spans="2:17" x14ac:dyDescent="0.25">
      <c r="B145" s="107" t="s">
        <v>1135</v>
      </c>
      <c r="C145" s="108" t="s">
        <v>1136</v>
      </c>
      <c r="D145" s="102" t="s">
        <v>163</v>
      </c>
      <c r="E145" s="99">
        <v>45848</v>
      </c>
      <c r="F145" s="71">
        <f t="shared" ca="1" si="6"/>
        <v>330</v>
      </c>
      <c r="G145" s="104">
        <v>46138</v>
      </c>
      <c r="H145" s="84"/>
      <c r="I145" s="25"/>
      <c r="J145" s="25"/>
      <c r="K145" s="25"/>
      <c r="L145" s="25"/>
      <c r="N145" s="25"/>
      <c r="O145" s="25"/>
      <c r="P145" s="25"/>
      <c r="Q145" s="25"/>
    </row>
    <row r="146" spans="2:17" x14ac:dyDescent="0.25">
      <c r="B146" s="105" t="s">
        <v>1049</v>
      </c>
      <c r="C146" s="106" t="s">
        <v>1050</v>
      </c>
      <c r="D146" s="102" t="s">
        <v>163</v>
      </c>
      <c r="E146" s="99">
        <v>45835</v>
      </c>
      <c r="F146" s="71">
        <f t="shared" ca="1" si="6"/>
        <v>343</v>
      </c>
      <c r="G146" s="104">
        <v>46132</v>
      </c>
      <c r="H146" s="84"/>
      <c r="I146" s="25"/>
      <c r="J146" s="25"/>
      <c r="K146" s="25"/>
      <c r="L146" s="25"/>
      <c r="N146" s="25"/>
      <c r="O146" s="25"/>
      <c r="P146" s="25"/>
      <c r="Q146" s="25"/>
    </row>
    <row r="147" spans="2:17" x14ac:dyDescent="0.25">
      <c r="B147" s="105" t="s">
        <v>1051</v>
      </c>
      <c r="C147" s="106" t="s">
        <v>1052</v>
      </c>
      <c r="D147" s="102" t="s">
        <v>163</v>
      </c>
      <c r="E147" s="99">
        <v>45835</v>
      </c>
      <c r="F147" s="71">
        <f t="shared" ca="1" si="6"/>
        <v>343</v>
      </c>
      <c r="G147" s="104">
        <v>46132</v>
      </c>
      <c r="H147" s="84"/>
      <c r="I147" s="25"/>
      <c r="J147" s="25"/>
      <c r="K147" s="25"/>
      <c r="L147" s="25"/>
      <c r="N147" s="25"/>
      <c r="O147" s="25"/>
      <c r="P147" s="25"/>
      <c r="Q147" s="25"/>
    </row>
    <row r="148" spans="2:17" x14ac:dyDescent="0.25">
      <c r="B148" s="105" t="s">
        <v>1053</v>
      </c>
      <c r="C148" s="106" t="s">
        <v>1054</v>
      </c>
      <c r="D148" s="102" t="s">
        <v>163</v>
      </c>
      <c r="E148" s="99">
        <v>45835</v>
      </c>
      <c r="F148" s="71">
        <f t="shared" ca="1" si="6"/>
        <v>343</v>
      </c>
      <c r="G148" s="104">
        <v>46133</v>
      </c>
      <c r="H148" s="84"/>
      <c r="I148" s="25"/>
      <c r="J148" s="25"/>
      <c r="K148" s="25"/>
      <c r="L148" s="25"/>
      <c r="N148" s="25"/>
      <c r="O148" s="25"/>
      <c r="P148" s="25"/>
      <c r="Q148" s="25"/>
    </row>
    <row r="149" spans="2:17" x14ac:dyDescent="0.25">
      <c r="B149" s="105" t="s">
        <v>1055</v>
      </c>
      <c r="C149" s="106" t="s">
        <v>1056</v>
      </c>
      <c r="D149" s="102" t="s">
        <v>163</v>
      </c>
      <c r="E149" s="99">
        <v>45835</v>
      </c>
      <c r="F149" s="71">
        <f t="shared" ca="1" si="6"/>
        <v>343</v>
      </c>
      <c r="G149" s="104">
        <v>46133</v>
      </c>
      <c r="H149" s="84"/>
      <c r="I149" s="25"/>
      <c r="J149" s="25"/>
      <c r="K149" s="25"/>
      <c r="L149" s="25"/>
      <c r="N149" s="25"/>
      <c r="O149" s="25"/>
      <c r="P149" s="25"/>
      <c r="Q149" s="25"/>
    </row>
    <row r="150" spans="2:17" x14ac:dyDescent="0.25">
      <c r="B150" s="105" t="s">
        <v>1057</v>
      </c>
      <c r="C150" s="106" t="s">
        <v>1058</v>
      </c>
      <c r="D150" s="102" t="s">
        <v>163</v>
      </c>
      <c r="E150" s="99">
        <v>45835</v>
      </c>
      <c r="F150" s="71">
        <f t="shared" ca="1" si="6"/>
        <v>343</v>
      </c>
      <c r="G150" s="104">
        <v>46133</v>
      </c>
      <c r="H150" s="84"/>
      <c r="I150" s="25"/>
      <c r="J150" s="25"/>
      <c r="K150" s="25"/>
      <c r="L150" s="25"/>
      <c r="N150" s="25"/>
      <c r="O150" s="25"/>
      <c r="P150" s="25"/>
      <c r="Q150" s="25"/>
    </row>
    <row r="151" spans="2:17" x14ac:dyDescent="0.25">
      <c r="B151" s="105" t="s">
        <v>1059</v>
      </c>
      <c r="C151" s="106" t="s">
        <v>1060</v>
      </c>
      <c r="D151" s="102" t="s">
        <v>163</v>
      </c>
      <c r="E151" s="99">
        <v>45835</v>
      </c>
      <c r="F151" s="71">
        <f t="shared" ca="1" si="6"/>
        <v>343</v>
      </c>
      <c r="G151" s="104">
        <v>46133</v>
      </c>
      <c r="H151" s="84"/>
      <c r="I151" s="25"/>
      <c r="J151" s="25"/>
      <c r="K151" s="25"/>
      <c r="L151" s="25"/>
      <c r="N151" s="25"/>
      <c r="O151" s="25"/>
      <c r="P151" s="25"/>
      <c r="Q151" s="25"/>
    </row>
    <row r="152" spans="2:17" x14ac:dyDescent="0.25">
      <c r="B152" s="105" t="s">
        <v>1061</v>
      </c>
      <c r="C152" s="106" t="s">
        <v>1062</v>
      </c>
      <c r="D152" s="102" t="s">
        <v>163</v>
      </c>
      <c r="E152" s="99">
        <v>45835</v>
      </c>
      <c r="F152" s="71">
        <f t="shared" ca="1" si="6"/>
        <v>343</v>
      </c>
      <c r="G152" s="104">
        <v>46133</v>
      </c>
      <c r="H152" s="84"/>
      <c r="I152" s="25"/>
      <c r="J152" s="25"/>
      <c r="K152" s="25"/>
      <c r="L152" s="25"/>
      <c r="N152" s="25"/>
      <c r="O152" s="25"/>
      <c r="P152" s="25"/>
      <c r="Q152" s="25"/>
    </row>
    <row r="153" spans="2:17" x14ac:dyDescent="0.25">
      <c r="B153" s="105" t="s">
        <v>1063</v>
      </c>
      <c r="C153" s="106" t="s">
        <v>1064</v>
      </c>
      <c r="D153" s="102" t="s">
        <v>163</v>
      </c>
      <c r="E153" s="99">
        <v>45835</v>
      </c>
      <c r="F153" s="71">
        <f t="shared" ca="1" si="6"/>
        <v>343</v>
      </c>
      <c r="G153" s="104">
        <v>46133</v>
      </c>
      <c r="H153" s="84"/>
      <c r="I153" s="25"/>
      <c r="J153" s="25"/>
      <c r="K153" s="25"/>
      <c r="L153" s="25"/>
      <c r="N153" s="25"/>
      <c r="O153" s="25"/>
      <c r="P153" s="25"/>
      <c r="Q153" s="25"/>
    </row>
    <row r="154" spans="2:17" x14ac:dyDescent="0.25">
      <c r="B154" s="105" t="s">
        <v>1065</v>
      </c>
      <c r="C154" s="106" t="s">
        <v>1066</v>
      </c>
      <c r="D154" s="102" t="s">
        <v>163</v>
      </c>
      <c r="E154" s="99">
        <v>45835</v>
      </c>
      <c r="F154" s="71">
        <f t="shared" ca="1" si="6"/>
        <v>343</v>
      </c>
      <c r="G154" s="104">
        <v>46134</v>
      </c>
      <c r="H154" s="84"/>
      <c r="I154" s="25"/>
      <c r="J154" s="25"/>
      <c r="K154" s="25"/>
      <c r="L154" s="25"/>
      <c r="N154" s="25"/>
      <c r="O154" s="25"/>
      <c r="P154" s="25"/>
      <c r="Q154" s="25"/>
    </row>
    <row r="155" spans="2:17" x14ac:dyDescent="0.25">
      <c r="B155" s="105" t="s">
        <v>1067</v>
      </c>
      <c r="C155" s="106" t="s">
        <v>1068</v>
      </c>
      <c r="D155" s="102" t="s">
        <v>163</v>
      </c>
      <c r="E155" s="99">
        <v>45835</v>
      </c>
      <c r="F155" s="71">
        <f t="shared" ca="1" si="6"/>
        <v>343</v>
      </c>
      <c r="G155" s="104">
        <v>46134</v>
      </c>
      <c r="H155" s="84"/>
      <c r="I155" s="25"/>
      <c r="J155" s="25"/>
      <c r="K155" s="25"/>
      <c r="L155" s="25"/>
      <c r="N155" s="25"/>
      <c r="O155" s="25"/>
      <c r="P155" s="25"/>
      <c r="Q155" s="25"/>
    </row>
    <row r="156" spans="2:17" x14ac:dyDescent="0.25">
      <c r="B156" s="105" t="s">
        <v>1069</v>
      </c>
      <c r="C156" s="106" t="s">
        <v>1070</v>
      </c>
      <c r="D156" s="102" t="s">
        <v>163</v>
      </c>
      <c r="E156" s="99">
        <v>45835</v>
      </c>
      <c r="F156" s="71">
        <f t="shared" ca="1" si="6"/>
        <v>343</v>
      </c>
      <c r="G156" s="104">
        <v>46134</v>
      </c>
      <c r="H156" s="84"/>
      <c r="I156" s="25"/>
      <c r="J156" s="25"/>
      <c r="K156" s="25"/>
      <c r="L156" s="25"/>
      <c r="N156" s="25"/>
      <c r="O156" s="25"/>
      <c r="P156" s="25"/>
      <c r="Q156" s="25"/>
    </row>
    <row r="157" spans="2:17" x14ac:dyDescent="0.25">
      <c r="B157" s="105" t="s">
        <v>1071</v>
      </c>
      <c r="C157" s="106" t="s">
        <v>1072</v>
      </c>
      <c r="D157" s="102" t="s">
        <v>163</v>
      </c>
      <c r="E157" s="99">
        <v>45835</v>
      </c>
      <c r="F157" s="71">
        <f t="shared" ca="1" si="6"/>
        <v>343</v>
      </c>
      <c r="G157" s="104">
        <v>46134</v>
      </c>
      <c r="H157" s="84"/>
      <c r="I157" s="25"/>
      <c r="J157" s="25"/>
      <c r="K157" s="25"/>
      <c r="L157" s="25"/>
      <c r="N157" s="25"/>
      <c r="O157" s="25"/>
      <c r="P157" s="25"/>
      <c r="Q157" s="25"/>
    </row>
    <row r="158" spans="2:17" x14ac:dyDescent="0.25">
      <c r="B158" s="105" t="s">
        <v>1073</v>
      </c>
      <c r="C158" s="106" t="s">
        <v>1074</v>
      </c>
      <c r="D158" s="102" t="s">
        <v>163</v>
      </c>
      <c r="E158" s="99">
        <v>45835</v>
      </c>
      <c r="F158" s="71">
        <f t="shared" ca="1" si="6"/>
        <v>343</v>
      </c>
      <c r="G158" s="104">
        <v>46134</v>
      </c>
      <c r="H158" s="84"/>
      <c r="I158" s="25"/>
      <c r="J158" s="25"/>
      <c r="K158" s="25"/>
      <c r="L158" s="25"/>
      <c r="N158" s="25"/>
      <c r="O158" s="25"/>
      <c r="P158" s="25"/>
      <c r="Q158" s="25"/>
    </row>
    <row r="159" spans="2:17" x14ac:dyDescent="0.25">
      <c r="B159" s="105" t="s">
        <v>1075</v>
      </c>
      <c r="C159" s="106" t="s">
        <v>1076</v>
      </c>
      <c r="D159" s="102" t="s">
        <v>163</v>
      </c>
      <c r="E159" s="99">
        <v>45835</v>
      </c>
      <c r="F159" s="71">
        <f t="shared" ca="1" si="6"/>
        <v>343</v>
      </c>
      <c r="G159" s="104">
        <v>46134</v>
      </c>
      <c r="H159" s="84"/>
      <c r="I159" s="25"/>
      <c r="J159" s="25"/>
      <c r="K159" s="25"/>
      <c r="L159" s="25"/>
      <c r="N159" s="25"/>
      <c r="O159" s="25"/>
      <c r="P159" s="25"/>
      <c r="Q159" s="25"/>
    </row>
    <row r="160" spans="2:17" x14ac:dyDescent="0.25">
      <c r="B160" s="105" t="s">
        <v>1077</v>
      </c>
      <c r="C160" s="106" t="s">
        <v>1078</v>
      </c>
      <c r="D160" s="102" t="s">
        <v>163</v>
      </c>
      <c r="E160" s="99">
        <v>45835</v>
      </c>
      <c r="F160" s="71">
        <f t="shared" ca="1" si="6"/>
        <v>343</v>
      </c>
      <c r="G160" s="104">
        <v>46134</v>
      </c>
      <c r="H160" s="84"/>
      <c r="I160" s="25"/>
      <c r="J160" s="25"/>
      <c r="K160" s="25"/>
      <c r="L160" s="25"/>
      <c r="N160" s="25"/>
      <c r="O160" s="25"/>
      <c r="P160" s="25"/>
      <c r="Q160" s="25"/>
    </row>
    <row r="161" spans="2:17" x14ac:dyDescent="0.25">
      <c r="B161" s="105" t="s">
        <v>1079</v>
      </c>
      <c r="C161" s="106" t="s">
        <v>1080</v>
      </c>
      <c r="D161" s="102" t="s">
        <v>163</v>
      </c>
      <c r="E161" s="99">
        <v>45835</v>
      </c>
      <c r="F161" s="71">
        <f t="shared" ca="1" si="6"/>
        <v>343</v>
      </c>
      <c r="G161" s="104">
        <v>46135</v>
      </c>
      <c r="H161" s="84"/>
      <c r="I161" s="25"/>
      <c r="J161" s="25"/>
      <c r="K161" s="25"/>
      <c r="L161" s="25"/>
      <c r="N161" s="25"/>
      <c r="O161" s="25"/>
      <c r="P161" s="25"/>
      <c r="Q161" s="25"/>
    </row>
    <row r="162" spans="2:17" x14ac:dyDescent="0.25">
      <c r="B162" s="105" t="s">
        <v>1081</v>
      </c>
      <c r="C162" s="106" t="s">
        <v>1082</v>
      </c>
      <c r="D162" s="102" t="s">
        <v>163</v>
      </c>
      <c r="E162" s="99">
        <v>45835</v>
      </c>
      <c r="F162" s="71">
        <f t="shared" ca="1" si="6"/>
        <v>343</v>
      </c>
      <c r="G162" s="104">
        <v>46135</v>
      </c>
      <c r="H162" s="84"/>
      <c r="I162" s="25"/>
      <c r="J162" s="25"/>
      <c r="K162" s="25"/>
      <c r="L162" s="25"/>
      <c r="N162" s="25"/>
      <c r="O162" s="25"/>
      <c r="P162" s="25"/>
      <c r="Q162" s="25"/>
    </row>
    <row r="163" spans="2:17" x14ac:dyDescent="0.25">
      <c r="B163" s="105" t="s">
        <v>1277</v>
      </c>
      <c r="C163" s="106" t="s">
        <v>1278</v>
      </c>
      <c r="D163" s="111" t="s">
        <v>1279</v>
      </c>
      <c r="E163" s="75">
        <v>45872</v>
      </c>
      <c r="F163" s="25">
        <f t="shared" ca="1" si="6"/>
        <v>306</v>
      </c>
      <c r="G163" s="25"/>
      <c r="I163" s="25"/>
      <c r="J163" s="25"/>
      <c r="K163" s="25"/>
      <c r="L163" s="25"/>
      <c r="N163" s="25"/>
      <c r="O163" s="25"/>
      <c r="P163" s="25"/>
      <c r="Q163" s="25"/>
    </row>
    <row r="164" spans="2:17" x14ac:dyDescent="0.25">
      <c r="B164" s="105" t="s">
        <v>1280</v>
      </c>
      <c r="C164" s="106" t="s">
        <v>1281</v>
      </c>
      <c r="D164" s="111" t="s">
        <v>1279</v>
      </c>
      <c r="E164" s="75">
        <v>45872</v>
      </c>
      <c r="F164" s="25">
        <f t="shared" ca="1" si="6"/>
        <v>306</v>
      </c>
      <c r="G164" s="25"/>
      <c r="I164" s="25"/>
      <c r="J164" s="25"/>
      <c r="K164" s="25"/>
      <c r="L164" s="25"/>
      <c r="N164" s="25"/>
      <c r="O164" s="25"/>
      <c r="P164" s="25"/>
      <c r="Q164" s="25"/>
    </row>
    <row r="165" spans="2:17" x14ac:dyDescent="0.25">
      <c r="B165" s="109" t="s">
        <v>1217</v>
      </c>
      <c r="C165" s="110" t="s">
        <v>1218</v>
      </c>
      <c r="D165" s="102" t="s">
        <v>163</v>
      </c>
      <c r="E165" s="75">
        <v>45904</v>
      </c>
      <c r="F165" s="71">
        <f t="shared" ca="1" si="6"/>
        <v>274</v>
      </c>
      <c r="G165" s="104">
        <v>46129</v>
      </c>
      <c r="H165" s="84"/>
      <c r="I165" s="25"/>
      <c r="J165" s="25"/>
      <c r="K165" s="25"/>
      <c r="L165" s="25"/>
      <c r="N165" s="25"/>
      <c r="O165" s="25"/>
      <c r="P165" s="25"/>
      <c r="Q165" s="25"/>
    </row>
    <row r="166" spans="2:17" x14ac:dyDescent="0.25">
      <c r="B166" s="109" t="s">
        <v>1219</v>
      </c>
      <c r="C166" s="110" t="s">
        <v>1220</v>
      </c>
      <c r="D166" s="102" t="s">
        <v>163</v>
      </c>
      <c r="E166" s="75">
        <v>45904</v>
      </c>
      <c r="F166" s="71">
        <f t="shared" ca="1" si="6"/>
        <v>274</v>
      </c>
      <c r="G166" s="104">
        <v>46130</v>
      </c>
      <c r="H166" s="84"/>
      <c r="I166" s="25"/>
      <c r="J166" s="25"/>
      <c r="K166" s="25"/>
      <c r="L166" s="25"/>
      <c r="N166" s="25"/>
      <c r="O166" s="25"/>
      <c r="P166" s="25"/>
      <c r="Q166" s="25"/>
    </row>
    <row r="167" spans="2:17" x14ac:dyDescent="0.25">
      <c r="B167" s="109" t="s">
        <v>1221</v>
      </c>
      <c r="C167" s="110" t="s">
        <v>1222</v>
      </c>
      <c r="D167" s="102" t="s">
        <v>163</v>
      </c>
      <c r="E167" s="75">
        <v>45904</v>
      </c>
      <c r="F167" s="71">
        <f t="shared" ca="1" si="6"/>
        <v>274</v>
      </c>
      <c r="G167" s="104">
        <v>46130</v>
      </c>
      <c r="H167" s="84"/>
      <c r="I167" s="25"/>
      <c r="J167" s="25"/>
      <c r="K167" s="25"/>
      <c r="L167" s="25"/>
      <c r="N167" s="25"/>
      <c r="O167" s="25"/>
      <c r="P167" s="25"/>
      <c r="Q167" s="25"/>
    </row>
    <row r="168" spans="2:17" x14ac:dyDescent="0.25">
      <c r="B168" s="109" t="s">
        <v>1223</v>
      </c>
      <c r="C168" s="110" t="s">
        <v>1224</v>
      </c>
      <c r="D168" s="102" t="s">
        <v>163</v>
      </c>
      <c r="E168" s="75">
        <v>45904</v>
      </c>
      <c r="F168" s="71">
        <f t="shared" ca="1" si="6"/>
        <v>274</v>
      </c>
      <c r="G168" s="104">
        <v>46130</v>
      </c>
      <c r="H168" s="84"/>
      <c r="I168" s="25"/>
      <c r="J168" s="25"/>
      <c r="K168" s="25"/>
      <c r="L168" s="25"/>
      <c r="N168" s="25"/>
      <c r="O168" s="25"/>
      <c r="P168" s="25"/>
      <c r="Q168" s="25"/>
    </row>
    <row r="169" spans="2:17" x14ac:dyDescent="0.25">
      <c r="B169" s="109" t="s">
        <v>1225</v>
      </c>
      <c r="C169" s="110" t="s">
        <v>1226</v>
      </c>
      <c r="D169" s="102" t="s">
        <v>163</v>
      </c>
      <c r="E169" s="75">
        <v>45904</v>
      </c>
      <c r="F169" s="71">
        <f t="shared" ca="1" si="6"/>
        <v>274</v>
      </c>
      <c r="G169" s="104">
        <v>46130</v>
      </c>
      <c r="H169" s="84"/>
      <c r="I169" s="25"/>
      <c r="J169" s="25"/>
      <c r="K169" s="25"/>
      <c r="L169" s="25"/>
      <c r="N169" s="25"/>
      <c r="O169" s="25"/>
      <c r="P169" s="25"/>
      <c r="Q169" s="25"/>
    </row>
    <row r="170" spans="2:17" x14ac:dyDescent="0.25">
      <c r="B170" s="109" t="s">
        <v>1227</v>
      </c>
      <c r="C170" s="110" t="s">
        <v>1228</v>
      </c>
      <c r="D170" s="102" t="s">
        <v>163</v>
      </c>
      <c r="E170" s="75">
        <v>45904</v>
      </c>
      <c r="F170" s="71">
        <f t="shared" ca="1" si="6"/>
        <v>274</v>
      </c>
      <c r="G170" s="104">
        <v>46130</v>
      </c>
      <c r="H170" s="84"/>
      <c r="I170" s="25"/>
      <c r="J170" s="25"/>
      <c r="K170" s="25"/>
      <c r="L170" s="25"/>
      <c r="N170" s="25"/>
      <c r="O170" s="25"/>
      <c r="P170" s="25"/>
      <c r="Q170" s="25"/>
    </row>
    <row r="171" spans="2:17" x14ac:dyDescent="0.25">
      <c r="B171" s="109" t="s">
        <v>1229</v>
      </c>
      <c r="C171" s="110" t="s">
        <v>1230</v>
      </c>
      <c r="D171" s="102" t="s">
        <v>163</v>
      </c>
      <c r="E171" s="75">
        <v>45904</v>
      </c>
      <c r="F171" s="71">
        <f t="shared" ca="1" si="6"/>
        <v>274</v>
      </c>
      <c r="G171" s="104">
        <v>46130</v>
      </c>
      <c r="H171" s="84"/>
      <c r="I171" s="25"/>
      <c r="J171" s="25"/>
      <c r="K171" s="25"/>
      <c r="L171" s="25"/>
      <c r="N171" s="25"/>
      <c r="O171" s="25"/>
      <c r="P171" s="25"/>
      <c r="Q171" s="25"/>
    </row>
    <row r="172" spans="2:17" x14ac:dyDescent="0.25">
      <c r="B172" s="109" t="s">
        <v>1231</v>
      </c>
      <c r="C172" s="110" t="s">
        <v>1232</v>
      </c>
      <c r="D172" s="102" t="s">
        <v>163</v>
      </c>
      <c r="E172" s="75">
        <v>45904</v>
      </c>
      <c r="F172" s="71">
        <f t="shared" ca="1" si="6"/>
        <v>274</v>
      </c>
      <c r="G172" s="104">
        <v>46131</v>
      </c>
      <c r="H172" s="84"/>
      <c r="I172" s="25"/>
      <c r="J172" s="25"/>
      <c r="K172" s="25"/>
      <c r="L172" s="25"/>
      <c r="N172" s="25"/>
      <c r="O172" s="25"/>
      <c r="P172" s="25"/>
      <c r="Q172" s="25"/>
    </row>
    <row r="173" spans="2:17" x14ac:dyDescent="0.25">
      <c r="B173" s="109" t="s">
        <v>1233</v>
      </c>
      <c r="C173" s="110" t="s">
        <v>1234</v>
      </c>
      <c r="D173" s="102" t="s">
        <v>163</v>
      </c>
      <c r="E173" s="75">
        <v>45904</v>
      </c>
      <c r="F173" s="71">
        <f t="shared" ca="1" si="6"/>
        <v>274</v>
      </c>
      <c r="G173" s="104">
        <v>46131</v>
      </c>
      <c r="H173" s="84"/>
      <c r="I173" s="25"/>
      <c r="J173" s="25"/>
      <c r="K173" s="25"/>
      <c r="L173" s="25"/>
      <c r="N173" s="25"/>
      <c r="O173" s="25"/>
      <c r="P173" s="25"/>
      <c r="Q173" s="25"/>
    </row>
    <row r="174" spans="2:17" x14ac:dyDescent="0.25">
      <c r="B174" s="109" t="s">
        <v>1235</v>
      </c>
      <c r="C174" s="110" t="s">
        <v>1236</v>
      </c>
      <c r="D174" s="102" t="s">
        <v>163</v>
      </c>
      <c r="E174" s="75">
        <v>45904</v>
      </c>
      <c r="F174" s="71">
        <f t="shared" ca="1" si="6"/>
        <v>274</v>
      </c>
      <c r="G174" s="104">
        <v>46131</v>
      </c>
      <c r="H174" s="84"/>
      <c r="I174" s="25"/>
      <c r="J174" s="25"/>
      <c r="K174" s="25"/>
      <c r="L174" s="25"/>
      <c r="N174" s="25"/>
      <c r="O174" s="25"/>
      <c r="P174" s="25"/>
      <c r="Q174" s="25"/>
    </row>
    <row r="175" spans="2:17" x14ac:dyDescent="0.25">
      <c r="B175" s="109" t="s">
        <v>1179</v>
      </c>
      <c r="C175" s="110" t="s">
        <v>1180</v>
      </c>
      <c r="D175" s="102" t="s">
        <v>163</v>
      </c>
      <c r="E175" s="99">
        <v>45871</v>
      </c>
      <c r="F175" s="71">
        <f t="shared" ca="1" si="6"/>
        <v>307</v>
      </c>
      <c r="G175" s="104">
        <v>46131</v>
      </c>
      <c r="H175" s="84"/>
      <c r="I175" s="25"/>
      <c r="J175" s="25"/>
      <c r="K175" s="25"/>
      <c r="L175" s="25"/>
      <c r="N175" s="25"/>
      <c r="O175" s="25"/>
      <c r="P175" s="25"/>
      <c r="Q175" s="25"/>
    </row>
    <row r="176" spans="2:17" x14ac:dyDescent="0.25">
      <c r="B176" s="109" t="s">
        <v>1181</v>
      </c>
      <c r="C176" s="110" t="s">
        <v>1182</v>
      </c>
      <c r="D176" s="102" t="s">
        <v>163</v>
      </c>
      <c r="E176" s="99">
        <v>45871</v>
      </c>
      <c r="F176" s="71">
        <f t="shared" ca="1" si="6"/>
        <v>307</v>
      </c>
      <c r="G176" s="104">
        <v>46131</v>
      </c>
      <c r="H176" s="84"/>
      <c r="I176" s="25"/>
      <c r="J176" s="25"/>
      <c r="K176" s="25"/>
      <c r="L176" s="25"/>
      <c r="N176" s="25"/>
      <c r="O176" s="25"/>
      <c r="P176" s="25"/>
      <c r="Q176" s="25"/>
    </row>
    <row r="177" spans="2:17" x14ac:dyDescent="0.25">
      <c r="B177" s="109" t="s">
        <v>1183</v>
      </c>
      <c r="C177" s="110" t="s">
        <v>1184</v>
      </c>
      <c r="D177" s="102" t="s">
        <v>163</v>
      </c>
      <c r="E177" s="99">
        <v>45871</v>
      </c>
      <c r="F177" s="71">
        <f t="shared" ca="1" si="6"/>
        <v>307</v>
      </c>
      <c r="G177" s="104">
        <v>46131</v>
      </c>
      <c r="H177" s="84"/>
      <c r="I177" s="25"/>
      <c r="J177" s="25"/>
      <c r="K177" s="25"/>
      <c r="L177" s="25"/>
      <c r="N177" s="25"/>
      <c r="O177" s="25"/>
      <c r="P177" s="25"/>
      <c r="Q177" s="25"/>
    </row>
    <row r="178" spans="2:17" x14ac:dyDescent="0.25">
      <c r="B178" s="109" t="s">
        <v>1185</v>
      </c>
      <c r="C178" s="110" t="s">
        <v>1186</v>
      </c>
      <c r="D178" s="102" t="s">
        <v>163</v>
      </c>
      <c r="E178" s="99">
        <v>45871</v>
      </c>
      <c r="F178" s="71">
        <f t="shared" ca="1" si="6"/>
        <v>307</v>
      </c>
      <c r="G178" s="104">
        <v>46131</v>
      </c>
      <c r="H178" s="84"/>
      <c r="I178" s="25"/>
      <c r="J178" s="25"/>
      <c r="K178" s="25"/>
      <c r="L178" s="25"/>
      <c r="N178" s="25"/>
      <c r="O178" s="25"/>
      <c r="P178" s="25"/>
      <c r="Q178" s="25"/>
    </row>
    <row r="179" spans="2:17" x14ac:dyDescent="0.25">
      <c r="B179" s="109" t="s">
        <v>1187</v>
      </c>
      <c r="C179" s="110" t="s">
        <v>1188</v>
      </c>
      <c r="D179" s="102" t="s">
        <v>163</v>
      </c>
      <c r="E179" s="99">
        <v>45871</v>
      </c>
      <c r="F179" s="71">
        <f t="shared" ca="1" si="6"/>
        <v>307</v>
      </c>
      <c r="G179" s="104">
        <v>46131</v>
      </c>
      <c r="H179" s="84"/>
      <c r="I179" s="25"/>
      <c r="J179" s="25"/>
      <c r="K179" s="25"/>
      <c r="L179" s="25"/>
      <c r="N179" s="25"/>
      <c r="O179" s="25"/>
      <c r="P179" s="25"/>
      <c r="Q179" s="25"/>
    </row>
    <row r="180" spans="2:17" x14ac:dyDescent="0.25">
      <c r="B180" s="109" t="s">
        <v>1189</v>
      </c>
      <c r="C180" s="110" t="s">
        <v>1190</v>
      </c>
      <c r="D180" s="102" t="s">
        <v>163</v>
      </c>
      <c r="E180" s="99">
        <v>45871</v>
      </c>
      <c r="F180" s="71">
        <f t="shared" ca="1" si="6"/>
        <v>307</v>
      </c>
      <c r="G180" s="104">
        <v>46132</v>
      </c>
      <c r="H180" s="84"/>
      <c r="I180" s="25"/>
      <c r="J180" s="25"/>
      <c r="K180" s="25"/>
      <c r="L180" s="25"/>
      <c r="N180" s="25"/>
      <c r="O180" s="25"/>
      <c r="P180" s="25"/>
      <c r="Q180" s="25"/>
    </row>
    <row r="181" spans="2:17" x14ac:dyDescent="0.25">
      <c r="B181" s="109" t="s">
        <v>1191</v>
      </c>
      <c r="C181" s="110" t="s">
        <v>1192</v>
      </c>
      <c r="D181" s="102" t="s">
        <v>163</v>
      </c>
      <c r="E181" s="99">
        <v>45871</v>
      </c>
      <c r="F181" s="71">
        <f t="shared" ca="1" si="6"/>
        <v>307</v>
      </c>
      <c r="G181" s="104">
        <v>46132</v>
      </c>
      <c r="H181" s="84"/>
      <c r="I181" s="25"/>
      <c r="J181" s="25"/>
      <c r="K181" s="25"/>
      <c r="L181" s="25"/>
      <c r="N181" s="25"/>
      <c r="O181" s="25"/>
      <c r="P181" s="25"/>
      <c r="Q181" s="25"/>
    </row>
    <row r="182" spans="2:17" x14ac:dyDescent="0.25">
      <c r="B182" s="109" t="s">
        <v>1193</v>
      </c>
      <c r="C182" s="110" t="s">
        <v>1194</v>
      </c>
      <c r="D182" s="102" t="s">
        <v>163</v>
      </c>
      <c r="E182" s="99">
        <v>45871</v>
      </c>
      <c r="F182" s="71">
        <f t="shared" ca="1" si="6"/>
        <v>307</v>
      </c>
      <c r="G182" s="104">
        <v>46132</v>
      </c>
      <c r="H182" s="84"/>
      <c r="I182" s="25"/>
      <c r="J182" s="25"/>
      <c r="K182" s="25"/>
      <c r="L182" s="25"/>
      <c r="N182" s="25"/>
      <c r="O182" s="25"/>
      <c r="P182" s="25"/>
      <c r="Q182" s="25"/>
    </row>
    <row r="183" spans="2:17" x14ac:dyDescent="0.25">
      <c r="B183" s="109" t="s">
        <v>1195</v>
      </c>
      <c r="C183" s="110" t="s">
        <v>1196</v>
      </c>
      <c r="D183" s="102" t="s">
        <v>163</v>
      </c>
      <c r="E183" s="99">
        <v>45871</v>
      </c>
      <c r="F183" s="71">
        <f t="shared" ca="1" si="6"/>
        <v>307</v>
      </c>
      <c r="G183" s="104">
        <v>46132</v>
      </c>
      <c r="H183" s="84"/>
      <c r="I183" s="25"/>
      <c r="J183" s="25"/>
      <c r="K183" s="25"/>
      <c r="L183" s="25"/>
      <c r="N183" s="25"/>
      <c r="O183" s="25"/>
      <c r="P183" s="25"/>
      <c r="Q183" s="25"/>
    </row>
    <row r="184" spans="2:17" x14ac:dyDescent="0.25">
      <c r="B184" s="109" t="s">
        <v>1197</v>
      </c>
      <c r="C184" s="110" t="s">
        <v>1198</v>
      </c>
      <c r="D184" s="102" t="s">
        <v>163</v>
      </c>
      <c r="E184" s="99">
        <v>45871</v>
      </c>
      <c r="F184" s="71">
        <f t="shared" ca="1" si="6"/>
        <v>307</v>
      </c>
      <c r="G184" s="104">
        <v>46132</v>
      </c>
      <c r="H184" s="84"/>
      <c r="I184" s="25"/>
      <c r="J184" s="25"/>
      <c r="K184" s="25"/>
      <c r="L184" s="25"/>
      <c r="N184" s="25"/>
      <c r="O184" s="25"/>
      <c r="P184" s="25"/>
      <c r="Q184" s="25"/>
    </row>
    <row r="185" spans="2:17" x14ac:dyDescent="0.25">
      <c r="B185" s="109" t="s">
        <v>1322</v>
      </c>
      <c r="C185" s="110" t="s">
        <v>1323</v>
      </c>
      <c r="D185" s="112"/>
      <c r="E185" s="75">
        <v>46124</v>
      </c>
      <c r="F185" s="25">
        <f t="shared" ca="1" si="6"/>
        <v>54</v>
      </c>
      <c r="G185" s="25"/>
      <c r="I185" s="25"/>
      <c r="J185" s="25"/>
      <c r="K185" s="25"/>
      <c r="L185" s="25"/>
      <c r="N185" s="25"/>
      <c r="O185" s="25"/>
      <c r="P185" s="25"/>
      <c r="Q185" s="25"/>
    </row>
    <row r="186" spans="2:17" x14ac:dyDescent="0.25">
      <c r="B186" s="109" t="s">
        <v>1324</v>
      </c>
      <c r="C186" s="110" t="s">
        <v>1325</v>
      </c>
      <c r="D186" s="112"/>
      <c r="E186" s="75">
        <v>46124</v>
      </c>
      <c r="F186" s="25">
        <f t="shared" ca="1" si="6"/>
        <v>54</v>
      </c>
      <c r="G186" s="25"/>
      <c r="I186" s="25"/>
      <c r="J186" s="25"/>
      <c r="K186" s="25"/>
      <c r="L186" s="25"/>
      <c r="N186" s="25"/>
      <c r="O186" s="25"/>
      <c r="P186" s="25"/>
      <c r="Q186" s="25"/>
    </row>
    <row r="187" spans="2:17" x14ac:dyDescent="0.25">
      <c r="B187" s="109" t="s">
        <v>1326</v>
      </c>
      <c r="C187" s="110" t="s">
        <v>1327</v>
      </c>
      <c r="D187" s="112"/>
      <c r="E187" s="75">
        <v>46124</v>
      </c>
      <c r="F187" s="25">
        <f t="shared" ca="1" si="6"/>
        <v>54</v>
      </c>
      <c r="G187" s="25"/>
      <c r="I187" s="25"/>
      <c r="J187" s="25"/>
      <c r="K187" s="25"/>
      <c r="L187" s="25"/>
      <c r="N187" s="25"/>
      <c r="O187" s="25"/>
      <c r="P187" s="25"/>
      <c r="Q187" s="25"/>
    </row>
    <row r="188" spans="2:17" x14ac:dyDescent="0.25">
      <c r="B188" s="109" t="s">
        <v>1328</v>
      </c>
      <c r="C188" s="110" t="s">
        <v>1329</v>
      </c>
      <c r="D188" s="112"/>
      <c r="E188" s="75">
        <v>46125</v>
      </c>
      <c r="F188" s="25">
        <f t="shared" ca="1" si="6"/>
        <v>53</v>
      </c>
      <c r="G188" s="25"/>
      <c r="I188" s="25"/>
      <c r="J188" s="25"/>
      <c r="K188" s="25"/>
      <c r="L188" s="25"/>
      <c r="N188" s="25"/>
      <c r="O188" s="25"/>
      <c r="P188" s="25"/>
      <c r="Q188" s="25"/>
    </row>
    <row r="189" spans="2:17" x14ac:dyDescent="0.25">
      <c r="B189" s="109" t="s">
        <v>1330</v>
      </c>
      <c r="C189" s="110" t="s">
        <v>1331</v>
      </c>
      <c r="D189" s="112"/>
      <c r="E189" s="75">
        <v>46125</v>
      </c>
      <c r="F189" s="25">
        <f t="shared" ca="1" si="6"/>
        <v>53</v>
      </c>
      <c r="G189" s="25"/>
      <c r="I189" s="25"/>
      <c r="J189" s="25"/>
      <c r="K189" s="25"/>
      <c r="L189" s="25"/>
      <c r="N189" s="25"/>
      <c r="O189" s="25"/>
      <c r="P189" s="25"/>
      <c r="Q189" s="25"/>
    </row>
    <row r="190" spans="2:17" x14ac:dyDescent="0.25">
      <c r="B190" s="109" t="s">
        <v>1332</v>
      </c>
      <c r="C190" s="110" t="s">
        <v>1333</v>
      </c>
      <c r="D190" s="112"/>
      <c r="E190" s="75">
        <v>46125</v>
      </c>
      <c r="F190" s="25">
        <f t="shared" ca="1" si="6"/>
        <v>53</v>
      </c>
      <c r="G190" s="25"/>
      <c r="I190" s="25"/>
      <c r="J190" s="25"/>
      <c r="K190" s="25"/>
      <c r="L190" s="25"/>
      <c r="N190" s="25"/>
      <c r="O190" s="25"/>
      <c r="P190" s="25"/>
      <c r="Q190" s="25"/>
    </row>
    <row r="191" spans="2:17" x14ac:dyDescent="0.25">
      <c r="B191" s="109" t="s">
        <v>1334</v>
      </c>
      <c r="C191" s="110" t="s">
        <v>1335</v>
      </c>
      <c r="D191" s="112"/>
      <c r="E191" s="75">
        <v>46125</v>
      </c>
      <c r="F191" s="25">
        <f t="shared" ca="1" si="6"/>
        <v>53</v>
      </c>
      <c r="G191" s="25"/>
      <c r="I191" s="25"/>
      <c r="J191" s="25"/>
      <c r="K191" s="25"/>
      <c r="L191" s="25"/>
      <c r="N191" s="25"/>
      <c r="O191" s="25"/>
      <c r="P191" s="25"/>
      <c r="Q191" s="25"/>
    </row>
    <row r="192" spans="2:17" x14ac:dyDescent="0.25">
      <c r="B192" s="109" t="s">
        <v>1336</v>
      </c>
      <c r="C192" s="110" t="s">
        <v>1337</v>
      </c>
      <c r="D192" s="112"/>
      <c r="E192" s="75">
        <v>46125</v>
      </c>
      <c r="F192" s="25">
        <f t="shared" ca="1" si="6"/>
        <v>53</v>
      </c>
      <c r="G192" s="25"/>
      <c r="I192" s="25"/>
      <c r="J192" s="25"/>
      <c r="K192" s="25"/>
      <c r="L192" s="25"/>
      <c r="N192" s="25"/>
      <c r="O192" s="25"/>
      <c r="P192" s="25"/>
      <c r="Q192" s="25"/>
    </row>
    <row r="193" spans="2:17" x14ac:dyDescent="0.25">
      <c r="B193" s="109" t="s">
        <v>1338</v>
      </c>
      <c r="C193" s="110" t="s">
        <v>1339</v>
      </c>
      <c r="D193" s="112"/>
      <c r="E193" s="75">
        <v>46125</v>
      </c>
      <c r="F193" s="25">
        <f t="shared" ca="1" si="6"/>
        <v>53</v>
      </c>
      <c r="G193" s="25"/>
      <c r="I193" s="25"/>
      <c r="J193" s="25"/>
      <c r="K193" s="25"/>
      <c r="L193" s="25"/>
      <c r="N193" s="25"/>
      <c r="O193" s="25"/>
      <c r="P193" s="25"/>
      <c r="Q193" s="25"/>
    </row>
    <row r="194" spans="2:17" x14ac:dyDescent="0.25">
      <c r="B194" s="109" t="s">
        <v>1340</v>
      </c>
      <c r="C194" s="110" t="s">
        <v>1341</v>
      </c>
      <c r="D194" s="112"/>
      <c r="E194" s="75">
        <v>46125</v>
      </c>
      <c r="F194" s="25">
        <f t="shared" ca="1" si="6"/>
        <v>53</v>
      </c>
      <c r="G194" s="25"/>
      <c r="I194" s="25"/>
      <c r="J194" s="25"/>
      <c r="K194" s="25"/>
      <c r="L194" s="25"/>
      <c r="N194" s="25"/>
      <c r="O194" s="25"/>
      <c r="P194" s="25"/>
      <c r="Q194" s="25"/>
    </row>
    <row r="195" spans="2:17" x14ac:dyDescent="0.25">
      <c r="B195" s="96" t="s">
        <v>1342</v>
      </c>
      <c r="C195" s="97" t="s">
        <v>1343</v>
      </c>
      <c r="D195" s="112"/>
      <c r="E195" s="75">
        <v>46145</v>
      </c>
      <c r="F195" s="25">
        <f t="shared" ca="1" si="6"/>
        <v>33</v>
      </c>
      <c r="G195" s="25"/>
      <c r="I195" s="25"/>
      <c r="J195" s="25"/>
      <c r="K195" s="25"/>
      <c r="L195" s="25"/>
      <c r="N195" s="25"/>
      <c r="O195" s="25"/>
      <c r="P195" s="25"/>
      <c r="Q195" s="25"/>
    </row>
    <row r="196" spans="2:17" x14ac:dyDescent="0.25">
      <c r="B196" s="96" t="s">
        <v>1344</v>
      </c>
      <c r="C196" s="97" t="s">
        <v>1345</v>
      </c>
      <c r="D196" s="112"/>
      <c r="E196" s="75">
        <v>46145</v>
      </c>
      <c r="F196" s="25">
        <f t="shared" ca="1" si="6"/>
        <v>33</v>
      </c>
      <c r="G196" s="25"/>
      <c r="I196" s="25"/>
      <c r="J196" s="25"/>
      <c r="K196" s="25"/>
      <c r="L196" s="25"/>
      <c r="N196" s="25"/>
      <c r="O196" s="25"/>
      <c r="P196" s="25"/>
      <c r="Q196" s="25"/>
    </row>
    <row r="197" spans="2:17" x14ac:dyDescent="0.25">
      <c r="B197" s="96" t="s">
        <v>1346</v>
      </c>
      <c r="C197" s="97" t="s">
        <v>1347</v>
      </c>
      <c r="D197" s="112"/>
      <c r="E197" s="75">
        <v>46145</v>
      </c>
      <c r="F197" s="25">
        <f t="shared" ca="1" si="6"/>
        <v>33</v>
      </c>
      <c r="G197" s="25"/>
      <c r="I197" s="25"/>
      <c r="J197" s="25"/>
      <c r="K197" s="25"/>
      <c r="L197" s="25"/>
      <c r="N197" s="25"/>
      <c r="O197" s="25"/>
      <c r="P197" s="25"/>
      <c r="Q197" s="25"/>
    </row>
    <row r="198" spans="2:17" x14ac:dyDescent="0.25">
      <c r="B198" s="96" t="s">
        <v>1348</v>
      </c>
      <c r="C198" s="97" t="s">
        <v>1349</v>
      </c>
      <c r="D198" s="112"/>
      <c r="E198" s="75">
        <v>46145</v>
      </c>
      <c r="F198" s="25">
        <f t="shared" ca="1" si="6"/>
        <v>33</v>
      </c>
      <c r="G198" s="25"/>
      <c r="I198" s="25"/>
      <c r="J198" s="25"/>
      <c r="K198" s="25"/>
      <c r="L198" s="25"/>
      <c r="N198" s="25"/>
      <c r="O198" s="25"/>
      <c r="P198" s="25"/>
      <c r="Q198" s="25"/>
    </row>
    <row r="199" spans="2:17" x14ac:dyDescent="0.25">
      <c r="B199" s="96" t="s">
        <v>1350</v>
      </c>
      <c r="C199" s="97" t="s">
        <v>1351</v>
      </c>
      <c r="D199" s="112"/>
      <c r="E199" s="75">
        <v>46145</v>
      </c>
      <c r="F199" s="25">
        <f t="shared" ca="1" si="6"/>
        <v>33</v>
      </c>
      <c r="G199" s="25"/>
      <c r="I199" s="25"/>
      <c r="J199" s="25"/>
      <c r="K199" s="25"/>
      <c r="L199" s="25"/>
      <c r="N199" s="25"/>
      <c r="O199" s="25"/>
      <c r="P199" s="25"/>
      <c r="Q199" s="25"/>
    </row>
    <row r="200" spans="2:17" x14ac:dyDescent="0.25">
      <c r="B200" s="96" t="s">
        <v>1352</v>
      </c>
      <c r="C200" s="97" t="s">
        <v>1353</v>
      </c>
      <c r="D200" s="112"/>
      <c r="E200" s="75">
        <v>46145</v>
      </c>
      <c r="F200" s="25">
        <f t="shared" ref="F200:F263" ca="1" si="7">$F$2-E200</f>
        <v>33</v>
      </c>
      <c r="G200" s="25"/>
      <c r="I200" s="25"/>
      <c r="J200" s="25"/>
      <c r="K200" s="25"/>
      <c r="L200" s="25"/>
      <c r="N200" s="25"/>
      <c r="O200" s="25"/>
      <c r="P200" s="25"/>
      <c r="Q200" s="25"/>
    </row>
    <row r="201" spans="2:17" x14ac:dyDescent="0.25">
      <c r="B201" s="96" t="s">
        <v>1354</v>
      </c>
      <c r="C201" s="97" t="s">
        <v>1355</v>
      </c>
      <c r="D201" s="112"/>
      <c r="E201" s="75">
        <v>46145</v>
      </c>
      <c r="F201" s="25">
        <f t="shared" ca="1" si="7"/>
        <v>33</v>
      </c>
      <c r="G201" s="25"/>
      <c r="I201" s="25"/>
      <c r="J201" s="25"/>
      <c r="K201" s="25"/>
      <c r="L201" s="25"/>
      <c r="N201" s="25"/>
      <c r="O201" s="25"/>
      <c r="P201" s="25"/>
      <c r="Q201" s="25"/>
    </row>
    <row r="202" spans="2:17" x14ac:dyDescent="0.25">
      <c r="B202" s="96" t="s">
        <v>1356</v>
      </c>
      <c r="C202" s="97" t="s">
        <v>1357</v>
      </c>
      <c r="D202" s="112"/>
      <c r="E202" s="75">
        <v>46146</v>
      </c>
      <c r="F202" s="25">
        <f t="shared" ca="1" si="7"/>
        <v>32</v>
      </c>
      <c r="G202" s="25"/>
      <c r="I202" s="25"/>
      <c r="J202" s="25"/>
      <c r="K202" s="25"/>
      <c r="L202" s="25"/>
      <c r="N202" s="25"/>
      <c r="O202" s="25"/>
      <c r="P202" s="25"/>
      <c r="Q202" s="25"/>
    </row>
    <row r="203" spans="2:17" x14ac:dyDescent="0.25">
      <c r="B203" s="96" t="s">
        <v>1358</v>
      </c>
      <c r="C203" s="97" t="s">
        <v>1359</v>
      </c>
      <c r="D203" s="112"/>
      <c r="E203" s="75">
        <v>46146</v>
      </c>
      <c r="F203" s="25">
        <f t="shared" ca="1" si="7"/>
        <v>32</v>
      </c>
      <c r="G203" s="25"/>
      <c r="I203" s="25"/>
      <c r="J203" s="25"/>
      <c r="K203" s="25"/>
      <c r="L203" s="25"/>
      <c r="N203" s="25"/>
      <c r="O203" s="25"/>
      <c r="P203" s="25"/>
      <c r="Q203" s="25"/>
    </row>
    <row r="204" spans="2:17" x14ac:dyDescent="0.25">
      <c r="B204" s="96" t="s">
        <v>1360</v>
      </c>
      <c r="C204" s="97" t="s">
        <v>1361</v>
      </c>
      <c r="D204" s="112"/>
      <c r="E204" s="75">
        <v>46146</v>
      </c>
      <c r="F204" s="25">
        <f t="shared" ca="1" si="7"/>
        <v>32</v>
      </c>
      <c r="G204" s="25"/>
      <c r="I204" s="25"/>
      <c r="J204" s="25"/>
      <c r="K204" s="25"/>
      <c r="L204" s="25"/>
      <c r="N204" s="25"/>
      <c r="O204" s="25"/>
      <c r="P204" s="25"/>
      <c r="Q204" s="25"/>
    </row>
    <row r="205" spans="2:17" x14ac:dyDescent="0.25">
      <c r="B205" s="96" t="s">
        <v>1362</v>
      </c>
      <c r="C205" s="97" t="s">
        <v>1363</v>
      </c>
      <c r="D205" s="112"/>
      <c r="E205" s="75">
        <v>46146</v>
      </c>
      <c r="F205" s="25">
        <f t="shared" ca="1" si="7"/>
        <v>32</v>
      </c>
      <c r="G205" s="25"/>
      <c r="I205" s="25"/>
      <c r="J205" s="25"/>
      <c r="K205" s="25"/>
      <c r="L205" s="25"/>
      <c r="N205" s="25"/>
      <c r="O205" s="25"/>
      <c r="P205" s="25"/>
      <c r="Q205" s="25"/>
    </row>
    <row r="206" spans="2:17" x14ac:dyDescent="0.25">
      <c r="B206" s="96" t="s">
        <v>1364</v>
      </c>
      <c r="C206" s="97" t="s">
        <v>1365</v>
      </c>
      <c r="D206" s="112"/>
      <c r="E206" s="75">
        <v>46146</v>
      </c>
      <c r="F206" s="25">
        <f t="shared" ca="1" si="7"/>
        <v>32</v>
      </c>
      <c r="G206" s="25"/>
      <c r="I206" s="25"/>
      <c r="J206" s="25"/>
      <c r="K206" s="25"/>
      <c r="L206" s="25"/>
      <c r="N206" s="25"/>
      <c r="O206" s="25"/>
      <c r="P206" s="25"/>
      <c r="Q206" s="25"/>
    </row>
    <row r="207" spans="2:17" x14ac:dyDescent="0.25">
      <c r="B207" s="96" t="s">
        <v>1366</v>
      </c>
      <c r="C207" s="97" t="s">
        <v>1367</v>
      </c>
      <c r="D207" s="112"/>
      <c r="E207" s="75">
        <v>46146</v>
      </c>
      <c r="F207" s="25">
        <f t="shared" ca="1" si="7"/>
        <v>32</v>
      </c>
      <c r="G207" s="25"/>
      <c r="I207" s="25"/>
      <c r="J207" s="25"/>
      <c r="K207" s="25"/>
      <c r="L207" s="25"/>
      <c r="N207" s="25"/>
      <c r="O207" s="25"/>
      <c r="P207" s="25"/>
      <c r="Q207" s="25"/>
    </row>
    <row r="208" spans="2:17" x14ac:dyDescent="0.25">
      <c r="B208" s="96" t="s">
        <v>1368</v>
      </c>
      <c r="C208" s="97" t="s">
        <v>1369</v>
      </c>
      <c r="D208" s="112"/>
      <c r="E208" s="75">
        <v>46146</v>
      </c>
      <c r="F208" s="25">
        <f t="shared" ca="1" si="7"/>
        <v>32</v>
      </c>
      <c r="G208" s="25"/>
      <c r="I208" s="25"/>
      <c r="J208" s="25"/>
      <c r="K208" s="25"/>
      <c r="L208" s="25"/>
      <c r="N208" s="25"/>
      <c r="O208" s="25"/>
      <c r="P208" s="25"/>
      <c r="Q208" s="25"/>
    </row>
    <row r="209" spans="2:17" x14ac:dyDescent="0.25">
      <c r="B209" s="96" t="s">
        <v>1370</v>
      </c>
      <c r="C209" s="97" t="s">
        <v>1371</v>
      </c>
      <c r="D209" s="112"/>
      <c r="E209" s="75">
        <v>46147</v>
      </c>
      <c r="F209" s="25">
        <f t="shared" ca="1" si="7"/>
        <v>31</v>
      </c>
      <c r="G209" s="25"/>
      <c r="I209" s="25"/>
      <c r="J209" s="25"/>
      <c r="K209" s="25"/>
      <c r="L209" s="25"/>
      <c r="N209" s="25"/>
      <c r="O209" s="25"/>
      <c r="P209" s="25"/>
      <c r="Q209" s="25"/>
    </row>
    <row r="210" spans="2:17" x14ac:dyDescent="0.25">
      <c r="B210" s="96" t="s">
        <v>1372</v>
      </c>
      <c r="C210" s="97" t="s">
        <v>1373</v>
      </c>
      <c r="D210" s="112"/>
      <c r="E210" s="75">
        <v>46147</v>
      </c>
      <c r="F210" s="25">
        <f t="shared" ca="1" si="7"/>
        <v>31</v>
      </c>
      <c r="G210" s="25"/>
      <c r="I210" s="25"/>
      <c r="J210" s="25"/>
      <c r="K210" s="25"/>
      <c r="L210" s="25"/>
      <c r="N210" s="25"/>
      <c r="O210" s="25"/>
      <c r="P210" s="25"/>
      <c r="Q210" s="25"/>
    </row>
    <row r="211" spans="2:17" x14ac:dyDescent="0.25">
      <c r="B211" s="96" t="s">
        <v>1374</v>
      </c>
      <c r="C211" s="97" t="s">
        <v>1375</v>
      </c>
      <c r="D211" s="112"/>
      <c r="E211" s="75">
        <v>46147</v>
      </c>
      <c r="F211" s="25">
        <f t="shared" ca="1" si="7"/>
        <v>31</v>
      </c>
      <c r="G211" s="25"/>
      <c r="I211" s="25"/>
      <c r="J211" s="25"/>
      <c r="K211" s="25"/>
      <c r="L211" s="25"/>
      <c r="N211" s="25"/>
      <c r="O211" s="25"/>
      <c r="P211" s="25"/>
      <c r="Q211" s="25"/>
    </row>
    <row r="212" spans="2:17" x14ac:dyDescent="0.25">
      <c r="B212" s="96" t="s">
        <v>1376</v>
      </c>
      <c r="C212" s="97" t="s">
        <v>1377</v>
      </c>
      <c r="D212" s="112"/>
      <c r="E212" s="75">
        <v>46147</v>
      </c>
      <c r="F212" s="25">
        <f t="shared" ca="1" si="7"/>
        <v>31</v>
      </c>
      <c r="G212" s="25"/>
      <c r="I212" s="25"/>
      <c r="J212" s="25"/>
      <c r="K212" s="25"/>
      <c r="L212" s="25"/>
      <c r="N212" s="25"/>
      <c r="O212" s="25"/>
      <c r="P212" s="25"/>
      <c r="Q212" s="25"/>
    </row>
    <row r="213" spans="2:17" x14ac:dyDescent="0.25">
      <c r="B213" s="96" t="s">
        <v>1378</v>
      </c>
      <c r="C213" s="97" t="s">
        <v>1379</v>
      </c>
      <c r="D213" s="112"/>
      <c r="E213" s="75">
        <v>46147</v>
      </c>
      <c r="F213" s="25">
        <f t="shared" ca="1" si="7"/>
        <v>31</v>
      </c>
      <c r="G213" s="25"/>
      <c r="I213" s="25"/>
      <c r="J213" s="25"/>
      <c r="K213" s="25"/>
      <c r="L213" s="25"/>
      <c r="N213" s="25"/>
      <c r="O213" s="25"/>
      <c r="P213" s="25"/>
      <c r="Q213" s="25"/>
    </row>
    <row r="214" spans="2:17" x14ac:dyDescent="0.25">
      <c r="B214" s="96" t="s">
        <v>1380</v>
      </c>
      <c r="C214" s="97" t="s">
        <v>1381</v>
      </c>
      <c r="D214" s="112"/>
      <c r="E214" s="75">
        <v>46147</v>
      </c>
      <c r="F214" s="25">
        <f t="shared" ca="1" si="7"/>
        <v>31</v>
      </c>
      <c r="G214" s="25"/>
      <c r="I214" s="25"/>
      <c r="J214" s="25"/>
      <c r="K214" s="25"/>
      <c r="L214" s="25"/>
      <c r="N214" s="25"/>
      <c r="O214" s="25"/>
      <c r="P214" s="25"/>
      <c r="Q214" s="25"/>
    </row>
    <row r="215" spans="2:17" x14ac:dyDescent="0.25">
      <c r="B215" s="107" t="s">
        <v>1382</v>
      </c>
      <c r="C215" s="108" t="s">
        <v>1383</v>
      </c>
      <c r="D215" s="112"/>
      <c r="E215" s="75">
        <v>46147</v>
      </c>
      <c r="F215" s="25">
        <f t="shared" ca="1" si="7"/>
        <v>31</v>
      </c>
      <c r="G215" s="25"/>
      <c r="I215" s="25"/>
      <c r="J215" s="25"/>
      <c r="K215" s="25"/>
      <c r="L215" s="25"/>
      <c r="N215" s="25"/>
      <c r="O215" s="25"/>
      <c r="P215" s="25"/>
      <c r="Q215" s="25"/>
    </row>
    <row r="216" spans="2:17" x14ac:dyDescent="0.25">
      <c r="B216" s="107" t="s">
        <v>1384</v>
      </c>
      <c r="C216" s="108" t="s">
        <v>1385</v>
      </c>
      <c r="D216" s="113"/>
      <c r="E216" s="99">
        <v>45938</v>
      </c>
      <c r="F216" s="25">
        <f t="shared" ca="1" si="7"/>
        <v>240</v>
      </c>
      <c r="G216" s="25"/>
      <c r="I216" s="25"/>
      <c r="J216" s="25"/>
      <c r="K216" s="25"/>
      <c r="L216" s="25"/>
      <c r="N216" s="25"/>
      <c r="O216" s="25"/>
      <c r="P216" s="25"/>
      <c r="Q216" s="25"/>
    </row>
    <row r="217" spans="2:17" x14ac:dyDescent="0.25">
      <c r="B217" s="107" t="s">
        <v>1386</v>
      </c>
      <c r="C217" s="108" t="s">
        <v>1387</v>
      </c>
      <c r="D217" s="113"/>
      <c r="E217" s="99">
        <v>45938</v>
      </c>
      <c r="F217" s="25">
        <f t="shared" ca="1" si="7"/>
        <v>240</v>
      </c>
      <c r="G217" s="25"/>
      <c r="I217" s="25"/>
      <c r="J217" s="25"/>
      <c r="K217" s="25"/>
      <c r="L217" s="25"/>
      <c r="N217" s="25"/>
      <c r="O217" s="25"/>
      <c r="P217" s="25"/>
      <c r="Q217" s="25"/>
    </row>
    <row r="218" spans="2:17" x14ac:dyDescent="0.25">
      <c r="B218" s="107" t="s">
        <v>1388</v>
      </c>
      <c r="C218" s="108" t="s">
        <v>1389</v>
      </c>
      <c r="D218" s="113"/>
      <c r="E218" s="99">
        <v>45938</v>
      </c>
      <c r="F218" s="25">
        <f t="shared" ca="1" si="7"/>
        <v>240</v>
      </c>
      <c r="G218" s="25"/>
      <c r="I218" s="25"/>
      <c r="J218" s="25"/>
      <c r="K218" s="25"/>
      <c r="L218" s="25"/>
      <c r="N218" s="25"/>
      <c r="O218" s="25"/>
      <c r="P218" s="25"/>
      <c r="Q218" s="25"/>
    </row>
    <row r="219" spans="2:17" x14ac:dyDescent="0.25">
      <c r="B219" s="107" t="s">
        <v>1390</v>
      </c>
      <c r="C219" s="108" t="s">
        <v>1391</v>
      </c>
      <c r="D219" s="113"/>
      <c r="E219" s="75">
        <v>45921</v>
      </c>
      <c r="F219" s="25">
        <f t="shared" ca="1" si="7"/>
        <v>257</v>
      </c>
      <c r="G219" s="25"/>
      <c r="I219" s="25"/>
      <c r="J219" s="25"/>
      <c r="K219" s="25"/>
      <c r="L219" s="25"/>
      <c r="N219" s="25"/>
      <c r="O219" s="25"/>
      <c r="P219" s="25"/>
      <c r="Q219" s="25"/>
    </row>
    <row r="220" spans="2:17" x14ac:dyDescent="0.25">
      <c r="B220" s="107" t="s">
        <v>1392</v>
      </c>
      <c r="C220" s="108" t="s">
        <v>1393</v>
      </c>
      <c r="D220" s="113"/>
      <c r="E220" s="75">
        <v>45921</v>
      </c>
      <c r="F220" s="25">
        <f t="shared" ca="1" si="7"/>
        <v>257</v>
      </c>
      <c r="G220" s="25"/>
      <c r="I220" s="25"/>
      <c r="J220" s="25"/>
      <c r="K220" s="25"/>
      <c r="L220" s="25"/>
      <c r="N220" s="25"/>
      <c r="O220" s="25"/>
      <c r="P220" s="25"/>
      <c r="Q220" s="25"/>
    </row>
    <row r="221" spans="2:17" x14ac:dyDescent="0.25">
      <c r="B221" s="107" t="s">
        <v>1394</v>
      </c>
      <c r="C221" s="108" t="s">
        <v>1395</v>
      </c>
      <c r="D221" s="113"/>
      <c r="E221" s="75">
        <v>45921</v>
      </c>
      <c r="F221" s="25">
        <f t="shared" ca="1" si="7"/>
        <v>257</v>
      </c>
      <c r="G221" s="25"/>
      <c r="I221" s="25"/>
      <c r="J221" s="25"/>
      <c r="K221" s="25"/>
      <c r="L221" s="25"/>
      <c r="N221" s="25"/>
      <c r="O221" s="25"/>
      <c r="P221" s="25"/>
      <c r="Q221" s="25"/>
    </row>
    <row r="222" spans="2:17" x14ac:dyDescent="0.25">
      <c r="B222" s="107" t="s">
        <v>1396</v>
      </c>
      <c r="C222" s="108" t="s">
        <v>1397</v>
      </c>
      <c r="D222" s="113"/>
      <c r="E222" s="75">
        <v>45921</v>
      </c>
      <c r="F222" s="25">
        <f t="shared" ca="1" si="7"/>
        <v>257</v>
      </c>
      <c r="G222" s="25"/>
      <c r="I222" s="25"/>
      <c r="J222" s="25"/>
      <c r="K222" s="25"/>
      <c r="L222" s="25"/>
      <c r="N222" s="25"/>
      <c r="O222" s="25"/>
      <c r="P222" s="25"/>
      <c r="Q222" s="25"/>
    </row>
    <row r="223" spans="2:17" x14ac:dyDescent="0.25">
      <c r="B223" s="107" t="s">
        <v>1398</v>
      </c>
      <c r="C223" s="108" t="s">
        <v>1399</v>
      </c>
      <c r="D223" s="113"/>
      <c r="E223" s="75">
        <v>45905</v>
      </c>
      <c r="F223" s="25">
        <f t="shared" ca="1" si="7"/>
        <v>273</v>
      </c>
      <c r="G223" s="25"/>
      <c r="I223" s="25"/>
      <c r="J223" s="25"/>
      <c r="K223" s="25"/>
      <c r="L223" s="25"/>
      <c r="N223" s="25"/>
      <c r="O223" s="25"/>
      <c r="P223" s="25"/>
      <c r="Q223" s="25"/>
    </row>
    <row r="224" spans="2:17" x14ac:dyDescent="0.25">
      <c r="B224" s="107" t="s">
        <v>1400</v>
      </c>
      <c r="C224" s="108" t="s">
        <v>1401</v>
      </c>
      <c r="D224" s="113"/>
      <c r="E224" s="75">
        <v>45905</v>
      </c>
      <c r="F224" s="25">
        <f t="shared" ca="1" si="7"/>
        <v>273</v>
      </c>
      <c r="G224" s="25"/>
      <c r="I224" s="25"/>
      <c r="J224" s="25"/>
      <c r="K224" s="25"/>
      <c r="L224" s="25"/>
      <c r="N224" s="25"/>
      <c r="O224" s="25"/>
      <c r="P224" s="25"/>
      <c r="Q224" s="25"/>
    </row>
    <row r="225" spans="2:17" x14ac:dyDescent="0.25">
      <c r="B225" s="107" t="s">
        <v>1402</v>
      </c>
      <c r="C225" s="108" t="s">
        <v>1403</v>
      </c>
      <c r="D225" s="113"/>
      <c r="E225" s="75">
        <v>45905</v>
      </c>
      <c r="F225" s="25">
        <f t="shared" ca="1" si="7"/>
        <v>273</v>
      </c>
      <c r="G225" s="25"/>
      <c r="I225" s="25"/>
      <c r="J225" s="25"/>
      <c r="K225" s="25"/>
      <c r="L225" s="25"/>
      <c r="N225" s="25"/>
      <c r="O225" s="25"/>
      <c r="P225" s="25"/>
      <c r="Q225" s="25"/>
    </row>
    <row r="226" spans="2:17" x14ac:dyDescent="0.25">
      <c r="B226" s="107" t="s">
        <v>1404</v>
      </c>
      <c r="C226" s="108" t="s">
        <v>1405</v>
      </c>
      <c r="D226" s="113"/>
      <c r="E226" s="75">
        <v>45905</v>
      </c>
      <c r="F226" s="25">
        <f t="shared" ca="1" si="7"/>
        <v>273</v>
      </c>
      <c r="G226" s="25"/>
      <c r="I226" s="25"/>
      <c r="J226" s="25"/>
      <c r="K226" s="25"/>
      <c r="L226" s="25"/>
      <c r="N226" s="25"/>
      <c r="O226" s="25"/>
      <c r="P226" s="25"/>
      <c r="Q226" s="25"/>
    </row>
    <row r="227" spans="2:17" x14ac:dyDescent="0.25">
      <c r="B227" s="107" t="s">
        <v>1406</v>
      </c>
      <c r="C227" s="108" t="s">
        <v>1407</v>
      </c>
      <c r="D227" s="113"/>
      <c r="E227" s="75">
        <v>45905</v>
      </c>
      <c r="F227" s="25">
        <f t="shared" ca="1" si="7"/>
        <v>273</v>
      </c>
      <c r="G227" s="25"/>
      <c r="I227" s="25"/>
      <c r="J227" s="25"/>
      <c r="K227" s="25"/>
      <c r="L227" s="25"/>
      <c r="N227" s="25"/>
      <c r="O227" s="25"/>
      <c r="P227" s="25"/>
      <c r="Q227" s="25"/>
    </row>
    <row r="228" spans="2:17" x14ac:dyDescent="0.25">
      <c r="B228" s="107" t="s">
        <v>1408</v>
      </c>
      <c r="C228" s="108" t="s">
        <v>1409</v>
      </c>
      <c r="D228" s="113"/>
      <c r="E228" s="75">
        <v>45887</v>
      </c>
      <c r="F228" s="25">
        <f t="shared" ca="1" si="7"/>
        <v>291</v>
      </c>
      <c r="G228" s="25"/>
      <c r="I228" s="25"/>
      <c r="J228" s="25"/>
      <c r="K228" s="25"/>
      <c r="L228" s="25"/>
      <c r="N228" s="25"/>
      <c r="O228" s="25"/>
      <c r="P228" s="25"/>
      <c r="Q228" s="25"/>
    </row>
    <row r="229" spans="2:17" x14ac:dyDescent="0.25">
      <c r="B229" s="107" t="s">
        <v>1410</v>
      </c>
      <c r="C229" s="108" t="s">
        <v>1411</v>
      </c>
      <c r="D229" s="113"/>
      <c r="E229" s="75">
        <v>45887</v>
      </c>
      <c r="F229" s="25">
        <f t="shared" ca="1" si="7"/>
        <v>291</v>
      </c>
      <c r="G229" s="25"/>
      <c r="I229" s="25"/>
      <c r="J229" s="25"/>
      <c r="K229" s="25"/>
      <c r="L229" s="25"/>
      <c r="N229" s="25"/>
      <c r="O229" s="25"/>
      <c r="P229" s="25"/>
      <c r="Q229" s="25"/>
    </row>
    <row r="230" spans="2:17" x14ac:dyDescent="0.25">
      <c r="B230" s="107" t="s">
        <v>1412</v>
      </c>
      <c r="C230" s="108" t="s">
        <v>1413</v>
      </c>
      <c r="D230" s="113"/>
      <c r="E230" s="75">
        <v>45887</v>
      </c>
      <c r="F230" s="25">
        <f t="shared" ca="1" si="7"/>
        <v>291</v>
      </c>
      <c r="G230" s="25"/>
      <c r="I230" s="25"/>
      <c r="J230" s="25"/>
      <c r="K230" s="25"/>
      <c r="L230" s="25"/>
      <c r="N230" s="25"/>
      <c r="O230" s="25"/>
      <c r="P230" s="25"/>
      <c r="Q230" s="25"/>
    </row>
    <row r="231" spans="2:17" x14ac:dyDescent="0.25">
      <c r="B231" s="107" t="s">
        <v>1414</v>
      </c>
      <c r="C231" s="108" t="s">
        <v>1415</v>
      </c>
      <c r="D231" s="113"/>
      <c r="E231" s="75">
        <v>45887</v>
      </c>
      <c r="F231" s="25">
        <f t="shared" ca="1" si="7"/>
        <v>291</v>
      </c>
      <c r="G231" s="25"/>
      <c r="I231" s="25"/>
      <c r="J231" s="25"/>
      <c r="K231" s="25"/>
      <c r="L231" s="25"/>
      <c r="N231" s="25"/>
      <c r="O231" s="25"/>
      <c r="P231" s="25"/>
      <c r="Q231" s="25"/>
    </row>
    <row r="232" spans="2:17" x14ac:dyDescent="0.25">
      <c r="B232" s="107" t="s">
        <v>1416</v>
      </c>
      <c r="C232" s="108" t="s">
        <v>1417</v>
      </c>
      <c r="D232" s="113"/>
      <c r="E232" s="75">
        <v>45850</v>
      </c>
      <c r="F232" s="25">
        <f t="shared" ca="1" si="7"/>
        <v>328</v>
      </c>
      <c r="G232" s="25"/>
      <c r="I232" s="25"/>
      <c r="J232" s="25"/>
      <c r="K232" s="25"/>
      <c r="L232" s="25"/>
      <c r="N232" s="25"/>
      <c r="O232" s="25"/>
      <c r="P232" s="25"/>
      <c r="Q232" s="25"/>
    </row>
    <row r="233" spans="2:17" x14ac:dyDescent="0.25">
      <c r="B233" s="107" t="s">
        <v>1418</v>
      </c>
      <c r="C233" s="108" t="s">
        <v>1419</v>
      </c>
      <c r="D233" s="113"/>
      <c r="E233" s="75">
        <v>45850</v>
      </c>
      <c r="F233" s="25">
        <f t="shared" ca="1" si="7"/>
        <v>328</v>
      </c>
      <c r="G233" s="25"/>
      <c r="I233" s="25"/>
      <c r="J233" s="25"/>
      <c r="K233" s="25"/>
      <c r="L233" s="25"/>
      <c r="N233" s="25"/>
      <c r="O233" s="25"/>
      <c r="P233" s="25"/>
      <c r="Q233" s="25"/>
    </row>
    <row r="234" spans="2:17" x14ac:dyDescent="0.25">
      <c r="B234" s="107" t="s">
        <v>1420</v>
      </c>
      <c r="C234" s="108" t="s">
        <v>1421</v>
      </c>
      <c r="D234" s="113"/>
      <c r="E234" s="75">
        <v>45850</v>
      </c>
      <c r="F234" s="25">
        <f t="shared" ca="1" si="7"/>
        <v>328</v>
      </c>
      <c r="G234" s="25"/>
      <c r="I234" s="25"/>
      <c r="J234" s="25"/>
      <c r="K234" s="25"/>
      <c r="L234" s="25"/>
      <c r="N234" s="25"/>
      <c r="O234" s="25"/>
      <c r="P234" s="25"/>
      <c r="Q234" s="25"/>
    </row>
    <row r="235" spans="2:17" x14ac:dyDescent="0.25">
      <c r="B235" s="107" t="s">
        <v>1422</v>
      </c>
      <c r="C235" s="108" t="s">
        <v>1423</v>
      </c>
      <c r="D235" s="113"/>
      <c r="E235" s="75">
        <v>45823</v>
      </c>
      <c r="F235" s="25">
        <f t="shared" ca="1" si="7"/>
        <v>355</v>
      </c>
      <c r="G235" s="25"/>
      <c r="I235" s="25"/>
      <c r="J235" s="25"/>
      <c r="K235" s="25"/>
      <c r="L235" s="25"/>
      <c r="N235" s="25"/>
      <c r="O235" s="25"/>
      <c r="P235" s="25"/>
      <c r="Q235" s="25"/>
    </row>
    <row r="236" spans="2:17" x14ac:dyDescent="0.25">
      <c r="B236" s="107" t="s">
        <v>1424</v>
      </c>
      <c r="C236" s="108" t="s">
        <v>1425</v>
      </c>
      <c r="D236" s="98" t="s">
        <v>156</v>
      </c>
      <c r="E236" s="75">
        <v>45951</v>
      </c>
      <c r="F236" s="25">
        <f t="shared" ca="1" si="7"/>
        <v>227</v>
      </c>
      <c r="G236" s="25"/>
      <c r="I236" s="25"/>
      <c r="J236" s="25"/>
      <c r="K236" s="25"/>
      <c r="L236" s="25"/>
      <c r="N236" s="25"/>
      <c r="O236" s="25"/>
      <c r="P236" s="25"/>
      <c r="Q236" s="25"/>
    </row>
    <row r="237" spans="2:17" x14ac:dyDescent="0.25">
      <c r="B237" s="107" t="s">
        <v>1426</v>
      </c>
      <c r="C237" s="108" t="s">
        <v>1427</v>
      </c>
      <c r="D237" s="98" t="s">
        <v>156</v>
      </c>
      <c r="E237" s="75">
        <v>45951</v>
      </c>
      <c r="F237" s="25">
        <f t="shared" ca="1" si="7"/>
        <v>227</v>
      </c>
      <c r="G237" s="25"/>
      <c r="I237" s="25"/>
      <c r="J237" s="25"/>
      <c r="K237" s="25"/>
      <c r="L237" s="25"/>
      <c r="N237" s="25"/>
      <c r="O237" s="25"/>
      <c r="P237" s="25"/>
      <c r="Q237" s="25"/>
    </row>
    <row r="238" spans="2:17" x14ac:dyDescent="0.25">
      <c r="B238" s="105" t="s">
        <v>1428</v>
      </c>
      <c r="C238" s="106" t="s">
        <v>1429</v>
      </c>
      <c r="D238" s="27" t="s">
        <v>1430</v>
      </c>
      <c r="E238" s="75">
        <v>46036</v>
      </c>
      <c r="F238" s="25">
        <f t="shared" ca="1" si="7"/>
        <v>142</v>
      </c>
      <c r="G238" s="25"/>
      <c r="I238" s="25"/>
      <c r="J238" s="25"/>
      <c r="K238" s="25"/>
      <c r="L238" s="25"/>
      <c r="N238" s="25"/>
      <c r="O238" s="25"/>
      <c r="P238" s="25"/>
      <c r="Q238" s="25"/>
    </row>
    <row r="239" spans="2:17" x14ac:dyDescent="0.25">
      <c r="B239" s="105" t="s">
        <v>1431</v>
      </c>
      <c r="C239" s="106" t="s">
        <v>1432</v>
      </c>
      <c r="D239" s="27" t="s">
        <v>1430</v>
      </c>
      <c r="E239" s="75">
        <v>46036</v>
      </c>
      <c r="F239" s="25">
        <f t="shared" ca="1" si="7"/>
        <v>142</v>
      </c>
      <c r="G239" s="25"/>
      <c r="I239" s="25"/>
      <c r="J239" s="25"/>
      <c r="K239" s="25"/>
      <c r="L239" s="25"/>
      <c r="N239" s="25"/>
      <c r="O239" s="25"/>
      <c r="P239" s="25"/>
      <c r="Q239" s="25"/>
    </row>
    <row r="240" spans="2:17" x14ac:dyDescent="0.25">
      <c r="B240" s="105" t="s">
        <v>997</v>
      </c>
      <c r="C240" s="106" t="s">
        <v>998</v>
      </c>
      <c r="D240" s="102" t="s">
        <v>163</v>
      </c>
      <c r="E240" s="75">
        <v>45798</v>
      </c>
      <c r="F240" s="71">
        <f t="shared" ca="1" si="7"/>
        <v>380</v>
      </c>
      <c r="G240" s="104">
        <v>46143</v>
      </c>
      <c r="H240" s="84"/>
      <c r="I240" s="25"/>
      <c r="J240" s="25"/>
      <c r="K240" s="25"/>
      <c r="L240" s="25"/>
      <c r="N240" s="25"/>
      <c r="O240" s="25"/>
      <c r="P240" s="25"/>
      <c r="Q240" s="25"/>
    </row>
    <row r="241" spans="2:17" x14ac:dyDescent="0.25">
      <c r="B241" s="105" t="s">
        <v>999</v>
      </c>
      <c r="C241" s="106" t="s">
        <v>1000</v>
      </c>
      <c r="D241" s="102" t="s">
        <v>163</v>
      </c>
      <c r="E241" s="75">
        <v>45798</v>
      </c>
      <c r="F241" s="71">
        <f t="shared" ca="1" si="7"/>
        <v>380</v>
      </c>
      <c r="G241" s="104">
        <v>46143</v>
      </c>
      <c r="H241" s="84"/>
      <c r="I241" s="25"/>
      <c r="J241" s="25"/>
      <c r="K241" s="25"/>
      <c r="L241" s="25"/>
      <c r="N241" s="25"/>
      <c r="O241" s="25"/>
      <c r="P241" s="25"/>
      <c r="Q241" s="25"/>
    </row>
    <row r="242" spans="2:17" x14ac:dyDescent="0.25">
      <c r="B242" s="105" t="s">
        <v>1001</v>
      </c>
      <c r="C242" s="106" t="s">
        <v>1002</v>
      </c>
      <c r="D242" s="102" t="s">
        <v>163</v>
      </c>
      <c r="E242" s="75">
        <v>45798</v>
      </c>
      <c r="F242" s="71">
        <f t="shared" ca="1" si="7"/>
        <v>380</v>
      </c>
      <c r="G242" s="104">
        <v>46143</v>
      </c>
      <c r="H242" s="84"/>
      <c r="I242" s="25"/>
      <c r="J242" s="25"/>
      <c r="K242" s="25"/>
      <c r="L242" s="25"/>
      <c r="N242" s="25"/>
      <c r="O242" s="25"/>
      <c r="P242" s="25"/>
      <c r="Q242" s="25"/>
    </row>
    <row r="243" spans="2:17" x14ac:dyDescent="0.25">
      <c r="B243" s="105" t="s">
        <v>1003</v>
      </c>
      <c r="C243" s="106" t="s">
        <v>1004</v>
      </c>
      <c r="D243" s="102" t="s">
        <v>163</v>
      </c>
      <c r="E243" s="75">
        <v>45798</v>
      </c>
      <c r="F243" s="71">
        <f t="shared" ca="1" si="7"/>
        <v>380</v>
      </c>
      <c r="G243" s="104">
        <v>46143</v>
      </c>
      <c r="H243" s="84"/>
      <c r="I243" s="25"/>
      <c r="J243" s="25"/>
      <c r="K243" s="25"/>
      <c r="L243" s="25"/>
      <c r="N243" s="25"/>
      <c r="O243" s="25"/>
      <c r="P243" s="25"/>
      <c r="Q243" s="25"/>
    </row>
    <row r="244" spans="2:17" x14ac:dyDescent="0.25">
      <c r="B244" s="105" t="s">
        <v>1005</v>
      </c>
      <c r="C244" s="106" t="s">
        <v>1006</v>
      </c>
      <c r="D244" s="102" t="s">
        <v>163</v>
      </c>
      <c r="E244" s="75">
        <v>45798</v>
      </c>
      <c r="F244" s="71">
        <f t="shared" ca="1" si="7"/>
        <v>380</v>
      </c>
      <c r="G244" s="104">
        <v>46143</v>
      </c>
      <c r="H244" s="84"/>
      <c r="I244" s="25"/>
      <c r="J244" s="25"/>
      <c r="K244" s="25"/>
      <c r="L244" s="25"/>
      <c r="N244" s="25"/>
      <c r="O244" s="25"/>
      <c r="P244" s="25"/>
      <c r="Q244" s="25"/>
    </row>
    <row r="245" spans="2:17" x14ac:dyDescent="0.25">
      <c r="B245" s="105" t="s">
        <v>1007</v>
      </c>
      <c r="C245" s="106" t="s">
        <v>1008</v>
      </c>
      <c r="D245" s="102" t="s">
        <v>163</v>
      </c>
      <c r="E245" s="75">
        <v>45800</v>
      </c>
      <c r="F245" s="71">
        <f t="shared" ca="1" si="7"/>
        <v>378</v>
      </c>
      <c r="G245" s="104">
        <v>46144</v>
      </c>
      <c r="H245" s="84"/>
      <c r="I245" s="25"/>
      <c r="J245" s="25"/>
      <c r="K245" s="25"/>
      <c r="L245" s="25"/>
      <c r="N245" s="25"/>
      <c r="O245" s="25"/>
      <c r="P245" s="25"/>
      <c r="Q245" s="25"/>
    </row>
    <row r="246" spans="2:17" x14ac:dyDescent="0.25">
      <c r="B246" s="105" t="s">
        <v>1009</v>
      </c>
      <c r="C246" s="106" t="s">
        <v>1010</v>
      </c>
      <c r="D246" s="102" t="s">
        <v>163</v>
      </c>
      <c r="E246" s="75">
        <v>45800</v>
      </c>
      <c r="F246" s="71">
        <f t="shared" ca="1" si="7"/>
        <v>378</v>
      </c>
      <c r="G246" s="104">
        <v>46144</v>
      </c>
      <c r="H246" s="84"/>
      <c r="I246" s="25"/>
      <c r="J246" s="25"/>
      <c r="K246" s="25"/>
      <c r="L246" s="25"/>
      <c r="N246" s="25"/>
      <c r="O246" s="25"/>
      <c r="P246" s="25"/>
      <c r="Q246" s="25"/>
    </row>
    <row r="247" spans="2:17" x14ac:dyDescent="0.25">
      <c r="B247" s="105" t="s">
        <v>1011</v>
      </c>
      <c r="C247" s="106" t="s">
        <v>1012</v>
      </c>
      <c r="D247" s="102" t="s">
        <v>163</v>
      </c>
      <c r="E247" s="75">
        <v>45800</v>
      </c>
      <c r="F247" s="71">
        <f t="shared" ca="1" si="7"/>
        <v>378</v>
      </c>
      <c r="G247" s="104">
        <v>46144</v>
      </c>
      <c r="H247" s="84"/>
      <c r="I247" s="25"/>
      <c r="J247" s="25"/>
      <c r="K247" s="25"/>
      <c r="L247" s="25"/>
      <c r="N247" s="25"/>
      <c r="O247" s="25"/>
      <c r="P247" s="25"/>
      <c r="Q247" s="25"/>
    </row>
    <row r="248" spans="2:17" x14ac:dyDescent="0.25">
      <c r="B248" s="105" t="s">
        <v>1013</v>
      </c>
      <c r="C248" s="106" t="s">
        <v>1014</v>
      </c>
      <c r="D248" s="102" t="s">
        <v>163</v>
      </c>
      <c r="E248" s="75">
        <v>45800</v>
      </c>
      <c r="F248" s="71">
        <f t="shared" ca="1" si="7"/>
        <v>378</v>
      </c>
      <c r="G248" s="104">
        <v>46144</v>
      </c>
      <c r="H248" s="84"/>
      <c r="I248" s="25"/>
      <c r="J248" s="25"/>
      <c r="K248" s="25"/>
      <c r="L248" s="25"/>
      <c r="N248" s="25"/>
      <c r="O248" s="25"/>
      <c r="P248" s="25"/>
      <c r="Q248" s="25"/>
    </row>
    <row r="249" spans="2:17" x14ac:dyDescent="0.25">
      <c r="B249" s="105" t="s">
        <v>1015</v>
      </c>
      <c r="C249" s="106" t="s">
        <v>1016</v>
      </c>
      <c r="D249" s="102" t="s">
        <v>163</v>
      </c>
      <c r="E249" s="75">
        <v>45800</v>
      </c>
      <c r="F249" s="71">
        <f t="shared" ca="1" si="7"/>
        <v>378</v>
      </c>
      <c r="G249" s="104">
        <v>46144</v>
      </c>
      <c r="H249" s="84"/>
      <c r="I249" s="25"/>
      <c r="J249" s="25"/>
      <c r="K249" s="25"/>
      <c r="L249" s="25"/>
      <c r="N249" s="25"/>
      <c r="O249" s="25"/>
      <c r="P249" s="25"/>
      <c r="Q249" s="25"/>
    </row>
    <row r="250" spans="2:17" x14ac:dyDescent="0.25">
      <c r="B250" s="105" t="s">
        <v>1017</v>
      </c>
      <c r="C250" s="106" t="s">
        <v>1018</v>
      </c>
      <c r="D250" s="102" t="s">
        <v>163</v>
      </c>
      <c r="E250" s="75">
        <v>45800</v>
      </c>
      <c r="F250" s="71">
        <f t="shared" ca="1" si="7"/>
        <v>378</v>
      </c>
      <c r="G250" s="104">
        <v>46145</v>
      </c>
      <c r="H250" s="84"/>
      <c r="I250" s="25"/>
      <c r="J250" s="25"/>
      <c r="K250" s="25"/>
      <c r="L250" s="25"/>
      <c r="N250" s="25"/>
      <c r="O250" s="25"/>
      <c r="P250" s="25"/>
      <c r="Q250" s="25"/>
    </row>
    <row r="251" spans="2:17" x14ac:dyDescent="0.25">
      <c r="B251" s="105" t="s">
        <v>1019</v>
      </c>
      <c r="C251" s="106" t="s">
        <v>1020</v>
      </c>
      <c r="D251" s="102" t="s">
        <v>163</v>
      </c>
      <c r="E251" s="75">
        <v>45800</v>
      </c>
      <c r="F251" s="71">
        <f t="shared" ca="1" si="7"/>
        <v>378</v>
      </c>
      <c r="G251" s="104">
        <v>46145</v>
      </c>
      <c r="H251" s="84"/>
      <c r="I251" s="25"/>
      <c r="J251" s="25"/>
      <c r="K251" s="25"/>
      <c r="L251" s="25"/>
      <c r="N251" s="25"/>
      <c r="O251" s="25"/>
      <c r="P251" s="25"/>
      <c r="Q251" s="25"/>
    </row>
    <row r="252" spans="2:17" x14ac:dyDescent="0.25">
      <c r="B252" s="105" t="s">
        <v>993</v>
      </c>
      <c r="C252" s="106" t="s">
        <v>994</v>
      </c>
      <c r="D252" s="102" t="s">
        <v>163</v>
      </c>
      <c r="E252" s="75">
        <v>45796</v>
      </c>
      <c r="F252" s="71">
        <f t="shared" ca="1" si="7"/>
        <v>382</v>
      </c>
      <c r="G252" s="104">
        <v>46145</v>
      </c>
      <c r="H252" s="84"/>
      <c r="I252" s="25"/>
      <c r="J252" s="25"/>
      <c r="K252" s="25"/>
      <c r="L252" s="25"/>
      <c r="N252" s="25"/>
      <c r="O252" s="25"/>
      <c r="P252" s="25"/>
      <c r="Q252" s="25"/>
    </row>
    <row r="253" spans="2:17" x14ac:dyDescent="0.25">
      <c r="B253" s="105" t="s">
        <v>995</v>
      </c>
      <c r="C253" s="106" t="s">
        <v>996</v>
      </c>
      <c r="D253" s="102" t="s">
        <v>163</v>
      </c>
      <c r="E253" s="75">
        <v>45796</v>
      </c>
      <c r="F253" s="71">
        <f t="shared" ca="1" si="7"/>
        <v>382</v>
      </c>
      <c r="G253" s="104">
        <v>46145</v>
      </c>
      <c r="H253" s="84"/>
      <c r="I253" s="25"/>
      <c r="J253" s="25"/>
      <c r="K253" s="25"/>
      <c r="L253" s="25"/>
      <c r="N253" s="25"/>
      <c r="O253" s="25"/>
      <c r="P253" s="25"/>
      <c r="Q253" s="25"/>
    </row>
    <row r="254" spans="2:17" x14ac:dyDescent="0.25">
      <c r="B254" s="105" t="s">
        <v>985</v>
      </c>
      <c r="C254" s="106" t="s">
        <v>986</v>
      </c>
      <c r="D254" s="102" t="s">
        <v>163</v>
      </c>
      <c r="E254" s="75">
        <v>45792</v>
      </c>
      <c r="F254" s="103">
        <f t="shared" ca="1" si="7"/>
        <v>386</v>
      </c>
      <c r="G254" s="104">
        <v>46145</v>
      </c>
      <c r="H254" s="84"/>
      <c r="I254" s="25"/>
      <c r="J254" s="25"/>
      <c r="K254" s="25"/>
      <c r="L254" s="25"/>
      <c r="N254" s="25"/>
      <c r="O254" s="25"/>
      <c r="P254" s="25"/>
      <c r="Q254" s="25"/>
    </row>
    <row r="255" spans="2:17" x14ac:dyDescent="0.25">
      <c r="B255" s="105" t="s">
        <v>987</v>
      </c>
      <c r="C255" s="106" t="s">
        <v>988</v>
      </c>
      <c r="D255" s="102" t="s">
        <v>163</v>
      </c>
      <c r="E255" s="75">
        <v>45792</v>
      </c>
      <c r="F255" s="103">
        <f t="shared" ca="1" si="7"/>
        <v>386</v>
      </c>
      <c r="G255" s="104">
        <v>46145</v>
      </c>
      <c r="H255" s="84"/>
      <c r="I255" s="25"/>
      <c r="J255" s="25"/>
      <c r="K255" s="25"/>
      <c r="L255" s="25"/>
      <c r="N255" s="25"/>
      <c r="O255" s="25"/>
      <c r="P255" s="25"/>
      <c r="Q255" s="25"/>
    </row>
    <row r="256" spans="2:17" x14ac:dyDescent="0.25">
      <c r="B256" s="105" t="s">
        <v>989</v>
      </c>
      <c r="C256" s="106" t="s">
        <v>990</v>
      </c>
      <c r="D256" s="102" t="s">
        <v>163</v>
      </c>
      <c r="E256" s="75">
        <v>45792</v>
      </c>
      <c r="F256" s="103">
        <f t="shared" ca="1" si="7"/>
        <v>386</v>
      </c>
      <c r="G256" s="104">
        <v>46146</v>
      </c>
      <c r="H256" s="84"/>
      <c r="I256" s="25"/>
      <c r="J256" s="25"/>
      <c r="K256" s="25"/>
      <c r="L256" s="25"/>
      <c r="N256" s="25"/>
      <c r="O256" s="25"/>
      <c r="P256" s="25"/>
      <c r="Q256" s="25"/>
    </row>
    <row r="257" spans="2:17" x14ac:dyDescent="0.25">
      <c r="B257" s="105" t="s">
        <v>991</v>
      </c>
      <c r="C257" s="106" t="s">
        <v>992</v>
      </c>
      <c r="D257" s="102" t="s">
        <v>163</v>
      </c>
      <c r="E257" s="75">
        <v>45792</v>
      </c>
      <c r="F257" s="103">
        <f t="shared" ca="1" si="7"/>
        <v>386</v>
      </c>
      <c r="G257" s="104">
        <v>46146</v>
      </c>
      <c r="H257" s="84"/>
      <c r="I257" s="25"/>
      <c r="J257" s="25"/>
      <c r="K257" s="25"/>
      <c r="L257" s="25"/>
      <c r="N257" s="25"/>
      <c r="O257" s="25"/>
      <c r="P257" s="25"/>
      <c r="Q257" s="25"/>
    </row>
    <row r="258" spans="2:17" x14ac:dyDescent="0.25">
      <c r="B258" s="105" t="s">
        <v>1199</v>
      </c>
      <c r="C258" s="106" t="s">
        <v>1200</v>
      </c>
      <c r="D258" s="102" t="s">
        <v>163</v>
      </c>
      <c r="E258" s="75">
        <v>45883</v>
      </c>
      <c r="F258" s="71">
        <f t="shared" ca="1" si="7"/>
        <v>295</v>
      </c>
      <c r="G258" s="104">
        <v>46146</v>
      </c>
      <c r="H258" s="84"/>
      <c r="I258" s="25"/>
      <c r="J258" s="25"/>
      <c r="K258" s="25"/>
      <c r="L258" s="25"/>
      <c r="N258" s="25"/>
      <c r="O258" s="25"/>
      <c r="P258" s="25"/>
      <c r="Q258" s="25"/>
    </row>
    <row r="259" spans="2:17" x14ac:dyDescent="0.25">
      <c r="B259" s="109" t="s">
        <v>1471</v>
      </c>
      <c r="C259" s="110" t="s">
        <v>1472</v>
      </c>
      <c r="D259" s="112"/>
      <c r="E259" s="75">
        <v>46143</v>
      </c>
      <c r="F259" s="25">
        <f t="shared" ca="1" si="7"/>
        <v>35</v>
      </c>
      <c r="G259" s="25"/>
      <c r="I259" s="25"/>
      <c r="J259" s="25"/>
      <c r="K259" s="25"/>
      <c r="L259" s="25"/>
      <c r="N259" s="25"/>
      <c r="O259" s="25"/>
      <c r="P259" s="25"/>
      <c r="Q259" s="25"/>
    </row>
    <row r="260" spans="2:17" x14ac:dyDescent="0.25">
      <c r="B260" s="109" t="s">
        <v>1473</v>
      </c>
      <c r="C260" s="110" t="s">
        <v>1474</v>
      </c>
      <c r="D260" s="112"/>
      <c r="E260" s="75">
        <v>46143</v>
      </c>
      <c r="F260" s="25">
        <f t="shared" ca="1" si="7"/>
        <v>35</v>
      </c>
      <c r="G260" s="25"/>
      <c r="I260" s="25"/>
      <c r="J260" s="25"/>
      <c r="K260" s="25"/>
      <c r="L260" s="25"/>
      <c r="N260" s="25"/>
      <c r="O260" s="25"/>
      <c r="P260" s="25"/>
      <c r="Q260" s="25"/>
    </row>
    <row r="261" spans="2:17" x14ac:dyDescent="0.25">
      <c r="B261" s="109" t="s">
        <v>1475</v>
      </c>
      <c r="C261" s="110" t="s">
        <v>1476</v>
      </c>
      <c r="D261" s="112"/>
      <c r="E261" s="75">
        <v>46143</v>
      </c>
      <c r="F261" s="25">
        <f t="shared" ca="1" si="7"/>
        <v>35</v>
      </c>
      <c r="G261" s="25"/>
      <c r="I261" s="25"/>
      <c r="J261" s="25"/>
      <c r="K261" s="25"/>
      <c r="L261" s="25"/>
      <c r="N261" s="25"/>
      <c r="O261" s="25"/>
      <c r="P261" s="25"/>
      <c r="Q261" s="25"/>
    </row>
    <row r="262" spans="2:17" x14ac:dyDescent="0.25">
      <c r="B262" s="109" t="s">
        <v>1477</v>
      </c>
      <c r="C262" s="110" t="s">
        <v>1478</v>
      </c>
      <c r="D262" s="112"/>
      <c r="E262" s="75">
        <v>46143</v>
      </c>
      <c r="F262" s="25">
        <f t="shared" ca="1" si="7"/>
        <v>35</v>
      </c>
      <c r="G262" s="25"/>
      <c r="I262" s="25"/>
      <c r="J262" s="25"/>
      <c r="K262" s="25"/>
      <c r="L262" s="25"/>
      <c r="N262" s="25"/>
      <c r="O262" s="25"/>
      <c r="P262" s="25"/>
      <c r="Q262" s="25"/>
    </row>
    <row r="263" spans="2:17" x14ac:dyDescent="0.25">
      <c r="B263" s="109" t="s">
        <v>1479</v>
      </c>
      <c r="C263" s="110" t="s">
        <v>1480</v>
      </c>
      <c r="D263" s="112"/>
      <c r="E263" s="75">
        <v>46144</v>
      </c>
      <c r="F263" s="25">
        <f t="shared" ca="1" si="7"/>
        <v>34</v>
      </c>
      <c r="G263" s="25"/>
      <c r="I263" s="25"/>
      <c r="J263" s="25"/>
      <c r="K263" s="25"/>
      <c r="L263" s="25"/>
      <c r="N263" s="25"/>
      <c r="O263" s="25"/>
      <c r="P263" s="25"/>
      <c r="Q263" s="25"/>
    </row>
    <row r="264" spans="2:17" x14ac:dyDescent="0.25">
      <c r="B264" s="109" t="s">
        <v>1481</v>
      </c>
      <c r="C264" s="110" t="s">
        <v>1482</v>
      </c>
      <c r="D264" s="112"/>
      <c r="E264" s="75">
        <v>46144</v>
      </c>
      <c r="F264" s="25">
        <f t="shared" ref="F264:F327" ca="1" si="8">$F$2-E264</f>
        <v>34</v>
      </c>
      <c r="G264" s="25"/>
      <c r="I264" s="25"/>
      <c r="J264" s="25"/>
      <c r="K264" s="25"/>
      <c r="L264" s="25"/>
      <c r="N264" s="25"/>
      <c r="O264" s="25"/>
      <c r="P264" s="25"/>
      <c r="Q264" s="25"/>
    </row>
    <row r="265" spans="2:17" x14ac:dyDescent="0.25">
      <c r="B265" s="109" t="s">
        <v>1483</v>
      </c>
      <c r="C265" s="110" t="s">
        <v>1484</v>
      </c>
      <c r="D265" s="112"/>
      <c r="E265" s="75">
        <v>46144</v>
      </c>
      <c r="F265" s="25">
        <f t="shared" ca="1" si="8"/>
        <v>34</v>
      </c>
      <c r="G265" s="25"/>
      <c r="I265" s="25"/>
      <c r="J265" s="25"/>
      <c r="K265" s="25"/>
      <c r="L265" s="25"/>
      <c r="N265" s="25"/>
      <c r="O265" s="25"/>
      <c r="P265" s="25"/>
      <c r="Q265" s="25"/>
    </row>
    <row r="266" spans="2:17" x14ac:dyDescent="0.25">
      <c r="B266" s="109" t="s">
        <v>1485</v>
      </c>
      <c r="C266" s="110" t="s">
        <v>1486</v>
      </c>
      <c r="D266" s="112"/>
      <c r="E266" s="75">
        <v>46144</v>
      </c>
      <c r="F266" s="25">
        <f t="shared" ca="1" si="8"/>
        <v>34</v>
      </c>
      <c r="G266" s="25"/>
      <c r="I266" s="25"/>
      <c r="J266" s="25"/>
      <c r="K266" s="25"/>
      <c r="L266" s="25"/>
      <c r="N266" s="25"/>
      <c r="O266" s="25"/>
      <c r="P266" s="25"/>
      <c r="Q266" s="25"/>
    </row>
    <row r="267" spans="2:17" x14ac:dyDescent="0.25">
      <c r="B267" s="109" t="s">
        <v>1487</v>
      </c>
      <c r="C267" s="110" t="s">
        <v>1488</v>
      </c>
      <c r="D267" s="112"/>
      <c r="E267" s="75">
        <v>46144</v>
      </c>
      <c r="F267" s="25">
        <f t="shared" ca="1" si="8"/>
        <v>34</v>
      </c>
      <c r="G267" s="25"/>
      <c r="I267" s="25"/>
      <c r="J267" s="25"/>
      <c r="K267" s="25"/>
      <c r="L267" s="25"/>
      <c r="N267" s="25"/>
      <c r="O267" s="25"/>
      <c r="P267" s="25"/>
      <c r="Q267" s="25"/>
    </row>
    <row r="268" spans="2:17" x14ac:dyDescent="0.25">
      <c r="B268" s="109" t="s">
        <v>1489</v>
      </c>
      <c r="C268" s="110" t="s">
        <v>1490</v>
      </c>
      <c r="D268" s="112"/>
      <c r="E268" s="75">
        <v>46144</v>
      </c>
      <c r="F268" s="25">
        <f t="shared" ca="1" si="8"/>
        <v>34</v>
      </c>
      <c r="G268" s="25"/>
      <c r="I268" s="25"/>
      <c r="J268" s="25"/>
      <c r="K268" s="25"/>
      <c r="L268" s="25"/>
      <c r="N268" s="25"/>
      <c r="O268" s="25"/>
      <c r="P268" s="25"/>
      <c r="Q268" s="25"/>
    </row>
    <row r="269" spans="2:17" x14ac:dyDescent="0.25">
      <c r="B269" s="111" t="s">
        <v>1491</v>
      </c>
      <c r="C269" s="114" t="s">
        <v>1492</v>
      </c>
      <c r="D269" s="113" t="s">
        <v>155</v>
      </c>
      <c r="E269" s="75">
        <v>46135</v>
      </c>
      <c r="F269" s="25">
        <f t="shared" ca="1" si="8"/>
        <v>43</v>
      </c>
      <c r="G269" s="25"/>
      <c r="I269" s="25"/>
      <c r="J269" s="25"/>
      <c r="K269" s="25"/>
      <c r="L269" s="25"/>
      <c r="N269" s="25"/>
      <c r="O269" s="25"/>
      <c r="P269" s="25"/>
      <c r="Q269" s="25"/>
    </row>
    <row r="270" spans="2:17" x14ac:dyDescent="0.25">
      <c r="B270" s="111" t="s">
        <v>1493</v>
      </c>
      <c r="C270" s="114" t="s">
        <v>1494</v>
      </c>
      <c r="D270" s="98" t="s">
        <v>156</v>
      </c>
      <c r="E270" s="75">
        <v>46130</v>
      </c>
      <c r="F270" s="25">
        <f t="shared" ca="1" si="8"/>
        <v>48</v>
      </c>
      <c r="G270" s="25"/>
      <c r="I270" s="25"/>
      <c r="J270" s="25"/>
      <c r="K270" s="25"/>
      <c r="L270" s="25"/>
      <c r="N270" s="25"/>
      <c r="O270" s="25"/>
      <c r="P270" s="25"/>
      <c r="Q270" s="25"/>
    </row>
    <row r="271" spans="2:17" x14ac:dyDescent="0.25">
      <c r="B271" s="111" t="s">
        <v>1495</v>
      </c>
      <c r="C271" s="114" t="s">
        <v>1496</v>
      </c>
      <c r="D271" s="27" t="s">
        <v>1430</v>
      </c>
      <c r="E271" s="75">
        <v>46130</v>
      </c>
      <c r="F271" s="25">
        <f t="shared" ca="1" si="8"/>
        <v>48</v>
      </c>
      <c r="G271" s="25"/>
      <c r="I271" s="25"/>
      <c r="J271" s="25"/>
      <c r="K271" s="25"/>
      <c r="L271" s="25"/>
      <c r="N271" s="25"/>
      <c r="O271" s="25"/>
      <c r="P271" s="25"/>
      <c r="Q271" s="25"/>
    </row>
    <row r="272" spans="2:17" x14ac:dyDescent="0.25">
      <c r="B272" s="111" t="s">
        <v>1497</v>
      </c>
      <c r="C272" s="114" t="s">
        <v>1498</v>
      </c>
      <c r="D272" s="27" t="s">
        <v>1430</v>
      </c>
      <c r="E272" s="75">
        <v>46130</v>
      </c>
      <c r="F272" s="25">
        <f t="shared" ca="1" si="8"/>
        <v>48</v>
      </c>
      <c r="G272" s="25"/>
      <c r="I272" s="25"/>
      <c r="J272" s="25"/>
      <c r="K272" s="25"/>
      <c r="L272" s="25"/>
      <c r="N272" s="25"/>
      <c r="O272" s="25"/>
      <c r="P272" s="25"/>
      <c r="Q272" s="25"/>
    </row>
    <row r="273" spans="2:17" x14ac:dyDescent="0.25">
      <c r="B273" s="111" t="s">
        <v>1499</v>
      </c>
      <c r="C273" s="114" t="s">
        <v>1500</v>
      </c>
      <c r="D273" s="113" t="s">
        <v>155</v>
      </c>
      <c r="E273" s="75">
        <v>46135</v>
      </c>
      <c r="F273" s="25">
        <f t="shared" ca="1" si="8"/>
        <v>43</v>
      </c>
      <c r="G273" s="25"/>
      <c r="I273" s="25"/>
      <c r="J273" s="25"/>
      <c r="K273" s="25"/>
      <c r="L273" s="25"/>
      <c r="N273" s="25"/>
      <c r="O273" s="25"/>
      <c r="P273" s="25"/>
      <c r="Q273" s="25"/>
    </row>
    <row r="274" spans="2:17" x14ac:dyDescent="0.25">
      <c r="B274" s="111" t="s">
        <v>1501</v>
      </c>
      <c r="C274" s="114" t="s">
        <v>1502</v>
      </c>
      <c r="D274" s="113" t="s">
        <v>155</v>
      </c>
      <c r="E274" s="75">
        <v>46135</v>
      </c>
      <c r="F274" s="25">
        <f t="shared" ca="1" si="8"/>
        <v>43</v>
      </c>
      <c r="G274" s="25"/>
      <c r="I274" s="25"/>
      <c r="J274" s="25"/>
      <c r="K274" s="25"/>
      <c r="L274" s="25"/>
      <c r="N274" s="25"/>
      <c r="O274" s="25"/>
      <c r="P274" s="25"/>
      <c r="Q274" s="25"/>
    </row>
    <row r="275" spans="2:17" x14ac:dyDescent="0.25">
      <c r="B275" s="111" t="s">
        <v>1503</v>
      </c>
      <c r="C275" s="114" t="s">
        <v>1504</v>
      </c>
      <c r="D275" s="113" t="s">
        <v>155</v>
      </c>
      <c r="E275" s="75">
        <v>46135</v>
      </c>
      <c r="F275" s="25">
        <f t="shared" ca="1" si="8"/>
        <v>43</v>
      </c>
      <c r="G275" s="25"/>
      <c r="I275" s="25"/>
      <c r="J275" s="25"/>
      <c r="K275" s="25"/>
      <c r="L275" s="25"/>
      <c r="N275" s="25"/>
      <c r="O275" s="25"/>
      <c r="P275" s="25"/>
      <c r="Q275" s="25"/>
    </row>
    <row r="276" spans="2:17" x14ac:dyDescent="0.25">
      <c r="B276" s="111" t="s">
        <v>1505</v>
      </c>
      <c r="C276" s="114" t="s">
        <v>1506</v>
      </c>
      <c r="D276" s="113" t="s">
        <v>155</v>
      </c>
      <c r="E276" s="75">
        <v>46138</v>
      </c>
      <c r="F276" s="25">
        <f t="shared" ca="1" si="8"/>
        <v>40</v>
      </c>
      <c r="G276" s="25"/>
      <c r="I276" s="25"/>
      <c r="J276" s="25"/>
      <c r="K276" s="25"/>
      <c r="L276" s="25"/>
      <c r="N276" s="25"/>
      <c r="O276" s="25"/>
      <c r="P276" s="25"/>
      <c r="Q276" s="25"/>
    </row>
    <row r="277" spans="2:17" x14ac:dyDescent="0.25">
      <c r="B277" s="111" t="s">
        <v>1507</v>
      </c>
      <c r="C277" s="114" t="s">
        <v>1508</v>
      </c>
      <c r="D277" s="113" t="s">
        <v>155</v>
      </c>
      <c r="E277" s="75">
        <v>46138</v>
      </c>
      <c r="F277" s="25">
        <f t="shared" ca="1" si="8"/>
        <v>40</v>
      </c>
      <c r="G277" s="25"/>
      <c r="I277" s="25"/>
      <c r="J277" s="25"/>
      <c r="K277" s="25"/>
      <c r="L277" s="25"/>
      <c r="N277" s="25"/>
      <c r="O277" s="25"/>
      <c r="P277" s="25"/>
      <c r="Q277" s="25"/>
    </row>
    <row r="278" spans="2:17" x14ac:dyDescent="0.25">
      <c r="B278" s="111" t="s">
        <v>1509</v>
      </c>
      <c r="C278" s="114" t="s">
        <v>1510</v>
      </c>
      <c r="D278" s="113" t="s">
        <v>155</v>
      </c>
      <c r="E278" s="75">
        <v>46138</v>
      </c>
      <c r="F278" s="25">
        <f t="shared" ca="1" si="8"/>
        <v>40</v>
      </c>
      <c r="G278" s="25"/>
      <c r="I278" s="25"/>
      <c r="J278" s="25"/>
      <c r="K278" s="25"/>
      <c r="L278" s="25"/>
      <c r="N278" s="25"/>
      <c r="O278" s="25"/>
      <c r="P278" s="25"/>
      <c r="Q278" s="25"/>
    </row>
    <row r="279" spans="2:17" x14ac:dyDescent="0.25">
      <c r="B279" s="111" t="s">
        <v>1511</v>
      </c>
      <c r="C279" s="114" t="s">
        <v>1512</v>
      </c>
      <c r="D279" s="113" t="s">
        <v>155</v>
      </c>
      <c r="E279" s="75">
        <v>46126</v>
      </c>
      <c r="F279" s="25">
        <f t="shared" ca="1" si="8"/>
        <v>52</v>
      </c>
      <c r="G279" s="25"/>
      <c r="I279" s="25"/>
      <c r="J279" s="25"/>
      <c r="K279" s="25"/>
      <c r="L279" s="25"/>
      <c r="N279" s="25"/>
      <c r="O279" s="25"/>
      <c r="P279" s="25"/>
      <c r="Q279" s="25"/>
    </row>
    <row r="280" spans="2:17" x14ac:dyDescent="0.25">
      <c r="B280" s="111" t="s">
        <v>1513</v>
      </c>
      <c r="C280" s="114" t="s">
        <v>1514</v>
      </c>
      <c r="D280" s="113" t="s">
        <v>155</v>
      </c>
      <c r="E280" s="75">
        <v>46126</v>
      </c>
      <c r="F280" s="25">
        <f t="shared" ca="1" si="8"/>
        <v>52</v>
      </c>
      <c r="G280" s="25"/>
      <c r="I280" s="25"/>
      <c r="J280" s="25"/>
      <c r="K280" s="25"/>
      <c r="L280" s="25"/>
      <c r="N280" s="25"/>
      <c r="O280" s="25"/>
      <c r="P280" s="25"/>
      <c r="Q280" s="25"/>
    </row>
    <row r="281" spans="2:17" x14ac:dyDescent="0.25">
      <c r="B281" s="111" t="s">
        <v>1515</v>
      </c>
      <c r="C281" s="114" t="s">
        <v>1516</v>
      </c>
      <c r="D281" s="113" t="s">
        <v>155</v>
      </c>
      <c r="E281" s="75">
        <v>46126</v>
      </c>
      <c r="F281" s="25">
        <f t="shared" ca="1" si="8"/>
        <v>52</v>
      </c>
      <c r="G281" s="25"/>
      <c r="I281" s="25"/>
      <c r="J281" s="25"/>
      <c r="K281" s="25"/>
      <c r="L281" s="25"/>
      <c r="N281" s="25"/>
      <c r="O281" s="25"/>
      <c r="P281" s="25"/>
      <c r="Q281" s="25"/>
    </row>
    <row r="282" spans="2:17" x14ac:dyDescent="0.25">
      <c r="B282" s="100" t="s">
        <v>1517</v>
      </c>
      <c r="C282" s="101" t="s">
        <v>1518</v>
      </c>
      <c r="D282" s="98" t="s">
        <v>156</v>
      </c>
      <c r="E282" s="75">
        <v>46063</v>
      </c>
      <c r="F282" s="25">
        <f t="shared" ca="1" si="8"/>
        <v>115</v>
      </c>
      <c r="G282" s="25"/>
      <c r="I282" s="25"/>
      <c r="J282" s="25"/>
      <c r="K282" s="25"/>
      <c r="L282" s="25"/>
      <c r="N282" s="25"/>
      <c r="O282" s="25"/>
      <c r="P282" s="25"/>
      <c r="Q282" s="25"/>
    </row>
    <row r="283" spans="2:17" x14ac:dyDescent="0.25">
      <c r="B283" s="100" t="s">
        <v>1519</v>
      </c>
      <c r="C283" s="101" t="s">
        <v>1520</v>
      </c>
      <c r="D283" s="98" t="s">
        <v>156</v>
      </c>
      <c r="E283" s="75">
        <v>46063</v>
      </c>
      <c r="F283" s="25">
        <f t="shared" ca="1" si="8"/>
        <v>115</v>
      </c>
      <c r="G283" s="25"/>
      <c r="I283" s="25"/>
      <c r="J283" s="25"/>
      <c r="K283" s="25"/>
      <c r="L283" s="25"/>
      <c r="N283" s="25"/>
      <c r="O283" s="25"/>
      <c r="P283" s="25"/>
      <c r="Q283" s="25"/>
    </row>
    <row r="284" spans="2:17" x14ac:dyDescent="0.25">
      <c r="B284" s="100" t="s">
        <v>1521</v>
      </c>
      <c r="C284" s="101" t="s">
        <v>1522</v>
      </c>
      <c r="D284" s="98" t="s">
        <v>156</v>
      </c>
      <c r="E284" s="75">
        <v>46061</v>
      </c>
      <c r="F284" s="25">
        <f t="shared" ca="1" si="8"/>
        <v>117</v>
      </c>
      <c r="G284" s="25"/>
      <c r="I284" s="25"/>
      <c r="J284" s="25"/>
      <c r="K284" s="25"/>
      <c r="L284" s="25"/>
      <c r="N284" s="25"/>
      <c r="O284" s="25"/>
      <c r="P284" s="25"/>
      <c r="Q284" s="25"/>
    </row>
    <row r="285" spans="2:17" x14ac:dyDescent="0.25">
      <c r="B285" s="100" t="s">
        <v>1523</v>
      </c>
      <c r="C285" s="101" t="s">
        <v>1524</v>
      </c>
      <c r="D285" s="98" t="s">
        <v>156</v>
      </c>
      <c r="E285" s="75">
        <v>46061</v>
      </c>
      <c r="F285" s="25">
        <f t="shared" ca="1" si="8"/>
        <v>117</v>
      </c>
      <c r="G285" s="25"/>
      <c r="I285" s="25"/>
      <c r="J285" s="25"/>
      <c r="K285" s="25"/>
      <c r="L285" s="25"/>
      <c r="N285" s="25"/>
      <c r="O285" s="25"/>
      <c r="P285" s="25"/>
      <c r="Q285" s="25"/>
    </row>
    <row r="286" spans="2:17" x14ac:dyDescent="0.25">
      <c r="B286" s="100" t="s">
        <v>1525</v>
      </c>
      <c r="C286" s="101" t="s">
        <v>1526</v>
      </c>
      <c r="D286" s="98" t="s">
        <v>156</v>
      </c>
      <c r="E286" s="75">
        <v>46061</v>
      </c>
      <c r="F286" s="25">
        <f t="shared" ca="1" si="8"/>
        <v>117</v>
      </c>
      <c r="G286" s="25"/>
      <c r="I286" s="25"/>
      <c r="J286" s="25"/>
      <c r="K286" s="25"/>
      <c r="L286" s="25"/>
      <c r="N286" s="25"/>
      <c r="O286" s="25"/>
      <c r="P286" s="25"/>
      <c r="Q286" s="25"/>
    </row>
    <row r="287" spans="2:17" x14ac:dyDescent="0.25">
      <c r="B287" s="100" t="s">
        <v>1527</v>
      </c>
      <c r="C287" s="101" t="s">
        <v>1528</v>
      </c>
      <c r="D287" s="98" t="s">
        <v>156</v>
      </c>
      <c r="E287" s="75">
        <v>46061</v>
      </c>
      <c r="F287" s="25">
        <f t="shared" ca="1" si="8"/>
        <v>117</v>
      </c>
      <c r="G287" s="25"/>
      <c r="I287" s="25"/>
      <c r="J287" s="25"/>
      <c r="K287" s="25"/>
      <c r="L287" s="25"/>
      <c r="N287" s="25"/>
      <c r="O287" s="25"/>
      <c r="P287" s="25"/>
      <c r="Q287" s="25"/>
    </row>
    <row r="288" spans="2:17" x14ac:dyDescent="0.25">
      <c r="B288" s="100" t="s">
        <v>1529</v>
      </c>
      <c r="C288" s="101" t="s">
        <v>1530</v>
      </c>
      <c r="D288" s="27" t="s">
        <v>1430</v>
      </c>
      <c r="E288" s="75">
        <v>46058</v>
      </c>
      <c r="F288" s="25">
        <f t="shared" ca="1" si="8"/>
        <v>120</v>
      </c>
      <c r="G288" s="25"/>
      <c r="I288" s="25"/>
      <c r="J288" s="25"/>
      <c r="K288" s="25"/>
      <c r="L288" s="25"/>
      <c r="N288" s="25"/>
      <c r="O288" s="25"/>
      <c r="P288" s="25"/>
      <c r="Q288" s="25"/>
    </row>
    <row r="289" spans="2:17" x14ac:dyDescent="0.25">
      <c r="B289" s="100" t="s">
        <v>1531</v>
      </c>
      <c r="C289" s="101" t="s">
        <v>1532</v>
      </c>
      <c r="D289" s="27" t="s">
        <v>1430</v>
      </c>
      <c r="E289" s="75">
        <v>46058</v>
      </c>
      <c r="F289" s="25">
        <f t="shared" ca="1" si="8"/>
        <v>120</v>
      </c>
      <c r="G289" s="25"/>
      <c r="I289" s="25"/>
      <c r="J289" s="25"/>
      <c r="K289" s="25"/>
      <c r="L289" s="25"/>
      <c r="N289" s="25"/>
      <c r="O289" s="25"/>
      <c r="P289" s="25"/>
      <c r="Q289" s="25"/>
    </row>
    <row r="290" spans="2:17" x14ac:dyDescent="0.25">
      <c r="B290" s="100" t="s">
        <v>1533</v>
      </c>
      <c r="C290" s="101" t="s">
        <v>1534</v>
      </c>
      <c r="D290" s="27" t="s">
        <v>1430</v>
      </c>
      <c r="E290" s="75">
        <v>46058</v>
      </c>
      <c r="F290" s="25">
        <f t="shared" ca="1" si="8"/>
        <v>120</v>
      </c>
      <c r="G290" s="25"/>
      <c r="I290" s="25"/>
      <c r="J290" s="25"/>
      <c r="K290" s="25"/>
      <c r="L290" s="25"/>
      <c r="N290" s="25"/>
      <c r="O290" s="25"/>
      <c r="P290" s="25"/>
      <c r="Q290" s="25"/>
    </row>
    <row r="291" spans="2:17" x14ac:dyDescent="0.25">
      <c r="B291" s="100" t="s">
        <v>967</v>
      </c>
      <c r="C291" s="101" t="s">
        <v>968</v>
      </c>
      <c r="D291" s="102" t="s">
        <v>163</v>
      </c>
      <c r="E291" s="75"/>
      <c r="F291" s="103">
        <f t="shared" ca="1" si="8"/>
        <v>46178</v>
      </c>
      <c r="G291" s="104"/>
      <c r="H291" s="84"/>
      <c r="I291" s="25"/>
      <c r="J291" s="25"/>
      <c r="K291" s="25"/>
      <c r="L291" s="25"/>
      <c r="N291" s="25"/>
      <c r="O291" s="25"/>
      <c r="P291" s="25"/>
      <c r="Q291" s="25"/>
    </row>
    <row r="292" spans="2:17" x14ac:dyDescent="0.25">
      <c r="B292" s="100" t="s">
        <v>969</v>
      </c>
      <c r="C292" s="101" t="s">
        <v>970</v>
      </c>
      <c r="D292" s="102" t="s">
        <v>163</v>
      </c>
      <c r="E292" s="75"/>
      <c r="F292" s="103">
        <f t="shared" ca="1" si="8"/>
        <v>46178</v>
      </c>
      <c r="G292" s="104"/>
      <c r="H292" s="84"/>
      <c r="I292" s="25"/>
      <c r="J292" s="25"/>
      <c r="K292" s="25"/>
      <c r="L292" s="25"/>
      <c r="N292" s="25"/>
      <c r="O292" s="25"/>
      <c r="P292" s="25"/>
      <c r="Q292" s="25"/>
    </row>
    <row r="293" spans="2:17" x14ac:dyDescent="0.25">
      <c r="B293" s="100" t="s">
        <v>971</v>
      </c>
      <c r="C293" s="101" t="s">
        <v>972</v>
      </c>
      <c r="D293" s="102" t="s">
        <v>163</v>
      </c>
      <c r="E293" s="75"/>
      <c r="F293" s="103">
        <f t="shared" ca="1" si="8"/>
        <v>46178</v>
      </c>
      <c r="G293" s="104"/>
      <c r="H293" s="84"/>
      <c r="I293" s="25"/>
      <c r="J293" s="25"/>
      <c r="K293" s="25"/>
      <c r="L293" s="25"/>
      <c r="N293" s="25"/>
      <c r="O293" s="25"/>
      <c r="P293" s="25"/>
      <c r="Q293" s="25"/>
    </row>
    <row r="294" spans="2:17" x14ac:dyDescent="0.25">
      <c r="B294" s="100" t="s">
        <v>973</v>
      </c>
      <c r="C294" s="101" t="s">
        <v>974</v>
      </c>
      <c r="D294" s="102" t="s">
        <v>163</v>
      </c>
      <c r="E294" s="75"/>
      <c r="F294" s="103">
        <f t="shared" ca="1" si="8"/>
        <v>46178</v>
      </c>
      <c r="G294" s="104"/>
      <c r="H294" s="84"/>
      <c r="I294" s="25"/>
      <c r="J294" s="25"/>
      <c r="K294" s="25"/>
      <c r="L294" s="25"/>
      <c r="N294" s="25"/>
      <c r="O294" s="25"/>
      <c r="P294" s="25"/>
      <c r="Q294" s="25"/>
    </row>
    <row r="295" spans="2:17" x14ac:dyDescent="0.25">
      <c r="B295" s="100" t="s">
        <v>975</v>
      </c>
      <c r="C295" s="101" t="s">
        <v>976</v>
      </c>
      <c r="D295" s="102" t="s">
        <v>163</v>
      </c>
      <c r="E295" s="75"/>
      <c r="F295" s="103">
        <f t="shared" ca="1" si="8"/>
        <v>46178</v>
      </c>
      <c r="G295" s="104"/>
      <c r="H295" s="84"/>
      <c r="I295" s="25"/>
      <c r="J295" s="25"/>
      <c r="K295" s="25"/>
      <c r="L295" s="25"/>
      <c r="N295" s="25"/>
      <c r="O295" s="25"/>
      <c r="P295" s="25"/>
      <c r="Q295" s="25"/>
    </row>
    <row r="296" spans="2:17" x14ac:dyDescent="0.25">
      <c r="B296" s="100" t="s">
        <v>977</v>
      </c>
      <c r="C296" s="101" t="s">
        <v>978</v>
      </c>
      <c r="D296" s="102" t="s">
        <v>163</v>
      </c>
      <c r="E296" s="75"/>
      <c r="F296" s="103">
        <f t="shared" ca="1" si="8"/>
        <v>46178</v>
      </c>
      <c r="G296" s="104"/>
      <c r="H296" s="84"/>
      <c r="I296" s="25"/>
      <c r="J296" s="25"/>
      <c r="K296" s="25"/>
      <c r="L296" s="25"/>
      <c r="N296" s="25"/>
      <c r="O296" s="25"/>
      <c r="P296" s="25"/>
      <c r="Q296" s="25"/>
    </row>
    <row r="297" spans="2:17" x14ac:dyDescent="0.25">
      <c r="B297" s="100" t="s">
        <v>979</v>
      </c>
      <c r="C297" s="101" t="s">
        <v>980</v>
      </c>
      <c r="D297" s="102" t="s">
        <v>163</v>
      </c>
      <c r="E297" s="75"/>
      <c r="F297" s="103">
        <f t="shared" ca="1" si="8"/>
        <v>46178</v>
      </c>
      <c r="G297" s="104"/>
      <c r="H297" s="84"/>
      <c r="I297" s="25"/>
      <c r="J297" s="25"/>
      <c r="K297" s="25"/>
      <c r="L297" s="25"/>
      <c r="N297" s="25"/>
      <c r="O297" s="25"/>
      <c r="P297" s="25"/>
      <c r="Q297" s="25"/>
    </row>
    <row r="298" spans="2:17" x14ac:dyDescent="0.25">
      <c r="B298" s="100" t="s">
        <v>981</v>
      </c>
      <c r="C298" s="101" t="s">
        <v>982</v>
      </c>
      <c r="D298" s="102" t="s">
        <v>163</v>
      </c>
      <c r="E298" s="75"/>
      <c r="F298" s="103">
        <f t="shared" ca="1" si="8"/>
        <v>46178</v>
      </c>
      <c r="G298" s="104"/>
      <c r="H298" s="84"/>
      <c r="I298" s="25"/>
      <c r="J298" s="25"/>
      <c r="K298" s="25"/>
      <c r="L298" s="25"/>
      <c r="N298" s="25"/>
      <c r="O298" s="25"/>
      <c r="P298" s="25"/>
      <c r="Q298" s="25"/>
    </row>
    <row r="299" spans="2:17" x14ac:dyDescent="0.25">
      <c r="B299" s="100" t="s">
        <v>983</v>
      </c>
      <c r="C299" s="101" t="s">
        <v>984</v>
      </c>
      <c r="D299" s="102" t="s">
        <v>163</v>
      </c>
      <c r="E299" s="75"/>
      <c r="F299" s="103">
        <f t="shared" ca="1" si="8"/>
        <v>46178</v>
      </c>
      <c r="G299" s="104"/>
      <c r="H299" s="84"/>
      <c r="I299" s="25"/>
      <c r="J299" s="25"/>
      <c r="K299" s="25"/>
      <c r="L299" s="25"/>
      <c r="N299" s="25"/>
      <c r="O299" s="25"/>
      <c r="P299" s="25"/>
      <c r="Q299" s="25"/>
    </row>
    <row r="300" spans="2:17" x14ac:dyDescent="0.25">
      <c r="B300" s="100" t="s">
        <v>1553</v>
      </c>
      <c r="C300" s="101" t="s">
        <v>1554</v>
      </c>
      <c r="D300" s="27" t="s">
        <v>1430</v>
      </c>
      <c r="E300" s="75">
        <v>46065</v>
      </c>
      <c r="F300" s="25">
        <f t="shared" ca="1" si="8"/>
        <v>113</v>
      </c>
      <c r="G300" s="25"/>
      <c r="I300" s="25"/>
      <c r="J300" s="25"/>
      <c r="K300" s="25"/>
      <c r="L300" s="25"/>
      <c r="N300" s="25"/>
      <c r="O300" s="25"/>
      <c r="P300" s="25"/>
      <c r="Q300" s="25"/>
    </row>
    <row r="301" spans="2:17" x14ac:dyDescent="0.25">
      <c r="B301" s="100" t="s">
        <v>1555</v>
      </c>
      <c r="C301" s="101" t="s">
        <v>1556</v>
      </c>
      <c r="D301" s="27" t="s">
        <v>1430</v>
      </c>
      <c r="E301" s="75">
        <v>46065</v>
      </c>
      <c r="F301" s="25">
        <f t="shared" ca="1" si="8"/>
        <v>113</v>
      </c>
      <c r="G301" s="25"/>
      <c r="I301" s="25"/>
      <c r="J301" s="25"/>
      <c r="K301" s="25"/>
      <c r="L301" s="25"/>
      <c r="N301" s="25"/>
      <c r="O301" s="25"/>
      <c r="P301" s="25"/>
      <c r="Q301" s="25"/>
    </row>
  </sheetData>
  <sortState xmlns:xlrd2="http://schemas.microsoft.com/office/spreadsheetml/2017/richdata2" ref="B8:G301">
    <sortCondition ref="B6:B301"/>
  </sortState>
  <mergeCells count="3">
    <mergeCell ref="B2:E2"/>
    <mergeCell ref="I3:L3"/>
    <mergeCell ref="N3:Q3"/>
  </mergeCells>
  <conditionalFormatting sqref="D6:D301">
    <cfRule type="containsBlanks" dxfId="13" priority="2">
      <formula>LEN(TRIM(D6))=0</formula>
    </cfRule>
  </conditionalFormatting>
  <conditionalFormatting sqref="E292:E293">
    <cfRule type="containsBlanks" dxfId="12" priority="1">
      <formula>LEN(TRIM(E292))=0</formula>
    </cfRule>
  </conditionalFormatting>
  <pageMargins left="0.7" right="0.7" top="0.75" bottom="0.75" header="0.3" footer="0.3"/>
  <pageSetup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Plan Maps. AUG</vt:lpstr>
      <vt:lpstr>Tanam Kangkung- 7 Bedeng</vt:lpstr>
      <vt:lpstr>dash</vt:lpstr>
      <vt:lpstr>Basil</vt:lpstr>
      <vt:lpstr>'Plan Maps. AUG'!Print_Area</vt:lpstr>
      <vt:lpstr>'Tanam Kangkung- 7 Bedeng'!Print_Area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2026-06-05T07:17:30Z</dcterms:modified>
</cp:coreProperties>
</file>