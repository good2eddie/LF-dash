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A56DE7D9-3DB5-4733-B468-EE1931D05193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  <externalReference r:id="rId8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6" i="3" l="1"/>
  <c r="H906" i="3"/>
  <c r="G906" i="3"/>
  <c r="F906" i="3"/>
  <c r="E906" i="3"/>
  <c r="D906" i="3"/>
  <c r="C906" i="3"/>
  <c r="I905" i="3"/>
  <c r="H905" i="3"/>
  <c r="G905" i="3"/>
  <c r="F905" i="3"/>
  <c r="E905" i="3"/>
  <c r="D905" i="3"/>
  <c r="C905" i="3"/>
  <c r="I904" i="3"/>
  <c r="H904" i="3"/>
  <c r="G904" i="3"/>
  <c r="F904" i="3"/>
  <c r="E904" i="3"/>
  <c r="D904" i="3"/>
  <c r="C904" i="3"/>
  <c r="I903" i="3"/>
  <c r="H903" i="3"/>
  <c r="G903" i="3"/>
  <c r="F903" i="3"/>
  <c r="E903" i="3"/>
  <c r="D903" i="3"/>
  <c r="C903" i="3"/>
  <c r="I902" i="3"/>
  <c r="H902" i="3"/>
  <c r="G902" i="3"/>
  <c r="F902" i="3"/>
  <c r="E902" i="3"/>
  <c r="D902" i="3"/>
  <c r="C902" i="3"/>
  <c r="I901" i="3"/>
  <c r="H901" i="3"/>
  <c r="G901" i="3"/>
  <c r="F901" i="3"/>
  <c r="E901" i="3"/>
  <c r="D901" i="3"/>
  <c r="C901" i="3"/>
  <c r="I900" i="3"/>
  <c r="H900" i="3"/>
  <c r="G900" i="3"/>
  <c r="F900" i="3"/>
  <c r="E900" i="3"/>
  <c r="D900" i="3"/>
  <c r="C900" i="3"/>
  <c r="I899" i="3"/>
  <c r="H899" i="3"/>
  <c r="G899" i="3"/>
  <c r="F899" i="3"/>
  <c r="E899" i="3"/>
  <c r="D899" i="3"/>
  <c r="C899" i="3"/>
  <c r="I898" i="3"/>
  <c r="H898" i="3"/>
  <c r="G898" i="3"/>
  <c r="F898" i="3"/>
  <c r="E898" i="3"/>
  <c r="D898" i="3"/>
  <c r="C898" i="3"/>
  <c r="I897" i="3"/>
  <c r="H897" i="3"/>
  <c r="G897" i="3"/>
  <c r="F897" i="3"/>
  <c r="E897" i="3"/>
  <c r="D897" i="3"/>
  <c r="C897" i="3"/>
  <c r="I896" i="3"/>
  <c r="H896" i="3"/>
  <c r="G896" i="3"/>
  <c r="F896" i="3"/>
  <c r="E896" i="3"/>
  <c r="D896" i="3"/>
  <c r="C896" i="3"/>
  <c r="I895" i="3"/>
  <c r="H895" i="3"/>
  <c r="G895" i="3"/>
  <c r="F895" i="3"/>
  <c r="E895" i="3"/>
  <c r="D895" i="3"/>
  <c r="C895" i="3"/>
  <c r="I894" i="3"/>
  <c r="H894" i="3"/>
  <c r="G894" i="3"/>
  <c r="F894" i="3"/>
  <c r="E894" i="3"/>
  <c r="D894" i="3"/>
  <c r="C894" i="3"/>
  <c r="I893" i="3"/>
  <c r="H893" i="3"/>
  <c r="G893" i="3"/>
  <c r="F893" i="3"/>
  <c r="E893" i="3"/>
  <c r="D893" i="3"/>
  <c r="C893" i="3"/>
  <c r="I892" i="3"/>
  <c r="H892" i="3"/>
  <c r="G892" i="3"/>
  <c r="F892" i="3"/>
  <c r="E892" i="3"/>
  <c r="D892" i="3"/>
  <c r="C892" i="3"/>
  <c r="I891" i="3"/>
  <c r="H891" i="3"/>
  <c r="G891" i="3"/>
  <c r="F891" i="3"/>
  <c r="E891" i="3"/>
  <c r="D891" i="3"/>
  <c r="C891" i="3"/>
  <c r="I890" i="3"/>
  <c r="H890" i="3"/>
  <c r="G890" i="3"/>
  <c r="F890" i="3"/>
  <c r="E890" i="3"/>
  <c r="D890" i="3"/>
  <c r="C890" i="3"/>
  <c r="I889" i="3"/>
  <c r="H889" i="3"/>
  <c r="G889" i="3"/>
  <c r="F889" i="3"/>
  <c r="E889" i="3"/>
  <c r="D889" i="3"/>
  <c r="C889" i="3"/>
  <c r="I888" i="3"/>
  <c r="H888" i="3"/>
  <c r="G888" i="3"/>
  <c r="F888" i="3"/>
  <c r="E888" i="3"/>
  <c r="D888" i="3"/>
  <c r="C888" i="3"/>
  <c r="I887" i="3"/>
  <c r="H887" i="3"/>
  <c r="G887" i="3"/>
  <c r="F887" i="3"/>
  <c r="E887" i="3"/>
  <c r="D887" i="3"/>
  <c r="C887" i="3"/>
  <c r="I886" i="3"/>
  <c r="H886" i="3"/>
  <c r="G886" i="3"/>
  <c r="F886" i="3"/>
  <c r="E886" i="3"/>
  <c r="D886" i="3"/>
  <c r="C886" i="3"/>
  <c r="I885" i="3"/>
  <c r="H885" i="3"/>
  <c r="G885" i="3"/>
  <c r="F885" i="3"/>
  <c r="E885" i="3"/>
  <c r="D885" i="3"/>
  <c r="C885" i="3"/>
  <c r="I884" i="3"/>
  <c r="H884" i="3"/>
  <c r="G884" i="3"/>
  <c r="F884" i="3"/>
  <c r="E884" i="3"/>
  <c r="D884" i="3"/>
  <c r="C884" i="3"/>
  <c r="I883" i="3"/>
  <c r="H883" i="3"/>
  <c r="G883" i="3"/>
  <c r="F883" i="3"/>
  <c r="E883" i="3"/>
  <c r="D883" i="3"/>
  <c r="C883" i="3"/>
  <c r="I882" i="3"/>
  <c r="H882" i="3"/>
  <c r="G882" i="3"/>
  <c r="F882" i="3"/>
  <c r="E882" i="3"/>
  <c r="D882" i="3"/>
  <c r="C882" i="3"/>
  <c r="I881" i="3"/>
  <c r="H881" i="3"/>
  <c r="G881" i="3"/>
  <c r="F881" i="3"/>
  <c r="E881" i="3"/>
  <c r="D881" i="3"/>
  <c r="C881" i="3"/>
  <c r="I880" i="3"/>
  <c r="H880" i="3"/>
  <c r="G880" i="3"/>
  <c r="F880" i="3"/>
  <c r="E880" i="3"/>
  <c r="D880" i="3"/>
  <c r="C880" i="3"/>
  <c r="I879" i="3"/>
  <c r="H879" i="3"/>
  <c r="G879" i="3"/>
  <c r="F879" i="3"/>
  <c r="E879" i="3"/>
  <c r="D879" i="3"/>
  <c r="C879" i="3"/>
  <c r="I878" i="3"/>
  <c r="H878" i="3"/>
  <c r="G878" i="3"/>
  <c r="F878" i="3"/>
  <c r="E878" i="3"/>
  <c r="D878" i="3"/>
  <c r="C878" i="3"/>
  <c r="I877" i="3"/>
  <c r="H877" i="3"/>
  <c r="G877" i="3"/>
  <c r="F877" i="3"/>
  <c r="E877" i="3"/>
  <c r="D877" i="3"/>
  <c r="C877" i="3"/>
  <c r="I876" i="3"/>
  <c r="H876" i="3"/>
  <c r="G876" i="3"/>
  <c r="F876" i="3"/>
  <c r="E876" i="3"/>
  <c r="D876" i="3"/>
  <c r="C876" i="3"/>
  <c r="I875" i="3"/>
  <c r="H875" i="3"/>
  <c r="G875" i="3"/>
  <c r="F875" i="3"/>
  <c r="E875" i="3"/>
  <c r="D875" i="3"/>
  <c r="C875" i="3"/>
  <c r="I874" i="3"/>
  <c r="H874" i="3"/>
  <c r="G874" i="3"/>
  <c r="F874" i="3"/>
  <c r="E874" i="3"/>
  <c r="D874" i="3"/>
  <c r="C874" i="3"/>
  <c r="I873" i="3"/>
  <c r="H873" i="3"/>
  <c r="G873" i="3"/>
  <c r="F873" i="3"/>
  <c r="E873" i="3"/>
  <c r="D873" i="3"/>
  <c r="C873" i="3"/>
  <c r="I872" i="3"/>
  <c r="H872" i="3"/>
  <c r="G872" i="3"/>
  <c r="F872" i="3"/>
  <c r="E872" i="3"/>
  <c r="D872" i="3"/>
  <c r="C872" i="3"/>
  <c r="I871" i="3"/>
  <c r="H871" i="3"/>
  <c r="G871" i="3"/>
  <c r="F871" i="3"/>
  <c r="E871" i="3"/>
  <c r="D871" i="3"/>
  <c r="C871" i="3"/>
  <c r="I870" i="3"/>
  <c r="H870" i="3"/>
  <c r="G870" i="3"/>
  <c r="F870" i="3"/>
  <c r="E870" i="3"/>
  <c r="D870" i="3"/>
  <c r="C870" i="3"/>
  <c r="I869" i="3"/>
  <c r="H869" i="3"/>
  <c r="G869" i="3"/>
  <c r="F869" i="3"/>
  <c r="E869" i="3"/>
  <c r="D869" i="3"/>
  <c r="C869" i="3"/>
  <c r="I868" i="3"/>
  <c r="H868" i="3"/>
  <c r="G868" i="3"/>
  <c r="F868" i="3"/>
  <c r="E868" i="3"/>
  <c r="D868" i="3"/>
  <c r="C868" i="3"/>
  <c r="I867" i="3"/>
  <c r="H867" i="3"/>
  <c r="G867" i="3"/>
  <c r="F867" i="3"/>
  <c r="E867" i="3"/>
  <c r="D867" i="3"/>
  <c r="C867" i="3"/>
  <c r="I866" i="3"/>
  <c r="H866" i="3"/>
  <c r="G866" i="3"/>
  <c r="F866" i="3"/>
  <c r="E866" i="3"/>
  <c r="D866" i="3"/>
  <c r="C866" i="3"/>
  <c r="I865" i="3"/>
  <c r="H865" i="3"/>
  <c r="G865" i="3"/>
  <c r="F865" i="3"/>
  <c r="E865" i="3"/>
  <c r="D865" i="3"/>
  <c r="C865" i="3"/>
  <c r="I864" i="3"/>
  <c r="H864" i="3"/>
  <c r="G864" i="3"/>
  <c r="F864" i="3"/>
  <c r="E864" i="3"/>
  <c r="D864" i="3"/>
  <c r="C864" i="3"/>
  <c r="I863" i="3"/>
  <c r="H863" i="3"/>
  <c r="G863" i="3"/>
  <c r="F863" i="3"/>
  <c r="E863" i="3"/>
  <c r="D863" i="3"/>
  <c r="C863" i="3"/>
  <c r="I862" i="3"/>
  <c r="H862" i="3"/>
  <c r="G862" i="3"/>
  <c r="F862" i="3"/>
  <c r="E862" i="3"/>
  <c r="D862" i="3"/>
  <c r="C862" i="3"/>
  <c r="I861" i="3"/>
  <c r="H861" i="3"/>
  <c r="G861" i="3"/>
  <c r="F861" i="3"/>
  <c r="E861" i="3"/>
  <c r="D861" i="3"/>
  <c r="C861" i="3"/>
  <c r="I860" i="3"/>
  <c r="H860" i="3"/>
  <c r="G860" i="3"/>
  <c r="F860" i="3"/>
  <c r="E860" i="3"/>
  <c r="D860" i="3"/>
  <c r="C860" i="3"/>
  <c r="I859" i="3"/>
  <c r="H859" i="3"/>
  <c r="G859" i="3"/>
  <c r="F859" i="3"/>
  <c r="E859" i="3"/>
  <c r="D859" i="3"/>
  <c r="C859" i="3"/>
  <c r="I858" i="3"/>
  <c r="H858" i="3"/>
  <c r="G858" i="3"/>
  <c r="F858" i="3"/>
  <c r="E858" i="3"/>
  <c r="D858" i="3"/>
  <c r="C858" i="3"/>
  <c r="I857" i="3"/>
  <c r="H857" i="3"/>
  <c r="G857" i="3"/>
  <c r="F857" i="3"/>
  <c r="E857" i="3"/>
  <c r="D857" i="3"/>
  <c r="C857" i="3"/>
  <c r="I856" i="3"/>
  <c r="H856" i="3"/>
  <c r="G856" i="3"/>
  <c r="F856" i="3"/>
  <c r="E856" i="3"/>
  <c r="D856" i="3"/>
  <c r="C856" i="3"/>
  <c r="I855" i="3"/>
  <c r="H855" i="3"/>
  <c r="G855" i="3"/>
  <c r="F855" i="3"/>
  <c r="E855" i="3"/>
  <c r="D855" i="3"/>
  <c r="C855" i="3"/>
  <c r="I854" i="3"/>
  <c r="H854" i="3"/>
  <c r="G854" i="3"/>
  <c r="F854" i="3"/>
  <c r="E854" i="3"/>
  <c r="D854" i="3"/>
  <c r="C854" i="3"/>
  <c r="I853" i="3"/>
  <c r="H853" i="3"/>
  <c r="G853" i="3"/>
  <c r="F853" i="3"/>
  <c r="E853" i="3"/>
  <c r="D853" i="3"/>
  <c r="C853" i="3"/>
  <c r="I852" i="3"/>
  <c r="H852" i="3"/>
  <c r="G852" i="3"/>
  <c r="F852" i="3"/>
  <c r="E852" i="3"/>
  <c r="D852" i="3"/>
  <c r="C852" i="3"/>
  <c r="I851" i="3"/>
  <c r="H851" i="3"/>
  <c r="G851" i="3"/>
  <c r="F851" i="3"/>
  <c r="E851" i="3"/>
  <c r="D851" i="3"/>
  <c r="C851" i="3"/>
  <c r="I850" i="3"/>
  <c r="H850" i="3"/>
  <c r="G850" i="3"/>
  <c r="F850" i="3"/>
  <c r="E850" i="3"/>
  <c r="D850" i="3"/>
  <c r="C850" i="3"/>
  <c r="I849" i="3"/>
  <c r="H849" i="3"/>
  <c r="G849" i="3"/>
  <c r="F849" i="3"/>
  <c r="E849" i="3"/>
  <c r="D849" i="3"/>
  <c r="C849" i="3"/>
  <c r="I848" i="3"/>
  <c r="H848" i="3"/>
  <c r="G848" i="3"/>
  <c r="F848" i="3"/>
  <c r="E848" i="3"/>
  <c r="D848" i="3"/>
  <c r="C848" i="3"/>
  <c r="I847" i="3"/>
  <c r="H847" i="3"/>
  <c r="G847" i="3"/>
  <c r="F847" i="3"/>
  <c r="E847" i="3"/>
  <c r="D847" i="3"/>
  <c r="C847" i="3"/>
  <c r="I846" i="3"/>
  <c r="H846" i="3"/>
  <c r="G846" i="3"/>
  <c r="F846" i="3"/>
  <c r="E846" i="3"/>
  <c r="D846" i="3"/>
  <c r="C846" i="3"/>
  <c r="I845" i="3"/>
  <c r="H845" i="3"/>
  <c r="G845" i="3"/>
  <c r="F845" i="3"/>
  <c r="E845" i="3"/>
  <c r="D845" i="3"/>
  <c r="C845" i="3"/>
  <c r="I844" i="3"/>
  <c r="H844" i="3"/>
  <c r="G844" i="3"/>
  <c r="F844" i="3"/>
  <c r="E844" i="3"/>
  <c r="D844" i="3"/>
  <c r="C844" i="3"/>
  <c r="I843" i="3"/>
  <c r="H843" i="3"/>
  <c r="G843" i="3"/>
  <c r="F843" i="3"/>
  <c r="E843" i="3"/>
  <c r="D843" i="3"/>
  <c r="C843" i="3"/>
  <c r="I842" i="3"/>
  <c r="H842" i="3"/>
  <c r="G842" i="3"/>
  <c r="F842" i="3"/>
  <c r="E842" i="3"/>
  <c r="D842" i="3"/>
  <c r="C842" i="3"/>
  <c r="I841" i="3"/>
  <c r="H841" i="3"/>
  <c r="G841" i="3"/>
  <c r="F841" i="3"/>
  <c r="E841" i="3"/>
  <c r="D841" i="3"/>
  <c r="C841" i="3"/>
  <c r="I840" i="3"/>
  <c r="H840" i="3"/>
  <c r="G840" i="3"/>
  <c r="F840" i="3"/>
  <c r="E840" i="3"/>
  <c r="D840" i="3"/>
  <c r="C840" i="3"/>
  <c r="I839" i="3"/>
  <c r="H839" i="3"/>
  <c r="G839" i="3"/>
  <c r="F839" i="3"/>
  <c r="E839" i="3"/>
  <c r="D839" i="3"/>
  <c r="C839" i="3"/>
  <c r="I838" i="3"/>
  <c r="H838" i="3"/>
  <c r="G838" i="3"/>
  <c r="F838" i="3"/>
  <c r="E838" i="3"/>
  <c r="D838" i="3"/>
  <c r="C838" i="3"/>
  <c r="I837" i="3"/>
  <c r="H837" i="3"/>
  <c r="G837" i="3"/>
  <c r="F837" i="3"/>
  <c r="E837" i="3"/>
  <c r="D837" i="3"/>
  <c r="C837" i="3"/>
  <c r="I836" i="3"/>
  <c r="H836" i="3"/>
  <c r="G836" i="3"/>
  <c r="F836" i="3"/>
  <c r="E836" i="3"/>
  <c r="D836" i="3"/>
  <c r="C836" i="3"/>
  <c r="I835" i="3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I738" i="3"/>
  <c r="H738" i="3"/>
  <c r="G738" i="3"/>
  <c r="F738" i="3"/>
  <c r="E738" i="3"/>
  <c r="D738" i="3"/>
  <c r="C738" i="3"/>
  <c r="I737" i="3"/>
  <c r="H737" i="3"/>
  <c r="G737" i="3"/>
  <c r="F737" i="3"/>
  <c r="E737" i="3"/>
  <c r="D737" i="3"/>
  <c r="C737" i="3"/>
  <c r="I736" i="3"/>
  <c r="H736" i="3"/>
  <c r="G736" i="3"/>
  <c r="F736" i="3"/>
  <c r="E736" i="3"/>
  <c r="D736" i="3"/>
  <c r="C736" i="3"/>
  <c r="I735" i="3"/>
  <c r="H735" i="3"/>
  <c r="G735" i="3"/>
  <c r="F735" i="3"/>
  <c r="E735" i="3"/>
  <c r="D735" i="3"/>
  <c r="C735" i="3"/>
  <c r="I734" i="3"/>
  <c r="H734" i="3"/>
  <c r="G734" i="3"/>
  <c r="F734" i="3"/>
  <c r="E734" i="3"/>
  <c r="D734" i="3"/>
  <c r="C734" i="3"/>
  <c r="I733" i="3"/>
  <c r="H733" i="3"/>
  <c r="G733" i="3"/>
  <c r="F733" i="3"/>
  <c r="E733" i="3"/>
  <c r="D733" i="3"/>
  <c r="C733" i="3"/>
  <c r="I732" i="3"/>
  <c r="H732" i="3"/>
  <c r="G732" i="3"/>
  <c r="F732" i="3"/>
  <c r="E732" i="3"/>
  <c r="D732" i="3"/>
  <c r="C732" i="3"/>
  <c r="I731" i="3"/>
  <c r="H731" i="3"/>
  <c r="G731" i="3"/>
  <c r="F731" i="3"/>
  <c r="E731" i="3"/>
  <c r="D731" i="3"/>
  <c r="C731" i="3"/>
  <c r="I730" i="3"/>
  <c r="H730" i="3"/>
  <c r="G730" i="3"/>
  <c r="F730" i="3"/>
  <c r="E730" i="3"/>
  <c r="D730" i="3"/>
  <c r="C730" i="3"/>
  <c r="I729" i="3"/>
  <c r="H729" i="3"/>
  <c r="G729" i="3"/>
  <c r="F729" i="3"/>
  <c r="E729" i="3"/>
  <c r="D729" i="3"/>
  <c r="C729" i="3"/>
  <c r="I728" i="3"/>
  <c r="H728" i="3"/>
  <c r="G728" i="3"/>
  <c r="F728" i="3"/>
  <c r="E728" i="3"/>
  <c r="D728" i="3"/>
  <c r="C728" i="3"/>
  <c r="I727" i="3"/>
  <c r="H727" i="3"/>
  <c r="G727" i="3"/>
  <c r="F727" i="3"/>
  <c r="E727" i="3"/>
  <c r="D727" i="3"/>
  <c r="C727" i="3"/>
  <c r="I726" i="3"/>
  <c r="H726" i="3"/>
  <c r="G726" i="3"/>
  <c r="F726" i="3"/>
  <c r="E726" i="3"/>
  <c r="D726" i="3"/>
  <c r="C726" i="3"/>
  <c r="I725" i="3"/>
  <c r="H725" i="3"/>
  <c r="G725" i="3"/>
  <c r="F725" i="3"/>
  <c r="E725" i="3"/>
  <c r="D725" i="3"/>
  <c r="C725" i="3"/>
  <c r="I724" i="3"/>
  <c r="H724" i="3"/>
  <c r="G724" i="3"/>
  <c r="F724" i="3"/>
  <c r="E724" i="3"/>
  <c r="D724" i="3"/>
  <c r="C724" i="3"/>
  <c r="I723" i="3"/>
  <c r="H723" i="3"/>
  <c r="G723" i="3"/>
  <c r="F723" i="3"/>
  <c r="E723" i="3"/>
  <c r="D723" i="3"/>
  <c r="C723" i="3"/>
  <c r="I722" i="3"/>
  <c r="H722" i="3"/>
  <c r="G722" i="3"/>
  <c r="F722" i="3"/>
  <c r="E722" i="3"/>
  <c r="D722" i="3"/>
  <c r="C722" i="3"/>
  <c r="I721" i="3"/>
  <c r="H721" i="3"/>
  <c r="G721" i="3"/>
  <c r="F721" i="3"/>
  <c r="E721" i="3"/>
  <c r="D721" i="3"/>
  <c r="C721" i="3"/>
  <c r="I720" i="3"/>
  <c r="H720" i="3"/>
  <c r="G720" i="3"/>
  <c r="F720" i="3"/>
  <c r="E720" i="3"/>
  <c r="D720" i="3"/>
  <c r="C720" i="3"/>
  <c r="I719" i="3"/>
  <c r="H719" i="3"/>
  <c r="G719" i="3"/>
  <c r="F719" i="3"/>
  <c r="E719" i="3"/>
  <c r="D719" i="3"/>
  <c r="C719" i="3"/>
  <c r="I718" i="3"/>
  <c r="H718" i="3"/>
  <c r="G718" i="3"/>
  <c r="F718" i="3"/>
  <c r="E718" i="3"/>
  <c r="D718" i="3"/>
  <c r="C718" i="3"/>
  <c r="I717" i="3"/>
  <c r="H717" i="3"/>
  <c r="G717" i="3"/>
  <c r="F717" i="3"/>
  <c r="E717" i="3"/>
  <c r="D717" i="3"/>
  <c r="C717" i="3"/>
  <c r="I716" i="3"/>
  <c r="H716" i="3"/>
  <c r="G716" i="3"/>
  <c r="F716" i="3"/>
  <c r="E716" i="3"/>
  <c r="D716" i="3"/>
  <c r="C716" i="3"/>
  <c r="I715" i="3"/>
  <c r="H715" i="3"/>
  <c r="G715" i="3"/>
  <c r="F715" i="3"/>
  <c r="E715" i="3"/>
  <c r="D715" i="3"/>
  <c r="C715" i="3"/>
  <c r="I714" i="3"/>
  <c r="H714" i="3"/>
  <c r="G714" i="3"/>
  <c r="F714" i="3"/>
  <c r="E714" i="3"/>
  <c r="D714" i="3"/>
  <c r="C714" i="3"/>
  <c r="I713" i="3"/>
  <c r="H713" i="3"/>
  <c r="G713" i="3"/>
  <c r="F713" i="3"/>
  <c r="E713" i="3"/>
  <c r="D713" i="3"/>
  <c r="C713" i="3"/>
  <c r="I712" i="3"/>
  <c r="H712" i="3"/>
  <c r="G712" i="3"/>
  <c r="F712" i="3"/>
  <c r="E712" i="3"/>
  <c r="D712" i="3"/>
  <c r="C712" i="3"/>
  <c r="I711" i="3"/>
  <c r="H711" i="3"/>
  <c r="G711" i="3"/>
  <c r="F711" i="3"/>
  <c r="E711" i="3"/>
  <c r="D711" i="3"/>
  <c r="C711" i="3"/>
  <c r="I710" i="3"/>
  <c r="H710" i="3"/>
  <c r="G710" i="3"/>
  <c r="F710" i="3"/>
  <c r="E710" i="3"/>
  <c r="D710" i="3"/>
  <c r="C710" i="3"/>
  <c r="I709" i="3"/>
  <c r="H709" i="3"/>
  <c r="G709" i="3"/>
  <c r="F709" i="3"/>
  <c r="E709" i="3"/>
  <c r="D709" i="3"/>
  <c r="C709" i="3"/>
  <c r="I708" i="3"/>
  <c r="H708" i="3"/>
  <c r="G708" i="3"/>
  <c r="F708" i="3"/>
  <c r="E708" i="3"/>
  <c r="D708" i="3"/>
  <c r="C708" i="3"/>
  <c r="I707" i="3"/>
  <c r="H707" i="3"/>
  <c r="G707" i="3"/>
  <c r="F707" i="3"/>
  <c r="E707" i="3"/>
  <c r="D707" i="3"/>
  <c r="C707" i="3"/>
  <c r="I706" i="3"/>
  <c r="H706" i="3"/>
  <c r="G706" i="3"/>
  <c r="F706" i="3"/>
  <c r="E706" i="3"/>
  <c r="D706" i="3"/>
  <c r="C706" i="3"/>
  <c r="I705" i="3"/>
  <c r="H705" i="3"/>
  <c r="G705" i="3"/>
  <c r="F705" i="3"/>
  <c r="E705" i="3"/>
  <c r="D705" i="3"/>
  <c r="C705" i="3"/>
  <c r="N704" i="3"/>
  <c r="K704" i="3"/>
  <c r="I704" i="3"/>
  <c r="H704" i="3"/>
  <c r="G704" i="3"/>
  <c r="F704" i="3"/>
  <c r="E704" i="3"/>
  <c r="D704" i="3"/>
  <c r="C704" i="3"/>
  <c r="N703" i="3"/>
  <c r="K703" i="3"/>
  <c r="I703" i="3"/>
  <c r="H703" i="3"/>
  <c r="G703" i="3"/>
  <c r="F703" i="3"/>
  <c r="E703" i="3"/>
  <c r="D703" i="3"/>
  <c r="C703" i="3"/>
  <c r="N702" i="3"/>
  <c r="K702" i="3"/>
  <c r="I702" i="3"/>
  <c r="H702" i="3"/>
  <c r="G702" i="3"/>
  <c r="F702" i="3"/>
  <c r="E702" i="3"/>
  <c r="D702" i="3"/>
  <c r="C702" i="3"/>
  <c r="I701" i="3"/>
  <c r="H701" i="3"/>
  <c r="G701" i="3"/>
  <c r="F701" i="3"/>
  <c r="E701" i="3"/>
  <c r="D701" i="3"/>
  <c r="C701" i="3"/>
  <c r="I700" i="3"/>
  <c r="H700" i="3"/>
  <c r="G700" i="3"/>
  <c r="F700" i="3"/>
  <c r="E700" i="3"/>
  <c r="D700" i="3"/>
  <c r="C700" i="3"/>
  <c r="I699" i="3"/>
  <c r="H699" i="3"/>
  <c r="G699" i="3"/>
  <c r="F699" i="3"/>
  <c r="E699" i="3"/>
  <c r="D699" i="3"/>
  <c r="C699" i="3"/>
  <c r="I698" i="3"/>
  <c r="H698" i="3"/>
  <c r="G698" i="3"/>
  <c r="F698" i="3"/>
  <c r="E698" i="3"/>
  <c r="D698" i="3"/>
  <c r="C698" i="3"/>
  <c r="I697" i="3"/>
  <c r="H697" i="3"/>
  <c r="G697" i="3"/>
  <c r="F697" i="3"/>
  <c r="E697" i="3"/>
  <c r="D697" i="3"/>
  <c r="C697" i="3"/>
  <c r="I696" i="3"/>
  <c r="H696" i="3"/>
  <c r="G696" i="3"/>
  <c r="F696" i="3"/>
  <c r="E696" i="3"/>
  <c r="D696" i="3"/>
  <c r="C696" i="3"/>
  <c r="I695" i="3"/>
  <c r="H695" i="3"/>
  <c r="G695" i="3"/>
  <c r="F695" i="3"/>
  <c r="E695" i="3"/>
  <c r="D695" i="3"/>
  <c r="C695" i="3"/>
  <c r="N694" i="3"/>
  <c r="K694" i="3"/>
  <c r="I694" i="3"/>
  <c r="H694" i="3"/>
  <c r="G694" i="3"/>
  <c r="F694" i="3"/>
  <c r="E694" i="3"/>
  <c r="D694" i="3"/>
  <c r="C694" i="3"/>
  <c r="N693" i="3"/>
  <c r="K693" i="3"/>
  <c r="I693" i="3"/>
  <c r="H693" i="3"/>
  <c r="G693" i="3"/>
  <c r="F693" i="3"/>
  <c r="E693" i="3"/>
  <c r="D693" i="3"/>
  <c r="C693" i="3"/>
  <c r="N692" i="3"/>
  <c r="K692" i="3"/>
  <c r="I692" i="3"/>
  <c r="H692" i="3"/>
  <c r="G692" i="3"/>
  <c r="F692" i="3"/>
  <c r="E692" i="3"/>
  <c r="D692" i="3"/>
  <c r="C692" i="3"/>
  <c r="N691" i="3"/>
  <c r="K691" i="3"/>
  <c r="I691" i="3"/>
  <c r="H691" i="3"/>
  <c r="G691" i="3"/>
  <c r="F691" i="3"/>
  <c r="E691" i="3"/>
  <c r="D691" i="3"/>
  <c r="C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N680" i="3"/>
  <c r="K680" i="3"/>
  <c r="I680" i="3"/>
  <c r="H680" i="3"/>
  <c r="G680" i="3"/>
  <c r="F680" i="3"/>
  <c r="E680" i="3"/>
  <c r="D680" i="3"/>
  <c r="C680" i="3"/>
  <c r="N679" i="3"/>
  <c r="K679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N672" i="3"/>
  <c r="K672" i="3"/>
  <c r="I672" i="3"/>
  <c r="H672" i="3"/>
  <c r="G672" i="3"/>
  <c r="F672" i="3"/>
  <c r="E672" i="3"/>
  <c r="D672" i="3"/>
  <c r="C672" i="3"/>
  <c r="N671" i="3"/>
  <c r="K671" i="3"/>
  <c r="I671" i="3"/>
  <c r="H671" i="3"/>
  <c r="G671" i="3"/>
  <c r="F671" i="3"/>
  <c r="E671" i="3"/>
  <c r="D671" i="3"/>
  <c r="C671" i="3"/>
  <c r="N670" i="3"/>
  <c r="K670" i="3"/>
  <c r="I670" i="3"/>
  <c r="H670" i="3"/>
  <c r="G670" i="3"/>
  <c r="F670" i="3"/>
  <c r="E670" i="3"/>
  <c r="D670" i="3"/>
  <c r="C670" i="3"/>
  <c r="N669" i="3"/>
  <c r="K669" i="3"/>
  <c r="I669" i="3"/>
  <c r="H669" i="3"/>
  <c r="G669" i="3"/>
  <c r="F669" i="3"/>
  <c r="E669" i="3"/>
  <c r="D669" i="3"/>
  <c r="C669" i="3"/>
  <c r="N668" i="3"/>
  <c r="K668" i="3"/>
  <c r="I668" i="3"/>
  <c r="H668" i="3"/>
  <c r="G668" i="3"/>
  <c r="F668" i="3"/>
  <c r="E668" i="3"/>
  <c r="D668" i="3"/>
  <c r="C668" i="3"/>
  <c r="N667" i="3"/>
  <c r="K667" i="3"/>
  <c r="I667" i="3"/>
  <c r="H667" i="3"/>
  <c r="G667" i="3"/>
  <c r="F667" i="3"/>
  <c r="E667" i="3"/>
  <c r="D667" i="3"/>
  <c r="C667" i="3"/>
  <c r="N666" i="3"/>
  <c r="K666" i="3"/>
  <c r="I666" i="3"/>
  <c r="H666" i="3"/>
  <c r="G666" i="3"/>
  <c r="F666" i="3"/>
  <c r="E666" i="3"/>
  <c r="D666" i="3"/>
  <c r="C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<sst xmlns="http://schemas.openxmlformats.org/spreadsheetml/2006/main" count="7377" uniqueCount="1191">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</sst>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50326.xlsx" TargetMode="External"/><Relationship Id="rId1" Type="http://schemas.openxmlformats.org/officeDocument/2006/relationships/externalLinkPath" Target="Sawangan_Update_0503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80326.xlsx" TargetMode="External"/><Relationship Id="rId1" Type="http://schemas.openxmlformats.org/officeDocument/2006/relationships/externalLinkPath" Target="Sawangan_Update_08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46090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103</v>
      </c>
      <c r="R6" s="25">
        <f t="shared" ca="1" si="1"/>
        <v>103</v>
      </c>
      <c r="S6" s="25">
        <f t="shared" ca="1" si="1"/>
        <v>103</v>
      </c>
      <c r="T6" s="25">
        <f t="shared" ca="1" si="1"/>
        <v>103</v>
      </c>
      <c r="U6" s="25">
        <f t="shared" ca="1" si="1"/>
        <v>104</v>
      </c>
      <c r="V6" s="25">
        <f ca="1">IF(V7="","",$B$1-V7)</f>
        <v>104</v>
      </c>
      <c r="W6" s="25">
        <f ca="1">IF(W7="","",$B$1-W7)</f>
        <v>104</v>
      </c>
      <c r="X6" s="25">
        <f ca="1">IF(X7="","",$B$1-X7)</f>
        <v>104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108</v>
      </c>
      <c r="D10" s="25">
        <f t="shared" ca="1" si="2"/>
        <v>108</v>
      </c>
      <c r="E10" s="25">
        <f t="shared" ca="1" si="2"/>
        <v>108</v>
      </c>
      <c r="F10" s="25">
        <f t="shared" ca="1" si="2"/>
        <v>108</v>
      </c>
      <c r="G10" s="25">
        <f t="shared" ca="1" si="2"/>
        <v>108</v>
      </c>
      <c r="H10" s="25">
        <f t="shared" ca="1" si="2"/>
        <v>108</v>
      </c>
      <c r="J10" s="25">
        <f t="shared" ref="J10:P10" ca="1" si="3">IF(J11="","",$B$1-J11)</f>
        <v>108</v>
      </c>
      <c r="K10" s="25">
        <f t="shared" ca="1" si="3"/>
        <v>106</v>
      </c>
      <c r="L10" s="25">
        <f t="shared" ca="1" si="3"/>
        <v>106</v>
      </c>
      <c r="M10" s="25">
        <f t="shared" ca="1" si="3"/>
        <v>106</v>
      </c>
      <c r="N10" s="25">
        <f t="shared" ca="1" si="3"/>
        <v>106</v>
      </c>
      <c r="O10" s="25">
        <f t="shared" ca="1" si="3"/>
        <v>106</v>
      </c>
      <c r="P10" s="25">
        <f t="shared" ca="1" si="3"/>
        <v>106</v>
      </c>
      <c r="R10" s="25">
        <f t="shared" ref="R10:W10" ca="1" si="4">IF(R11="","",$B$1-R11)</f>
        <v>106</v>
      </c>
      <c r="S10" s="25">
        <f t="shared" ca="1" si="4"/>
        <v>105</v>
      </c>
      <c r="T10" s="25">
        <f t="shared" ca="1" si="4"/>
        <v>105</v>
      </c>
      <c r="U10" s="25">
        <f t="shared" ca="1" si="4"/>
        <v>104</v>
      </c>
      <c r="V10" s="25">
        <f t="shared" ca="1" si="4"/>
        <v>104</v>
      </c>
      <c r="W10" s="25">
        <f t="shared" ca="1" si="4"/>
        <v>104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109</v>
      </c>
      <c r="D14" s="25">
        <f t="shared" ca="1" si="5"/>
        <v>109</v>
      </c>
      <c r="E14" s="25">
        <f t="shared" ca="1" si="5"/>
        <v>109</v>
      </c>
      <c r="F14" s="25">
        <f t="shared" ca="1" si="5"/>
        <v>109</v>
      </c>
      <c r="G14" s="25">
        <f t="shared" ca="1" si="5"/>
        <v>109</v>
      </c>
      <c r="H14" s="25">
        <f t="shared" ca="1" si="5"/>
        <v>109</v>
      </c>
      <c r="J14" s="25">
        <f t="shared" ref="J14:P14" ca="1" si="6">IF(J15="","",$B$1-J15)</f>
        <v>109</v>
      </c>
      <c r="K14" s="25">
        <f t="shared" ca="1" si="6"/>
        <v>107</v>
      </c>
      <c r="L14" s="25">
        <f t="shared" ca="1" si="6"/>
        <v>107</v>
      </c>
      <c r="M14" s="25">
        <f t="shared" ca="1" si="6"/>
        <v>107</v>
      </c>
      <c r="N14" s="25">
        <f t="shared" ca="1" si="6"/>
        <v>107</v>
      </c>
      <c r="O14" s="25">
        <f t="shared" ca="1" si="6"/>
        <v>107</v>
      </c>
      <c r="P14" s="25">
        <f t="shared" ca="1" si="6"/>
        <v>107</v>
      </c>
      <c r="R14" s="25">
        <f t="shared" ref="R14:W14" ca="1" si="7">IF(R15="","",$B$1-R15)</f>
        <v>107</v>
      </c>
      <c r="S14" s="25">
        <f t="shared" ca="1" si="7"/>
        <v>105</v>
      </c>
      <c r="T14" s="25">
        <f t="shared" ca="1" si="7"/>
        <v>105</v>
      </c>
      <c r="U14" s="25">
        <f t="shared" ca="1" si="7"/>
        <v>105</v>
      </c>
      <c r="V14" s="25">
        <f t="shared" ca="1" si="7"/>
        <v>105</v>
      </c>
      <c r="W14" s="25">
        <f t="shared" ca="1" si="7"/>
        <v>105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43</v>
      </c>
      <c r="D24" s="25">
        <f t="shared" ca="1" si="8"/>
        <v>43</v>
      </c>
      <c r="E24" s="25">
        <f t="shared" ca="1" si="8"/>
        <v>43</v>
      </c>
      <c r="F24" s="25">
        <f t="shared" ca="1" si="8"/>
        <v>43</v>
      </c>
      <c r="G24" s="25">
        <f t="shared" ca="1" si="8"/>
        <v>43</v>
      </c>
      <c r="H24" s="25">
        <f t="shared" ca="1" si="8"/>
        <v>43</v>
      </c>
      <c r="J24" s="25">
        <f ca="1">IF(J25="","",$B$1-J25)</f>
        <v>43</v>
      </c>
      <c r="K24" s="25">
        <f t="shared" ref="K24:AI24" ca="1" si="9">IF(K25="","",$B$1-K25)</f>
        <v>39</v>
      </c>
      <c r="L24" s="25">
        <f t="shared" ca="1" si="9"/>
        <v>39</v>
      </c>
      <c r="M24" s="25">
        <f t="shared" ca="1" si="9"/>
        <v>39</v>
      </c>
      <c r="N24" s="25">
        <f t="shared" ca="1" si="9"/>
        <v>39</v>
      </c>
      <c r="O24" s="25">
        <f t="shared" ca="1" si="9"/>
        <v>39</v>
      </c>
      <c r="P24" s="25">
        <f t="shared" ca="1" si="9"/>
        <v>39</v>
      </c>
      <c r="R24" s="25">
        <f t="shared" ca="1" si="9"/>
        <v>39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44</v>
      </c>
      <c r="L28" s="25">
        <f t="shared" ca="1" si="11"/>
        <v>44</v>
      </c>
      <c r="M28" s="25">
        <f t="shared" ca="1" si="11"/>
        <v>44</v>
      </c>
      <c r="N28" s="25">
        <f t="shared" ca="1" si="11"/>
        <v>44</v>
      </c>
      <c r="O28" s="25">
        <f t="shared" ca="1" si="11"/>
        <v>44</v>
      </c>
      <c r="P28" s="25">
        <f t="shared" ca="1" si="11"/>
        <v>44</v>
      </c>
      <c r="R28" s="25">
        <f t="shared" ref="R28:X28" ca="1" si="12">IF(R29="","",$B$1-R29)</f>
        <v>44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118</v>
      </c>
      <c r="D41" s="25">
        <f t="shared" ca="1" si="14"/>
        <v>118</v>
      </c>
      <c r="E41" s="25">
        <f t="shared" ca="1" si="14"/>
        <v>118</v>
      </c>
      <c r="F41" s="25">
        <f t="shared" ca="1" si="14"/>
        <v>118</v>
      </c>
      <c r="G41" s="25">
        <f t="shared" ca="1" si="14"/>
        <v>117</v>
      </c>
      <c r="H41" s="25">
        <f t="shared" ca="1" si="14"/>
        <v>117</v>
      </c>
      <c r="J41" s="25">
        <f t="shared" ca="1" si="14"/>
        <v>117</v>
      </c>
      <c r="K41" s="25">
        <f t="shared" ca="1" si="14"/>
        <v>117</v>
      </c>
      <c r="L41" s="25">
        <f t="shared" ca="1" si="14"/>
        <v>117</v>
      </c>
      <c r="M41" s="25">
        <f t="shared" ca="1" si="14"/>
        <v>117</v>
      </c>
      <c r="N41" s="25">
        <f t="shared" ca="1" si="14"/>
        <v>117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120</v>
      </c>
      <c r="D45" s="25">
        <f ca="1">IF(D46="","",$B$1-D46)</f>
        <v>120</v>
      </c>
      <c r="E45" s="25">
        <f ca="1">IF(E46="","",$B$1-E46)</f>
        <v>119</v>
      </c>
      <c r="F45" s="25">
        <f ca="1">IF(F46="","",$B$1-F46)</f>
        <v>119</v>
      </c>
      <c r="H45" s="25">
        <f ca="1">IF(H46="","",$B$1-H46)</f>
        <v>119</v>
      </c>
      <c r="J45" s="25">
        <f t="shared" ref="J45:P45" ca="1" si="15">IF(J46="","",$B$1-J46)</f>
        <v>119</v>
      </c>
      <c r="K45" s="25">
        <f t="shared" ca="1" si="15"/>
        <v>119</v>
      </c>
      <c r="L45" s="25">
        <f t="shared" ca="1" si="15"/>
        <v>119</v>
      </c>
      <c r="M45" s="25">
        <f t="shared" ca="1" si="15"/>
        <v>119</v>
      </c>
      <c r="N45" s="25">
        <f t="shared" ca="1" si="15"/>
        <v>118</v>
      </c>
      <c r="O45" s="25">
        <f t="shared" ca="1" si="15"/>
        <v>118</v>
      </c>
      <c r="P45" s="25">
        <f t="shared" ca="1" si="15"/>
        <v>118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121</v>
      </c>
      <c r="D49" s="25">
        <f ca="1">IF(D50="","",$B$1-D50)</f>
        <v>121</v>
      </c>
      <c r="E49" s="25">
        <f ca="1">IF(E50="","",$B$1-E50)</f>
        <v>121</v>
      </c>
      <c r="F49" s="25">
        <f ca="1">IF(F50="","",$B$1-F50)</f>
        <v>121</v>
      </c>
      <c r="H49" s="25">
        <f ca="1">IF(H50="","",$B$1-H50)</f>
        <v>121</v>
      </c>
      <c r="J49" s="25">
        <f t="shared" ref="J49:P49" ca="1" si="16">IF(J50="","",$B$1-J50)</f>
        <v>121</v>
      </c>
      <c r="K49" s="25">
        <f t="shared" ca="1" si="16"/>
        <v>121</v>
      </c>
      <c r="L49" s="25">
        <f t="shared" ca="1" si="16"/>
        <v>120</v>
      </c>
      <c r="M49" s="25">
        <f t="shared" ca="1" si="16"/>
        <v>120</v>
      </c>
      <c r="N49" s="25">
        <f t="shared" ca="1" si="16"/>
        <v>120</v>
      </c>
      <c r="O49" s="25">
        <f t="shared" ca="1" si="16"/>
        <v>120</v>
      </c>
      <c r="P49" s="25">
        <f t="shared" ca="1" si="16"/>
        <v>120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113</v>
      </c>
      <c r="D58" s="25">
        <f t="shared" ca="1" si="17"/>
        <v>113</v>
      </c>
      <c r="E58" s="25">
        <f t="shared" ca="1" si="17"/>
        <v>113</v>
      </c>
      <c r="F58" s="25">
        <f t="shared" ca="1" si="17"/>
        <v>113</v>
      </c>
      <c r="G58" s="25">
        <f t="shared" ca="1" si="17"/>
        <v>113</v>
      </c>
      <c r="H58" s="25">
        <f t="shared" ca="1" si="17"/>
        <v>113</v>
      </c>
      <c r="J58" s="25">
        <f t="shared" ref="J58:P58" ca="1" si="18">IF(J59="","",$B$1-J59)</f>
        <v>113</v>
      </c>
      <c r="K58" s="25">
        <f t="shared" ca="1" si="18"/>
        <v>112</v>
      </c>
      <c r="L58" s="25">
        <f t="shared" ca="1" si="18"/>
        <v>112</v>
      </c>
      <c r="M58" s="25">
        <f t="shared" ca="1" si="18"/>
        <v>112</v>
      </c>
      <c r="N58" s="25">
        <f t="shared" ca="1" si="18"/>
        <v>112</v>
      </c>
      <c r="O58" s="25">
        <f t="shared" ca="1" si="18"/>
        <v>112</v>
      </c>
      <c r="P58" s="25">
        <f t="shared" ca="1" si="18"/>
        <v>112</v>
      </c>
      <c r="R58" s="25">
        <f t="shared" ref="R58:X58" ca="1" si="19">IF(R59="","",$B$1-R59)</f>
        <v>112</v>
      </c>
      <c r="S58" s="25">
        <f t="shared" ca="1" si="19"/>
        <v>111</v>
      </c>
      <c r="T58" s="25">
        <f t="shared" ca="1" si="19"/>
        <v>111</v>
      </c>
      <c r="U58" s="25">
        <f t="shared" ca="1" si="19"/>
        <v>111</v>
      </c>
      <c r="V58" s="25">
        <f t="shared" ca="1" si="19"/>
        <v>111</v>
      </c>
      <c r="W58" s="25">
        <f t="shared" ca="1" si="19"/>
        <v>111</v>
      </c>
      <c r="X58" s="25">
        <f t="shared" ca="1" si="19"/>
        <v>111</v>
      </c>
      <c r="Z58" s="25">
        <f ca="1">IF(Z59="","",$B$1-Z59)</f>
        <v>111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114</v>
      </c>
      <c r="E62" s="25">
        <f t="shared" ca="1" si="20"/>
        <v>114</v>
      </c>
      <c r="F62" s="25">
        <f t="shared" ca="1" si="20"/>
        <v>114</v>
      </c>
      <c r="G62" s="25">
        <f t="shared" ca="1" si="20"/>
        <v>114</v>
      </c>
      <c r="H62" s="25">
        <f t="shared" ca="1" si="20"/>
        <v>114</v>
      </c>
      <c r="J62" s="25">
        <f t="shared" ref="J62:P62" ca="1" si="21">IF(J63="","",$B$1-J63)</f>
        <v>114</v>
      </c>
      <c r="K62" s="25">
        <f t="shared" ca="1" si="21"/>
        <v>114</v>
      </c>
      <c r="L62" s="25">
        <f t="shared" ca="1" si="21"/>
        <v>114</v>
      </c>
      <c r="M62" s="25">
        <f t="shared" ca="1" si="21"/>
        <v>115</v>
      </c>
      <c r="N62" s="25">
        <f t="shared" ca="1" si="21"/>
        <v>115</v>
      </c>
      <c r="O62" s="25">
        <f t="shared" ca="1" si="21"/>
        <v>115</v>
      </c>
      <c r="P62" s="25">
        <f t="shared" ca="1" si="21"/>
        <v>115</v>
      </c>
      <c r="R62" s="25">
        <f t="shared" ref="R62:X62" ca="1" si="22">IF(R63="","",$B$1-R63)</f>
        <v>115</v>
      </c>
      <c r="S62" s="25">
        <f t="shared" ca="1" si="22"/>
        <v>115</v>
      </c>
      <c r="T62" s="25">
        <f t="shared" ca="1" si="22"/>
        <v>115</v>
      </c>
      <c r="U62" s="25">
        <f t="shared" ca="1" si="22"/>
        <v>116</v>
      </c>
      <c r="V62" s="25">
        <f t="shared" ca="1" si="22"/>
        <v>116</v>
      </c>
      <c r="W62" s="25">
        <f t="shared" ca="1" si="22"/>
        <v>116</v>
      </c>
      <c r="X62" s="25">
        <f t="shared" ca="1" si="22"/>
        <v>116</v>
      </c>
      <c r="Z62" s="25">
        <f ca="1">IF(Z63="","",$B$1-Z63)</f>
        <v>116</v>
      </c>
      <c r="AA62" s="25">
        <f ca="1">IF(AA63="","",$B$1-AA63)</f>
        <v>116</v>
      </c>
      <c r="AB62" s="25">
        <f ca="1">IF(AB63="","",$B$1-AB63)</f>
        <v>116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99</v>
      </c>
      <c r="D71" s="25">
        <f t="shared" ca="1" si="23"/>
        <v>99</v>
      </c>
      <c r="E71" s="25">
        <f t="shared" ca="1" si="23"/>
        <v>99</v>
      </c>
      <c r="F71" s="25">
        <f t="shared" ca="1" si="23"/>
        <v>100</v>
      </c>
      <c r="G71" s="25">
        <f t="shared" ca="1" si="23"/>
        <v>100</v>
      </c>
      <c r="H71" s="25">
        <f t="shared" ca="1" si="23"/>
        <v>100</v>
      </c>
      <c r="J71" s="25">
        <f ca="1">IF(J72="","",$B$1-J72)</f>
        <v>100</v>
      </c>
      <c r="K71" s="25">
        <f t="shared" ref="K71:P71" ca="1" si="24">IF(K72="","",$B$1-K72)</f>
        <v>100</v>
      </c>
      <c r="L71" s="25">
        <f t="shared" ca="1" si="24"/>
        <v>100</v>
      </c>
      <c r="M71" s="25">
        <f t="shared" ca="1" si="24"/>
        <v>100</v>
      </c>
      <c r="N71" s="25">
        <f t="shared" ca="1" si="24"/>
        <v>101</v>
      </c>
      <c r="O71" s="25">
        <f t="shared" ca="1" si="24"/>
        <v>101</v>
      </c>
      <c r="P71" s="25">
        <f t="shared" ca="1" si="24"/>
        <v>101</v>
      </c>
      <c r="R71" s="25">
        <f t="shared" ref="R71:X71" ca="1" si="25">IF(R72="","",$B$1-R72)</f>
        <v>101</v>
      </c>
      <c r="S71" s="25">
        <f t="shared" ca="1" si="25"/>
        <v>101</v>
      </c>
      <c r="T71" s="25">
        <f t="shared" ca="1" si="25"/>
        <v>101</v>
      </c>
      <c r="U71" s="25">
        <f t="shared" ca="1" si="25"/>
        <v>101</v>
      </c>
      <c r="V71" s="25">
        <f t="shared" ca="1" si="25"/>
        <v>102</v>
      </c>
      <c r="W71" s="25">
        <f t="shared" ca="1" si="25"/>
        <v>102</v>
      </c>
      <c r="X71" s="25">
        <f t="shared" ca="1" si="25"/>
        <v>102</v>
      </c>
      <c r="Z71" s="25">
        <f ca="1">IF(Z72="","",$B$1-Z72)</f>
        <v>102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7" priority="129">
      <formula>LEN(TRIM(C72))=0</formula>
    </cfRule>
    <cfRule type="notContainsBlanks" dxfId="1246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45" priority="95">
      <formula>LEN(TRIM(C42))=0</formula>
    </cfRule>
    <cfRule type="notContainsBlanks" dxfId="1244" priority="98">
      <formula>LEN(TRIM(C42))&gt;0</formula>
    </cfRule>
    <cfRule type="notContainsBlanks" dxfId="1243" priority="96">
      <formula>LEN(TRIM(C42))&gt;0</formula>
    </cfRule>
    <cfRule type="containsBlanks" dxfId="1242" priority="97">
      <formula>LEN(TRIM(C42))=0</formula>
    </cfRule>
  </conditionalFormatting>
  <conditionalFormatting sqref="C46:F46">
    <cfRule type="notContainsBlanks" dxfId="1241" priority="110">
      <formula>LEN(TRIM(C46))&gt;0</formula>
    </cfRule>
    <cfRule type="containsBlanks" dxfId="1240" priority="109">
      <formula>LEN(TRIM(C46))=0</formula>
    </cfRule>
  </conditionalFormatting>
  <conditionalFormatting sqref="C50:F50">
    <cfRule type="notContainsBlanks" dxfId="1239" priority="250">
      <formula>LEN(TRIM(C50))&gt;0</formula>
    </cfRule>
    <cfRule type="containsBlanks" dxfId="1238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7" priority="197">
      <formula>LEN(TRIM(C7))&gt;0</formula>
    </cfRule>
    <cfRule type="containsBlanks" dxfId="1236" priority="196">
      <formula>LEN(TRIM(C7))=0</formula>
    </cfRule>
  </conditionalFormatting>
  <conditionalFormatting sqref="C11:H11">
    <cfRule type="containsBlanks" dxfId="1235" priority="242">
      <formula>LEN(TRIM(C11))=0</formula>
    </cfRule>
    <cfRule type="notContainsBlanks" dxfId="1234" priority="243">
      <formula>LEN(TRIM(C11))&gt;0</formula>
    </cfRule>
  </conditionalFormatting>
  <conditionalFormatting sqref="C15:H15">
    <cfRule type="notContainsBlanks" dxfId="1233" priority="62">
      <formula>LEN(TRIM(C15))&gt;0</formula>
    </cfRule>
    <cfRule type="containsBlanks" dxfId="1232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31" priority="3">
      <formula>LEN(TRIM(C25))=0</formula>
    </cfRule>
    <cfRule type="notContainsBlanks" dxfId="1230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9" priority="64">
      <formula>LEN(TRIM(C29))&gt;0</formula>
    </cfRule>
    <cfRule type="containsBlanks" dxfId="1228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7" priority="100">
      <formula>LEN(TRIM(C42))&gt;0</formula>
    </cfRule>
    <cfRule type="containsBlanks" dxfId="1226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25" priority="163">
      <formula>LEN(TRIM(C59))=0</formula>
    </cfRule>
    <cfRule type="notContainsBlanks" dxfId="1224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23" priority="80">
      <formula>LEN(TRIM(C63))&gt;0</formula>
    </cfRule>
    <cfRule type="containsBlanks" dxfId="1222" priority="79">
      <formula>LEN(TRIM(C63))=0</formula>
    </cfRule>
  </conditionalFormatting>
  <conditionalFormatting sqref="C72:H72">
    <cfRule type="notContainsBlanks" dxfId="1221" priority="16">
      <formula>LEN(TRIM(C72))&gt;0</formula>
    </cfRule>
    <cfRule type="containsBlanks" dxfId="1220" priority="15">
      <formula>LEN(TRIM(C72))=0</formula>
    </cfRule>
  </conditionalFormatting>
  <conditionalFormatting sqref="C76:H76">
    <cfRule type="containsBlanks" dxfId="1219" priority="194">
      <formula>LEN(TRIM(C76))=0</formula>
    </cfRule>
    <cfRule type="notContainsBlanks" dxfId="1218" priority="195">
      <formula>LEN(TRIM(C76))&gt;0</formula>
    </cfRule>
  </conditionalFormatting>
  <conditionalFormatting sqref="D63:H63">
    <cfRule type="notContainsBlanks" dxfId="1217" priority="78">
      <formula>LEN(TRIM(D63))&gt;0</formula>
    </cfRule>
    <cfRule type="containsBlanks" dxfId="1216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15" priority="228">
      <formula>LEN(TRIM(E46))=0</formula>
    </cfRule>
    <cfRule type="notContainsBlanks" dxfId="1214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13" priority="13">
      <formula>LEN(TRIM(F72))=0</formula>
    </cfRule>
    <cfRule type="notContainsBlanks" dxfId="1212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11" priority="183">
      <formula>LEN(TRIM(G42))&gt;0</formula>
    </cfRule>
    <cfRule type="containsBlanks" dxfId="1210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9" priority="108">
      <formula>LEN(TRIM(H46))&gt;0</formula>
    </cfRule>
    <cfRule type="containsBlanks" dxfId="1208" priority="107">
      <formula>LEN(TRIM(H46))=0</formula>
    </cfRule>
    <cfRule type="notContainsBlanks" dxfId="1207" priority="106">
      <formula>LEN(TRIM(H46))&gt;0</formula>
    </cfRule>
    <cfRule type="containsBlanks" dxfId="1206" priority="105">
      <formula>LEN(TRIM(H46))=0</formula>
    </cfRule>
  </conditionalFormatting>
  <conditionalFormatting sqref="H50">
    <cfRule type="notContainsBlanks" dxfId="1205" priority="114">
      <formula>LEN(TRIM(H50))&gt;0</formula>
    </cfRule>
    <cfRule type="containsBlanks" dxfId="1204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03" priority="220">
      <formula>LEN(TRIM(J72))=0</formula>
    </cfRule>
    <cfRule type="notContainsBlanks" dxfId="1202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01" priority="116">
      <formula>LEN(TRIM(J21))&gt;0</formula>
    </cfRule>
    <cfRule type="containsBlanks" dxfId="1200" priority="115">
      <formula>LEN(TRIM(J21))=0</formula>
    </cfRule>
  </conditionalFormatting>
  <conditionalFormatting sqref="J63:L63">
    <cfRule type="notContainsBlanks" dxfId="1199" priority="162">
      <formula>LEN(TRIM(J63))&gt;0</formula>
    </cfRule>
    <cfRule type="containsBlanks" dxfId="1198" priority="161">
      <formula>LEN(TRIM(J63))=0</formula>
    </cfRule>
  </conditionalFormatting>
  <conditionalFormatting sqref="J46:M46">
    <cfRule type="containsBlanks" dxfId="1197" priority="101">
      <formula>LEN(TRIM(J46))=0</formula>
    </cfRule>
    <cfRule type="notContainsBlanks" dxfId="1196" priority="102">
      <formula>LEN(TRIM(J46))&gt;0</formula>
    </cfRule>
  </conditionalFormatting>
  <conditionalFormatting sqref="J72:M72">
    <cfRule type="notContainsBlanks" dxfId="1195" priority="134">
      <formula>LEN(TRIM(J72))&gt;0</formula>
    </cfRule>
    <cfRule type="containsBlanks" dxfId="1194" priority="133">
      <formula>LEN(TRIM(J72))=0</formula>
    </cfRule>
  </conditionalFormatting>
  <conditionalFormatting sqref="J42:N42">
    <cfRule type="notContainsBlanks" dxfId="1193" priority="92">
      <formula>LEN(TRIM(J42))&gt;0</formula>
    </cfRule>
    <cfRule type="containsBlanks" dxfId="1192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1" priority="155">
      <formula>LEN(TRIM(J7))=0</formula>
    </cfRule>
    <cfRule type="notContainsBlanks" dxfId="1190" priority="156">
      <formula>LEN(TRIM(J7))&gt;0</formula>
    </cfRule>
  </conditionalFormatting>
  <conditionalFormatting sqref="J11:P11">
    <cfRule type="notContainsBlanks" dxfId="1189" priority="58">
      <formula>LEN(TRIM(J11))&gt;0</formula>
    </cfRule>
    <cfRule type="containsBlanks" dxfId="1188" priority="57">
      <formula>LEN(TRIM(J11))=0</formula>
    </cfRule>
  </conditionalFormatting>
  <conditionalFormatting sqref="J15:P15">
    <cfRule type="notContainsBlanks" dxfId="1187" priority="60">
      <formula>LEN(TRIM(J15))&gt;0</formula>
    </cfRule>
    <cfRule type="containsBlanks" dxfId="1186" priority="59">
      <formula>LEN(TRIM(J15))=0</formula>
    </cfRule>
  </conditionalFormatting>
  <conditionalFormatting sqref="J25:P25">
    <cfRule type="containsBlanks" dxfId="1185" priority="5">
      <formula>LEN(TRIM(J25))=0</formula>
    </cfRule>
    <cfRule type="notContainsBlanks" dxfId="1184" priority="6">
      <formula>LEN(TRIM(J25))&gt;0</formula>
    </cfRule>
  </conditionalFormatting>
  <conditionalFormatting sqref="J29:P29">
    <cfRule type="notContainsBlanks" dxfId="1183" priority="2">
      <formula>LEN(TRIM(J29))&gt;0</formula>
    </cfRule>
    <cfRule type="containsBlanks" dxfId="1182" priority="1">
      <formula>LEN(TRIM(J29))=0</formula>
    </cfRule>
  </conditionalFormatting>
  <conditionalFormatting sqref="J42:P42">
    <cfRule type="notContainsBlanks" dxfId="1181" priority="94">
      <formula>LEN(TRIM(J42))&gt;0</formula>
    </cfRule>
    <cfRule type="containsBlanks" dxfId="1180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9" priority="103">
      <formula>LEN(TRIM(J46))=0</formula>
    </cfRule>
    <cfRule type="notContainsBlanks" dxfId="1178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7" priority="112">
      <formula>LEN(TRIM(J50))&gt;0</formula>
    </cfRule>
    <cfRule type="containsBlanks" dxfId="1176" priority="111">
      <formula>LEN(TRIM(J50))=0</formula>
    </cfRule>
  </conditionalFormatting>
  <conditionalFormatting sqref="J59:P59">
    <cfRule type="containsBlanks" dxfId="1175" priority="75">
      <formula>LEN(TRIM(J59))=0</formula>
    </cfRule>
    <cfRule type="notContainsBlanks" dxfId="1174" priority="76">
      <formula>LEN(TRIM(J59))&gt;0</formula>
    </cfRule>
  </conditionalFormatting>
  <conditionalFormatting sqref="J63:P63">
    <cfRule type="containsBlanks" dxfId="1173" priority="83">
      <formula>LEN(TRIM(J63))=0</formula>
    </cfRule>
    <cfRule type="notContainsBlanks" dxfId="1172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71" priority="18">
      <formula>LEN(TRIM(J72))&gt;0</formula>
    </cfRule>
    <cfRule type="containsBlanks" dxfId="1170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9" priority="193">
      <formula>LEN(TRIM(J76))&gt;0</formula>
    </cfRule>
    <cfRule type="containsBlanks" dxfId="1168" priority="192">
      <formula>LEN(TRIM(J76))=0</formula>
    </cfRule>
  </conditionalFormatting>
  <conditionalFormatting sqref="K11:P11">
    <cfRule type="notContainsBlanks" dxfId="1167" priority="160">
      <formula>LEN(TRIM(K11))&gt;0</formula>
    </cfRule>
    <cfRule type="containsBlanks" dxfId="1166" priority="159">
      <formula>LEN(TRIM(K11))=0</formula>
    </cfRule>
  </conditionalFormatting>
  <conditionalFormatting sqref="K59:P59">
    <cfRule type="notContainsBlanks" dxfId="1165" priority="168">
      <formula>LEN(TRIM(K59))&gt;0</formula>
    </cfRule>
    <cfRule type="notContainsBlanks" dxfId="1164" priority="166">
      <formula>LEN(TRIM(K59))&gt;0</formula>
    </cfRule>
    <cfRule type="containsBlanks" dxfId="1163" priority="165">
      <formula>LEN(TRIM(K59))=0</formula>
    </cfRule>
    <cfRule type="containsBlanks" dxfId="1162" priority="167">
      <formula>LEN(TRIM(K59))=0</formula>
    </cfRule>
  </conditionalFormatting>
  <conditionalFormatting sqref="L76:P76">
    <cfRule type="notContainsBlanks" dxfId="1161" priority="206">
      <formula>LEN(TRIM(L76))&gt;0</formula>
    </cfRule>
    <cfRule type="containsBlanks" dxfId="1160" priority="205">
      <formula>LEN(TRIM(L76))=0</formula>
    </cfRule>
  </conditionalFormatting>
  <conditionalFormatting sqref="M50:P50">
    <cfRule type="containsBlanks" dxfId="1159" priority="232">
      <formula>LEN(TRIM(M50))=0</formula>
    </cfRule>
    <cfRule type="notContainsBlanks" dxfId="1158" priority="233">
      <formula>LEN(TRIM(M50))&gt;0</formula>
    </cfRule>
  </conditionalFormatting>
  <conditionalFormatting sqref="M63:P63">
    <cfRule type="notContainsBlanks" dxfId="1157" priority="82">
      <formula>LEN(TRIM(M63))&gt;0</formula>
    </cfRule>
    <cfRule type="containsBlanks" dxfId="1156" priority="81">
      <formula>LEN(TRIM(M63))=0</formula>
    </cfRule>
  </conditionalFormatting>
  <conditionalFormatting sqref="N46:P46">
    <cfRule type="notContainsBlanks" dxfId="1155" priority="227">
      <formula>LEN(TRIM(N46))&gt;0</formula>
    </cfRule>
    <cfRule type="containsBlanks" dxfId="1154" priority="184">
      <formula>LEN(TRIM(N46))=0</formula>
    </cfRule>
    <cfRule type="containsBlanks" dxfId="1153" priority="226">
      <formula>LEN(TRIM(N46))=0</formula>
    </cfRule>
    <cfRule type="notContainsBlanks" dxfId="1152" priority="185">
      <formula>LEN(TRIM(N46))&gt;0</formula>
    </cfRule>
  </conditionalFormatting>
  <conditionalFormatting sqref="O46:P46">
    <cfRule type="notContainsBlanks" dxfId="1151" priority="231">
      <formula>LEN(TRIM(O46))&gt;0</formula>
    </cfRule>
    <cfRule type="containsBlanks" dxfId="1150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9" priority="154">
      <formula>LEN(TRIM(P7))&gt;0</formula>
    </cfRule>
    <cfRule type="containsBlanks" dxfId="1148" priority="153">
      <formula>LEN(TRIM(P7))=0</formula>
    </cfRule>
    <cfRule type="notContainsBlanks" dxfId="1147" priority="152">
      <formula>LEN(TRIM(P7))&gt;0</formula>
    </cfRule>
    <cfRule type="containsBlanks" dxfId="1146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45" priority="54">
      <formula>LEN(TRIM(R11))&gt;0</formula>
    </cfRule>
  </conditionalFormatting>
  <conditionalFormatting sqref="R15">
    <cfRule type="containsBlanks" dxfId="1144" priority="55">
      <formula>LEN(TRIM(R15))=0</formula>
    </cfRule>
    <cfRule type="notContainsBlanks" dxfId="1143" priority="56">
      <formula>LEN(TRIM(R15))&gt;0</formula>
    </cfRule>
  </conditionalFormatting>
  <conditionalFormatting sqref="R59">
    <cfRule type="notContainsBlanks" dxfId="1142" priority="72">
      <formula>LEN(TRIM(R59))&gt;0</formula>
    </cfRule>
    <cfRule type="containsBlanks" dxfId="1141" priority="71">
      <formula>LEN(TRIM(R59))=0</formula>
    </cfRule>
    <cfRule type="notContainsBlanks" dxfId="1140" priority="70">
      <formula>LEN(TRIM(R59))&gt;0</formula>
    </cfRule>
    <cfRule type="containsBlanks" dxfId="1139" priority="69">
      <formula>LEN(TRIM(R59))=0</formula>
    </cfRule>
  </conditionalFormatting>
  <conditionalFormatting sqref="R72">
    <cfRule type="containsBlanks" dxfId="1138" priority="218">
      <formula>LEN(TRIM(R72))=0</formula>
    </cfRule>
    <cfRule type="notContainsBlanks" dxfId="1137" priority="219">
      <formula>LEN(TRIM(R72))&gt;0</formula>
    </cfRule>
  </conditionalFormatting>
  <conditionalFormatting sqref="R63:S63">
    <cfRule type="notContainsBlanks" dxfId="1136" priority="173">
      <formula>LEN(TRIM(R63))&gt;0</formula>
    </cfRule>
    <cfRule type="containsBlanks" dxfId="1135" priority="172">
      <formula>LEN(TRIM(R63))=0</formula>
    </cfRule>
  </conditionalFormatting>
  <conditionalFormatting sqref="R76:S76">
    <cfRule type="notContainsBlanks" dxfId="1134" priority="189">
      <formula>LEN(TRIM(R76))&gt;0</formula>
    </cfRule>
    <cfRule type="containsBlanks" dxfId="1133" priority="188">
      <formula>LEN(TRIM(R76))=0</formula>
    </cfRule>
  </conditionalFormatting>
  <conditionalFormatting sqref="R7:T7">
    <cfRule type="notContainsBlanks" dxfId="1132" priority="26">
      <formula>LEN(TRIM(R7))&gt;0</formula>
    </cfRule>
    <cfRule type="containsBlanks" dxfId="1131" priority="23">
      <formula>LEN(TRIM(R7))=0</formula>
    </cfRule>
    <cfRule type="containsBlanks" dxfId="1130" priority="25">
      <formula>LEN(TRIM(R7))=0</formula>
    </cfRule>
    <cfRule type="notContainsBlanks" dxfId="1129" priority="24">
      <formula>LEN(TRIM(R7))&gt;0</formula>
    </cfRule>
  </conditionalFormatting>
  <conditionalFormatting sqref="R11:T11">
    <cfRule type="notContainsBlanks" dxfId="1128" priority="48">
      <formula>LEN(TRIM(R11))&gt;0</formula>
    </cfRule>
    <cfRule type="containsBlanks" dxfId="1127" priority="47">
      <formula>LEN(TRIM(R11))=0</formula>
    </cfRule>
  </conditionalFormatting>
  <conditionalFormatting sqref="R63:T63">
    <cfRule type="containsBlanks" dxfId="1126" priority="180">
      <formula>LEN(TRIM(R63))=0</formula>
    </cfRule>
    <cfRule type="notContainsBlanks" dxfId="1125" priority="181">
      <formula>LEN(TRIM(R63))&gt;0</formula>
    </cfRule>
    <cfRule type="notContainsBlanks" dxfId="1124" priority="175">
      <formula>LEN(TRIM(R63))&gt;0</formula>
    </cfRule>
    <cfRule type="containsBlanks" dxfId="1123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2" priority="27">
      <formula>LEN(TRIM(R7))=0</formula>
    </cfRule>
    <cfRule type="notContainsBlanks" dxfId="1121" priority="28">
      <formula>LEN(TRIM(R7))&gt;0</formula>
    </cfRule>
  </conditionalFormatting>
  <conditionalFormatting sqref="R25:X25">
    <cfRule type="notContainsBlanks" dxfId="1120" priority="40">
      <formula>LEN(TRIM(R25))&gt;0</formula>
    </cfRule>
    <cfRule type="containsBlanks" dxfId="1119" priority="39">
      <formula>LEN(TRIM(R25))=0</formula>
    </cfRule>
  </conditionalFormatting>
  <conditionalFormatting sqref="R29:X29">
    <cfRule type="containsBlanks" dxfId="1118" priority="9">
      <formula>LEN(TRIM(R29))=0</formula>
    </cfRule>
    <cfRule type="notContainsBlanks" dxfId="1117" priority="10">
      <formula>LEN(TRIM(R29))&gt;0</formula>
    </cfRule>
  </conditionalFormatting>
  <conditionalFormatting sqref="R59:X59">
    <cfRule type="containsBlanks" dxfId="1116" priority="73">
      <formula>LEN(TRIM(R59))=0</formula>
    </cfRule>
    <cfRule type="notContainsBlanks" dxfId="1115" priority="74">
      <formula>LEN(TRIM(R59))&gt;0</formula>
    </cfRule>
  </conditionalFormatting>
  <conditionalFormatting sqref="R72:X72">
    <cfRule type="notContainsBlanks" dxfId="1114" priority="20">
      <formula>LEN(TRIM(R72))&gt;0</formula>
    </cfRule>
    <cfRule type="containsBlanks" dxfId="1113" priority="19">
      <formula>LEN(TRIM(R72))=0</formula>
    </cfRule>
  </conditionalFormatting>
  <conditionalFormatting sqref="R76:X76">
    <cfRule type="containsBlanks" dxfId="1112" priority="190">
      <formula>LEN(TRIM(R76))=0</formula>
    </cfRule>
    <cfRule type="notContainsBlanks" dxfId="1111" priority="191">
      <formula>LEN(TRIM(R76))&gt;0</formula>
    </cfRule>
  </conditionalFormatting>
  <conditionalFormatting sqref="S15:W15">
    <cfRule type="containsBlanks" dxfId="1110" priority="211">
      <formula>LEN(TRIM(S15))=0</formula>
    </cfRule>
    <cfRule type="notContainsBlanks" dxfId="1109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8" priority="171">
      <formula>LEN(TRIM(S59))&gt;0</formula>
    </cfRule>
    <cfRule type="containsBlanks" dxfId="1107" priority="170">
      <formula>LEN(TRIM(S59))=0</formula>
    </cfRule>
  </conditionalFormatting>
  <conditionalFormatting sqref="U11:X11 R11">
    <cfRule type="containsBlanks" dxfId="1106" priority="53">
      <formula>LEN(TRIM(R11))=0</formula>
    </cfRule>
  </conditionalFormatting>
  <conditionalFormatting sqref="U63:X63">
    <cfRule type="notContainsBlanks" dxfId="1105" priority="88">
      <formula>LEN(TRIM(U63))&gt;0</formula>
    </cfRule>
    <cfRule type="containsBlanks" dxfId="1104" priority="87">
      <formula>LEN(TRIM(U63))=0</formula>
    </cfRule>
    <cfRule type="notContainsBlanks" dxfId="1103" priority="86">
      <formula>LEN(TRIM(U63))&gt;0</formula>
    </cfRule>
    <cfRule type="notContainsBlanks" dxfId="1102" priority="90">
      <formula>LEN(TRIM(U63))&gt;0</formula>
    </cfRule>
    <cfRule type="containsBlanks" dxfId="1101" priority="85">
      <formula>LEN(TRIM(U63))=0</formula>
    </cfRule>
    <cfRule type="containsBlanks" dxfId="1100" priority="89">
      <formula>LEN(TRIM(U63))=0</formula>
    </cfRule>
  </conditionalFormatting>
  <conditionalFormatting sqref="V11:W11">
    <cfRule type="notContainsBlanks" dxfId="1099" priority="50">
      <formula>LEN(TRIM(V11))&gt;0</formula>
    </cfRule>
    <cfRule type="containsBlanks" dxfId="1098" priority="49">
      <formula>LEN(TRIM(V11))=0</formula>
    </cfRule>
  </conditionalFormatting>
  <conditionalFormatting sqref="W15:X15">
    <cfRule type="containsBlanks" dxfId="1097" priority="201">
      <formula>LEN(TRIM(W15))=0</formula>
    </cfRule>
    <cfRule type="notContainsBlanks" dxfId="1096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95" priority="214">
      <formula>LEN(TRIM(W33))&gt;0</formula>
    </cfRule>
    <cfRule type="containsBlanks" dxfId="1094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93" priority="288">
      <formula>LEN(TRIM(X21))=0</formula>
    </cfRule>
    <cfRule type="notContainsBlanks" dxfId="1092" priority="283">
      <formula>LEN(TRIM(X21))&gt;0</formula>
    </cfRule>
    <cfRule type="containsBlanks" dxfId="1091" priority="284">
      <formula>LEN(TRIM(X21))=0</formula>
    </cfRule>
    <cfRule type="notContainsBlanks" dxfId="1090" priority="285">
      <formula>LEN(TRIM(X21))&gt;0</formula>
    </cfRule>
    <cfRule type="containsBlanks" dxfId="1089" priority="286">
      <formula>LEN(TRIM(X21))=0</formula>
    </cfRule>
    <cfRule type="notContainsBlanks" dxfId="1088" priority="287">
      <formula>LEN(TRIM(X21))&gt;0</formula>
    </cfRule>
    <cfRule type="notContainsBlanks" dxfId="1087" priority="289">
      <formula>LEN(TRIM(X21))&gt;0</formula>
    </cfRule>
    <cfRule type="containsBlanks" dxfId="1086" priority="290">
      <formula>LEN(TRIM(X21))=0</formula>
    </cfRule>
    <cfRule type="notContainsBlanks" dxfId="1085" priority="291">
      <formula>LEN(TRIM(X21))&gt;0</formula>
    </cfRule>
    <cfRule type="containsBlanks" dxfId="1084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83" priority="66">
      <formula>LEN(TRIM(Z59))&gt;0</formula>
    </cfRule>
    <cfRule type="containsBlanks" dxfId="1082" priority="65">
      <formula>LEN(TRIM(Z59))=0</formula>
    </cfRule>
  </conditionalFormatting>
  <conditionalFormatting sqref="Z72">
    <cfRule type="containsBlanks" dxfId="1081" priority="135">
      <formula>LEN(TRIM(Z72))=0</formula>
    </cfRule>
    <cfRule type="notContainsBlanks" dxfId="1080" priority="136">
      <formula>LEN(TRIM(Z72))&gt;0</formula>
    </cfRule>
  </conditionalFormatting>
  <conditionalFormatting sqref="Z76">
    <cfRule type="containsBlanks" dxfId="1079" priority="216">
      <formula>LEN(TRIM(Z76))=0</formula>
    </cfRule>
    <cfRule type="notContainsBlanks" dxfId="1078" priority="217">
      <formula>LEN(TRIM(Z76))&gt;0</formula>
    </cfRule>
  </conditionalFormatting>
  <conditionalFormatting sqref="Z63:AA63">
    <cfRule type="containsBlanks" dxfId="1077" priority="176">
      <formula>LEN(TRIM(Z63))=0</formula>
    </cfRule>
    <cfRule type="notContainsBlanks" dxfId="1076" priority="177">
      <formula>LEN(TRIM(Z63))&gt;0</formula>
    </cfRule>
  </conditionalFormatting>
  <conditionalFormatting sqref="Z59:AB59">
    <cfRule type="containsBlanks" dxfId="1075" priority="67">
      <formula>LEN(TRIM(Z59))=0</formula>
    </cfRule>
    <cfRule type="notContainsBlanks" dxfId="1074" priority="68">
      <formula>LEN(TRIM(Z59))&gt;0</formula>
    </cfRule>
  </conditionalFormatting>
  <conditionalFormatting sqref="Z63:AB63">
    <cfRule type="containsBlanks" dxfId="1073" priority="186">
      <formula>LEN(TRIM(Z63))=0</formula>
    </cfRule>
    <cfRule type="notContainsBlanks" dxfId="1072" priority="187">
      <formula>LEN(TRIM(Z63))&gt;0</formula>
    </cfRule>
    <cfRule type="containsBlanks" dxfId="1071" priority="178">
      <formula>LEN(TRIM(Z63))=0</formula>
    </cfRule>
    <cfRule type="notContainsBlanks" dxfId="1070" priority="179">
      <formula>LEN(TRIM(Z63))&gt;0</formula>
    </cfRule>
  </conditionalFormatting>
  <conditionalFormatting sqref="Z25:AI25">
    <cfRule type="notContainsBlanks" dxfId="1069" priority="122">
      <formula>LEN(TRIM(Z25))&gt;0</formula>
    </cfRule>
    <cfRule type="containsBlanks" dxfId="1068" priority="121">
      <formula>LEN(TRIM(Z25))=0</formula>
    </cfRule>
  </conditionalFormatting>
  <conditionalFormatting sqref="Z29:AI29">
    <cfRule type="notContainsBlanks" dxfId="1067" priority="8">
      <formula>LEN(TRIM(Z29))&gt;0</formula>
    </cfRule>
    <cfRule type="containsBlanks" dxfId="1066" priority="7">
      <formula>LEN(TRIM(Z29))=0</formula>
    </cfRule>
  </conditionalFormatting>
  <conditionalFormatting sqref="AA59:AB59">
    <cfRule type="notContainsBlanks" dxfId="1065" priority="148">
      <formula>LEN(TRIM(AA59))&gt;0</formula>
    </cfRule>
    <cfRule type="containsBlanks" dxfId="1064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63" priority="274">
      <formula>LEN(TRIM(AF21))=0</formula>
    </cfRule>
    <cfRule type="notContainsBlanks" dxfId="1062" priority="275">
      <formula>LEN(TRIM(AF21))&gt;0</formula>
    </cfRule>
    <cfRule type="containsBlanks" dxfId="1061" priority="276">
      <formula>LEN(TRIM(AF21))=0</formula>
    </cfRule>
    <cfRule type="notContainsBlanks" dxfId="1060" priority="277">
      <formula>LEN(TRIM(AF21))&gt;0</formula>
    </cfRule>
    <cfRule type="containsBlanks" dxfId="1059" priority="278">
      <formula>LEN(TRIM(AF21))=0</formula>
    </cfRule>
    <cfRule type="notContainsBlanks" dxfId="1058" priority="279">
      <formula>LEN(TRIM(AF21))&gt;0</formula>
    </cfRule>
    <cfRule type="containsBlanks" dxfId="1057" priority="280">
      <formula>LEN(TRIM(AF21))=0</formula>
    </cfRule>
    <cfRule type="notContainsBlanks" dxfId="1056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55" priority="118">
      <formula>LEN(TRIM(AF21))&gt;0</formula>
    </cfRule>
    <cfRule type="containsBlanks" dxfId="1054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53" priority="292">
      <formula>LEN(TRIM(AG33))=0</formula>
    </cfRule>
    <cfRule type="notContainsBlanks" dxfId="1052" priority="293">
      <formula>LEN(TRIM(AG33))&gt;0</formula>
    </cfRule>
    <cfRule type="containsBlanks" dxfId="1051" priority="294">
      <formula>LEN(TRIM(AG33))=0</formula>
    </cfRule>
    <cfRule type="notContainsBlanks" dxfId="1050" priority="295">
      <formula>LEN(TRIM(AG33))&gt;0</formula>
    </cfRule>
    <cfRule type="containsBlanks" dxfId="1049" priority="296">
      <formula>LEN(TRIM(AG33))=0</formula>
    </cfRule>
    <cfRule type="notContainsBlanks" dxfId="1048" priority="297">
      <formula>LEN(TRIM(AG33))&gt;0</formula>
    </cfRule>
    <cfRule type="containsBlanks" dxfId="1047" priority="298">
      <formula>LEN(TRIM(AG33))=0</formula>
    </cfRule>
    <cfRule type="notContainsBlanks" dxfId="1046" priority="299">
      <formula>LEN(TRIM(AG33))&gt;0</formula>
    </cfRule>
    <cfRule type="containsBlanks" dxfId="1045" priority="300">
      <formula>LEN(TRIM(AG33))=0</formula>
    </cfRule>
    <cfRule type="notContainsBlanks" dxfId="1044" priority="301">
      <formula>LEN(TRIM(AG33))&gt;0</formula>
    </cfRule>
    <cfRule type="containsBlanks" dxfId="1043" priority="302">
      <formula>LEN(TRIM(AG33))=0</formula>
    </cfRule>
    <cfRule type="notContainsBlanks" dxfId="1042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1" priority="911">
      <formula>LEN(TRIM(E14))=0</formula>
    </cfRule>
  </conditionalFormatting>
  <conditionalFormatting sqref="J114:J119 BT207:BV213 AW168:BA174 BZ168:CP174">
    <cfRule type="containsText" dxfId="1040" priority="906" operator="containsText" text="T">
      <formula>NOT(ISERROR(SEARCH("T",J114)))</formula>
    </cfRule>
  </conditionalFormatting>
  <conditionalFormatting sqref="J120:M126">
    <cfRule type="containsText" dxfId="1039" priority="447" operator="containsText" text="T">
      <formula>NOT(ISERROR(SEARCH("T",J120)))</formula>
    </cfRule>
  </conditionalFormatting>
  <conditionalFormatting sqref="J113:T113">
    <cfRule type="containsText" dxfId="1038" priority="898" operator="containsText" text="17">
      <formula>NOT(ISERROR(SEARCH("17",J113)))</formula>
    </cfRule>
    <cfRule type="containsText" dxfId="1037" priority="899" operator="containsText" text="T">
      <formula>NOT(ISERROR(SEARCH("T",J113)))</formula>
    </cfRule>
  </conditionalFormatting>
  <conditionalFormatting sqref="J67:X68 BT207:BV213">
    <cfRule type="containsText" dxfId="1036" priority="843" operator="containsText" text="17">
      <formula>NOT(ISERROR(SEARCH("17",J67)))</formula>
    </cfRule>
  </conditionalFormatting>
  <conditionalFormatting sqref="J97:X98">
    <cfRule type="containsText" dxfId="1035" priority="833" operator="containsText" text="17">
      <formula>NOT(ISERROR(SEARCH("17",J97)))</formula>
    </cfRule>
  </conditionalFormatting>
  <conditionalFormatting sqref="J67:Z68">
    <cfRule type="containsText" dxfId="1034" priority="837" operator="containsText" text="T">
      <formula>NOT(ISERROR(SEARCH("T",J67)))</formula>
    </cfRule>
  </conditionalFormatting>
  <conditionalFormatting sqref="J97:Z98">
    <cfRule type="containsText" dxfId="1033" priority="827" operator="containsText" text="T">
      <formula>NOT(ISERROR(SEARCH("T",J97)))</formula>
    </cfRule>
  </conditionalFormatting>
  <conditionalFormatting sqref="J127:Z130">
    <cfRule type="containsText" dxfId="1032" priority="807" operator="containsText" text="T">
      <formula>NOT(ISERROR(SEARCH("T",J127)))</formula>
    </cfRule>
  </conditionalFormatting>
  <conditionalFormatting sqref="J114:AD119 J113:R113">
    <cfRule type="containsText" dxfId="1031" priority="905" operator="containsText" text="17">
      <formula>NOT(ISERROR(SEARCH("17",J113)))</formula>
    </cfRule>
  </conditionalFormatting>
  <conditionalFormatting sqref="J48:AO49">
    <cfRule type="containsText" dxfId="1030" priority="580" operator="containsText" text="17">
      <formula>NOT(ISERROR(SEARCH("17",J48)))</formula>
    </cfRule>
  </conditionalFormatting>
  <conditionalFormatting sqref="J63:AP66">
    <cfRule type="containsText" dxfId="1029" priority="560" operator="containsText" text="17">
      <formula>NOT(ISERROR(SEARCH("17",J63)))</formula>
    </cfRule>
  </conditionalFormatting>
  <conditionalFormatting sqref="J48:AQ49">
    <cfRule type="containsText" dxfId="1028" priority="574" operator="containsText" text="T">
      <formula>NOT(ISERROR(SEARCH("T",J48)))</formula>
    </cfRule>
  </conditionalFormatting>
  <conditionalFormatting sqref="J59:AQ62">
    <cfRule type="containsText" dxfId="1027" priority="546" operator="containsText" text="17">
      <formula>NOT(ISERROR(SEARCH("17",J59)))</formula>
    </cfRule>
  </conditionalFormatting>
  <conditionalFormatting sqref="J86:AQ89">
    <cfRule type="containsText" dxfId="1026" priority="536" operator="containsText" text="17">
      <formula>NOT(ISERROR(SEARCH("17",J86)))</formula>
    </cfRule>
  </conditionalFormatting>
  <conditionalFormatting sqref="J50:AR53">
    <cfRule type="containsText" dxfId="1025" priority="564" operator="containsText" text="T">
      <formula>NOT(ISERROR(SEARCH("T",J50)))</formula>
    </cfRule>
  </conditionalFormatting>
  <conditionalFormatting sqref="J63:AR66">
    <cfRule type="containsText" dxfId="1024" priority="554" operator="containsText" text="T">
      <formula>NOT(ISERROR(SEARCH("T",J63)))</formula>
    </cfRule>
  </conditionalFormatting>
  <conditionalFormatting sqref="J83:AR85">
    <cfRule type="containsText" dxfId="1023" priority="526" operator="containsText" text="17">
      <formula>NOT(ISERROR(SEARCH("17",J83)))</formula>
    </cfRule>
  </conditionalFormatting>
  <conditionalFormatting sqref="J214:AR217">
    <cfRule type="containsText" dxfId="1022" priority="516" operator="containsText" text="17">
      <formula>NOT(ISERROR(SEARCH("17",J214)))</formula>
    </cfRule>
  </conditionalFormatting>
  <conditionalFormatting sqref="J59:AS62">
    <cfRule type="containsText" dxfId="1021" priority="540" operator="containsText" text="T">
      <formula>NOT(ISERROR(SEARCH("T",J59)))</formula>
    </cfRule>
  </conditionalFormatting>
  <conditionalFormatting sqref="J86:AS89">
    <cfRule type="containsText" dxfId="1020" priority="530" operator="containsText" text="T">
      <formula>NOT(ISERROR(SEARCH("T",J86)))</formula>
    </cfRule>
  </conditionalFormatting>
  <conditionalFormatting sqref="J218:AS224">
    <cfRule type="containsText" dxfId="1019" priority="506" operator="containsText" text="17">
      <formula>NOT(ISERROR(SEARCH("17",J218)))</formula>
    </cfRule>
  </conditionalFormatting>
  <conditionalFormatting sqref="J83:AT85">
    <cfRule type="containsText" dxfId="1018" priority="520" operator="containsText" text="T">
      <formula>NOT(ISERROR(SEARCH("T",J83)))</formula>
    </cfRule>
  </conditionalFormatting>
  <conditionalFormatting sqref="J214:AT217">
    <cfRule type="containsText" dxfId="1017" priority="510" operator="containsText" text="T">
      <formula>NOT(ISERROR(SEARCH("T",J214)))</formula>
    </cfRule>
  </conditionalFormatting>
  <conditionalFormatting sqref="J225:AT231">
    <cfRule type="containsText" dxfId="1016" priority="496" operator="containsText" text="17">
      <formula>NOT(ISERROR(SEARCH("17",J225)))</formula>
    </cfRule>
  </conditionalFormatting>
  <conditionalFormatting sqref="J218:AU224">
    <cfRule type="containsText" dxfId="1015" priority="500" operator="containsText" text="T">
      <formula>NOT(ISERROR(SEARCH("T",J218)))</formula>
    </cfRule>
  </conditionalFormatting>
  <conditionalFormatting sqref="J232:AU234">
    <cfRule type="containsText" dxfId="1014" priority="486" operator="containsText" text="17">
      <formula>NOT(ISERROR(SEARCH("17",J232)))</formula>
    </cfRule>
  </conditionalFormatting>
  <conditionalFormatting sqref="J225:AV231">
    <cfRule type="containsText" dxfId="1013" priority="490" operator="containsText" text="T">
      <formula>NOT(ISERROR(SEARCH("T",J225)))</formula>
    </cfRule>
  </conditionalFormatting>
  <conditionalFormatting sqref="J232:AW234">
    <cfRule type="containsText" dxfId="1012" priority="480" operator="containsText" text="T">
      <formula>NOT(ISERROR(SEARCH("T",J232)))</formula>
    </cfRule>
  </conditionalFormatting>
  <conditionalFormatting sqref="J33:CP33">
    <cfRule type="containsText" dxfId="1011" priority="1058" operator="containsText" text="T">
      <formula>NOT(ISERROR(SEARCH("T",J33)))</formula>
    </cfRule>
  </conditionalFormatting>
  <conditionalFormatting sqref="K77:K82">
    <cfRule type="containsText" dxfId="1010" priority="893" operator="containsText" text="T">
      <formula>NOT(ISERROR(SEARCH("T",K77)))</formula>
    </cfRule>
  </conditionalFormatting>
  <conditionalFormatting sqref="K76:U76">
    <cfRule type="containsText" dxfId="1009" priority="886" operator="containsText" text="T">
      <formula>NOT(ISERROR(SEARCH("T",K76)))</formula>
    </cfRule>
    <cfRule type="containsText" dxfId="1008" priority="885" operator="containsText" text="17">
      <formula>NOT(ISERROR(SEARCH("17",K76)))</formula>
    </cfRule>
  </conditionalFormatting>
  <conditionalFormatting sqref="K77:AE82 K76:S76">
    <cfRule type="containsText" dxfId="1007" priority="892" operator="containsText" text="17">
      <formula>NOT(ISERROR(SEARCH("17",K76)))</formula>
    </cfRule>
  </conditionalFormatting>
  <conditionalFormatting sqref="L107:L112">
    <cfRule type="containsText" dxfId="1006" priority="880" operator="containsText" text="T">
      <formula>NOT(ISERROR(SEARCH("T",L107)))</formula>
    </cfRule>
  </conditionalFormatting>
  <conditionalFormatting sqref="L106:V106">
    <cfRule type="containsText" dxfId="1005" priority="872" operator="containsText" text="17">
      <formula>NOT(ISERROR(SEARCH("17",L106)))</formula>
    </cfRule>
    <cfRule type="containsText" dxfId="1004" priority="873" operator="containsText" text="T">
      <formula>NOT(ISERROR(SEARCH("T",L106)))</formula>
    </cfRule>
  </conditionalFormatting>
  <conditionalFormatting sqref="L107:AF112 L106:T106">
    <cfRule type="containsText" dxfId="1003" priority="879" operator="containsText" text="17">
      <formula>NOT(ISERROR(SEARCH("17",L106)))</formula>
    </cfRule>
  </conditionalFormatting>
  <conditionalFormatting sqref="M120:AG126 AJ120:AJ126">
    <cfRule type="containsText" dxfId="1002" priority="444" operator="containsText" text="T">
      <formula>NOT(ISERROR(SEARCH("T",M120)))</formula>
    </cfRule>
  </conditionalFormatting>
  <conditionalFormatting sqref="M120:AG126">
    <cfRule type="containsText" dxfId="1001" priority="446" operator="containsText" text="17">
      <formula>NOT(ISERROR(SEARCH("17",M120)))</formula>
    </cfRule>
  </conditionalFormatting>
  <conditionalFormatting sqref="N70:N75">
    <cfRule type="containsText" dxfId="1000" priority="867" operator="containsText" text="T">
      <formula>NOT(ISERROR(SEARCH("T",N70)))</formula>
    </cfRule>
  </conditionalFormatting>
  <conditionalFormatting sqref="N69:X69">
    <cfRule type="containsText" dxfId="999" priority="860" operator="containsText" text="T">
      <formula>NOT(ISERROR(SEARCH("T",N69)))</formula>
    </cfRule>
    <cfRule type="containsText" dxfId="998" priority="859" operator="containsText" text="17">
      <formula>NOT(ISERROR(SEARCH("17",N69)))</formula>
    </cfRule>
  </conditionalFormatting>
  <conditionalFormatting sqref="N70:AH75 N69:V69">
    <cfRule type="containsText" dxfId="997" priority="866" operator="containsText" text="17">
      <formula>NOT(ISERROR(SEARCH("17",N69)))</formula>
    </cfRule>
  </conditionalFormatting>
  <conditionalFormatting sqref="O100:O105">
    <cfRule type="containsText" dxfId="996" priority="854" operator="containsText" text="T">
      <formula>NOT(ISERROR(SEARCH("T",O100)))</formula>
    </cfRule>
  </conditionalFormatting>
  <conditionalFormatting sqref="O99:Y99">
    <cfRule type="containsText" dxfId="995" priority="846" operator="containsText" text="17">
      <formula>NOT(ISERROR(SEARCH("17",O99)))</formula>
    </cfRule>
    <cfRule type="containsText" dxfId="994" priority="847" operator="containsText" text="T">
      <formula>NOT(ISERROR(SEARCH("T",O99)))</formula>
    </cfRule>
  </conditionalFormatting>
  <conditionalFormatting sqref="O100:AI105 O99:W99">
    <cfRule type="containsText" dxfId="993" priority="853" operator="containsText" text="17">
      <formula>NOT(ISERROR(SEARCH("17",O99)))</formula>
    </cfRule>
  </conditionalFormatting>
  <conditionalFormatting sqref="P67:Z68">
    <cfRule type="containsText" dxfId="992" priority="836" operator="containsText" text="17">
      <formula>NOT(ISERROR(SEARCH("17",P67)))</formula>
    </cfRule>
  </conditionalFormatting>
  <conditionalFormatting sqref="P97:Z98">
    <cfRule type="containsText" dxfId="991" priority="826" operator="containsText" text="17">
      <formula>NOT(ISERROR(SEARCH("17",P97)))</formula>
    </cfRule>
  </conditionalFormatting>
  <conditionalFormatting sqref="P127:Z130">
    <cfRule type="containsText" dxfId="990" priority="806" operator="containsText" text="17">
      <formula>NOT(ISERROR(SEARCH("17",P127)))</formula>
    </cfRule>
  </conditionalFormatting>
  <conditionalFormatting sqref="Q132:Q137">
    <cfRule type="containsText" dxfId="989" priority="801" operator="containsText" text="T">
      <formula>NOT(ISERROR(SEARCH("T",Q132)))</formula>
    </cfRule>
  </conditionalFormatting>
  <conditionalFormatting sqref="Q131:AA131">
    <cfRule type="containsText" dxfId="988" priority="794" operator="containsText" text="T">
      <formula>NOT(ISERROR(SEARCH("T",Q131)))</formula>
    </cfRule>
    <cfRule type="containsText" dxfId="987" priority="793" operator="containsText" text="17">
      <formula>NOT(ISERROR(SEARCH("17",Q131)))</formula>
    </cfRule>
  </conditionalFormatting>
  <conditionalFormatting sqref="Q132:AK137 Q131:Y131">
    <cfRule type="containsText" dxfId="986" priority="800" operator="containsText" text="17">
      <formula>NOT(ISERROR(SEARCH("17",Q131)))</formula>
    </cfRule>
  </conditionalFormatting>
  <conditionalFormatting sqref="R139:R144">
    <cfRule type="containsText" dxfId="985" priority="788" operator="containsText" text="T">
      <formula>NOT(ISERROR(SEARCH("T",R139)))</formula>
    </cfRule>
  </conditionalFormatting>
  <conditionalFormatting sqref="R138:AB138">
    <cfRule type="containsText" dxfId="984" priority="780" operator="containsText" text="17">
      <formula>NOT(ISERROR(SEARCH("17",R138)))</formula>
    </cfRule>
    <cfRule type="containsText" dxfId="983" priority="781" operator="containsText" text="T">
      <formula>NOT(ISERROR(SEARCH("T",R138)))</formula>
    </cfRule>
  </conditionalFormatting>
  <conditionalFormatting sqref="R139:AL144 R138:Z138">
    <cfRule type="containsText" dxfId="982" priority="787" operator="containsText" text="17">
      <formula>NOT(ISERROR(SEARCH("17",R138)))</formula>
    </cfRule>
  </conditionalFormatting>
  <conditionalFormatting sqref="S146:S151">
    <cfRule type="containsText" dxfId="981" priority="775" operator="containsText" text="T">
      <formula>NOT(ISERROR(SEARCH("T",S146)))</formula>
    </cfRule>
  </conditionalFormatting>
  <conditionalFormatting sqref="S145:AC145">
    <cfRule type="containsText" dxfId="980" priority="768" operator="containsText" text="T">
      <formula>NOT(ISERROR(SEARCH("T",S145)))</formula>
    </cfRule>
    <cfRule type="containsText" dxfId="979" priority="767" operator="containsText" text="17">
      <formula>NOT(ISERROR(SEARCH("17",S145)))</formula>
    </cfRule>
  </conditionalFormatting>
  <conditionalFormatting sqref="S146:AM151 S145:AA145">
    <cfRule type="containsText" dxfId="978" priority="774" operator="containsText" text="17">
      <formula>NOT(ISERROR(SEARCH("17",S145)))</formula>
    </cfRule>
  </conditionalFormatting>
  <conditionalFormatting sqref="T153:T158">
    <cfRule type="containsText" dxfId="977" priority="762" operator="containsText" text="T">
      <formula>NOT(ISERROR(SEARCH("T",T153)))</formula>
    </cfRule>
  </conditionalFormatting>
  <conditionalFormatting sqref="T152:AD152">
    <cfRule type="containsText" dxfId="976" priority="754" operator="containsText" text="17">
      <formula>NOT(ISERROR(SEARCH("17",T152)))</formula>
    </cfRule>
    <cfRule type="containsText" dxfId="975" priority="755" operator="containsText" text="T">
      <formula>NOT(ISERROR(SEARCH("T",T152)))</formula>
    </cfRule>
  </conditionalFormatting>
  <conditionalFormatting sqref="T153:AN158 T152:AB152">
    <cfRule type="containsText" dxfId="974" priority="761" operator="containsText" text="17">
      <formula>NOT(ISERROR(SEARCH("17",T152)))</formula>
    </cfRule>
  </conditionalFormatting>
  <conditionalFormatting sqref="U160:U165">
    <cfRule type="containsText" dxfId="973" priority="749" operator="containsText" text="T">
      <formula>NOT(ISERROR(SEARCH("T",U160)))</formula>
    </cfRule>
  </conditionalFormatting>
  <conditionalFormatting sqref="U113:AA113">
    <cfRule type="containsText" dxfId="972" priority="907" operator="containsText" text="17">
      <formula>NOT(ISERROR(SEARCH("17",U113)))</formula>
    </cfRule>
    <cfRule type="containsText" dxfId="971" priority="908" operator="containsText" text="T">
      <formula>NOT(ISERROR(SEARCH("T",U113)))</formula>
    </cfRule>
  </conditionalFormatting>
  <conditionalFormatting sqref="U159:AE159">
    <cfRule type="containsText" dxfId="970" priority="742" operator="containsText" text="T">
      <formula>NOT(ISERROR(SEARCH("T",U159)))</formula>
    </cfRule>
    <cfRule type="containsText" dxfId="969" priority="741" operator="containsText" text="17">
      <formula>NOT(ISERROR(SEARCH("17",U159)))</formula>
    </cfRule>
  </conditionalFormatting>
  <conditionalFormatting sqref="U160:AO165 U159:AC159">
    <cfRule type="containsText" dxfId="968" priority="748" operator="containsText" text="17">
      <formula>NOT(ISERROR(SEARCH("17",U159)))</formula>
    </cfRule>
  </conditionalFormatting>
  <conditionalFormatting sqref="V113">
    <cfRule type="containsText" dxfId="967" priority="903" operator="containsText" text="17">
      <formula>NOT(ISERROR(SEARCH("17",V113)))</formula>
    </cfRule>
    <cfRule type="containsText" dxfId="966" priority="904" operator="containsText" text="T">
      <formula>NOT(ISERROR(SEARCH("T",V113)))</formula>
    </cfRule>
  </conditionalFormatting>
  <conditionalFormatting sqref="V208:V213">
    <cfRule type="containsText" dxfId="965" priority="736" operator="containsText" text="T">
      <formula>NOT(ISERROR(SEARCH("T",V208)))</formula>
    </cfRule>
  </conditionalFormatting>
  <conditionalFormatting sqref="V76:AB76">
    <cfRule type="containsText" dxfId="964" priority="894" operator="containsText" text="17">
      <formula>NOT(ISERROR(SEARCH("17",V76)))</formula>
    </cfRule>
    <cfRule type="containsText" dxfId="963" priority="895" operator="containsText" text="T">
      <formula>NOT(ISERROR(SEARCH("T",V76)))</formula>
    </cfRule>
  </conditionalFormatting>
  <conditionalFormatting sqref="V207:AF207">
    <cfRule type="containsText" dxfId="962" priority="728" operator="containsText" text="17">
      <formula>NOT(ISERROR(SEARCH("17",V207)))</formula>
    </cfRule>
    <cfRule type="containsText" dxfId="961" priority="729" operator="containsText" text="T">
      <formula>NOT(ISERROR(SEARCH("T",V207)))</formula>
    </cfRule>
  </conditionalFormatting>
  <conditionalFormatting sqref="V208:AP213 V207:AD207">
    <cfRule type="containsText" dxfId="960" priority="735" operator="containsText" text="17">
      <formula>NOT(ISERROR(SEARCH("17",V207)))</formula>
    </cfRule>
  </conditionalFormatting>
  <conditionalFormatting sqref="W76">
    <cfRule type="containsText" dxfId="959" priority="890" operator="containsText" text="17">
      <formula>NOT(ISERROR(SEARCH("17",W76)))</formula>
    </cfRule>
    <cfRule type="containsText" dxfId="958" priority="891" operator="containsText" text="T">
      <formula>NOT(ISERROR(SEARCH("T",W76)))</formula>
    </cfRule>
  </conditionalFormatting>
  <conditionalFormatting sqref="W201:W206">
    <cfRule type="containsText" dxfId="957" priority="723" operator="containsText" text="T">
      <formula>NOT(ISERROR(SEARCH("T",W201)))</formula>
    </cfRule>
  </conditionalFormatting>
  <conditionalFormatting sqref="W106:AC106">
    <cfRule type="containsText" dxfId="956" priority="882" operator="containsText" text="T">
      <formula>NOT(ISERROR(SEARCH("T",W106)))</formula>
    </cfRule>
    <cfRule type="containsText" dxfId="955" priority="881" operator="containsText" text="17">
      <formula>NOT(ISERROR(SEARCH("17",W106)))</formula>
    </cfRule>
  </conditionalFormatting>
  <conditionalFormatting sqref="W200:AG200">
    <cfRule type="containsText" dxfId="954" priority="716" operator="containsText" text="T">
      <formula>NOT(ISERROR(SEARCH("T",W200)))</formula>
    </cfRule>
    <cfRule type="containsText" dxfId="953" priority="715" operator="containsText" text="17">
      <formula>NOT(ISERROR(SEARCH("17",W200)))</formula>
    </cfRule>
  </conditionalFormatting>
  <conditionalFormatting sqref="W201:AQ206 W200:AE200">
    <cfRule type="containsText" dxfId="952" priority="722" operator="containsText" text="17">
      <formula>NOT(ISERROR(SEARCH("17",W200)))</formula>
    </cfRule>
  </conditionalFormatting>
  <conditionalFormatting sqref="X106">
    <cfRule type="containsText" dxfId="951" priority="878" operator="containsText" text="T">
      <formula>NOT(ISERROR(SEARCH("T",X106)))</formula>
    </cfRule>
    <cfRule type="containsText" dxfId="950" priority="877" operator="containsText" text="17">
      <formula>NOT(ISERROR(SEARCH("17",X106)))</formula>
    </cfRule>
  </conditionalFormatting>
  <conditionalFormatting sqref="X194:X199">
    <cfRule type="containsText" dxfId="949" priority="710" operator="containsText" text="T">
      <formula>NOT(ISERROR(SEARCH("T",X194)))</formula>
    </cfRule>
  </conditionalFormatting>
  <conditionalFormatting sqref="X192:AH193">
    <cfRule type="containsText" dxfId="948" priority="697" operator="containsText" text="17">
      <formula>NOT(ISERROR(SEARCH("17",X192)))</formula>
    </cfRule>
    <cfRule type="containsText" dxfId="947" priority="698" operator="containsText" text="T">
      <formula>NOT(ISERROR(SEARCH("T",X192)))</formula>
    </cfRule>
  </conditionalFormatting>
  <conditionalFormatting sqref="Y169:Y174">
    <cfRule type="containsText" dxfId="946" priority="692" operator="containsText" text="T">
      <formula>NOT(ISERROR(SEARCH("T",Y169)))</formula>
    </cfRule>
  </conditionalFormatting>
  <conditionalFormatting sqref="Y69:AE69">
    <cfRule type="containsText" dxfId="945" priority="869" operator="containsText" text="T">
      <formula>NOT(ISERROR(SEARCH("T",Y69)))</formula>
    </cfRule>
    <cfRule type="containsText" dxfId="944" priority="868" operator="containsText" text="17">
      <formula>NOT(ISERROR(SEARCH("17",Y69)))</formula>
    </cfRule>
  </conditionalFormatting>
  <conditionalFormatting sqref="Y168:AI168">
    <cfRule type="containsText" dxfId="943" priority="684" operator="containsText" text="17">
      <formula>NOT(ISERROR(SEARCH("17",Y168)))</formula>
    </cfRule>
    <cfRule type="containsText" dxfId="942" priority="685" operator="containsText" text="T">
      <formula>NOT(ISERROR(SEARCH("T",Y168)))</formula>
    </cfRule>
  </conditionalFormatting>
  <conditionalFormatting sqref="Y169:AS174 Y168:AG168">
    <cfRule type="containsText" dxfId="941" priority="691" operator="containsText" text="17">
      <formula>NOT(ISERROR(SEARCH("17",Y168)))</formula>
    </cfRule>
  </conditionalFormatting>
  <conditionalFormatting sqref="Z69">
    <cfRule type="containsText" dxfId="940" priority="864" operator="containsText" text="17">
      <formula>NOT(ISERROR(SEARCH("17",Z69)))</formula>
    </cfRule>
    <cfRule type="containsText" dxfId="939" priority="865" operator="containsText" text="T">
      <formula>NOT(ISERROR(SEARCH("T",Z69)))</formula>
    </cfRule>
  </conditionalFormatting>
  <conditionalFormatting sqref="Z176:Z181">
    <cfRule type="containsText" dxfId="938" priority="679" operator="containsText" text="T">
      <formula>NOT(ISERROR(SEARCH("T",Z176)))</formula>
    </cfRule>
  </conditionalFormatting>
  <conditionalFormatting sqref="Z99:AF99">
    <cfRule type="containsText" dxfId="937" priority="856" operator="containsText" text="T">
      <formula>NOT(ISERROR(SEARCH("T",Z99)))</formula>
    </cfRule>
    <cfRule type="containsText" dxfId="936" priority="855" operator="containsText" text="17">
      <formula>NOT(ISERROR(SEARCH("17",Z99)))</formula>
    </cfRule>
  </conditionalFormatting>
  <conditionalFormatting sqref="Z175:AJ175">
    <cfRule type="containsText" dxfId="935" priority="671" operator="containsText" text="17">
      <formula>NOT(ISERROR(SEARCH("17",Z175)))</formula>
    </cfRule>
    <cfRule type="containsText" dxfId="934" priority="672" operator="containsText" text="T">
      <formula>NOT(ISERROR(SEARCH("T",Z175)))</formula>
    </cfRule>
  </conditionalFormatting>
  <conditionalFormatting sqref="Z176:AT181 Z175:AH175">
    <cfRule type="containsText" dxfId="933" priority="678" operator="containsText" text="17">
      <formula>NOT(ISERROR(SEARCH("17",Z175)))</formula>
    </cfRule>
  </conditionalFormatting>
  <conditionalFormatting sqref="AA99">
    <cfRule type="containsText" dxfId="932" priority="851" operator="containsText" text="17">
      <formula>NOT(ISERROR(SEARCH("17",AA99)))</formula>
    </cfRule>
    <cfRule type="containsText" dxfId="931" priority="852" operator="containsText" text="T">
      <formula>NOT(ISERROR(SEARCH("T",AA99)))</formula>
    </cfRule>
  </conditionalFormatting>
  <conditionalFormatting sqref="AA113 AE113:AG113 J114:AD119 AG114:AG119">
    <cfRule type="containsText" dxfId="930" priority="900" operator="containsText" text="T">
      <formula>NOT(ISERROR(SEARCH("T",J113)))</formula>
    </cfRule>
  </conditionalFormatting>
  <conditionalFormatting sqref="AA183:AA190">
    <cfRule type="containsText" dxfId="929" priority="666" operator="containsText" text="T">
      <formula>NOT(ISERROR(SEARCH("T",AA183)))</formula>
    </cfRule>
  </conditionalFormatting>
  <conditionalFormatting sqref="AA113:AB113 AE113:AG113 AG114:AG119">
    <cfRule type="containsText" dxfId="928" priority="901" operator="containsText" text="17">
      <formula>NOT(ISERROR(SEARCH("17",AA113)))</formula>
    </cfRule>
  </conditionalFormatting>
  <conditionalFormatting sqref="AA67:AG68">
    <cfRule type="containsText" dxfId="927" priority="845" operator="containsText" text="T">
      <formula>NOT(ISERROR(SEARCH("T",AA67)))</formula>
    </cfRule>
    <cfRule type="containsText" dxfId="926" priority="844" operator="containsText" text="17">
      <formula>NOT(ISERROR(SEARCH("17",AA67)))</formula>
    </cfRule>
  </conditionalFormatting>
  <conditionalFormatting sqref="AA97:AG98">
    <cfRule type="containsText" dxfId="925" priority="835" operator="containsText" text="T">
      <formula>NOT(ISERROR(SEARCH("T",AA97)))</formula>
    </cfRule>
    <cfRule type="containsText" dxfId="924" priority="834" operator="containsText" text="17">
      <formula>NOT(ISERROR(SEARCH("17",AA97)))</formula>
    </cfRule>
  </conditionalFormatting>
  <conditionalFormatting sqref="AA127:AG130">
    <cfRule type="containsText" dxfId="923" priority="814" operator="containsText" text="17">
      <formula>NOT(ISERROR(SEARCH("17",AA127)))</formula>
    </cfRule>
    <cfRule type="containsText" dxfId="922" priority="815" operator="containsText" text="T">
      <formula>NOT(ISERROR(SEARCH("T",AA127)))</formula>
    </cfRule>
  </conditionalFormatting>
  <conditionalFormatting sqref="AA182:AK182">
    <cfRule type="containsText" dxfId="921" priority="659" operator="containsText" text="T">
      <formula>NOT(ISERROR(SEARCH("T",AA182)))</formula>
    </cfRule>
    <cfRule type="containsText" dxfId="920" priority="658" operator="containsText" text="17">
      <formula>NOT(ISERROR(SEARCH("17",AA182)))</formula>
    </cfRule>
  </conditionalFormatting>
  <conditionalFormatting sqref="AA183:AU190 AA182:AI182">
    <cfRule type="containsText" dxfId="919" priority="665" operator="containsText" text="17">
      <formula>NOT(ISERROR(SEARCH("17",AA182)))</formula>
    </cfRule>
  </conditionalFormatting>
  <conditionalFormatting sqref="AB67:AB68">
    <cfRule type="containsText" dxfId="918" priority="842" operator="containsText" text="T">
      <formula>NOT(ISERROR(SEARCH("T",AB67)))</formula>
    </cfRule>
    <cfRule type="containsText" dxfId="917" priority="841" operator="containsText" text="17">
      <formula>NOT(ISERROR(SEARCH("17",AB67)))</formula>
    </cfRule>
  </conditionalFormatting>
  <conditionalFormatting sqref="AB76 AF76:AH76 K77:AE82 AH77:AH82">
    <cfRule type="containsText" dxfId="916" priority="887" operator="containsText" text="T">
      <formula>NOT(ISERROR(SEARCH("T",K76)))</formula>
    </cfRule>
  </conditionalFormatting>
  <conditionalFormatting sqref="AB91:AB96">
    <cfRule type="containsText" dxfId="915" priority="653" operator="containsText" text="T">
      <formula>NOT(ISERROR(SEARCH("T",AB91)))</formula>
    </cfRule>
  </conditionalFormatting>
  <conditionalFormatting sqref="AB97:AB98">
    <cfRule type="containsText" dxfId="914" priority="831" operator="containsText" text="17">
      <formula>NOT(ISERROR(SEARCH("17",AB97)))</formula>
    </cfRule>
    <cfRule type="containsText" dxfId="913" priority="832" operator="containsText" text="T">
      <formula>NOT(ISERROR(SEARCH("T",AB97)))</formula>
    </cfRule>
  </conditionalFormatting>
  <conditionalFormatting sqref="AB113">
    <cfRule type="containsText" dxfId="912" priority="902" operator="containsText" text="T">
      <formula>NOT(ISERROR(SEARCH("T",AB113)))</formula>
    </cfRule>
  </conditionalFormatting>
  <conditionalFormatting sqref="AB127:AB130">
    <cfRule type="containsText" dxfId="911" priority="811" operator="containsText" text="17">
      <formula>NOT(ISERROR(SEARCH("17",AB127)))</formula>
    </cfRule>
    <cfRule type="containsText" dxfId="910" priority="812" operator="containsText" text="T">
      <formula>NOT(ISERROR(SEARCH("T",AB127)))</formula>
    </cfRule>
  </conditionalFormatting>
  <conditionalFormatting sqref="AB76:AC76 AF76:AH76 AH77:AH82">
    <cfRule type="containsText" dxfId="909" priority="888" operator="containsText" text="17">
      <formula>NOT(ISERROR(SEARCH("17",AB76)))</formula>
    </cfRule>
  </conditionalFormatting>
  <conditionalFormatting sqref="AB131:AH131">
    <cfRule type="containsText" dxfId="908" priority="802" operator="containsText" text="17">
      <formula>NOT(ISERROR(SEARCH("17",AB131)))</formula>
    </cfRule>
    <cfRule type="containsText" dxfId="907" priority="803" operator="containsText" text="T">
      <formula>NOT(ISERROR(SEARCH("T",AB131)))</formula>
    </cfRule>
  </conditionalFormatting>
  <conditionalFormatting sqref="AB90:AL90">
    <cfRule type="containsText" dxfId="906" priority="645" operator="containsText" text="17">
      <formula>NOT(ISERROR(SEARCH("17",AB90)))</formula>
    </cfRule>
    <cfRule type="containsText" dxfId="905" priority="646" operator="containsText" text="T">
      <formula>NOT(ISERROR(SEARCH("T",AB90)))</formula>
    </cfRule>
  </conditionalFormatting>
  <conditionalFormatting sqref="AB91:AV96 AB90:AJ90">
    <cfRule type="containsText" dxfId="904" priority="652" operator="containsText" text="17">
      <formula>NOT(ISERROR(SEARCH("17",AB90)))</formula>
    </cfRule>
  </conditionalFormatting>
  <conditionalFormatting sqref="AC15:AC20">
    <cfRule type="containsText" dxfId="903" priority="640" operator="containsText" text="T">
      <formula>NOT(ISERROR(SEARCH("T",AC15)))</formula>
    </cfRule>
  </conditionalFormatting>
  <conditionalFormatting sqref="AC76">
    <cfRule type="containsText" dxfId="902" priority="889" operator="containsText" text="T">
      <formula>NOT(ISERROR(SEARCH("T",AC76)))</formula>
    </cfRule>
  </conditionalFormatting>
  <conditionalFormatting sqref="AC106 L107:AF112 AI107:AI112">
    <cfRule type="containsText" dxfId="901" priority="874" operator="containsText" text="T">
      <formula>NOT(ISERROR(SEARCH("T",L106)))</formula>
    </cfRule>
  </conditionalFormatting>
  <conditionalFormatting sqref="AC131">
    <cfRule type="containsText" dxfId="900" priority="798" operator="containsText" text="17">
      <formula>NOT(ISERROR(SEARCH("17",AC131)))</formula>
    </cfRule>
    <cfRule type="containsText" dxfId="899" priority="799" operator="containsText" text="T">
      <formula>NOT(ISERROR(SEARCH("T",AC131)))</formula>
    </cfRule>
  </conditionalFormatting>
  <conditionalFormatting sqref="AC106:AD106 AI107:AI112">
    <cfRule type="containsText" dxfId="898" priority="875" operator="containsText" text="17">
      <formula>NOT(ISERROR(SEARCH("17",AC106)))</formula>
    </cfRule>
  </conditionalFormatting>
  <conditionalFormatting sqref="AC138:AI138">
    <cfRule type="containsText" dxfId="897" priority="790" operator="containsText" text="T">
      <formula>NOT(ISERROR(SEARCH("T",AC138)))</formula>
    </cfRule>
    <cfRule type="containsText" dxfId="896" priority="789" operator="containsText" text="17">
      <formula>NOT(ISERROR(SEARCH("17",AC138)))</formula>
    </cfRule>
  </conditionalFormatting>
  <conditionalFormatting sqref="AC14:AM14">
    <cfRule type="containsText" dxfId="895" priority="632" operator="containsText" text="17">
      <formula>NOT(ISERROR(SEARCH("17",AC14)))</formula>
    </cfRule>
    <cfRule type="containsText" dxfId="894" priority="633" operator="containsText" text="T">
      <formula>NOT(ISERROR(SEARCH("T",AC14)))</formula>
    </cfRule>
  </conditionalFormatting>
  <conditionalFormatting sqref="AC15:AW20 AC14:AK14">
    <cfRule type="containsText" dxfId="893" priority="639" operator="containsText" text="17">
      <formula>NOT(ISERROR(SEARCH("17",AC14)))</formula>
    </cfRule>
  </conditionalFormatting>
  <conditionalFormatting sqref="AD35:AD40">
    <cfRule type="containsText" dxfId="892" priority="627" operator="containsText" text="T">
      <formula>NOT(ISERROR(SEARCH("T",AD35)))</formula>
    </cfRule>
  </conditionalFormatting>
  <conditionalFormatting sqref="AD106">
    <cfRule type="containsText" dxfId="891" priority="876" operator="containsText" text="T">
      <formula>NOT(ISERROR(SEARCH("T",AD106)))</formula>
    </cfRule>
  </conditionalFormatting>
  <conditionalFormatting sqref="AD138">
    <cfRule type="containsText" dxfId="890" priority="786" operator="containsText" text="T">
      <formula>NOT(ISERROR(SEARCH("T",AD138)))</formula>
    </cfRule>
    <cfRule type="containsText" dxfId="889" priority="785" operator="containsText" text="17">
      <formula>NOT(ISERROR(SEARCH("17",AD138)))</formula>
    </cfRule>
  </conditionalFormatting>
  <conditionalFormatting sqref="AD145:AJ145">
    <cfRule type="containsText" dxfId="888" priority="776" operator="containsText" text="17">
      <formula>NOT(ISERROR(SEARCH("17",AD145)))</formula>
    </cfRule>
    <cfRule type="containsText" dxfId="887" priority="777" operator="containsText" text="T">
      <formula>NOT(ISERROR(SEARCH("T",AD145)))</formula>
    </cfRule>
  </conditionalFormatting>
  <conditionalFormatting sqref="AD34:AN34">
    <cfRule type="containsText" dxfId="886" priority="620" operator="containsText" text="T">
      <formula>NOT(ISERROR(SEARCH("T",AD34)))</formula>
    </cfRule>
    <cfRule type="containsText" dxfId="885" priority="619" operator="containsText" text="17">
      <formula>NOT(ISERROR(SEARCH("17",AD34)))</formula>
    </cfRule>
  </conditionalFormatting>
  <conditionalFormatting sqref="AD35:AX40 AD34:AL34">
    <cfRule type="containsText" dxfId="884" priority="626" operator="containsText" text="17">
      <formula>NOT(ISERROR(SEARCH("17",AD34)))</formula>
    </cfRule>
  </conditionalFormatting>
  <conditionalFormatting sqref="AE22:AE27">
    <cfRule type="containsText" dxfId="883" priority="614" operator="containsText" text="T">
      <formula>NOT(ISERROR(SEARCH("T",AE22)))</formula>
    </cfRule>
  </conditionalFormatting>
  <conditionalFormatting sqref="AE69 AI69:AK69 N70:AH75 AK70:AK75">
    <cfRule type="containsText" dxfId="882" priority="861" operator="containsText" text="T">
      <formula>NOT(ISERROR(SEARCH("T",N69)))</formula>
    </cfRule>
  </conditionalFormatting>
  <conditionalFormatting sqref="AE145">
    <cfRule type="containsText" dxfId="881" priority="772" operator="containsText" text="17">
      <formula>NOT(ISERROR(SEARCH("17",AE145)))</formula>
    </cfRule>
    <cfRule type="containsText" dxfId="880" priority="773" operator="containsText" text="T">
      <formula>NOT(ISERROR(SEARCH("T",AE145)))</formula>
    </cfRule>
  </conditionalFormatting>
  <conditionalFormatting sqref="AE69:AF69 AI69:AK69 AK70:AK75">
    <cfRule type="containsText" dxfId="879" priority="862" operator="containsText" text="17">
      <formula>NOT(ISERROR(SEARCH("17",AE69)))</formula>
    </cfRule>
  </conditionalFormatting>
  <conditionalFormatting sqref="AE152:AK152">
    <cfRule type="containsText" dxfId="878" priority="763" operator="containsText" text="17">
      <formula>NOT(ISERROR(SEARCH("17",AE152)))</formula>
    </cfRule>
    <cfRule type="containsText" dxfId="877" priority="764" operator="containsText" text="T">
      <formula>NOT(ISERROR(SEARCH("T",AE152)))</formula>
    </cfRule>
  </conditionalFormatting>
  <conditionalFormatting sqref="AE21:AO21">
    <cfRule type="containsText" dxfId="876" priority="606" operator="containsText" text="17">
      <formula>NOT(ISERROR(SEARCH("17",AE21)))</formula>
    </cfRule>
    <cfRule type="containsText" dxfId="875" priority="607" operator="containsText" text="T">
      <formula>NOT(ISERROR(SEARCH("T",AE21)))</formula>
    </cfRule>
  </conditionalFormatting>
  <conditionalFormatting sqref="AE22:AY27 AE21:AM21">
    <cfRule type="containsText" dxfId="874" priority="613" operator="containsText" text="17">
      <formula>NOT(ISERROR(SEARCH("17",AE21)))</formula>
    </cfRule>
  </conditionalFormatting>
  <conditionalFormatting sqref="AF42:AF47">
    <cfRule type="containsText" dxfId="873" priority="601" operator="containsText" text="T">
      <formula>NOT(ISERROR(SEARCH("T",AF42)))</formula>
    </cfRule>
  </conditionalFormatting>
  <conditionalFormatting sqref="AF69">
    <cfRule type="containsText" dxfId="872" priority="863" operator="containsText" text="T">
      <formula>NOT(ISERROR(SEARCH("T",AF69)))</formula>
    </cfRule>
  </conditionalFormatting>
  <conditionalFormatting sqref="AF99 AJ99:AL99 O100:AI105 AL100:AL105">
    <cfRule type="containsText" dxfId="871" priority="848" operator="containsText" text="T">
      <formula>NOT(ISERROR(SEARCH("T",O99)))</formula>
    </cfRule>
  </conditionalFormatting>
  <conditionalFormatting sqref="AF152">
    <cfRule type="containsText" dxfId="870" priority="759" operator="containsText" text="17">
      <formula>NOT(ISERROR(SEARCH("17",AF152)))</formula>
    </cfRule>
    <cfRule type="containsText" dxfId="869" priority="760" operator="containsText" text="T">
      <formula>NOT(ISERROR(SEARCH("T",AF152)))</formula>
    </cfRule>
  </conditionalFormatting>
  <conditionalFormatting sqref="AF99:AG99 AJ99:AL99 AL100:AL105">
    <cfRule type="containsText" dxfId="868" priority="849" operator="containsText" text="17">
      <formula>NOT(ISERROR(SEARCH("17",AF99)))</formula>
    </cfRule>
  </conditionalFormatting>
  <conditionalFormatting sqref="AF159:AL159">
    <cfRule type="containsText" dxfId="867" priority="750" operator="containsText" text="17">
      <formula>NOT(ISERROR(SEARCH("17",AF159)))</formula>
    </cfRule>
    <cfRule type="containsText" dxfId="866" priority="751" operator="containsText" text="T">
      <formula>NOT(ISERROR(SEARCH("T",AF159)))</formula>
    </cfRule>
  </conditionalFormatting>
  <conditionalFormatting sqref="AF41:AP41">
    <cfRule type="containsText" dxfId="865" priority="593" operator="containsText" text="17">
      <formula>NOT(ISERROR(SEARCH("17",AF41)))</formula>
    </cfRule>
    <cfRule type="containsText" dxfId="864" priority="594" operator="containsText" text="T">
      <formula>NOT(ISERROR(SEARCH("T",AF41)))</formula>
    </cfRule>
  </conditionalFormatting>
  <conditionalFormatting sqref="AF42:AZ47 AF41:AN41">
    <cfRule type="containsText" dxfId="863" priority="600" operator="containsText" text="17">
      <formula>NOT(ISERROR(SEARCH("17",AF41)))</formula>
    </cfRule>
  </conditionalFormatting>
  <conditionalFormatting sqref="AG67:AG68">
    <cfRule type="containsText" dxfId="862" priority="838" operator="containsText" text="T">
      <formula>NOT(ISERROR(SEARCH("T",AG67)))</formula>
    </cfRule>
  </conditionalFormatting>
  <conditionalFormatting sqref="AG97:AG98">
    <cfRule type="containsText" dxfId="861" priority="828" operator="containsText" text="T">
      <formula>NOT(ISERROR(SEARCH("T",AG97)))</formula>
    </cfRule>
  </conditionalFormatting>
  <conditionalFormatting sqref="AG99">
    <cfRule type="containsText" dxfId="860" priority="850" operator="containsText" text="T">
      <formula>NOT(ISERROR(SEARCH("T",AG99)))</formula>
    </cfRule>
  </conditionalFormatting>
  <conditionalFormatting sqref="AG114:AG119">
    <cfRule type="containsText" dxfId="859" priority="910" operator="containsText" text="T">
      <formula>NOT(ISERROR(SEARCH("T",AG114)))</formula>
    </cfRule>
  </conditionalFormatting>
  <conditionalFormatting sqref="AG127:AG130 AK127:AM130">
    <cfRule type="containsText" dxfId="858" priority="808" operator="containsText" text="T">
      <formula>NOT(ISERROR(SEARCH("T",AG127)))</formula>
    </cfRule>
  </conditionalFormatting>
  <conditionalFormatting sqref="AG159">
    <cfRule type="containsText" dxfId="857" priority="746" operator="containsText" text="17">
      <formula>NOT(ISERROR(SEARCH("17",AG159)))</formula>
    </cfRule>
    <cfRule type="containsText" dxfId="856" priority="747" operator="containsText" text="T">
      <formula>NOT(ISERROR(SEARCH("T",AG159)))</formula>
    </cfRule>
  </conditionalFormatting>
  <conditionalFormatting sqref="AG67:AH68">
    <cfRule type="containsText" dxfId="855" priority="839" operator="containsText" text="17">
      <formula>NOT(ISERROR(SEARCH("17",AG67)))</formula>
    </cfRule>
  </conditionalFormatting>
  <conditionalFormatting sqref="AG97:AH98">
    <cfRule type="containsText" dxfId="854" priority="829" operator="containsText" text="17">
      <formula>NOT(ISERROR(SEARCH("17",AG97)))</formula>
    </cfRule>
  </conditionalFormatting>
  <conditionalFormatting sqref="AG127:AH130 AK127:AM130">
    <cfRule type="containsText" dxfId="853" priority="809" operator="containsText" text="17">
      <formula>NOT(ISERROR(SEARCH("17",AG127)))</formula>
    </cfRule>
  </conditionalFormatting>
  <conditionalFormatting sqref="AG207:AM207">
    <cfRule type="containsText" dxfId="852" priority="738" operator="containsText" text="T">
      <formula>NOT(ISERROR(SEARCH("T",AG207)))</formula>
    </cfRule>
    <cfRule type="containsText" dxfId="851" priority="737" operator="containsText" text="17">
      <formula>NOT(ISERROR(SEARCH("17",AG207)))</formula>
    </cfRule>
  </conditionalFormatting>
  <conditionalFormatting sqref="AG28:AO32">
    <cfRule type="containsText" dxfId="850" priority="590" operator="containsText" text="17">
      <formula>NOT(ISERROR(SEARCH("17",AG28)))</formula>
    </cfRule>
  </conditionalFormatting>
  <conditionalFormatting sqref="AG28:AQ32">
    <cfRule type="containsText" dxfId="849" priority="584" operator="containsText" text="T">
      <formula>NOT(ISERROR(SEARCH("T",AG28)))</formula>
    </cfRule>
    <cfRule type="containsText" dxfId="848" priority="583" operator="containsText" text="17">
      <formula>NOT(ISERROR(SEARCH("17",AG28)))</formula>
    </cfRule>
  </conditionalFormatting>
  <conditionalFormatting sqref="AG48:AQ49">
    <cfRule type="containsText" dxfId="847" priority="573" operator="containsText" text="17">
      <formula>NOT(ISERROR(SEARCH("17",AG48)))</formula>
    </cfRule>
  </conditionalFormatting>
  <conditionalFormatting sqref="AG106:AY106">
    <cfRule type="containsText" dxfId="846" priority="411" operator="containsText" text="17">
      <formula>NOT(ISERROR(SEARCH("17",AG106)))</formula>
    </cfRule>
  </conditionalFormatting>
  <conditionalFormatting sqref="AG106:BA106">
    <cfRule type="containsText" dxfId="845" priority="405" operator="containsText" text="T">
      <formula>NOT(ISERROR(SEARCH("T",AG106)))</formula>
    </cfRule>
  </conditionalFormatting>
  <conditionalFormatting sqref="AH67:AH68">
    <cfRule type="containsText" dxfId="844" priority="840" operator="containsText" text="T">
      <formula>NOT(ISERROR(SEARCH("T",AH67)))</formula>
    </cfRule>
  </conditionalFormatting>
  <conditionalFormatting sqref="AH77:AH82">
    <cfRule type="containsText" dxfId="843" priority="897" operator="containsText" text="T">
      <formula>NOT(ISERROR(SEARCH("T",AH77)))</formula>
    </cfRule>
  </conditionalFormatting>
  <conditionalFormatting sqref="AH97:AH98">
    <cfRule type="containsText" dxfId="842" priority="830" operator="containsText" text="T">
      <formula>NOT(ISERROR(SEARCH("T",AH97)))</formula>
    </cfRule>
  </conditionalFormatting>
  <conditionalFormatting sqref="AH127:AH130">
    <cfRule type="containsText" dxfId="841" priority="810" operator="containsText" text="T">
      <formula>NOT(ISERROR(SEARCH("T",AH127)))</formula>
    </cfRule>
  </conditionalFormatting>
  <conditionalFormatting sqref="AH131 AL131:AN131 Q132:AK137 AN132:AN137">
    <cfRule type="containsText" dxfId="840" priority="795" operator="containsText" text="T">
      <formula>NOT(ISERROR(SEARCH("T",Q131)))</formula>
    </cfRule>
  </conditionalFormatting>
  <conditionalFormatting sqref="AH207">
    <cfRule type="containsText" dxfId="839" priority="733" operator="containsText" text="17">
      <formula>NOT(ISERROR(SEARCH("17",AH207)))</formula>
    </cfRule>
    <cfRule type="containsText" dxfId="838" priority="734" operator="containsText" text="T">
      <formula>NOT(ISERROR(SEARCH("T",AH207)))</formula>
    </cfRule>
  </conditionalFormatting>
  <conditionalFormatting sqref="AH131:AI131 AL131:AN131 AN132:AN137">
    <cfRule type="containsText" dxfId="837" priority="796" operator="containsText" text="17">
      <formula>NOT(ISERROR(SEARCH("17",AH131)))</formula>
    </cfRule>
  </conditionalFormatting>
  <conditionalFormatting sqref="AH200:AN200">
    <cfRule type="containsText" dxfId="836" priority="724" operator="containsText" text="17">
      <formula>NOT(ISERROR(SEARCH("17",AH200)))</formula>
    </cfRule>
    <cfRule type="containsText" dxfId="835" priority="725" operator="containsText" text="T">
      <formula>NOT(ISERROR(SEARCH("T",AH200)))</formula>
    </cfRule>
  </conditionalFormatting>
  <conditionalFormatting sqref="AH50:AP53">
    <cfRule type="containsText" dxfId="834" priority="570" operator="containsText" text="17">
      <formula>NOT(ISERROR(SEARCH("17",AH50)))</formula>
    </cfRule>
  </conditionalFormatting>
  <conditionalFormatting sqref="AH50:AR53">
    <cfRule type="containsText" dxfId="833" priority="563" operator="containsText" text="17">
      <formula>NOT(ISERROR(SEARCH("17",AH50)))</formula>
    </cfRule>
  </conditionalFormatting>
  <conditionalFormatting sqref="AH63:AR66">
    <cfRule type="containsText" dxfId="832" priority="553" operator="containsText" text="17">
      <formula>NOT(ISERROR(SEARCH("17",AH63)))</formula>
    </cfRule>
  </conditionalFormatting>
  <conditionalFormatting sqref="AH113:AU116">
    <cfRule type="containsText" dxfId="831" priority="476" operator="containsText" text="17">
      <formula>NOT(ISERROR(SEARCH("17",AH113)))</formula>
    </cfRule>
  </conditionalFormatting>
  <conditionalFormatting sqref="AH117:AV119">
    <cfRule type="containsText" dxfId="830" priority="466" operator="containsText" text="17">
      <formula>NOT(ISERROR(SEARCH("17",AH117)))</formula>
    </cfRule>
  </conditionalFormatting>
  <conditionalFormatting sqref="AH113:AW116">
    <cfRule type="containsText" dxfId="829" priority="470" operator="containsText" text="T">
      <formula>NOT(ISERROR(SEARCH("T",AH113)))</formula>
    </cfRule>
  </conditionalFormatting>
  <conditionalFormatting sqref="AH117:AX119">
    <cfRule type="containsText" dxfId="828" priority="460" operator="containsText" text="T">
      <formula>NOT(ISERROR(SEARCH("T",AH117)))</formula>
    </cfRule>
  </conditionalFormatting>
  <conditionalFormatting sqref="AI131">
    <cfRule type="containsText" dxfId="827" priority="797" operator="containsText" text="T">
      <formula>NOT(ISERROR(SEARCH("T",AI131)))</formula>
    </cfRule>
  </conditionalFormatting>
  <conditionalFormatting sqref="AI138 AM138:AO138 R139:AL144 AO139:AO144">
    <cfRule type="containsText" dxfId="826" priority="782" operator="containsText" text="T">
      <formula>NOT(ISERROR(SEARCH("T",R138)))</formula>
    </cfRule>
  </conditionalFormatting>
  <conditionalFormatting sqref="AI200">
    <cfRule type="containsText" dxfId="825" priority="721" operator="containsText" text="T">
      <formula>NOT(ISERROR(SEARCH("T",AI200)))</formula>
    </cfRule>
    <cfRule type="containsText" dxfId="824" priority="720" operator="containsText" text="17">
      <formula>NOT(ISERROR(SEARCH("17",AI200)))</formula>
    </cfRule>
  </conditionalFormatting>
  <conditionalFormatting sqref="AI138:AJ138 AM138:AO138 AO139:AO144">
    <cfRule type="containsText" dxfId="823" priority="783" operator="containsText" text="17">
      <formula>NOT(ISERROR(SEARCH("17",AI138)))</formula>
    </cfRule>
  </conditionalFormatting>
  <conditionalFormatting sqref="AI107:AO112">
    <cfRule type="containsText" dxfId="822" priority="884" operator="containsText" text="T">
      <formula>NOT(ISERROR(SEARCH("T",AI107)))</formula>
    </cfRule>
  </conditionalFormatting>
  <conditionalFormatting sqref="AI192:AO192">
    <cfRule type="containsText" dxfId="821" priority="701" operator="containsText" text="T">
      <formula>NOT(ISERROR(SEARCH("T",AI192)))</formula>
    </cfRule>
  </conditionalFormatting>
  <conditionalFormatting sqref="AI193:AO193">
    <cfRule type="containsText" dxfId="820" priority="712" operator="containsText" text="T">
      <formula>NOT(ISERROR(SEARCH("T",AI193)))</formula>
    </cfRule>
    <cfRule type="containsText" dxfId="819" priority="711" operator="containsText" text="17">
      <formula>NOT(ISERROR(SEARCH("17",AI193)))</formula>
    </cfRule>
  </conditionalFormatting>
  <conditionalFormatting sqref="AI192:AP192 AS192:AU192">
    <cfRule type="containsText" dxfId="818" priority="699" operator="containsText" text="17">
      <formula>NOT(ISERROR(SEARCH("17",AI192)))</formula>
    </cfRule>
  </conditionalFormatting>
  <conditionalFormatting sqref="AI59:AS62">
    <cfRule type="containsText" dxfId="817" priority="539" operator="containsText" text="17">
      <formula>NOT(ISERROR(SEARCH("17",AI59)))</formula>
    </cfRule>
  </conditionalFormatting>
  <conditionalFormatting sqref="AI86:AS89">
    <cfRule type="containsText" dxfId="816" priority="529" operator="containsText" text="17">
      <formula>NOT(ISERROR(SEARCH("17",AI86)))</formula>
    </cfRule>
  </conditionalFormatting>
  <conditionalFormatting sqref="AI79:AV82">
    <cfRule type="containsText" dxfId="815" priority="456" operator="containsText" text="17">
      <formula>NOT(ISERROR(SEARCH("17",AI79)))</formula>
    </cfRule>
  </conditionalFormatting>
  <conditionalFormatting sqref="AI76:AX78">
    <cfRule type="containsText" dxfId="814" priority="431" operator="containsText" text="17">
      <formula>NOT(ISERROR(SEARCH("17",AI76)))</formula>
    </cfRule>
  </conditionalFormatting>
  <conditionalFormatting sqref="AI79:AX82">
    <cfRule type="containsText" dxfId="813" priority="450" operator="containsText" text="T">
      <formula>NOT(ISERROR(SEARCH("T",AI79)))</formula>
    </cfRule>
  </conditionalFormatting>
  <conditionalFormatting sqref="AI76:AZ78">
    <cfRule type="containsText" dxfId="812" priority="425" operator="containsText" text="T">
      <formula>NOT(ISERROR(SEARCH("T",AI76)))</formula>
    </cfRule>
  </conditionalFormatting>
  <conditionalFormatting sqref="AJ120:AJ126">
    <cfRule type="containsText" dxfId="811" priority="445" operator="containsText" text="17">
      <formula>NOT(ISERROR(SEARCH("17",AJ120)))</formula>
    </cfRule>
    <cfRule type="containsText" dxfId="810" priority="448" operator="containsText" text="T">
      <formula>NOT(ISERROR(SEARCH("T",AJ120)))</formula>
    </cfRule>
  </conditionalFormatting>
  <conditionalFormatting sqref="AJ138">
    <cfRule type="containsText" dxfId="809" priority="784" operator="containsText" text="T">
      <formula>NOT(ISERROR(SEARCH("T",AJ138)))</formula>
    </cfRule>
  </conditionalFormatting>
  <conditionalFormatting sqref="AJ145 AN145:AP145 S146:AM151 AP146:AP151">
    <cfRule type="containsText" dxfId="808" priority="769" operator="containsText" text="T">
      <formula>NOT(ISERROR(SEARCH("T",S145)))</formula>
    </cfRule>
  </conditionalFormatting>
  <conditionalFormatting sqref="AJ192:AJ193">
    <cfRule type="containsText" dxfId="807" priority="707" operator="containsText" text="17">
      <formula>NOT(ISERROR(SEARCH("17",AJ192)))</formula>
    </cfRule>
    <cfRule type="containsText" dxfId="806" priority="708" operator="containsText" text="T">
      <formula>NOT(ISERROR(SEARCH("T",AJ192)))</formula>
    </cfRule>
  </conditionalFormatting>
  <conditionalFormatting sqref="AJ145:AK145 AN145:AP145 AP146:AP151">
    <cfRule type="containsText" dxfId="805" priority="770" operator="containsText" text="17">
      <formula>NOT(ISERROR(SEARCH("17",AJ145)))</formula>
    </cfRule>
  </conditionalFormatting>
  <conditionalFormatting sqref="AJ168:AP168">
    <cfRule type="containsText" dxfId="804" priority="693" operator="containsText" text="17">
      <formula>NOT(ISERROR(SEARCH("17",AJ168)))</formula>
    </cfRule>
    <cfRule type="containsText" dxfId="803" priority="694" operator="containsText" text="T">
      <formula>NOT(ISERROR(SEARCH("T",AJ168)))</formula>
    </cfRule>
  </conditionalFormatting>
  <conditionalFormatting sqref="AJ83:AT85">
    <cfRule type="containsText" dxfId="802" priority="519" operator="containsText" text="17">
      <formula>NOT(ISERROR(SEARCH("17",AJ83)))</formula>
    </cfRule>
  </conditionalFormatting>
  <conditionalFormatting sqref="AJ214:AT217">
    <cfRule type="containsText" dxfId="801" priority="509" operator="containsText" text="17">
      <formula>NOT(ISERROR(SEARCH("17",AJ214)))</formula>
    </cfRule>
  </conditionalFormatting>
  <conditionalFormatting sqref="AK70:AK75">
    <cfRule type="containsText" dxfId="800" priority="871" operator="containsText" text="T">
      <formula>NOT(ISERROR(SEARCH("T",AK70)))</formula>
    </cfRule>
  </conditionalFormatting>
  <conditionalFormatting sqref="AK129:AK130 P127:X130">
    <cfRule type="containsText" dxfId="799" priority="813" operator="containsText" text="17">
      <formula>NOT(ISERROR(SEARCH("17",P127)))</formula>
    </cfRule>
  </conditionalFormatting>
  <conditionalFormatting sqref="AK145">
    <cfRule type="containsText" dxfId="798" priority="771" operator="containsText" text="T">
      <formula>NOT(ISERROR(SEARCH("T",AK145)))</formula>
    </cfRule>
  </conditionalFormatting>
  <conditionalFormatting sqref="AK152 AO152:AQ152 T153:AN158 AQ153:AQ158">
    <cfRule type="containsText" dxfId="797" priority="756" operator="containsText" text="T">
      <formula>NOT(ISERROR(SEARCH("T",T152)))</formula>
    </cfRule>
  </conditionalFormatting>
  <conditionalFormatting sqref="AK168">
    <cfRule type="containsText" dxfId="796" priority="689" operator="containsText" text="17">
      <formula>NOT(ISERROR(SEARCH("17",AK168)))</formula>
    </cfRule>
    <cfRule type="containsText" dxfId="795" priority="690" operator="containsText" text="T">
      <formula>NOT(ISERROR(SEARCH("T",AK168)))</formula>
    </cfRule>
  </conditionalFormatting>
  <conditionalFormatting sqref="AK152:AL152 AO152:AQ152 AQ153:AQ158">
    <cfRule type="containsText" dxfId="794" priority="757" operator="containsText" text="17">
      <formula>NOT(ISERROR(SEARCH("17",AK152)))</formula>
    </cfRule>
  </conditionalFormatting>
  <conditionalFormatting sqref="AK175:AQ175">
    <cfRule type="containsText" dxfId="793" priority="681" operator="containsText" text="T">
      <formula>NOT(ISERROR(SEARCH("T",AK175)))</formula>
    </cfRule>
    <cfRule type="containsText" dxfId="792" priority="680" operator="containsText" text="17">
      <formula>NOT(ISERROR(SEARCH("17",AK175)))</formula>
    </cfRule>
  </conditionalFormatting>
  <conditionalFormatting sqref="AK218:AU224">
    <cfRule type="containsText" dxfId="791" priority="499" operator="containsText" text="17">
      <formula>NOT(ISERROR(SEARCH("17",AK218)))</formula>
    </cfRule>
  </conditionalFormatting>
  <conditionalFormatting sqref="AK120:AY120">
    <cfRule type="containsText" dxfId="790" priority="391" operator="containsText" text="17">
      <formula>NOT(ISERROR(SEARCH("17",AK120)))</formula>
    </cfRule>
  </conditionalFormatting>
  <conditionalFormatting sqref="AK122:AY122">
    <cfRule type="containsText" dxfId="789" priority="381" operator="containsText" text="17">
      <formula>NOT(ISERROR(SEARCH("17",AK122)))</formula>
    </cfRule>
  </conditionalFormatting>
  <conditionalFormatting sqref="AK124:AY126">
    <cfRule type="containsText" dxfId="788" priority="401" operator="containsText" text="17">
      <formula>NOT(ISERROR(SEARCH("17",AK124)))</formula>
    </cfRule>
  </conditionalFormatting>
  <conditionalFormatting sqref="AK121:AZ121">
    <cfRule type="containsText" dxfId="787" priority="361" operator="containsText" text="17">
      <formula>NOT(ISERROR(SEARCH("17",AK121)))</formula>
    </cfRule>
  </conditionalFormatting>
  <conditionalFormatting sqref="AK123:AZ123">
    <cfRule type="containsText" dxfId="786" priority="351" operator="containsText" text="17">
      <formula>NOT(ISERROR(SEARCH("17",AK123)))</formula>
    </cfRule>
  </conditionalFormatting>
  <conditionalFormatting sqref="AK67:BA68">
    <cfRule type="containsText" dxfId="785" priority="311" operator="containsText" text="17">
      <formula>NOT(ISERROR(SEARCH("17",AK67)))</formula>
    </cfRule>
  </conditionalFormatting>
  <conditionalFormatting sqref="AK120:BA120">
    <cfRule type="containsText" dxfId="784" priority="385" operator="containsText" text="T">
      <formula>NOT(ISERROR(SEARCH("T",AK120)))</formula>
    </cfRule>
  </conditionalFormatting>
  <conditionalFormatting sqref="AK122:BA122">
    <cfRule type="containsText" dxfId="783" priority="375" operator="containsText" text="T">
      <formula>NOT(ISERROR(SEARCH("T",AK122)))</formula>
    </cfRule>
  </conditionalFormatting>
  <conditionalFormatting sqref="AK124:BA126">
    <cfRule type="containsText" dxfId="782" priority="395" operator="containsText" text="T">
      <formula>NOT(ISERROR(SEARCH("T",AK124)))</formula>
    </cfRule>
  </conditionalFormatting>
  <conditionalFormatting sqref="AK97:BB98">
    <cfRule type="containsText" dxfId="781" priority="301" operator="containsText" text="17">
      <formula>NOT(ISERROR(SEARCH("17",AK97)))</formula>
    </cfRule>
  </conditionalFormatting>
  <conditionalFormatting sqref="AK121:BB121">
    <cfRule type="containsText" dxfId="780" priority="355" operator="containsText" text="T">
      <formula>NOT(ISERROR(SEARCH("T",AK121)))</formula>
    </cfRule>
  </conditionalFormatting>
  <conditionalFormatting sqref="AK123:BB123">
    <cfRule type="containsText" dxfId="779" priority="345" operator="containsText" text="T">
      <formula>NOT(ISERROR(SEARCH("T",AK123)))</formula>
    </cfRule>
  </conditionalFormatting>
  <conditionalFormatting sqref="AK67:BC68">
    <cfRule type="containsText" dxfId="778" priority="305" operator="containsText" text="T">
      <formula>NOT(ISERROR(SEARCH("T",AK67)))</formula>
    </cfRule>
  </conditionalFormatting>
  <conditionalFormatting sqref="AK97:BD98">
    <cfRule type="containsText" dxfId="777" priority="295" operator="containsText" text="T">
      <formula>NOT(ISERROR(SEARCH("T",AK97)))</formula>
    </cfRule>
  </conditionalFormatting>
  <conditionalFormatting sqref="AL100:AL105">
    <cfRule type="containsText" dxfId="776" priority="858" operator="containsText" text="T">
      <formula>NOT(ISERROR(SEARCH("T",AL100)))</formula>
    </cfRule>
  </conditionalFormatting>
  <conditionalFormatting sqref="AL152">
    <cfRule type="containsText" dxfId="775" priority="758" operator="containsText" text="T">
      <formula>NOT(ISERROR(SEARCH("T",AL152)))</formula>
    </cfRule>
  </conditionalFormatting>
  <conditionalFormatting sqref="AL159 AP159:AR159 U160:AO165 AR160:AR165">
    <cfRule type="containsText" dxfId="774" priority="743" operator="containsText" text="T">
      <formula>NOT(ISERROR(SEARCH("T",U159)))</formula>
    </cfRule>
  </conditionalFormatting>
  <conditionalFormatting sqref="AL175">
    <cfRule type="containsText" dxfId="773" priority="677" operator="containsText" text="T">
      <formula>NOT(ISERROR(SEARCH("T",AL175)))</formula>
    </cfRule>
    <cfRule type="containsText" dxfId="772" priority="676" operator="containsText" text="17">
      <formula>NOT(ISERROR(SEARCH("17",AL175)))</formula>
    </cfRule>
  </conditionalFormatting>
  <conditionalFormatting sqref="AL159:AM159 AP159:AR159 AR160:AR165">
    <cfRule type="containsText" dxfId="771" priority="744" operator="containsText" text="17">
      <formula>NOT(ISERROR(SEARCH("17",AL159)))</formula>
    </cfRule>
  </conditionalFormatting>
  <conditionalFormatting sqref="AL182:AR182">
    <cfRule type="containsText" dxfId="770" priority="668" operator="containsText" text="T">
      <formula>NOT(ISERROR(SEARCH("T",AL182)))</formula>
    </cfRule>
    <cfRule type="containsText" dxfId="769" priority="667" operator="containsText" text="17">
      <formula>NOT(ISERROR(SEARCH("17",AL182)))</formula>
    </cfRule>
  </conditionalFormatting>
  <conditionalFormatting sqref="AL225:AV231">
    <cfRule type="containsText" dxfId="768" priority="489" operator="containsText" text="17">
      <formula>NOT(ISERROR(SEARCH("17",AL225)))</formula>
    </cfRule>
  </conditionalFormatting>
  <conditionalFormatting sqref="AL72:AY75">
    <cfRule type="containsText" dxfId="767" priority="421" operator="containsText" text="17">
      <formula>NOT(ISERROR(SEARCH("17",AL72)))</formula>
    </cfRule>
  </conditionalFormatting>
  <conditionalFormatting sqref="AL69:AZ71">
    <cfRule type="containsText" dxfId="766" priority="341" operator="containsText" text="17">
      <formula>NOT(ISERROR(SEARCH("17",AL69)))</formula>
    </cfRule>
  </conditionalFormatting>
  <conditionalFormatting sqref="AL72:BA75">
    <cfRule type="containsText" dxfId="765" priority="415" operator="containsText" text="T">
      <formula>NOT(ISERROR(SEARCH("T",AL72)))</formula>
    </cfRule>
  </conditionalFormatting>
  <conditionalFormatting sqref="AL69:BB71">
    <cfRule type="containsText" dxfId="764" priority="335" operator="containsText" text="T">
      <formula>NOT(ISERROR(SEARCH("T",AL69)))</formula>
    </cfRule>
  </conditionalFormatting>
  <conditionalFormatting sqref="AM159">
    <cfRule type="containsText" dxfId="763" priority="745" operator="containsText" text="T">
      <formula>NOT(ISERROR(SEARCH("T",AM159)))</formula>
    </cfRule>
  </conditionalFormatting>
  <conditionalFormatting sqref="AM182">
    <cfRule type="containsText" dxfId="762" priority="663" operator="containsText" text="17">
      <formula>NOT(ISERROR(SEARCH("17",AM182)))</formula>
    </cfRule>
    <cfRule type="containsText" dxfId="761" priority="664" operator="containsText" text="T">
      <formula>NOT(ISERROR(SEARCH("T",AM182)))</formula>
    </cfRule>
  </conditionalFormatting>
  <conditionalFormatting sqref="AM207 AQ207:AS207 V208:AP213 AS208:AS213">
    <cfRule type="containsText" dxfId="760" priority="730" operator="containsText" text="T">
      <formula>NOT(ISERROR(SEARCH("T",V207)))</formula>
    </cfRule>
  </conditionalFormatting>
  <conditionalFormatting sqref="AM207:AN207 AQ207:AS207 AS208:AS213">
    <cfRule type="containsText" dxfId="759" priority="731" operator="containsText" text="17">
      <formula>NOT(ISERROR(SEARCH("17",AM207)))</formula>
    </cfRule>
  </conditionalFormatting>
  <conditionalFormatting sqref="AM90:AS90">
    <cfRule type="containsText" dxfId="758" priority="655" operator="containsText" text="T">
      <formula>NOT(ISERROR(SEARCH("T",AM90)))</formula>
    </cfRule>
    <cfRule type="containsText" dxfId="757" priority="654" operator="containsText" text="17">
      <formula>NOT(ISERROR(SEARCH("17",AM90)))</formula>
    </cfRule>
  </conditionalFormatting>
  <conditionalFormatting sqref="AM113:AW116">
    <cfRule type="containsText" dxfId="756" priority="469" operator="containsText" text="17">
      <formula>NOT(ISERROR(SEARCH("17",AM113)))</formula>
    </cfRule>
  </conditionalFormatting>
  <conditionalFormatting sqref="AM232:AW234">
    <cfRule type="containsText" dxfId="755" priority="479" operator="containsText" text="17">
      <formula>NOT(ISERROR(SEARCH("17",AM232)))</formula>
    </cfRule>
  </conditionalFormatting>
  <conditionalFormatting sqref="AM103:AZ104">
    <cfRule type="containsText" dxfId="754" priority="371" operator="containsText" text="17">
      <formula>NOT(ISERROR(SEARCH("17",AM103)))</formula>
    </cfRule>
  </conditionalFormatting>
  <conditionalFormatting sqref="AM99:BA102">
    <cfRule type="containsText" dxfId="753" priority="331" operator="containsText" text="17">
      <formula>NOT(ISERROR(SEARCH("17",AM99)))</formula>
    </cfRule>
  </conditionalFormatting>
  <conditionalFormatting sqref="AM105:BA105">
    <cfRule type="containsText" dxfId="752" priority="321" operator="containsText" text="17">
      <formula>NOT(ISERROR(SEARCH("17",AM105)))</formula>
    </cfRule>
  </conditionalFormatting>
  <conditionalFormatting sqref="AM103:BB104">
    <cfRule type="containsText" dxfId="751" priority="365" operator="containsText" text="T">
      <formula>NOT(ISERROR(SEARCH("T",AM103)))</formula>
    </cfRule>
  </conditionalFormatting>
  <conditionalFormatting sqref="AM99:BC102">
    <cfRule type="containsText" dxfId="750" priority="325" operator="containsText" text="T">
      <formula>NOT(ISERROR(SEARCH("T",AM99)))</formula>
    </cfRule>
  </conditionalFormatting>
  <conditionalFormatting sqref="AM105:BC105">
    <cfRule type="containsText" dxfId="749" priority="315" operator="containsText" text="T">
      <formula>NOT(ISERROR(SEARCH("T",AM105)))</formula>
    </cfRule>
  </conditionalFormatting>
  <conditionalFormatting sqref="AN90">
    <cfRule type="containsText" dxfId="748" priority="651" operator="containsText" text="T">
      <formula>NOT(ISERROR(SEARCH("T",AN90)))</formula>
    </cfRule>
    <cfRule type="containsText" dxfId="747" priority="650" operator="containsText" text="17">
      <formula>NOT(ISERROR(SEARCH("17",AN90)))</formula>
    </cfRule>
  </conditionalFormatting>
  <conditionalFormatting sqref="AN132:AN137">
    <cfRule type="containsText" dxfId="746" priority="805" operator="containsText" text="T">
      <formula>NOT(ISERROR(SEARCH("T",AN132)))</formula>
    </cfRule>
  </conditionalFormatting>
  <conditionalFormatting sqref="AN200 AR200:AT200 W201:AQ206 AT201:AT206">
    <cfRule type="containsText" dxfId="745" priority="717" operator="containsText" text="T">
      <formula>NOT(ISERROR(SEARCH("T",W200)))</formula>
    </cfRule>
  </conditionalFormatting>
  <conditionalFormatting sqref="AN207">
    <cfRule type="containsText" dxfId="744" priority="732" operator="containsText" text="T">
      <formula>NOT(ISERROR(SEARCH("T",AN207)))</formula>
    </cfRule>
  </conditionalFormatting>
  <conditionalFormatting sqref="AN200:AO200 AR200:AT200 AT201:AT206">
    <cfRule type="containsText" dxfId="743" priority="718" operator="containsText" text="17">
      <formula>NOT(ISERROR(SEARCH("17",AN200)))</formula>
    </cfRule>
  </conditionalFormatting>
  <conditionalFormatting sqref="AN14:AT14">
    <cfRule type="containsText" dxfId="742" priority="641" operator="containsText" text="17">
      <formula>NOT(ISERROR(SEARCH("17",AN14)))</formula>
    </cfRule>
    <cfRule type="containsText" dxfId="741" priority="642" operator="containsText" text="T">
      <formula>NOT(ISERROR(SEARCH("T",AN14)))</formula>
    </cfRule>
  </conditionalFormatting>
  <conditionalFormatting sqref="AN79:AX82">
    <cfRule type="containsText" dxfId="740" priority="449" operator="containsText" text="17">
      <formula>NOT(ISERROR(SEARCH("17",AN79)))</formula>
    </cfRule>
  </conditionalFormatting>
  <conditionalFormatting sqref="AN117:AX119">
    <cfRule type="containsText" dxfId="739" priority="459" operator="containsText" text="17">
      <formula>NOT(ISERROR(SEARCH("17",AN117)))</formula>
    </cfRule>
  </conditionalFormatting>
  <conditionalFormatting sqref="AO14">
    <cfRule type="containsText" dxfId="738" priority="637" operator="containsText" text="17">
      <formula>NOT(ISERROR(SEARCH("17",AO14)))</formula>
    </cfRule>
    <cfRule type="containsText" dxfId="737" priority="638" operator="containsText" text="T">
      <formula>NOT(ISERROR(SEARCH("T",AO14)))</formula>
    </cfRule>
  </conditionalFormatting>
  <conditionalFormatting sqref="AO139:AO144">
    <cfRule type="containsText" dxfId="736" priority="792" operator="containsText" text="T">
      <formula>NOT(ISERROR(SEARCH("T",AO139)))</formula>
    </cfRule>
  </conditionalFormatting>
  <conditionalFormatting sqref="AO192:AO193 AS192:AU193 X194:AR199 AU194:AU199">
    <cfRule type="containsText" dxfId="735" priority="704" operator="containsText" text="T">
      <formula>NOT(ISERROR(SEARCH("T",X192)))</formula>
    </cfRule>
  </conditionalFormatting>
  <conditionalFormatting sqref="AO200">
    <cfRule type="containsText" dxfId="734" priority="719" operator="containsText" text="T">
      <formula>NOT(ISERROR(SEARCH("T",AO200)))</formula>
    </cfRule>
  </conditionalFormatting>
  <conditionalFormatting sqref="AO193:AP193 AS193:AU193 AU194:AU199">
    <cfRule type="containsText" dxfId="733" priority="705" operator="containsText" text="17">
      <formula>NOT(ISERROR(SEARCH("17",AO193)))</formula>
    </cfRule>
  </conditionalFormatting>
  <conditionalFormatting sqref="AO34:AU34">
    <cfRule type="containsText" dxfId="732" priority="629" operator="containsText" text="T">
      <formula>NOT(ISERROR(SEARCH("T",AO34)))</formula>
    </cfRule>
    <cfRule type="containsText" dxfId="731" priority="628" operator="containsText" text="17">
      <formula>NOT(ISERROR(SEARCH("17",AO34)))</formula>
    </cfRule>
  </conditionalFormatting>
  <conditionalFormatting sqref="AO131:BB137">
    <cfRule type="containsText" dxfId="730" priority="291" operator="containsText" text="17">
      <formula>NOT(ISERROR(SEARCH("17",AO131)))</formula>
    </cfRule>
  </conditionalFormatting>
  <conditionalFormatting sqref="AO131:BD137">
    <cfRule type="containsText" dxfId="729" priority="285" operator="containsText" text="T">
      <formula>NOT(ISERROR(SEARCH("T",AO131)))</formula>
    </cfRule>
  </conditionalFormatting>
  <conditionalFormatting sqref="AP34">
    <cfRule type="containsText" dxfId="728" priority="625" operator="containsText" text="T">
      <formula>NOT(ISERROR(SEARCH("T",AP34)))</formula>
    </cfRule>
    <cfRule type="containsText" dxfId="727" priority="624" operator="containsText" text="17">
      <formula>NOT(ISERROR(SEARCH("17",AP34)))</formula>
    </cfRule>
  </conditionalFormatting>
  <conditionalFormatting sqref="AP146:AP151">
    <cfRule type="containsText" dxfId="726" priority="779" operator="containsText" text="T">
      <formula>NOT(ISERROR(SEARCH("T",AP146)))</formula>
    </cfRule>
  </conditionalFormatting>
  <conditionalFormatting sqref="AP168 AT168:AV168 Y169:AS174 AV169:AV174">
    <cfRule type="containsText" dxfId="725" priority="686" operator="containsText" text="T">
      <formula>NOT(ISERROR(SEARCH("T",Y168)))</formula>
    </cfRule>
  </conditionalFormatting>
  <conditionalFormatting sqref="AP192:AP193">
    <cfRule type="containsText" dxfId="724" priority="706" operator="containsText" text="T">
      <formula>NOT(ISERROR(SEARCH("T",AP192)))</formula>
    </cfRule>
  </conditionalFormatting>
  <conditionalFormatting sqref="AP168:AQ168 AT168:AV168 AV169:AV174">
    <cfRule type="containsText" dxfId="723" priority="687" operator="containsText" text="17">
      <formula>NOT(ISERROR(SEARCH("17",AP168)))</formula>
    </cfRule>
  </conditionalFormatting>
  <conditionalFormatting sqref="AP21:AV21">
    <cfRule type="containsText" dxfId="722" priority="616" operator="containsText" text="T">
      <formula>NOT(ISERROR(SEARCH("T",AP21)))</formula>
    </cfRule>
    <cfRule type="containsText" dxfId="721" priority="615" operator="containsText" text="17">
      <formula>NOT(ISERROR(SEARCH("17",AP21)))</formula>
    </cfRule>
  </conditionalFormatting>
  <conditionalFormatting sqref="AP107:AX112">
    <cfRule type="containsText" dxfId="720" priority="441" operator="containsText" text="17">
      <formula>NOT(ISERROR(SEARCH("17",AP107)))</formula>
    </cfRule>
  </conditionalFormatting>
  <conditionalFormatting sqref="AP76:AZ78">
    <cfRule type="containsText" dxfId="719" priority="424" operator="containsText" text="17">
      <formula>NOT(ISERROR(SEARCH("17",AP76)))</formula>
    </cfRule>
  </conditionalFormatting>
  <conditionalFormatting sqref="AP107:AZ112">
    <cfRule type="containsText" dxfId="718" priority="434" operator="containsText" text="17">
      <formula>NOT(ISERROR(SEARCH("17",AP107)))</formula>
    </cfRule>
    <cfRule type="containsText" dxfId="717" priority="435" operator="containsText" text="T">
      <formula>NOT(ISERROR(SEARCH("T",AP107)))</formula>
    </cfRule>
  </conditionalFormatting>
  <conditionalFormatting sqref="AP138:BC144">
    <cfRule type="containsText" dxfId="716" priority="281" operator="containsText" text="17">
      <formula>NOT(ISERROR(SEARCH("17",AP138)))</formula>
    </cfRule>
  </conditionalFormatting>
  <conditionalFormatting sqref="AP138:BE144">
    <cfRule type="containsText" dxfId="715" priority="275" operator="containsText" text="T">
      <formula>NOT(ISERROR(SEARCH("T",AP138)))</formula>
    </cfRule>
  </conditionalFormatting>
  <conditionalFormatting sqref="AQ21">
    <cfRule type="containsText" dxfId="714" priority="611" operator="containsText" text="17">
      <formula>NOT(ISERROR(SEARCH("17",AQ21)))</formula>
    </cfRule>
    <cfRule type="containsText" dxfId="713" priority="612" operator="containsText" text="T">
      <formula>NOT(ISERROR(SEARCH("T",AQ21)))</formula>
    </cfRule>
  </conditionalFormatting>
  <conditionalFormatting sqref="AQ153:AQ158">
    <cfRule type="containsText" dxfId="712" priority="766" operator="containsText" text="T">
      <formula>NOT(ISERROR(SEARCH("T",AQ153)))</formula>
    </cfRule>
  </conditionalFormatting>
  <conditionalFormatting sqref="AQ168">
    <cfRule type="containsText" dxfId="711" priority="688" operator="containsText" text="T">
      <formula>NOT(ISERROR(SEARCH("T",AQ168)))</formula>
    </cfRule>
  </conditionalFormatting>
  <conditionalFormatting sqref="AQ175 AU175:AW175 Z176:AT181 AW176:AW181">
    <cfRule type="containsText" dxfId="710" priority="673" operator="containsText" text="T">
      <formula>NOT(ISERROR(SEARCH("T",Z175)))</formula>
    </cfRule>
  </conditionalFormatting>
  <conditionalFormatting sqref="AQ175:AR175 AU175:AW175 AW176:AW181">
    <cfRule type="containsText" dxfId="709" priority="674" operator="containsText" text="17">
      <formula>NOT(ISERROR(SEARCH("17",AQ175)))</formula>
    </cfRule>
  </conditionalFormatting>
  <conditionalFormatting sqref="AQ41:AW41">
    <cfRule type="containsText" dxfId="708" priority="602" operator="containsText" text="17">
      <formula>NOT(ISERROR(SEARCH("17",AQ41)))</formula>
    </cfRule>
    <cfRule type="containsText" dxfId="707" priority="603" operator="containsText" text="T">
      <formula>NOT(ISERROR(SEARCH("T",AQ41)))</formula>
    </cfRule>
  </conditionalFormatting>
  <conditionalFormatting sqref="AQ72:BA75">
    <cfRule type="containsText" dxfId="706" priority="414" operator="containsText" text="17">
      <formula>NOT(ISERROR(SEARCH("17",AQ72)))</formula>
    </cfRule>
  </conditionalFormatting>
  <conditionalFormatting sqref="AQ106:BA106">
    <cfRule type="containsText" dxfId="705" priority="404" operator="containsText" text="17">
      <formula>NOT(ISERROR(SEARCH("17",AQ106)))</formula>
    </cfRule>
  </conditionalFormatting>
  <conditionalFormatting sqref="AQ120:BA120">
    <cfRule type="containsText" dxfId="704" priority="384" operator="containsText" text="17">
      <formula>NOT(ISERROR(SEARCH("17",AQ120)))</formula>
    </cfRule>
  </conditionalFormatting>
  <conditionalFormatting sqref="AQ122:BA122">
    <cfRule type="containsText" dxfId="703" priority="374" operator="containsText" text="17">
      <formula>NOT(ISERROR(SEARCH("17",AQ122)))</formula>
    </cfRule>
  </conditionalFormatting>
  <conditionalFormatting sqref="AQ124:BA126">
    <cfRule type="containsText" dxfId="702" priority="394" operator="containsText" text="17">
      <formula>NOT(ISERROR(SEARCH("17",AQ124)))</formula>
    </cfRule>
  </conditionalFormatting>
  <conditionalFormatting sqref="AQ145:BD151">
    <cfRule type="containsText" dxfId="701" priority="271" operator="containsText" text="17">
      <formula>NOT(ISERROR(SEARCH("17",AQ145)))</formula>
    </cfRule>
  </conditionalFormatting>
  <conditionalFormatting sqref="AQ145:BF151">
    <cfRule type="containsText" dxfId="700" priority="265" operator="containsText" text="T">
      <formula>NOT(ISERROR(SEARCH("T",AQ145)))</formula>
    </cfRule>
  </conditionalFormatting>
  <conditionalFormatting sqref="AR41">
    <cfRule type="containsText" dxfId="699" priority="598" operator="containsText" text="17">
      <formula>NOT(ISERROR(SEARCH("17",AR41)))</formula>
    </cfRule>
    <cfRule type="containsText" dxfId="698" priority="599" operator="containsText" text="T">
      <formula>NOT(ISERROR(SEARCH("T",AR41)))</formula>
    </cfRule>
  </conditionalFormatting>
  <conditionalFormatting sqref="AR160:AR165">
    <cfRule type="containsText" dxfId="697" priority="753" operator="containsText" text="T">
      <formula>NOT(ISERROR(SEARCH("T",AR160)))</formula>
    </cfRule>
  </conditionalFormatting>
  <conditionalFormatting sqref="AR175">
    <cfRule type="containsText" dxfId="696" priority="675" operator="containsText" text="T">
      <formula>NOT(ISERROR(SEARCH("T",AR175)))</formula>
    </cfRule>
  </conditionalFormatting>
  <conditionalFormatting sqref="AR182 AV182:AX182 AA183:AU190 AX183:AX190">
    <cfRule type="containsText" dxfId="695" priority="660" operator="containsText" text="T">
      <formula>NOT(ISERROR(SEARCH("T",AA182)))</formula>
    </cfRule>
  </conditionalFormatting>
  <conditionalFormatting sqref="AR182:AS182 AV182:AX182 AX183:AX190">
    <cfRule type="containsText" dxfId="694" priority="661" operator="containsText" text="17">
      <formula>NOT(ISERROR(SEARCH("17",AR182)))</formula>
    </cfRule>
  </conditionalFormatting>
  <conditionalFormatting sqref="AR28:AX32">
    <cfRule type="containsText" dxfId="693" priority="591" operator="containsText" text="17">
      <formula>NOT(ISERROR(SEARCH("17",AR28)))</formula>
    </cfRule>
    <cfRule type="containsText" dxfId="692" priority="592" operator="containsText" text="T">
      <formula>NOT(ISERROR(SEARCH("T",AR28)))</formula>
    </cfRule>
  </conditionalFormatting>
  <conditionalFormatting sqref="AR48:AX49">
    <cfRule type="containsText" dxfId="691" priority="581" operator="containsText" text="17">
      <formula>NOT(ISERROR(SEARCH("17",AR48)))</formula>
    </cfRule>
    <cfRule type="containsText" dxfId="690" priority="582" operator="containsText" text="T">
      <formula>NOT(ISERROR(SEARCH("T",AR48)))</formula>
    </cfRule>
  </conditionalFormatting>
  <conditionalFormatting sqref="AR69:BB71">
    <cfRule type="containsText" dxfId="689" priority="334" operator="containsText" text="17">
      <formula>NOT(ISERROR(SEARCH("17",AR69)))</formula>
    </cfRule>
  </conditionalFormatting>
  <conditionalFormatting sqref="AR103:BB104">
    <cfRule type="containsText" dxfId="688" priority="364" operator="containsText" text="17">
      <formula>NOT(ISERROR(SEARCH("17",AR103)))</formula>
    </cfRule>
  </conditionalFormatting>
  <conditionalFormatting sqref="AR121:BB121">
    <cfRule type="containsText" dxfId="687" priority="354" operator="containsText" text="17">
      <formula>NOT(ISERROR(SEARCH("17",AR121)))</formula>
    </cfRule>
  </conditionalFormatting>
  <conditionalFormatting sqref="AR123:BB123">
    <cfRule type="containsText" dxfId="686" priority="344" operator="containsText" text="17">
      <formula>NOT(ISERROR(SEARCH("17",AR123)))</formula>
    </cfRule>
  </conditionalFormatting>
  <conditionalFormatting sqref="AR152:BE158">
    <cfRule type="containsText" dxfId="685" priority="261" operator="containsText" text="17">
      <formula>NOT(ISERROR(SEARCH("17",AR152)))</formula>
    </cfRule>
  </conditionalFormatting>
  <conditionalFormatting sqref="AR152:BG158">
    <cfRule type="containsText" dxfId="684" priority="255" operator="containsText" text="T">
      <formula>NOT(ISERROR(SEARCH("T",AR152)))</formula>
    </cfRule>
  </conditionalFormatting>
  <conditionalFormatting sqref="AS28:AS32">
    <cfRule type="containsText" dxfId="683" priority="589" operator="containsText" text="T">
      <formula>NOT(ISERROR(SEARCH("T",AS28)))</formula>
    </cfRule>
    <cfRule type="containsText" dxfId="682" priority="588" operator="containsText" text="17">
      <formula>NOT(ISERROR(SEARCH("17",AS28)))</formula>
    </cfRule>
  </conditionalFormatting>
  <conditionalFormatting sqref="AS48:AS49">
    <cfRule type="containsText" dxfId="681" priority="578" operator="containsText" text="17">
      <formula>NOT(ISERROR(SEARCH("17",AS48)))</formula>
    </cfRule>
    <cfRule type="containsText" dxfId="680" priority="579" operator="containsText" text="T">
      <formula>NOT(ISERROR(SEARCH("T",AS48)))</formula>
    </cfRule>
  </conditionalFormatting>
  <conditionalFormatting sqref="AS90 AW90:AY90 AB91:AV96 AY91:AY96">
    <cfRule type="containsText" dxfId="679" priority="647" operator="containsText" text="T">
      <formula>NOT(ISERROR(SEARCH("T",AB90)))</formula>
    </cfRule>
  </conditionalFormatting>
  <conditionalFormatting sqref="AS182">
    <cfRule type="containsText" dxfId="678" priority="662" operator="containsText" text="T">
      <formula>NOT(ISERROR(SEARCH("T",AS182)))</formula>
    </cfRule>
  </conditionalFormatting>
  <conditionalFormatting sqref="AS192:AS193 X194:AR199 X192:AF193">
    <cfRule type="containsText" dxfId="677" priority="709" operator="containsText" text="17">
      <formula>NOT(ISERROR(SEARCH("17",X192)))</formula>
    </cfRule>
  </conditionalFormatting>
  <conditionalFormatting sqref="AS208:AS213">
    <cfRule type="containsText" dxfId="676" priority="740" operator="containsText" text="T">
      <formula>NOT(ISERROR(SEARCH("T",AS208)))</formula>
    </cfRule>
  </conditionalFormatting>
  <conditionalFormatting sqref="AS90:AT90 AW90:AY90 AY91:AY96">
    <cfRule type="containsText" dxfId="675" priority="648" operator="containsText" text="17">
      <formula>NOT(ISERROR(SEARCH("17",AS90)))</formula>
    </cfRule>
  </conditionalFormatting>
  <conditionalFormatting sqref="AS50:AY53">
    <cfRule type="containsText" dxfId="674" priority="572" operator="containsText" text="T">
      <formula>NOT(ISERROR(SEARCH("T",AS50)))</formula>
    </cfRule>
    <cfRule type="containsText" dxfId="673" priority="571" operator="containsText" text="17">
      <formula>NOT(ISERROR(SEARCH("17",AS50)))</formula>
    </cfRule>
  </conditionalFormatting>
  <conditionalFormatting sqref="AS63:AY66">
    <cfRule type="containsText" dxfId="672" priority="562" operator="containsText" text="T">
      <formula>NOT(ISERROR(SEARCH("T",AS63)))</formula>
    </cfRule>
    <cfRule type="containsText" dxfId="671" priority="561" operator="containsText" text="17">
      <formula>NOT(ISERROR(SEARCH("17",AS63)))</formula>
    </cfRule>
  </conditionalFormatting>
  <conditionalFormatting sqref="AS67:BC68">
    <cfRule type="containsText" dxfId="670" priority="304" operator="containsText" text="17">
      <formula>NOT(ISERROR(SEARCH("17",AS67)))</formula>
    </cfRule>
  </conditionalFormatting>
  <conditionalFormatting sqref="AS99:BC102">
    <cfRule type="containsText" dxfId="669" priority="324" operator="containsText" text="17">
      <formula>NOT(ISERROR(SEARCH("17",AS99)))</formula>
    </cfRule>
  </conditionalFormatting>
  <conditionalFormatting sqref="AS105:BC105">
    <cfRule type="containsText" dxfId="668" priority="314" operator="containsText" text="17">
      <formula>NOT(ISERROR(SEARCH("17",AS105)))</formula>
    </cfRule>
  </conditionalFormatting>
  <conditionalFormatting sqref="AS159:BF165">
    <cfRule type="containsText" dxfId="667" priority="251" operator="containsText" text="17">
      <formula>NOT(ISERROR(SEARCH("17",AS159)))</formula>
    </cfRule>
  </conditionalFormatting>
  <conditionalFormatting sqref="AS159:BH165">
    <cfRule type="containsText" dxfId="666" priority="245" operator="containsText" text="T">
      <formula>NOT(ISERROR(SEARCH("T",AS159)))</formula>
    </cfRule>
  </conditionalFormatting>
  <conditionalFormatting sqref="AT14 AX14:AZ14 AC15:AW20 AZ15:AZ20">
    <cfRule type="containsText" dxfId="665" priority="634" operator="containsText" text="T">
      <formula>NOT(ISERROR(SEARCH("T",AC14)))</formula>
    </cfRule>
  </conditionalFormatting>
  <conditionalFormatting sqref="AT50:AT53">
    <cfRule type="containsText" dxfId="664" priority="568" operator="containsText" text="17">
      <formula>NOT(ISERROR(SEARCH("17",AT50)))</formula>
    </cfRule>
    <cfRule type="containsText" dxfId="663" priority="569" operator="containsText" text="T">
      <formula>NOT(ISERROR(SEARCH("T",AT50)))</formula>
    </cfRule>
  </conditionalFormatting>
  <conditionalFormatting sqref="AT63:AT66">
    <cfRule type="containsText" dxfId="662" priority="558" operator="containsText" text="17">
      <formula>NOT(ISERROR(SEARCH("17",AT63)))</formula>
    </cfRule>
    <cfRule type="containsText" dxfId="661" priority="559" operator="containsText" text="T">
      <formula>NOT(ISERROR(SEARCH("T",AT63)))</formula>
    </cfRule>
  </conditionalFormatting>
  <conditionalFormatting sqref="AT90">
    <cfRule type="containsText" dxfId="660" priority="649" operator="containsText" text="T">
      <formula>NOT(ISERROR(SEARCH("T",AT90)))</formula>
    </cfRule>
  </conditionalFormatting>
  <conditionalFormatting sqref="AT201:AT206">
    <cfRule type="containsText" dxfId="659" priority="727" operator="containsText" text="T">
      <formula>NOT(ISERROR(SEARCH("T",AT201)))</formula>
    </cfRule>
  </conditionalFormatting>
  <conditionalFormatting sqref="AT14:AU14 AX14:AZ14 AZ15:AZ20">
    <cfRule type="containsText" dxfId="658" priority="635" operator="containsText" text="17">
      <formula>NOT(ISERROR(SEARCH("17",AT14)))</formula>
    </cfRule>
  </conditionalFormatting>
  <conditionalFormatting sqref="AT59:AZ62">
    <cfRule type="containsText" dxfId="657" priority="548" operator="containsText" text="T">
      <formula>NOT(ISERROR(SEARCH("T",AT59)))</formula>
    </cfRule>
    <cfRule type="containsText" dxfId="656" priority="547" operator="containsText" text="17">
      <formula>NOT(ISERROR(SEARCH("17",AT59)))</formula>
    </cfRule>
  </conditionalFormatting>
  <conditionalFormatting sqref="AT86:AZ89">
    <cfRule type="containsText" dxfId="655" priority="538" operator="containsText" text="T">
      <formula>NOT(ISERROR(SEARCH("T",AT86)))</formula>
    </cfRule>
    <cfRule type="containsText" dxfId="654" priority="537" operator="containsText" text="17">
      <formula>NOT(ISERROR(SEARCH("17",AT86)))</formula>
    </cfRule>
  </conditionalFormatting>
  <conditionalFormatting sqref="AT97:BD98">
    <cfRule type="containsText" dxfId="653" priority="294" operator="containsText" text="17">
      <formula>NOT(ISERROR(SEARCH("17",AT97)))</formula>
    </cfRule>
  </conditionalFormatting>
  <conditionalFormatting sqref="AT131:BD137">
    <cfRule type="containsText" dxfId="652" priority="284" operator="containsText" text="17">
      <formula>NOT(ISERROR(SEARCH("17",AT131)))</formula>
    </cfRule>
  </conditionalFormatting>
  <conditionalFormatting sqref="AU14">
    <cfRule type="containsText" dxfId="651" priority="636" operator="containsText" text="T">
      <formula>NOT(ISERROR(SEARCH("T",AU14)))</formula>
    </cfRule>
  </conditionalFormatting>
  <conditionalFormatting sqref="AU34 AY34:BA34 AD35:AX40 BA35:BA40">
    <cfRule type="containsText" dxfId="650" priority="621" operator="containsText" text="T">
      <formula>NOT(ISERROR(SEARCH("T",AD34)))</formula>
    </cfRule>
  </conditionalFormatting>
  <conditionalFormatting sqref="AU59:AU62">
    <cfRule type="containsText" dxfId="649" priority="544" operator="containsText" text="17">
      <formula>NOT(ISERROR(SEARCH("17",AU59)))</formula>
    </cfRule>
    <cfRule type="containsText" dxfId="648" priority="545" operator="containsText" text="T">
      <formula>NOT(ISERROR(SEARCH("T",AU59)))</formula>
    </cfRule>
  </conditionalFormatting>
  <conditionalFormatting sqref="AU86:AU89">
    <cfRule type="containsText" dxfId="647" priority="535" operator="containsText" text="T">
      <formula>NOT(ISERROR(SEARCH("T",AU86)))</formula>
    </cfRule>
    <cfRule type="containsText" dxfId="646" priority="534" operator="containsText" text="17">
      <formula>NOT(ISERROR(SEARCH("17",AU86)))</formula>
    </cfRule>
  </conditionalFormatting>
  <conditionalFormatting sqref="AU194:AU199">
    <cfRule type="containsText" dxfId="645" priority="714" operator="containsText" text="T">
      <formula>NOT(ISERROR(SEARCH("T",AU194)))</formula>
    </cfRule>
  </conditionalFormatting>
  <conditionalFormatting sqref="AU34:AV34 AY34:BA34 BA35:BA40">
    <cfRule type="containsText" dxfId="644" priority="622" operator="containsText" text="17">
      <formula>NOT(ISERROR(SEARCH("17",AU34)))</formula>
    </cfRule>
  </conditionalFormatting>
  <conditionalFormatting sqref="AU83:BA85">
    <cfRule type="containsText" dxfId="643" priority="528" operator="containsText" text="T">
      <formula>NOT(ISERROR(SEARCH("T",AU83)))</formula>
    </cfRule>
    <cfRule type="containsText" dxfId="642" priority="527" operator="containsText" text="17">
      <formula>NOT(ISERROR(SEARCH("17",AU83)))</formula>
    </cfRule>
  </conditionalFormatting>
  <conditionalFormatting sqref="AU214:BA217">
    <cfRule type="containsText" dxfId="641" priority="518" operator="containsText" text="T">
      <formula>NOT(ISERROR(SEARCH("T",AU214)))</formula>
    </cfRule>
    <cfRule type="containsText" dxfId="640" priority="517" operator="containsText" text="17">
      <formula>NOT(ISERROR(SEARCH("17",AU214)))</formula>
    </cfRule>
  </conditionalFormatting>
  <conditionalFormatting sqref="AU138:BE144">
    <cfRule type="containsText" dxfId="639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8" priority="8533" operator="containsText" text="17">
      <formula>NOT(ISERROR(SEARCH("17",J14)))</formula>
    </cfRule>
  </conditionalFormatting>
  <conditionalFormatting sqref="AV21 AZ21:BB21 AE22:AY27">
    <cfRule type="containsText" dxfId="637" priority="608" operator="containsText" text="T">
      <formula>NOT(ISERROR(SEARCH("T",AE21)))</formula>
    </cfRule>
  </conditionalFormatting>
  <conditionalFormatting sqref="AV34">
    <cfRule type="containsText" dxfId="636" priority="623" operator="containsText" text="T">
      <formula>NOT(ISERROR(SEARCH("T",AV34)))</formula>
    </cfRule>
  </conditionalFormatting>
  <conditionalFormatting sqref="AV83:AV85">
    <cfRule type="containsText" dxfId="635" priority="524" operator="containsText" text="17">
      <formula>NOT(ISERROR(SEARCH("17",AV83)))</formula>
    </cfRule>
    <cfRule type="containsText" dxfId="634" priority="525" operator="containsText" text="T">
      <formula>NOT(ISERROR(SEARCH("T",AV83)))</formula>
    </cfRule>
  </conditionalFormatting>
  <conditionalFormatting sqref="AV169:AV174">
    <cfRule type="containsText" dxfId="633" priority="696" operator="containsText" text="T">
      <formula>NOT(ISERROR(SEARCH("T",AV169)))</formula>
    </cfRule>
  </conditionalFormatting>
  <conditionalFormatting sqref="AV214:AV217">
    <cfRule type="containsText" dxfId="632" priority="514" operator="containsText" text="17">
      <formula>NOT(ISERROR(SEARCH("17",AV214)))</formula>
    </cfRule>
    <cfRule type="containsText" dxfId="631" priority="515" operator="containsText" text="T">
      <formula>NOT(ISERROR(SEARCH("T",AV214)))</formula>
    </cfRule>
  </conditionalFormatting>
  <conditionalFormatting sqref="AV21:AW21 AZ21:BB21 BB22:BF27">
    <cfRule type="containsText" dxfId="630" priority="609" operator="containsText" text="17">
      <formula>NOT(ISERROR(SEARCH("17",AV21)))</formula>
    </cfRule>
  </conditionalFormatting>
  <conditionalFormatting sqref="AV218:BB224">
    <cfRule type="containsText" dxfId="629" priority="507" operator="containsText" text="17">
      <formula>NOT(ISERROR(SEARCH("17",AV218)))</formula>
    </cfRule>
    <cfRule type="containsText" dxfId="628" priority="508" operator="containsText" text="T">
      <formula>NOT(ISERROR(SEARCH("T",AV218)))</formula>
    </cfRule>
  </conditionalFormatting>
  <conditionalFormatting sqref="AV145:BF151">
    <cfRule type="containsText" dxfId="627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6" priority="7303" operator="containsText" text="T">
      <formula>NOT(ISERROR(SEARCH("T",J14)))</formula>
    </cfRule>
  </conditionalFormatting>
  <conditionalFormatting sqref="AW21">
    <cfRule type="containsText" dxfId="625" priority="610" operator="containsText" text="T">
      <formula>NOT(ISERROR(SEARCH("T",AW21)))</formula>
    </cfRule>
  </conditionalFormatting>
  <conditionalFormatting sqref="AW41 BA41:BC41 AF42:AZ47 BC42:BC47">
    <cfRule type="containsText" dxfId="624" priority="595" operator="containsText" text="T">
      <formula>NOT(ISERROR(SEARCH("T",AF41)))</formula>
    </cfRule>
  </conditionalFormatting>
  <conditionalFormatting sqref="AW176:AW181">
    <cfRule type="containsText" dxfId="623" priority="683" operator="containsText" text="T">
      <formula>NOT(ISERROR(SEARCH("T",AW176)))</formula>
    </cfRule>
  </conditionalFormatting>
  <conditionalFormatting sqref="AW218:AW224">
    <cfRule type="containsText" dxfId="622" priority="505" operator="containsText" text="T">
      <formula>NOT(ISERROR(SEARCH("T",AW218)))</formula>
    </cfRule>
    <cfRule type="containsText" dxfId="621" priority="504" operator="containsText" text="17">
      <formula>NOT(ISERROR(SEARCH("17",AW218)))</formula>
    </cfRule>
  </conditionalFormatting>
  <conditionalFormatting sqref="AW41:AX41 BA41:BC41 BC42:BC47">
    <cfRule type="containsText" dxfId="620" priority="596" operator="containsText" text="17">
      <formula>NOT(ISERROR(SEARCH("17",AW41)))</formula>
    </cfRule>
  </conditionalFormatting>
  <conditionalFormatting sqref="AW225:BC231">
    <cfRule type="containsText" dxfId="619" priority="498" operator="containsText" text="T">
      <formula>NOT(ISERROR(SEARCH("T",AW225)))</formula>
    </cfRule>
    <cfRule type="containsText" dxfId="618" priority="497" operator="containsText" text="17">
      <formula>NOT(ISERROR(SEARCH("17",AW225)))</formula>
    </cfRule>
  </conditionalFormatting>
  <conditionalFormatting sqref="AW152:BG158">
    <cfRule type="containsText" dxfId="617" priority="254" operator="containsText" text="17">
      <formula>NOT(ISERROR(SEARCH("17",AW152)))</formula>
    </cfRule>
  </conditionalFormatting>
  <conditionalFormatting sqref="AW168:CP174">
    <cfRule type="containsText" dxfId="616" priority="205" operator="containsText" text="17">
      <formula>NOT(ISERROR(SEARCH("17",AW168)))</formula>
    </cfRule>
  </conditionalFormatting>
  <conditionalFormatting sqref="AX28:AX32 BB28:BD32">
    <cfRule type="containsText" dxfId="615" priority="585" operator="containsText" text="T">
      <formula>NOT(ISERROR(SEARCH("T",AX28)))</formula>
    </cfRule>
  </conditionalFormatting>
  <conditionalFormatting sqref="AX41">
    <cfRule type="containsText" dxfId="614" priority="597" operator="containsText" text="T">
      <formula>NOT(ISERROR(SEARCH("T",AX41)))</formula>
    </cfRule>
  </conditionalFormatting>
  <conditionalFormatting sqref="AX48:AX49 BB48:BD49">
    <cfRule type="containsText" dxfId="613" priority="575" operator="containsText" text="T">
      <formula>NOT(ISERROR(SEARCH("T",AX48)))</formula>
    </cfRule>
  </conditionalFormatting>
  <conditionalFormatting sqref="AX180:AX181 AY182:AY185 BM191 BU200:BU202 BV203:BV205">
    <cfRule type="containsText" dxfId="612" priority="7319" operator="containsText" text="T">
      <formula>NOT(ISERROR(SEARCH("T",AX180)))</formula>
    </cfRule>
    <cfRule type="containsText" dxfId="611" priority="7321" operator="containsText" text="T">
      <formula>NOT(ISERROR(SEARCH("T",AX180)))</formula>
    </cfRule>
    <cfRule type="containsText" dxfId="610" priority="7320" operator="containsText" text="17">
      <formula>NOT(ISERROR(SEARCH("17",AX180)))</formula>
    </cfRule>
  </conditionalFormatting>
  <conditionalFormatting sqref="AX183:AX190">
    <cfRule type="containsText" dxfId="609" priority="670" operator="containsText" text="T">
      <formula>NOT(ISERROR(SEARCH("T",AX183)))</formula>
    </cfRule>
  </conditionalFormatting>
  <conditionalFormatting sqref="AX192">
    <cfRule type="containsText" dxfId="608" priority="6267" operator="containsText" text="T">
      <formula>NOT(ISERROR(SEARCH("T",AX192)))</formula>
    </cfRule>
    <cfRule type="containsText" dxfId="607" priority="6266" operator="containsText" text="17">
      <formula>NOT(ISERROR(SEARCH("17",AX192)))</formula>
    </cfRule>
    <cfRule type="containsText" dxfId="606" priority="2370" operator="containsText" text="T">
      <formula>NOT(ISERROR(SEARCH("T",AX192)))</formula>
    </cfRule>
    <cfRule type="containsText" dxfId="605" priority="2369" operator="containsText" text="17">
      <formula>NOT(ISERROR(SEARCH("17",AX192)))</formula>
    </cfRule>
  </conditionalFormatting>
  <conditionalFormatting sqref="AX196:AX198">
    <cfRule type="containsText" dxfId="604" priority="7295" operator="containsText" text="T">
      <formula>NOT(ISERROR(SEARCH("T",AX196)))</formula>
    </cfRule>
    <cfRule type="containsText" dxfId="603" priority="7294" operator="containsText" text="17">
      <formula>NOT(ISERROR(SEARCH("17",AX196)))</formula>
    </cfRule>
  </conditionalFormatting>
  <conditionalFormatting sqref="AX225:AX231">
    <cfRule type="containsText" dxfId="602" priority="494" operator="containsText" text="17">
      <formula>NOT(ISERROR(SEARCH("17",AX225)))</formula>
    </cfRule>
    <cfRule type="containsText" dxfId="601" priority="495" operator="containsText" text="T">
      <formula>NOT(ISERROR(SEARCH("T",AX225)))</formula>
    </cfRule>
  </conditionalFormatting>
  <conditionalFormatting sqref="AX28:AY32 BB28:BD32">
    <cfRule type="containsText" dxfId="600" priority="586" operator="containsText" text="17">
      <formula>NOT(ISERROR(SEARCH("17",AX28)))</formula>
    </cfRule>
  </conditionalFormatting>
  <conditionalFormatting sqref="AX48:AY49 BB48:BD49">
    <cfRule type="containsText" dxfId="599" priority="576" operator="containsText" text="17">
      <formula>NOT(ISERROR(SEARCH("17",AX48)))</formula>
    </cfRule>
  </conditionalFormatting>
  <conditionalFormatting sqref="AX170:BA170">
    <cfRule type="containsText" dxfId="598" priority="8728" operator="containsText" text="17">
      <formula>NOT(ISERROR(SEARCH("17",AX170)))</formula>
    </cfRule>
    <cfRule type="containsText" dxfId="597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6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95" priority="5061" operator="containsText" text="T">
      <formula>NOT(ISERROR(SEARCH("T",AX199)))</formula>
    </cfRule>
  </conditionalFormatting>
  <conditionalFormatting sqref="AX33:BC33">
    <cfRule type="containsText" dxfId="594" priority="8832" operator="containsText" text="T">
      <formula>NOT(ISERROR(SEARCH("T",AX33)))</formula>
    </cfRule>
  </conditionalFormatting>
  <conditionalFormatting sqref="AX113:BD116">
    <cfRule type="containsText" dxfId="593" priority="478" operator="containsText" text="T">
      <formula>NOT(ISERROR(SEARCH("T",AX113)))</formula>
    </cfRule>
    <cfRule type="containsText" dxfId="592" priority="477" operator="containsText" text="17">
      <formula>NOT(ISERROR(SEARCH("17",AX113)))</formula>
    </cfRule>
  </conditionalFormatting>
  <conditionalFormatting sqref="AX232:BD234">
    <cfRule type="containsText" dxfId="591" priority="487" operator="containsText" text="17">
      <formula>NOT(ISERROR(SEARCH("17",AX232)))</formula>
    </cfRule>
    <cfRule type="containsText" dxfId="590" priority="488" operator="containsText" text="T">
      <formula>NOT(ISERROR(SEARCH("T",AX232)))</formula>
    </cfRule>
  </conditionalFormatting>
  <conditionalFormatting sqref="AX199:BE199 AX206:BD206 AX213">
    <cfRule type="containsText" dxfId="589" priority="5068" operator="containsText" text="17">
      <formula>NOT(ISERROR(SEARCH("17",AX199)))</formula>
    </cfRule>
    <cfRule type="containsText" dxfId="588" priority="5069" operator="containsText" text="T">
      <formula>NOT(ISERROR(SEARCH("T",AX199)))</formula>
    </cfRule>
  </conditionalFormatting>
  <conditionalFormatting sqref="AX159:BH165">
    <cfRule type="containsText" dxfId="587" priority="244" operator="containsText" text="17">
      <formula>NOT(ISERROR(SEARCH("17",AX159)))</formula>
    </cfRule>
  </conditionalFormatting>
  <conditionalFormatting sqref="AX175:CP181">
    <cfRule type="containsText" dxfId="586" priority="172" operator="containsText" text="T">
      <formula>NOT(ISERROR(SEARCH("T",AX175)))</formula>
    </cfRule>
  </conditionalFormatting>
  <conditionalFormatting sqref="AY28:AY32">
    <cfRule type="containsText" dxfId="585" priority="587" operator="containsText" text="T">
      <formula>NOT(ISERROR(SEARCH("T",AY28)))</formula>
    </cfRule>
  </conditionalFormatting>
  <conditionalFormatting sqref="AY33">
    <cfRule type="containsText" dxfId="584" priority="8206" operator="containsText" text="17">
      <formula>NOT(ISERROR(SEARCH("17",AY33)))</formula>
    </cfRule>
    <cfRule type="containsText" dxfId="583" priority="8207" operator="containsText" text="T">
      <formula>NOT(ISERROR(SEARCH("T",AY33)))</formula>
    </cfRule>
  </conditionalFormatting>
  <conditionalFormatting sqref="AY48:AY49">
    <cfRule type="containsText" dxfId="582" priority="577" operator="containsText" text="T">
      <formula>NOT(ISERROR(SEARCH("T",AY48)))</formula>
    </cfRule>
  </conditionalFormatting>
  <conditionalFormatting sqref="AY50:AY53 BC50:BE53">
    <cfRule type="containsText" dxfId="581" priority="565" operator="containsText" text="T">
      <formula>NOT(ISERROR(SEARCH("T",AY50)))</formula>
    </cfRule>
  </conditionalFormatting>
  <conditionalFormatting sqref="AY63:AY66 BC63:BI66">
    <cfRule type="containsText" dxfId="580" priority="555" operator="containsText" text="T">
      <formula>NOT(ISERROR(SEARCH("T",AY63)))</formula>
    </cfRule>
  </conditionalFormatting>
  <conditionalFormatting sqref="AY91:AY96">
    <cfRule type="containsText" dxfId="579" priority="657" operator="containsText" text="T">
      <formula>NOT(ISERROR(SEARCH("T",AY91)))</formula>
    </cfRule>
  </conditionalFormatting>
  <conditionalFormatting sqref="AY113:AY116">
    <cfRule type="containsText" dxfId="578" priority="474" operator="containsText" text="17">
      <formula>NOT(ISERROR(SEARCH("17",AY113)))</formula>
    </cfRule>
    <cfRule type="containsText" dxfId="577" priority="475" operator="containsText" text="T">
      <formula>NOT(ISERROR(SEARCH("T",AY113)))</formula>
    </cfRule>
  </conditionalFormatting>
  <conditionalFormatting sqref="AY182:AY185 BM191 BU200:BU202 BV203:BV205 AX180:AX181">
    <cfRule type="containsText" dxfId="576" priority="7318" operator="containsText" text="17">
      <formula>NOT(ISERROR(SEARCH("17",AX180)))</formula>
    </cfRule>
  </conditionalFormatting>
  <conditionalFormatting sqref="AY189">
    <cfRule type="containsText" dxfId="575" priority="4911" operator="containsText" text="T">
      <formula>NOT(ISERROR(SEARCH("T",AY189)))</formula>
    </cfRule>
    <cfRule type="containsText" dxfId="574" priority="4910" operator="containsText" text="17">
      <formula>NOT(ISERROR(SEARCH("17",AY189)))</formula>
    </cfRule>
    <cfRule type="containsText" dxfId="573" priority="4892" operator="containsText" text="17">
      <formula>NOT(ISERROR(SEARCH("17",AY189)))</formula>
    </cfRule>
    <cfRule type="containsText" dxfId="572" priority="4893" operator="containsText" text="T">
      <formula>NOT(ISERROR(SEARCH("T",AY189)))</formula>
    </cfRule>
  </conditionalFormatting>
  <conditionalFormatting sqref="AY190 AX191:BH191 BK191 BO191:BS191">
    <cfRule type="containsText" dxfId="571" priority="8514" operator="containsText" text="T">
      <formula>NOT(ISERROR(SEARCH("T",AX190)))</formula>
    </cfRule>
  </conditionalFormatting>
  <conditionalFormatting sqref="AY199 AX206">
    <cfRule type="containsText" dxfId="570" priority="2143" operator="containsText" text="17">
      <formula>NOT(ISERROR(SEARCH("17",AX199)))</formula>
    </cfRule>
    <cfRule type="containsText" dxfId="569" priority="2144" operator="containsText" text="T">
      <formula>NOT(ISERROR(SEARCH("T",AX199)))</formula>
    </cfRule>
  </conditionalFormatting>
  <conditionalFormatting sqref="AY232:AY234">
    <cfRule type="containsText" dxfId="568" priority="484" operator="containsText" text="17">
      <formula>NOT(ISERROR(SEARCH("17",AY232)))</formula>
    </cfRule>
    <cfRule type="containsText" dxfId="567" priority="485" operator="containsText" text="T">
      <formula>NOT(ISERROR(SEARCH("T",AY232)))</formula>
    </cfRule>
  </conditionalFormatting>
  <conditionalFormatting sqref="AY50:AZ53 BC50:BE53">
    <cfRule type="containsText" dxfId="566" priority="566" operator="containsText" text="17">
      <formula>NOT(ISERROR(SEARCH("17",AY50)))</formula>
    </cfRule>
  </conditionalFormatting>
  <conditionalFormatting sqref="AY63:AZ66 BC63:BE66">
    <cfRule type="containsText" dxfId="565" priority="556" operator="containsText" text="17">
      <formula>NOT(ISERROR(SEARCH("17",AY63)))</formula>
    </cfRule>
  </conditionalFormatting>
  <conditionalFormatting sqref="AY79:BE82">
    <cfRule type="containsText" dxfId="564" priority="458" operator="containsText" text="T">
      <formula>NOT(ISERROR(SEARCH("T",AY79)))</formula>
    </cfRule>
    <cfRule type="containsText" dxfId="563" priority="457" operator="containsText" text="17">
      <formula>NOT(ISERROR(SEARCH("17",AY79)))</formula>
    </cfRule>
  </conditionalFormatting>
  <conditionalFormatting sqref="AY117:BE119">
    <cfRule type="containsText" dxfId="562" priority="468" operator="containsText" text="T">
      <formula>NOT(ISERROR(SEARCH("T",AY117)))</formula>
    </cfRule>
    <cfRule type="containsText" dxfId="561" priority="467" operator="containsText" text="17">
      <formula>NOT(ISERROR(SEARCH("17",AY117)))</formula>
    </cfRule>
  </conditionalFormatting>
  <conditionalFormatting sqref="AY207:BI213">
    <cfRule type="containsText" dxfId="560" priority="234" operator="containsText" text="17">
      <formula>NOT(ISERROR(SEARCH("17",AY207)))</formula>
    </cfRule>
  </conditionalFormatting>
  <conditionalFormatting sqref="AY207:BP213">
    <cfRule type="containsText" dxfId="559" priority="243" operator="containsText" text="T">
      <formula>NOT(ISERROR(SEARCH("T",AY207)))</formula>
    </cfRule>
  </conditionalFormatting>
  <conditionalFormatting sqref="AY193:BV213 AX195:BV195 BH214:BL215">
    <cfRule type="containsText" dxfId="558" priority="914" operator="containsText" text="T">
      <formula>NOT(ISERROR(SEARCH("T",AX193)))</formula>
    </cfRule>
  </conditionalFormatting>
  <conditionalFormatting sqref="AZ15:AZ20">
    <cfRule type="containsText" dxfId="557" priority="644" operator="containsText" text="T">
      <formula>NOT(ISERROR(SEARCH("T",AZ15)))</formula>
    </cfRule>
  </conditionalFormatting>
  <conditionalFormatting sqref="AZ50:AZ53">
    <cfRule type="containsText" dxfId="556" priority="567" operator="containsText" text="T">
      <formula>NOT(ISERROR(SEARCH("T",AZ50)))</formula>
    </cfRule>
  </conditionalFormatting>
  <conditionalFormatting sqref="AZ63:AZ66">
    <cfRule type="containsText" dxfId="555" priority="557" operator="containsText" text="T">
      <formula>NOT(ISERROR(SEARCH("T",AZ63)))</formula>
    </cfRule>
  </conditionalFormatting>
  <conditionalFormatting sqref="AZ79:AZ82">
    <cfRule type="containsText" dxfId="554" priority="455" operator="containsText" text="T">
      <formula>NOT(ISERROR(SEARCH("T",AZ79)))</formula>
    </cfRule>
    <cfRule type="containsText" dxfId="553" priority="454" operator="containsText" text="17">
      <formula>NOT(ISERROR(SEARCH("17",AZ79)))</formula>
    </cfRule>
  </conditionalFormatting>
  <conditionalFormatting sqref="AZ86:AZ89 BD86:BF89">
    <cfRule type="containsText" dxfId="552" priority="531" operator="containsText" text="T">
      <formula>NOT(ISERROR(SEARCH("T",AZ86)))</formula>
    </cfRule>
  </conditionalFormatting>
  <conditionalFormatting sqref="AZ117:AZ119">
    <cfRule type="containsText" dxfId="551" priority="465" operator="containsText" text="T">
      <formula>NOT(ISERROR(SEARCH("T",AZ117)))</formula>
    </cfRule>
    <cfRule type="containsText" dxfId="550" priority="464" operator="containsText" text="17">
      <formula>NOT(ISERROR(SEARCH("17",AZ117)))</formula>
    </cfRule>
  </conditionalFormatting>
  <conditionalFormatting sqref="AZ59:BA62 BD59:BF62">
    <cfRule type="containsText" dxfId="549" priority="542" operator="containsText" text="17">
      <formula>NOT(ISERROR(SEARCH("17",AZ59)))</formula>
    </cfRule>
  </conditionalFormatting>
  <conditionalFormatting sqref="AZ86:BA89 BD86:BF89">
    <cfRule type="containsText" dxfId="548" priority="532" operator="containsText" text="17">
      <formula>NOT(ISERROR(SEARCH("17",AZ86)))</formula>
    </cfRule>
  </conditionalFormatting>
  <conditionalFormatting sqref="AZ93:BB93">
    <cfRule type="containsText" dxfId="547" priority="4057" operator="containsText" text="T">
      <formula>NOT(ISERROR(SEARCH("T",AZ93)))</formula>
    </cfRule>
    <cfRule type="containsText" dxfId="546" priority="4056" operator="containsText" text="17">
      <formula>NOT(ISERROR(SEARCH("17",AZ93)))</formula>
    </cfRule>
  </conditionalFormatting>
  <conditionalFormatting sqref="AZ175:BB178">
    <cfRule type="containsText" dxfId="545" priority="933" operator="containsText" text="T">
      <formula>NOT(ISERROR(SEARCH("T",AZ175)))</formula>
    </cfRule>
  </conditionalFormatting>
  <conditionalFormatting sqref="AZ180:BB181 AZ182:BC183">
    <cfRule type="containsText" dxfId="544" priority="927" operator="containsText" text="T">
      <formula>NOT(ISERROR(SEARCH("T",AZ180)))</formula>
    </cfRule>
  </conditionalFormatting>
  <conditionalFormatting sqref="AZ185:BC188 AZ189:BW190">
    <cfRule type="containsText" dxfId="543" priority="921" operator="containsText" text="T">
      <formula>NOT(ISERROR(SEARCH("T",AZ185)))</formula>
    </cfRule>
  </conditionalFormatting>
  <conditionalFormatting sqref="AZ200:BJ206">
    <cfRule type="containsText" dxfId="542" priority="223" operator="containsText" text="17">
      <formula>NOT(ISERROR(SEARCH("17",AZ200)))</formula>
    </cfRule>
  </conditionalFormatting>
  <conditionalFormatting sqref="AZ200:BW206">
    <cfRule type="containsText" dxfId="541" priority="232" operator="containsText" text="T">
      <formula>NOT(ISERROR(SEARCH("T",AZ200)))</formula>
    </cfRule>
  </conditionalFormatting>
  <conditionalFormatting sqref="BA22:BA27">
    <cfRule type="containsText" dxfId="540" priority="550" operator="containsText" text="17">
      <formula>NOT(ISERROR(SEARCH("17",BA22)))</formula>
    </cfRule>
    <cfRule type="containsText" dxfId="539" priority="549" operator="containsText" text="T">
      <formula>NOT(ISERROR(SEARCH("T",BA22)))</formula>
    </cfRule>
  </conditionalFormatting>
  <conditionalFormatting sqref="BA35:BA40">
    <cfRule type="containsText" dxfId="538" priority="631" operator="containsText" text="T">
      <formula>NOT(ISERROR(SEARCH("T",BA35)))</formula>
    </cfRule>
  </conditionalFormatting>
  <conditionalFormatting sqref="BA59:BA62">
    <cfRule type="containsText" dxfId="537" priority="543" operator="containsText" text="T">
      <formula>NOT(ISERROR(SEARCH("T",BA59)))</formula>
    </cfRule>
  </conditionalFormatting>
  <conditionalFormatting sqref="BA83:BA85 BE83:BG85">
    <cfRule type="containsText" dxfId="536" priority="521" operator="containsText" text="T">
      <formula>NOT(ISERROR(SEARCH("T",BA83)))</formula>
    </cfRule>
  </conditionalFormatting>
  <conditionalFormatting sqref="BA86:BA89">
    <cfRule type="containsText" dxfId="535" priority="533" operator="containsText" text="T">
      <formula>NOT(ISERROR(SEARCH("T",BA86)))</formula>
    </cfRule>
  </conditionalFormatting>
  <conditionalFormatting sqref="BA199 AZ206">
    <cfRule type="containsText" dxfId="534" priority="5057" operator="containsText" text="T">
      <formula>NOT(ISERROR(SEARCH("T",AZ199)))</formula>
    </cfRule>
    <cfRule type="containsText" dxfId="533" priority="5056" operator="containsText" text="17">
      <formula>NOT(ISERROR(SEARCH("17",AZ199)))</formula>
    </cfRule>
  </conditionalFormatting>
  <conditionalFormatting sqref="BA214:BA217 BE214:BG217">
    <cfRule type="containsText" dxfId="532" priority="511" operator="containsText" text="T">
      <formula>NOT(ISERROR(SEARCH("T",BA214)))</formula>
    </cfRule>
  </conditionalFormatting>
  <conditionalFormatting sqref="BA22:BB27">
    <cfRule type="containsText" dxfId="531" priority="552" operator="containsText" text="T">
      <formula>NOT(ISERROR(SEARCH("T",BA22)))</formula>
    </cfRule>
  </conditionalFormatting>
  <conditionalFormatting sqref="BA83:BB85 BE83:BG85">
    <cfRule type="containsText" dxfId="530" priority="522" operator="containsText" text="17">
      <formula>NOT(ISERROR(SEARCH("17",BA83)))</formula>
    </cfRule>
  </conditionalFormatting>
  <conditionalFormatting sqref="BA214:BB217 BE214:BG217">
    <cfRule type="containsText" dxfId="529" priority="512" operator="containsText" text="17">
      <formula>NOT(ISERROR(SEARCH("17",BA214)))</formula>
    </cfRule>
  </conditionalFormatting>
  <conditionalFormatting sqref="BA76:BG78">
    <cfRule type="containsText" dxfId="528" priority="433" operator="containsText" text="T">
      <formula>NOT(ISERROR(SEARCH("T",BA76)))</formula>
    </cfRule>
    <cfRule type="containsText" dxfId="527" priority="432" operator="containsText" text="17">
      <formula>NOT(ISERROR(SEARCH("17",BA76)))</formula>
    </cfRule>
  </conditionalFormatting>
  <conditionalFormatting sqref="BA107:BG112">
    <cfRule type="containsText" dxfId="526" priority="443" operator="containsText" text="T">
      <formula>NOT(ISERROR(SEARCH("T",BA107)))</formula>
    </cfRule>
    <cfRule type="containsText" dxfId="525" priority="442" operator="containsText" text="17">
      <formula>NOT(ISERROR(SEARCH("17",BA107)))</formula>
    </cfRule>
  </conditionalFormatting>
  <conditionalFormatting sqref="BA192:BK199">
    <cfRule type="containsText" dxfId="524" priority="206" operator="containsText" text="17">
      <formula>NOT(ISERROR(SEARCH("17",BA192)))</formula>
    </cfRule>
  </conditionalFormatting>
  <conditionalFormatting sqref="BA192:BR199">
    <cfRule type="containsText" dxfId="523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2" priority="915" operator="containsText" text="17">
      <formula>NOT(ISERROR(SEARCH("17",AX192)))</formula>
    </cfRule>
  </conditionalFormatting>
  <conditionalFormatting sqref="BA192:BX199">
    <cfRule type="containsText" dxfId="521" priority="222" operator="containsText" text="T">
      <formula>NOT(ISERROR(SEARCH("T",BA192)))</formula>
    </cfRule>
  </conditionalFormatting>
  <conditionalFormatting sqref="BB22:BB27">
    <cfRule type="containsText" dxfId="520" priority="618" operator="containsText" text="T">
      <formula>NOT(ISERROR(SEARCH("T",BB22)))</formula>
    </cfRule>
  </conditionalFormatting>
  <conditionalFormatting sqref="BB76:BB78">
    <cfRule type="containsText" dxfId="519" priority="429" operator="containsText" text="17">
      <formula>NOT(ISERROR(SEARCH("17",BB76)))</formula>
    </cfRule>
    <cfRule type="containsText" dxfId="518" priority="430" operator="containsText" text="T">
      <formula>NOT(ISERROR(SEARCH("T",BB76)))</formula>
    </cfRule>
  </conditionalFormatting>
  <conditionalFormatting sqref="BB83:BB85">
    <cfRule type="containsText" dxfId="517" priority="523" operator="containsText" text="T">
      <formula>NOT(ISERROR(SEARCH("T",BB83)))</formula>
    </cfRule>
  </conditionalFormatting>
  <conditionalFormatting sqref="BB107:BB112">
    <cfRule type="containsText" dxfId="516" priority="440" operator="containsText" text="T">
      <formula>NOT(ISERROR(SEARCH("T",BB107)))</formula>
    </cfRule>
    <cfRule type="containsText" dxfId="515" priority="439" operator="containsText" text="17">
      <formula>NOT(ISERROR(SEARCH("17",BB107)))</formula>
    </cfRule>
  </conditionalFormatting>
  <conditionalFormatting sqref="BB199 BD199:BI199 BA206 BC206:BH206">
    <cfRule type="containsText" dxfId="514" priority="5071" operator="containsText" text="T">
      <formula>NOT(ISERROR(SEARCH("T",BA199)))</formula>
    </cfRule>
    <cfRule type="containsText" dxfId="513" priority="5070" operator="containsText" text="17">
      <formula>NOT(ISERROR(SEARCH("17",BA199)))</formula>
    </cfRule>
  </conditionalFormatting>
  <conditionalFormatting sqref="BB214:BB217">
    <cfRule type="containsText" dxfId="512" priority="513" operator="containsText" text="T">
      <formula>NOT(ISERROR(SEARCH("T",BB214)))</formula>
    </cfRule>
  </conditionalFormatting>
  <conditionalFormatting sqref="BB218:BB224 BF218:BH224">
    <cfRule type="containsText" dxfId="511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0" priority="8546" operator="containsText" text="T">
      <formula>NOT(ISERROR(SEARCH("T",AX35)))</formula>
    </cfRule>
  </conditionalFormatting>
  <conditionalFormatting sqref="BB218:BC224 BF218:BH224">
    <cfRule type="containsText" dxfId="509" priority="502" operator="containsText" text="17">
      <formula>NOT(ISERROR(SEARCH("17",BB218)))</formula>
    </cfRule>
  </conditionalFormatting>
  <conditionalFormatting sqref="BB72:BH75">
    <cfRule type="containsText" dxfId="508" priority="423" operator="containsText" text="T">
      <formula>NOT(ISERROR(SEARCH("T",BB72)))</formula>
    </cfRule>
    <cfRule type="containsText" dxfId="507" priority="422" operator="containsText" text="17">
      <formula>NOT(ISERROR(SEARCH("17",BB72)))</formula>
    </cfRule>
  </conditionalFormatting>
  <conditionalFormatting sqref="BB106:BH106">
    <cfRule type="containsText" dxfId="506" priority="412" operator="containsText" text="17">
      <formula>NOT(ISERROR(SEARCH("17",BB106)))</formula>
    </cfRule>
    <cfRule type="containsText" dxfId="505" priority="413" operator="containsText" text="T">
      <formula>NOT(ISERROR(SEARCH("T",BB106)))</formula>
    </cfRule>
  </conditionalFormatting>
  <conditionalFormatting sqref="BB120:BH120">
    <cfRule type="containsText" dxfId="504" priority="393" operator="containsText" text="T">
      <formula>NOT(ISERROR(SEARCH("T",BB120)))</formula>
    </cfRule>
    <cfRule type="containsText" dxfId="503" priority="392" operator="containsText" text="17">
      <formula>NOT(ISERROR(SEARCH("17",BB120)))</formula>
    </cfRule>
  </conditionalFormatting>
  <conditionalFormatting sqref="BB122:BH122">
    <cfRule type="containsText" dxfId="502" priority="383" operator="containsText" text="T">
      <formula>NOT(ISERROR(SEARCH("T",BB122)))</formula>
    </cfRule>
    <cfRule type="containsText" dxfId="501" priority="382" operator="containsText" text="17">
      <formula>NOT(ISERROR(SEARCH("17",BB122)))</formula>
    </cfRule>
  </conditionalFormatting>
  <conditionalFormatting sqref="BB124:BH126">
    <cfRule type="containsText" dxfId="500" priority="402" operator="containsText" text="17">
      <formula>NOT(ISERROR(SEARCH("17",BB124)))</formula>
    </cfRule>
    <cfRule type="containsText" dxfId="499" priority="403" operator="containsText" text="T">
      <formula>NOT(ISERROR(SEARCH("T",BB124)))</formula>
    </cfRule>
  </conditionalFormatting>
  <conditionalFormatting sqref="BB168:BL174">
    <cfRule type="containsText" dxfId="498" priority="182" operator="containsText" text="17">
      <formula>NOT(ISERROR(SEARCH("17",BB168)))</formula>
    </cfRule>
  </conditionalFormatting>
  <conditionalFormatting sqref="BB194:BN194 BB196:BN198">
    <cfRule type="containsText" dxfId="497" priority="916" operator="containsText" text="17">
      <formula>NOT(ISERROR(SEARCH("17",BB194)))</formula>
    </cfRule>
  </conditionalFormatting>
  <conditionalFormatting sqref="BB168:BY174">
    <cfRule type="containsText" dxfId="496" priority="194" operator="containsText" text="17">
      <formula>NOT(ISERROR(SEARCH("17",BB168)))</formula>
    </cfRule>
    <cfRule type="containsText" dxfId="495" priority="196" operator="containsText" text="T">
      <formula>NOT(ISERROR(SEARCH("T",BB168)))</formula>
    </cfRule>
    <cfRule type="containsText" dxfId="494" priority="191" operator="containsText" text="T">
      <formula>NOT(ISERROR(SEARCH("T",BB168)))</formula>
    </cfRule>
  </conditionalFormatting>
  <conditionalFormatting sqref="BC34">
    <cfRule type="containsText" dxfId="493" priority="8060" operator="containsText" text="17">
      <formula>NOT(ISERROR(SEARCH("17",BC34)))</formula>
    </cfRule>
    <cfRule type="containsText" dxfId="492" priority="8061" operator="containsText" text="T">
      <formula>NOT(ISERROR(SEARCH("T",BC34)))</formula>
    </cfRule>
    <cfRule type="containsText" dxfId="491" priority="8062" operator="containsText" text="17">
      <formula>NOT(ISERROR(SEARCH("17",BC34)))</formula>
    </cfRule>
    <cfRule type="containsText" dxfId="490" priority="8063" operator="containsText" text="T">
      <formula>NOT(ISERROR(SEARCH("T",BC34)))</formula>
    </cfRule>
  </conditionalFormatting>
  <conditionalFormatting sqref="BC42:BC47">
    <cfRule type="containsText" dxfId="489" priority="605" operator="containsText" text="T">
      <formula>NOT(ISERROR(SEARCH("T",BC42)))</formula>
    </cfRule>
  </conditionalFormatting>
  <conditionalFormatting sqref="BC72:BC75">
    <cfRule type="containsText" dxfId="488" priority="420" operator="containsText" text="T">
      <formula>NOT(ISERROR(SEARCH("T",BC72)))</formula>
    </cfRule>
    <cfRule type="containsText" dxfId="487" priority="419" operator="containsText" text="17">
      <formula>NOT(ISERROR(SEARCH("17",BC72)))</formula>
    </cfRule>
  </conditionalFormatting>
  <conditionalFormatting sqref="BC106">
    <cfRule type="containsText" dxfId="486" priority="410" operator="containsText" text="T">
      <formula>NOT(ISERROR(SEARCH("T",BC106)))</formula>
    </cfRule>
    <cfRule type="containsText" dxfId="485" priority="409" operator="containsText" text="17">
      <formula>NOT(ISERROR(SEARCH("17",BC106)))</formula>
    </cfRule>
  </conditionalFormatting>
  <conditionalFormatting sqref="BC120">
    <cfRule type="containsText" dxfId="484" priority="390" operator="containsText" text="T">
      <formula>NOT(ISERROR(SEARCH("T",BC120)))</formula>
    </cfRule>
    <cfRule type="containsText" dxfId="483" priority="389" operator="containsText" text="17">
      <formula>NOT(ISERROR(SEARCH("17",BC120)))</formula>
    </cfRule>
  </conditionalFormatting>
  <conditionalFormatting sqref="BC122">
    <cfRule type="containsText" dxfId="482" priority="380" operator="containsText" text="T">
      <formula>NOT(ISERROR(SEARCH("T",BC122)))</formula>
    </cfRule>
    <cfRule type="containsText" dxfId="481" priority="379" operator="containsText" text="17">
      <formula>NOT(ISERROR(SEARCH("17",BC122)))</formula>
    </cfRule>
  </conditionalFormatting>
  <conditionalFormatting sqref="BC124:BC126">
    <cfRule type="containsText" dxfId="480" priority="399" operator="containsText" text="17">
      <formula>NOT(ISERROR(SEARCH("17",BC124)))</formula>
    </cfRule>
    <cfRule type="containsText" dxfId="479" priority="400" operator="containsText" text="T">
      <formula>NOT(ISERROR(SEARCH("T",BC124)))</formula>
    </cfRule>
  </conditionalFormatting>
  <conditionalFormatting sqref="BC182:BC183">
    <cfRule type="containsText" dxfId="478" priority="928" operator="containsText" text="17">
      <formula>NOT(ISERROR(SEARCH("17",BC182)))</formula>
    </cfRule>
  </conditionalFormatting>
  <conditionalFormatting sqref="BC186:BC188 BC189:BV190">
    <cfRule type="containsText" dxfId="477" priority="922" operator="containsText" text="17">
      <formula>NOT(ISERROR(SEARCH("17",BC186)))</formula>
    </cfRule>
  </conditionalFormatting>
  <conditionalFormatting sqref="BC199 BB206 BS127">
    <cfRule type="containsText" dxfId="476" priority="2145" operator="containsText" text="17">
      <formula>NOT(ISERROR(SEARCH("17",BB127)))</formula>
    </cfRule>
  </conditionalFormatting>
  <conditionalFormatting sqref="BC218:BC224">
    <cfRule type="containsText" dxfId="475" priority="503" operator="containsText" text="T">
      <formula>NOT(ISERROR(SEARCH("T",BC218)))</formula>
    </cfRule>
  </conditionalFormatting>
  <conditionalFormatting sqref="BC225:BC231 BG225:BI231">
    <cfRule type="containsText" dxfId="474" priority="491" operator="containsText" text="T">
      <formula>NOT(ISERROR(SEARCH("T",BC225)))</formula>
    </cfRule>
  </conditionalFormatting>
  <conditionalFormatting sqref="BC16:BD20">
    <cfRule type="containsText" dxfId="473" priority="8379" operator="containsText" text="17">
      <formula>NOT(ISERROR(SEARCH("17",BC16)))</formula>
    </cfRule>
  </conditionalFormatting>
  <conditionalFormatting sqref="BC225:BD231 BG225:BI231">
    <cfRule type="containsText" dxfId="472" priority="492" operator="containsText" text="17">
      <formula>NOT(ISERROR(SEARCH("17",BC225)))</formula>
    </cfRule>
  </conditionalFormatting>
  <conditionalFormatting sqref="BC69:BI71">
    <cfRule type="containsText" dxfId="471" priority="343" operator="containsText" text="T">
      <formula>NOT(ISERROR(SEARCH("T",BC69)))</formula>
    </cfRule>
    <cfRule type="containsText" dxfId="470" priority="342" operator="containsText" text="17">
      <formula>NOT(ISERROR(SEARCH("17",BC69)))</formula>
    </cfRule>
  </conditionalFormatting>
  <conditionalFormatting sqref="BC103:BI104">
    <cfRule type="containsText" dxfId="469" priority="372" operator="containsText" text="17">
      <formula>NOT(ISERROR(SEARCH("17",BC103)))</formula>
    </cfRule>
    <cfRule type="containsText" dxfId="468" priority="373" operator="containsText" text="T">
      <formula>NOT(ISERROR(SEARCH("T",BC103)))</formula>
    </cfRule>
  </conditionalFormatting>
  <conditionalFormatting sqref="BC121:BI121">
    <cfRule type="containsText" dxfId="467" priority="362" operator="containsText" text="17">
      <formula>NOT(ISERROR(SEARCH("17",BC121)))</formula>
    </cfRule>
    <cfRule type="containsText" dxfId="466" priority="363" operator="containsText" text="T">
      <formula>NOT(ISERROR(SEARCH("T",BC121)))</formula>
    </cfRule>
  </conditionalFormatting>
  <conditionalFormatting sqref="BC123:BI123">
    <cfRule type="containsText" dxfId="465" priority="352" operator="containsText" text="17">
      <formula>NOT(ISERROR(SEARCH("17",BC123)))</formula>
    </cfRule>
    <cfRule type="containsText" dxfId="464" priority="353" operator="containsText" text="T">
      <formula>NOT(ISERROR(SEARCH("T",BC123)))</formula>
    </cfRule>
  </conditionalFormatting>
  <conditionalFormatting sqref="BC175:BM181">
    <cfRule type="containsText" dxfId="463" priority="158" operator="containsText" text="17">
      <formula>NOT(ISERROR(SEARCH("17",BC175)))</formula>
    </cfRule>
  </conditionalFormatting>
  <conditionalFormatting sqref="BC199:BR199 BB206:BQ206 BS127">
    <cfRule type="containsText" dxfId="462" priority="5050" operator="containsText" text="17">
      <formula>NOT(ISERROR(SEARCH("17",BB127)))</formula>
    </cfRule>
  </conditionalFormatting>
  <conditionalFormatting sqref="BC175:BZ181">
    <cfRule type="containsText" dxfId="461" priority="167" operator="containsText" text="T">
      <formula>NOT(ISERROR(SEARCH("T",BC175)))</formula>
    </cfRule>
    <cfRule type="containsText" dxfId="460" priority="170" operator="containsText" text="17">
      <formula>NOT(ISERROR(SEARCH("17",BC175)))</formula>
    </cfRule>
  </conditionalFormatting>
  <conditionalFormatting sqref="BC175:CP181">
    <cfRule type="containsText" dxfId="459" priority="181" operator="containsText" text="17">
      <formula>NOT(ISERROR(SEARCH("17",BC175)))</formula>
    </cfRule>
  </conditionalFormatting>
  <conditionalFormatting sqref="BD69:BD71">
    <cfRule type="containsText" dxfId="458" priority="339" operator="containsText" text="17">
      <formula>NOT(ISERROR(SEARCH("17",BD69)))</formula>
    </cfRule>
    <cfRule type="containsText" dxfId="457" priority="340" operator="containsText" text="T">
      <formula>NOT(ISERROR(SEARCH("T",BD69)))</formula>
    </cfRule>
  </conditionalFormatting>
  <conditionalFormatting sqref="BD103:BD104">
    <cfRule type="containsText" dxfId="456" priority="370" operator="containsText" text="T">
      <formula>NOT(ISERROR(SEARCH("T",BD103)))</formula>
    </cfRule>
    <cfRule type="containsText" dxfId="455" priority="369" operator="containsText" text="17">
      <formula>NOT(ISERROR(SEARCH("17",BD103)))</formula>
    </cfRule>
  </conditionalFormatting>
  <conditionalFormatting sqref="BD113:BD116 BH113:BJ116">
    <cfRule type="containsText" dxfId="454" priority="471" operator="containsText" text="T">
      <formula>NOT(ISERROR(SEARCH("T",BD113)))</formula>
    </cfRule>
  </conditionalFormatting>
  <conditionalFormatting sqref="BD121">
    <cfRule type="containsText" dxfId="453" priority="360" operator="containsText" text="T">
      <formula>NOT(ISERROR(SEARCH("T",BD121)))</formula>
    </cfRule>
    <cfRule type="containsText" dxfId="452" priority="359" operator="containsText" text="17">
      <formula>NOT(ISERROR(SEARCH("17",BD121)))</formula>
    </cfRule>
  </conditionalFormatting>
  <conditionalFormatting sqref="BD123">
    <cfRule type="containsText" dxfId="451" priority="349" operator="containsText" text="17">
      <formula>NOT(ISERROR(SEARCH("17",BD123)))</formula>
    </cfRule>
    <cfRule type="containsText" dxfId="450" priority="350" operator="containsText" text="T">
      <formula>NOT(ISERROR(SEARCH("T",BD123)))</formula>
    </cfRule>
  </conditionalFormatting>
  <conditionalFormatting sqref="BD225:BD231">
    <cfRule type="containsText" dxfId="449" priority="493" operator="containsText" text="T">
      <formula>NOT(ISERROR(SEARCH("T",BD225)))</formula>
    </cfRule>
  </conditionalFormatting>
  <conditionalFormatting sqref="BD232:BD234 BH232:BJ234">
    <cfRule type="containsText" dxfId="448" priority="481" operator="containsText" text="T">
      <formula>NOT(ISERROR(SEARCH("T",BD232)))</formula>
    </cfRule>
  </conditionalFormatting>
  <conditionalFormatting sqref="BD35:BE39">
    <cfRule type="containsText" dxfId="447" priority="1049" operator="containsText" text="T">
      <formula>NOT(ISERROR(SEARCH("T",BD35)))</formula>
    </cfRule>
  </conditionalFormatting>
  <conditionalFormatting sqref="BD113:BE116 BH113:BJ116">
    <cfRule type="containsText" dxfId="446" priority="472" operator="containsText" text="17">
      <formula>NOT(ISERROR(SEARCH("17",BD113)))</formula>
    </cfRule>
  </conditionalFormatting>
  <conditionalFormatting sqref="BD232:BE234 BH232:BN234">
    <cfRule type="containsText" dxfId="445" priority="482" operator="containsText" text="17">
      <formula>NOT(ISERROR(SEARCH("17",BD232)))</formula>
    </cfRule>
  </conditionalFormatting>
  <conditionalFormatting sqref="BD41:BG45">
    <cfRule type="containsText" dxfId="444" priority="1042" operator="containsText" text="T">
      <formula>NOT(ISERROR(SEARCH("T",BD41)))</formula>
    </cfRule>
  </conditionalFormatting>
  <conditionalFormatting sqref="BD47:BG47 BE48:BH48">
    <cfRule type="containsText" dxfId="443" priority="1037" operator="containsText" text="T">
      <formula>NOT(ISERROR(SEARCH("T",BD47)))</formula>
    </cfRule>
  </conditionalFormatting>
  <conditionalFormatting sqref="BD67:BJ68">
    <cfRule type="containsText" dxfId="442" priority="313" operator="containsText" text="T">
      <formula>NOT(ISERROR(SEARCH("T",BD67)))</formula>
    </cfRule>
    <cfRule type="containsText" dxfId="441" priority="312" operator="containsText" text="17">
      <formula>NOT(ISERROR(SEARCH("17",BD67)))</formula>
    </cfRule>
  </conditionalFormatting>
  <conditionalFormatting sqref="BD99:BJ102">
    <cfRule type="containsText" dxfId="440" priority="333" operator="containsText" text="T">
      <formula>NOT(ISERROR(SEARCH("T",BD99)))</formula>
    </cfRule>
    <cfRule type="containsText" dxfId="439" priority="332" operator="containsText" text="17">
      <formula>NOT(ISERROR(SEARCH("17",BD99)))</formula>
    </cfRule>
  </conditionalFormatting>
  <conditionalFormatting sqref="BD105:BJ105">
    <cfRule type="containsText" dxfId="438" priority="323" operator="containsText" text="T">
      <formula>NOT(ISERROR(SEARCH("T",BD105)))</formula>
    </cfRule>
    <cfRule type="containsText" dxfId="437" priority="322" operator="containsText" text="17">
      <formula>NOT(ISERROR(SEARCH("17",BD105)))</formula>
    </cfRule>
  </conditionalFormatting>
  <conditionalFormatting sqref="BD54:BN59 AZ59:AZ62 BD60:BI62">
    <cfRule type="containsText" dxfId="436" priority="541" operator="containsText" text="T">
      <formula>NOT(ISERROR(SEARCH("T",AZ54)))</formula>
    </cfRule>
  </conditionalFormatting>
  <conditionalFormatting sqref="BD182:BN188">
    <cfRule type="containsText" dxfId="435" priority="134" operator="containsText" text="17">
      <formula>NOT(ISERROR(SEARCH("17",BD182)))</formula>
    </cfRule>
  </conditionalFormatting>
  <conditionalFormatting sqref="BD182:CA188">
    <cfRule type="containsText" dxfId="434" priority="143" operator="containsText" text="T">
      <formula>NOT(ISERROR(SEARCH("T",BD182)))</formula>
    </cfRule>
    <cfRule type="containsText" dxfId="433" priority="146" operator="containsText" text="17">
      <formula>NOT(ISERROR(SEARCH("17",BD182)))</formula>
    </cfRule>
  </conditionalFormatting>
  <conditionalFormatting sqref="BD182:CP188">
    <cfRule type="containsText" dxfId="432" priority="148" operator="containsText" text="T">
      <formula>NOT(ISERROR(SEARCH("T",BD182)))</formula>
    </cfRule>
    <cfRule type="containsText" dxfId="431" priority="157" operator="containsText" text="17">
      <formula>NOT(ISERROR(SEARCH("17",BD182)))</formula>
    </cfRule>
  </conditionalFormatting>
  <conditionalFormatting sqref="BE15:BE20">
    <cfRule type="containsText" dxfId="430" priority="130" operator="containsText" text="T">
      <formula>NOT(ISERROR(SEARCH("T",BE15)))</formula>
    </cfRule>
  </conditionalFormatting>
  <conditionalFormatting sqref="BE67:BE68">
    <cfRule type="containsText" dxfId="429" priority="309" operator="containsText" text="17">
      <formula>NOT(ISERROR(SEARCH("17",BE67)))</formula>
    </cfRule>
    <cfRule type="containsText" dxfId="428" priority="310" operator="containsText" text="T">
      <formula>NOT(ISERROR(SEARCH("T",BE67)))</formula>
    </cfRule>
  </conditionalFormatting>
  <conditionalFormatting sqref="BE79:BE82 BI79:BK82">
    <cfRule type="containsText" dxfId="427" priority="451" operator="containsText" text="T">
      <formula>NOT(ISERROR(SEARCH("T",BE79)))</formula>
    </cfRule>
  </conditionalFormatting>
  <conditionalFormatting sqref="BE99:BE102">
    <cfRule type="containsText" dxfId="426" priority="330" operator="containsText" text="T">
      <formula>NOT(ISERROR(SEARCH("T",BE99)))</formula>
    </cfRule>
    <cfRule type="containsText" dxfId="425" priority="329" operator="containsText" text="17">
      <formula>NOT(ISERROR(SEARCH("17",BE99)))</formula>
    </cfRule>
  </conditionalFormatting>
  <conditionalFormatting sqref="BE105">
    <cfRule type="containsText" dxfId="424" priority="320" operator="containsText" text="T">
      <formula>NOT(ISERROR(SEARCH("T",BE105)))</formula>
    </cfRule>
    <cfRule type="containsText" dxfId="423" priority="319" operator="containsText" text="17">
      <formula>NOT(ISERROR(SEARCH("17",BE105)))</formula>
    </cfRule>
  </conditionalFormatting>
  <conditionalFormatting sqref="BE113:BE116">
    <cfRule type="containsText" dxfId="422" priority="473" operator="containsText" text="T">
      <formula>NOT(ISERROR(SEARCH("T",BE113)))</formula>
    </cfRule>
  </conditionalFormatting>
  <conditionalFormatting sqref="BE117:BE119 BI117:BK119">
    <cfRule type="containsText" dxfId="421" priority="461" operator="containsText" text="T">
      <formula>NOT(ISERROR(SEARCH("T",BE117)))</formula>
    </cfRule>
  </conditionalFormatting>
  <conditionalFormatting sqref="BE232:BE234">
    <cfRule type="containsText" dxfId="420" priority="483" operator="containsText" text="T">
      <formula>NOT(ISERROR(SEARCH("T",BE232)))</formula>
    </cfRule>
  </conditionalFormatting>
  <conditionalFormatting sqref="BE23:BF27">
    <cfRule type="containsText" dxfId="419" priority="1062" operator="containsText" text="17">
      <formula>NOT(ISERROR(SEARCH("17",BE23)))</formula>
    </cfRule>
  </conditionalFormatting>
  <conditionalFormatting sqref="BE79:BF82 BI79:BK82">
    <cfRule type="containsText" dxfId="418" priority="452" operator="containsText" text="17">
      <formula>NOT(ISERROR(SEARCH("17",BE79)))</formula>
    </cfRule>
  </conditionalFormatting>
  <conditionalFormatting sqref="BE117:BF119 BI117:BP119">
    <cfRule type="containsText" dxfId="417" priority="462" operator="containsText" text="17">
      <formula>NOT(ISERROR(SEARCH("17",BE117)))</formula>
    </cfRule>
  </conditionalFormatting>
  <conditionalFormatting sqref="BE199:BF199 BD206:BE206">
    <cfRule type="containsText" dxfId="416" priority="2142" operator="containsText" text="T">
      <formula>NOT(ISERROR(SEARCH("T",BD199)))</formula>
    </cfRule>
    <cfRule type="containsText" dxfId="415" priority="2141" operator="containsText" text="17">
      <formula>NOT(ISERROR(SEARCH("17",BD199)))</formula>
    </cfRule>
  </conditionalFormatting>
  <conditionalFormatting sqref="BE97:BK98">
    <cfRule type="containsText" dxfId="414" priority="302" operator="containsText" text="17">
      <formula>NOT(ISERROR(SEARCH("17",BE97)))</formula>
    </cfRule>
    <cfRule type="containsText" dxfId="413" priority="303" operator="containsText" text="T">
      <formula>NOT(ISERROR(SEARCH("T",BE97)))</formula>
    </cfRule>
  </conditionalFormatting>
  <conditionalFormatting sqref="BE131:BK137">
    <cfRule type="containsText" dxfId="412" priority="293" operator="containsText" text="T">
      <formula>NOT(ISERROR(SEARCH("T",BE131)))</formula>
    </cfRule>
    <cfRule type="containsText" dxfId="411" priority="292" operator="containsText" text="17">
      <formula>NOT(ISERROR(SEARCH("17",BE131)))</formula>
    </cfRule>
  </conditionalFormatting>
  <conditionalFormatting sqref="BE14:BO14">
    <cfRule type="containsText" dxfId="410" priority="122" operator="containsText" text="17">
      <formula>NOT(ISERROR(SEARCH("17",BE14)))</formula>
    </cfRule>
    <cfRule type="containsText" dxfId="409" priority="123" operator="containsText" text="T">
      <formula>NOT(ISERROR(SEARCH("T",BE14)))</formula>
    </cfRule>
  </conditionalFormatting>
  <conditionalFormatting sqref="BE15:BY20 BE14:BM14">
    <cfRule type="containsText" dxfId="408" priority="129" operator="containsText" text="17">
      <formula>NOT(ISERROR(SEARCH("17",BE14)))</formula>
    </cfRule>
  </conditionalFormatting>
  <conditionalFormatting sqref="BF35:BF40">
    <cfRule type="containsText" dxfId="407" priority="118" operator="containsText" text="T">
      <formula>NOT(ISERROR(SEARCH("T",BF35)))</formula>
    </cfRule>
  </conditionalFormatting>
  <conditionalFormatting sqref="BF79:BF82">
    <cfRule type="containsText" dxfId="406" priority="453" operator="containsText" text="T">
      <formula>NOT(ISERROR(SEARCH("T",BF79)))</formula>
    </cfRule>
  </conditionalFormatting>
  <conditionalFormatting sqref="BF93:BF96 AZ94:BB96 BG94:BI96 BS97 BM231:BN234">
    <cfRule type="containsText" dxfId="405" priority="8576" operator="containsText" text="T">
      <formula>NOT(ISERROR(SEARCH("T",AZ93)))</formula>
    </cfRule>
  </conditionalFormatting>
  <conditionalFormatting sqref="BF93:BF96 AZ94:BB96 BS97 BG94:BI96 BM231:BN234">
    <cfRule type="containsText" dxfId="404" priority="8575" operator="containsText" text="17">
      <formula>NOT(ISERROR(SEARCH("17",AZ93)))</formula>
    </cfRule>
  </conditionalFormatting>
  <conditionalFormatting sqref="BF97:BF98">
    <cfRule type="containsText" dxfId="403" priority="300" operator="containsText" text="T">
      <formula>NOT(ISERROR(SEARCH("T",BF97)))</formula>
    </cfRule>
    <cfRule type="containsText" dxfId="402" priority="299" operator="containsText" text="17">
      <formula>NOT(ISERROR(SEARCH("17",BF97)))</formula>
    </cfRule>
  </conditionalFormatting>
  <conditionalFormatting sqref="BF117:BF119">
    <cfRule type="containsText" dxfId="401" priority="463" operator="containsText" text="T">
      <formula>NOT(ISERROR(SEARCH("T",BF117)))</formula>
    </cfRule>
  </conditionalFormatting>
  <conditionalFormatting sqref="BF131:BF137">
    <cfRule type="containsText" dxfId="400" priority="289" operator="containsText" text="17">
      <formula>NOT(ISERROR(SEARCH("17",BF131)))</formula>
    </cfRule>
    <cfRule type="containsText" dxfId="399" priority="290" operator="containsText" text="T">
      <formula>NOT(ISERROR(SEARCH("T",BF131)))</formula>
    </cfRule>
  </conditionalFormatting>
  <conditionalFormatting sqref="BF138:BL144">
    <cfRule type="containsText" dxfId="398" priority="283" operator="containsText" text="T">
      <formula>NOT(ISERROR(SEARCH("T",BF138)))</formula>
    </cfRule>
    <cfRule type="containsText" dxfId="397" priority="282" operator="containsText" text="17">
      <formula>NOT(ISERROR(SEARCH("17",BF138)))</formula>
    </cfRule>
  </conditionalFormatting>
  <conditionalFormatting sqref="BF34:BP34">
    <cfRule type="containsText" dxfId="396" priority="110" operator="containsText" text="17">
      <formula>NOT(ISERROR(SEARCH("17",BF34)))</formula>
    </cfRule>
    <cfRule type="containsText" dxfId="395" priority="111" operator="containsText" text="T">
      <formula>NOT(ISERROR(SEARCH("T",BF34)))</formula>
    </cfRule>
  </conditionalFormatting>
  <conditionalFormatting sqref="BF35:BZ40 BF34:BN34">
    <cfRule type="containsText" dxfId="394" priority="117" operator="containsText" text="17">
      <formula>NOT(ISERROR(SEARCH("17",BF34)))</formula>
    </cfRule>
  </conditionalFormatting>
  <conditionalFormatting sqref="BF50:CA52 BF53:BN53">
    <cfRule type="containsText" dxfId="393" priority="1032" operator="containsText" text="T">
      <formula>NOT(ISERROR(SEARCH("T",BF50)))</formula>
    </cfRule>
  </conditionalFormatting>
  <conditionalFormatting sqref="BG22:BG27">
    <cfRule type="containsText" dxfId="392" priority="106" operator="containsText" text="T">
      <formula>NOT(ISERROR(SEARCH("T",BG22)))</formula>
    </cfRule>
  </conditionalFormatting>
  <conditionalFormatting sqref="BG41:BG45">
    <cfRule type="containsText" dxfId="391" priority="1043" operator="containsText" text="17">
      <formula>NOT(ISERROR(SEARCH("17",BG41)))</formula>
    </cfRule>
  </conditionalFormatting>
  <conditionalFormatting sqref="BG47">
    <cfRule type="containsText" dxfId="390" priority="1041" operator="containsText" text="17">
      <formula>NOT(ISERROR(SEARCH("17",BG47)))</formula>
    </cfRule>
  </conditionalFormatting>
  <conditionalFormatting sqref="BG76:BG78 BK76:BM78">
    <cfRule type="containsText" dxfId="389" priority="426" operator="containsText" text="T">
      <formula>NOT(ISERROR(SEARCH("T",BG76)))</formula>
    </cfRule>
  </conditionalFormatting>
  <conditionalFormatting sqref="BG86 BG93:BI93">
    <cfRule type="containsText" dxfId="388" priority="4101" operator="containsText" text="T">
      <formula>NOT(ISERROR(SEARCH("T",BG86)))</formula>
    </cfRule>
    <cfRule type="containsText" dxfId="387" priority="4100" operator="containsText" text="17">
      <formula>NOT(ISERROR(SEARCH("17",BG86)))</formula>
    </cfRule>
  </conditionalFormatting>
  <conditionalFormatting sqref="BG107:BG112 BK107:BM112">
    <cfRule type="containsText" dxfId="386" priority="436" operator="containsText" text="T">
      <formula>NOT(ISERROR(SEARCH("T",BG107)))</formula>
    </cfRule>
  </conditionalFormatting>
  <conditionalFormatting sqref="BG138:BG144">
    <cfRule type="containsText" dxfId="385" priority="279" operator="containsText" text="17">
      <formula>NOT(ISERROR(SEARCH("17",BG138)))</formula>
    </cfRule>
    <cfRule type="containsText" dxfId="384" priority="280" operator="containsText" text="T">
      <formula>NOT(ISERROR(SEARCH("T",BG138)))</formula>
    </cfRule>
  </conditionalFormatting>
  <conditionalFormatting sqref="BG30:BH32 BG33:BZ33">
    <cfRule type="containsText" dxfId="383" priority="1056" operator="containsText" text="17">
      <formula>NOT(ISERROR(SEARCH("17",BG30)))</formula>
    </cfRule>
  </conditionalFormatting>
  <conditionalFormatting sqref="BG48:BH48">
    <cfRule type="containsText" dxfId="382" priority="1038" operator="containsText" text="17">
      <formula>NOT(ISERROR(SEARCH("17",BG48)))</formula>
    </cfRule>
  </conditionalFormatting>
  <conditionalFormatting sqref="BG76:BH78 BK76:BM78">
    <cfRule type="containsText" dxfId="381" priority="427" operator="containsText" text="17">
      <formula>NOT(ISERROR(SEARCH("17",BG76)))</formula>
    </cfRule>
  </conditionalFormatting>
  <conditionalFormatting sqref="BG107:BH112 BK107:BM112">
    <cfRule type="containsText" dxfId="380" priority="437" operator="containsText" text="17">
      <formula>NOT(ISERROR(SEARCH("17",BG107)))</formula>
    </cfRule>
  </conditionalFormatting>
  <conditionalFormatting sqref="BG145:BM151">
    <cfRule type="containsText" dxfId="379" priority="272" operator="containsText" text="17">
      <formula>NOT(ISERROR(SEARCH("17",BG145)))</formula>
    </cfRule>
    <cfRule type="containsText" dxfId="378" priority="273" operator="containsText" text="T">
      <formula>NOT(ISERROR(SEARCH("T",BG145)))</formula>
    </cfRule>
  </conditionalFormatting>
  <conditionalFormatting sqref="BG21:BQ21">
    <cfRule type="containsText" dxfId="377" priority="98" operator="containsText" text="17">
      <formula>NOT(ISERROR(SEARCH("17",BG21)))</formula>
    </cfRule>
    <cfRule type="containsText" dxfId="376" priority="99" operator="containsText" text="T">
      <formula>NOT(ISERROR(SEARCH("T",BG21)))</formula>
    </cfRule>
  </conditionalFormatting>
  <conditionalFormatting sqref="BG50:BQ52">
    <cfRule type="containsText" dxfId="375" priority="1036" operator="containsText" text="17">
      <formula>NOT(ISERROR(SEARCH("17",BG50)))</formula>
    </cfRule>
  </conditionalFormatting>
  <conditionalFormatting sqref="BG51:BS52 BG53:BN59 BG60:BI66">
    <cfRule type="containsText" dxfId="374" priority="1033" operator="containsText" text="17">
      <formula>NOT(ISERROR(SEARCH("17",BG51)))</formula>
    </cfRule>
  </conditionalFormatting>
  <conditionalFormatting sqref="BG22:CA27 BG21:BO21">
    <cfRule type="containsText" dxfId="373" priority="105" operator="containsText" text="17">
      <formula>NOT(ISERROR(SEARCH("17",BG21)))</formula>
    </cfRule>
  </conditionalFormatting>
  <conditionalFormatting sqref="BH42:BH47">
    <cfRule type="containsText" dxfId="372" priority="94" operator="containsText" text="T">
      <formula>NOT(ISERROR(SEARCH("T",BH42)))</formula>
    </cfRule>
  </conditionalFormatting>
  <conditionalFormatting sqref="BH72:BH75 BL72:BN75">
    <cfRule type="containsText" dxfId="371" priority="416" operator="containsText" text="T">
      <formula>NOT(ISERROR(SEARCH("T",BH72)))</formula>
    </cfRule>
  </conditionalFormatting>
  <conditionalFormatting sqref="BH76:BH78">
    <cfRule type="containsText" dxfId="370" priority="428" operator="containsText" text="T">
      <formula>NOT(ISERROR(SEARCH("T",BH76)))</formula>
    </cfRule>
  </conditionalFormatting>
  <conditionalFormatting sqref="BH106 BL106:BN106">
    <cfRule type="containsText" dxfId="369" priority="406" operator="containsText" text="T">
      <formula>NOT(ISERROR(SEARCH("T",BH106)))</formula>
    </cfRule>
  </conditionalFormatting>
  <conditionalFormatting sqref="BH107:BH112">
    <cfRule type="containsText" dxfId="368" priority="438" operator="containsText" text="T">
      <formula>NOT(ISERROR(SEARCH("T",BH107)))</formula>
    </cfRule>
  </conditionalFormatting>
  <conditionalFormatting sqref="BH120 BL120:BN120">
    <cfRule type="containsText" dxfId="367" priority="386" operator="containsText" text="T">
      <formula>NOT(ISERROR(SEARCH("T",BH120)))</formula>
    </cfRule>
  </conditionalFormatting>
  <conditionalFormatting sqref="BH122 BL122:BO122">
    <cfRule type="containsText" dxfId="366" priority="376" operator="containsText" text="T">
      <formula>NOT(ISERROR(SEARCH("T",BH122)))</formula>
    </cfRule>
  </conditionalFormatting>
  <conditionalFormatting sqref="BH124:BH126 BL124:BN126">
    <cfRule type="containsText" dxfId="365" priority="396" operator="containsText" text="T">
      <formula>NOT(ISERROR(SEARCH("T",BH124)))</formula>
    </cfRule>
  </conditionalFormatting>
  <conditionalFormatting sqref="BH145:BH151">
    <cfRule type="containsText" dxfId="364" priority="269" operator="containsText" text="17">
      <formula>NOT(ISERROR(SEARCH("17",BH145)))</formula>
    </cfRule>
    <cfRule type="containsText" dxfId="363" priority="270" operator="containsText" text="T">
      <formula>NOT(ISERROR(SEARCH("T",BH145)))</formula>
    </cfRule>
  </conditionalFormatting>
  <conditionalFormatting sqref="BH72:BI75 BL72:BN75">
    <cfRule type="containsText" dxfId="362" priority="417" operator="containsText" text="17">
      <formula>NOT(ISERROR(SEARCH("17",BH72)))</formula>
    </cfRule>
  </conditionalFormatting>
  <conditionalFormatting sqref="BH106:BI106 BL106:CJ106">
    <cfRule type="containsText" dxfId="361" priority="407" operator="containsText" text="17">
      <formula>NOT(ISERROR(SEARCH("17",BH106)))</formula>
    </cfRule>
  </conditionalFormatting>
  <conditionalFormatting sqref="BH120:BI120 BL120:BO120">
    <cfRule type="containsText" dxfId="360" priority="387" operator="containsText" text="17">
      <formula>NOT(ISERROR(SEARCH("17",BH120)))</formula>
    </cfRule>
  </conditionalFormatting>
  <conditionalFormatting sqref="BH122:BI122 BL122:BO122">
    <cfRule type="containsText" dxfId="359" priority="377" operator="containsText" text="17">
      <formula>NOT(ISERROR(SEARCH("17",BH122)))</formula>
    </cfRule>
  </conditionalFormatting>
  <conditionalFormatting sqref="BH124:BI126 BL124:BO126">
    <cfRule type="containsText" dxfId="358" priority="397" operator="containsText" text="17">
      <formula>NOT(ISERROR(SEARCH("17",BH124)))</formula>
    </cfRule>
  </conditionalFormatting>
  <conditionalFormatting sqref="BH214:BI216">
    <cfRule type="containsText" dxfId="357" priority="5856" operator="containsText" text="17">
      <formula>NOT(ISERROR(SEARCH("17",BH214)))</formula>
    </cfRule>
    <cfRule type="containsText" dxfId="356" priority="5857" operator="containsText" text="T">
      <formula>NOT(ISERROR(SEARCH("T",BH214)))</formula>
    </cfRule>
  </conditionalFormatting>
  <conditionalFormatting sqref="BH84:BK89">
    <cfRule type="containsText" dxfId="355" priority="1009" operator="containsText" text="17">
      <formula>NOT(ISERROR(SEARCH("17",BH84)))</formula>
    </cfRule>
  </conditionalFormatting>
  <conditionalFormatting sqref="BH152:BN158">
    <cfRule type="containsText" dxfId="354" priority="262" operator="containsText" text="17">
      <formula>NOT(ISERROR(SEARCH("17",BH152)))</formula>
    </cfRule>
    <cfRule type="containsText" dxfId="353" priority="263" operator="containsText" text="T">
      <formula>NOT(ISERROR(SEARCH("T",BH152)))</formula>
    </cfRule>
  </conditionalFormatting>
  <conditionalFormatting sqref="BH41:BR41">
    <cfRule type="containsText" dxfId="352" priority="87" operator="containsText" text="T">
      <formula>NOT(ISERROR(SEARCH("T",BH41)))</formula>
    </cfRule>
    <cfRule type="containsText" dxfId="351" priority="86" operator="containsText" text="17">
      <formula>NOT(ISERROR(SEARCH("17",BH41)))</formula>
    </cfRule>
  </conditionalFormatting>
  <conditionalFormatting sqref="BH42:CB47 BH41:BP41">
    <cfRule type="containsText" dxfId="350" priority="93" operator="containsText" text="17">
      <formula>NOT(ISERROR(SEARCH("17",BH41)))</formula>
    </cfRule>
  </conditionalFormatting>
  <conditionalFormatting sqref="BI28:BI32">
    <cfRule type="containsText" dxfId="349" priority="79" operator="containsText" text="T">
      <formula>NOT(ISERROR(SEARCH("T",BI28)))</formula>
    </cfRule>
  </conditionalFormatting>
  <conditionalFormatting sqref="BI48:BI49">
    <cfRule type="containsText" dxfId="348" priority="74" operator="containsText" text="T">
      <formula>NOT(ISERROR(SEARCH("T",BI48)))</formula>
    </cfRule>
  </conditionalFormatting>
  <conditionalFormatting sqref="BI69:BI71 BM69:BO71">
    <cfRule type="containsText" dxfId="347" priority="336" operator="containsText" text="T">
      <formula>NOT(ISERROR(SEARCH("T",BI69)))</formula>
    </cfRule>
  </conditionalFormatting>
  <conditionalFormatting sqref="BI72:BI75">
    <cfRule type="containsText" dxfId="346" priority="418" operator="containsText" text="T">
      <formula>NOT(ISERROR(SEARCH("T",BI72)))</formula>
    </cfRule>
  </conditionalFormatting>
  <conditionalFormatting sqref="BI103:BI104 BM103:BO104">
    <cfRule type="containsText" dxfId="345" priority="366" operator="containsText" text="T">
      <formula>NOT(ISERROR(SEARCH("T",BI103)))</formula>
    </cfRule>
  </conditionalFormatting>
  <conditionalFormatting sqref="BI106">
    <cfRule type="containsText" dxfId="344" priority="408" operator="containsText" text="T">
      <formula>NOT(ISERROR(SEARCH("T",BI106)))</formula>
    </cfRule>
  </conditionalFormatting>
  <conditionalFormatting sqref="BI120">
    <cfRule type="containsText" dxfId="343" priority="388" operator="containsText" text="T">
      <formula>NOT(ISERROR(SEARCH("T",BI120)))</formula>
    </cfRule>
  </conditionalFormatting>
  <conditionalFormatting sqref="BI121 BM121:BO121">
    <cfRule type="containsText" dxfId="342" priority="356" operator="containsText" text="T">
      <formula>NOT(ISERROR(SEARCH("T",BI121)))</formula>
    </cfRule>
  </conditionalFormatting>
  <conditionalFormatting sqref="BI122">
    <cfRule type="containsText" dxfId="341" priority="378" operator="containsText" text="T">
      <formula>NOT(ISERROR(SEARCH("T",BI122)))</formula>
    </cfRule>
  </conditionalFormatting>
  <conditionalFormatting sqref="BI123 BM123:BO123">
    <cfRule type="containsText" dxfId="340" priority="346" operator="containsText" text="T">
      <formula>NOT(ISERROR(SEARCH("T",BI123)))</formula>
    </cfRule>
  </conditionalFormatting>
  <conditionalFormatting sqref="BI124:BI126">
    <cfRule type="containsText" dxfId="339" priority="398" operator="containsText" text="T">
      <formula>NOT(ISERROR(SEARCH("T",BI124)))</formula>
    </cfRule>
  </conditionalFormatting>
  <conditionalFormatting sqref="BI152:BI158">
    <cfRule type="containsText" dxfId="338" priority="259" operator="containsText" text="17">
      <formula>NOT(ISERROR(SEARCH("17",BI152)))</formula>
    </cfRule>
    <cfRule type="containsText" dxfId="337" priority="260" operator="containsText" text="T">
      <formula>NOT(ISERROR(SEARCH("T",BI152)))</formula>
    </cfRule>
  </conditionalFormatting>
  <conditionalFormatting sqref="BI69:BJ71 BM69:BO71">
    <cfRule type="containsText" dxfId="336" priority="337" operator="containsText" text="17">
      <formula>NOT(ISERROR(SEARCH("17",BI69)))</formula>
    </cfRule>
  </conditionalFormatting>
  <conditionalFormatting sqref="BI103:BJ104 BM103:BO104">
    <cfRule type="containsText" dxfId="335" priority="367" operator="containsText" text="17">
      <formula>NOT(ISERROR(SEARCH("17",BI103)))</formula>
    </cfRule>
  </conditionalFormatting>
  <conditionalFormatting sqref="BI121:BJ121 BM121:BO121">
    <cfRule type="containsText" dxfId="334" priority="357" operator="containsText" text="17">
      <formula>NOT(ISERROR(SEARCH("17",BI121)))</formula>
    </cfRule>
  </conditionalFormatting>
  <conditionalFormatting sqref="BI123:BJ123 BM123:BO123">
    <cfRule type="containsText" dxfId="333" priority="347" operator="containsText" text="17">
      <formula>NOT(ISERROR(SEARCH("17",BI123)))</formula>
    </cfRule>
  </conditionalFormatting>
  <conditionalFormatting sqref="BI214:BJ216">
    <cfRule type="containsText" dxfId="332" priority="5863" operator="containsText" text="T">
      <formula>NOT(ISERROR(SEARCH("T",BI214)))</formula>
    </cfRule>
    <cfRule type="containsText" dxfId="331" priority="5862" operator="containsText" text="17">
      <formula>NOT(ISERROR(SEARCH("17",BI214)))</formula>
    </cfRule>
  </conditionalFormatting>
  <conditionalFormatting sqref="BI218:BL220 BL221:BM223 BM224:BM227 BM228:BN230">
    <cfRule type="containsText" dxfId="330" priority="5627" operator="containsText" text="T">
      <formula>NOT(ISERROR(SEARCH("T",BI218)))</formula>
    </cfRule>
  </conditionalFormatting>
  <conditionalFormatting sqref="BI159:BO165">
    <cfRule type="containsText" dxfId="329" priority="253" operator="containsText" text="T">
      <formula>NOT(ISERROR(SEARCH("T",BI159)))</formula>
    </cfRule>
    <cfRule type="containsText" dxfId="328" priority="252" operator="containsText" text="17">
      <formula>NOT(ISERROR(SEARCH("17",BI159)))</formula>
    </cfRule>
  </conditionalFormatting>
  <conditionalFormatting sqref="BI28:CC32 CF28:CF32">
    <cfRule type="containsText" dxfId="327" priority="76" operator="containsText" text="T">
      <formula>NOT(ISERROR(SEARCH("T",BI28)))</formula>
    </cfRule>
  </conditionalFormatting>
  <conditionalFormatting sqref="BI28:CC32">
    <cfRule type="containsText" dxfId="326" priority="78" operator="containsText" text="17">
      <formula>NOT(ISERROR(SEARCH("17",BI28)))</formula>
    </cfRule>
  </conditionalFormatting>
  <conditionalFormatting sqref="BI48:CC49 CF48:CF49">
    <cfRule type="containsText" dxfId="325" priority="71" operator="containsText" text="T">
      <formula>NOT(ISERROR(SEARCH("T",BI48)))</formula>
    </cfRule>
  </conditionalFormatting>
  <conditionalFormatting sqref="BI48:CC49">
    <cfRule type="containsText" dxfId="324" priority="73" operator="containsText" text="17">
      <formula>NOT(ISERROR(SEARCH("17",BI48)))</formula>
    </cfRule>
  </conditionalFormatting>
  <conditionalFormatting sqref="BJ60:BJ68">
    <cfRule type="containsText" dxfId="323" priority="69" operator="containsText" text="T">
      <formula>NOT(ISERROR(SEARCH("T",BJ60)))</formula>
    </cfRule>
  </conditionalFormatting>
  <conditionalFormatting sqref="BJ69:BJ71">
    <cfRule type="containsText" dxfId="322" priority="338" operator="containsText" text="T">
      <formula>NOT(ISERROR(SEARCH("T",BJ69)))</formula>
    </cfRule>
  </conditionalFormatting>
  <conditionalFormatting sqref="BJ99:BJ102 BN99:BP102">
    <cfRule type="containsText" dxfId="321" priority="326" operator="containsText" text="T">
      <formula>NOT(ISERROR(SEARCH("T",BJ99)))</formula>
    </cfRule>
  </conditionalFormatting>
  <conditionalFormatting sqref="BJ103:BJ104">
    <cfRule type="containsText" dxfId="320" priority="368" operator="containsText" text="T">
      <formula>NOT(ISERROR(SEARCH("T",BJ103)))</formula>
    </cfRule>
  </conditionalFormatting>
  <conditionalFormatting sqref="BJ105 BN105:BP105">
    <cfRule type="containsText" dxfId="319" priority="316" operator="containsText" text="T">
      <formula>NOT(ISERROR(SEARCH("T",BJ105)))</formula>
    </cfRule>
  </conditionalFormatting>
  <conditionalFormatting sqref="BJ121">
    <cfRule type="containsText" dxfId="318" priority="358" operator="containsText" text="T">
      <formula>NOT(ISERROR(SEARCH("T",BJ121)))</formula>
    </cfRule>
  </conditionalFormatting>
  <conditionalFormatting sqref="BJ123">
    <cfRule type="containsText" dxfId="317" priority="348" operator="containsText" text="T">
      <formula>NOT(ISERROR(SEARCH("T",BJ123)))</formula>
    </cfRule>
  </conditionalFormatting>
  <conditionalFormatting sqref="BJ159:BJ165">
    <cfRule type="containsText" dxfId="316" priority="249" operator="containsText" text="17">
      <formula>NOT(ISERROR(SEARCH("17",BJ159)))</formula>
    </cfRule>
    <cfRule type="containsText" dxfId="315" priority="250" operator="containsText" text="T">
      <formula>NOT(ISERROR(SEARCH("T",BJ159)))</formula>
    </cfRule>
  </conditionalFormatting>
  <conditionalFormatting sqref="BJ199 BI206">
    <cfRule type="containsText" dxfId="314" priority="5048" operator="containsText" text="17">
      <formula>NOT(ISERROR(SEARCH("17",BI199)))</formula>
    </cfRule>
    <cfRule type="containsText" dxfId="313" priority="5049" operator="containsText" text="T">
      <formula>NOT(ISERROR(SEARCH("T",BI199)))</formula>
    </cfRule>
  </conditionalFormatting>
  <conditionalFormatting sqref="BJ99:BK102 BN99:BP102">
    <cfRule type="containsText" dxfId="312" priority="327" operator="containsText" text="17">
      <formula>NOT(ISERROR(SEARCH("17",BJ99)))</formula>
    </cfRule>
  </conditionalFormatting>
  <conditionalFormatting sqref="BJ105:BK105 BN105:CJ105">
    <cfRule type="containsText" dxfId="311" priority="317" operator="containsText" text="17">
      <formula>NOT(ISERROR(SEARCH("17",BJ105)))</formula>
    </cfRule>
  </conditionalFormatting>
  <conditionalFormatting sqref="BJ228:BN231 BK232:BN234">
    <cfRule type="containsText" dxfId="310" priority="5687" operator="containsText" text="T">
      <formula>NOT(ISERROR(SEARCH("T",BJ228)))</formula>
    </cfRule>
    <cfRule type="containsText" dxfId="309" priority="5690" operator="containsText" text="17">
      <formula>NOT(ISERROR(SEARCH("17",BJ228)))</formula>
    </cfRule>
    <cfRule type="containsText" dxfId="308" priority="5691" operator="containsText" text="T">
      <formula>NOT(ISERROR(SEARCH("T",BJ228)))</formula>
    </cfRule>
  </conditionalFormatting>
  <conditionalFormatting sqref="BJ228:BN231">
    <cfRule type="containsText" dxfId="307" priority="5686" operator="containsText" text="17">
      <formula>NOT(ISERROR(SEARCH("17",BJ228)))</formula>
    </cfRule>
  </conditionalFormatting>
  <conditionalFormatting sqref="BJ207:BP213">
    <cfRule type="containsText" dxfId="306" priority="242" operator="containsText" text="17">
      <formula>NOT(ISERROR(SEARCH("17",BJ207)))</formula>
    </cfRule>
  </conditionalFormatting>
  <conditionalFormatting sqref="BJ60:CD66 CG60:CG66">
    <cfRule type="containsText" dxfId="305" priority="66" operator="containsText" text="T">
      <formula>NOT(ISERROR(SEARCH("T",BJ60)))</formula>
    </cfRule>
  </conditionalFormatting>
  <conditionalFormatting sqref="BJ60:CD66">
    <cfRule type="containsText" dxfId="304" priority="68" operator="containsText" text="17">
      <formula>NOT(ISERROR(SEARCH("17",BJ60)))</formula>
    </cfRule>
  </conditionalFormatting>
  <conditionalFormatting sqref="BK67:BK68">
    <cfRule type="containsText" dxfId="303" priority="308" operator="containsText" text="T">
      <formula>NOT(ISERROR(SEARCH("T",BK67)))</formula>
    </cfRule>
  </conditionalFormatting>
  <conditionalFormatting sqref="BK85:BK89">
    <cfRule type="containsText" dxfId="302" priority="1010" operator="containsText" text="17">
      <formula>NOT(ISERROR(SEARCH("17",BK85)))</formula>
    </cfRule>
  </conditionalFormatting>
  <conditionalFormatting sqref="BK90:BK98">
    <cfRule type="containsText" dxfId="301" priority="64" operator="containsText" text="T">
      <formula>NOT(ISERROR(SEARCH("T",BK90)))</formula>
    </cfRule>
  </conditionalFormatting>
  <conditionalFormatting sqref="BK99:BK102">
    <cfRule type="containsText" dxfId="300" priority="328" operator="containsText" text="T">
      <formula>NOT(ISERROR(SEARCH("T",BK99)))</formula>
    </cfRule>
  </conditionalFormatting>
  <conditionalFormatting sqref="BK105">
    <cfRule type="containsText" dxfId="299" priority="318" operator="containsText" text="T">
      <formula>NOT(ISERROR(SEARCH("T",BK105)))</formula>
    </cfRule>
  </conditionalFormatting>
  <conditionalFormatting sqref="BK131:BK137 BO131:BQ137">
    <cfRule type="containsText" dxfId="298" priority="286" operator="containsText" text="T">
      <formula>NOT(ISERROR(SEARCH("T",BK131)))</formula>
    </cfRule>
  </conditionalFormatting>
  <conditionalFormatting sqref="BK199 BJ206">
    <cfRule type="containsText" dxfId="297" priority="5064" operator="containsText" text="17">
      <formula>NOT(ISERROR(SEARCH("17",BJ199)))</formula>
    </cfRule>
    <cfRule type="containsText" dxfId="296" priority="5065" operator="containsText" text="T">
      <formula>NOT(ISERROR(SEARCH("T",BJ199)))</formula>
    </cfRule>
  </conditionalFormatting>
  <conditionalFormatting sqref="BK207:BK213">
    <cfRule type="containsText" dxfId="295" priority="239" operator="containsText" text="17">
      <formula>NOT(ISERROR(SEARCH("17",BK207)))</formula>
    </cfRule>
    <cfRule type="containsText" dxfId="294" priority="240" operator="containsText" text="T">
      <formula>NOT(ISERROR(SEARCH("T",BK207)))</formula>
    </cfRule>
  </conditionalFormatting>
  <conditionalFormatting sqref="BK217:BK223 BL224:BL230">
    <cfRule type="containsText" dxfId="293" priority="5614" operator="containsText" text="17">
      <formula>NOT(ISERROR(SEARCH("17",BK217)))</formula>
    </cfRule>
    <cfRule type="containsText" dxfId="292" priority="5615" operator="containsText" text="T">
      <formula>NOT(ISERROR(SEARCH("T",BK217)))</formula>
    </cfRule>
  </conditionalFormatting>
  <conditionalFormatting sqref="BK131:BL137 BO131:BQ137">
    <cfRule type="containsText" dxfId="291" priority="287" operator="containsText" text="17">
      <formula>NOT(ISERROR(SEARCH("17",BK131)))</formula>
    </cfRule>
  </conditionalFormatting>
  <conditionalFormatting sqref="BK217:BL217">
    <cfRule type="containsText" dxfId="290" priority="5313" operator="containsText" text="T">
      <formula>NOT(ISERROR(SEARCH("T",BK217)))</formula>
    </cfRule>
    <cfRule type="containsText" dxfId="289" priority="5312" operator="containsText" text="17">
      <formula>NOT(ISERROR(SEARCH("17",BK217)))</formula>
    </cfRule>
  </conditionalFormatting>
  <conditionalFormatting sqref="BK218:BL220 BK221:BM223">
    <cfRule type="containsText" dxfId="288" priority="5620" operator="containsText" text="17">
      <formula>NOT(ISERROR(SEARCH("17",BK218)))</formula>
    </cfRule>
    <cfRule type="containsText" dxfId="287" priority="5621" operator="containsText" text="T">
      <formula>NOT(ISERROR(SEARCH("T",BK218)))</formula>
    </cfRule>
  </conditionalFormatting>
  <conditionalFormatting sqref="BK200:BQ206">
    <cfRule type="containsText" dxfId="286" priority="229" operator="containsText" text="17">
      <formula>NOT(ISERROR(SEARCH("17",BK200)))</formula>
    </cfRule>
    <cfRule type="containsText" dxfId="285" priority="230" operator="containsText" text="T">
      <formula>NOT(ISERROR(SEARCH("T",BK200)))</formula>
    </cfRule>
  </conditionalFormatting>
  <conditionalFormatting sqref="BK90:CE96 CH90:CH96">
    <cfRule type="containsText" dxfId="284" priority="61" operator="containsText" text="T">
      <formula>NOT(ISERROR(SEARCH("T",BK90)))</formula>
    </cfRule>
  </conditionalFormatting>
  <conditionalFormatting sqref="BK90:CE96">
    <cfRule type="containsText" dxfId="283" priority="63" operator="containsText" text="17">
      <formula>NOT(ISERROR(SEARCH("17",BK90)))</formula>
    </cfRule>
  </conditionalFormatting>
  <conditionalFormatting sqref="BL79">
    <cfRule type="containsText" dxfId="282" priority="3869" operator="containsText" text="T">
      <formula>NOT(ISERROR(SEARCH("T",BL79)))</formula>
    </cfRule>
    <cfRule type="containsText" dxfId="281" priority="3868" operator="containsText" text="17">
      <formula>NOT(ISERROR(SEARCH("17",BL79)))</formula>
    </cfRule>
  </conditionalFormatting>
  <conditionalFormatting sqref="BL83:BL89">
    <cfRule type="containsText" dxfId="280" priority="59" operator="containsText" text="T">
      <formula>NOT(ISERROR(SEARCH("T",BL83)))</formula>
    </cfRule>
  </conditionalFormatting>
  <conditionalFormatting sqref="BL97:BL98">
    <cfRule type="containsText" dxfId="279" priority="298" operator="containsText" text="T">
      <formula>NOT(ISERROR(SEARCH("T",BL97)))</formula>
    </cfRule>
  </conditionalFormatting>
  <conditionalFormatting sqref="BL131:BL137">
    <cfRule type="containsText" dxfId="278" priority="288" operator="containsText" text="T">
      <formula>NOT(ISERROR(SEARCH("T",BL131)))</formula>
    </cfRule>
  </conditionalFormatting>
  <conditionalFormatting sqref="BL138:BL144 BP138:BR144">
    <cfRule type="containsText" dxfId="277" priority="276" operator="containsText" text="T">
      <formula>NOT(ISERROR(SEARCH("T",BL138)))</formula>
    </cfRule>
  </conditionalFormatting>
  <conditionalFormatting sqref="BL200:BL206">
    <cfRule type="containsText" dxfId="276" priority="227" operator="containsText" text="17">
      <formula>NOT(ISERROR(SEARCH("17",BL200)))</formula>
    </cfRule>
    <cfRule type="containsText" dxfId="275" priority="228" operator="containsText" text="T">
      <formula>NOT(ISERROR(SEARCH("T",BL200)))</formula>
    </cfRule>
  </conditionalFormatting>
  <conditionalFormatting sqref="BL217">
    <cfRule type="containsText" dxfId="274" priority="5315" operator="containsText" text="T">
      <formula>NOT(ISERROR(SEARCH("T",BL217)))</formula>
    </cfRule>
    <cfRule type="containsText" dxfId="273" priority="5314" operator="containsText" text="17">
      <formula>NOT(ISERROR(SEARCH("17",BL217)))</formula>
    </cfRule>
  </conditionalFormatting>
  <conditionalFormatting sqref="BL218:BL220 BL221:BM223 BM224:BM227 BM228:BN230">
    <cfRule type="containsText" dxfId="272" priority="5626" operator="containsText" text="17">
      <formula>NOT(ISERROR(SEARCH("17",BL218)))</formula>
    </cfRule>
  </conditionalFormatting>
  <conditionalFormatting sqref="BL138:BM144 BP138:BR144">
    <cfRule type="containsText" dxfId="271" priority="277" operator="containsText" text="17">
      <formula>NOT(ISERROR(SEARCH("17",BL138)))</formula>
    </cfRule>
  </conditionalFormatting>
  <conditionalFormatting sqref="BL199:BM199 BK206:BL206">
    <cfRule type="containsText" dxfId="270" priority="2139" operator="containsText" text="17">
      <formula>NOT(ISERROR(SEARCH("17",BK199)))</formula>
    </cfRule>
    <cfRule type="containsText" dxfId="269" priority="2140" operator="containsText" text="T">
      <formula>NOT(ISERROR(SEARCH("T",BK199)))</formula>
    </cfRule>
  </conditionalFormatting>
  <conditionalFormatting sqref="BL224:BM227 BL228:BN230">
    <cfRule type="containsText" dxfId="268" priority="5619" operator="containsText" text="T">
      <formula>NOT(ISERROR(SEARCH("T",BL224)))</formula>
    </cfRule>
    <cfRule type="containsText" dxfId="267" priority="5618" operator="containsText" text="17">
      <formula>NOT(ISERROR(SEARCH("17",BL224)))</formula>
    </cfRule>
  </conditionalFormatting>
  <conditionalFormatting sqref="BL192:BR199">
    <cfRule type="containsText" dxfId="266" priority="212" operator="containsText" text="17">
      <formula>NOT(ISERROR(SEARCH("17",BL192)))</formula>
    </cfRule>
  </conditionalFormatting>
  <conditionalFormatting sqref="BL83:CF89 CI83:CI89">
    <cfRule type="containsText" dxfId="265" priority="56" operator="containsText" text="T">
      <formula>NOT(ISERROR(SEARCH("T",BL83)))</formula>
    </cfRule>
  </conditionalFormatting>
  <conditionalFormatting sqref="BL83:CF89">
    <cfRule type="containsText" dxfId="264" priority="58" operator="containsText" text="17">
      <formula>NOT(ISERROR(SEARCH("17",BL83)))</formula>
    </cfRule>
  </conditionalFormatting>
  <conditionalFormatting sqref="BM138:BM144">
    <cfRule type="containsText" dxfId="263" priority="278" operator="containsText" text="T">
      <formula>NOT(ISERROR(SEARCH("T",BM138)))</formula>
    </cfRule>
  </conditionalFormatting>
  <conditionalFormatting sqref="BM145:BM151 BQ145:BS151">
    <cfRule type="containsText" dxfId="262" priority="266" operator="containsText" text="T">
      <formula>NOT(ISERROR(SEARCH("T",BM145)))</formula>
    </cfRule>
  </conditionalFormatting>
  <conditionalFormatting sqref="BM192:BM199">
    <cfRule type="containsText" dxfId="261" priority="211" operator="containsText" text="T">
      <formula>NOT(ISERROR(SEARCH("T",BM192)))</formula>
    </cfRule>
    <cfRule type="containsText" dxfId="260" priority="210" operator="containsText" text="17">
      <formula>NOT(ISERROR(SEARCH("17",BM192)))</formula>
    </cfRule>
  </conditionalFormatting>
  <conditionalFormatting sqref="BM214:BM220">
    <cfRule type="containsText" dxfId="259" priority="54" operator="containsText" text="T">
      <formula>NOT(ISERROR(SEARCH("T",BM214)))</formula>
    </cfRule>
  </conditionalFormatting>
  <conditionalFormatting sqref="BM145:BN151 BQ145:BS151">
    <cfRule type="containsText" dxfId="258" priority="267" operator="containsText" text="17">
      <formula>NOT(ISERROR(SEARCH("17",BM145)))</formula>
    </cfRule>
  </conditionalFormatting>
  <conditionalFormatting sqref="BM168:BS174">
    <cfRule type="containsText" dxfId="257" priority="188" operator="containsText" text="17">
      <formula>NOT(ISERROR(SEARCH("17",BM168)))</formula>
    </cfRule>
    <cfRule type="containsText" dxfId="256" priority="189" operator="containsText" text="T">
      <formula>NOT(ISERROR(SEARCH("T",BM168)))</formula>
    </cfRule>
  </conditionalFormatting>
  <conditionalFormatting sqref="BM214:CG220 CJ214:CJ220">
    <cfRule type="containsText" dxfId="255" priority="51" operator="containsText" text="T">
      <formula>NOT(ISERROR(SEARCH("T",BM214)))</formula>
    </cfRule>
  </conditionalFormatting>
  <conditionalFormatting sqref="BM214:CG220">
    <cfRule type="containsText" dxfId="254" priority="53" operator="containsText" text="17">
      <formula>NOT(ISERROR(SEARCH("17",BM214)))</formula>
    </cfRule>
  </conditionalFormatting>
  <conditionalFormatting sqref="BM79:CJ82 CJ83:CJ84">
    <cfRule type="containsText" dxfId="253" priority="1015" operator="containsText" text="17">
      <formula>NOT(ISERROR(SEARCH("17",BM79)))</formula>
    </cfRule>
  </conditionalFormatting>
  <conditionalFormatting sqref="BN145:BN151">
    <cfRule type="containsText" dxfId="252" priority="268" operator="containsText" text="T">
      <formula>NOT(ISERROR(SEARCH("T",BN145)))</formula>
    </cfRule>
  </conditionalFormatting>
  <conditionalFormatting sqref="BN152:BN158 BR152:BT158">
    <cfRule type="containsText" dxfId="251" priority="256" operator="containsText" text="T">
      <formula>NOT(ISERROR(SEARCH("T",BN152)))</formula>
    </cfRule>
  </conditionalFormatting>
  <conditionalFormatting sqref="BN168:BN174">
    <cfRule type="containsText" dxfId="250" priority="187" operator="containsText" text="T">
      <formula>NOT(ISERROR(SEARCH("T",BN168)))</formula>
    </cfRule>
    <cfRule type="containsText" dxfId="249" priority="186" operator="containsText" text="17">
      <formula>NOT(ISERROR(SEARCH("17",BN168)))</formula>
    </cfRule>
  </conditionalFormatting>
  <conditionalFormatting sqref="BN221:BN227">
    <cfRule type="containsText" dxfId="248" priority="49" operator="containsText" text="T">
      <formula>NOT(ISERROR(SEARCH("T",BN221)))</formula>
    </cfRule>
  </conditionalFormatting>
  <conditionalFormatting sqref="BN152:BO158 BR152:BT158">
    <cfRule type="containsText" dxfId="247" priority="257" operator="containsText" text="17">
      <formula>NOT(ISERROR(SEARCH("17",BN152)))</formula>
    </cfRule>
  </conditionalFormatting>
  <conditionalFormatting sqref="BN67:BP68 BJ67:BK68">
    <cfRule type="containsText" dxfId="246" priority="307" operator="containsText" text="17">
      <formula>NOT(ISERROR(SEARCH("17",BJ67)))</formula>
    </cfRule>
  </conditionalFormatting>
  <conditionalFormatting sqref="BN67:BP68">
    <cfRule type="containsText" dxfId="245" priority="306" operator="containsText" text="T">
      <formula>NOT(ISERROR(SEARCH("T",BN67)))</formula>
    </cfRule>
  </conditionalFormatting>
  <conditionalFormatting sqref="BN175:BT181">
    <cfRule type="containsText" dxfId="244" priority="165" operator="containsText" text="T">
      <formula>NOT(ISERROR(SEARCH("T",BN175)))</formula>
    </cfRule>
    <cfRule type="containsText" dxfId="243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42" priority="918" operator="containsText" text="T">
      <formula>NOT(ISERROR(SEARCH("T",BM192)))</formula>
    </cfRule>
  </conditionalFormatting>
  <conditionalFormatting sqref="BN221:CH227 CK221:CK227">
    <cfRule type="containsText" dxfId="241" priority="46" operator="containsText" text="T">
      <formula>NOT(ISERROR(SEARCH("T",BN221)))</formula>
    </cfRule>
  </conditionalFormatting>
  <conditionalFormatting sqref="BN221:CH227">
    <cfRule type="containsText" dxfId="240" priority="48" operator="containsText" text="17">
      <formula>NOT(ISERROR(SEARCH("17",BN221)))</formula>
    </cfRule>
  </conditionalFormatting>
  <conditionalFormatting sqref="BN107:CJ109">
    <cfRule type="containsText" dxfId="239" priority="993" operator="containsText" text="17">
      <formula>NOT(ISERROR(SEARCH("17",BN107)))</formula>
    </cfRule>
  </conditionalFormatting>
  <conditionalFormatting sqref="BN111:CJ112 BM113:BP115">
    <cfRule type="containsText" dxfId="238" priority="987" operator="containsText" text="17">
      <formula>NOT(ISERROR(SEARCH("17",BM111)))</formula>
    </cfRule>
  </conditionalFormatting>
  <conditionalFormatting sqref="BO152:BO158">
    <cfRule type="containsText" dxfId="237" priority="258" operator="containsText" text="T">
      <formula>NOT(ISERROR(SEARCH("T",BO152)))</formula>
    </cfRule>
  </conditionalFormatting>
  <conditionalFormatting sqref="BO159:BO165 BS159:BU165">
    <cfRule type="containsText" dxfId="236" priority="246" operator="containsText" text="T">
      <formula>NOT(ISERROR(SEARCH("T",BO159)))</formula>
    </cfRule>
  </conditionalFormatting>
  <conditionalFormatting sqref="BO175:BO181">
    <cfRule type="containsText" dxfId="235" priority="163" operator="containsText" text="T">
      <formula>NOT(ISERROR(SEARCH("T",BO175)))</formula>
    </cfRule>
    <cfRule type="containsText" dxfId="234" priority="162" operator="containsText" text="17">
      <formula>NOT(ISERROR(SEARCH("17",BO175)))</formula>
    </cfRule>
  </conditionalFormatting>
  <conditionalFormatting sqref="BO228:BO234">
    <cfRule type="containsText" dxfId="233" priority="44" operator="containsText" text="T">
      <formula>NOT(ISERROR(SEARCH("T",BO228)))</formula>
    </cfRule>
  </conditionalFormatting>
  <conditionalFormatting sqref="BO118:BP119">
    <cfRule type="containsText" dxfId="232" priority="982" operator="containsText" text="17">
      <formula>NOT(ISERROR(SEARCH("17",BO118)))</formula>
    </cfRule>
  </conditionalFormatting>
  <conditionalFormatting sqref="BO159:BP165 BS159:BU165">
    <cfRule type="containsText" dxfId="231" priority="247" operator="containsText" text="17">
      <formula>NOT(ISERROR(SEARCH("17",BO159)))</formula>
    </cfRule>
  </conditionalFormatting>
  <conditionalFormatting sqref="BO182:BU188">
    <cfRule type="containsText" dxfId="230" priority="140" operator="containsText" text="17">
      <formula>NOT(ISERROR(SEARCH("17",BO182)))</formula>
    </cfRule>
    <cfRule type="containsText" dxfId="229" priority="141" operator="containsText" text="T">
      <formula>NOT(ISERROR(SEARCH("T",BO182)))</formula>
    </cfRule>
  </conditionalFormatting>
  <conditionalFormatting sqref="BO228:CI234 CL228:CL234">
    <cfRule type="containsText" dxfId="228" priority="41" operator="containsText" text="T">
      <formula>NOT(ISERROR(SEARCH("T",BO228)))</formula>
    </cfRule>
  </conditionalFormatting>
  <conditionalFormatting sqref="BO228:CI234">
    <cfRule type="containsText" dxfId="227" priority="43" operator="containsText" text="17">
      <formula>NOT(ISERROR(SEARCH("17",BO228)))</formula>
    </cfRule>
  </conditionalFormatting>
  <conditionalFormatting sqref="BO73:CK75 BN76:CK77 CK78">
    <cfRule type="containsText" dxfId="226" priority="1021" operator="containsText" text="17">
      <formula>NOT(ISERROR(SEARCH("17",BN73)))</formula>
    </cfRule>
  </conditionalFormatting>
  <conditionalFormatting sqref="BO97:CP98 BK97:BL98">
    <cfRule type="containsText" dxfId="225" priority="297" operator="containsText" text="17">
      <formula>NOT(ISERROR(SEARCH("17",BK97)))</formula>
    </cfRule>
  </conditionalFormatting>
  <conditionalFormatting sqref="BO97:CP98">
    <cfRule type="containsText" dxfId="224" priority="296" operator="containsText" text="T">
      <formula>NOT(ISERROR(SEARCH("T",BO97)))</formula>
    </cfRule>
  </conditionalFormatting>
  <conditionalFormatting sqref="BP159:BP165">
    <cfRule type="containsText" dxfId="223" priority="248" operator="containsText" text="T">
      <formula>NOT(ISERROR(SEARCH("T",BP159)))</formula>
    </cfRule>
  </conditionalFormatting>
  <conditionalFormatting sqref="BP182:BP188">
    <cfRule type="containsText" dxfId="222" priority="139" operator="containsText" text="T">
      <formula>NOT(ISERROR(SEARCH("T",BP182)))</formula>
    </cfRule>
    <cfRule type="containsText" dxfId="221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20" priority="920" operator="containsText" text="T">
      <formula>NOT(ISERROR(SEARCH("T",BM192)))</formula>
    </cfRule>
  </conditionalFormatting>
  <conditionalFormatting sqref="BP200:BP213">
    <cfRule type="containsText" dxfId="219" priority="233" operator="containsText" text="T">
      <formula>NOT(ISERROR(SEARCH("T",BP200)))</formula>
    </cfRule>
  </conditionalFormatting>
  <conditionalFormatting sqref="BP207:BQ213">
    <cfRule type="containsText" dxfId="218" priority="237" operator="containsText" text="17">
      <formula>NOT(ISERROR(SEARCH("17",BP207)))</formula>
    </cfRule>
  </conditionalFormatting>
  <conditionalFormatting sqref="BP194:BT194 BM195:BS195 BO196:BT198">
    <cfRule type="containsText" dxfId="217" priority="919" operator="containsText" text="17">
      <formula>NOT(ISERROR(SEARCH("17",BM194)))</formula>
    </cfRule>
  </conditionalFormatting>
  <conditionalFormatting sqref="BP14:BV14">
    <cfRule type="containsText" dxfId="216" priority="131" operator="containsText" text="17">
      <formula>NOT(ISERROR(SEARCH("17",BP14)))</formula>
    </cfRule>
    <cfRule type="containsText" dxfId="215" priority="132" operator="containsText" text="T">
      <formula>NOT(ISERROR(SEARCH("T",BP14)))</formula>
    </cfRule>
  </conditionalFormatting>
  <conditionalFormatting sqref="BP189:BV190">
    <cfRule type="containsText" dxfId="214" priority="924" operator="containsText" text="T">
      <formula>NOT(ISERROR(SEARCH("T",BP189)))</formula>
    </cfRule>
  </conditionalFormatting>
  <conditionalFormatting sqref="BP120:BZ126">
    <cfRule type="containsText" dxfId="213" priority="21" operator="containsText" text="17">
      <formula>NOT(ISERROR(SEARCH("17",BP120)))</formula>
    </cfRule>
  </conditionalFormatting>
  <conditionalFormatting sqref="BP80:CB82">
    <cfRule type="containsText" dxfId="212" priority="1016" operator="containsText" text="17">
      <formula>NOT(ISERROR(SEARCH("17",BP80)))</formula>
    </cfRule>
  </conditionalFormatting>
  <conditionalFormatting sqref="BP106:CB109">
    <cfRule type="containsText" dxfId="211" priority="994" operator="containsText" text="17">
      <formula>NOT(ISERROR(SEARCH("17",BP106)))</formula>
    </cfRule>
  </conditionalFormatting>
  <conditionalFormatting sqref="BP112:CB112">
    <cfRule type="containsText" dxfId="210" priority="988" operator="containsText" text="17">
      <formula>NOT(ISERROR(SEARCH("17",BP112)))</formula>
    </cfRule>
  </conditionalFormatting>
  <conditionalFormatting sqref="BP120:CM126">
    <cfRule type="containsText" dxfId="209" priority="30" operator="containsText" text="T">
      <formula>NOT(ISERROR(SEARCH("T",BP120)))</formula>
    </cfRule>
    <cfRule type="containsText" dxfId="208" priority="32" operator="containsText" text="17">
      <formula>NOT(ISERROR(SEARCH("17",BP120)))</formula>
    </cfRule>
  </conditionalFormatting>
  <conditionalFormatting sqref="BP120:CP126">
    <cfRule type="containsText" dxfId="207" priority="40" operator="containsText" text="17">
      <formula>NOT(ISERROR(SEARCH("17",BP120)))</formula>
    </cfRule>
    <cfRule type="containsText" dxfId="206" priority="33" operator="containsText" text="T">
      <formula>NOT(ISERROR(SEARCH("T",BP120)))</formula>
    </cfRule>
  </conditionalFormatting>
  <conditionalFormatting sqref="BQ14">
    <cfRule type="containsText" dxfId="205" priority="127" operator="containsText" text="17">
      <formula>NOT(ISERROR(SEARCH("17",BQ14)))</formula>
    </cfRule>
    <cfRule type="containsText" dxfId="204" priority="128" operator="containsText" text="T">
      <formula>NOT(ISERROR(SEARCH("T",BQ14)))</formula>
    </cfRule>
  </conditionalFormatting>
  <conditionalFormatting sqref="BQ192:BQ206">
    <cfRule type="containsText" dxfId="203" priority="216" operator="containsText" text="T">
      <formula>NOT(ISERROR(SEARCH("T",BQ192)))</formula>
    </cfRule>
  </conditionalFormatting>
  <conditionalFormatting sqref="BQ207:BQ213">
    <cfRule type="containsText" dxfId="202" priority="238" operator="containsText" text="T">
      <formula>NOT(ISERROR(SEARCH("T",BQ207)))</formula>
    </cfRule>
  </conditionalFormatting>
  <conditionalFormatting sqref="BQ200:BR206">
    <cfRule type="containsText" dxfId="201" priority="225" operator="containsText" text="17">
      <formula>NOT(ISERROR(SEARCH("17",BQ200)))</formula>
    </cfRule>
  </conditionalFormatting>
  <conditionalFormatting sqref="BQ34:BW34">
    <cfRule type="containsText" dxfId="200" priority="120" operator="containsText" text="T">
      <formula>NOT(ISERROR(SEARCH("T",BQ34)))</formula>
    </cfRule>
    <cfRule type="containsText" dxfId="199" priority="119" operator="containsText" text="17">
      <formula>NOT(ISERROR(SEARCH("17",BQ34)))</formula>
    </cfRule>
  </conditionalFormatting>
  <conditionalFormatting sqref="BQ113:CA119">
    <cfRule type="containsText" dxfId="198" priority="1" operator="containsText" text="17">
      <formula>NOT(ISERROR(SEARCH("17",BQ113)))</formula>
    </cfRule>
  </conditionalFormatting>
  <conditionalFormatting sqref="BQ100:CB102 BP103:CB103">
    <cfRule type="containsText" dxfId="197" priority="999" operator="containsText" text="17">
      <formula>NOT(ISERROR(SEARCH("17",BP100)))</formula>
    </cfRule>
  </conditionalFormatting>
  <conditionalFormatting sqref="BQ113:CN119">
    <cfRule type="containsText" dxfId="196" priority="12" operator="containsText" text="17">
      <formula>NOT(ISERROR(SEARCH("17",BQ113)))</formula>
    </cfRule>
    <cfRule type="containsText" dxfId="195" priority="10" operator="containsText" text="T">
      <formula>NOT(ISERROR(SEARCH("T",BQ113)))</formula>
    </cfRule>
  </conditionalFormatting>
  <conditionalFormatting sqref="BQ113:CP119">
    <cfRule type="containsText" dxfId="194" priority="13" operator="containsText" text="T">
      <formula>NOT(ISERROR(SEARCH("T",BQ113)))</formula>
    </cfRule>
    <cfRule type="containsText" dxfId="193" priority="20" operator="containsText" text="17">
      <formula>NOT(ISERROR(SEARCH("17",BQ113)))</formula>
    </cfRule>
  </conditionalFormatting>
  <conditionalFormatting sqref="BR34">
    <cfRule type="containsText" dxfId="192" priority="115" operator="containsText" text="17">
      <formula>NOT(ISERROR(SEARCH("17",BR34)))</formula>
    </cfRule>
    <cfRule type="containsText" dxfId="191" priority="116" operator="containsText" text="T">
      <formula>NOT(ISERROR(SEARCH("T",BR34)))</formula>
    </cfRule>
  </conditionalFormatting>
  <conditionalFormatting sqref="BR192:BR199">
    <cfRule type="containsText" dxfId="190" priority="207" operator="containsText" text="T">
      <formula>NOT(ISERROR(SEARCH("T",BR192)))</formula>
    </cfRule>
  </conditionalFormatting>
  <conditionalFormatting sqref="BR200:BR206">
    <cfRule type="containsText" dxfId="189" priority="226" operator="containsText" text="T">
      <formula>NOT(ISERROR(SEARCH("T",BR200)))</formula>
    </cfRule>
  </conditionalFormatting>
  <conditionalFormatting sqref="BR50:BS50 BU50:BY50">
    <cfRule type="containsText" dxfId="188" priority="1034" operator="containsText" text="17">
      <formula>NOT(ISERROR(SEARCH("17",BR50)))</formula>
    </cfRule>
    <cfRule type="containsText" dxfId="187" priority="1035" operator="containsText" text="T">
      <formula>NOT(ISERROR(SEARCH("T",BR50)))</formula>
    </cfRule>
  </conditionalFormatting>
  <conditionalFormatting sqref="BR192:BS199">
    <cfRule type="containsText" dxfId="186" priority="208" operator="containsText" text="17">
      <formula>NOT(ISERROR(SEARCH("17",BR192)))</formula>
    </cfRule>
  </conditionalFormatting>
  <conditionalFormatting sqref="BR21:BX21">
    <cfRule type="containsText" dxfId="185" priority="108" operator="containsText" text="T">
      <formula>NOT(ISERROR(SEARCH("T",BR21)))</formula>
    </cfRule>
    <cfRule type="containsText" dxfId="184" priority="107" operator="containsText" text="17">
      <formula>NOT(ISERROR(SEARCH("17",BR21)))</formula>
    </cfRule>
  </conditionalFormatting>
  <conditionalFormatting sqref="BR68:CD71 BQ74:CC77">
    <cfRule type="containsText" dxfId="183" priority="1022" operator="containsText" text="17">
      <formula>NOT(ISERROR(SEARCH("17",BQ68)))</formula>
    </cfRule>
  </conditionalFormatting>
  <conditionalFormatting sqref="BS21">
    <cfRule type="containsText" dxfId="182" priority="104" operator="containsText" text="T">
      <formula>NOT(ISERROR(SEARCH("T",BS21)))</formula>
    </cfRule>
    <cfRule type="containsText" dxfId="181" priority="103" operator="containsText" text="17">
      <formula>NOT(ISERROR(SEARCH("17",BS21)))</formula>
    </cfRule>
  </conditionalFormatting>
  <conditionalFormatting sqref="BS127 BC199 BB206">
    <cfRule type="containsText" dxfId="180" priority="2146" operator="containsText" text="T">
      <formula>NOT(ISERROR(SEARCH("T",BB127)))</formula>
    </cfRule>
  </conditionalFormatting>
  <conditionalFormatting sqref="BS127 BC199:BR199 BB206:BQ206">
    <cfRule type="containsText" dxfId="179" priority="5051" operator="containsText" text="T">
      <formula>NOT(ISERROR(SEARCH("T",BB127)))</formula>
    </cfRule>
  </conditionalFormatting>
  <conditionalFormatting sqref="BS168:BS181">
    <cfRule type="containsText" dxfId="178" priority="168" operator="containsText" text="T">
      <formula>NOT(ISERROR(SEARCH("T",BS168)))</formula>
    </cfRule>
  </conditionalFormatting>
  <conditionalFormatting sqref="BS192:BS199">
    <cfRule type="containsText" dxfId="177" priority="209" operator="containsText" text="T">
      <formula>NOT(ISERROR(SEARCH("T",BS192)))</formula>
    </cfRule>
  </conditionalFormatting>
  <conditionalFormatting sqref="BS168:BT174">
    <cfRule type="containsText" dxfId="176" priority="184" operator="containsText" text="17">
      <formula>NOT(ISERROR(SEARCH("17",BS168)))</formula>
    </cfRule>
  </conditionalFormatting>
  <conditionalFormatting sqref="BS199:BT199 BR206:BS206">
    <cfRule type="containsText" dxfId="175" priority="2150" operator="containsText" text="T">
      <formula>NOT(ISERROR(SEARCH("T",BR199)))</formula>
    </cfRule>
    <cfRule type="containsText" dxfId="174" priority="2149" operator="containsText" text="17">
      <formula>NOT(ISERROR(SEARCH("17",BR199)))</formula>
    </cfRule>
  </conditionalFormatting>
  <conditionalFormatting sqref="BS41:BY41">
    <cfRule type="containsText" dxfId="173" priority="96" operator="containsText" text="T">
      <formula>NOT(ISERROR(SEARCH("T",BS41)))</formula>
    </cfRule>
    <cfRule type="containsText" dxfId="172" priority="95" operator="containsText" text="17">
      <formula>NOT(ISERROR(SEARCH("17",BS41)))</formula>
    </cfRule>
  </conditionalFormatting>
  <conditionalFormatting sqref="BT41">
    <cfRule type="containsText" dxfId="171" priority="92" operator="containsText" text="T">
      <formula>NOT(ISERROR(SEARCH("T",BT41)))</formula>
    </cfRule>
    <cfRule type="containsText" dxfId="170" priority="91" operator="containsText" text="17">
      <formula>NOT(ISERROR(SEARCH("17",BT41)))</formula>
    </cfRule>
  </conditionalFormatting>
  <conditionalFormatting sqref="BT50:BT52 BZ50:BZ52 BU51:BY52">
    <cfRule type="containsText" dxfId="169" priority="8559" operator="containsText" text="17">
      <formula>NOT(ISERROR(SEARCH("17",BT50)))</formula>
    </cfRule>
    <cfRule type="containsText" dxfId="168" priority="8560" operator="containsText" text="T">
      <formula>NOT(ISERROR(SEARCH("T",BT50)))</formula>
    </cfRule>
  </conditionalFormatting>
  <conditionalFormatting sqref="BT145:BT148">
    <cfRule type="containsText" dxfId="167" priority="1589" operator="containsText" text="17">
      <formula>NOT(ISERROR(SEARCH("17",BT145)))</formula>
    </cfRule>
    <cfRule type="containsText" dxfId="166" priority="8534" operator="containsText" text="T">
      <formula>NOT(ISERROR(SEARCH("T",BT145)))</formula>
    </cfRule>
    <cfRule type="containsText" dxfId="165" priority="1590" operator="containsText" text="T">
      <formula>NOT(ISERROR(SEARCH("T",BT145)))</formula>
    </cfRule>
  </conditionalFormatting>
  <conditionalFormatting sqref="BT168:BT174">
    <cfRule type="containsText" dxfId="164" priority="185" operator="containsText" text="T">
      <formula>NOT(ISERROR(SEARCH("T",BT168)))</formula>
    </cfRule>
  </conditionalFormatting>
  <conditionalFormatting sqref="BT175:BT188">
    <cfRule type="containsText" dxfId="163" priority="144" operator="containsText" text="T">
      <formula>NOT(ISERROR(SEARCH("T",BT175)))</formula>
    </cfRule>
  </conditionalFormatting>
  <conditionalFormatting sqref="BT175:BU181">
    <cfRule type="containsText" dxfId="162" priority="160" operator="containsText" text="17">
      <formula>NOT(ISERROR(SEARCH("17",BT175)))</formula>
    </cfRule>
  </conditionalFormatting>
  <conditionalFormatting sqref="BT139:CQ144">
    <cfRule type="containsText" dxfId="161" priority="968" operator="containsText" text="T">
      <formula>NOT(ISERROR(SEARCH("T",BT139)))</formula>
    </cfRule>
    <cfRule type="containsText" dxfId="160" priority="965" operator="containsText" text="17">
      <formula>NOT(ISERROR(SEARCH("17",BT139)))</formula>
    </cfRule>
  </conditionalFormatting>
  <conditionalFormatting sqref="BU175:BU181">
    <cfRule type="containsText" dxfId="159" priority="161" operator="containsText" text="T">
      <formula>NOT(ISERROR(SEARCH("T",BU175)))</formula>
    </cfRule>
  </conditionalFormatting>
  <conditionalFormatting sqref="BU182:BU188">
    <cfRule type="containsText" dxfId="158" priority="135" operator="containsText" text="T">
      <formula>NOT(ISERROR(SEARCH("T",BU182)))</formula>
    </cfRule>
  </conditionalFormatting>
  <conditionalFormatting sqref="BU200:BU202 AX210:AX211">
    <cfRule type="containsText" dxfId="157" priority="8520" operator="containsText" text="T">
      <formula>NOT(ISERROR(SEARCH("T",AX200)))</formula>
    </cfRule>
  </conditionalFormatting>
  <conditionalFormatting sqref="BU200:BU202 AY190 AX191:BH191 BK191 BO191:BS191">
    <cfRule type="containsText" dxfId="156" priority="8513" operator="containsText" text="17">
      <formula>NOT(ISERROR(SEARCH("17",AX190)))</formula>
    </cfRule>
  </conditionalFormatting>
  <conditionalFormatting sqref="BU182:BV188">
    <cfRule type="containsText" dxfId="155" priority="136" operator="containsText" text="17">
      <formula>NOT(ISERROR(SEARCH("17",BU182)))</formula>
    </cfRule>
  </conditionalFormatting>
  <conditionalFormatting sqref="BU200:BW206">
    <cfRule type="containsText" dxfId="154" priority="231" operator="containsText" text="17">
      <formula>NOT(ISERROR(SEARCH("17",BU200)))</formula>
    </cfRule>
  </conditionalFormatting>
  <conditionalFormatting sqref="BU153:CQ158">
    <cfRule type="containsText" dxfId="153" priority="952" operator="containsText" text="17">
      <formula>NOT(ISERROR(SEARCH("17",BU153)))</formula>
    </cfRule>
    <cfRule type="containsText" dxfId="152" priority="955" operator="containsText" text="T">
      <formula>NOT(ISERROR(SEARCH("T",BU153)))</formula>
    </cfRule>
  </conditionalFormatting>
  <conditionalFormatting sqref="BU146:CR151 BV160:CQ165">
    <cfRule type="containsText" dxfId="151" priority="8367" operator="containsText" text="17">
      <formula>NOT(ISERROR(SEARCH("17",BU146)))</formula>
    </cfRule>
  </conditionalFormatting>
  <conditionalFormatting sqref="BU146:CR151">
    <cfRule type="containsText" dxfId="150" priority="964" operator="containsText" text="T">
      <formula>NOT(ISERROR(SEARCH("T",BU146)))</formula>
    </cfRule>
  </conditionalFormatting>
  <conditionalFormatting sqref="BV14 BZ14:CB14 BE15:BY20 CB15:CB20">
    <cfRule type="containsText" dxfId="149" priority="124" operator="containsText" text="T">
      <formula>NOT(ISERROR(SEARCH("T",BE14)))</formula>
    </cfRule>
  </conditionalFormatting>
  <conditionalFormatting sqref="BV182:BV188">
    <cfRule type="containsText" dxfId="148" priority="137" operator="containsText" text="T">
      <formula>NOT(ISERROR(SEARCH("T",BV182)))</formula>
    </cfRule>
  </conditionalFormatting>
  <conditionalFormatting sqref="BV192:BV199">
    <cfRule type="containsText" dxfId="147" priority="221" operator="containsText" text="17">
      <formula>NOT(ISERROR(SEARCH("17",BV192)))</formula>
    </cfRule>
    <cfRule type="containsText" dxfId="146" priority="217" operator="containsText" text="17">
      <formula>NOT(ISERROR(SEARCH("17",BV192)))</formula>
    </cfRule>
    <cfRule type="containsText" dxfId="145" priority="220" operator="containsText" text="T">
      <formula>NOT(ISERROR(SEARCH("T",BV192)))</formula>
    </cfRule>
    <cfRule type="containsText" dxfId="144" priority="219" operator="containsText" text="17">
      <formula>NOT(ISERROR(SEARCH("17",BV192)))</formula>
    </cfRule>
    <cfRule type="containsText" dxfId="143" priority="218" operator="containsText" text="T">
      <formula>NOT(ISERROR(SEARCH("T",BV192)))</formula>
    </cfRule>
  </conditionalFormatting>
  <conditionalFormatting sqref="BV199 BU206">
    <cfRule type="containsText" dxfId="142" priority="2148" operator="containsText" text="T">
      <formula>NOT(ISERROR(SEARCH("T",BU199)))</formula>
    </cfRule>
    <cfRule type="containsText" dxfId="141" priority="2147" operator="containsText" text="17">
      <formula>NOT(ISERROR(SEARCH("17",BU199)))</formula>
    </cfRule>
  </conditionalFormatting>
  <conditionalFormatting sqref="BV14:BW14 BZ14:CB14 CB15:CB20">
    <cfRule type="containsText" dxfId="140" priority="125" operator="containsText" text="17">
      <formula>NOT(ISERROR(SEARCH("17",BV14)))</formula>
    </cfRule>
  </conditionalFormatting>
  <conditionalFormatting sqref="BV192:BX199">
    <cfRule type="containsText" dxfId="139" priority="214" operator="containsText" text="17">
      <formula>NOT(ISERROR(SEARCH("17",BV192)))</formula>
    </cfRule>
    <cfRule type="containsText" dxfId="138" priority="215" operator="containsText" text="T">
      <formula>NOT(ISERROR(SEARCH("T",BV192)))</formula>
    </cfRule>
  </conditionalFormatting>
  <conditionalFormatting sqref="BV133:CH137">
    <cfRule type="containsText" dxfId="137" priority="971" operator="containsText" text="17">
      <formula>NOT(ISERROR(SEARCH("17",BV133)))</formula>
    </cfRule>
  </conditionalFormatting>
  <conditionalFormatting sqref="BV160:CQ165">
    <cfRule type="containsText" dxfId="136" priority="951" operator="containsText" text="T">
      <formula>NOT(ISERROR(SEARCH("T",BV160)))</formula>
    </cfRule>
  </conditionalFormatting>
  <conditionalFormatting sqref="BW14">
    <cfRule type="containsText" dxfId="135" priority="126" operator="containsText" text="T">
      <formula>NOT(ISERROR(SEARCH("T",BW14)))</formula>
    </cfRule>
  </conditionalFormatting>
  <conditionalFormatting sqref="BW34 CA34:CC34 BF35:BZ40 CC35:CC40">
    <cfRule type="containsText" dxfId="134" priority="112" operator="containsText" text="T">
      <formula>NOT(ISERROR(SEARCH("T",BF34)))</formula>
    </cfRule>
  </conditionalFormatting>
  <conditionalFormatting sqref="BW168:BW174">
    <cfRule type="containsText" dxfId="133" priority="204" operator="containsText" text="T">
      <formula>NOT(ISERROR(SEARCH("T",BW168)))</formula>
    </cfRule>
    <cfRule type="containsText" dxfId="132" priority="203" operator="containsText" text="17">
      <formula>NOT(ISERROR(SEARCH("17",BW168)))</formula>
    </cfRule>
    <cfRule type="containsText" dxfId="131" priority="199" operator="containsText" text="17">
      <formula>NOT(ISERROR(SEARCH("17",BW168)))</formula>
    </cfRule>
    <cfRule type="containsText" dxfId="130" priority="200" operator="containsText" text="T">
      <formula>NOT(ISERROR(SEARCH("T",BW168)))</formula>
    </cfRule>
    <cfRule type="containsText" dxfId="129" priority="201" operator="containsText" text="17">
      <formula>NOT(ISERROR(SEARCH("17",BW168)))</formula>
    </cfRule>
    <cfRule type="containsText" dxfId="128" priority="202" operator="containsText" text="T">
      <formula>NOT(ISERROR(SEARCH("T",BW168)))</formula>
    </cfRule>
  </conditionalFormatting>
  <conditionalFormatting sqref="BW34:BX34 CA34:CC34 CC35:CC40">
    <cfRule type="containsText" dxfId="127" priority="113" operator="containsText" text="17">
      <formula>NOT(ISERROR(SEARCH("17",BW34)))</formula>
    </cfRule>
  </conditionalFormatting>
  <conditionalFormatting sqref="BW168:BY174">
    <cfRule type="containsText" dxfId="126" priority="190" operator="containsText" text="17">
      <formula>NOT(ISERROR(SEARCH("17",BW168)))</formula>
    </cfRule>
  </conditionalFormatting>
  <conditionalFormatting sqref="BW160:CG165">
    <cfRule type="containsText" dxfId="125" priority="949" operator="containsText" text="17">
      <formula>NOT(ISERROR(SEARCH("17",BW160)))</formula>
    </cfRule>
  </conditionalFormatting>
  <conditionalFormatting sqref="BW140:CI144">
    <cfRule type="containsText" dxfId="124" priority="966" operator="containsText" text="17">
      <formula>NOT(ISERROR(SEARCH("17",BW140)))</formula>
    </cfRule>
  </conditionalFormatting>
  <conditionalFormatting sqref="BW154:CI158">
    <cfRule type="containsText" dxfId="123" priority="953" operator="containsText" text="17">
      <formula>NOT(ISERROR(SEARCH("17",BW154)))</formula>
    </cfRule>
  </conditionalFormatting>
  <conditionalFormatting sqref="BW161:CI165">
    <cfRule type="containsText" dxfId="122" priority="946" operator="containsText" text="17">
      <formula>NOT(ISERROR(SEARCH("17",BW161)))</formula>
    </cfRule>
  </conditionalFormatting>
  <conditionalFormatting sqref="BX21 CB21:CD21 BG22:CA27 CD22:CD27">
    <cfRule type="containsText" dxfId="121" priority="100" operator="containsText" text="T">
      <formula>NOT(ISERROR(SEARCH("T",BG21)))</formula>
    </cfRule>
  </conditionalFormatting>
  <conditionalFormatting sqref="BX34">
    <cfRule type="containsText" dxfId="120" priority="114" operator="containsText" text="T">
      <formula>NOT(ISERROR(SEARCH("T",BX34)))</formula>
    </cfRule>
  </conditionalFormatting>
  <conditionalFormatting sqref="BX175:BX181">
    <cfRule type="containsText" dxfId="119" priority="178" operator="containsText" text="T">
      <formula>NOT(ISERROR(SEARCH("T",BX175)))</formula>
    </cfRule>
    <cfRule type="containsText" dxfId="118" priority="176" operator="containsText" text="T">
      <formula>NOT(ISERROR(SEARCH("T",BX175)))</formula>
    </cfRule>
    <cfRule type="containsText" dxfId="117" priority="177" operator="containsText" text="17">
      <formula>NOT(ISERROR(SEARCH("17",BX175)))</formula>
    </cfRule>
    <cfRule type="containsText" dxfId="116" priority="175" operator="containsText" text="17">
      <formula>NOT(ISERROR(SEARCH("17",BX175)))</formula>
    </cfRule>
    <cfRule type="containsText" dxfId="115" priority="180" operator="containsText" text="T">
      <formula>NOT(ISERROR(SEARCH("T",BX175)))</formula>
    </cfRule>
    <cfRule type="containsText" dxfId="114" priority="179" operator="containsText" text="17">
      <formula>NOT(ISERROR(SEARCH("17",BX175)))</formula>
    </cfRule>
  </conditionalFormatting>
  <conditionalFormatting sqref="BX21:BY21 CB21:CD21 CD22:CD27">
    <cfRule type="containsText" dxfId="113" priority="101" operator="containsText" text="17">
      <formula>NOT(ISERROR(SEARCH("17",BX21)))</formula>
    </cfRule>
  </conditionalFormatting>
  <conditionalFormatting sqref="BX175:BZ181">
    <cfRule type="containsText" dxfId="112" priority="166" operator="containsText" text="17">
      <formula>NOT(ISERROR(SEARCH("17",BX175)))</formula>
    </cfRule>
  </conditionalFormatting>
  <conditionalFormatting sqref="BX146:CH151">
    <cfRule type="containsText" dxfId="111" priority="962" operator="containsText" text="17">
      <formula>NOT(ISERROR(SEARCH("17",BX146)))</formula>
    </cfRule>
  </conditionalFormatting>
  <conditionalFormatting sqref="BX147:CJ151">
    <cfRule type="containsText" dxfId="110" priority="959" operator="containsText" text="17">
      <formula>NOT(ISERROR(SEARCH("17",BX147)))</formula>
    </cfRule>
  </conditionalFormatting>
  <conditionalFormatting sqref="BY21">
    <cfRule type="containsText" dxfId="109" priority="102" operator="containsText" text="T">
      <formula>NOT(ISERROR(SEARCH("T",BY21)))</formula>
    </cfRule>
  </conditionalFormatting>
  <conditionalFormatting sqref="BY41 CC41:CE41 BH42:CB47 CE42:CE47">
    <cfRule type="containsText" dxfId="108" priority="88" operator="containsText" text="T">
      <formula>NOT(ISERROR(SEARCH("T",BH41)))</formula>
    </cfRule>
  </conditionalFormatting>
  <conditionalFormatting sqref="BY182:BY188">
    <cfRule type="containsText" dxfId="107" priority="156" operator="containsText" text="T">
      <formula>NOT(ISERROR(SEARCH("T",BY182)))</formula>
    </cfRule>
    <cfRule type="containsText" dxfId="106" priority="155" operator="containsText" text="17">
      <formula>NOT(ISERROR(SEARCH("17",BY182)))</formula>
    </cfRule>
    <cfRule type="containsText" dxfId="105" priority="154" operator="containsText" text="T">
      <formula>NOT(ISERROR(SEARCH("T",BY182)))</formula>
    </cfRule>
    <cfRule type="containsText" dxfId="104" priority="153" operator="containsText" text="17">
      <formula>NOT(ISERROR(SEARCH("17",BY182)))</formula>
    </cfRule>
    <cfRule type="containsText" dxfId="103" priority="152" operator="containsText" text="T">
      <formula>NOT(ISERROR(SEARCH("T",BY182)))</formula>
    </cfRule>
    <cfRule type="containsText" dxfId="102" priority="151" operator="containsText" text="17">
      <formula>NOT(ISERROR(SEARCH("17",BY182)))</formula>
    </cfRule>
  </conditionalFormatting>
  <conditionalFormatting sqref="BY41:BZ41 CC41:CE41 CE42:CE47">
    <cfRule type="containsText" dxfId="101" priority="89" operator="containsText" text="17">
      <formula>NOT(ISERROR(SEARCH("17",BY41)))</formula>
    </cfRule>
  </conditionalFormatting>
  <conditionalFormatting sqref="BY182:CA188">
    <cfRule type="containsText" dxfId="100" priority="142" operator="containsText" text="17">
      <formula>NOT(ISERROR(SEARCH("17",BY182)))</formula>
    </cfRule>
  </conditionalFormatting>
  <conditionalFormatting sqref="BZ41">
    <cfRule type="containsText" dxfId="99" priority="90" operator="containsText" text="T">
      <formula>NOT(ISERROR(SEARCH("T",BZ41)))</formula>
    </cfRule>
  </conditionalFormatting>
  <conditionalFormatting sqref="CA79:CB79 CC79:CI82">
    <cfRule type="containsText" dxfId="98" priority="1018" operator="containsText" text="T">
      <formula>NOT(ISERROR(SEARCH("T",CA79)))</formula>
    </cfRule>
  </conditionalFormatting>
  <conditionalFormatting sqref="CA79:CB79">
    <cfRule type="containsText" dxfId="97" priority="1017" operator="containsText" text="17">
      <formula>NOT(ISERROR(SEARCH("17",CA79)))</formula>
    </cfRule>
  </conditionalFormatting>
  <conditionalFormatting sqref="CA99:CB99 CC99:CI103">
    <cfRule type="containsText" dxfId="96" priority="1001" operator="containsText" text="T">
      <formula>NOT(ISERROR(SEARCH("T",CA99)))</formula>
    </cfRule>
    <cfRule type="containsText" dxfId="95" priority="1000" operator="containsText" text="17">
      <formula>NOT(ISERROR(SEARCH("17",CA99)))</formula>
    </cfRule>
  </conditionalFormatting>
  <conditionalFormatting sqref="CA111:CB111 CC111:CI112">
    <cfRule type="containsText" dxfId="94" priority="990" operator="containsText" text="T">
      <formula>NOT(ISERROR(SEARCH("T",CA111)))</formula>
    </cfRule>
  </conditionalFormatting>
  <conditionalFormatting sqref="CA111:CB111">
    <cfRule type="containsText" dxfId="93" priority="989" operator="containsText" text="17">
      <formula>NOT(ISERROR(SEARCH("17",CA111)))</formula>
    </cfRule>
  </conditionalFormatting>
  <conditionalFormatting sqref="CA120:CG126">
    <cfRule type="containsText" dxfId="92" priority="27" operator="containsText" text="17">
      <formula>NOT(ISERROR(SEARCH("17",CA120)))</formula>
    </cfRule>
    <cfRule type="containsText" dxfId="91" priority="28" operator="containsText" text="T">
      <formula>NOT(ISERROR(SEARCH("T",CA120)))</formula>
    </cfRule>
  </conditionalFormatting>
  <conditionalFormatting sqref="CB15:CB20">
    <cfRule type="containsText" dxfId="90" priority="133" operator="containsText" text="T">
      <formula>NOT(ISERROR(SEARCH("T",CB15)))</formula>
    </cfRule>
  </conditionalFormatting>
  <conditionalFormatting sqref="CB120:CB126">
    <cfRule type="containsText" dxfId="89" priority="25" operator="containsText" text="17">
      <formula>NOT(ISERROR(SEARCH("17",CB120)))</formula>
    </cfRule>
    <cfRule type="containsText" dxfId="88" priority="26" operator="containsText" text="T">
      <formula>NOT(ISERROR(SEARCH("T",CB120)))</formula>
    </cfRule>
  </conditionalFormatting>
  <conditionalFormatting sqref="CB113:CH119">
    <cfRule type="containsText" dxfId="87" priority="8" operator="containsText" text="T">
      <formula>NOT(ISERROR(SEARCH("T",CB113)))</formula>
    </cfRule>
    <cfRule type="containsText" dxfId="86" priority="7" operator="containsText" text="17">
      <formula>NOT(ISERROR(SEARCH("17",CB113)))</formula>
    </cfRule>
  </conditionalFormatting>
  <conditionalFormatting sqref="CC35:CC40">
    <cfRule type="containsText" dxfId="85" priority="121" operator="containsText" text="T">
      <formula>NOT(ISERROR(SEARCH("T",CC35)))</formula>
    </cfRule>
  </conditionalFormatting>
  <conditionalFormatting sqref="CC113:CC119">
    <cfRule type="containsText" dxfId="84" priority="5" operator="containsText" text="17">
      <formula>NOT(ISERROR(SEARCH("17",CC113)))</formula>
    </cfRule>
    <cfRule type="containsText" dxfId="83" priority="6" operator="containsText" text="T">
      <formula>NOT(ISERROR(SEARCH("T",CC113)))</formula>
    </cfRule>
  </conditionalFormatting>
  <conditionalFormatting sqref="CC67:CD67 CE67:CK71 CB73:CC73 CD73:CJ77">
    <cfRule type="containsText" dxfId="82" priority="1024" operator="containsText" text="T">
      <formula>NOT(ISERROR(SEARCH("T",CB67)))</formula>
    </cfRule>
  </conditionalFormatting>
  <conditionalFormatting sqref="CC67:CD67 CE67:CK71 CB73:CC73">
    <cfRule type="containsText" dxfId="81" priority="1023" operator="containsText" text="17">
      <formula>NOT(ISERROR(SEARCH("17",CB67)))</formula>
    </cfRule>
  </conditionalFormatting>
  <conditionalFormatting sqref="CC105:CI109 BQ105:CP105">
    <cfRule type="containsText" dxfId="80" priority="996" operator="containsText" text="T">
      <formula>NOT(ISERROR(SEARCH("T",BQ105)))</formula>
    </cfRule>
  </conditionalFormatting>
  <conditionalFormatting sqref="CD22:CD27">
    <cfRule type="containsText" dxfId="79" priority="109" operator="containsText" text="T">
      <formula>NOT(ISERROR(SEARCH("T",CD22)))</formula>
    </cfRule>
  </conditionalFormatting>
  <conditionalFormatting sqref="CE42:CE47">
    <cfRule type="containsText" dxfId="78" priority="97" operator="containsText" text="T">
      <formula>NOT(ISERROR(SEARCH("T",CE42)))</formula>
    </cfRule>
  </conditionalFormatting>
  <conditionalFormatting sqref="CF28:CF32">
    <cfRule type="containsText" dxfId="77" priority="77" operator="containsText" text="17">
      <formula>NOT(ISERROR(SEARCH("17",CF28)))</formula>
    </cfRule>
  </conditionalFormatting>
  <conditionalFormatting sqref="CF48:CF49">
    <cfRule type="containsText" dxfId="76" priority="72" operator="containsText" text="17">
      <formula>NOT(ISERROR(SEARCH("17",CF48)))</formula>
    </cfRule>
  </conditionalFormatting>
  <conditionalFormatting sqref="CF28:CP32">
    <cfRule type="containsText" dxfId="75" priority="80" operator="containsText" text="T">
      <formula>NOT(ISERROR(SEARCH("T",CF28)))</formula>
    </cfRule>
  </conditionalFormatting>
  <conditionalFormatting sqref="CF41:CP49">
    <cfRule type="containsText" dxfId="74" priority="75" operator="containsText" text="T">
      <formula>NOT(ISERROR(SEARCH("T",CF41)))</formula>
    </cfRule>
  </conditionalFormatting>
  <conditionalFormatting sqref="CG60:CG66">
    <cfRule type="containsText" dxfId="73" priority="67" operator="containsText" text="17">
      <formula>NOT(ISERROR(SEARCH("17",CG60)))</formula>
    </cfRule>
  </conditionalFormatting>
  <conditionalFormatting sqref="CG113:CG126">
    <cfRule type="containsText" dxfId="72" priority="11" operator="containsText" text="T">
      <formula>NOT(ISERROR(SEARCH("T",CG113)))</formula>
    </cfRule>
  </conditionalFormatting>
  <conditionalFormatting sqref="CG120:CH126">
    <cfRule type="containsText" dxfId="71" priority="23" operator="containsText" text="17">
      <formula>NOT(ISERROR(SEARCH("17",CG120)))</formula>
    </cfRule>
  </conditionalFormatting>
  <conditionalFormatting sqref="CG132:CH132 CI132:CO137">
    <cfRule type="containsText" dxfId="70" priority="972" operator="containsText" text="17">
      <formula>NOT(ISERROR(SEARCH("17",CG132)))</formula>
    </cfRule>
    <cfRule type="containsText" dxfId="69" priority="973" operator="containsText" text="T">
      <formula>NOT(ISERROR(SEARCH("T",CG132)))</formula>
    </cfRule>
  </conditionalFormatting>
  <conditionalFormatting sqref="CG60:CP66">
    <cfRule type="containsText" dxfId="68" priority="70" operator="containsText" text="T">
      <formula>NOT(ISERROR(SEARCH("T",CG60)))</formula>
    </cfRule>
  </conditionalFormatting>
  <conditionalFormatting sqref="CH90:CH96">
    <cfRule type="containsText" dxfId="67" priority="62" operator="containsText" text="17">
      <formula>NOT(ISERROR(SEARCH("17",CH90)))</formula>
    </cfRule>
  </conditionalFormatting>
  <conditionalFormatting sqref="CH113:CH119">
    <cfRule type="containsText" dxfId="66" priority="2" operator="containsText" text="T">
      <formula>NOT(ISERROR(SEARCH("T",CH113)))</formula>
    </cfRule>
  </conditionalFormatting>
  <conditionalFormatting sqref="CH120:CH126">
    <cfRule type="containsText" dxfId="65" priority="24" operator="containsText" text="T">
      <formula>NOT(ISERROR(SEARCH("T",CH120)))</formula>
    </cfRule>
  </conditionalFormatting>
  <conditionalFormatting sqref="CH113:CI119">
    <cfRule type="containsText" dxfId="64" priority="3" operator="containsText" text="17">
      <formula>NOT(ISERROR(SEARCH("17",CH113)))</formula>
    </cfRule>
  </conditionalFormatting>
  <conditionalFormatting sqref="CH139:CI139">
    <cfRule type="containsText" dxfId="63" priority="967" operator="containsText" text="17">
      <formula>NOT(ISERROR(SEARCH("17",CH139)))</formula>
    </cfRule>
  </conditionalFormatting>
  <conditionalFormatting sqref="CH153:CI153">
    <cfRule type="containsText" dxfId="62" priority="954" operator="containsText" text="17">
      <formula>NOT(ISERROR(SEARCH("17",CH153)))</formula>
    </cfRule>
  </conditionalFormatting>
  <conditionalFormatting sqref="CH160:CI160 CJ160:CP165">
    <cfRule type="containsText" dxfId="61" priority="947" operator="containsText" text="17">
      <formula>NOT(ISERROR(SEARCH("17",CH160)))</formula>
    </cfRule>
  </conditionalFormatting>
  <conditionalFormatting sqref="CH160:CI160 CK160:CO165">
    <cfRule type="containsText" dxfId="60" priority="948" operator="containsText" text="T">
      <formula>NOT(ISERROR(SEARCH("T",CH160)))</formula>
    </cfRule>
  </conditionalFormatting>
  <conditionalFormatting sqref="CH90:CP96">
    <cfRule type="containsText" dxfId="59" priority="65" operator="containsText" text="T">
      <formula>NOT(ISERROR(SEARCH("T",CH90)))</formula>
    </cfRule>
  </conditionalFormatting>
  <conditionalFormatting sqref="CI83:CI89">
    <cfRule type="containsText" dxfId="58" priority="57" operator="containsText" text="17">
      <formula>NOT(ISERROR(SEARCH("17",CI83)))</formula>
    </cfRule>
    <cfRule type="containsText" dxfId="57" priority="60" operator="containsText" text="T">
      <formula>NOT(ISERROR(SEARCH("T",CI83)))</formula>
    </cfRule>
  </conditionalFormatting>
  <conditionalFormatting sqref="CI113:CI119">
    <cfRule type="containsText" dxfId="56" priority="4" operator="containsText" text="T">
      <formula>NOT(ISERROR(SEARCH("T",CI113)))</formula>
    </cfRule>
  </conditionalFormatting>
  <conditionalFormatting sqref="CI146:CJ146 CK146:CQ151">
    <cfRule type="containsText" dxfId="55" priority="960" operator="containsText" text="17">
      <formula>NOT(ISERROR(SEARCH("17",CI146)))</formula>
    </cfRule>
  </conditionalFormatting>
  <conditionalFormatting sqref="CI146:CJ146 CL146:CP151">
    <cfRule type="containsText" dxfId="54" priority="961" operator="containsText" text="T">
      <formula>NOT(ISERROR(SEARCH("T",CI146)))</formula>
    </cfRule>
  </conditionalFormatting>
  <conditionalFormatting sqref="CJ214:CJ220">
    <cfRule type="containsText" dxfId="53" priority="52" operator="containsText" text="17">
      <formula>NOT(ISERROR(SEARCH("17",CJ214)))</formula>
    </cfRule>
  </conditionalFormatting>
  <conditionalFormatting sqref="CJ214:XFD220">
    <cfRule type="containsText" dxfId="52" priority="55" operator="containsText" text="T">
      <formula>NOT(ISERROR(SEARCH("T",CJ214)))</formula>
    </cfRule>
  </conditionalFormatting>
  <conditionalFormatting sqref="CK120:CK126">
    <cfRule type="containsText" dxfId="51" priority="37" operator="containsText" text="T">
      <formula>NOT(ISERROR(SEARCH("T",CK120)))</formula>
    </cfRule>
    <cfRule type="containsText" dxfId="50" priority="35" operator="containsText" text="T">
      <formula>NOT(ISERROR(SEARCH("T",CK120)))</formula>
    </cfRule>
    <cfRule type="containsText" dxfId="49" priority="34" operator="containsText" text="17">
      <formula>NOT(ISERROR(SEARCH("17",CK120)))</formula>
    </cfRule>
    <cfRule type="containsText" dxfId="48" priority="39" operator="containsText" text="T">
      <formula>NOT(ISERROR(SEARCH("T",CK120)))</formula>
    </cfRule>
    <cfRule type="containsText" dxfId="47" priority="36" operator="containsText" text="17">
      <formula>NOT(ISERROR(SEARCH("17",CK120)))</formula>
    </cfRule>
    <cfRule type="containsText" dxfId="46" priority="38" operator="containsText" text="17">
      <formula>NOT(ISERROR(SEARCH("17",CK120)))</formula>
    </cfRule>
  </conditionalFormatting>
  <conditionalFormatting sqref="CK221:CK227">
    <cfRule type="containsText" dxfId="45" priority="47" operator="containsText" text="17">
      <formula>NOT(ISERROR(SEARCH("17",CK221)))</formula>
    </cfRule>
  </conditionalFormatting>
  <conditionalFormatting sqref="CK120:CM126">
    <cfRule type="containsText" dxfId="44" priority="29" operator="containsText" text="17">
      <formula>NOT(ISERROR(SEARCH("17",CK120)))</formula>
    </cfRule>
  </conditionalFormatting>
  <conditionalFormatting sqref="CK221:CP227">
    <cfRule type="containsText" dxfId="43" priority="50" operator="containsText" text="T">
      <formula>NOT(ISERROR(SEARCH("T",CK221)))</formula>
    </cfRule>
  </conditionalFormatting>
  <conditionalFormatting sqref="CL113:CL119">
    <cfRule type="containsText" dxfId="42" priority="15" operator="containsText" text="T">
      <formula>NOT(ISERROR(SEARCH("T",CL113)))</formula>
    </cfRule>
    <cfRule type="containsText" dxfId="41" priority="18" operator="containsText" text="17">
      <formula>NOT(ISERROR(SEARCH("17",CL113)))</formula>
    </cfRule>
    <cfRule type="containsText" dxfId="40" priority="19" operator="containsText" text="T">
      <formula>NOT(ISERROR(SEARCH("T",CL113)))</formula>
    </cfRule>
    <cfRule type="containsText" dxfId="39" priority="14" operator="containsText" text="17">
      <formula>NOT(ISERROR(SEARCH("17",CL113)))</formula>
    </cfRule>
    <cfRule type="containsText" dxfId="38" priority="16" operator="containsText" text="17">
      <formula>NOT(ISERROR(SEARCH("17",CL113)))</formula>
    </cfRule>
    <cfRule type="containsText" dxfId="37" priority="17" operator="containsText" text="T">
      <formula>NOT(ISERROR(SEARCH("T",CL113)))</formula>
    </cfRule>
  </conditionalFormatting>
  <conditionalFormatting sqref="CL228:CL234">
    <cfRule type="containsText" dxfId="36" priority="42" operator="containsText" text="17">
      <formula>NOT(ISERROR(SEARCH("17",CL228)))</formula>
    </cfRule>
  </conditionalFormatting>
  <conditionalFormatting sqref="CL113:CN119">
    <cfRule type="containsText" dxfId="35" priority="9" operator="containsText" text="17">
      <formula>NOT(ISERROR(SEARCH("17",CL113)))</formula>
    </cfRule>
  </conditionalFormatting>
  <conditionalFormatting sqref="CL228:CP234">
    <cfRule type="containsText" dxfId="34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906"/>
  <sheetViews>
    <sheetView tabSelected="1" workbookViewId="0">
      <pane xSplit="2" ySplit="1" topLeftCell="C872" activePane="bottomRight" state="frozen"/>
      <selection pane="topRight" activeCell="C1" sqref="C1"/>
      <selection pane="bottomLeft" activeCell="A2" sqref="A2"/>
      <selection pane="bottomRight" activeCell="I890" sqref="I890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ref="D666:D729" si="322">A666+23</f>
        <v>46078</v>
      </c>
      <c r="E666" s="77">
        <f t="shared" ref="E666:E729" si="323">A666+7</f>
        <v>46062</v>
      </c>
      <c r="F666" s="77">
        <f t="shared" ref="F666:F729" si="324">A666+14</f>
        <v>46069</v>
      </c>
      <c r="G666" s="77">
        <f t="shared" ref="G666:G729" si="325">A666+20</f>
        <v>46075</v>
      </c>
      <c r="H666" s="77">
        <f t="shared" ref="H666:H729" si="326">A666+8</f>
        <v>46063</v>
      </c>
      <c r="I666" s="77">
        <f t="shared" ref="I666:I729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694" si="334">J687-A687</f>
        <v>29</v>
      </c>
      <c r="L687" s="81">
        <v>15.16</v>
      </c>
      <c r="M687" s="81">
        <v>14.12</v>
      </c>
      <c r="N687" s="25">
        <f t="shared" ref="N687:N694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tr">
        <f>VLOOKUP(B691,'[2]Migrasi Bed'!$B$4:$E$521,4,0)</f>
        <v>ST.F011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>
        <v>46088</v>
      </c>
      <c r="K691" s="25">
        <f t="shared" si="334"/>
        <v>30</v>
      </c>
      <c r="L691" s="81">
        <v>15.83</v>
      </c>
      <c r="M691" s="81">
        <v>14.26</v>
      </c>
      <c r="N691" s="25">
        <f t="shared" si="335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tr">
        <f>VLOOKUP(B692,'[2]Migrasi Bed'!$B$4:$E$521,4,0)</f>
        <v>ST.F012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>
        <v>46088</v>
      </c>
      <c r="K692" s="25">
        <f t="shared" si="334"/>
        <v>30</v>
      </c>
      <c r="L692" s="81">
        <v>15.64</v>
      </c>
      <c r="M692" s="81">
        <v>14.91</v>
      </c>
      <c r="N692" s="25">
        <f t="shared" si="335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tr">
        <f>VLOOKUP(B693,'[2]Migrasi Bed'!$B$4:$E$521,4,0)</f>
        <v>ST.G001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>
        <v>46088</v>
      </c>
      <c r="K693" s="25">
        <f t="shared" si="334"/>
        <v>30</v>
      </c>
      <c r="L693" s="81">
        <v>16.82</v>
      </c>
      <c r="M693" s="81">
        <v>15.74</v>
      </c>
      <c r="N693" s="25">
        <f t="shared" si="335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tr">
        <f>VLOOKUP(B694,'[2]Migrasi Bed'!$B$4:$E$521,4,0)</f>
        <v>ST.G002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>
        <v>46088</v>
      </c>
      <c r="K694" s="25">
        <f t="shared" si="334"/>
        <v>30</v>
      </c>
      <c r="L694" s="81">
        <v>16.989999999999998</v>
      </c>
      <c r="M694" s="81">
        <v>15.21</v>
      </c>
      <c r="N694" s="25">
        <f t="shared" si="335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tr">
        <f>VLOOKUP(B695,'[2]Migrasi Bed'!$B$4:$E$521,4,0)</f>
        <v>BJ.H021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tr">
        <f>VLOOKUP(B696,'[2]Migrasi Bed'!$B$4:$E$521,4,0)</f>
        <v>BJ.H022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tr">
        <f>VLOOKUP(B697,'[2]Migrasi Bed'!$B$4:$E$521,4,0)</f>
        <v>BJ.H023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tr">
        <f>VLOOKUP(B698,'[2]Migrasi Bed'!$B$4:$E$521,4,0)</f>
        <v>BJ.H024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tr">
        <f>VLOOKUP(B699,'[2]Migrasi Bed'!$B$4:$E$521,4,0)</f>
        <v>BJ.H025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tr">
        <f>VLOOKUP(B700,'[2]Migrasi Bed'!$B$4:$E$521,4,0)</f>
        <v>BJ.H026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tr">
        <f>VLOOKUP(B701,'[2]Migrasi Bed'!$B$4:$E$521,4,0)</f>
        <v>BJ.H027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tr">
        <f>VLOOKUP(B702,'[2]Migrasi Bed'!$B$4:$E$521,4,0)</f>
        <v>BJ.H028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>
        <v>46088</v>
      </c>
      <c r="K702" s="25">
        <f t="shared" ref="K702:K704" si="336">J702-A702</f>
        <v>28</v>
      </c>
      <c r="L702" s="81">
        <v>17.14</v>
      </c>
      <c r="M702" s="81">
        <v>16.75</v>
      </c>
      <c r="N702" s="25">
        <f t="shared" ref="N702:N704" si="337">L702-M702</f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tr">
        <f>VLOOKUP(B703,'[2]Migrasi Bed'!$B$4:$E$521,4,0)</f>
        <v>BJ.H029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>
        <v>46088</v>
      </c>
      <c r="K703" s="25">
        <f t="shared" si="336"/>
        <v>28</v>
      </c>
      <c r="L703" s="81">
        <v>16.190000000000001</v>
      </c>
      <c r="M703" s="81">
        <v>15.83</v>
      </c>
      <c r="N703" s="25">
        <f t="shared" si="337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tr">
        <f>VLOOKUP(B704,'[2]Migrasi Bed'!$B$4:$E$521,4,0)</f>
        <v>BJ.H030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>
        <v>46088</v>
      </c>
      <c r="K704" s="25">
        <f t="shared" si="336"/>
        <v>28</v>
      </c>
      <c r="L704" s="81">
        <v>17.61</v>
      </c>
      <c r="M704" s="81">
        <v>16.96</v>
      </c>
      <c r="N704" s="25">
        <f t="shared" si="337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tr">
        <f>VLOOKUP(B705,'[2]Migrasi Bed'!$B$4:$E$521,4,0)</f>
        <v>BJ.L001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tr">
        <f>VLOOKUP(B706,'[2]Migrasi Bed'!$B$4:$E$521,4,0)</f>
        <v>BJ.L002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tr">
        <f>VLOOKUP(B707,'[2]Migrasi Bed'!$B$4:$E$521,4,0)</f>
        <v>BJ.L003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tr">
        <f>VLOOKUP(B708,'[2]Migrasi Bed'!$B$4:$E$521,4,0)</f>
        <v>BJ.L004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tr">
        <f>VLOOKUP(B709,'[2]Migrasi Bed'!$B$4:$E$521,4,0)</f>
        <v>BJ.L005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tr">
        <f>VLOOKUP(B710,'[2]Migrasi Bed'!$B$4:$E$521,4,0)</f>
        <v>BJ.L006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tr">
        <f>VLOOKUP(B711,'[2]Migrasi Bed'!$B$4:$E$521,4,0)</f>
        <v>ST.G003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tr">
        <f>VLOOKUP(B712,'[2]Migrasi Bed'!$B$4:$E$521,4,0)</f>
        <v>ST.G004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tr">
        <f>VLOOKUP(B713,'[2]Migrasi Bed'!$B$4:$E$521,4,0)</f>
        <v>ST.G005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tr">
        <f>VLOOKUP(B714,'[2]Migrasi Bed'!$B$4:$E$521,4,0)</f>
        <v>ST.G006</v>
      </c>
      <c r="D714" s="77">
        <f t="shared" si="322"/>
        <v>46084</v>
      </c>
      <c r="E714" s="77">
        <f t="shared" si="323"/>
        <v>46068</v>
      </c>
      <c r="F714" s="77">
        <f t="shared" si="324"/>
        <v>46075</v>
      </c>
      <c r="G714" s="77">
        <f t="shared" si="325"/>
        <v>46081</v>
      </c>
      <c r="H714" s="77">
        <f t="shared" si="326"/>
        <v>46069</v>
      </c>
      <c r="I714" s="77">
        <f t="shared" si="327"/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tr">
        <f>VLOOKUP(B715,'[2]Migrasi Bed'!$B$4:$E$521,4,0)</f>
        <v>ST.G007</v>
      </c>
      <c r="D715" s="77">
        <f t="shared" si="322"/>
        <v>46084</v>
      </c>
      <c r="E715" s="77">
        <f t="shared" si="323"/>
        <v>46068</v>
      </c>
      <c r="F715" s="77">
        <f t="shared" si="324"/>
        <v>46075</v>
      </c>
      <c r="G715" s="77">
        <f t="shared" si="325"/>
        <v>46081</v>
      </c>
      <c r="H715" s="77">
        <f t="shared" si="326"/>
        <v>46069</v>
      </c>
      <c r="I715" s="77">
        <f t="shared" si="327"/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tr">
        <f>VLOOKUP(B716,'[2]Migrasi Bed'!$B$4:$E$521,4,0)</f>
        <v>ST.B017</v>
      </c>
      <c r="D716" s="77">
        <f t="shared" si="322"/>
        <v>46085</v>
      </c>
      <c r="E716" s="77">
        <f t="shared" si="323"/>
        <v>46069</v>
      </c>
      <c r="F716" s="77">
        <f t="shared" si="324"/>
        <v>46076</v>
      </c>
      <c r="G716" s="77">
        <f t="shared" si="325"/>
        <v>46082</v>
      </c>
      <c r="H716" s="77">
        <f t="shared" si="326"/>
        <v>46070</v>
      </c>
      <c r="I716" s="77">
        <f t="shared" si="327"/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tr">
        <f>VLOOKUP(B717,'[2]Migrasi Bed'!$B$4:$E$521,4,0)</f>
        <v>ST.B018</v>
      </c>
      <c r="D717" s="77">
        <f t="shared" si="322"/>
        <v>46085</v>
      </c>
      <c r="E717" s="77">
        <f t="shared" si="323"/>
        <v>46069</v>
      </c>
      <c r="F717" s="77">
        <f t="shared" si="324"/>
        <v>46076</v>
      </c>
      <c r="G717" s="77">
        <f t="shared" si="325"/>
        <v>46082</v>
      </c>
      <c r="H717" s="77">
        <f t="shared" si="326"/>
        <v>46070</v>
      </c>
      <c r="I717" s="77">
        <f t="shared" si="327"/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tr">
        <f>VLOOKUP(B718,'[2]Migrasi Bed'!$B$4:$E$521,4,0)</f>
        <v>ST.B019</v>
      </c>
      <c r="D718" s="77">
        <f t="shared" si="322"/>
        <v>46085</v>
      </c>
      <c r="E718" s="77">
        <f t="shared" si="323"/>
        <v>46069</v>
      </c>
      <c r="F718" s="77">
        <f t="shared" si="324"/>
        <v>46076</v>
      </c>
      <c r="G718" s="77">
        <f t="shared" si="325"/>
        <v>46082</v>
      </c>
      <c r="H718" s="77">
        <f t="shared" si="326"/>
        <v>46070</v>
      </c>
      <c r="I718" s="77">
        <f t="shared" si="327"/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tr">
        <f>VLOOKUP(B719,'[2]Migrasi Bed'!$B$4:$E$521,4,0)</f>
        <v>ST.B020</v>
      </c>
      <c r="D719" s="77">
        <f t="shared" si="322"/>
        <v>46085</v>
      </c>
      <c r="E719" s="77">
        <f t="shared" si="323"/>
        <v>46069</v>
      </c>
      <c r="F719" s="77">
        <f t="shared" si="324"/>
        <v>46076</v>
      </c>
      <c r="G719" s="77">
        <f t="shared" si="325"/>
        <v>46082</v>
      </c>
      <c r="H719" s="77">
        <f t="shared" si="326"/>
        <v>46070</v>
      </c>
      <c r="I719" s="77">
        <f t="shared" si="327"/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tr">
        <f>VLOOKUP(B720,'[2]Migrasi Bed'!$B$4:$E$521,4,0)</f>
        <v>ST.B021</v>
      </c>
      <c r="D720" s="77">
        <f t="shared" si="322"/>
        <v>46085</v>
      </c>
      <c r="E720" s="77">
        <f t="shared" si="323"/>
        <v>46069</v>
      </c>
      <c r="F720" s="77">
        <f t="shared" si="324"/>
        <v>46076</v>
      </c>
      <c r="G720" s="77">
        <f t="shared" si="325"/>
        <v>46082</v>
      </c>
      <c r="H720" s="77">
        <f t="shared" si="326"/>
        <v>46070</v>
      </c>
      <c r="I720" s="77">
        <f t="shared" si="327"/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tr">
        <f>VLOOKUP(B721,'[2]Migrasi Bed'!$B$4:$E$521,4,0)</f>
        <v>ST.B022</v>
      </c>
      <c r="D721" s="77">
        <f t="shared" si="322"/>
        <v>46085</v>
      </c>
      <c r="E721" s="77">
        <f t="shared" si="323"/>
        <v>46069</v>
      </c>
      <c r="F721" s="77">
        <f t="shared" si="324"/>
        <v>46076</v>
      </c>
      <c r="G721" s="77">
        <f t="shared" si="325"/>
        <v>46082</v>
      </c>
      <c r="H721" s="77">
        <f t="shared" si="326"/>
        <v>46070</v>
      </c>
      <c r="I721" s="77">
        <f t="shared" si="327"/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tr">
        <f>VLOOKUP(B722,'[2]Migrasi Bed'!$B$4:$E$521,4,0)</f>
        <v>ST.B023</v>
      </c>
      <c r="D722" s="77">
        <f t="shared" si="322"/>
        <v>46085</v>
      </c>
      <c r="E722" s="77">
        <f t="shared" si="323"/>
        <v>46069</v>
      </c>
      <c r="F722" s="77">
        <f t="shared" si="324"/>
        <v>46076</v>
      </c>
      <c r="G722" s="77">
        <f t="shared" si="325"/>
        <v>46082</v>
      </c>
      <c r="H722" s="77">
        <f t="shared" si="326"/>
        <v>46070</v>
      </c>
      <c r="I722" s="77">
        <f t="shared" si="327"/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tr">
        <f>VLOOKUP(B723,'[2]Migrasi Bed'!$B$4:$E$521,4,0)</f>
        <v>ST.B010</v>
      </c>
      <c r="D723" s="77">
        <f t="shared" si="322"/>
        <v>46086</v>
      </c>
      <c r="E723" s="77">
        <f t="shared" si="323"/>
        <v>46070</v>
      </c>
      <c r="F723" s="77">
        <f t="shared" si="324"/>
        <v>46077</v>
      </c>
      <c r="G723" s="77">
        <f t="shared" si="325"/>
        <v>46083</v>
      </c>
      <c r="H723" s="77">
        <f t="shared" si="326"/>
        <v>46071</v>
      </c>
      <c r="I723" s="77">
        <f t="shared" si="327"/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tr">
        <f>VLOOKUP(B724,'[2]Migrasi Bed'!$B$4:$E$521,4,0)</f>
        <v>ST.B011</v>
      </c>
      <c r="D724" s="77">
        <f t="shared" si="322"/>
        <v>46086</v>
      </c>
      <c r="E724" s="77">
        <f t="shared" si="323"/>
        <v>46070</v>
      </c>
      <c r="F724" s="77">
        <f t="shared" si="324"/>
        <v>46077</v>
      </c>
      <c r="G724" s="77">
        <f t="shared" si="325"/>
        <v>46083</v>
      </c>
      <c r="H724" s="77">
        <f t="shared" si="326"/>
        <v>46071</v>
      </c>
      <c r="I724" s="77">
        <f t="shared" si="327"/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tr">
        <f>VLOOKUP(B725,'[2]Migrasi Bed'!$B$4:$E$521,4,0)</f>
        <v>ST.B012</v>
      </c>
      <c r="D725" s="77">
        <f t="shared" si="322"/>
        <v>46086</v>
      </c>
      <c r="E725" s="77">
        <f t="shared" si="323"/>
        <v>46070</v>
      </c>
      <c r="F725" s="77">
        <f t="shared" si="324"/>
        <v>46077</v>
      </c>
      <c r="G725" s="77">
        <f t="shared" si="325"/>
        <v>46083</v>
      </c>
      <c r="H725" s="77">
        <f t="shared" si="326"/>
        <v>46071</v>
      </c>
      <c r="I725" s="77">
        <f t="shared" si="327"/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tr">
        <f>VLOOKUP(B726,'[2]Migrasi Bed'!$B$4:$E$521,4,0)</f>
        <v>ST.B013</v>
      </c>
      <c r="D726" s="77">
        <f t="shared" si="322"/>
        <v>46086</v>
      </c>
      <c r="E726" s="77">
        <f t="shared" si="323"/>
        <v>46070</v>
      </c>
      <c r="F726" s="77">
        <f t="shared" si="324"/>
        <v>46077</v>
      </c>
      <c r="G726" s="77">
        <f t="shared" si="325"/>
        <v>46083</v>
      </c>
      <c r="H726" s="77">
        <f t="shared" si="326"/>
        <v>46071</v>
      </c>
      <c r="I726" s="77">
        <f t="shared" si="327"/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tr">
        <f>VLOOKUP(B727,'[2]Migrasi Bed'!$B$4:$E$521,4,0)</f>
        <v>ST.B014</v>
      </c>
      <c r="D727" s="77">
        <f t="shared" si="322"/>
        <v>46086</v>
      </c>
      <c r="E727" s="77">
        <f t="shared" si="323"/>
        <v>46070</v>
      </c>
      <c r="F727" s="77">
        <f t="shared" si="324"/>
        <v>46077</v>
      </c>
      <c r="G727" s="77">
        <f t="shared" si="325"/>
        <v>46083</v>
      </c>
      <c r="H727" s="77">
        <f t="shared" si="326"/>
        <v>46071</v>
      </c>
      <c r="I727" s="77">
        <f t="shared" si="327"/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tr">
        <f>VLOOKUP(B728,'[2]Migrasi Bed'!$B$4:$E$521,4,0)</f>
        <v>ST.B015</v>
      </c>
      <c r="D728" s="77">
        <f t="shared" si="322"/>
        <v>46086</v>
      </c>
      <c r="E728" s="77">
        <f t="shared" si="323"/>
        <v>46070</v>
      </c>
      <c r="F728" s="77">
        <f t="shared" si="324"/>
        <v>46077</v>
      </c>
      <c r="G728" s="77">
        <f t="shared" si="325"/>
        <v>46083</v>
      </c>
      <c r="H728" s="77">
        <f t="shared" si="326"/>
        <v>46071</v>
      </c>
      <c r="I728" s="77">
        <f t="shared" si="327"/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tr">
        <f>VLOOKUP(B729,'[2]Migrasi Bed'!$B$4:$E$521,4,0)</f>
        <v>ST.B016</v>
      </c>
      <c r="D729" s="77">
        <f t="shared" si="322"/>
        <v>46086</v>
      </c>
      <c r="E729" s="77">
        <f t="shared" si="323"/>
        <v>46070</v>
      </c>
      <c r="F729" s="77">
        <f t="shared" si="324"/>
        <v>46077</v>
      </c>
      <c r="G729" s="77">
        <f t="shared" si="325"/>
        <v>46083</v>
      </c>
      <c r="H729" s="77">
        <f t="shared" si="326"/>
        <v>46071</v>
      </c>
      <c r="I729" s="77">
        <f t="shared" si="327"/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tr">
        <f>VLOOKUP(B730,'[2]Migrasi Bed'!$B$4:$E$521,4,0)</f>
        <v>ST.B002</v>
      </c>
      <c r="D730" s="77">
        <f t="shared" ref="D730:D793" si="338">A730+23</f>
        <v>46087</v>
      </c>
      <c r="E730" s="77">
        <f t="shared" ref="E730:E793" si="339">A730+7</f>
        <v>46071</v>
      </c>
      <c r="F730" s="77">
        <f t="shared" ref="F730:F793" si="340">A730+14</f>
        <v>46078</v>
      </c>
      <c r="G730" s="77">
        <f t="shared" ref="G730:G793" si="341">A730+20</f>
        <v>46084</v>
      </c>
      <c r="H730" s="77">
        <f t="shared" ref="H730:H793" si="342">A730+8</f>
        <v>46072</v>
      </c>
      <c r="I730" s="77">
        <f t="shared" ref="I730:I793" si="343">A730+15</f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tr">
        <f>VLOOKUP(B731,'[2]Migrasi Bed'!$B$4:$E$521,4,0)</f>
        <v>ST.B003</v>
      </c>
      <c r="D731" s="77">
        <f t="shared" si="338"/>
        <v>46087</v>
      </c>
      <c r="E731" s="77">
        <f t="shared" si="339"/>
        <v>46071</v>
      </c>
      <c r="F731" s="77">
        <f t="shared" si="340"/>
        <v>46078</v>
      </c>
      <c r="G731" s="77">
        <f t="shared" si="341"/>
        <v>46084</v>
      </c>
      <c r="H731" s="77">
        <f t="shared" si="342"/>
        <v>46072</v>
      </c>
      <c r="I731" s="77">
        <f t="shared" si="343"/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tr">
        <f>VLOOKUP(B732,'[2]Migrasi Bed'!$B$4:$E$521,4,0)</f>
        <v>ST.B004</v>
      </c>
      <c r="D732" s="77">
        <f t="shared" si="338"/>
        <v>46087</v>
      </c>
      <c r="E732" s="77">
        <f t="shared" si="339"/>
        <v>46071</v>
      </c>
      <c r="F732" s="77">
        <f t="shared" si="340"/>
        <v>46078</v>
      </c>
      <c r="G732" s="77">
        <f t="shared" si="341"/>
        <v>46084</v>
      </c>
      <c r="H732" s="77">
        <f t="shared" si="342"/>
        <v>46072</v>
      </c>
      <c r="I732" s="77">
        <f t="shared" si="343"/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tr">
        <f>VLOOKUP(B733,'[2]Migrasi Bed'!$B$4:$E$521,4,0)</f>
        <v>ST.B005</v>
      </c>
      <c r="D733" s="77">
        <f t="shared" si="338"/>
        <v>46087</v>
      </c>
      <c r="E733" s="77">
        <f t="shared" si="339"/>
        <v>46071</v>
      </c>
      <c r="F733" s="77">
        <f t="shared" si="340"/>
        <v>46078</v>
      </c>
      <c r="G733" s="77">
        <f t="shared" si="341"/>
        <v>46084</v>
      </c>
      <c r="H733" s="77">
        <f t="shared" si="342"/>
        <v>46072</v>
      </c>
      <c r="I733" s="77">
        <f t="shared" si="343"/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tr">
        <f>VLOOKUP(B734,'[2]Migrasi Bed'!$B$4:$E$521,4,0)</f>
        <v>ST.B006</v>
      </c>
      <c r="D734" s="77">
        <f t="shared" si="338"/>
        <v>46087</v>
      </c>
      <c r="E734" s="77">
        <f t="shared" si="339"/>
        <v>46071</v>
      </c>
      <c r="F734" s="77">
        <f t="shared" si="340"/>
        <v>46078</v>
      </c>
      <c r="G734" s="77">
        <f t="shared" si="341"/>
        <v>46084</v>
      </c>
      <c r="H734" s="77">
        <f t="shared" si="342"/>
        <v>46072</v>
      </c>
      <c r="I734" s="77">
        <f t="shared" si="343"/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tr">
        <f>VLOOKUP(B735,'[2]Migrasi Bed'!$B$4:$E$521,4,0)</f>
        <v>ST.B007</v>
      </c>
      <c r="D735" s="77">
        <f t="shared" si="338"/>
        <v>46087</v>
      </c>
      <c r="E735" s="77">
        <f t="shared" si="339"/>
        <v>46071</v>
      </c>
      <c r="F735" s="77">
        <f t="shared" si="340"/>
        <v>46078</v>
      </c>
      <c r="G735" s="77">
        <f t="shared" si="341"/>
        <v>46084</v>
      </c>
      <c r="H735" s="77">
        <f t="shared" si="342"/>
        <v>46072</v>
      </c>
      <c r="I735" s="77">
        <f t="shared" si="343"/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tr">
        <f>VLOOKUP(B736,'[2]Migrasi Bed'!$B$4:$E$521,4,0)</f>
        <v>ST.B008</v>
      </c>
      <c r="D736" s="77">
        <f t="shared" si="338"/>
        <v>46087</v>
      </c>
      <c r="E736" s="77">
        <f t="shared" si="339"/>
        <v>46071</v>
      </c>
      <c r="F736" s="77">
        <f t="shared" si="340"/>
        <v>46078</v>
      </c>
      <c r="G736" s="77">
        <f t="shared" si="341"/>
        <v>46084</v>
      </c>
      <c r="H736" s="77">
        <f t="shared" si="342"/>
        <v>46072</v>
      </c>
      <c r="I736" s="77">
        <f t="shared" si="343"/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tr">
        <f>VLOOKUP(B737,'[2]Migrasi Bed'!$B$4:$E$521,4,0)</f>
        <v>ST.B009</v>
      </c>
      <c r="D737" s="77">
        <f t="shared" si="338"/>
        <v>46087</v>
      </c>
      <c r="E737" s="77">
        <f t="shared" si="339"/>
        <v>46071</v>
      </c>
      <c r="F737" s="77">
        <f t="shared" si="340"/>
        <v>46078</v>
      </c>
      <c r="G737" s="77">
        <f t="shared" si="341"/>
        <v>46084</v>
      </c>
      <c r="H737" s="77">
        <f t="shared" si="342"/>
        <v>46072</v>
      </c>
      <c r="I737" s="77">
        <f t="shared" si="343"/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tr">
        <f>VLOOKUP(B738,'[2]Migrasi Bed'!$B$4:$E$521,4,0)</f>
        <v>ST.A001</v>
      </c>
      <c r="D738" s="77">
        <f t="shared" si="338"/>
        <v>46088</v>
      </c>
      <c r="E738" s="77">
        <f t="shared" si="339"/>
        <v>46072</v>
      </c>
      <c r="F738" s="77">
        <f t="shared" si="340"/>
        <v>46079</v>
      </c>
      <c r="G738" s="77">
        <f t="shared" si="341"/>
        <v>46085</v>
      </c>
      <c r="H738" s="77">
        <f t="shared" si="342"/>
        <v>46073</v>
      </c>
      <c r="I738" s="77">
        <f t="shared" si="343"/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tr">
        <f>VLOOKUP(B739,'[2]Migrasi Bed'!$B$4:$E$521,4,0)</f>
        <v>ST.A002</v>
      </c>
      <c r="D739" s="77">
        <f t="shared" si="338"/>
        <v>46088</v>
      </c>
      <c r="E739" s="77">
        <f t="shared" si="339"/>
        <v>46072</v>
      </c>
      <c r="F739" s="77">
        <f t="shared" si="340"/>
        <v>46079</v>
      </c>
      <c r="G739" s="77">
        <f t="shared" si="341"/>
        <v>46085</v>
      </c>
      <c r="H739" s="77">
        <f t="shared" si="342"/>
        <v>46073</v>
      </c>
      <c r="I739" s="77">
        <f t="shared" si="343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VLOOKUP(B740,'[2]Migrasi Bed'!$B$4:$E$521,4,0)</f>
        <v>ST.A003</v>
      </c>
      <c r="D740" s="77">
        <f t="shared" si="338"/>
        <v>46088</v>
      </c>
      <c r="E740" s="77">
        <f t="shared" si="339"/>
        <v>46072</v>
      </c>
      <c r="F740" s="77">
        <f t="shared" si="340"/>
        <v>46079</v>
      </c>
      <c r="G740" s="77">
        <f t="shared" si="341"/>
        <v>46085</v>
      </c>
      <c r="H740" s="77">
        <f t="shared" si="342"/>
        <v>46073</v>
      </c>
      <c r="I740" s="77">
        <f t="shared" si="343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VLOOKUP(B741,'[2]Migrasi Bed'!$B$4:$E$521,4,0)</f>
        <v>ST.A004</v>
      </c>
      <c r="D741" s="77">
        <f t="shared" si="338"/>
        <v>46088</v>
      </c>
      <c r="E741" s="77">
        <f t="shared" si="339"/>
        <v>46072</v>
      </c>
      <c r="F741" s="77">
        <f t="shared" si="340"/>
        <v>46079</v>
      </c>
      <c r="G741" s="77">
        <f t="shared" si="341"/>
        <v>46085</v>
      </c>
      <c r="H741" s="77">
        <f t="shared" si="342"/>
        <v>46073</v>
      </c>
      <c r="I741" s="77">
        <f t="shared" si="343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VLOOKUP(B742,'[2]Migrasi Bed'!$B$4:$E$521,4,0)</f>
        <v>ST.A005</v>
      </c>
      <c r="D742" s="77">
        <f t="shared" si="338"/>
        <v>46088</v>
      </c>
      <c r="E742" s="77">
        <f t="shared" si="339"/>
        <v>46072</v>
      </c>
      <c r="F742" s="77">
        <f t="shared" si="340"/>
        <v>46079</v>
      </c>
      <c r="G742" s="77">
        <f t="shared" si="341"/>
        <v>46085</v>
      </c>
      <c r="H742" s="77">
        <f t="shared" si="342"/>
        <v>46073</v>
      </c>
      <c r="I742" s="77">
        <f t="shared" si="343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VLOOKUP(B743,'[2]Migrasi Bed'!$B$4:$E$521,4,0)</f>
        <v>ST.A006</v>
      </c>
      <c r="D743" s="77">
        <f t="shared" si="338"/>
        <v>46088</v>
      </c>
      <c r="E743" s="77">
        <f t="shared" si="339"/>
        <v>46072</v>
      </c>
      <c r="F743" s="77">
        <f t="shared" si="340"/>
        <v>46079</v>
      </c>
      <c r="G743" s="77">
        <f t="shared" si="341"/>
        <v>46085</v>
      </c>
      <c r="H743" s="77">
        <f t="shared" si="342"/>
        <v>46073</v>
      </c>
      <c r="I743" s="77">
        <f t="shared" si="343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VLOOKUP(B744,'[2]Migrasi Bed'!$B$4:$E$521,4,0)</f>
        <v>ST.A007</v>
      </c>
      <c r="D744" s="77">
        <f t="shared" si="338"/>
        <v>46088</v>
      </c>
      <c r="E744" s="77">
        <f t="shared" si="339"/>
        <v>46072</v>
      </c>
      <c r="F744" s="77">
        <f t="shared" si="340"/>
        <v>46079</v>
      </c>
      <c r="G744" s="77">
        <f t="shared" si="341"/>
        <v>46085</v>
      </c>
      <c r="H744" s="77">
        <f t="shared" si="342"/>
        <v>46073</v>
      </c>
      <c r="I744" s="77">
        <f t="shared" si="343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VLOOKUP(B745,'[2]Migrasi Bed'!$B$4:$E$521,4,0)</f>
        <v>ST.A008</v>
      </c>
      <c r="D745" s="77">
        <f t="shared" si="338"/>
        <v>46089</v>
      </c>
      <c r="E745" s="77">
        <f t="shared" si="339"/>
        <v>46073</v>
      </c>
      <c r="F745" s="77">
        <f t="shared" si="340"/>
        <v>46080</v>
      </c>
      <c r="G745" s="77">
        <f t="shared" si="341"/>
        <v>46086</v>
      </c>
      <c r="H745" s="77">
        <f t="shared" si="342"/>
        <v>46074</v>
      </c>
      <c r="I745" s="77">
        <f t="shared" si="343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VLOOKUP(B746,'[2]Migrasi Bed'!$B$4:$E$521,4,0)</f>
        <v>ST.A009</v>
      </c>
      <c r="D746" s="77">
        <f t="shared" si="338"/>
        <v>46089</v>
      </c>
      <c r="E746" s="77">
        <f t="shared" si="339"/>
        <v>46073</v>
      </c>
      <c r="F746" s="77">
        <f t="shared" si="340"/>
        <v>46080</v>
      </c>
      <c r="G746" s="77">
        <f t="shared" si="341"/>
        <v>46086</v>
      </c>
      <c r="H746" s="77">
        <f t="shared" si="342"/>
        <v>46074</v>
      </c>
      <c r="I746" s="77">
        <f t="shared" si="343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VLOOKUP(B747,'[2]Migrasi Bed'!$B$4:$E$521,4,0)</f>
        <v>ST.A010</v>
      </c>
      <c r="D747" s="77">
        <f t="shared" si="338"/>
        <v>46089</v>
      </c>
      <c r="E747" s="77">
        <f t="shared" si="339"/>
        <v>46073</v>
      </c>
      <c r="F747" s="77">
        <f t="shared" si="340"/>
        <v>46080</v>
      </c>
      <c r="G747" s="77">
        <f t="shared" si="341"/>
        <v>46086</v>
      </c>
      <c r="H747" s="77">
        <f t="shared" si="342"/>
        <v>46074</v>
      </c>
      <c r="I747" s="77">
        <f t="shared" si="343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VLOOKUP(B748,'[2]Migrasi Bed'!$B$4:$E$521,4,0)</f>
        <v>ST.A011</v>
      </c>
      <c r="D748" s="77">
        <f t="shared" si="338"/>
        <v>46089</v>
      </c>
      <c r="E748" s="77">
        <f t="shared" si="339"/>
        <v>46073</v>
      </c>
      <c r="F748" s="77">
        <f t="shared" si="340"/>
        <v>46080</v>
      </c>
      <c r="G748" s="77">
        <f t="shared" si="341"/>
        <v>46086</v>
      </c>
      <c r="H748" s="77">
        <f t="shared" si="342"/>
        <v>46074</v>
      </c>
      <c r="I748" s="77">
        <f t="shared" si="343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VLOOKUP(B749,'[2]Migrasi Bed'!$B$4:$E$521,4,0)</f>
        <v>ST.A012</v>
      </c>
      <c r="D749" s="77">
        <f t="shared" si="338"/>
        <v>46089</v>
      </c>
      <c r="E749" s="77">
        <f t="shared" si="339"/>
        <v>46073</v>
      </c>
      <c r="F749" s="77">
        <f t="shared" si="340"/>
        <v>46080</v>
      </c>
      <c r="G749" s="77">
        <f t="shared" si="341"/>
        <v>46086</v>
      </c>
      <c r="H749" s="77">
        <f t="shared" si="342"/>
        <v>46074</v>
      </c>
      <c r="I749" s="77">
        <f t="shared" si="343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VLOOKUP(B750,'[2]Migrasi Bed'!$B$4:$E$521,4,0)</f>
        <v>ST.A013</v>
      </c>
      <c r="D750" s="77">
        <f t="shared" si="338"/>
        <v>46089</v>
      </c>
      <c r="E750" s="77">
        <f t="shared" si="339"/>
        <v>46073</v>
      </c>
      <c r="F750" s="77">
        <f t="shared" si="340"/>
        <v>46080</v>
      </c>
      <c r="G750" s="77">
        <f t="shared" si="341"/>
        <v>46086</v>
      </c>
      <c r="H750" s="77">
        <f t="shared" si="342"/>
        <v>46074</v>
      </c>
      <c r="I750" s="77">
        <f t="shared" si="343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VLOOKUP(B751,'[2]Migrasi Bed'!$B$4:$E$521,4,0)</f>
        <v>ST.A014</v>
      </c>
      <c r="D751" s="77">
        <f t="shared" si="338"/>
        <v>46089</v>
      </c>
      <c r="E751" s="77">
        <f t="shared" si="339"/>
        <v>46073</v>
      </c>
      <c r="F751" s="77">
        <f t="shared" si="340"/>
        <v>46080</v>
      </c>
      <c r="G751" s="77">
        <f t="shared" si="341"/>
        <v>46086</v>
      </c>
      <c r="H751" s="77">
        <f t="shared" si="342"/>
        <v>46074</v>
      </c>
      <c r="I751" s="77">
        <f t="shared" si="343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VLOOKUP(B752,'[2]Migrasi Bed'!$B$4:$E$521,4,0)</f>
        <v>ST.A015</v>
      </c>
      <c r="D752" s="77">
        <f t="shared" si="338"/>
        <v>46090</v>
      </c>
      <c r="E752" s="77">
        <f t="shared" si="339"/>
        <v>46074</v>
      </c>
      <c r="F752" s="77">
        <f t="shared" si="340"/>
        <v>46081</v>
      </c>
      <c r="G752" s="77">
        <f t="shared" si="341"/>
        <v>46087</v>
      </c>
      <c r="H752" s="77">
        <f t="shared" si="342"/>
        <v>46075</v>
      </c>
      <c r="I752" s="77">
        <f t="shared" si="343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VLOOKUP(B753,'[2]Migrasi Bed'!$B$4:$E$521,4,0)</f>
        <v>ST.A016</v>
      </c>
      <c r="D753" s="77">
        <f t="shared" si="338"/>
        <v>46090</v>
      </c>
      <c r="E753" s="77">
        <f t="shared" si="339"/>
        <v>46074</v>
      </c>
      <c r="F753" s="77">
        <f t="shared" si="340"/>
        <v>46081</v>
      </c>
      <c r="G753" s="77">
        <f t="shared" si="341"/>
        <v>46087</v>
      </c>
      <c r="H753" s="77">
        <f t="shared" si="342"/>
        <v>46075</v>
      </c>
      <c r="I753" s="77">
        <f t="shared" si="343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VLOOKUP(B754,'[2]Migrasi Bed'!$B$4:$E$521,4,0)</f>
        <v>ST.A017</v>
      </c>
      <c r="D754" s="77">
        <f t="shared" si="338"/>
        <v>46090</v>
      </c>
      <c r="E754" s="77">
        <f t="shared" si="339"/>
        <v>46074</v>
      </c>
      <c r="F754" s="77">
        <f t="shared" si="340"/>
        <v>46081</v>
      </c>
      <c r="G754" s="77">
        <f t="shared" si="341"/>
        <v>46087</v>
      </c>
      <c r="H754" s="77">
        <f t="shared" si="342"/>
        <v>46075</v>
      </c>
      <c r="I754" s="77">
        <f t="shared" si="343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VLOOKUP(B755,'[2]Migrasi Bed'!$B$4:$E$521,4,0)</f>
        <v>ST.A018</v>
      </c>
      <c r="D755" s="77">
        <f t="shared" si="338"/>
        <v>46090</v>
      </c>
      <c r="E755" s="77">
        <f t="shared" si="339"/>
        <v>46074</v>
      </c>
      <c r="F755" s="77">
        <f t="shared" si="340"/>
        <v>46081</v>
      </c>
      <c r="G755" s="77">
        <f t="shared" si="341"/>
        <v>46087</v>
      </c>
      <c r="H755" s="77">
        <f t="shared" si="342"/>
        <v>46075</v>
      </c>
      <c r="I755" s="77">
        <f t="shared" si="343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VLOOKUP(B756,'[2]Migrasi Bed'!$B$4:$E$521,4,0)</f>
        <v>ST.A019</v>
      </c>
      <c r="D756" s="77">
        <f t="shared" si="338"/>
        <v>46090</v>
      </c>
      <c r="E756" s="77">
        <f t="shared" si="339"/>
        <v>46074</v>
      </c>
      <c r="F756" s="77">
        <f t="shared" si="340"/>
        <v>46081</v>
      </c>
      <c r="G756" s="77">
        <f t="shared" si="341"/>
        <v>46087</v>
      </c>
      <c r="H756" s="77">
        <f t="shared" si="342"/>
        <v>46075</v>
      </c>
      <c r="I756" s="77">
        <f t="shared" si="343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VLOOKUP(B757,'[2]Migrasi Bed'!$B$4:$E$521,4,0)</f>
        <v>ST.A020</v>
      </c>
      <c r="D757" s="77">
        <f t="shared" si="338"/>
        <v>46090</v>
      </c>
      <c r="E757" s="77">
        <f t="shared" si="339"/>
        <v>46074</v>
      </c>
      <c r="F757" s="77">
        <f t="shared" si="340"/>
        <v>46081</v>
      </c>
      <c r="G757" s="77">
        <f t="shared" si="341"/>
        <v>46087</v>
      </c>
      <c r="H757" s="77">
        <f t="shared" si="342"/>
        <v>46075</v>
      </c>
      <c r="I757" s="77">
        <f t="shared" si="343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VLOOKUP(B758,'[2]Migrasi Bed'!$B$4:$E$521,4,0)</f>
        <v>ST.A021</v>
      </c>
      <c r="D758" s="77">
        <f t="shared" si="338"/>
        <v>46090</v>
      </c>
      <c r="E758" s="77">
        <f t="shared" si="339"/>
        <v>46074</v>
      </c>
      <c r="F758" s="77">
        <f t="shared" si="340"/>
        <v>46081</v>
      </c>
      <c r="G758" s="77">
        <f t="shared" si="341"/>
        <v>46087</v>
      </c>
      <c r="H758" s="77">
        <f t="shared" si="342"/>
        <v>46075</v>
      </c>
      <c r="I758" s="77">
        <f t="shared" si="343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VLOOKUP(B759,'[2]Migrasi Bed'!$B$4:$E$521,4,0)</f>
        <v>SV.F001</v>
      </c>
      <c r="D759" s="77">
        <f t="shared" si="338"/>
        <v>46091</v>
      </c>
      <c r="E759" s="77">
        <f t="shared" si="339"/>
        <v>46075</v>
      </c>
      <c r="F759" s="77">
        <f t="shared" si="340"/>
        <v>46082</v>
      </c>
      <c r="G759" s="77">
        <f t="shared" si="341"/>
        <v>46088</v>
      </c>
      <c r="H759" s="77">
        <f t="shared" si="342"/>
        <v>46076</v>
      </c>
      <c r="I759" s="77">
        <f t="shared" si="343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VLOOKUP(B760,'[2]Migrasi Bed'!$B$4:$E$521,4,0)</f>
        <v>SV.F002</v>
      </c>
      <c r="D760" s="77">
        <f t="shared" si="338"/>
        <v>46091</v>
      </c>
      <c r="E760" s="77">
        <f t="shared" si="339"/>
        <v>46075</v>
      </c>
      <c r="F760" s="77">
        <f t="shared" si="340"/>
        <v>46082</v>
      </c>
      <c r="G760" s="77">
        <f t="shared" si="341"/>
        <v>46088</v>
      </c>
      <c r="H760" s="77">
        <f t="shared" si="342"/>
        <v>46076</v>
      </c>
      <c r="I760" s="77">
        <f t="shared" si="343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VLOOKUP(B761,'[2]Migrasi Bed'!$B$4:$E$521,4,0)</f>
        <v>SV.F003</v>
      </c>
      <c r="D761" s="77">
        <f t="shared" si="338"/>
        <v>46091</v>
      </c>
      <c r="E761" s="77">
        <f t="shared" si="339"/>
        <v>46075</v>
      </c>
      <c r="F761" s="77">
        <f t="shared" si="340"/>
        <v>46082</v>
      </c>
      <c r="G761" s="77">
        <f t="shared" si="341"/>
        <v>46088</v>
      </c>
      <c r="H761" s="77">
        <f t="shared" si="342"/>
        <v>46076</v>
      </c>
      <c r="I761" s="77">
        <f t="shared" si="343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VLOOKUP(B762,'[2]Migrasi Bed'!$B$4:$E$521,4,0)</f>
        <v>SV.F004</v>
      </c>
      <c r="D762" s="77">
        <f t="shared" si="338"/>
        <v>46091</v>
      </c>
      <c r="E762" s="77">
        <f t="shared" si="339"/>
        <v>46075</v>
      </c>
      <c r="F762" s="77">
        <f t="shared" si="340"/>
        <v>46082</v>
      </c>
      <c r="G762" s="77">
        <f t="shared" si="341"/>
        <v>46088</v>
      </c>
      <c r="H762" s="77">
        <f t="shared" si="342"/>
        <v>46076</v>
      </c>
      <c r="I762" s="77">
        <f t="shared" si="343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VLOOKUP(B763,'[2]Migrasi Bed'!$B$4:$E$521,4,0)</f>
        <v>SV.F005</v>
      </c>
      <c r="D763" s="77">
        <f t="shared" si="338"/>
        <v>46091</v>
      </c>
      <c r="E763" s="77">
        <f t="shared" si="339"/>
        <v>46075</v>
      </c>
      <c r="F763" s="77">
        <f t="shared" si="340"/>
        <v>46082</v>
      </c>
      <c r="G763" s="77">
        <f t="shared" si="341"/>
        <v>46088</v>
      </c>
      <c r="H763" s="77">
        <f t="shared" si="342"/>
        <v>46076</v>
      </c>
      <c r="I763" s="77">
        <f t="shared" si="343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VLOOKUP(B764,'[2]Migrasi Bed'!$B$4:$E$521,4,0)</f>
        <v>SV.F006</v>
      </c>
      <c r="D764" s="77">
        <f t="shared" si="338"/>
        <v>46091</v>
      </c>
      <c r="E764" s="77">
        <f t="shared" si="339"/>
        <v>46075</v>
      </c>
      <c r="F764" s="77">
        <f t="shared" si="340"/>
        <v>46082</v>
      </c>
      <c r="G764" s="77">
        <f t="shared" si="341"/>
        <v>46088</v>
      </c>
      <c r="H764" s="77">
        <f t="shared" si="342"/>
        <v>46076</v>
      </c>
      <c r="I764" s="77">
        <f t="shared" si="343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VLOOKUP(B765,'[2]Migrasi Bed'!$B$4:$E$521,4,0)</f>
        <v>SV.F007</v>
      </c>
      <c r="D765" s="77">
        <f t="shared" si="338"/>
        <v>46091</v>
      </c>
      <c r="E765" s="77">
        <f t="shared" si="339"/>
        <v>46075</v>
      </c>
      <c r="F765" s="77">
        <f t="shared" si="340"/>
        <v>46082</v>
      </c>
      <c r="G765" s="77">
        <f t="shared" si="341"/>
        <v>46088</v>
      </c>
      <c r="H765" s="77">
        <f t="shared" si="342"/>
        <v>46076</v>
      </c>
      <c r="I765" s="77">
        <f t="shared" si="343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VLOOKUP(B766,'[2]Migrasi Bed'!$B$4:$E$521,4,0)</f>
        <v>SV.G001</v>
      </c>
      <c r="D766" s="77">
        <f t="shared" si="338"/>
        <v>46092</v>
      </c>
      <c r="E766" s="77">
        <f t="shared" si="339"/>
        <v>46076</v>
      </c>
      <c r="F766" s="77">
        <f t="shared" si="340"/>
        <v>46083</v>
      </c>
      <c r="G766" s="77">
        <f t="shared" si="341"/>
        <v>46089</v>
      </c>
      <c r="H766" s="77">
        <f t="shared" si="342"/>
        <v>46077</v>
      </c>
      <c r="I766" s="77">
        <f t="shared" si="343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VLOOKUP(B767,'[2]Migrasi Bed'!$B$4:$E$521,4,0)</f>
        <v>SV.G002</v>
      </c>
      <c r="D767" s="77">
        <f t="shared" si="338"/>
        <v>46092</v>
      </c>
      <c r="E767" s="77">
        <f t="shared" si="339"/>
        <v>46076</v>
      </c>
      <c r="F767" s="77">
        <f t="shared" si="340"/>
        <v>46083</v>
      </c>
      <c r="G767" s="77">
        <f t="shared" si="341"/>
        <v>46089</v>
      </c>
      <c r="H767" s="77">
        <f t="shared" si="342"/>
        <v>46077</v>
      </c>
      <c r="I767" s="77">
        <f t="shared" si="343"/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VLOOKUP(B768,'[2]Migrasi Bed'!$B$4:$E$521,4,0)</f>
        <v>SV.G003</v>
      </c>
      <c r="D768" s="77">
        <f t="shared" si="338"/>
        <v>46092</v>
      </c>
      <c r="E768" s="77">
        <f t="shared" si="339"/>
        <v>46076</v>
      </c>
      <c r="F768" s="77">
        <f t="shared" si="340"/>
        <v>46083</v>
      </c>
      <c r="G768" s="77">
        <f t="shared" si="341"/>
        <v>46089</v>
      </c>
      <c r="H768" s="77">
        <f t="shared" si="342"/>
        <v>46077</v>
      </c>
      <c r="I768" s="77">
        <f t="shared" si="343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VLOOKUP(B769,'[2]Migrasi Bed'!$B$4:$E$521,4,0)</f>
        <v>SV.G004</v>
      </c>
      <c r="D769" s="77">
        <f t="shared" si="338"/>
        <v>46092</v>
      </c>
      <c r="E769" s="77">
        <f t="shared" si="339"/>
        <v>46076</v>
      </c>
      <c r="F769" s="77">
        <f t="shared" si="340"/>
        <v>46083</v>
      </c>
      <c r="G769" s="77">
        <f t="shared" si="341"/>
        <v>46089</v>
      </c>
      <c r="H769" s="77">
        <f t="shared" si="342"/>
        <v>46077</v>
      </c>
      <c r="I769" s="77">
        <f t="shared" si="343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VLOOKUP(B770,'[2]Migrasi Bed'!$B$4:$E$521,4,0)</f>
        <v>SV.G005</v>
      </c>
      <c r="D770" s="77">
        <f t="shared" si="338"/>
        <v>46092</v>
      </c>
      <c r="E770" s="77">
        <f t="shared" si="339"/>
        <v>46076</v>
      </c>
      <c r="F770" s="77">
        <f t="shared" si="340"/>
        <v>46083</v>
      </c>
      <c r="G770" s="77">
        <f t="shared" si="341"/>
        <v>46089</v>
      </c>
      <c r="H770" s="77">
        <f t="shared" si="342"/>
        <v>46077</v>
      </c>
      <c r="I770" s="77">
        <f t="shared" si="343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VLOOKUP(B771,'[2]Migrasi Bed'!$B$4:$E$521,4,0)</f>
        <v>SV.G006</v>
      </c>
      <c r="D771" s="77">
        <f t="shared" si="338"/>
        <v>46092</v>
      </c>
      <c r="E771" s="77">
        <f t="shared" si="339"/>
        <v>46076</v>
      </c>
      <c r="F771" s="77">
        <f t="shared" si="340"/>
        <v>46083</v>
      </c>
      <c r="G771" s="77">
        <f t="shared" si="341"/>
        <v>46089</v>
      </c>
      <c r="H771" s="77">
        <f t="shared" si="342"/>
        <v>46077</v>
      </c>
      <c r="I771" s="77">
        <f t="shared" si="343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VLOOKUP(B772,'[2]Migrasi Bed'!$B$4:$E$521,4,0)</f>
        <v>SV.G007</v>
      </c>
      <c r="D772" s="77">
        <f t="shared" si="338"/>
        <v>46092</v>
      </c>
      <c r="E772" s="77">
        <f t="shared" si="339"/>
        <v>46076</v>
      </c>
      <c r="F772" s="77">
        <f t="shared" si="340"/>
        <v>46083</v>
      </c>
      <c r="G772" s="77">
        <f t="shared" si="341"/>
        <v>46089</v>
      </c>
      <c r="H772" s="77">
        <f t="shared" si="342"/>
        <v>46077</v>
      </c>
      <c r="I772" s="77">
        <f t="shared" si="343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VLOOKUP(B773,'[2]Migrasi Bed'!$B$4:$E$521,4,0)</f>
        <v>SV.F008</v>
      </c>
      <c r="D773" s="77">
        <f t="shared" si="338"/>
        <v>46093</v>
      </c>
      <c r="E773" s="77">
        <f t="shared" si="339"/>
        <v>46077</v>
      </c>
      <c r="F773" s="77">
        <f t="shared" si="340"/>
        <v>46084</v>
      </c>
      <c r="G773" s="77">
        <f t="shared" si="341"/>
        <v>46090</v>
      </c>
      <c r="H773" s="77">
        <f t="shared" si="342"/>
        <v>46078</v>
      </c>
      <c r="I773" s="77">
        <f t="shared" si="343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VLOOKUP(B774,'[2]Migrasi Bed'!$B$4:$E$521,4,0)</f>
        <v>SV.F009</v>
      </c>
      <c r="D774" s="77">
        <f t="shared" si="338"/>
        <v>46093</v>
      </c>
      <c r="E774" s="77">
        <f t="shared" si="339"/>
        <v>46077</v>
      </c>
      <c r="F774" s="77">
        <f t="shared" si="340"/>
        <v>46084</v>
      </c>
      <c r="G774" s="77">
        <f t="shared" si="341"/>
        <v>46090</v>
      </c>
      <c r="H774" s="77">
        <f t="shared" si="342"/>
        <v>46078</v>
      </c>
      <c r="I774" s="77">
        <f t="shared" si="343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VLOOKUP(B775,'[2]Migrasi Bed'!$B$4:$E$521,4,0)</f>
        <v>SV.F010</v>
      </c>
      <c r="D775" s="77">
        <f t="shared" si="338"/>
        <v>46093</v>
      </c>
      <c r="E775" s="77">
        <f t="shared" si="339"/>
        <v>46077</v>
      </c>
      <c r="F775" s="77">
        <f t="shared" si="340"/>
        <v>46084</v>
      </c>
      <c r="G775" s="77">
        <f t="shared" si="341"/>
        <v>46090</v>
      </c>
      <c r="H775" s="77">
        <f t="shared" si="342"/>
        <v>46078</v>
      </c>
      <c r="I775" s="77">
        <f t="shared" si="343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VLOOKUP(B776,'[2]Migrasi Bed'!$B$4:$E$521,4,0)</f>
        <v>SV.F011</v>
      </c>
      <c r="D776" s="77">
        <f t="shared" si="338"/>
        <v>46093</v>
      </c>
      <c r="E776" s="77">
        <f t="shared" si="339"/>
        <v>46077</v>
      </c>
      <c r="F776" s="77">
        <f t="shared" si="340"/>
        <v>46084</v>
      </c>
      <c r="G776" s="77">
        <f t="shared" si="341"/>
        <v>46090</v>
      </c>
      <c r="H776" s="77">
        <f t="shared" si="342"/>
        <v>46078</v>
      </c>
      <c r="I776" s="77">
        <f t="shared" si="343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VLOOKUP(B777,'[2]Migrasi Bed'!$B$4:$E$521,4,0)</f>
        <v>SV.F012</v>
      </c>
      <c r="D777" s="77">
        <f t="shared" si="338"/>
        <v>46093</v>
      </c>
      <c r="E777" s="77">
        <f t="shared" si="339"/>
        <v>46077</v>
      </c>
      <c r="F777" s="77">
        <f t="shared" si="340"/>
        <v>46084</v>
      </c>
      <c r="G777" s="77">
        <f t="shared" si="341"/>
        <v>46090</v>
      </c>
      <c r="H777" s="77">
        <f t="shared" si="342"/>
        <v>46078</v>
      </c>
      <c r="I777" s="77">
        <f t="shared" si="343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VLOOKUP(B778,'[2]Migrasi Bed'!$B$4:$E$521,4,0)</f>
        <v>SV.F013</v>
      </c>
      <c r="D778" s="77">
        <f t="shared" si="338"/>
        <v>46093</v>
      </c>
      <c r="E778" s="77">
        <f t="shared" si="339"/>
        <v>46077</v>
      </c>
      <c r="F778" s="77">
        <f t="shared" si="340"/>
        <v>46084</v>
      </c>
      <c r="G778" s="77">
        <f t="shared" si="341"/>
        <v>46090</v>
      </c>
      <c r="H778" s="77">
        <f t="shared" si="342"/>
        <v>46078</v>
      </c>
      <c r="I778" s="77">
        <f t="shared" si="343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VLOOKUP(B779,'[2]Migrasi Bed'!$B$4:$E$521,4,0)</f>
        <v>SV.F014</v>
      </c>
      <c r="D779" s="77">
        <f t="shared" si="338"/>
        <v>46093</v>
      </c>
      <c r="E779" s="77">
        <f t="shared" si="339"/>
        <v>46077</v>
      </c>
      <c r="F779" s="77">
        <f t="shared" si="340"/>
        <v>46084</v>
      </c>
      <c r="G779" s="77">
        <f t="shared" si="341"/>
        <v>46090</v>
      </c>
      <c r="H779" s="77">
        <f t="shared" si="342"/>
        <v>46078</v>
      </c>
      <c r="I779" s="77">
        <f t="shared" si="343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VLOOKUP(B780,'[2]Migrasi Bed'!$B$4:$E$521,4,0)</f>
        <v>SV.G008</v>
      </c>
      <c r="D780" s="77">
        <f t="shared" si="338"/>
        <v>46094</v>
      </c>
      <c r="E780" s="77">
        <f t="shared" si="339"/>
        <v>46078</v>
      </c>
      <c r="F780" s="77">
        <f t="shared" si="340"/>
        <v>46085</v>
      </c>
      <c r="G780" s="77">
        <f t="shared" si="341"/>
        <v>46091</v>
      </c>
      <c r="H780" s="77">
        <f t="shared" si="342"/>
        <v>46079</v>
      </c>
      <c r="I780" s="77">
        <f t="shared" si="343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VLOOKUP(B781,'[2]Migrasi Bed'!$B$4:$E$521,4,0)</f>
        <v>SV.G009</v>
      </c>
      <c r="D781" s="77">
        <f t="shared" si="338"/>
        <v>46094</v>
      </c>
      <c r="E781" s="77">
        <f t="shared" si="339"/>
        <v>46078</v>
      </c>
      <c r="F781" s="77">
        <f t="shared" si="340"/>
        <v>46085</v>
      </c>
      <c r="G781" s="77">
        <f t="shared" si="341"/>
        <v>46091</v>
      </c>
      <c r="H781" s="77">
        <f t="shared" si="342"/>
        <v>46079</v>
      </c>
      <c r="I781" s="77">
        <f t="shared" si="343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VLOOKUP(B782,'[2]Migrasi Bed'!$B$4:$E$521,4,0)</f>
        <v>SV.G010</v>
      </c>
      <c r="D782" s="77">
        <f t="shared" si="338"/>
        <v>46094</v>
      </c>
      <c r="E782" s="77">
        <f t="shared" si="339"/>
        <v>46078</v>
      </c>
      <c r="F782" s="77">
        <f t="shared" si="340"/>
        <v>46085</v>
      </c>
      <c r="G782" s="77">
        <f t="shared" si="341"/>
        <v>46091</v>
      </c>
      <c r="H782" s="77">
        <f t="shared" si="342"/>
        <v>46079</v>
      </c>
      <c r="I782" s="77">
        <f t="shared" si="343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VLOOKUP(B783,'[2]Migrasi Bed'!$B$4:$E$521,4,0)</f>
        <v>SV.G011</v>
      </c>
      <c r="D783" s="77">
        <f t="shared" si="338"/>
        <v>46094</v>
      </c>
      <c r="E783" s="77">
        <f t="shared" si="339"/>
        <v>46078</v>
      </c>
      <c r="F783" s="77">
        <f t="shared" si="340"/>
        <v>46085</v>
      </c>
      <c r="G783" s="77">
        <f t="shared" si="341"/>
        <v>46091</v>
      </c>
      <c r="H783" s="77">
        <f t="shared" si="342"/>
        <v>46079</v>
      </c>
      <c r="I783" s="77">
        <f t="shared" si="343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VLOOKUP(B784,'[2]Migrasi Bed'!$B$4:$E$521,4,0)</f>
        <v>SV.G012</v>
      </c>
      <c r="D784" s="77">
        <f t="shared" si="338"/>
        <v>46094</v>
      </c>
      <c r="E784" s="77">
        <f t="shared" si="339"/>
        <v>46078</v>
      </c>
      <c r="F784" s="77">
        <f t="shared" si="340"/>
        <v>46085</v>
      </c>
      <c r="G784" s="77">
        <f t="shared" si="341"/>
        <v>46091</v>
      </c>
      <c r="H784" s="77">
        <f t="shared" si="342"/>
        <v>46079</v>
      </c>
      <c r="I784" s="77">
        <f t="shared" si="343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VLOOKUP(B785,'[2]Migrasi Bed'!$B$4:$E$521,4,0)</f>
        <v>SV.G013</v>
      </c>
      <c r="D785" s="77">
        <f t="shared" si="338"/>
        <v>46094</v>
      </c>
      <c r="E785" s="77">
        <f t="shared" si="339"/>
        <v>46078</v>
      </c>
      <c r="F785" s="77">
        <f t="shared" si="340"/>
        <v>46085</v>
      </c>
      <c r="G785" s="77">
        <f t="shared" si="341"/>
        <v>46091</v>
      </c>
      <c r="H785" s="77">
        <f t="shared" si="342"/>
        <v>46079</v>
      </c>
      <c r="I785" s="77">
        <f t="shared" si="343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VLOOKUP(B786,'[2]Migrasi Bed'!$B$4:$E$521,4,0)</f>
        <v>SV.G014</v>
      </c>
      <c r="D786" s="77">
        <f t="shared" si="338"/>
        <v>46094</v>
      </c>
      <c r="E786" s="77">
        <f t="shared" si="339"/>
        <v>46078</v>
      </c>
      <c r="F786" s="77">
        <f t="shared" si="340"/>
        <v>46085</v>
      </c>
      <c r="G786" s="77">
        <f t="shared" si="341"/>
        <v>46091</v>
      </c>
      <c r="H786" s="77">
        <f t="shared" si="342"/>
        <v>46079</v>
      </c>
      <c r="I786" s="77">
        <f t="shared" si="343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VLOOKUP(B787,'[2]Migrasi Bed'!$B$4:$E$521,4,0)</f>
        <v>SV.F015</v>
      </c>
      <c r="D787" s="77">
        <f t="shared" si="338"/>
        <v>46095</v>
      </c>
      <c r="E787" s="77">
        <f t="shared" si="339"/>
        <v>46079</v>
      </c>
      <c r="F787" s="77">
        <f t="shared" si="340"/>
        <v>46086</v>
      </c>
      <c r="G787" s="77">
        <f t="shared" si="341"/>
        <v>46092</v>
      </c>
      <c r="H787" s="77">
        <f t="shared" si="342"/>
        <v>46080</v>
      </c>
      <c r="I787" s="77">
        <f t="shared" si="343"/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VLOOKUP(B788,'[2]Migrasi Bed'!$B$4:$E$521,4,0)</f>
        <v>SV.F016</v>
      </c>
      <c r="D788" s="77">
        <f t="shared" si="338"/>
        <v>46095</v>
      </c>
      <c r="E788" s="77">
        <f t="shared" si="339"/>
        <v>46079</v>
      </c>
      <c r="F788" s="77">
        <f t="shared" si="340"/>
        <v>46086</v>
      </c>
      <c r="G788" s="77">
        <f t="shared" si="341"/>
        <v>46092</v>
      </c>
      <c r="H788" s="77">
        <f t="shared" si="342"/>
        <v>46080</v>
      </c>
      <c r="I788" s="77">
        <f t="shared" si="343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VLOOKUP(B789,'[2]Migrasi Bed'!$B$4:$E$521,4,0)</f>
        <v>SV.F017</v>
      </c>
      <c r="D789" s="77">
        <f t="shared" si="338"/>
        <v>46095</v>
      </c>
      <c r="E789" s="77">
        <f t="shared" si="339"/>
        <v>46079</v>
      </c>
      <c r="F789" s="77">
        <f t="shared" si="340"/>
        <v>46086</v>
      </c>
      <c r="G789" s="77">
        <f t="shared" si="341"/>
        <v>46092</v>
      </c>
      <c r="H789" s="77">
        <f t="shared" si="342"/>
        <v>46080</v>
      </c>
      <c r="I789" s="77">
        <f t="shared" si="343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VLOOKUP(B790,'[2]Migrasi Bed'!$B$4:$E$521,4,0)</f>
        <v>SV.F018</v>
      </c>
      <c r="D790" s="77">
        <f t="shared" si="338"/>
        <v>46095</v>
      </c>
      <c r="E790" s="77">
        <f t="shared" si="339"/>
        <v>46079</v>
      </c>
      <c r="F790" s="77">
        <f t="shared" si="340"/>
        <v>46086</v>
      </c>
      <c r="G790" s="77">
        <f t="shared" si="341"/>
        <v>46092</v>
      </c>
      <c r="H790" s="77">
        <f t="shared" si="342"/>
        <v>46080</v>
      </c>
      <c r="I790" s="77">
        <f t="shared" si="343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VLOOKUP(B791,'[2]Migrasi Bed'!$B$4:$E$521,4,0)</f>
        <v>SV.F019</v>
      </c>
      <c r="D791" s="77">
        <f t="shared" si="338"/>
        <v>46095</v>
      </c>
      <c r="E791" s="77">
        <f t="shared" si="339"/>
        <v>46079</v>
      </c>
      <c r="F791" s="77">
        <f t="shared" si="340"/>
        <v>46086</v>
      </c>
      <c r="G791" s="77">
        <f t="shared" si="341"/>
        <v>46092</v>
      </c>
      <c r="H791" s="77">
        <f t="shared" si="342"/>
        <v>46080</v>
      </c>
      <c r="I791" s="77">
        <f t="shared" si="343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VLOOKUP(B792,'[2]Migrasi Bed'!$B$4:$E$521,4,0)</f>
        <v>SV.G015</v>
      </c>
      <c r="D792" s="77">
        <f t="shared" si="338"/>
        <v>46095</v>
      </c>
      <c r="E792" s="77">
        <f t="shared" si="339"/>
        <v>46079</v>
      </c>
      <c r="F792" s="77">
        <f t="shared" si="340"/>
        <v>46086</v>
      </c>
      <c r="G792" s="77">
        <f t="shared" si="341"/>
        <v>46092</v>
      </c>
      <c r="H792" s="77">
        <f t="shared" si="342"/>
        <v>46080</v>
      </c>
      <c r="I792" s="77">
        <f t="shared" si="343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VLOOKUP(B793,'[2]Migrasi Bed'!$B$4:$E$521,4,0)</f>
        <v>SV.G016</v>
      </c>
      <c r="D793" s="77">
        <f t="shared" si="338"/>
        <v>46095</v>
      </c>
      <c r="E793" s="77">
        <f t="shared" si="339"/>
        <v>46079</v>
      </c>
      <c r="F793" s="77">
        <f t="shared" si="340"/>
        <v>46086</v>
      </c>
      <c r="G793" s="77">
        <f t="shared" si="341"/>
        <v>46092</v>
      </c>
      <c r="H793" s="77">
        <f t="shared" si="342"/>
        <v>46080</v>
      </c>
      <c r="I793" s="77">
        <f t="shared" si="343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VLOOKUP(B794,'[2]Migrasi Bed'!$B$4:$E$521,4,0)</f>
        <v>SV.H013</v>
      </c>
      <c r="D794" s="77">
        <f t="shared" ref="D794:D857" si="344">A794+23</f>
        <v>46096</v>
      </c>
      <c r="E794" s="77">
        <f t="shared" ref="E794:E857" si="345">A794+7</f>
        <v>46080</v>
      </c>
      <c r="F794" s="77">
        <f t="shared" ref="F794:F857" si="346">A794+14</f>
        <v>46087</v>
      </c>
      <c r="G794" s="77">
        <f t="shared" ref="G794:G857" si="347">A794+20</f>
        <v>46093</v>
      </c>
      <c r="H794" s="77">
        <f t="shared" ref="H794:H857" si="348">A794+8</f>
        <v>46081</v>
      </c>
      <c r="I794" s="77">
        <f t="shared" ref="I794:I857" si="349">A794+15</f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VLOOKUP(B795,'[2]Migrasi Bed'!$B$4:$E$521,4,0)</f>
        <v>SV.H014</v>
      </c>
      <c r="D795" s="77">
        <f t="shared" si="344"/>
        <v>46096</v>
      </c>
      <c r="E795" s="77">
        <f t="shared" si="345"/>
        <v>46080</v>
      </c>
      <c r="F795" s="77">
        <f t="shared" si="346"/>
        <v>46087</v>
      </c>
      <c r="G795" s="77">
        <f t="shared" si="347"/>
        <v>46093</v>
      </c>
      <c r="H795" s="77">
        <f t="shared" si="348"/>
        <v>46081</v>
      </c>
      <c r="I795" s="77">
        <f t="shared" si="349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VLOOKUP(B796,'[2]Migrasi Bed'!$B$4:$E$521,4,0)</f>
        <v>SV.H015</v>
      </c>
      <c r="D796" s="77">
        <f t="shared" si="344"/>
        <v>46096</v>
      </c>
      <c r="E796" s="77">
        <f t="shared" si="345"/>
        <v>46080</v>
      </c>
      <c r="F796" s="77">
        <f t="shared" si="346"/>
        <v>46087</v>
      </c>
      <c r="G796" s="77">
        <f t="shared" si="347"/>
        <v>46093</v>
      </c>
      <c r="H796" s="77">
        <f t="shared" si="348"/>
        <v>46081</v>
      </c>
      <c r="I796" s="77">
        <f t="shared" si="349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VLOOKUP(B797,'[2]Migrasi Bed'!$B$4:$E$521,4,0)</f>
        <v>SV.H016</v>
      </c>
      <c r="D797" s="77">
        <f t="shared" si="344"/>
        <v>46096</v>
      </c>
      <c r="E797" s="77">
        <f t="shared" si="345"/>
        <v>46080</v>
      </c>
      <c r="F797" s="77">
        <f t="shared" si="346"/>
        <v>46087</v>
      </c>
      <c r="G797" s="77">
        <f t="shared" si="347"/>
        <v>46093</v>
      </c>
      <c r="H797" s="77">
        <f t="shared" si="348"/>
        <v>46081</v>
      </c>
      <c r="I797" s="77">
        <f t="shared" si="349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VLOOKUP(B798,'[2]Migrasi Bed'!$B$4:$E$521,4,0)</f>
        <v>SV.H017</v>
      </c>
      <c r="D798" s="77">
        <f t="shared" si="344"/>
        <v>46096</v>
      </c>
      <c r="E798" s="77">
        <f t="shared" si="345"/>
        <v>46080</v>
      </c>
      <c r="F798" s="77">
        <f t="shared" si="346"/>
        <v>46087</v>
      </c>
      <c r="G798" s="77">
        <f t="shared" si="347"/>
        <v>46093</v>
      </c>
      <c r="H798" s="77">
        <f t="shared" si="348"/>
        <v>46081</v>
      </c>
      <c r="I798" s="77">
        <f t="shared" si="349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VLOOKUP(B799,'[2]Migrasi Bed'!$B$4:$E$521,4,0)</f>
        <v>SV.H018</v>
      </c>
      <c r="D799" s="77">
        <f t="shared" si="344"/>
        <v>46096</v>
      </c>
      <c r="E799" s="77">
        <f t="shared" si="345"/>
        <v>46080</v>
      </c>
      <c r="F799" s="77">
        <f t="shared" si="346"/>
        <v>46087</v>
      </c>
      <c r="G799" s="77">
        <f t="shared" si="347"/>
        <v>46093</v>
      </c>
      <c r="H799" s="77">
        <f t="shared" si="348"/>
        <v>46081</v>
      </c>
      <c r="I799" s="77">
        <f t="shared" si="349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VLOOKUP(B800,'[2]Migrasi Bed'!$B$4:$E$521,4,0)</f>
        <v>SV.H019</v>
      </c>
      <c r="D800" s="77">
        <f t="shared" si="344"/>
        <v>46096</v>
      </c>
      <c r="E800" s="77">
        <f t="shared" si="345"/>
        <v>46080</v>
      </c>
      <c r="F800" s="77">
        <f t="shared" si="346"/>
        <v>46087</v>
      </c>
      <c r="G800" s="77">
        <f t="shared" si="347"/>
        <v>46093</v>
      </c>
      <c r="H800" s="77">
        <f t="shared" si="348"/>
        <v>46081</v>
      </c>
      <c r="I800" s="77">
        <f t="shared" si="349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VLOOKUP(B801,'[2]Migrasi Bed'!$B$4:$E$521,4,0)</f>
        <v>SV.H020</v>
      </c>
      <c r="D801" s="77">
        <f t="shared" si="344"/>
        <v>46096</v>
      </c>
      <c r="E801" s="77">
        <f t="shared" si="345"/>
        <v>46080</v>
      </c>
      <c r="F801" s="77">
        <f t="shared" si="346"/>
        <v>46087</v>
      </c>
      <c r="G801" s="77">
        <f t="shared" si="347"/>
        <v>46093</v>
      </c>
      <c r="H801" s="77">
        <f t="shared" si="348"/>
        <v>46081</v>
      </c>
      <c r="I801" s="77">
        <f t="shared" si="349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VLOOKUP(B802,'[2]Migrasi Bed'!$B$4:$E$521,4,0)</f>
        <v>SV.G017</v>
      </c>
      <c r="D802" s="77">
        <f t="shared" si="344"/>
        <v>46097</v>
      </c>
      <c r="E802" s="77">
        <f t="shared" si="345"/>
        <v>46081</v>
      </c>
      <c r="F802" s="77">
        <f t="shared" si="346"/>
        <v>46088</v>
      </c>
      <c r="G802" s="77">
        <f t="shared" si="347"/>
        <v>46094</v>
      </c>
      <c r="H802" s="77">
        <f t="shared" si="348"/>
        <v>46082</v>
      </c>
      <c r="I802" s="77">
        <f t="shared" si="349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VLOOKUP(B803,'[2]Migrasi Bed'!$B$4:$E$521,4,0)</f>
        <v>SV.G018</v>
      </c>
      <c r="D803" s="77">
        <f t="shared" si="344"/>
        <v>46097</v>
      </c>
      <c r="E803" s="77">
        <f t="shared" si="345"/>
        <v>46081</v>
      </c>
      <c r="F803" s="77">
        <f t="shared" si="346"/>
        <v>46088</v>
      </c>
      <c r="G803" s="77">
        <f t="shared" si="347"/>
        <v>46094</v>
      </c>
      <c r="H803" s="77">
        <f t="shared" si="348"/>
        <v>46082</v>
      </c>
      <c r="I803" s="77">
        <f t="shared" si="349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VLOOKUP(B804,'[2]Migrasi Bed'!$B$4:$E$521,4,0)</f>
        <v>SV.G019</v>
      </c>
      <c r="D804" s="77">
        <f t="shared" si="344"/>
        <v>46097</v>
      </c>
      <c r="E804" s="77">
        <f t="shared" si="345"/>
        <v>46081</v>
      </c>
      <c r="F804" s="77">
        <f t="shared" si="346"/>
        <v>46088</v>
      </c>
      <c r="G804" s="77">
        <f t="shared" si="347"/>
        <v>46094</v>
      </c>
      <c r="H804" s="77">
        <f t="shared" si="348"/>
        <v>46082</v>
      </c>
      <c r="I804" s="77">
        <f t="shared" si="349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VLOOKUP(B805,'[2]Migrasi Bed'!$B$4:$E$521,4,0)</f>
        <v>SV.H010</v>
      </c>
      <c r="D805" s="77">
        <f t="shared" si="344"/>
        <v>46097</v>
      </c>
      <c r="E805" s="77">
        <f t="shared" si="345"/>
        <v>46081</v>
      </c>
      <c r="F805" s="77">
        <f t="shared" si="346"/>
        <v>46088</v>
      </c>
      <c r="G805" s="77">
        <f t="shared" si="347"/>
        <v>46094</v>
      </c>
      <c r="H805" s="77">
        <f t="shared" si="348"/>
        <v>46082</v>
      </c>
      <c r="I805" s="77">
        <f t="shared" si="349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VLOOKUP(B806,'[2]Migrasi Bed'!$B$4:$E$521,4,0)</f>
        <v>SV.H011</v>
      </c>
      <c r="D806" s="77">
        <f t="shared" si="344"/>
        <v>46097</v>
      </c>
      <c r="E806" s="77">
        <f t="shared" si="345"/>
        <v>46081</v>
      </c>
      <c r="F806" s="77">
        <f t="shared" si="346"/>
        <v>46088</v>
      </c>
      <c r="G806" s="77">
        <f t="shared" si="347"/>
        <v>46094</v>
      </c>
      <c r="H806" s="77">
        <f t="shared" si="348"/>
        <v>46082</v>
      </c>
      <c r="I806" s="77">
        <f t="shared" si="349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VLOOKUP(B807,'[2]Migrasi Bed'!$B$4:$E$521,4,0)</f>
        <v>SV.H012</v>
      </c>
      <c r="D807" s="77">
        <f t="shared" si="344"/>
        <v>46097</v>
      </c>
      <c r="E807" s="77">
        <f t="shared" si="345"/>
        <v>46081</v>
      </c>
      <c r="F807" s="77">
        <f t="shared" si="346"/>
        <v>46088</v>
      </c>
      <c r="G807" s="77">
        <f t="shared" si="347"/>
        <v>46094</v>
      </c>
      <c r="H807" s="77">
        <f t="shared" si="348"/>
        <v>46082</v>
      </c>
      <c r="I807" s="77">
        <f t="shared" si="349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VLOOKUP(B808,'[2]Migrasi Bed'!$B$4:$E$521,4,0)</f>
        <v>SV.A024</v>
      </c>
      <c r="D808" s="77">
        <f t="shared" si="344"/>
        <v>46098</v>
      </c>
      <c r="E808" s="77">
        <f t="shared" si="345"/>
        <v>46082</v>
      </c>
      <c r="F808" s="77">
        <f t="shared" si="346"/>
        <v>46089</v>
      </c>
      <c r="G808" s="77">
        <f t="shared" si="347"/>
        <v>46095</v>
      </c>
      <c r="H808" s="77">
        <f t="shared" si="348"/>
        <v>46083</v>
      </c>
      <c r="I808" s="77">
        <f t="shared" si="349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VLOOKUP(B809,'[2]Migrasi Bed'!$B$4:$E$521,4,0)</f>
        <v>SV.A025</v>
      </c>
      <c r="D809" s="77">
        <f t="shared" si="344"/>
        <v>46098</v>
      </c>
      <c r="E809" s="77">
        <f t="shared" si="345"/>
        <v>46082</v>
      </c>
      <c r="F809" s="77">
        <f t="shared" si="346"/>
        <v>46089</v>
      </c>
      <c r="G809" s="77">
        <f t="shared" si="347"/>
        <v>46095</v>
      </c>
      <c r="H809" s="77">
        <f t="shared" si="348"/>
        <v>46083</v>
      </c>
      <c r="I809" s="77">
        <f t="shared" si="349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VLOOKUP(B810,'[2]Migrasi Bed'!$B$4:$E$521,4,0)</f>
        <v>SV.A026</v>
      </c>
      <c r="D810" s="77">
        <f t="shared" si="344"/>
        <v>46098</v>
      </c>
      <c r="E810" s="77">
        <f t="shared" si="345"/>
        <v>46082</v>
      </c>
      <c r="F810" s="77">
        <f t="shared" si="346"/>
        <v>46089</v>
      </c>
      <c r="G810" s="77">
        <f t="shared" si="347"/>
        <v>46095</v>
      </c>
      <c r="H810" s="77">
        <f t="shared" si="348"/>
        <v>46083</v>
      </c>
      <c r="I810" s="77">
        <f t="shared" si="349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VLOOKUP(B811,'[2]Migrasi Bed'!$B$4:$E$521,4,0)</f>
        <v>SV.A027</v>
      </c>
      <c r="D811" s="77">
        <f t="shared" si="344"/>
        <v>46098</v>
      </c>
      <c r="E811" s="77">
        <f t="shared" si="345"/>
        <v>46082</v>
      </c>
      <c r="F811" s="77">
        <f t="shared" si="346"/>
        <v>46089</v>
      </c>
      <c r="G811" s="77">
        <f t="shared" si="347"/>
        <v>46095</v>
      </c>
      <c r="H811" s="77">
        <f t="shared" si="348"/>
        <v>46083</v>
      </c>
      <c r="I811" s="77">
        <f t="shared" si="349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VLOOKUP(B812,'[2]Migrasi Bed'!$B$4:$E$521,4,0)</f>
        <v>SV.A028</v>
      </c>
      <c r="D812" s="77">
        <f t="shared" si="344"/>
        <v>46098</v>
      </c>
      <c r="E812" s="77">
        <f t="shared" si="345"/>
        <v>46082</v>
      </c>
      <c r="F812" s="77">
        <f t="shared" si="346"/>
        <v>46089</v>
      </c>
      <c r="G812" s="77">
        <f t="shared" si="347"/>
        <v>46095</v>
      </c>
      <c r="H812" s="77">
        <f t="shared" si="348"/>
        <v>46083</v>
      </c>
      <c r="I812" s="77">
        <f t="shared" si="349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VLOOKUP(B813,'[2]Migrasi Bed'!$B$4:$E$521,4,0)</f>
        <v>SV.A029</v>
      </c>
      <c r="D813" s="77">
        <f t="shared" si="344"/>
        <v>46098</v>
      </c>
      <c r="E813" s="77">
        <f t="shared" si="345"/>
        <v>46082</v>
      </c>
      <c r="F813" s="77">
        <f t="shared" si="346"/>
        <v>46089</v>
      </c>
      <c r="G813" s="77">
        <f t="shared" si="347"/>
        <v>46095</v>
      </c>
      <c r="H813" s="77">
        <f t="shared" si="348"/>
        <v>46083</v>
      </c>
      <c r="I813" s="77">
        <f t="shared" si="349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VLOOKUP(B814,'[2]Migrasi Bed'!$B$4:$E$521,4,0)</f>
        <v>SV.A030</v>
      </c>
      <c r="D814" s="77">
        <f t="shared" si="344"/>
        <v>46098</v>
      </c>
      <c r="E814" s="77">
        <f t="shared" si="345"/>
        <v>46082</v>
      </c>
      <c r="F814" s="77">
        <f t="shared" si="346"/>
        <v>46089</v>
      </c>
      <c r="G814" s="77">
        <f t="shared" si="347"/>
        <v>46095</v>
      </c>
      <c r="H814" s="77">
        <f t="shared" si="348"/>
        <v>46083</v>
      </c>
      <c r="I814" s="77">
        <f t="shared" si="349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VLOOKUP(B815,'[2]Migrasi Bed'!$B$4:$E$521,4,0)</f>
        <v>SV.A017</v>
      </c>
      <c r="D815" s="77">
        <f t="shared" si="344"/>
        <v>46099</v>
      </c>
      <c r="E815" s="77">
        <f t="shared" si="345"/>
        <v>46083</v>
      </c>
      <c r="F815" s="77">
        <f t="shared" si="346"/>
        <v>46090</v>
      </c>
      <c r="G815" s="77">
        <f t="shared" si="347"/>
        <v>46096</v>
      </c>
      <c r="H815" s="77">
        <f t="shared" si="348"/>
        <v>46084</v>
      </c>
      <c r="I815" s="77">
        <f t="shared" si="349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VLOOKUP(B816,'[2]Migrasi Bed'!$B$4:$E$521,4,0)</f>
        <v>SV.A018</v>
      </c>
      <c r="D816" s="77">
        <f t="shared" si="344"/>
        <v>46099</v>
      </c>
      <c r="E816" s="77">
        <f t="shared" si="345"/>
        <v>46083</v>
      </c>
      <c r="F816" s="77">
        <f t="shared" si="346"/>
        <v>46090</v>
      </c>
      <c r="G816" s="77">
        <f t="shared" si="347"/>
        <v>46096</v>
      </c>
      <c r="H816" s="77">
        <f t="shared" si="348"/>
        <v>46084</v>
      </c>
      <c r="I816" s="77">
        <f t="shared" si="349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VLOOKUP(B817,'[2]Migrasi Bed'!$B$4:$E$521,4,0)</f>
        <v>SV.A019</v>
      </c>
      <c r="D817" s="77">
        <f t="shared" si="344"/>
        <v>46099</v>
      </c>
      <c r="E817" s="77">
        <f t="shared" si="345"/>
        <v>46083</v>
      </c>
      <c r="F817" s="77">
        <f t="shared" si="346"/>
        <v>46090</v>
      </c>
      <c r="G817" s="77">
        <f t="shared" si="347"/>
        <v>46096</v>
      </c>
      <c r="H817" s="77">
        <f t="shared" si="348"/>
        <v>46084</v>
      </c>
      <c r="I817" s="77">
        <f t="shared" si="349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VLOOKUP(B818,'[2]Migrasi Bed'!$B$4:$E$521,4,0)</f>
        <v>SV.A020</v>
      </c>
      <c r="D818" s="77">
        <f t="shared" si="344"/>
        <v>46099</v>
      </c>
      <c r="E818" s="77">
        <f t="shared" si="345"/>
        <v>46083</v>
      </c>
      <c r="F818" s="77">
        <f t="shared" si="346"/>
        <v>46090</v>
      </c>
      <c r="G818" s="77">
        <f t="shared" si="347"/>
        <v>46096</v>
      </c>
      <c r="H818" s="77">
        <f t="shared" si="348"/>
        <v>46084</v>
      </c>
      <c r="I818" s="77">
        <f t="shared" si="349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VLOOKUP(B819,'[2]Migrasi Bed'!$B$4:$E$521,4,0)</f>
        <v>SV.A021</v>
      </c>
      <c r="D819" s="77">
        <f t="shared" si="344"/>
        <v>46099</v>
      </c>
      <c r="E819" s="77">
        <f t="shared" si="345"/>
        <v>46083</v>
      </c>
      <c r="F819" s="77">
        <f t="shared" si="346"/>
        <v>46090</v>
      </c>
      <c r="G819" s="77">
        <f t="shared" si="347"/>
        <v>46096</v>
      </c>
      <c r="H819" s="77">
        <f t="shared" si="348"/>
        <v>46084</v>
      </c>
      <c r="I819" s="77">
        <f t="shared" si="349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VLOOKUP(B820,'[2]Migrasi Bed'!$B$4:$E$521,4,0)</f>
        <v>SV.A022</v>
      </c>
      <c r="D820" s="77">
        <f t="shared" si="344"/>
        <v>46099</v>
      </c>
      <c r="E820" s="77">
        <f t="shared" si="345"/>
        <v>46083</v>
      </c>
      <c r="F820" s="77">
        <f t="shared" si="346"/>
        <v>46090</v>
      </c>
      <c r="G820" s="77">
        <f t="shared" si="347"/>
        <v>46096</v>
      </c>
      <c r="H820" s="77">
        <f t="shared" si="348"/>
        <v>46084</v>
      </c>
      <c r="I820" s="77">
        <f t="shared" si="349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VLOOKUP(B821,'[2]Migrasi Bed'!$B$4:$E$521,4,0)</f>
        <v>SV.A023</v>
      </c>
      <c r="D821" s="77">
        <f t="shared" si="344"/>
        <v>46099</v>
      </c>
      <c r="E821" s="77">
        <f t="shared" si="345"/>
        <v>46083</v>
      </c>
      <c r="F821" s="77">
        <f t="shared" si="346"/>
        <v>46090</v>
      </c>
      <c r="G821" s="77">
        <f t="shared" si="347"/>
        <v>46096</v>
      </c>
      <c r="H821" s="77">
        <f t="shared" si="348"/>
        <v>46084</v>
      </c>
      <c r="I821" s="77">
        <f t="shared" si="349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VLOOKUP(B822,'[2]Migrasi Bed'!$B$4:$E$521,4,0)</f>
        <v>ST.G008</v>
      </c>
      <c r="D822" s="77">
        <f t="shared" si="344"/>
        <v>46100</v>
      </c>
      <c r="E822" s="77">
        <f t="shared" si="345"/>
        <v>46084</v>
      </c>
      <c r="F822" s="77">
        <f t="shared" si="346"/>
        <v>46091</v>
      </c>
      <c r="G822" s="77">
        <f t="shared" si="347"/>
        <v>46097</v>
      </c>
      <c r="H822" s="77">
        <f t="shared" si="348"/>
        <v>46085</v>
      </c>
      <c r="I822" s="77">
        <f t="shared" si="349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VLOOKUP(B823,'[2]Migrasi Bed'!$B$4:$E$521,4,0)</f>
        <v>ST.G009</v>
      </c>
      <c r="D823" s="77">
        <f t="shared" si="344"/>
        <v>46100</v>
      </c>
      <c r="E823" s="77">
        <f t="shared" si="345"/>
        <v>46084</v>
      </c>
      <c r="F823" s="77">
        <f t="shared" si="346"/>
        <v>46091</v>
      </c>
      <c r="G823" s="77">
        <f t="shared" si="347"/>
        <v>46097</v>
      </c>
      <c r="H823" s="77">
        <f t="shared" si="348"/>
        <v>46085</v>
      </c>
      <c r="I823" s="77">
        <f t="shared" si="349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VLOOKUP(B824,'[2]Migrasi Bed'!$B$4:$E$521,4,0)</f>
        <v>ST.G010</v>
      </c>
      <c r="D824" s="77">
        <f t="shared" si="344"/>
        <v>46100</v>
      </c>
      <c r="E824" s="77">
        <f t="shared" si="345"/>
        <v>46084</v>
      </c>
      <c r="F824" s="77">
        <f t="shared" si="346"/>
        <v>46091</v>
      </c>
      <c r="G824" s="77">
        <f t="shared" si="347"/>
        <v>46097</v>
      </c>
      <c r="H824" s="77">
        <f t="shared" si="348"/>
        <v>46085</v>
      </c>
      <c r="I824" s="77">
        <f t="shared" si="349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VLOOKUP(B825,'[2]Migrasi Bed'!$B$4:$E$521,4,0)</f>
        <v>ST.G011</v>
      </c>
      <c r="D825" s="77">
        <f t="shared" si="344"/>
        <v>46100</v>
      </c>
      <c r="E825" s="77">
        <f t="shared" si="345"/>
        <v>46084</v>
      </c>
      <c r="F825" s="77">
        <f t="shared" si="346"/>
        <v>46091</v>
      </c>
      <c r="G825" s="77">
        <f t="shared" si="347"/>
        <v>46097</v>
      </c>
      <c r="H825" s="77">
        <f t="shared" si="348"/>
        <v>46085</v>
      </c>
      <c r="I825" s="77">
        <f t="shared" si="349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VLOOKUP(B826,'[2]Migrasi Bed'!$B$4:$E$521,4,0)</f>
        <v>ST.G012</v>
      </c>
      <c r="D826" s="77">
        <f t="shared" si="344"/>
        <v>46100</v>
      </c>
      <c r="E826" s="77">
        <f t="shared" si="345"/>
        <v>46084</v>
      </c>
      <c r="F826" s="77">
        <f t="shared" si="346"/>
        <v>46091</v>
      </c>
      <c r="G826" s="77">
        <f t="shared" si="347"/>
        <v>46097</v>
      </c>
      <c r="H826" s="77">
        <f t="shared" si="348"/>
        <v>46085</v>
      </c>
      <c r="I826" s="77">
        <f t="shared" si="349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VLOOKUP(B827,'[2]Migrasi Bed'!$B$4:$E$521,4,0)</f>
        <v>ST.H001</v>
      </c>
      <c r="D827" s="77">
        <f t="shared" si="344"/>
        <v>46100</v>
      </c>
      <c r="E827" s="77">
        <f t="shared" si="345"/>
        <v>46084</v>
      </c>
      <c r="F827" s="77">
        <f t="shared" si="346"/>
        <v>46091</v>
      </c>
      <c r="G827" s="77">
        <f t="shared" si="347"/>
        <v>46097</v>
      </c>
      <c r="H827" s="77">
        <f t="shared" si="348"/>
        <v>46085</v>
      </c>
      <c r="I827" s="77">
        <f t="shared" si="349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VLOOKUP(B828,'[2]Migrasi Bed'!$B$4:$E$521,4,0)</f>
        <v>ST.H002</v>
      </c>
      <c r="D828" s="77">
        <f t="shared" si="344"/>
        <v>46100</v>
      </c>
      <c r="E828" s="77">
        <f t="shared" si="345"/>
        <v>46084</v>
      </c>
      <c r="F828" s="77">
        <f t="shared" si="346"/>
        <v>46091</v>
      </c>
      <c r="G828" s="77">
        <f t="shared" si="347"/>
        <v>46097</v>
      </c>
      <c r="H828" s="77">
        <f t="shared" si="348"/>
        <v>46085</v>
      </c>
      <c r="I828" s="77">
        <f t="shared" si="349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VLOOKUP(B829,'[2]Migrasi Bed'!$B$4:$E$521,4,0)</f>
        <v>SV.B017</v>
      </c>
      <c r="D829" s="77">
        <f t="shared" si="344"/>
        <v>46101</v>
      </c>
      <c r="E829" s="77">
        <f t="shared" si="345"/>
        <v>46085</v>
      </c>
      <c r="F829" s="77">
        <f t="shared" si="346"/>
        <v>46092</v>
      </c>
      <c r="G829" s="77">
        <f t="shared" si="347"/>
        <v>46098</v>
      </c>
      <c r="H829" s="77">
        <f t="shared" si="348"/>
        <v>46086</v>
      </c>
      <c r="I829" s="77">
        <f t="shared" si="349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VLOOKUP(B830,'[2]Migrasi Bed'!$B$4:$E$521,4,0)</f>
        <v>SV.B018</v>
      </c>
      <c r="D830" s="77">
        <f t="shared" si="344"/>
        <v>46101</v>
      </c>
      <c r="E830" s="77">
        <f t="shared" si="345"/>
        <v>46085</v>
      </c>
      <c r="F830" s="77">
        <f t="shared" si="346"/>
        <v>46092</v>
      </c>
      <c r="G830" s="77">
        <f t="shared" si="347"/>
        <v>46098</v>
      </c>
      <c r="H830" s="77">
        <f t="shared" si="348"/>
        <v>46086</v>
      </c>
      <c r="I830" s="77">
        <f t="shared" si="349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VLOOKUP(B831,'[2]Migrasi Bed'!$B$4:$E$521,4,0)</f>
        <v>SV.B019</v>
      </c>
      <c r="D831" s="77">
        <f t="shared" si="344"/>
        <v>46101</v>
      </c>
      <c r="E831" s="77">
        <f t="shared" si="345"/>
        <v>46085</v>
      </c>
      <c r="F831" s="77">
        <f t="shared" si="346"/>
        <v>46092</v>
      </c>
      <c r="G831" s="77">
        <f t="shared" si="347"/>
        <v>46098</v>
      </c>
      <c r="H831" s="77">
        <f t="shared" si="348"/>
        <v>46086</v>
      </c>
      <c r="I831" s="77">
        <f t="shared" si="349"/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VLOOKUP(B832,'[2]Migrasi Bed'!$B$4:$E$521,4,0)</f>
        <v>SV.B020</v>
      </c>
      <c r="D832" s="77">
        <f t="shared" si="344"/>
        <v>46101</v>
      </c>
      <c r="E832" s="77">
        <f t="shared" si="345"/>
        <v>46085</v>
      </c>
      <c r="F832" s="77">
        <f t="shared" si="346"/>
        <v>46092</v>
      </c>
      <c r="G832" s="77">
        <f t="shared" si="347"/>
        <v>46098</v>
      </c>
      <c r="H832" s="77">
        <f t="shared" si="348"/>
        <v>46086</v>
      </c>
      <c r="I832" s="77">
        <f t="shared" si="349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VLOOKUP(B833,'[2]Migrasi Bed'!$B$4:$E$521,4,0)</f>
        <v>SV.B021</v>
      </c>
      <c r="D833" s="77">
        <f t="shared" si="344"/>
        <v>46101</v>
      </c>
      <c r="E833" s="77">
        <f t="shared" si="345"/>
        <v>46085</v>
      </c>
      <c r="F833" s="77">
        <f t="shared" si="346"/>
        <v>46092</v>
      </c>
      <c r="G833" s="77">
        <f t="shared" si="347"/>
        <v>46098</v>
      </c>
      <c r="H833" s="77">
        <f t="shared" si="348"/>
        <v>46086</v>
      </c>
      <c r="I833" s="77">
        <f t="shared" si="349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VLOOKUP(B834,'[2]Migrasi Bed'!$B$4:$E$521,4,0)</f>
        <v>SV.B022</v>
      </c>
      <c r="D834" s="77">
        <f t="shared" si="344"/>
        <v>46101</v>
      </c>
      <c r="E834" s="77">
        <f t="shared" si="345"/>
        <v>46085</v>
      </c>
      <c r="F834" s="77">
        <f t="shared" si="346"/>
        <v>46092</v>
      </c>
      <c r="G834" s="77">
        <f t="shared" si="347"/>
        <v>46098</v>
      </c>
      <c r="H834" s="77">
        <f t="shared" si="348"/>
        <v>46086</v>
      </c>
      <c r="I834" s="77">
        <f t="shared" si="349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VLOOKUP(B835,'[2]Migrasi Bed'!$B$4:$E$521,4,0)</f>
        <v>SV.B023</v>
      </c>
      <c r="D835" s="77">
        <f t="shared" si="344"/>
        <v>46101</v>
      </c>
      <c r="E835" s="77">
        <f t="shared" si="345"/>
        <v>46085</v>
      </c>
      <c r="F835" s="77">
        <f t="shared" si="346"/>
        <v>46092</v>
      </c>
      <c r="G835" s="77">
        <f t="shared" si="347"/>
        <v>46098</v>
      </c>
      <c r="H835" s="77">
        <f t="shared" si="348"/>
        <v>46086</v>
      </c>
      <c r="I835" s="77">
        <f t="shared" si="349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tr">
        <f>VLOOKUP(B836,'[2]Migrasi Bed'!$B$4:$E$521,4,0)</f>
        <v>ST.H003</v>
      </c>
      <c r="D836" s="77">
        <f t="shared" si="344"/>
        <v>46102</v>
      </c>
      <c r="E836" s="77">
        <f t="shared" si="345"/>
        <v>46086</v>
      </c>
      <c r="F836" s="77">
        <f t="shared" si="346"/>
        <v>46093</v>
      </c>
      <c r="G836" s="77">
        <f t="shared" si="347"/>
        <v>46099</v>
      </c>
      <c r="H836" s="77">
        <f t="shared" si="348"/>
        <v>46087</v>
      </c>
      <c r="I836" s="77">
        <f t="shared" si="349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tr">
        <f>VLOOKUP(B837,'[2]Migrasi Bed'!$B$4:$E$521,4,0)</f>
        <v>ST.H004</v>
      </c>
      <c r="D837" s="77">
        <f t="shared" si="344"/>
        <v>46102</v>
      </c>
      <c r="E837" s="77">
        <f t="shared" si="345"/>
        <v>46086</v>
      </c>
      <c r="F837" s="77">
        <f t="shared" si="346"/>
        <v>46093</v>
      </c>
      <c r="G837" s="77">
        <f t="shared" si="347"/>
        <v>46099</v>
      </c>
      <c r="H837" s="77">
        <f t="shared" si="348"/>
        <v>46087</v>
      </c>
      <c r="I837" s="77">
        <f t="shared" si="349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tr">
        <f>VLOOKUP(B838,'[2]Migrasi Bed'!$B$4:$E$521,4,0)</f>
        <v>ST.H005</v>
      </c>
      <c r="D838" s="77">
        <f t="shared" si="344"/>
        <v>46102</v>
      </c>
      <c r="E838" s="77">
        <f t="shared" si="345"/>
        <v>46086</v>
      </c>
      <c r="F838" s="77">
        <f t="shared" si="346"/>
        <v>46093</v>
      </c>
      <c r="G838" s="77">
        <f t="shared" si="347"/>
        <v>46099</v>
      </c>
      <c r="H838" s="77">
        <f t="shared" si="348"/>
        <v>46087</v>
      </c>
      <c r="I838" s="77">
        <f t="shared" si="349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tr">
        <f>VLOOKUP(B839,'[2]Migrasi Bed'!$B$4:$E$521,4,0)</f>
        <v>ST.H006</v>
      </c>
      <c r="D839" s="77">
        <f t="shared" si="344"/>
        <v>46102</v>
      </c>
      <c r="E839" s="77">
        <f t="shared" si="345"/>
        <v>46086</v>
      </c>
      <c r="F839" s="77">
        <f t="shared" si="346"/>
        <v>46093</v>
      </c>
      <c r="G839" s="77">
        <f t="shared" si="347"/>
        <v>46099</v>
      </c>
      <c r="H839" s="77">
        <f t="shared" si="348"/>
        <v>46087</v>
      </c>
      <c r="I839" s="77">
        <f t="shared" si="349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tr">
        <f>VLOOKUP(B840,'[2]Migrasi Bed'!$B$4:$E$521,4,0)</f>
        <v>ST.H007</v>
      </c>
      <c r="D840" s="77">
        <f t="shared" si="344"/>
        <v>46102</v>
      </c>
      <c r="E840" s="77">
        <f t="shared" si="345"/>
        <v>46086</v>
      </c>
      <c r="F840" s="77">
        <f t="shared" si="346"/>
        <v>46093</v>
      </c>
      <c r="G840" s="77">
        <f t="shared" si="347"/>
        <v>46099</v>
      </c>
      <c r="H840" s="77">
        <f t="shared" si="348"/>
        <v>46087</v>
      </c>
      <c r="I840" s="77">
        <f t="shared" si="349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tr">
        <f>VLOOKUP(B841,'[2]Migrasi Bed'!$B$4:$E$521,4,0)</f>
        <v>ST.H008</v>
      </c>
      <c r="D841" s="77">
        <f t="shared" si="344"/>
        <v>46102</v>
      </c>
      <c r="E841" s="77">
        <f t="shared" si="345"/>
        <v>46086</v>
      </c>
      <c r="F841" s="77">
        <f t="shared" si="346"/>
        <v>46093</v>
      </c>
      <c r="G841" s="77">
        <f t="shared" si="347"/>
        <v>46099</v>
      </c>
      <c r="H841" s="77">
        <f t="shared" si="348"/>
        <v>46087</v>
      </c>
      <c r="I841" s="77">
        <f t="shared" si="349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tr">
        <f>VLOOKUP(B842,'[2]Migrasi Bed'!$B$4:$E$521,4,0)</f>
        <v>ST.H009</v>
      </c>
      <c r="D842" s="77">
        <f t="shared" si="344"/>
        <v>46102</v>
      </c>
      <c r="E842" s="77">
        <f t="shared" si="345"/>
        <v>46086</v>
      </c>
      <c r="F842" s="77">
        <f t="shared" si="346"/>
        <v>46093</v>
      </c>
      <c r="G842" s="77">
        <f t="shared" si="347"/>
        <v>46099</v>
      </c>
      <c r="H842" s="77">
        <f t="shared" si="348"/>
        <v>46087</v>
      </c>
      <c r="I842" s="77">
        <f t="shared" si="349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tr">
        <f>VLOOKUP(B843,'[2]Migrasi Bed'!$B$4:$E$521,4,0)</f>
        <v>SV.B024</v>
      </c>
      <c r="D843" s="77">
        <f t="shared" si="344"/>
        <v>46103</v>
      </c>
      <c r="E843" s="77">
        <f t="shared" si="345"/>
        <v>46087</v>
      </c>
      <c r="F843" s="77">
        <f t="shared" si="346"/>
        <v>46094</v>
      </c>
      <c r="G843" s="77">
        <f t="shared" si="347"/>
        <v>46100</v>
      </c>
      <c r="H843" s="77">
        <f t="shared" si="348"/>
        <v>46088</v>
      </c>
      <c r="I843" s="77">
        <f t="shared" si="349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tr">
        <f>VLOOKUP(B844,'[2]Migrasi Bed'!$B$4:$E$521,4,0)</f>
        <v>SV.B025</v>
      </c>
      <c r="D844" s="77">
        <f t="shared" si="344"/>
        <v>46103</v>
      </c>
      <c r="E844" s="77">
        <f t="shared" si="345"/>
        <v>46087</v>
      </c>
      <c r="F844" s="77">
        <f t="shared" si="346"/>
        <v>46094</v>
      </c>
      <c r="G844" s="77">
        <f t="shared" si="347"/>
        <v>46100</v>
      </c>
      <c r="H844" s="77">
        <f t="shared" si="348"/>
        <v>46088</v>
      </c>
      <c r="I844" s="77">
        <f t="shared" si="349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tr">
        <f>VLOOKUP(B845,'[2]Migrasi Bed'!$B$4:$E$521,4,0)</f>
        <v>SV.B026</v>
      </c>
      <c r="D845" s="77">
        <f t="shared" si="344"/>
        <v>46103</v>
      </c>
      <c r="E845" s="77">
        <f t="shared" si="345"/>
        <v>46087</v>
      </c>
      <c r="F845" s="77">
        <f t="shared" si="346"/>
        <v>46094</v>
      </c>
      <c r="G845" s="77">
        <f t="shared" si="347"/>
        <v>46100</v>
      </c>
      <c r="H845" s="77">
        <f t="shared" si="348"/>
        <v>46088</v>
      </c>
      <c r="I845" s="77">
        <f t="shared" si="349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tr">
        <f>VLOOKUP(B846,'[2]Migrasi Bed'!$B$4:$E$521,4,0)</f>
        <v>SV.B027</v>
      </c>
      <c r="D846" s="77">
        <f t="shared" si="344"/>
        <v>46103</v>
      </c>
      <c r="E846" s="77">
        <f t="shared" si="345"/>
        <v>46087</v>
      </c>
      <c r="F846" s="77">
        <f t="shared" si="346"/>
        <v>46094</v>
      </c>
      <c r="G846" s="77">
        <f t="shared" si="347"/>
        <v>46100</v>
      </c>
      <c r="H846" s="77">
        <f t="shared" si="348"/>
        <v>46088</v>
      </c>
      <c r="I846" s="77">
        <f t="shared" si="349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tr">
        <f>VLOOKUP(B847,'[2]Migrasi Bed'!$B$4:$E$521,4,0)</f>
        <v>SV.B028</v>
      </c>
      <c r="D847" s="77">
        <f t="shared" si="344"/>
        <v>46103</v>
      </c>
      <c r="E847" s="77">
        <f t="shared" si="345"/>
        <v>46087</v>
      </c>
      <c r="F847" s="77">
        <f t="shared" si="346"/>
        <v>46094</v>
      </c>
      <c r="G847" s="77">
        <f t="shared" si="347"/>
        <v>46100</v>
      </c>
      <c r="H847" s="77">
        <f t="shared" si="348"/>
        <v>46088</v>
      </c>
      <c r="I847" s="77">
        <f t="shared" si="349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tr">
        <f>VLOOKUP(B848,'[2]Migrasi Bed'!$B$4:$E$521,4,0)</f>
        <v>SV.B029</v>
      </c>
      <c r="D848" s="77">
        <f t="shared" si="344"/>
        <v>46103</v>
      </c>
      <c r="E848" s="77">
        <f t="shared" si="345"/>
        <v>46087</v>
      </c>
      <c r="F848" s="77">
        <f t="shared" si="346"/>
        <v>46094</v>
      </c>
      <c r="G848" s="77">
        <f t="shared" si="347"/>
        <v>46100</v>
      </c>
      <c r="H848" s="77">
        <f t="shared" si="348"/>
        <v>46088</v>
      </c>
      <c r="I848" s="77">
        <f t="shared" si="349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tr">
        <f>VLOOKUP(B849,'[2]Migrasi Bed'!$B$4:$E$521,4,0)</f>
        <v>SV.B030</v>
      </c>
      <c r="D849" s="77">
        <f t="shared" si="344"/>
        <v>46103</v>
      </c>
      <c r="E849" s="77">
        <f t="shared" si="345"/>
        <v>46087</v>
      </c>
      <c r="F849" s="77">
        <f t="shared" si="346"/>
        <v>46094</v>
      </c>
      <c r="G849" s="77">
        <f t="shared" si="347"/>
        <v>46100</v>
      </c>
      <c r="H849" s="77">
        <f t="shared" si="348"/>
        <v>46088</v>
      </c>
      <c r="I849" s="77">
        <f t="shared" si="349"/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tr">
        <f>VLOOKUP(B850,'[2]Migrasi Bed'!$B$4:$E$521,4,0)</f>
        <v>BJ.I001</v>
      </c>
      <c r="D850" s="77">
        <f t="shared" si="344"/>
        <v>46104</v>
      </c>
      <c r="E850" s="77">
        <f t="shared" si="345"/>
        <v>46088</v>
      </c>
      <c r="F850" s="77">
        <f t="shared" si="346"/>
        <v>46095</v>
      </c>
      <c r="G850" s="77">
        <f t="shared" si="347"/>
        <v>46101</v>
      </c>
      <c r="H850" s="77">
        <f t="shared" si="348"/>
        <v>46089</v>
      </c>
      <c r="I850" s="77">
        <f t="shared" si="349"/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tr">
        <f>VLOOKUP(B851,'[2]Migrasi Bed'!$B$4:$E$521,4,0)</f>
        <v>BJ.I002</v>
      </c>
      <c r="D851" s="77">
        <f t="shared" si="344"/>
        <v>46104</v>
      </c>
      <c r="E851" s="77">
        <f t="shared" si="345"/>
        <v>46088</v>
      </c>
      <c r="F851" s="77">
        <f t="shared" si="346"/>
        <v>46095</v>
      </c>
      <c r="G851" s="77">
        <f t="shared" si="347"/>
        <v>46101</v>
      </c>
      <c r="H851" s="77">
        <f t="shared" si="348"/>
        <v>46089</v>
      </c>
      <c r="I851" s="77">
        <f t="shared" si="349"/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tr">
        <f>VLOOKUP(B852,'[2]Migrasi Bed'!$B$4:$E$521,4,0)</f>
        <v>BJ.I003</v>
      </c>
      <c r="D852" s="77">
        <f t="shared" si="344"/>
        <v>46104</v>
      </c>
      <c r="E852" s="77">
        <f t="shared" si="345"/>
        <v>46088</v>
      </c>
      <c r="F852" s="77">
        <f t="shared" si="346"/>
        <v>46095</v>
      </c>
      <c r="G852" s="77">
        <f t="shared" si="347"/>
        <v>46101</v>
      </c>
      <c r="H852" s="77">
        <f t="shared" si="348"/>
        <v>46089</v>
      </c>
      <c r="I852" s="77">
        <f t="shared" si="349"/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tr">
        <f>VLOOKUP(B853,'[2]Migrasi Bed'!$B$4:$E$521,4,0)</f>
        <v>BJ.I004</v>
      </c>
      <c r="D853" s="77">
        <f t="shared" si="344"/>
        <v>46104</v>
      </c>
      <c r="E853" s="77">
        <f t="shared" si="345"/>
        <v>46088</v>
      </c>
      <c r="F853" s="77">
        <f t="shared" si="346"/>
        <v>46095</v>
      </c>
      <c r="G853" s="77">
        <f t="shared" si="347"/>
        <v>46101</v>
      </c>
      <c r="H853" s="77">
        <f t="shared" si="348"/>
        <v>46089</v>
      </c>
      <c r="I853" s="77">
        <f t="shared" si="349"/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tr">
        <f>VLOOKUP(B854,'[2]Migrasi Bed'!$B$4:$E$521,4,0)</f>
        <v>BJ.I005</v>
      </c>
      <c r="D854" s="77">
        <f t="shared" si="344"/>
        <v>46104</v>
      </c>
      <c r="E854" s="77">
        <f t="shared" si="345"/>
        <v>46088</v>
      </c>
      <c r="F854" s="77">
        <f t="shared" si="346"/>
        <v>46095</v>
      </c>
      <c r="G854" s="77">
        <f t="shared" si="347"/>
        <v>46101</v>
      </c>
      <c r="H854" s="77">
        <f t="shared" si="348"/>
        <v>46089</v>
      </c>
      <c r="I854" s="77">
        <f t="shared" si="349"/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tr">
        <f>VLOOKUP(B855,'[2]Migrasi Bed'!$B$4:$E$521,4,0)</f>
        <v>BJ.I006</v>
      </c>
      <c r="D855" s="77">
        <f t="shared" si="344"/>
        <v>46104</v>
      </c>
      <c r="E855" s="77">
        <f t="shared" si="345"/>
        <v>46088</v>
      </c>
      <c r="F855" s="77">
        <f t="shared" si="346"/>
        <v>46095</v>
      </c>
      <c r="G855" s="77">
        <f t="shared" si="347"/>
        <v>46101</v>
      </c>
      <c r="H855" s="77">
        <f t="shared" si="348"/>
        <v>46089</v>
      </c>
      <c r="I855" s="77">
        <f t="shared" si="349"/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tr">
        <f>VLOOKUP(B856,'[2]Migrasi Bed'!$B$4:$E$521,4,0)</f>
        <v>BJ.I007</v>
      </c>
      <c r="D856" s="77">
        <f t="shared" si="344"/>
        <v>46104</v>
      </c>
      <c r="E856" s="77">
        <f t="shared" si="345"/>
        <v>46088</v>
      </c>
      <c r="F856" s="77">
        <f t="shared" si="346"/>
        <v>46095</v>
      </c>
      <c r="G856" s="77">
        <f t="shared" si="347"/>
        <v>46101</v>
      </c>
      <c r="H856" s="77">
        <f t="shared" si="348"/>
        <v>46089</v>
      </c>
      <c r="I856" s="77">
        <f t="shared" si="349"/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tr">
        <f>VLOOKUP(B857,'[2]Migrasi Bed'!$B$4:$E$521,4,0)</f>
        <v>BJ.I008</v>
      </c>
      <c r="D857" s="77">
        <f t="shared" si="344"/>
        <v>46105</v>
      </c>
      <c r="E857" s="77">
        <f t="shared" si="345"/>
        <v>46089</v>
      </c>
      <c r="F857" s="77">
        <f t="shared" si="346"/>
        <v>46096</v>
      </c>
      <c r="G857" s="77">
        <f t="shared" si="347"/>
        <v>46102</v>
      </c>
      <c r="H857" s="77">
        <f t="shared" si="348"/>
        <v>46090</v>
      </c>
      <c r="I857" s="77">
        <f t="shared" si="349"/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tr">
        <f>VLOOKUP(B858,'[2]Migrasi Bed'!$B$4:$E$521,4,0)</f>
        <v>BJ.I009</v>
      </c>
      <c r="D858" s="77">
        <f t="shared" ref="D858:D906" si="350">A858+23</f>
        <v>46105</v>
      </c>
      <c r="E858" s="77">
        <f t="shared" ref="E858:E906" si="351">A858+7</f>
        <v>46089</v>
      </c>
      <c r="F858" s="77">
        <f t="shared" ref="F858:F906" si="352">A858+14</f>
        <v>46096</v>
      </c>
      <c r="G858" s="77">
        <f t="shared" ref="G858:G906" si="353">A858+20</f>
        <v>46102</v>
      </c>
      <c r="H858" s="77">
        <f t="shared" ref="H858:H906" si="354">A858+8</f>
        <v>46090</v>
      </c>
      <c r="I858" s="77">
        <f t="shared" ref="I858:I906" si="355">A858+15</f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tr">
        <f>VLOOKUP(B859,'[2]Migrasi Bed'!$B$4:$E$521,4,0)</f>
        <v>BJ.I010</v>
      </c>
      <c r="D859" s="77">
        <f t="shared" si="350"/>
        <v>46105</v>
      </c>
      <c r="E859" s="77">
        <f t="shared" si="351"/>
        <v>46089</v>
      </c>
      <c r="F859" s="77">
        <f t="shared" si="352"/>
        <v>46096</v>
      </c>
      <c r="G859" s="77">
        <f t="shared" si="353"/>
        <v>46102</v>
      </c>
      <c r="H859" s="77">
        <f t="shared" si="354"/>
        <v>46090</v>
      </c>
      <c r="I859" s="77">
        <f t="shared" si="355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tr">
        <f>VLOOKUP(B860,'[2]Migrasi Bed'!$B$4:$E$521,4,0)</f>
        <v>BJ.I011</v>
      </c>
      <c r="D860" s="77">
        <f t="shared" si="350"/>
        <v>46105</v>
      </c>
      <c r="E860" s="77">
        <f t="shared" si="351"/>
        <v>46089</v>
      </c>
      <c r="F860" s="77">
        <f t="shared" si="352"/>
        <v>46096</v>
      </c>
      <c r="G860" s="77">
        <f t="shared" si="353"/>
        <v>46102</v>
      </c>
      <c r="H860" s="77">
        <f t="shared" si="354"/>
        <v>46090</v>
      </c>
      <c r="I860" s="77">
        <f t="shared" si="355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tr">
        <f>VLOOKUP(B861,'[2]Migrasi Bed'!$B$4:$E$521,4,0)</f>
        <v>BJ.I012</v>
      </c>
      <c r="D861" s="77">
        <f t="shared" si="350"/>
        <v>46105</v>
      </c>
      <c r="E861" s="77">
        <f t="shared" si="351"/>
        <v>46089</v>
      </c>
      <c r="F861" s="77">
        <f t="shared" si="352"/>
        <v>46096</v>
      </c>
      <c r="G861" s="77">
        <f t="shared" si="353"/>
        <v>46102</v>
      </c>
      <c r="H861" s="77">
        <f t="shared" si="354"/>
        <v>46090</v>
      </c>
      <c r="I861" s="77">
        <f t="shared" si="355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tr">
        <f>VLOOKUP(B862,'[2]Migrasi Bed'!$B$4:$E$521,4,0)</f>
        <v>BJ.I013</v>
      </c>
      <c r="D862" s="77">
        <f t="shared" si="350"/>
        <v>46105</v>
      </c>
      <c r="E862" s="77">
        <f t="shared" si="351"/>
        <v>46089</v>
      </c>
      <c r="F862" s="77">
        <f t="shared" si="352"/>
        <v>46096</v>
      </c>
      <c r="G862" s="77">
        <f t="shared" si="353"/>
        <v>46102</v>
      </c>
      <c r="H862" s="77">
        <f t="shared" si="354"/>
        <v>46090</v>
      </c>
      <c r="I862" s="77">
        <f t="shared" si="355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tr">
        <f>VLOOKUP(B863,'[2]Migrasi Bed'!$B$4:$E$521,4,0)</f>
        <v>BJ.I014</v>
      </c>
      <c r="D863" s="77">
        <f t="shared" si="350"/>
        <v>46105</v>
      </c>
      <c r="E863" s="77">
        <f t="shared" si="351"/>
        <v>46089</v>
      </c>
      <c r="F863" s="77">
        <f t="shared" si="352"/>
        <v>46096</v>
      </c>
      <c r="G863" s="77">
        <f t="shared" si="353"/>
        <v>46102</v>
      </c>
      <c r="H863" s="77">
        <f t="shared" si="354"/>
        <v>46090</v>
      </c>
      <c r="I863" s="77">
        <f t="shared" si="355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tr">
        <f>VLOOKUP(B864,'[2]Migrasi Bed'!$B$4:$E$521,4,0)</f>
        <v>BJ.I015</v>
      </c>
      <c r="D864" s="77">
        <f t="shared" si="350"/>
        <v>46106</v>
      </c>
      <c r="E864" s="77">
        <f t="shared" si="351"/>
        <v>46090</v>
      </c>
      <c r="F864" s="77">
        <f t="shared" si="352"/>
        <v>46097</v>
      </c>
      <c r="G864" s="77">
        <f t="shared" si="353"/>
        <v>46103</v>
      </c>
      <c r="H864" s="77">
        <f t="shared" si="354"/>
        <v>46091</v>
      </c>
      <c r="I864" s="77">
        <f t="shared" si="355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tr">
        <f>VLOOKUP(B865,'[2]Migrasi Bed'!$B$4:$E$521,4,0)</f>
        <v>BJ.I016</v>
      </c>
      <c r="D865" s="77">
        <f t="shared" si="350"/>
        <v>46106</v>
      </c>
      <c r="E865" s="77">
        <f t="shared" si="351"/>
        <v>46090</v>
      </c>
      <c r="F865" s="77">
        <f t="shared" si="352"/>
        <v>46097</v>
      </c>
      <c r="G865" s="77">
        <f t="shared" si="353"/>
        <v>46103</v>
      </c>
      <c r="H865" s="77">
        <f t="shared" si="354"/>
        <v>46091</v>
      </c>
      <c r="I865" s="77">
        <f t="shared" si="355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tr">
        <f>VLOOKUP(B866,'[2]Migrasi Bed'!$B$4:$E$521,4,0)</f>
        <v>BJ.I017</v>
      </c>
      <c r="D866" s="77">
        <f t="shared" si="350"/>
        <v>46106</v>
      </c>
      <c r="E866" s="77">
        <f t="shared" si="351"/>
        <v>46090</v>
      </c>
      <c r="F866" s="77">
        <f t="shared" si="352"/>
        <v>46097</v>
      </c>
      <c r="G866" s="77">
        <f t="shared" si="353"/>
        <v>46103</v>
      </c>
      <c r="H866" s="77">
        <f t="shared" si="354"/>
        <v>46091</v>
      </c>
      <c r="I866" s="77">
        <f t="shared" si="355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tr">
        <f>VLOOKUP(B867,'[2]Migrasi Bed'!$B$4:$E$521,4,0)</f>
        <v>BJ.I018</v>
      </c>
      <c r="D867" s="77">
        <f t="shared" si="350"/>
        <v>46106</v>
      </c>
      <c r="E867" s="77">
        <f t="shared" si="351"/>
        <v>46090</v>
      </c>
      <c r="F867" s="77">
        <f t="shared" si="352"/>
        <v>46097</v>
      </c>
      <c r="G867" s="77">
        <f t="shared" si="353"/>
        <v>46103</v>
      </c>
      <c r="H867" s="77">
        <f t="shared" si="354"/>
        <v>46091</v>
      </c>
      <c r="I867" s="77">
        <f t="shared" si="355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tr">
        <f>VLOOKUP(B868,'[2]Migrasi Bed'!$B$4:$E$521,4,0)</f>
        <v>BJ.I019</v>
      </c>
      <c r="D868" s="77">
        <f t="shared" si="350"/>
        <v>46106</v>
      </c>
      <c r="E868" s="77">
        <f t="shared" si="351"/>
        <v>46090</v>
      </c>
      <c r="F868" s="77">
        <f t="shared" si="352"/>
        <v>46097</v>
      </c>
      <c r="G868" s="77">
        <f t="shared" si="353"/>
        <v>46103</v>
      </c>
      <c r="H868" s="77">
        <f t="shared" si="354"/>
        <v>46091</v>
      </c>
      <c r="I868" s="77">
        <f t="shared" si="355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tr">
        <f>VLOOKUP(B869,'[2]Migrasi Bed'!$B$4:$E$521,4,0)</f>
        <v>BJ.I020</v>
      </c>
      <c r="D869" s="77">
        <f t="shared" si="350"/>
        <v>46106</v>
      </c>
      <c r="E869" s="77">
        <f t="shared" si="351"/>
        <v>46090</v>
      </c>
      <c r="F869" s="77">
        <f t="shared" si="352"/>
        <v>46097</v>
      </c>
      <c r="G869" s="77">
        <f t="shared" si="353"/>
        <v>46103</v>
      </c>
      <c r="H869" s="77">
        <f t="shared" si="354"/>
        <v>46091</v>
      </c>
      <c r="I869" s="77">
        <f t="shared" si="355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tr">
        <f>VLOOKUP(B870,'[2]Migrasi Bed'!$B$4:$E$521,4,0)</f>
        <v>BJ.J001</v>
      </c>
      <c r="D870" s="77">
        <f t="shared" si="350"/>
        <v>46106</v>
      </c>
      <c r="E870" s="77">
        <f t="shared" si="351"/>
        <v>46090</v>
      </c>
      <c r="F870" s="77">
        <f t="shared" si="352"/>
        <v>46097</v>
      </c>
      <c r="G870" s="77">
        <f t="shared" si="353"/>
        <v>46103</v>
      </c>
      <c r="H870" s="77">
        <f t="shared" si="354"/>
        <v>46091</v>
      </c>
      <c r="I870" s="77">
        <f t="shared" si="355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tr">
        <f>VLOOKUP(B871,'[2]Migrasi Bed'!$B$4:$E$521,4,0)</f>
        <v>SV.A010</v>
      </c>
      <c r="D871" s="77">
        <f t="shared" si="350"/>
        <v>46107</v>
      </c>
      <c r="E871" s="77">
        <f t="shared" si="351"/>
        <v>46091</v>
      </c>
      <c r="F871" s="77">
        <f t="shared" si="352"/>
        <v>46098</v>
      </c>
      <c r="G871" s="77">
        <f t="shared" si="353"/>
        <v>46104</v>
      </c>
      <c r="H871" s="77">
        <f t="shared" si="354"/>
        <v>46092</v>
      </c>
      <c r="I871" s="77">
        <f t="shared" si="355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tr">
        <f>VLOOKUP(B872,'[2]Migrasi Bed'!$B$4:$E$521,4,0)</f>
        <v>SV.A011</v>
      </c>
      <c r="D872" s="77">
        <f t="shared" si="350"/>
        <v>46107</v>
      </c>
      <c r="E872" s="77">
        <f t="shared" si="351"/>
        <v>46091</v>
      </c>
      <c r="F872" s="77">
        <f t="shared" si="352"/>
        <v>46098</v>
      </c>
      <c r="G872" s="77">
        <f t="shared" si="353"/>
        <v>46104</v>
      </c>
      <c r="H872" s="77">
        <f t="shared" si="354"/>
        <v>46092</v>
      </c>
      <c r="I872" s="77">
        <f t="shared" si="355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tr">
        <f>VLOOKUP(B873,'[2]Migrasi Bed'!$B$4:$E$521,4,0)</f>
        <v>SV.A012</v>
      </c>
      <c r="D873" s="77">
        <f t="shared" si="350"/>
        <v>46107</v>
      </c>
      <c r="E873" s="77">
        <f t="shared" si="351"/>
        <v>46091</v>
      </c>
      <c r="F873" s="77">
        <f t="shared" si="352"/>
        <v>46098</v>
      </c>
      <c r="G873" s="77">
        <f t="shared" si="353"/>
        <v>46104</v>
      </c>
      <c r="H873" s="77">
        <f t="shared" si="354"/>
        <v>46092</v>
      </c>
      <c r="I873" s="77">
        <f t="shared" si="355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tr">
        <f>VLOOKUP(B874,'[2]Migrasi Bed'!$B$4:$E$521,4,0)</f>
        <v>SV.A013</v>
      </c>
      <c r="D874" s="77">
        <f t="shared" si="350"/>
        <v>46107</v>
      </c>
      <c r="E874" s="77">
        <f t="shared" si="351"/>
        <v>46091</v>
      </c>
      <c r="F874" s="77">
        <f t="shared" si="352"/>
        <v>46098</v>
      </c>
      <c r="G874" s="77">
        <f t="shared" si="353"/>
        <v>46104</v>
      </c>
      <c r="H874" s="77">
        <f t="shared" si="354"/>
        <v>46092</v>
      </c>
      <c r="I874" s="77">
        <f t="shared" si="355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tr">
        <f>VLOOKUP(B875,'[2]Migrasi Bed'!$B$4:$E$521,4,0)</f>
        <v>SV.A014</v>
      </c>
      <c r="D875" s="77">
        <f t="shared" si="350"/>
        <v>46107</v>
      </c>
      <c r="E875" s="77">
        <f t="shared" si="351"/>
        <v>46091</v>
      </c>
      <c r="F875" s="77">
        <f t="shared" si="352"/>
        <v>46098</v>
      </c>
      <c r="G875" s="77">
        <f t="shared" si="353"/>
        <v>46104</v>
      </c>
      <c r="H875" s="77">
        <f t="shared" si="354"/>
        <v>46092</v>
      </c>
      <c r="I875" s="77">
        <f t="shared" si="355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tr">
        <f>VLOOKUP(B876,'[2]Migrasi Bed'!$B$4:$E$521,4,0)</f>
        <v>SV.A015</v>
      </c>
      <c r="D876" s="77">
        <f t="shared" si="350"/>
        <v>46107</v>
      </c>
      <c r="E876" s="77">
        <f t="shared" si="351"/>
        <v>46091</v>
      </c>
      <c r="F876" s="77">
        <f t="shared" si="352"/>
        <v>46098</v>
      </c>
      <c r="G876" s="77">
        <f t="shared" si="353"/>
        <v>46104</v>
      </c>
      <c r="H876" s="77">
        <f t="shared" si="354"/>
        <v>46092</v>
      </c>
      <c r="I876" s="77">
        <f t="shared" si="355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tr">
        <f>VLOOKUP(B877,'[2]Migrasi Bed'!$B$4:$E$521,4,0)</f>
        <v>SV.A016</v>
      </c>
      <c r="D877" s="77">
        <f t="shared" si="350"/>
        <v>46107</v>
      </c>
      <c r="E877" s="77">
        <f t="shared" si="351"/>
        <v>46091</v>
      </c>
      <c r="F877" s="77">
        <f t="shared" si="352"/>
        <v>46098</v>
      </c>
      <c r="G877" s="77">
        <f t="shared" si="353"/>
        <v>46104</v>
      </c>
      <c r="H877" s="77">
        <f t="shared" si="354"/>
        <v>46092</v>
      </c>
      <c r="I877" s="77">
        <f t="shared" si="355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tr">
        <f>VLOOKUP(B878,'[2]Migrasi Bed'!$B$4:$E$521,4,0)</f>
        <v>SV.B010</v>
      </c>
      <c r="D878" s="77">
        <f t="shared" si="350"/>
        <v>46108</v>
      </c>
      <c r="E878" s="77">
        <f t="shared" si="351"/>
        <v>46092</v>
      </c>
      <c r="F878" s="77">
        <f t="shared" si="352"/>
        <v>46099</v>
      </c>
      <c r="G878" s="77">
        <f t="shared" si="353"/>
        <v>46105</v>
      </c>
      <c r="H878" s="77">
        <f t="shared" si="354"/>
        <v>46093</v>
      </c>
      <c r="I878" s="77">
        <f t="shared" si="355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tr">
        <f>VLOOKUP(B879,'[2]Migrasi Bed'!$B$4:$E$521,4,0)</f>
        <v>SV.B011</v>
      </c>
      <c r="D879" s="77">
        <f t="shared" si="350"/>
        <v>46108</v>
      </c>
      <c r="E879" s="77">
        <f t="shared" si="351"/>
        <v>46092</v>
      </c>
      <c r="F879" s="77">
        <f t="shared" si="352"/>
        <v>46099</v>
      </c>
      <c r="G879" s="77">
        <f t="shared" si="353"/>
        <v>46105</v>
      </c>
      <c r="H879" s="77">
        <f t="shared" si="354"/>
        <v>46093</v>
      </c>
      <c r="I879" s="77">
        <f t="shared" si="355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tr">
        <f>VLOOKUP(B880,'[2]Migrasi Bed'!$B$4:$E$521,4,0)</f>
        <v>SV.B012</v>
      </c>
      <c r="D880" s="77">
        <f t="shared" si="350"/>
        <v>46108</v>
      </c>
      <c r="E880" s="77">
        <f t="shared" si="351"/>
        <v>46092</v>
      </c>
      <c r="F880" s="77">
        <f t="shared" si="352"/>
        <v>46099</v>
      </c>
      <c r="G880" s="77">
        <f t="shared" si="353"/>
        <v>46105</v>
      </c>
      <c r="H880" s="77">
        <f t="shared" si="354"/>
        <v>46093</v>
      </c>
      <c r="I880" s="77">
        <f t="shared" si="355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tr">
        <f>VLOOKUP(B881,'[2]Migrasi Bed'!$B$4:$E$521,4,0)</f>
        <v>SV.B013</v>
      </c>
      <c r="D881" s="77">
        <f t="shared" si="350"/>
        <v>46108</v>
      </c>
      <c r="E881" s="77">
        <f t="shared" si="351"/>
        <v>46092</v>
      </c>
      <c r="F881" s="77">
        <f t="shared" si="352"/>
        <v>46099</v>
      </c>
      <c r="G881" s="77">
        <f t="shared" si="353"/>
        <v>46105</v>
      </c>
      <c r="H881" s="77">
        <f t="shared" si="354"/>
        <v>46093</v>
      </c>
      <c r="I881" s="77">
        <f t="shared" si="355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tr">
        <f>VLOOKUP(B882,'[2]Migrasi Bed'!$B$4:$E$521,4,0)</f>
        <v>SV.B014</v>
      </c>
      <c r="D882" s="77">
        <f t="shared" si="350"/>
        <v>46108</v>
      </c>
      <c r="E882" s="77">
        <f t="shared" si="351"/>
        <v>46092</v>
      </c>
      <c r="F882" s="77">
        <f t="shared" si="352"/>
        <v>46099</v>
      </c>
      <c r="G882" s="77">
        <f t="shared" si="353"/>
        <v>46105</v>
      </c>
      <c r="H882" s="77">
        <f t="shared" si="354"/>
        <v>46093</v>
      </c>
      <c r="I882" s="77">
        <f t="shared" si="355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tr">
        <f>VLOOKUP(B883,'[2]Migrasi Bed'!$B$4:$E$521,4,0)</f>
        <v>SV.B015</v>
      </c>
      <c r="D883" s="77">
        <f t="shared" si="350"/>
        <v>46108</v>
      </c>
      <c r="E883" s="77">
        <f t="shared" si="351"/>
        <v>46092</v>
      </c>
      <c r="F883" s="77">
        <f t="shared" si="352"/>
        <v>46099</v>
      </c>
      <c r="G883" s="77">
        <f t="shared" si="353"/>
        <v>46105</v>
      </c>
      <c r="H883" s="77">
        <f t="shared" si="354"/>
        <v>46093</v>
      </c>
      <c r="I883" s="77">
        <f t="shared" si="355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tr">
        <f>VLOOKUP(B884,'[2]Migrasi Bed'!$B$4:$E$521,4,0)</f>
        <v>SV.B016</v>
      </c>
      <c r="D884" s="77">
        <f t="shared" si="350"/>
        <v>46108</v>
      </c>
      <c r="E884" s="77">
        <f t="shared" si="351"/>
        <v>46092</v>
      </c>
      <c r="F884" s="77">
        <f t="shared" si="352"/>
        <v>46099</v>
      </c>
      <c r="G884" s="77">
        <f t="shared" si="353"/>
        <v>46105</v>
      </c>
      <c r="H884" s="77">
        <f t="shared" si="354"/>
        <v>46093</v>
      </c>
      <c r="I884" s="77">
        <f t="shared" si="355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tr">
        <f>VLOOKUP(B885,'[2]Migrasi Bed'!$B$4:$E$521,4,0)</f>
        <v>SV.A003</v>
      </c>
      <c r="D885" s="77">
        <f t="shared" si="350"/>
        <v>46109</v>
      </c>
      <c r="E885" s="77">
        <f t="shared" si="351"/>
        <v>46093</v>
      </c>
      <c r="F885" s="77">
        <f t="shared" si="352"/>
        <v>46100</v>
      </c>
      <c r="G885" s="77">
        <f t="shared" si="353"/>
        <v>46106</v>
      </c>
      <c r="H885" s="77">
        <f t="shared" si="354"/>
        <v>46094</v>
      </c>
      <c r="I885" s="77">
        <f t="shared" si="355"/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tr">
        <f>VLOOKUP(B886,'[2]Migrasi Bed'!$B$4:$E$521,4,0)</f>
        <v>SV.A004</v>
      </c>
      <c r="D886" s="77">
        <f t="shared" si="350"/>
        <v>46109</v>
      </c>
      <c r="E886" s="77">
        <f t="shared" si="351"/>
        <v>46093</v>
      </c>
      <c r="F886" s="77">
        <f t="shared" si="352"/>
        <v>46100</v>
      </c>
      <c r="G886" s="77">
        <f t="shared" si="353"/>
        <v>46106</v>
      </c>
      <c r="H886" s="77">
        <f t="shared" si="354"/>
        <v>46094</v>
      </c>
      <c r="I886" s="77">
        <f t="shared" si="355"/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tr">
        <f>VLOOKUP(B887,'[2]Migrasi Bed'!$B$4:$E$521,4,0)</f>
        <v>SV.A005</v>
      </c>
      <c r="D887" s="77">
        <f t="shared" si="350"/>
        <v>46109</v>
      </c>
      <c r="E887" s="77">
        <f t="shared" si="351"/>
        <v>46093</v>
      </c>
      <c r="F887" s="77">
        <f t="shared" si="352"/>
        <v>46100</v>
      </c>
      <c r="G887" s="77">
        <f t="shared" si="353"/>
        <v>46106</v>
      </c>
      <c r="H887" s="77">
        <f t="shared" si="354"/>
        <v>46094</v>
      </c>
      <c r="I887" s="77">
        <f t="shared" si="355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tr">
        <f>VLOOKUP(B888,'[2]Migrasi Bed'!$B$4:$E$521,4,0)</f>
        <v>SV.A006</v>
      </c>
      <c r="D888" s="77">
        <f t="shared" si="350"/>
        <v>46109</v>
      </c>
      <c r="E888" s="77">
        <f t="shared" si="351"/>
        <v>46093</v>
      </c>
      <c r="F888" s="77">
        <f t="shared" si="352"/>
        <v>46100</v>
      </c>
      <c r="G888" s="77">
        <f t="shared" si="353"/>
        <v>46106</v>
      </c>
      <c r="H888" s="77">
        <f t="shared" si="354"/>
        <v>46094</v>
      </c>
      <c r="I888" s="77">
        <f t="shared" si="355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tr">
        <f>VLOOKUP(B889,'[2]Migrasi Bed'!$B$4:$E$521,4,0)</f>
        <v>SV.A007</v>
      </c>
      <c r="D889" s="77">
        <f t="shared" si="350"/>
        <v>46109</v>
      </c>
      <c r="E889" s="77">
        <f t="shared" si="351"/>
        <v>46093</v>
      </c>
      <c r="F889" s="77">
        <f t="shared" si="352"/>
        <v>46100</v>
      </c>
      <c r="G889" s="77">
        <f t="shared" si="353"/>
        <v>46106</v>
      </c>
      <c r="H889" s="77">
        <f t="shared" si="354"/>
        <v>46094</v>
      </c>
      <c r="I889" s="77">
        <f t="shared" si="355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tr">
        <f>VLOOKUP(B890,'[2]Migrasi Bed'!$B$4:$E$521,4,0)</f>
        <v>SV.A008</v>
      </c>
      <c r="D890" s="77">
        <f t="shared" si="350"/>
        <v>46109</v>
      </c>
      <c r="E890" s="77">
        <f t="shared" si="351"/>
        <v>46093</v>
      </c>
      <c r="F890" s="77">
        <f t="shared" si="352"/>
        <v>46100</v>
      </c>
      <c r="G890" s="77">
        <f t="shared" si="353"/>
        <v>46106</v>
      </c>
      <c r="H890" s="77">
        <f t="shared" si="354"/>
        <v>46094</v>
      </c>
      <c r="I890" s="77">
        <f t="shared" si="355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tr">
        <f>VLOOKUP(B891,'[2]Migrasi Bed'!$B$4:$E$521,4,0)</f>
        <v>SV.A009</v>
      </c>
      <c r="D891" s="77">
        <f t="shared" si="350"/>
        <v>46109</v>
      </c>
      <c r="E891" s="77">
        <f t="shared" si="351"/>
        <v>46093</v>
      </c>
      <c r="F891" s="77">
        <f t="shared" si="352"/>
        <v>46100</v>
      </c>
      <c r="G891" s="77">
        <f t="shared" si="353"/>
        <v>46106</v>
      </c>
      <c r="H891" s="77">
        <f t="shared" si="354"/>
        <v>46094</v>
      </c>
      <c r="I891" s="77">
        <f t="shared" si="355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tr">
        <f>VLOOKUP(B892,'[2]Migrasi Bed'!$B$4:$E$521,4,0)</f>
        <v>SV.B003</v>
      </c>
      <c r="D892" s="77">
        <f t="shared" si="350"/>
        <v>46110</v>
      </c>
      <c r="E892" s="77">
        <f t="shared" si="351"/>
        <v>46094</v>
      </c>
      <c r="F892" s="77">
        <f t="shared" si="352"/>
        <v>46101</v>
      </c>
      <c r="G892" s="77">
        <f t="shared" si="353"/>
        <v>46107</v>
      </c>
      <c r="H892" s="77">
        <f t="shared" si="354"/>
        <v>46095</v>
      </c>
      <c r="I892" s="77">
        <f t="shared" si="355"/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tr">
        <f>VLOOKUP(B893,'[2]Migrasi Bed'!$B$4:$E$521,4,0)</f>
        <v>SV.B004</v>
      </c>
      <c r="D893" s="77">
        <f t="shared" si="350"/>
        <v>46110</v>
      </c>
      <c r="E893" s="77">
        <f t="shared" si="351"/>
        <v>46094</v>
      </c>
      <c r="F893" s="77">
        <f t="shared" si="352"/>
        <v>46101</v>
      </c>
      <c r="G893" s="77">
        <f t="shared" si="353"/>
        <v>46107</v>
      </c>
      <c r="H893" s="77">
        <f t="shared" si="354"/>
        <v>46095</v>
      </c>
      <c r="I893" s="77">
        <f t="shared" si="355"/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tr">
        <f>VLOOKUP(B894,'[2]Migrasi Bed'!$B$4:$E$521,4,0)</f>
        <v>SV.B005</v>
      </c>
      <c r="D894" s="77">
        <f t="shared" si="350"/>
        <v>46110</v>
      </c>
      <c r="E894" s="77">
        <f t="shared" si="351"/>
        <v>46094</v>
      </c>
      <c r="F894" s="77">
        <f t="shared" si="352"/>
        <v>46101</v>
      </c>
      <c r="G894" s="77">
        <f t="shared" si="353"/>
        <v>46107</v>
      </c>
      <c r="H894" s="77">
        <f t="shared" si="354"/>
        <v>46095</v>
      </c>
      <c r="I894" s="77">
        <f t="shared" si="355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tr">
        <f>VLOOKUP(B895,'[2]Migrasi Bed'!$B$4:$E$521,4,0)</f>
        <v>SV.B006</v>
      </c>
      <c r="D895" s="77">
        <f t="shared" si="350"/>
        <v>46110</v>
      </c>
      <c r="E895" s="77">
        <f t="shared" si="351"/>
        <v>46094</v>
      </c>
      <c r="F895" s="77">
        <f t="shared" si="352"/>
        <v>46101</v>
      </c>
      <c r="G895" s="77">
        <f t="shared" si="353"/>
        <v>46107</v>
      </c>
      <c r="H895" s="77">
        <f t="shared" si="354"/>
        <v>46095</v>
      </c>
      <c r="I895" s="77">
        <f t="shared" si="355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tr">
        <f>VLOOKUP(B896,'[2]Migrasi Bed'!$B$4:$E$521,4,0)</f>
        <v>SV.B007</v>
      </c>
      <c r="D896" s="77">
        <f t="shared" si="350"/>
        <v>46110</v>
      </c>
      <c r="E896" s="77">
        <f t="shared" si="351"/>
        <v>46094</v>
      </c>
      <c r="F896" s="77">
        <f t="shared" si="352"/>
        <v>46101</v>
      </c>
      <c r="G896" s="77">
        <f t="shared" si="353"/>
        <v>46107</v>
      </c>
      <c r="H896" s="77">
        <f t="shared" si="354"/>
        <v>46095</v>
      </c>
      <c r="I896" s="77">
        <f t="shared" si="355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tr">
        <f>VLOOKUP(B897,'[2]Migrasi Bed'!$B$4:$E$521,4,0)</f>
        <v>SV.B008</v>
      </c>
      <c r="D897" s="77">
        <f t="shared" si="350"/>
        <v>46110</v>
      </c>
      <c r="E897" s="77">
        <f t="shared" si="351"/>
        <v>46094</v>
      </c>
      <c r="F897" s="77">
        <f t="shared" si="352"/>
        <v>46101</v>
      </c>
      <c r="G897" s="77">
        <f t="shared" si="353"/>
        <v>46107</v>
      </c>
      <c r="H897" s="77">
        <f t="shared" si="354"/>
        <v>46095</v>
      </c>
      <c r="I897" s="77">
        <f t="shared" si="355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tr">
        <f>VLOOKUP(B898,'[2]Migrasi Bed'!$B$4:$E$521,4,0)</f>
        <v>SV.B009</v>
      </c>
      <c r="D898" s="77">
        <f t="shared" si="350"/>
        <v>46110</v>
      </c>
      <c r="E898" s="77">
        <f t="shared" si="351"/>
        <v>46094</v>
      </c>
      <c r="F898" s="77">
        <f t="shared" si="352"/>
        <v>46101</v>
      </c>
      <c r="G898" s="77">
        <f t="shared" si="353"/>
        <v>46107</v>
      </c>
      <c r="H898" s="77">
        <f t="shared" si="354"/>
        <v>46095</v>
      </c>
      <c r="I898" s="77">
        <f t="shared" si="355"/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tr">
        <f>VLOOKUP(B899,'[2]Migrasi Bed'!$B$4:$E$521,4,0)</f>
        <v>SV.A001</v>
      </c>
      <c r="D899" s="77">
        <f t="shared" si="350"/>
        <v>46111</v>
      </c>
      <c r="E899" s="77">
        <f t="shared" si="351"/>
        <v>46095</v>
      </c>
      <c r="F899" s="77">
        <f t="shared" si="352"/>
        <v>46102</v>
      </c>
      <c r="G899" s="77">
        <f t="shared" si="353"/>
        <v>46108</v>
      </c>
      <c r="H899" s="77">
        <f t="shared" si="354"/>
        <v>46096</v>
      </c>
      <c r="I899" s="77">
        <f t="shared" si="355"/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tr">
        <f>VLOOKUP(B900,'[2]Migrasi Bed'!$B$4:$E$521,4,0)</f>
        <v>SV.A002</v>
      </c>
      <c r="D900" s="77">
        <f t="shared" si="350"/>
        <v>46111</v>
      </c>
      <c r="E900" s="77">
        <f t="shared" si="351"/>
        <v>46095</v>
      </c>
      <c r="F900" s="77">
        <f t="shared" si="352"/>
        <v>46102</v>
      </c>
      <c r="G900" s="77">
        <f t="shared" si="353"/>
        <v>46108</v>
      </c>
      <c r="H900" s="77">
        <f t="shared" si="354"/>
        <v>46096</v>
      </c>
      <c r="I900" s="77">
        <f t="shared" si="355"/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tr">
        <f>VLOOKUP(B901,'[2]Migrasi Bed'!$B$4:$E$521,4,0)</f>
        <v>SV.B001</v>
      </c>
      <c r="D901" s="77">
        <f t="shared" si="350"/>
        <v>46111</v>
      </c>
      <c r="E901" s="77">
        <f t="shared" si="351"/>
        <v>46095</v>
      </c>
      <c r="F901" s="77">
        <f t="shared" si="352"/>
        <v>46102</v>
      </c>
      <c r="G901" s="77">
        <f t="shared" si="353"/>
        <v>46108</v>
      </c>
      <c r="H901" s="77">
        <f t="shared" si="354"/>
        <v>46096</v>
      </c>
      <c r="I901" s="77">
        <f t="shared" si="355"/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tr">
        <f>VLOOKUP(B902,'[2]Migrasi Bed'!$B$4:$E$521,4,0)</f>
        <v>SV.B002</v>
      </c>
      <c r="D902" s="77">
        <f t="shared" si="350"/>
        <v>46111</v>
      </c>
      <c r="E902" s="77">
        <f t="shared" si="351"/>
        <v>46095</v>
      </c>
      <c r="F902" s="77">
        <f t="shared" si="352"/>
        <v>46102</v>
      </c>
      <c r="G902" s="77">
        <f t="shared" si="353"/>
        <v>46108</v>
      </c>
      <c r="H902" s="77">
        <f t="shared" si="354"/>
        <v>46096</v>
      </c>
      <c r="I902" s="77">
        <f t="shared" si="355"/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tr">
        <f>VLOOKUP(B903,'[2]Migrasi Bed'!$B$4:$E$521,4,0)</f>
        <v>SV.C001</v>
      </c>
      <c r="D903" s="77">
        <f t="shared" si="350"/>
        <v>46111</v>
      </c>
      <c r="E903" s="77">
        <f t="shared" si="351"/>
        <v>46095</v>
      </c>
      <c r="F903" s="77">
        <f t="shared" si="352"/>
        <v>46102</v>
      </c>
      <c r="G903" s="77">
        <f t="shared" si="353"/>
        <v>46108</v>
      </c>
      <c r="H903" s="77">
        <f t="shared" si="354"/>
        <v>46096</v>
      </c>
      <c r="I903" s="77">
        <f t="shared" si="355"/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tr">
        <f>VLOOKUP(B904,'[2]Migrasi Bed'!$B$4:$E$521,4,0)</f>
        <v>SV.C002</v>
      </c>
      <c r="D904" s="77">
        <f t="shared" si="350"/>
        <v>46111</v>
      </c>
      <c r="E904" s="77">
        <f t="shared" si="351"/>
        <v>46095</v>
      </c>
      <c r="F904" s="77">
        <f t="shared" si="352"/>
        <v>46102</v>
      </c>
      <c r="G904" s="77">
        <f t="shared" si="353"/>
        <v>46108</v>
      </c>
      <c r="H904" s="77">
        <f t="shared" si="354"/>
        <v>46096</v>
      </c>
      <c r="I904" s="77">
        <f t="shared" si="355"/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tr">
        <f>VLOOKUP(B905,'[2]Migrasi Bed'!$B$4:$E$521,4,0)</f>
        <v>SV.C006</v>
      </c>
      <c r="D905" s="77">
        <f t="shared" si="350"/>
        <v>46111</v>
      </c>
      <c r="E905" s="77">
        <f t="shared" si="351"/>
        <v>46095</v>
      </c>
      <c r="F905" s="77">
        <f t="shared" si="352"/>
        <v>46102</v>
      </c>
      <c r="G905" s="77">
        <f t="shared" si="353"/>
        <v>46108</v>
      </c>
      <c r="H905" s="77">
        <f t="shared" si="354"/>
        <v>46096</v>
      </c>
      <c r="I905" s="77">
        <f t="shared" si="355"/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tr">
        <f>VLOOKUP(B906,'[2]Migrasi Bed'!$B$4:$E$521,4,0)</f>
        <v>SV.C007</v>
      </c>
      <c r="D906" s="77">
        <f t="shared" si="350"/>
        <v>46111</v>
      </c>
      <c r="E906" s="77">
        <f t="shared" si="351"/>
        <v>46095</v>
      </c>
      <c r="F906" s="77">
        <f t="shared" si="352"/>
        <v>46102</v>
      </c>
      <c r="G906" s="77">
        <f t="shared" si="353"/>
        <v>46108</v>
      </c>
      <c r="H906" s="77">
        <f t="shared" si="354"/>
        <v>46096</v>
      </c>
      <c r="I906" s="77">
        <f t="shared" si="355"/>
        <v>46103</v>
      </c>
      <c r="J906" s="25"/>
      <c r="K906" s="25"/>
      <c r="L906" s="25"/>
      <c r="M906" s="25"/>
      <c r="N906" s="25"/>
      <c r="O906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690">
    <cfRule type="expression" dxfId="33" priority="10">
      <formula>$L579&gt;0</formula>
    </cfRule>
  </conditionalFormatting>
  <conditionalFormatting sqref="A1:C169 D349:I369 D370:J370 D373:K373 A373:C376 D374:I376 K374:K376 A381:K414 A416:I422 A463:I463 D483:I483 A483:C578 A907:C1048576">
    <cfRule type="expression" dxfId="32" priority="60">
      <formula>$L1&gt;0</formula>
    </cfRule>
  </conditionalFormatting>
  <conditionalFormatting sqref="A189:C370">
    <cfRule type="expression" dxfId="31" priority="48">
      <formula>$L189&gt;0</formula>
    </cfRule>
  </conditionalFormatting>
  <conditionalFormatting sqref="A415:I415 A423:I429 B430:I430 A430:A434 A431:K434 A435:I437 A438:K462 A464:K482">
    <cfRule type="expression" dxfId="30" priority="8883">
      <formula>#REF!&gt;0</formula>
    </cfRule>
  </conditionalFormatting>
  <conditionalFormatting sqref="A371:K372 K372:K376 A377:K380">
    <cfRule type="expression" dxfId="29" priority="8881">
      <formula>#REF!&gt;0</formula>
    </cfRule>
  </conditionalFormatting>
  <conditionalFormatting sqref="C579:I690">
    <cfRule type="expression" dxfId="27" priority="8">
      <formula>$K579&gt;0</formula>
    </cfRule>
  </conditionalFormatting>
  <conditionalFormatting sqref="D1:I169 A170:J188 D189:I348 D363:I578 D907:I1048576">
    <cfRule type="expression" dxfId="26" priority="63">
      <formula>$K1&gt;0</formula>
    </cfRule>
  </conditionalFormatting>
  <conditionalFormatting sqref="D484:K609">
    <cfRule type="expression" dxfId="25" priority="22">
      <formula>$L484&gt;0</formula>
    </cfRule>
  </conditionalFormatting>
  <conditionalFormatting sqref="J1:J247">
    <cfRule type="expression" dxfId="24" priority="52">
      <formula>$L1&gt;0</formula>
    </cfRule>
  </conditionalFormatting>
  <conditionalFormatting sqref="J248:J249">
    <cfRule type="expression" dxfId="23" priority="8846">
      <formula>$L247&gt;0</formula>
    </cfRule>
  </conditionalFormatting>
  <conditionalFormatting sqref="J250:J380">
    <cfRule type="expression" dxfId="22" priority="47">
      <formula>$L250&gt;0</formula>
    </cfRule>
  </conditionalFormatting>
  <conditionalFormatting sqref="J450:J578">
    <cfRule type="expression" dxfId="21" priority="23">
      <formula>$L450&gt;0</formula>
    </cfRule>
  </conditionalFormatting>
  <conditionalFormatting sqref="J610:J690 J907:J1048576">
    <cfRule type="expression" dxfId="20" priority="7">
      <formula>$L610&gt;0</formula>
    </cfRule>
  </conditionalFormatting>
  <conditionalFormatting sqref="J415:K450">
    <cfRule type="expression" dxfId="19" priority="40">
      <formula>$L415&gt;0</formula>
    </cfRule>
  </conditionalFormatting>
  <conditionalFormatting sqref="J456:K457">
    <cfRule type="expression" dxfId="18" priority="39">
      <formula>$L456&gt;0</formula>
    </cfRule>
  </conditionalFormatting>
  <conditionalFormatting sqref="J463:K463">
    <cfRule type="expression" dxfId="17" priority="28">
      <formula>#REF!&gt;0</formula>
    </cfRule>
  </conditionalFormatting>
  <conditionalFormatting sqref="J483:K489">
    <cfRule type="expression" dxfId="16" priority="27">
      <formula>#REF!&gt;0</formula>
    </cfRule>
  </conditionalFormatting>
  <conditionalFormatting sqref="J501:K501 J501:J504">
    <cfRule type="expression" dxfId="15" priority="26">
      <formula>#REF!&gt;0</formula>
    </cfRule>
  </conditionalFormatting>
  <conditionalFormatting sqref="K450:K456">
    <cfRule type="expression" dxfId="14" priority="42">
      <formula>$L450&gt;0</formula>
    </cfRule>
  </conditionalFormatting>
  <conditionalFormatting sqref="K458:K489">
    <cfRule type="expression" dxfId="13" priority="32">
      <formula>$L458&gt;0</formula>
    </cfRule>
  </conditionalFormatting>
  <conditionalFormatting sqref="K501">
    <cfRule type="expression" dxfId="12" priority="25">
      <formula>$L501&gt;0</formula>
    </cfRule>
  </conditionalFormatting>
  <conditionalFormatting sqref="K609:K628">
    <cfRule type="expression" dxfId="11" priority="11">
      <formula>$L609&gt;0</formula>
    </cfRule>
  </conditionalFormatting>
  <conditionalFormatting sqref="K636:K642">
    <cfRule type="expression" dxfId="10" priority="12">
      <formula>$L636&gt;0</formula>
    </cfRule>
  </conditionalFormatting>
  <conditionalFormatting sqref="A802:A906">
    <cfRule type="expression" dxfId="5" priority="3">
      <formula>$L802&gt;0</formula>
    </cfRule>
  </conditionalFormatting>
  <conditionalFormatting sqref="A691:B801">
    <cfRule type="expression" dxfId="4" priority="6">
      <formula>$L691&gt;0</formula>
    </cfRule>
  </conditionalFormatting>
  <conditionalFormatting sqref="A885:B906">
    <cfRule type="expression" dxfId="3" priority="2">
      <formula>$K885&gt;0</formula>
    </cfRule>
  </conditionalFormatting>
  <conditionalFormatting sqref="B802:J802">
    <cfRule type="expression" dxfId="2" priority="5">
      <formula>$K802&gt;0</formula>
    </cfRule>
  </conditionalFormatting>
  <conditionalFormatting sqref="C691:I884 A803:B884 J803:J884 C885:J906">
    <cfRule type="expression" dxfId="1" priority="4">
      <formula>$K691&gt;0</formula>
    </cfRule>
  </conditionalFormatting>
  <conditionalFormatting sqref="J691:J906">
    <cfRule type="expression" dxfId="0" priority="1">
      <formula>$L691&gt;0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9" priority="10">
      <formula>$K2&gt;0</formula>
    </cfRule>
  </conditionalFormatting>
  <conditionalFormatting sqref="C2:C111">
    <cfRule type="expression" dxfId="8" priority="4">
      <formula>$K2&gt;0</formula>
    </cfRule>
  </conditionalFormatting>
  <conditionalFormatting sqref="C115:C119">
    <cfRule type="expression" dxfId="7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6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2026-03-08T19:06:14Z</dcterms:modified>
</cp:coreProperties>
</file>