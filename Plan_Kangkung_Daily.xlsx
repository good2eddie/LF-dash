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DAILY_REPORT_LF\"/>
    </mc:Choice>
  </mc:AlternateContent>
  <xr:revisionPtr revIDLastSave="0" documentId="13_ncr:1_{FBB0284B-3D49-40AE-AB5C-757FF3565317}" xr6:coauthVersionLast="47" xr6:coauthVersionMax="47" xr10:uidLastSave="{00000000-0000-0000-0000-000000000000}"/>
  <bookViews>
    <workbookView xWindow="-120" yWindow="-120" windowWidth="29040" windowHeight="15720" firstSheet="2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dash!$A$2:$O$683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11" i="3" l="1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I996" i="3"/>
  <c r="H996" i="3"/>
  <c r="G996" i="3"/>
  <c r="F996" i="3"/>
  <c r="E996" i="3"/>
  <c r="D996" i="3"/>
  <c r="I995" i="3"/>
  <c r="H995" i="3"/>
  <c r="G995" i="3"/>
  <c r="F995" i="3"/>
  <c r="E995" i="3"/>
  <c r="D995" i="3"/>
  <c r="I994" i="3"/>
  <c r="H994" i="3"/>
  <c r="G994" i="3"/>
  <c r="F994" i="3"/>
  <c r="E994" i="3"/>
  <c r="D994" i="3"/>
  <c r="I993" i="3"/>
  <c r="H993" i="3"/>
  <c r="G993" i="3"/>
  <c r="F993" i="3"/>
  <c r="E993" i="3"/>
  <c r="D993" i="3"/>
  <c r="I992" i="3"/>
  <c r="H992" i="3"/>
  <c r="G992" i="3"/>
  <c r="F992" i="3"/>
  <c r="E992" i="3"/>
  <c r="D992" i="3"/>
  <c r="I991" i="3"/>
  <c r="H991" i="3"/>
  <c r="G991" i="3"/>
  <c r="F991" i="3"/>
  <c r="E991" i="3"/>
  <c r="D991" i="3"/>
  <c r="I990" i="3"/>
  <c r="H990" i="3"/>
  <c r="G990" i="3"/>
  <c r="F990" i="3"/>
  <c r="E990" i="3"/>
  <c r="D990" i="3"/>
  <c r="I989" i="3"/>
  <c r="H989" i="3"/>
  <c r="G989" i="3"/>
  <c r="F989" i="3"/>
  <c r="E989" i="3"/>
  <c r="D989" i="3"/>
  <c r="I988" i="3"/>
  <c r="H988" i="3"/>
  <c r="G988" i="3"/>
  <c r="F988" i="3"/>
  <c r="E988" i="3"/>
  <c r="D988" i="3"/>
  <c r="I987" i="3"/>
  <c r="H987" i="3"/>
  <c r="G987" i="3"/>
  <c r="F987" i="3"/>
  <c r="E987" i="3"/>
  <c r="D987" i="3"/>
  <c r="I986" i="3"/>
  <c r="H986" i="3"/>
  <c r="G986" i="3"/>
  <c r="F986" i="3"/>
  <c r="E986" i="3"/>
  <c r="D986" i="3"/>
  <c r="I985" i="3"/>
  <c r="H985" i="3"/>
  <c r="G985" i="3"/>
  <c r="F985" i="3"/>
  <c r="E985" i="3"/>
  <c r="D985" i="3"/>
  <c r="I984" i="3"/>
  <c r="H984" i="3"/>
  <c r="G984" i="3"/>
  <c r="F984" i="3"/>
  <c r="E984" i="3"/>
  <c r="D984" i="3"/>
  <c r="I983" i="3"/>
  <c r="H983" i="3"/>
  <c r="G983" i="3"/>
  <c r="F983" i="3"/>
  <c r="E983" i="3"/>
  <c r="D983" i="3"/>
  <c r="I982" i="3"/>
  <c r="H982" i="3"/>
  <c r="G982" i="3"/>
  <c r="F982" i="3"/>
  <c r="E982" i="3"/>
  <c r="D982" i="3"/>
  <c r="I981" i="3"/>
  <c r="H981" i="3"/>
  <c r="G981" i="3"/>
  <c r="F981" i="3"/>
  <c r="E981" i="3"/>
  <c r="D981" i="3"/>
  <c r="I980" i="3"/>
  <c r="H980" i="3"/>
  <c r="G980" i="3"/>
  <c r="F980" i="3"/>
  <c r="E980" i="3"/>
  <c r="D980" i="3"/>
  <c r="I979" i="3"/>
  <c r="H979" i="3"/>
  <c r="G979" i="3"/>
  <c r="F979" i="3"/>
  <c r="E979" i="3"/>
  <c r="D979" i="3"/>
  <c r="I978" i="3"/>
  <c r="H978" i="3"/>
  <c r="G978" i="3"/>
  <c r="F978" i="3"/>
  <c r="E978" i="3"/>
  <c r="D978" i="3"/>
  <c r="I977" i="3"/>
  <c r="H977" i="3"/>
  <c r="G977" i="3"/>
  <c r="F977" i="3"/>
  <c r="E977" i="3"/>
  <c r="D977" i="3"/>
  <c r="I976" i="3"/>
  <c r="H976" i="3"/>
  <c r="G976" i="3"/>
  <c r="F976" i="3"/>
  <c r="E976" i="3"/>
  <c r="D976" i="3"/>
  <c r="I975" i="3"/>
  <c r="H975" i="3"/>
  <c r="G975" i="3"/>
  <c r="F975" i="3"/>
  <c r="E975" i="3"/>
  <c r="D975" i="3"/>
  <c r="I974" i="3"/>
  <c r="H974" i="3"/>
  <c r="G974" i="3"/>
  <c r="F974" i="3"/>
  <c r="E974" i="3"/>
  <c r="D974" i="3"/>
  <c r="I973" i="3"/>
  <c r="H973" i="3"/>
  <c r="G973" i="3"/>
  <c r="F973" i="3"/>
  <c r="E973" i="3"/>
  <c r="D973" i="3"/>
  <c r="I972" i="3"/>
  <c r="H972" i="3"/>
  <c r="G972" i="3"/>
  <c r="F972" i="3"/>
  <c r="E972" i="3"/>
  <c r="D972" i="3"/>
  <c r="I971" i="3"/>
  <c r="H971" i="3"/>
  <c r="G971" i="3"/>
  <c r="F971" i="3"/>
  <c r="E971" i="3"/>
  <c r="D971" i="3"/>
  <c r="I970" i="3"/>
  <c r="H970" i="3"/>
  <c r="G970" i="3"/>
  <c r="F970" i="3"/>
  <c r="E970" i="3"/>
  <c r="D970" i="3"/>
  <c r="I969" i="3"/>
  <c r="H969" i="3"/>
  <c r="G969" i="3"/>
  <c r="F969" i="3"/>
  <c r="E969" i="3"/>
  <c r="D969" i="3"/>
  <c r="I968" i="3"/>
  <c r="H968" i="3"/>
  <c r="G968" i="3"/>
  <c r="F968" i="3"/>
  <c r="E968" i="3"/>
  <c r="D968" i="3"/>
  <c r="I967" i="3"/>
  <c r="H967" i="3"/>
  <c r="G967" i="3"/>
  <c r="F967" i="3"/>
  <c r="E967" i="3"/>
  <c r="D967" i="3"/>
  <c r="I966" i="3"/>
  <c r="H966" i="3"/>
  <c r="G966" i="3"/>
  <c r="F966" i="3"/>
  <c r="E966" i="3"/>
  <c r="D966" i="3"/>
  <c r="I965" i="3"/>
  <c r="H965" i="3"/>
  <c r="G965" i="3"/>
  <c r="F965" i="3"/>
  <c r="E965" i="3"/>
  <c r="D965" i="3"/>
  <c r="I964" i="3"/>
  <c r="H964" i="3"/>
  <c r="G964" i="3"/>
  <c r="F964" i="3"/>
  <c r="E964" i="3"/>
  <c r="D964" i="3"/>
  <c r="I963" i="3"/>
  <c r="H963" i="3"/>
  <c r="G963" i="3"/>
  <c r="F963" i="3"/>
  <c r="E963" i="3"/>
  <c r="D963" i="3"/>
  <c r="I962" i="3"/>
  <c r="H962" i="3"/>
  <c r="G962" i="3"/>
  <c r="F962" i="3"/>
  <c r="E962" i="3"/>
  <c r="D962" i="3"/>
  <c r="I961" i="3"/>
  <c r="H961" i="3"/>
  <c r="G961" i="3"/>
  <c r="F961" i="3"/>
  <c r="E961" i="3"/>
  <c r="D961" i="3"/>
  <c r="I960" i="3"/>
  <c r="H960" i="3"/>
  <c r="G960" i="3"/>
  <c r="F960" i="3"/>
  <c r="E960" i="3"/>
  <c r="D960" i="3"/>
  <c r="I959" i="3"/>
  <c r="H959" i="3"/>
  <c r="G959" i="3"/>
  <c r="F959" i="3"/>
  <c r="E959" i="3"/>
  <c r="D959" i="3"/>
  <c r="I958" i="3"/>
  <c r="H958" i="3"/>
  <c r="G958" i="3"/>
  <c r="F958" i="3"/>
  <c r="E958" i="3"/>
  <c r="D958" i="3"/>
  <c r="I957" i="3"/>
  <c r="H957" i="3"/>
  <c r="G957" i="3"/>
  <c r="F957" i="3"/>
  <c r="E957" i="3"/>
  <c r="D957" i="3"/>
  <c r="I956" i="3"/>
  <c r="H956" i="3"/>
  <c r="G956" i="3"/>
  <c r="F956" i="3"/>
  <c r="E956" i="3"/>
  <c r="D956" i="3"/>
  <c r="I955" i="3"/>
  <c r="H955" i="3"/>
  <c r="G955" i="3"/>
  <c r="F955" i="3"/>
  <c r="E955" i="3"/>
  <c r="D955" i="3"/>
  <c r="I954" i="3"/>
  <c r="H954" i="3"/>
  <c r="G954" i="3"/>
  <c r="F954" i="3"/>
  <c r="E954" i="3"/>
  <c r="D954" i="3"/>
  <c r="I953" i="3"/>
  <c r="H953" i="3"/>
  <c r="G953" i="3"/>
  <c r="F953" i="3"/>
  <c r="E953" i="3"/>
  <c r="D953" i="3"/>
  <c r="I952" i="3"/>
  <c r="H952" i="3"/>
  <c r="G952" i="3"/>
  <c r="F952" i="3"/>
  <c r="E952" i="3"/>
  <c r="D952" i="3"/>
  <c r="I951" i="3"/>
  <c r="H951" i="3"/>
  <c r="G951" i="3"/>
  <c r="F951" i="3"/>
  <c r="E951" i="3"/>
  <c r="D951" i="3"/>
  <c r="I950" i="3"/>
  <c r="H950" i="3"/>
  <c r="G950" i="3"/>
  <c r="F950" i="3"/>
  <c r="E950" i="3"/>
  <c r="D950" i="3"/>
  <c r="I949" i="3"/>
  <c r="H949" i="3"/>
  <c r="G949" i="3"/>
  <c r="F949" i="3"/>
  <c r="E949" i="3"/>
  <c r="D949" i="3"/>
  <c r="I948" i="3"/>
  <c r="H948" i="3"/>
  <c r="G948" i="3"/>
  <c r="F948" i="3"/>
  <c r="E948" i="3"/>
  <c r="D948" i="3"/>
  <c r="I947" i="3"/>
  <c r="H947" i="3"/>
  <c r="G947" i="3"/>
  <c r="F947" i="3"/>
  <c r="E947" i="3"/>
  <c r="D947" i="3"/>
  <c r="I946" i="3"/>
  <c r="H946" i="3"/>
  <c r="G946" i="3"/>
  <c r="F946" i="3"/>
  <c r="E946" i="3"/>
  <c r="D946" i="3"/>
  <c r="I945" i="3"/>
  <c r="H945" i="3"/>
  <c r="G945" i="3"/>
  <c r="F945" i="3"/>
  <c r="E945" i="3"/>
  <c r="D945" i="3"/>
  <c r="I944" i="3"/>
  <c r="H944" i="3"/>
  <c r="G944" i="3"/>
  <c r="F944" i="3"/>
  <c r="E944" i="3"/>
  <c r="D944" i="3"/>
  <c r="I943" i="3"/>
  <c r="H943" i="3"/>
  <c r="G943" i="3"/>
  <c r="F943" i="3"/>
  <c r="E943" i="3"/>
  <c r="D943" i="3"/>
  <c r="I942" i="3"/>
  <c r="H942" i="3"/>
  <c r="G942" i="3"/>
  <c r="F942" i="3"/>
  <c r="E942" i="3"/>
  <c r="D942" i="3"/>
  <c r="I941" i="3"/>
  <c r="H941" i="3"/>
  <c r="G941" i="3"/>
  <c r="F941" i="3"/>
  <c r="E941" i="3"/>
  <c r="D941" i="3"/>
  <c r="I940" i="3"/>
  <c r="H940" i="3"/>
  <c r="G940" i="3"/>
  <c r="F940" i="3"/>
  <c r="E940" i="3"/>
  <c r="D940" i="3"/>
  <c r="I939" i="3"/>
  <c r="H939" i="3"/>
  <c r="G939" i="3"/>
  <c r="F939" i="3"/>
  <c r="E939" i="3"/>
  <c r="D939" i="3"/>
  <c r="I938" i="3"/>
  <c r="H938" i="3"/>
  <c r="G938" i="3"/>
  <c r="F938" i="3"/>
  <c r="E938" i="3"/>
  <c r="D938" i="3"/>
  <c r="I937" i="3"/>
  <c r="H937" i="3"/>
  <c r="G937" i="3"/>
  <c r="F937" i="3"/>
  <c r="E937" i="3"/>
  <c r="D937" i="3"/>
  <c r="I936" i="3"/>
  <c r="H936" i="3"/>
  <c r="G936" i="3"/>
  <c r="F936" i="3"/>
  <c r="E936" i="3"/>
  <c r="D936" i="3"/>
  <c r="I935" i="3"/>
  <c r="H935" i="3"/>
  <c r="G935" i="3"/>
  <c r="F935" i="3"/>
  <c r="E935" i="3"/>
  <c r="D935" i="3"/>
  <c r="I934" i="3"/>
  <c r="H934" i="3"/>
  <c r="G934" i="3"/>
  <c r="F934" i="3"/>
  <c r="E934" i="3"/>
  <c r="D934" i="3"/>
  <c r="I933" i="3"/>
  <c r="H933" i="3"/>
  <c r="G933" i="3"/>
  <c r="F933" i="3"/>
  <c r="E933" i="3"/>
  <c r="D933" i="3"/>
  <c r="I932" i="3"/>
  <c r="H932" i="3"/>
  <c r="G932" i="3"/>
  <c r="F932" i="3"/>
  <c r="E932" i="3"/>
  <c r="D932" i="3"/>
  <c r="I931" i="3"/>
  <c r="H931" i="3"/>
  <c r="G931" i="3"/>
  <c r="F931" i="3"/>
  <c r="E931" i="3"/>
  <c r="D931" i="3"/>
  <c r="I930" i="3"/>
  <c r="H930" i="3"/>
  <c r="G930" i="3"/>
  <c r="F930" i="3"/>
  <c r="E930" i="3"/>
  <c r="D930" i="3"/>
  <c r="I929" i="3"/>
  <c r="H929" i="3"/>
  <c r="G929" i="3"/>
  <c r="F929" i="3"/>
  <c r="E929" i="3"/>
  <c r="D929" i="3"/>
  <c r="I928" i="3"/>
  <c r="H928" i="3"/>
  <c r="G928" i="3"/>
  <c r="F928" i="3"/>
  <c r="E928" i="3"/>
  <c r="D928" i="3"/>
  <c r="I927" i="3"/>
  <c r="H927" i="3"/>
  <c r="G927" i="3"/>
  <c r="F927" i="3"/>
  <c r="E927" i="3"/>
  <c r="D927" i="3"/>
  <c r="I926" i="3"/>
  <c r="H926" i="3"/>
  <c r="G926" i="3"/>
  <c r="F926" i="3"/>
  <c r="E926" i="3"/>
  <c r="D926" i="3"/>
  <c r="I925" i="3"/>
  <c r="H925" i="3"/>
  <c r="G925" i="3"/>
  <c r="F925" i="3"/>
  <c r="E925" i="3"/>
  <c r="D925" i="3"/>
  <c r="I924" i="3"/>
  <c r="H924" i="3"/>
  <c r="G924" i="3"/>
  <c r="F924" i="3"/>
  <c r="E924" i="3"/>
  <c r="D924" i="3"/>
  <c r="I923" i="3"/>
  <c r="H923" i="3"/>
  <c r="G923" i="3"/>
  <c r="F923" i="3"/>
  <c r="E923" i="3"/>
  <c r="D923" i="3"/>
  <c r="I922" i="3"/>
  <c r="H922" i="3"/>
  <c r="G922" i="3"/>
  <c r="F922" i="3"/>
  <c r="E922" i="3"/>
  <c r="D922" i="3"/>
  <c r="I921" i="3"/>
  <c r="H921" i="3"/>
  <c r="G921" i="3"/>
  <c r="F921" i="3"/>
  <c r="E921" i="3"/>
  <c r="D921" i="3"/>
  <c r="I920" i="3"/>
  <c r="H920" i="3"/>
  <c r="G920" i="3"/>
  <c r="F920" i="3"/>
  <c r="E920" i="3"/>
  <c r="D920" i="3"/>
  <c r="I919" i="3"/>
  <c r="H919" i="3"/>
  <c r="G919" i="3"/>
  <c r="F919" i="3"/>
  <c r="E919" i="3"/>
  <c r="D919" i="3"/>
  <c r="I918" i="3"/>
  <c r="H918" i="3"/>
  <c r="G918" i="3"/>
  <c r="F918" i="3"/>
  <c r="E918" i="3"/>
  <c r="D918" i="3"/>
  <c r="I917" i="3"/>
  <c r="H917" i="3"/>
  <c r="G917" i="3"/>
  <c r="F917" i="3"/>
  <c r="E917" i="3"/>
  <c r="D917" i="3"/>
  <c r="I916" i="3"/>
  <c r="H916" i="3"/>
  <c r="G916" i="3"/>
  <c r="F916" i="3"/>
  <c r="E916" i="3"/>
  <c r="D916" i="3"/>
  <c r="I915" i="3"/>
  <c r="H915" i="3"/>
  <c r="G915" i="3"/>
  <c r="F915" i="3"/>
  <c r="E915" i="3"/>
  <c r="D915" i="3"/>
  <c r="I914" i="3"/>
  <c r="H914" i="3"/>
  <c r="G914" i="3"/>
  <c r="F914" i="3"/>
  <c r="E914" i="3"/>
  <c r="D914" i="3"/>
  <c r="I913" i="3"/>
  <c r="H913" i="3"/>
  <c r="G913" i="3"/>
  <c r="F913" i="3"/>
  <c r="E913" i="3"/>
  <c r="D913" i="3"/>
  <c r="I912" i="3"/>
  <c r="H912" i="3"/>
  <c r="G912" i="3"/>
  <c r="F912" i="3"/>
  <c r="E912" i="3"/>
  <c r="D912" i="3"/>
  <c r="I911" i="3"/>
  <c r="H911" i="3"/>
  <c r="G911" i="3"/>
  <c r="F911" i="3"/>
  <c r="E911" i="3"/>
  <c r="D911" i="3"/>
  <c r="I910" i="3"/>
  <c r="H910" i="3"/>
  <c r="G910" i="3"/>
  <c r="F910" i="3"/>
  <c r="E910" i="3"/>
  <c r="D910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<sst xmlns="http://schemas.openxmlformats.org/spreadsheetml/2006/main" count="8239" uniqueCount="1381">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</sst>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12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43" fontId="0" fillId="0" borderId="1" xfId="3" applyFont="1" applyBorder="1"/>
    <xf numFmtId="1" fontId="0" fillId="0" borderId="0" xfId="0" applyNumberFormat="1" applyAlignment="1">
      <alignment horizontal="right"/>
    </xf>
    <xf numFmtId="43" fontId="0" fillId="0" borderId="0" xfId="3" applyFont="1"/>
    <xf numFmtId="2" fontId="0" fillId="0" borderId="0" xfId="0" applyNumberFormat="1"/>
    <xf numFmtId="43" fontId="0" fillId="0" borderId="0" xfId="4" applyFont="1"/>
    <xf numFmtId="0" fontId="0" fillId="0" borderId="1" xfId="0" applyBorder="1" applyAlignment="1">
      <alignment horizontal="center" vertical="center"/>
    </xf>
    <xf numFmtId="43" fontId="0" fillId="0" borderId="1" xfId="0" applyNumberForma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57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5" zoomScale="93" zoomScaleNormal="146" workbookViewId="0">
      <selection activeCell="S25" sqref="S25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94">
        <f ca="1">TODAY()</f>
        <v>46118</v>
      </c>
      <c r="C1" s="94"/>
      <c r="D1" s="94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0">IF(P7="","",$B$1-P7)</f>
        <v>131</v>
      </c>
      <c r="R6" s="25">
        <f t="shared" ca="1" si="0"/>
        <v>131</v>
      </c>
      <c r="S6" s="25">
        <f t="shared" ca="1" si="0"/>
        <v>131</v>
      </c>
      <c r="T6" s="25">
        <f t="shared" ca="1" si="0"/>
        <v>131</v>
      </c>
      <c r="U6" s="25">
        <f t="shared" ca="1" si="0"/>
        <v>132</v>
      </c>
      <c r="V6" s="25">
        <f ca="1">IF(V7="","",$B$1-V7)</f>
        <v>132</v>
      </c>
      <c r="W6" s="25">
        <f ca="1">IF(W7="","",$B$1-W7)</f>
        <v>132</v>
      </c>
      <c r="X6" s="25">
        <f ca="1">IF(X7="","",$B$1-X7)</f>
        <v>132</v>
      </c>
      <c r="Y6" s="55"/>
    </row>
    <row r="7" spans="1:25" ht="38.25" customHeight="1" x14ac:dyDescent="0.25">
      <c r="B7" s="95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96"/>
      <c r="Y8" s="55"/>
    </row>
    <row r="9" spans="1:25" x14ac:dyDescent="0.25">
      <c r="B9" s="96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7"/>
      <c r="C10" s="31">
        <f t="shared" ref="C10:H10" ca="1" si="1">IF(C11="","",$B$1-C11)</f>
        <v>136</v>
      </c>
      <c r="D10" s="25">
        <f t="shared" ca="1" si="1"/>
        <v>136</v>
      </c>
      <c r="E10" s="25">
        <f t="shared" ca="1" si="1"/>
        <v>136</v>
      </c>
      <c r="F10" s="25">
        <f t="shared" ca="1" si="1"/>
        <v>136</v>
      </c>
      <c r="G10" s="25">
        <f t="shared" ca="1" si="1"/>
        <v>136</v>
      </c>
      <c r="H10" s="25">
        <f t="shared" ca="1" si="1"/>
        <v>136</v>
      </c>
      <c r="J10" s="25">
        <f t="shared" ref="J10:P10" ca="1" si="2">IF(J11="","",$B$1-J11)</f>
        <v>136</v>
      </c>
      <c r="K10" s="25">
        <f t="shared" ca="1" si="2"/>
        <v>134</v>
      </c>
      <c r="L10" s="25">
        <f t="shared" ca="1" si="2"/>
        <v>134</v>
      </c>
      <c r="M10" s="25">
        <f t="shared" ca="1" si="2"/>
        <v>134</v>
      </c>
      <c r="N10" s="25">
        <f t="shared" ca="1" si="2"/>
        <v>134</v>
      </c>
      <c r="O10" s="25">
        <f t="shared" ca="1" si="2"/>
        <v>134</v>
      </c>
      <c r="P10" s="25">
        <f t="shared" ca="1" si="2"/>
        <v>134</v>
      </c>
      <c r="R10" s="25">
        <f t="shared" ref="R10:W10" ca="1" si="3">IF(R11="","",$B$1-R11)</f>
        <v>134</v>
      </c>
      <c r="S10" s="25">
        <f t="shared" ca="1" si="3"/>
        <v>133</v>
      </c>
      <c r="T10" s="25">
        <f t="shared" ca="1" si="3"/>
        <v>133</v>
      </c>
      <c r="U10" s="25">
        <f t="shared" ca="1" si="3"/>
        <v>132</v>
      </c>
      <c r="V10" s="25">
        <f t="shared" ca="1" si="3"/>
        <v>132</v>
      </c>
      <c r="W10" s="25">
        <f t="shared" ca="1" si="3"/>
        <v>132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4">IF(C15="","",$B$1-C15)</f>
        <v>137</v>
      </c>
      <c r="D14" s="25">
        <f t="shared" ca="1" si="4"/>
        <v>137</v>
      </c>
      <c r="E14" s="25">
        <f t="shared" ca="1" si="4"/>
        <v>137</v>
      </c>
      <c r="F14" s="25">
        <f t="shared" ca="1" si="4"/>
        <v>137</v>
      </c>
      <c r="G14" s="25">
        <f t="shared" ca="1" si="4"/>
        <v>137</v>
      </c>
      <c r="H14" s="25">
        <f t="shared" ca="1" si="4"/>
        <v>137</v>
      </c>
      <c r="J14" s="25">
        <f t="shared" ref="J14:P14" ca="1" si="5">IF(J15="","",$B$1-J15)</f>
        <v>137</v>
      </c>
      <c r="K14" s="25">
        <f t="shared" ca="1" si="5"/>
        <v>135</v>
      </c>
      <c r="L14" s="25">
        <f t="shared" ca="1" si="5"/>
        <v>135</v>
      </c>
      <c r="M14" s="25">
        <f t="shared" ca="1" si="5"/>
        <v>135</v>
      </c>
      <c r="N14" s="25">
        <f t="shared" ca="1" si="5"/>
        <v>135</v>
      </c>
      <c r="O14" s="25">
        <f t="shared" ca="1" si="5"/>
        <v>135</v>
      </c>
      <c r="P14" s="25">
        <f t="shared" ca="1" si="5"/>
        <v>135</v>
      </c>
      <c r="R14" s="25">
        <f t="shared" ref="R14:W14" ca="1" si="6">IF(R15="","",$B$1-R15)</f>
        <v>135</v>
      </c>
      <c r="S14" s="25">
        <f t="shared" ca="1" si="6"/>
        <v>133</v>
      </c>
      <c r="T14" s="25">
        <f t="shared" ca="1" si="6"/>
        <v>133</v>
      </c>
      <c r="U14" s="25">
        <f t="shared" ca="1" si="6"/>
        <v>133</v>
      </c>
      <c r="V14" s="25">
        <f t="shared" ca="1" si="6"/>
        <v>133</v>
      </c>
      <c r="W14" s="25">
        <f t="shared" ca="1" si="6"/>
        <v>133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 t="str">
        <f>IF(J21="","",$B$1-J21)</f>
        <v/>
      </c>
      <c r="K20" s="25" t="str">
        <f>IF(K21="","",$B$1-K21)</f>
        <v/>
      </c>
      <c r="X20" s="25"/>
      <c r="AF20" s="25"/>
      <c r="AG20" s="25"/>
      <c r="AH20" s="25" t="str">
        <f>IF(AH21="","",$B$1-AH21)</f>
        <v/>
      </c>
      <c r="AI20" s="25" t="str">
        <f>IF(AI21="","",$B$1-AI21)</f>
        <v/>
      </c>
      <c r="AJ20" s="55"/>
    </row>
    <row r="21" spans="1:44" ht="30" x14ac:dyDescent="0.25">
      <c r="B21" s="54"/>
      <c r="J21" s="60"/>
      <c r="K21" s="60"/>
      <c r="X21" s="61" t="s">
        <v>124</v>
      </c>
      <c r="AF21" s="62" t="s">
        <v>121</v>
      </c>
      <c r="AG21" s="62" t="s">
        <v>121</v>
      </c>
      <c r="AH21" s="60"/>
      <c r="AI21" s="60"/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>
        <f t="shared" ref="C24:H24" ca="1" si="7">IF(C25="","",$B$1-C25)</f>
        <v>71</v>
      </c>
      <c r="D24" s="25">
        <f t="shared" ca="1" si="7"/>
        <v>71</v>
      </c>
      <c r="E24" s="25">
        <f t="shared" ca="1" si="7"/>
        <v>71</v>
      </c>
      <c r="F24" s="25">
        <f t="shared" ca="1" si="7"/>
        <v>71</v>
      </c>
      <c r="G24" s="25">
        <f t="shared" ca="1" si="7"/>
        <v>71</v>
      </c>
      <c r="H24" s="25">
        <f t="shared" ca="1" si="7"/>
        <v>71</v>
      </c>
      <c r="J24" s="25">
        <f ca="1">IF(J25="","",$B$1-J25)</f>
        <v>71</v>
      </c>
      <c r="K24" s="25">
        <f t="shared" ref="K24:AI24" ca="1" si="8">IF(K25="","",$B$1-K25)</f>
        <v>67</v>
      </c>
      <c r="L24" s="25">
        <f t="shared" ca="1" si="8"/>
        <v>67</v>
      </c>
      <c r="M24" s="25">
        <f t="shared" ca="1" si="8"/>
        <v>67</v>
      </c>
      <c r="N24" s="25">
        <f t="shared" ca="1" si="8"/>
        <v>67</v>
      </c>
      <c r="O24" s="25">
        <f t="shared" ca="1" si="8"/>
        <v>67</v>
      </c>
      <c r="P24" s="25">
        <f t="shared" ca="1" si="8"/>
        <v>67</v>
      </c>
      <c r="R24" s="25">
        <f t="shared" ca="1" si="8"/>
        <v>67</v>
      </c>
      <c r="S24" s="25" t="str">
        <f t="shared" si="8"/>
        <v/>
      </c>
      <c r="T24" s="25" t="str">
        <f t="shared" si="8"/>
        <v/>
      </c>
      <c r="U24" s="25" t="str">
        <f t="shared" si="8"/>
        <v/>
      </c>
      <c r="V24" s="25" t="str">
        <f t="shared" si="8"/>
        <v/>
      </c>
      <c r="W24" s="25" t="str">
        <f t="shared" si="8"/>
        <v/>
      </c>
      <c r="X24" s="25" t="str">
        <f t="shared" si="8"/>
        <v/>
      </c>
      <c r="Z24" s="25" t="str">
        <f t="shared" si="8"/>
        <v/>
      </c>
      <c r="AA24" s="25" t="str">
        <f t="shared" si="8"/>
        <v/>
      </c>
      <c r="AB24" s="25" t="str">
        <f t="shared" si="8"/>
        <v/>
      </c>
      <c r="AC24" s="25" t="str">
        <f t="shared" si="8"/>
        <v/>
      </c>
      <c r="AD24" s="25" t="str">
        <f t="shared" si="8"/>
        <v/>
      </c>
      <c r="AE24" s="25" t="str">
        <f t="shared" si="8"/>
        <v/>
      </c>
      <c r="AF24" s="25" t="str">
        <f t="shared" si="8"/>
        <v/>
      </c>
      <c r="AG24" s="25" t="str">
        <f t="shared" si="8"/>
        <v/>
      </c>
      <c r="AH24" s="25" t="str">
        <f t="shared" si="8"/>
        <v/>
      </c>
      <c r="AI24" s="25" t="str">
        <f t="shared" si="8"/>
        <v/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>
        <v>46047</v>
      </c>
      <c r="D25" s="60">
        <v>46047</v>
      </c>
      <c r="E25" s="60">
        <v>46047</v>
      </c>
      <c r="F25" s="60">
        <v>46047</v>
      </c>
      <c r="G25" s="60">
        <v>46047</v>
      </c>
      <c r="H25" s="60">
        <v>46047</v>
      </c>
      <c r="J25" s="60">
        <v>46047</v>
      </c>
      <c r="K25" s="60">
        <v>46051</v>
      </c>
      <c r="L25" s="60">
        <v>46051</v>
      </c>
      <c r="M25" s="60">
        <v>46051</v>
      </c>
      <c r="N25" s="60">
        <v>46051</v>
      </c>
      <c r="O25" s="60">
        <v>46051</v>
      </c>
      <c r="P25" s="60">
        <v>46051</v>
      </c>
      <c r="R25" s="60">
        <v>46051</v>
      </c>
      <c r="S25" s="60"/>
      <c r="T25" s="60"/>
      <c r="U25" s="60"/>
      <c r="V25" s="60"/>
      <c r="W25" s="60"/>
      <c r="X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 t="str">
        <f t="shared" ref="C28:H28" si="9">IF(C29="","",$B$1-C29)</f>
        <v/>
      </c>
      <c r="D28" s="25" t="str">
        <f t="shared" si="9"/>
        <v/>
      </c>
      <c r="E28" s="25" t="str">
        <f t="shared" si="9"/>
        <v/>
      </c>
      <c r="F28" s="25" t="str">
        <f t="shared" si="9"/>
        <v/>
      </c>
      <c r="G28" s="25" t="str">
        <f t="shared" si="9"/>
        <v/>
      </c>
      <c r="H28" s="25" t="str">
        <f t="shared" si="9"/>
        <v/>
      </c>
      <c r="J28" s="25" t="str">
        <f>IF(J29="","",$B$1-J29)</f>
        <v/>
      </c>
      <c r="K28" s="25">
        <f t="shared" ref="K28:P28" ca="1" si="10">IF(K29="","",$B$1-K29)</f>
        <v>72</v>
      </c>
      <c r="L28" s="25">
        <f t="shared" ca="1" si="10"/>
        <v>72</v>
      </c>
      <c r="M28" s="25">
        <f t="shared" ca="1" si="10"/>
        <v>72</v>
      </c>
      <c r="N28" s="25">
        <f t="shared" ca="1" si="10"/>
        <v>72</v>
      </c>
      <c r="O28" s="25">
        <f t="shared" ca="1" si="10"/>
        <v>72</v>
      </c>
      <c r="P28" s="25">
        <f t="shared" ca="1" si="10"/>
        <v>72</v>
      </c>
      <c r="R28" s="25">
        <f t="shared" ref="R28:X28" ca="1" si="11">IF(R29="","",$B$1-R29)</f>
        <v>72</v>
      </c>
      <c r="S28" s="25" t="str">
        <f>IF(S29="","",$B$1-S29)</f>
        <v/>
      </c>
      <c r="T28" s="25" t="str">
        <f>IF(T29="","",$B$1-T29)</f>
        <v/>
      </c>
      <c r="U28" s="25" t="str">
        <f>IF(U29="","",$B$1-U29)</f>
        <v/>
      </c>
      <c r="V28" s="25" t="str">
        <f>IF(V29="","",$B$1-V29)</f>
        <v/>
      </c>
      <c r="W28" s="25" t="str">
        <f t="shared" si="11"/>
        <v/>
      </c>
      <c r="X28" s="25" t="str">
        <f t="shared" si="11"/>
        <v/>
      </c>
      <c r="Z28" s="25" t="str">
        <f t="shared" ref="Z28:AI28" si="12">IF(Z29="","",$B$1-Z29)</f>
        <v/>
      </c>
      <c r="AA28" s="25" t="str">
        <f t="shared" si="12"/>
        <v/>
      </c>
      <c r="AB28" s="25" t="str">
        <f t="shared" si="12"/>
        <v/>
      </c>
      <c r="AC28" s="25" t="str">
        <f t="shared" si="12"/>
        <v/>
      </c>
      <c r="AD28" s="25" t="str">
        <f t="shared" si="12"/>
        <v/>
      </c>
      <c r="AE28" s="25" t="str">
        <f t="shared" si="12"/>
        <v/>
      </c>
      <c r="AF28" s="25" t="str">
        <f t="shared" si="12"/>
        <v/>
      </c>
      <c r="AG28" s="25" t="str">
        <f t="shared" si="12"/>
        <v/>
      </c>
      <c r="AH28" s="25" t="str">
        <f t="shared" si="12"/>
        <v/>
      </c>
      <c r="AI28" s="25" t="str">
        <f t="shared" si="12"/>
        <v/>
      </c>
      <c r="AJ28" s="55"/>
    </row>
    <row r="29" spans="1:44" ht="39.950000000000003" customHeight="1" thickBot="1" x14ac:dyDescent="0.3">
      <c r="B29" s="54"/>
      <c r="C29" s="60"/>
      <c r="D29" s="60"/>
      <c r="E29" s="60"/>
      <c r="F29" s="60"/>
      <c r="G29" s="60"/>
      <c r="H29" s="60"/>
      <c r="J29" s="60"/>
      <c r="K29" s="60">
        <v>46046</v>
      </c>
      <c r="L29" s="60">
        <v>46046</v>
      </c>
      <c r="M29" s="60">
        <v>46046</v>
      </c>
      <c r="N29" s="60">
        <v>46046</v>
      </c>
      <c r="O29" s="60">
        <v>46046</v>
      </c>
      <c r="P29" s="60">
        <v>46046</v>
      </c>
      <c r="R29" s="60">
        <v>46046</v>
      </c>
      <c r="S29" s="60"/>
      <c r="T29" s="60"/>
      <c r="U29" s="60"/>
      <c r="V29" s="60"/>
      <c r="W29" s="60"/>
      <c r="X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55"/>
    </row>
    <row r="30" spans="1:44" ht="15.75" thickBot="1" x14ac:dyDescent="0.3">
      <c r="B30" s="54"/>
      <c r="H30" s="98" t="s">
        <v>184</v>
      </c>
      <c r="I30" s="99"/>
      <c r="J30" s="100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94">
        <v>45978</v>
      </c>
      <c r="C36" s="94"/>
      <c r="D36" s="94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3">IF(C42="","",$B$1-C42)</f>
        <v>146</v>
      </c>
      <c r="D41" s="25">
        <f t="shared" ca="1" si="13"/>
        <v>146</v>
      </c>
      <c r="E41" s="25">
        <f t="shared" ca="1" si="13"/>
        <v>146</v>
      </c>
      <c r="F41" s="25">
        <f t="shared" ca="1" si="13"/>
        <v>146</v>
      </c>
      <c r="G41" s="25">
        <f t="shared" ca="1" si="13"/>
        <v>145</v>
      </c>
      <c r="H41" s="25">
        <f t="shared" ca="1" si="13"/>
        <v>145</v>
      </c>
      <c r="J41" s="25">
        <f t="shared" ca="1" si="13"/>
        <v>145</v>
      </c>
      <c r="K41" s="25">
        <f t="shared" ca="1" si="13"/>
        <v>145</v>
      </c>
      <c r="L41" s="25">
        <f t="shared" ca="1" si="13"/>
        <v>145</v>
      </c>
      <c r="M41" s="25">
        <f t="shared" ca="1" si="13"/>
        <v>145</v>
      </c>
      <c r="N41" s="25">
        <f t="shared" ca="1" si="13"/>
        <v>145</v>
      </c>
      <c r="O41" s="25" t="str">
        <f t="shared" si="13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148</v>
      </c>
      <c r="D45" s="25">
        <f ca="1">IF(D46="","",$B$1-D46)</f>
        <v>148</v>
      </c>
      <c r="E45" s="25">
        <f ca="1">IF(E46="","",$B$1-E46)</f>
        <v>147</v>
      </c>
      <c r="F45" s="25">
        <f ca="1">IF(F46="","",$B$1-F46)</f>
        <v>147</v>
      </c>
      <c r="H45" s="25">
        <f ca="1">IF(H46="","",$B$1-H46)</f>
        <v>147</v>
      </c>
      <c r="J45" s="25">
        <f t="shared" ref="J45:P45" ca="1" si="14">IF(J46="","",$B$1-J46)</f>
        <v>147</v>
      </c>
      <c r="K45" s="25">
        <f t="shared" ca="1" si="14"/>
        <v>147</v>
      </c>
      <c r="L45" s="25">
        <f t="shared" ca="1" si="14"/>
        <v>147</v>
      </c>
      <c r="M45" s="25">
        <f t="shared" ca="1" si="14"/>
        <v>147</v>
      </c>
      <c r="N45" s="25">
        <f t="shared" ca="1" si="14"/>
        <v>146</v>
      </c>
      <c r="O45" s="25">
        <f t="shared" ca="1" si="14"/>
        <v>146</v>
      </c>
      <c r="P45" s="25">
        <f t="shared" ca="1" si="14"/>
        <v>146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149</v>
      </c>
      <c r="D49" s="25">
        <f ca="1">IF(D50="","",$B$1-D50)</f>
        <v>149</v>
      </c>
      <c r="E49" s="25">
        <f ca="1">IF(E50="","",$B$1-E50)</f>
        <v>149</v>
      </c>
      <c r="F49" s="25">
        <f ca="1">IF(F50="","",$B$1-F50)</f>
        <v>149</v>
      </c>
      <c r="H49" s="25">
        <f ca="1">IF(H50="","",$B$1-H50)</f>
        <v>149</v>
      </c>
      <c r="J49" s="25">
        <f t="shared" ref="J49:P49" ca="1" si="15">IF(J50="","",$B$1-J50)</f>
        <v>149</v>
      </c>
      <c r="K49" s="25">
        <f t="shared" ca="1" si="15"/>
        <v>149</v>
      </c>
      <c r="L49" s="25">
        <f t="shared" ca="1" si="15"/>
        <v>148</v>
      </c>
      <c r="M49" s="25">
        <f t="shared" ca="1" si="15"/>
        <v>148</v>
      </c>
      <c r="N49" s="25">
        <f t="shared" ca="1" si="15"/>
        <v>148</v>
      </c>
      <c r="O49" s="25">
        <f t="shared" ca="1" si="15"/>
        <v>148</v>
      </c>
      <c r="P49" s="25">
        <f t="shared" ca="1" si="15"/>
        <v>148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8" t="s">
        <v>184</v>
      </c>
      <c r="G51" s="99"/>
      <c r="H51" s="100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6">IF(C59="","",$B$1-C59)</f>
        <v>141</v>
      </c>
      <c r="D58" s="25">
        <f t="shared" ca="1" si="16"/>
        <v>141</v>
      </c>
      <c r="E58" s="25">
        <f t="shared" ca="1" si="16"/>
        <v>141</v>
      </c>
      <c r="F58" s="25">
        <f t="shared" ca="1" si="16"/>
        <v>141</v>
      </c>
      <c r="G58" s="25">
        <f t="shared" ca="1" si="16"/>
        <v>141</v>
      </c>
      <c r="H58" s="25">
        <f t="shared" ca="1" si="16"/>
        <v>141</v>
      </c>
      <c r="J58" s="25">
        <f t="shared" ref="J58:P58" ca="1" si="17">IF(J59="","",$B$1-J59)</f>
        <v>141</v>
      </c>
      <c r="K58" s="25">
        <f t="shared" ca="1" si="17"/>
        <v>140</v>
      </c>
      <c r="L58" s="25">
        <f t="shared" ca="1" si="17"/>
        <v>140</v>
      </c>
      <c r="M58" s="25">
        <f t="shared" ca="1" si="17"/>
        <v>140</v>
      </c>
      <c r="N58" s="25">
        <f t="shared" ca="1" si="17"/>
        <v>140</v>
      </c>
      <c r="O58" s="25">
        <f t="shared" ca="1" si="17"/>
        <v>140</v>
      </c>
      <c r="P58" s="25">
        <f t="shared" ca="1" si="17"/>
        <v>140</v>
      </c>
      <c r="R58" s="25">
        <f t="shared" ref="R58:X58" ca="1" si="18">IF(R59="","",$B$1-R59)</f>
        <v>140</v>
      </c>
      <c r="S58" s="25">
        <f t="shared" ca="1" si="18"/>
        <v>139</v>
      </c>
      <c r="T58" s="25">
        <f t="shared" ca="1" si="18"/>
        <v>139</v>
      </c>
      <c r="U58" s="25">
        <f t="shared" ca="1" si="18"/>
        <v>139</v>
      </c>
      <c r="V58" s="25">
        <f t="shared" ca="1" si="18"/>
        <v>139</v>
      </c>
      <c r="W58" s="25">
        <f t="shared" ca="1" si="18"/>
        <v>139</v>
      </c>
      <c r="X58" s="25">
        <f t="shared" ca="1" si="18"/>
        <v>139</v>
      </c>
      <c r="Z58" s="25">
        <f ca="1">IF(Z59="","",$B$1-Z59)</f>
        <v>139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95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96"/>
      <c r="AC60" s="55"/>
    </row>
    <row r="61" spans="1:29" x14ac:dyDescent="0.25">
      <c r="B61" s="96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7"/>
      <c r="C62" s="25" t="str">
        <f t="shared" ref="C62:H62" si="19">IF(C63="","",$B$1-C63)</f>
        <v/>
      </c>
      <c r="D62" s="25">
        <f t="shared" ca="1" si="19"/>
        <v>142</v>
      </c>
      <c r="E62" s="25">
        <f t="shared" ca="1" si="19"/>
        <v>142</v>
      </c>
      <c r="F62" s="25">
        <f t="shared" ca="1" si="19"/>
        <v>142</v>
      </c>
      <c r="G62" s="25">
        <f t="shared" ca="1" si="19"/>
        <v>142</v>
      </c>
      <c r="H62" s="25">
        <f t="shared" ca="1" si="19"/>
        <v>142</v>
      </c>
      <c r="J62" s="25">
        <f t="shared" ref="J62:P62" ca="1" si="20">IF(J63="","",$B$1-J63)</f>
        <v>142</v>
      </c>
      <c r="K62" s="25">
        <f t="shared" ca="1" si="20"/>
        <v>142</v>
      </c>
      <c r="L62" s="25">
        <f t="shared" ca="1" si="20"/>
        <v>142</v>
      </c>
      <c r="M62" s="25">
        <f t="shared" ca="1" si="20"/>
        <v>143</v>
      </c>
      <c r="N62" s="25">
        <f t="shared" ca="1" si="20"/>
        <v>143</v>
      </c>
      <c r="O62" s="25">
        <f t="shared" ca="1" si="20"/>
        <v>143</v>
      </c>
      <c r="P62" s="25">
        <f t="shared" ca="1" si="20"/>
        <v>143</v>
      </c>
      <c r="R62" s="25">
        <f t="shared" ref="R62:X62" ca="1" si="21">IF(R63="","",$B$1-R63)</f>
        <v>143</v>
      </c>
      <c r="S62" s="25">
        <f t="shared" ca="1" si="21"/>
        <v>143</v>
      </c>
      <c r="T62" s="25">
        <f t="shared" ca="1" si="21"/>
        <v>143</v>
      </c>
      <c r="U62" s="25">
        <f t="shared" ca="1" si="21"/>
        <v>144</v>
      </c>
      <c r="V62" s="25">
        <f t="shared" ca="1" si="21"/>
        <v>144</v>
      </c>
      <c r="W62" s="25">
        <f t="shared" ca="1" si="21"/>
        <v>144</v>
      </c>
      <c r="X62" s="25">
        <f t="shared" ca="1" si="21"/>
        <v>144</v>
      </c>
      <c r="Z62" s="25">
        <f ca="1">IF(Z63="","",$B$1-Z63)</f>
        <v>144</v>
      </c>
      <c r="AA62" s="25">
        <f ca="1">IF(AA63="","",$B$1-AA63)</f>
        <v>144</v>
      </c>
      <c r="AB62" s="25">
        <f ca="1">IF(AB63="","",$B$1-AB63)</f>
        <v>144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2">IF(C72="","",$B$1-C72)</f>
        <v>127</v>
      </c>
      <c r="D71" s="25">
        <f t="shared" ca="1" si="22"/>
        <v>127</v>
      </c>
      <c r="E71" s="25">
        <f t="shared" ca="1" si="22"/>
        <v>127</v>
      </c>
      <c r="F71" s="25">
        <f t="shared" ca="1" si="22"/>
        <v>128</v>
      </c>
      <c r="G71" s="25">
        <f t="shared" ca="1" si="22"/>
        <v>128</v>
      </c>
      <c r="H71" s="25">
        <f t="shared" ca="1" si="22"/>
        <v>128</v>
      </c>
      <c r="J71" s="25">
        <f ca="1">IF(J72="","",$B$1-J72)</f>
        <v>128</v>
      </c>
      <c r="K71" s="25">
        <f t="shared" ref="K71:P71" ca="1" si="23">IF(K72="","",$B$1-K72)</f>
        <v>128</v>
      </c>
      <c r="L71" s="25">
        <f t="shared" ca="1" si="23"/>
        <v>128</v>
      </c>
      <c r="M71" s="25">
        <f t="shared" ca="1" si="23"/>
        <v>128</v>
      </c>
      <c r="N71" s="25">
        <f t="shared" ca="1" si="23"/>
        <v>129</v>
      </c>
      <c r="O71" s="25">
        <f t="shared" ca="1" si="23"/>
        <v>129</v>
      </c>
      <c r="P71" s="25">
        <f t="shared" ca="1" si="23"/>
        <v>129</v>
      </c>
      <c r="R71" s="25">
        <f t="shared" ref="R71:X71" ca="1" si="24">IF(R72="","",$B$1-R72)</f>
        <v>129</v>
      </c>
      <c r="S71" s="25">
        <f t="shared" ca="1" si="24"/>
        <v>129</v>
      </c>
      <c r="T71" s="25">
        <f t="shared" ca="1" si="24"/>
        <v>129</v>
      </c>
      <c r="U71" s="25">
        <f t="shared" ca="1" si="24"/>
        <v>129</v>
      </c>
      <c r="V71" s="25">
        <f t="shared" ca="1" si="24"/>
        <v>130</v>
      </c>
      <c r="W71" s="25">
        <f t="shared" ca="1" si="24"/>
        <v>130</v>
      </c>
      <c r="X71" s="25">
        <f t="shared" ca="1" si="24"/>
        <v>130</v>
      </c>
      <c r="Z71" s="25">
        <f ca="1">IF(Z72="","",$B$1-Z72)</f>
        <v>130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91" t="s">
        <v>196</v>
      </c>
    </row>
    <row r="73" spans="1:28" x14ac:dyDescent="0.25">
      <c r="B73" s="54"/>
      <c r="AB73" s="92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92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93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56" priority="129">
      <formula>LEN(TRIM(C72))=0</formula>
    </cfRule>
    <cfRule type="notContainsBlanks" dxfId="1255" priority="130">
      <formula>LEN(TRIM(C72))&gt;0</formula>
    </cfRule>
  </conditionalFormatting>
  <conditionalFormatting sqref="C10:F10 C14:H14 J14:P14">
    <cfRule type="dataBar" priority="2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containsBlanks" dxfId="1254" priority="95">
      <formula>LEN(TRIM(C42))=0</formula>
    </cfRule>
    <cfRule type="notContainsBlanks" dxfId="1253" priority="98">
      <formula>LEN(TRIM(C42))&gt;0</formula>
    </cfRule>
    <cfRule type="notContainsBlanks" dxfId="1252" priority="96">
      <formula>LEN(TRIM(C42))&gt;0</formula>
    </cfRule>
    <cfRule type="containsBlanks" dxfId="1251" priority="97">
      <formula>LEN(TRIM(C42))=0</formula>
    </cfRule>
  </conditionalFormatting>
  <conditionalFormatting sqref="C46:F46">
    <cfRule type="notContainsBlanks" dxfId="1250" priority="110">
      <formula>LEN(TRIM(C46))&gt;0</formula>
    </cfRule>
    <cfRule type="containsBlanks" dxfId="1249" priority="109">
      <formula>LEN(TRIM(C46))=0</formula>
    </cfRule>
  </conditionalFormatting>
  <conditionalFormatting sqref="C50:F50">
    <cfRule type="notContainsBlanks" dxfId="1248" priority="250">
      <formula>LEN(TRIM(C50))&gt;0</formula>
    </cfRule>
    <cfRule type="containsBlanks" dxfId="1247" priority="249">
      <formula>LEN(TRIM(C50))=0</formula>
    </cfRule>
  </conditionalFormatting>
  <conditionalFormatting sqref="C6:G6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46" priority="197">
      <formula>LEN(TRIM(C7))&gt;0</formula>
    </cfRule>
    <cfRule type="containsBlanks" dxfId="1245" priority="196">
      <formula>LEN(TRIM(C7))=0</formula>
    </cfRule>
  </conditionalFormatting>
  <conditionalFormatting sqref="C11:H11">
    <cfRule type="containsBlanks" dxfId="1244" priority="242">
      <formula>LEN(TRIM(C11))=0</formula>
    </cfRule>
    <cfRule type="notContainsBlanks" dxfId="1243" priority="243">
      <formula>LEN(TRIM(C11))&gt;0</formula>
    </cfRule>
  </conditionalFormatting>
  <conditionalFormatting sqref="C15:H15">
    <cfRule type="notContainsBlanks" dxfId="1242" priority="62">
      <formula>LEN(TRIM(C15))&gt;0</formula>
    </cfRule>
    <cfRule type="containsBlanks" dxfId="1241" priority="61">
      <formula>LEN(TRIM(C15))=0</formula>
    </cfRule>
  </conditionalFormatting>
  <conditionalFormatting sqref="C24:H24 J24:P24 R24 AA24:AI24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1240" priority="3">
      <formula>LEN(TRIM(C25))=0</formula>
    </cfRule>
    <cfRule type="notContainsBlanks" dxfId="1239" priority="4">
      <formula>LEN(TRIM(C25))&gt;0</formula>
    </cfRule>
  </conditionalFormatting>
  <conditionalFormatting sqref="C28:H28 J28:P28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38" priority="64">
      <formula>LEN(TRIM(C29))&gt;0</formula>
    </cfRule>
    <cfRule type="containsBlanks" dxfId="1237" priority="63">
      <formula>LEN(TRIM(C29))=0</formula>
    </cfRule>
  </conditionalFormatting>
  <conditionalFormatting sqref="C41:H41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1236" priority="100">
      <formula>LEN(TRIM(C42))&gt;0</formula>
    </cfRule>
    <cfRule type="containsBlanks" dxfId="1235" priority="99">
      <formula>LEN(TRIM(C42))=0</formula>
    </cfRule>
  </conditionalFormatting>
  <conditionalFormatting sqref="C58:H58 R58:X58 Z58:AB58 J58:P58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containsBlanks" dxfId="1234" priority="163">
      <formula>LEN(TRIM(C59))=0</formula>
    </cfRule>
    <cfRule type="notContainsBlanks" dxfId="1233" priority="164">
      <formula>LEN(TRIM(C59))&gt;0</formula>
    </cfRule>
  </conditionalFormatting>
  <conditionalFormatting sqref="C62:H62 R62:X62 Z62:AB62 J62:P62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1232" priority="80">
      <formula>LEN(TRIM(C63))&gt;0</formula>
    </cfRule>
    <cfRule type="containsBlanks" dxfId="1231" priority="79">
      <formula>LEN(TRIM(C63))=0</formula>
    </cfRule>
  </conditionalFormatting>
  <conditionalFormatting sqref="C72:H72">
    <cfRule type="notContainsBlanks" dxfId="1230" priority="16">
      <formula>LEN(TRIM(C72))&gt;0</formula>
    </cfRule>
    <cfRule type="containsBlanks" dxfId="1229" priority="15">
      <formula>LEN(TRIM(C72))=0</formula>
    </cfRule>
  </conditionalFormatting>
  <conditionalFormatting sqref="C76:H76">
    <cfRule type="containsBlanks" dxfId="1228" priority="194">
      <formula>LEN(TRIM(C76))=0</formula>
    </cfRule>
    <cfRule type="notContainsBlanks" dxfId="1227" priority="195">
      <formula>LEN(TRIM(C76))&gt;0</formula>
    </cfRule>
  </conditionalFormatting>
  <conditionalFormatting sqref="D63:H63">
    <cfRule type="notContainsBlanks" dxfId="1226" priority="78">
      <formula>LEN(TRIM(D63))&gt;0</formula>
    </cfRule>
    <cfRule type="containsBlanks" dxfId="1225" priority="77">
      <formula>LEN(TRIM(D63))=0</formula>
    </cfRule>
  </conditionalFormatting>
  <conditionalFormatting sqref="E45:F45 H45 J45:P45">
    <cfRule type="dataBar" priority="2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224" priority="228">
      <formula>LEN(TRIM(E46))=0</formula>
    </cfRule>
    <cfRule type="notContainsBlanks" dxfId="1223" priority="229">
      <formula>LEN(TRIM(E46))&gt;0</formula>
    </cfRule>
  </conditionalFormatting>
  <conditionalFormatting sqref="E10:H10 J10:P10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containsBlanks" dxfId="1222" priority="13">
      <formula>LEN(TRIM(F72))=0</formula>
    </cfRule>
    <cfRule type="notContainsBlanks" dxfId="1221" priority="14">
      <formula>LEN(TRIM(F72))&gt;0</formula>
    </cfRule>
  </conditionalFormatting>
  <conditionalFormatting sqref="G10:H10 J10:P10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220" priority="183">
      <formula>LEN(TRIM(G42))&gt;0</formula>
    </cfRule>
    <cfRule type="containsBlanks" dxfId="1219" priority="182">
      <formula>LEN(TRIM(G42))=0</formula>
    </cfRule>
  </conditionalFormatting>
  <conditionalFormatting sqref="H6">
    <cfRule type="dataBar" priority="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218" priority="108">
      <formula>LEN(TRIM(H46))&gt;0</formula>
    </cfRule>
    <cfRule type="containsBlanks" dxfId="1217" priority="107">
      <formula>LEN(TRIM(H46))=0</formula>
    </cfRule>
    <cfRule type="notContainsBlanks" dxfId="1216" priority="106">
      <formula>LEN(TRIM(H46))&gt;0</formula>
    </cfRule>
    <cfRule type="containsBlanks" dxfId="1215" priority="105">
      <formula>LEN(TRIM(H46))=0</formula>
    </cfRule>
  </conditionalFormatting>
  <conditionalFormatting sqref="H50">
    <cfRule type="notContainsBlanks" dxfId="1214" priority="114">
      <formula>LEN(TRIM(H50))&gt;0</formula>
    </cfRule>
    <cfRule type="containsBlanks" dxfId="1213" priority="113">
      <formula>LEN(TRIM(H50))=0</formula>
    </cfRule>
  </conditionalFormatting>
  <conditionalFormatting sqref="I10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7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7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containsBlanks" dxfId="1212" priority="220">
      <formula>LEN(TRIM(J72))=0</formula>
    </cfRule>
    <cfRule type="notContainsBlanks" dxfId="1211" priority="221">
      <formula>LEN(TRIM(J72))&gt;0</formula>
    </cfRule>
  </conditionalFormatting>
  <conditionalFormatting sqref="J20:K20">
    <cfRule type="dataBar" priority="3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1210" priority="116">
      <formula>LEN(TRIM(J21))&gt;0</formula>
    </cfRule>
    <cfRule type="containsBlanks" dxfId="1209" priority="115">
      <formula>LEN(TRIM(J21))=0</formula>
    </cfRule>
  </conditionalFormatting>
  <conditionalFormatting sqref="J63:L63">
    <cfRule type="notContainsBlanks" dxfId="1208" priority="162">
      <formula>LEN(TRIM(J63))&gt;0</formula>
    </cfRule>
    <cfRule type="containsBlanks" dxfId="1207" priority="161">
      <formula>LEN(TRIM(J63))=0</formula>
    </cfRule>
  </conditionalFormatting>
  <conditionalFormatting sqref="J46:M46">
    <cfRule type="containsBlanks" dxfId="1206" priority="101">
      <formula>LEN(TRIM(J46))=0</formula>
    </cfRule>
    <cfRule type="notContainsBlanks" dxfId="1205" priority="102">
      <formula>LEN(TRIM(J46))&gt;0</formula>
    </cfRule>
  </conditionalFormatting>
  <conditionalFormatting sqref="J72:M72">
    <cfRule type="notContainsBlanks" dxfId="1204" priority="134">
      <formula>LEN(TRIM(J72))&gt;0</formula>
    </cfRule>
    <cfRule type="containsBlanks" dxfId="1203" priority="133">
      <formula>LEN(TRIM(J72))=0</formula>
    </cfRule>
  </conditionalFormatting>
  <conditionalFormatting sqref="J42:N42">
    <cfRule type="notContainsBlanks" dxfId="1202" priority="92">
      <formula>LEN(TRIM(J42))&gt;0</formula>
    </cfRule>
    <cfRule type="containsBlanks" dxfId="1201" priority="91">
      <formula>LEN(TRIM(J42))=0</formula>
    </cfRule>
  </conditionalFormatting>
  <conditionalFormatting sqref="J41:O41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containsBlanks" dxfId="1200" priority="155">
      <formula>LEN(TRIM(J7))=0</formula>
    </cfRule>
    <cfRule type="notContainsBlanks" dxfId="1199" priority="156">
      <formula>LEN(TRIM(J7))&gt;0</formula>
    </cfRule>
  </conditionalFormatting>
  <conditionalFormatting sqref="J11:P11">
    <cfRule type="notContainsBlanks" dxfId="1198" priority="58">
      <formula>LEN(TRIM(J11))&gt;0</formula>
    </cfRule>
    <cfRule type="containsBlanks" dxfId="1197" priority="57">
      <formula>LEN(TRIM(J11))=0</formula>
    </cfRule>
  </conditionalFormatting>
  <conditionalFormatting sqref="J15:P15">
    <cfRule type="notContainsBlanks" dxfId="1196" priority="60">
      <formula>LEN(TRIM(J15))&gt;0</formula>
    </cfRule>
    <cfRule type="containsBlanks" dxfId="1195" priority="59">
      <formula>LEN(TRIM(J15))=0</formula>
    </cfRule>
  </conditionalFormatting>
  <conditionalFormatting sqref="J25:P25">
    <cfRule type="containsBlanks" dxfId="1194" priority="5">
      <formula>LEN(TRIM(J25))=0</formula>
    </cfRule>
    <cfRule type="notContainsBlanks" dxfId="1193" priority="6">
      <formula>LEN(TRIM(J25))&gt;0</formula>
    </cfRule>
  </conditionalFormatting>
  <conditionalFormatting sqref="J29:P29">
    <cfRule type="notContainsBlanks" dxfId="1192" priority="2">
      <formula>LEN(TRIM(J29))&gt;0</formula>
    </cfRule>
    <cfRule type="containsBlanks" dxfId="1191" priority="1">
      <formula>LEN(TRIM(J29))=0</formula>
    </cfRule>
  </conditionalFormatting>
  <conditionalFormatting sqref="J42:P42">
    <cfRule type="notContainsBlanks" dxfId="1190" priority="94">
      <formula>LEN(TRIM(J42))&gt;0</formula>
    </cfRule>
    <cfRule type="containsBlanks" dxfId="1189" priority="93">
      <formula>LEN(TRIM(J42))=0</formula>
    </cfRule>
  </conditionalFormatting>
  <conditionalFormatting sqref="J45:P45">
    <cfRule type="dataBar" priority="2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1188" priority="103">
      <formula>LEN(TRIM(J46))=0</formula>
    </cfRule>
    <cfRule type="notContainsBlanks" dxfId="1187" priority="104">
      <formula>LEN(TRIM(J46))&gt;0</formula>
    </cfRule>
  </conditionalFormatting>
  <conditionalFormatting sqref="J49:P49 C49:F49 H49 C45:F45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86" priority="112">
      <formula>LEN(TRIM(J50))&gt;0</formula>
    </cfRule>
    <cfRule type="containsBlanks" dxfId="1185" priority="111">
      <formula>LEN(TRIM(J50))=0</formula>
    </cfRule>
  </conditionalFormatting>
  <conditionalFormatting sqref="J59:P59">
    <cfRule type="containsBlanks" dxfId="1184" priority="75">
      <formula>LEN(TRIM(J59))=0</formula>
    </cfRule>
    <cfRule type="notContainsBlanks" dxfId="1183" priority="76">
      <formula>LEN(TRIM(J59))&gt;0</formula>
    </cfRule>
  </conditionalFormatting>
  <conditionalFormatting sqref="J63:P63">
    <cfRule type="containsBlanks" dxfId="1182" priority="83">
      <formula>LEN(TRIM(J63))=0</formula>
    </cfRule>
    <cfRule type="notContainsBlanks" dxfId="1181" priority="84">
      <formula>LEN(TRIM(J63))&gt;0</formula>
    </cfRule>
  </conditionalFormatting>
  <conditionalFormatting sqref="J71:P71 R71:X71 Z71:AB71 C71:H71">
    <cfRule type="dataBar" priority="22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80" priority="18">
      <formula>LEN(TRIM(J72))&gt;0</formula>
    </cfRule>
    <cfRule type="containsBlanks" dxfId="1179" priority="17">
      <formula>LEN(TRIM(J72))=0</formula>
    </cfRule>
  </conditionalFormatting>
  <conditionalFormatting sqref="J75:P75 R75:X75 Z75:AA75 C75:H75">
    <cfRule type="dataBar" priority="21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78" priority="193">
      <formula>LEN(TRIM(J76))&gt;0</formula>
    </cfRule>
    <cfRule type="containsBlanks" dxfId="1177" priority="192">
      <formula>LEN(TRIM(J76))=0</formula>
    </cfRule>
  </conditionalFormatting>
  <conditionalFormatting sqref="K11:P11">
    <cfRule type="notContainsBlanks" dxfId="1176" priority="160">
      <formula>LEN(TRIM(K11))&gt;0</formula>
    </cfRule>
    <cfRule type="containsBlanks" dxfId="1175" priority="159">
      <formula>LEN(TRIM(K11))=0</formula>
    </cfRule>
  </conditionalFormatting>
  <conditionalFormatting sqref="K59:P59">
    <cfRule type="notContainsBlanks" dxfId="1174" priority="168">
      <formula>LEN(TRIM(K59))&gt;0</formula>
    </cfRule>
    <cfRule type="notContainsBlanks" dxfId="1173" priority="166">
      <formula>LEN(TRIM(K59))&gt;0</formula>
    </cfRule>
    <cfRule type="containsBlanks" dxfId="1172" priority="165">
      <formula>LEN(TRIM(K59))=0</formula>
    </cfRule>
    <cfRule type="containsBlanks" dxfId="1171" priority="167">
      <formula>LEN(TRIM(K59))=0</formula>
    </cfRule>
  </conditionalFormatting>
  <conditionalFormatting sqref="L76:P76">
    <cfRule type="notContainsBlanks" dxfId="1170" priority="206">
      <formula>LEN(TRIM(L76))&gt;0</formula>
    </cfRule>
    <cfRule type="containsBlanks" dxfId="1169" priority="205">
      <formula>LEN(TRIM(L76))=0</formula>
    </cfRule>
  </conditionalFormatting>
  <conditionalFormatting sqref="M50:P50">
    <cfRule type="containsBlanks" dxfId="1168" priority="232">
      <formula>LEN(TRIM(M50))=0</formula>
    </cfRule>
    <cfRule type="notContainsBlanks" dxfId="1167" priority="233">
      <formula>LEN(TRIM(M50))&gt;0</formula>
    </cfRule>
  </conditionalFormatting>
  <conditionalFormatting sqref="M63:P63">
    <cfRule type="notContainsBlanks" dxfId="1166" priority="82">
      <formula>LEN(TRIM(M63))&gt;0</formula>
    </cfRule>
    <cfRule type="containsBlanks" dxfId="1165" priority="81">
      <formula>LEN(TRIM(M63))=0</formula>
    </cfRule>
  </conditionalFormatting>
  <conditionalFormatting sqref="N46:P46">
    <cfRule type="notContainsBlanks" dxfId="1164" priority="227">
      <formula>LEN(TRIM(N46))&gt;0</formula>
    </cfRule>
    <cfRule type="containsBlanks" dxfId="1163" priority="184">
      <formula>LEN(TRIM(N46))=0</formula>
    </cfRule>
    <cfRule type="containsBlanks" dxfId="1162" priority="226">
      <formula>LEN(TRIM(N46))=0</formula>
    </cfRule>
    <cfRule type="notContainsBlanks" dxfId="1161" priority="185">
      <formula>LEN(TRIM(N46))&gt;0</formula>
    </cfRule>
  </conditionalFormatting>
  <conditionalFormatting sqref="O46:P46">
    <cfRule type="notContainsBlanks" dxfId="1160" priority="231">
      <formula>LEN(TRIM(O46))&gt;0</formula>
    </cfRule>
    <cfRule type="containsBlanks" dxfId="1159" priority="230">
      <formula>LEN(TRIM(O46))=0</formula>
    </cfRule>
  </conditionalFormatting>
  <conditionalFormatting sqref="P6">
    <cfRule type="dataBar" priority="1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58" priority="154">
      <formula>LEN(TRIM(P7))&gt;0</formula>
    </cfRule>
    <cfRule type="containsBlanks" dxfId="1157" priority="153">
      <formula>LEN(TRIM(P7))=0</formula>
    </cfRule>
    <cfRule type="notContainsBlanks" dxfId="1156" priority="152">
      <formula>LEN(TRIM(P7))&gt;0</formula>
    </cfRule>
    <cfRule type="containsBlanks" dxfId="1155" priority="151">
      <formula>LEN(TRIM(P7))=0</formula>
    </cfRule>
  </conditionalFormatting>
  <conditionalFormatting sqref="P14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7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7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2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54" priority="54">
      <formula>LEN(TRIM(R11))&gt;0</formula>
    </cfRule>
  </conditionalFormatting>
  <conditionalFormatting sqref="R15">
    <cfRule type="containsBlanks" dxfId="1153" priority="55">
      <formula>LEN(TRIM(R15))=0</formula>
    </cfRule>
    <cfRule type="notContainsBlanks" dxfId="1152" priority="56">
      <formula>LEN(TRIM(R15))&gt;0</formula>
    </cfRule>
  </conditionalFormatting>
  <conditionalFormatting sqref="R59">
    <cfRule type="notContainsBlanks" dxfId="1151" priority="72">
      <formula>LEN(TRIM(R59))&gt;0</formula>
    </cfRule>
    <cfRule type="containsBlanks" dxfId="1150" priority="71">
      <formula>LEN(TRIM(R59))=0</formula>
    </cfRule>
    <cfRule type="notContainsBlanks" dxfId="1149" priority="70">
      <formula>LEN(TRIM(R59))&gt;0</formula>
    </cfRule>
    <cfRule type="containsBlanks" dxfId="1148" priority="69">
      <formula>LEN(TRIM(R59))=0</formula>
    </cfRule>
  </conditionalFormatting>
  <conditionalFormatting sqref="R72">
    <cfRule type="containsBlanks" dxfId="1147" priority="218">
      <formula>LEN(TRIM(R72))=0</formula>
    </cfRule>
    <cfRule type="notContainsBlanks" dxfId="1146" priority="219">
      <formula>LEN(TRIM(R72))&gt;0</formula>
    </cfRule>
  </conditionalFormatting>
  <conditionalFormatting sqref="R63:S63">
    <cfRule type="notContainsBlanks" dxfId="1145" priority="173">
      <formula>LEN(TRIM(R63))&gt;0</formula>
    </cfRule>
    <cfRule type="containsBlanks" dxfId="1144" priority="172">
      <formula>LEN(TRIM(R63))=0</formula>
    </cfRule>
  </conditionalFormatting>
  <conditionalFormatting sqref="R76:S76">
    <cfRule type="notContainsBlanks" dxfId="1143" priority="189">
      <formula>LEN(TRIM(R76))&gt;0</formula>
    </cfRule>
    <cfRule type="containsBlanks" dxfId="1142" priority="188">
      <formula>LEN(TRIM(R76))=0</formula>
    </cfRule>
  </conditionalFormatting>
  <conditionalFormatting sqref="R7:T7">
    <cfRule type="notContainsBlanks" dxfId="1141" priority="26">
      <formula>LEN(TRIM(R7))&gt;0</formula>
    </cfRule>
    <cfRule type="containsBlanks" dxfId="1140" priority="23">
      <formula>LEN(TRIM(R7))=0</formula>
    </cfRule>
    <cfRule type="containsBlanks" dxfId="1139" priority="25">
      <formula>LEN(TRIM(R7))=0</formula>
    </cfRule>
    <cfRule type="notContainsBlanks" dxfId="1138" priority="24">
      <formula>LEN(TRIM(R7))&gt;0</formula>
    </cfRule>
  </conditionalFormatting>
  <conditionalFormatting sqref="R11:T11">
    <cfRule type="notContainsBlanks" dxfId="1137" priority="48">
      <formula>LEN(TRIM(R11))&gt;0</formula>
    </cfRule>
    <cfRule type="containsBlanks" dxfId="1136" priority="47">
      <formula>LEN(TRIM(R11))=0</formula>
    </cfRule>
  </conditionalFormatting>
  <conditionalFormatting sqref="R63:T63">
    <cfRule type="containsBlanks" dxfId="1135" priority="180">
      <formula>LEN(TRIM(R63))=0</formula>
    </cfRule>
    <cfRule type="notContainsBlanks" dxfId="1134" priority="181">
      <formula>LEN(TRIM(R63))&gt;0</formula>
    </cfRule>
    <cfRule type="notContainsBlanks" dxfId="1133" priority="175">
      <formula>LEN(TRIM(R63))&gt;0</formula>
    </cfRule>
    <cfRule type="containsBlanks" dxfId="1132" priority="174">
      <formula>LEN(TRIM(R63))=0</formula>
    </cfRule>
  </conditionalFormatting>
  <conditionalFormatting sqref="R14:W14 R6:X6 R10:W10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containsBlanks" dxfId="1131" priority="27">
      <formula>LEN(TRIM(R7))=0</formula>
    </cfRule>
    <cfRule type="notContainsBlanks" dxfId="1130" priority="28">
      <formula>LEN(TRIM(R7))&gt;0</formula>
    </cfRule>
  </conditionalFormatting>
  <conditionalFormatting sqref="R25:X25">
    <cfRule type="notContainsBlanks" dxfId="1129" priority="40">
      <formula>LEN(TRIM(R25))&gt;0</formula>
    </cfRule>
    <cfRule type="containsBlanks" dxfId="1128" priority="39">
      <formula>LEN(TRIM(R25))=0</formula>
    </cfRule>
  </conditionalFormatting>
  <conditionalFormatting sqref="R29:X29">
    <cfRule type="containsBlanks" dxfId="1127" priority="9">
      <formula>LEN(TRIM(R29))=0</formula>
    </cfRule>
    <cfRule type="notContainsBlanks" dxfId="1126" priority="10">
      <formula>LEN(TRIM(R29))&gt;0</formula>
    </cfRule>
  </conditionalFormatting>
  <conditionalFormatting sqref="R59:X59">
    <cfRule type="containsBlanks" dxfId="1125" priority="73">
      <formula>LEN(TRIM(R59))=0</formula>
    </cfRule>
    <cfRule type="notContainsBlanks" dxfId="1124" priority="74">
      <formula>LEN(TRIM(R59))&gt;0</formula>
    </cfRule>
  </conditionalFormatting>
  <conditionalFormatting sqref="R72:X72">
    <cfRule type="notContainsBlanks" dxfId="1123" priority="20">
      <formula>LEN(TRIM(R72))&gt;0</formula>
    </cfRule>
    <cfRule type="containsBlanks" dxfId="1122" priority="19">
      <formula>LEN(TRIM(R72))=0</formula>
    </cfRule>
  </conditionalFormatting>
  <conditionalFormatting sqref="R76:X76">
    <cfRule type="containsBlanks" dxfId="1121" priority="190">
      <formula>LEN(TRIM(R76))=0</formula>
    </cfRule>
    <cfRule type="notContainsBlanks" dxfId="1120" priority="191">
      <formula>LEN(TRIM(R76))&gt;0</formula>
    </cfRule>
  </conditionalFormatting>
  <conditionalFormatting sqref="S15:W15">
    <cfRule type="containsBlanks" dxfId="1119" priority="211">
      <formula>LEN(TRIM(S15))=0</formula>
    </cfRule>
    <cfRule type="notContainsBlanks" dxfId="1118" priority="212">
      <formula>LEN(TRIM(S15))&gt;0</formula>
    </cfRule>
  </conditionalFormatting>
  <conditionalFormatting sqref="S24:X24 Z24">
    <cfRule type="dataBar" priority="2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notContainsBlanks" dxfId="1117" priority="171">
      <formula>LEN(TRIM(S59))&gt;0</formula>
    </cfRule>
    <cfRule type="containsBlanks" dxfId="1116" priority="170">
      <formula>LEN(TRIM(S59))=0</formula>
    </cfRule>
  </conditionalFormatting>
  <conditionalFormatting sqref="U11:X11 R11">
    <cfRule type="containsBlanks" dxfId="1115" priority="53">
      <formula>LEN(TRIM(R11))=0</formula>
    </cfRule>
  </conditionalFormatting>
  <conditionalFormatting sqref="U63:X63">
    <cfRule type="notContainsBlanks" dxfId="1114" priority="88">
      <formula>LEN(TRIM(U63))&gt;0</formula>
    </cfRule>
    <cfRule type="containsBlanks" dxfId="1113" priority="87">
      <formula>LEN(TRIM(U63))=0</formula>
    </cfRule>
    <cfRule type="notContainsBlanks" dxfId="1112" priority="86">
      <formula>LEN(TRIM(U63))&gt;0</formula>
    </cfRule>
    <cfRule type="notContainsBlanks" dxfId="1111" priority="90">
      <formula>LEN(TRIM(U63))&gt;0</formula>
    </cfRule>
    <cfRule type="containsBlanks" dxfId="1110" priority="85">
      <formula>LEN(TRIM(U63))=0</formula>
    </cfRule>
    <cfRule type="containsBlanks" dxfId="1109" priority="89">
      <formula>LEN(TRIM(U63))=0</formula>
    </cfRule>
  </conditionalFormatting>
  <conditionalFormatting sqref="V11:W11">
    <cfRule type="notContainsBlanks" dxfId="1108" priority="50">
      <formula>LEN(TRIM(V11))&gt;0</formula>
    </cfRule>
    <cfRule type="containsBlanks" dxfId="1107" priority="49">
      <formula>LEN(TRIM(V11))=0</formula>
    </cfRule>
  </conditionalFormatting>
  <conditionalFormatting sqref="W15:X15">
    <cfRule type="containsBlanks" dxfId="1106" priority="201">
      <formula>LEN(TRIM(W15))=0</formula>
    </cfRule>
    <cfRule type="notContainsBlanks" dxfId="1105" priority="202">
      <formula>LEN(TRIM(W15))&gt;0</formula>
    </cfRule>
  </conditionalFormatting>
  <conditionalFormatting sqref="W32:X32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104" priority="214">
      <formula>LEN(TRIM(W33))&gt;0</formula>
    </cfRule>
    <cfRule type="containsBlanks" dxfId="1103" priority="213">
      <formula>LEN(TRIM(W33))=0</formula>
    </cfRule>
  </conditionalFormatting>
  <conditionalFormatting sqref="X10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30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102" priority="288">
      <formula>LEN(TRIM(X21))=0</formula>
    </cfRule>
    <cfRule type="notContainsBlanks" dxfId="1101" priority="283">
      <formula>LEN(TRIM(X21))&gt;0</formula>
    </cfRule>
    <cfRule type="containsBlanks" dxfId="1100" priority="284">
      <formula>LEN(TRIM(X21))=0</formula>
    </cfRule>
    <cfRule type="notContainsBlanks" dxfId="1099" priority="285">
      <formula>LEN(TRIM(X21))&gt;0</formula>
    </cfRule>
    <cfRule type="containsBlanks" dxfId="1098" priority="286">
      <formula>LEN(TRIM(X21))=0</formula>
    </cfRule>
    <cfRule type="notContainsBlanks" dxfId="1097" priority="287">
      <formula>LEN(TRIM(X21))&gt;0</formula>
    </cfRule>
    <cfRule type="notContainsBlanks" dxfId="1096" priority="289">
      <formula>LEN(TRIM(X21))&gt;0</formula>
    </cfRule>
    <cfRule type="containsBlanks" dxfId="1095" priority="290">
      <formula>LEN(TRIM(X21))=0</formula>
    </cfRule>
    <cfRule type="notContainsBlanks" dxfId="1094" priority="291">
      <formula>LEN(TRIM(X21))&gt;0</formula>
    </cfRule>
    <cfRule type="containsBlanks" dxfId="1093" priority="282">
      <formula>LEN(TRIM(X21))=0</formula>
    </cfRule>
  </conditionalFormatting>
  <conditionalFormatting sqref="Y24">
    <cfRule type="dataBar" priority="1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notContainsBlanks" dxfId="1092" priority="66">
      <formula>LEN(TRIM(Z59))&gt;0</formula>
    </cfRule>
    <cfRule type="containsBlanks" dxfId="1091" priority="65">
      <formula>LEN(TRIM(Z59))=0</formula>
    </cfRule>
  </conditionalFormatting>
  <conditionalFormatting sqref="Z72">
    <cfRule type="containsBlanks" dxfId="1090" priority="135">
      <formula>LEN(TRIM(Z72))=0</formula>
    </cfRule>
    <cfRule type="notContainsBlanks" dxfId="1089" priority="136">
      <formula>LEN(TRIM(Z72))&gt;0</formula>
    </cfRule>
  </conditionalFormatting>
  <conditionalFormatting sqref="Z76">
    <cfRule type="containsBlanks" dxfId="1088" priority="216">
      <formula>LEN(TRIM(Z76))=0</formula>
    </cfRule>
    <cfRule type="notContainsBlanks" dxfId="1087" priority="217">
      <formula>LEN(TRIM(Z76))&gt;0</formula>
    </cfRule>
  </conditionalFormatting>
  <conditionalFormatting sqref="Z63:AA63">
    <cfRule type="containsBlanks" dxfId="1086" priority="176">
      <formula>LEN(TRIM(Z63))=0</formula>
    </cfRule>
    <cfRule type="notContainsBlanks" dxfId="1085" priority="177">
      <formula>LEN(TRIM(Z63))&gt;0</formula>
    </cfRule>
  </conditionalFormatting>
  <conditionalFormatting sqref="Z59:AB59">
    <cfRule type="containsBlanks" dxfId="1084" priority="67">
      <formula>LEN(TRIM(Z59))=0</formula>
    </cfRule>
    <cfRule type="notContainsBlanks" dxfId="1083" priority="68">
      <formula>LEN(TRIM(Z59))&gt;0</formula>
    </cfRule>
  </conditionalFormatting>
  <conditionalFormatting sqref="Z63:AB63">
    <cfRule type="containsBlanks" dxfId="1082" priority="186">
      <formula>LEN(TRIM(Z63))=0</formula>
    </cfRule>
    <cfRule type="notContainsBlanks" dxfId="1081" priority="187">
      <formula>LEN(TRIM(Z63))&gt;0</formula>
    </cfRule>
    <cfRule type="containsBlanks" dxfId="1080" priority="178">
      <formula>LEN(TRIM(Z63))=0</formula>
    </cfRule>
    <cfRule type="notContainsBlanks" dxfId="1079" priority="179">
      <formula>LEN(TRIM(Z63))&gt;0</formula>
    </cfRule>
  </conditionalFormatting>
  <conditionalFormatting sqref="Z25:AI25">
    <cfRule type="notContainsBlanks" dxfId="1078" priority="122">
      <formula>LEN(TRIM(Z25))&gt;0</formula>
    </cfRule>
    <cfRule type="containsBlanks" dxfId="1077" priority="121">
      <formula>LEN(TRIM(Z25))=0</formula>
    </cfRule>
  </conditionalFormatting>
  <conditionalFormatting sqref="Z29:AI29">
    <cfRule type="notContainsBlanks" dxfId="1076" priority="8">
      <formula>LEN(TRIM(Z29))&gt;0</formula>
    </cfRule>
    <cfRule type="containsBlanks" dxfId="1075" priority="7">
      <formula>LEN(TRIM(Z29))=0</formula>
    </cfRule>
  </conditionalFormatting>
  <conditionalFormatting sqref="AA59:AB59">
    <cfRule type="notContainsBlanks" dxfId="1074" priority="148">
      <formula>LEN(TRIM(AA59))&gt;0</formula>
    </cfRule>
    <cfRule type="containsBlanks" dxfId="1073" priority="147">
      <formula>LEN(TRIM(AA59))=0</formula>
    </cfRule>
  </conditionalFormatting>
  <conditionalFormatting sqref="AA28:AI28 R28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1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72" priority="274">
      <formula>LEN(TRIM(AF21))=0</formula>
    </cfRule>
    <cfRule type="notContainsBlanks" dxfId="1071" priority="275">
      <formula>LEN(TRIM(AF21))&gt;0</formula>
    </cfRule>
    <cfRule type="containsBlanks" dxfId="1070" priority="276">
      <formula>LEN(TRIM(AF21))=0</formula>
    </cfRule>
    <cfRule type="notContainsBlanks" dxfId="1069" priority="277">
      <formula>LEN(TRIM(AF21))&gt;0</formula>
    </cfRule>
    <cfRule type="containsBlanks" dxfId="1068" priority="278">
      <formula>LEN(TRIM(AF21))=0</formula>
    </cfRule>
    <cfRule type="notContainsBlanks" dxfId="1067" priority="279">
      <formula>LEN(TRIM(AF21))&gt;0</formula>
    </cfRule>
    <cfRule type="containsBlanks" dxfId="1066" priority="280">
      <formula>LEN(TRIM(AF21))=0</formula>
    </cfRule>
    <cfRule type="notContainsBlanks" dxfId="1065" priority="281">
      <formula>LEN(TRIM(AF21))&gt;0</formula>
    </cfRule>
  </conditionalFormatting>
  <conditionalFormatting sqref="AF20:AI20">
    <cfRule type="dataBar" priority="30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64" priority="118">
      <formula>LEN(TRIM(AF21))&gt;0</formula>
    </cfRule>
    <cfRule type="containsBlanks" dxfId="1063" priority="117">
      <formula>LEN(TRIM(AF21))=0</formula>
    </cfRule>
  </conditionalFormatting>
  <conditionalFormatting sqref="AG32:AI32">
    <cfRule type="dataBar" priority="30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62" priority="292">
      <formula>LEN(TRIM(AG33))=0</formula>
    </cfRule>
    <cfRule type="notContainsBlanks" dxfId="1061" priority="293">
      <formula>LEN(TRIM(AG33))&gt;0</formula>
    </cfRule>
    <cfRule type="containsBlanks" dxfId="1060" priority="294">
      <formula>LEN(TRIM(AG33))=0</formula>
    </cfRule>
    <cfRule type="notContainsBlanks" dxfId="1059" priority="295">
      <formula>LEN(TRIM(AG33))&gt;0</formula>
    </cfRule>
    <cfRule type="containsBlanks" dxfId="1058" priority="296">
      <formula>LEN(TRIM(AG33))=0</formula>
    </cfRule>
    <cfRule type="notContainsBlanks" dxfId="1057" priority="297">
      <formula>LEN(TRIM(AG33))&gt;0</formula>
    </cfRule>
    <cfRule type="containsBlanks" dxfId="1056" priority="298">
      <formula>LEN(TRIM(AG33))=0</formula>
    </cfRule>
    <cfRule type="notContainsBlanks" dxfId="1055" priority="299">
      <formula>LEN(TRIM(AG33))&gt;0</formula>
    </cfRule>
    <cfRule type="containsBlanks" dxfId="1054" priority="300">
      <formula>LEN(TRIM(AG33))=0</formula>
    </cfRule>
    <cfRule type="notContainsBlanks" dxfId="1053" priority="301">
      <formula>LEN(TRIM(AG33))&gt;0</formula>
    </cfRule>
    <cfRule type="containsBlanks" dxfId="1052" priority="302">
      <formula>LEN(TRIM(AG33))=0</formula>
    </cfRule>
    <cfRule type="notContainsBlanks" dxfId="1051" priority="303">
      <formula>LEN(TRIM(AG33))&gt;0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T115" activePane="bottomRight" state="frozen"/>
      <selection pane="topRight" activeCell="C1" sqref="C1"/>
      <selection pane="bottomLeft" activeCell="A14" sqref="A14"/>
      <selection pane="bottomRight" activeCell="BR128" sqref="BR128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103">
        <v>45695</v>
      </c>
      <c r="B1" s="103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>J4+1</f>
        <v>45963</v>
      </c>
      <c r="L4" s="7">
        <f t="shared" ref="L4:BV6" si="0">K4+1</f>
        <v>45964</v>
      </c>
      <c r="M4" s="7">
        <f t="shared" si="0"/>
        <v>45965</v>
      </c>
      <c r="N4" s="7">
        <f t="shared" si="0"/>
        <v>45966</v>
      </c>
      <c r="O4" s="7">
        <f t="shared" si="0"/>
        <v>45967</v>
      </c>
      <c r="P4" s="7">
        <f t="shared" si="0"/>
        <v>45968</v>
      </c>
      <c r="Q4" s="8">
        <f t="shared" si="0"/>
        <v>45969</v>
      </c>
      <c r="R4" s="8">
        <f t="shared" si="0"/>
        <v>45970</v>
      </c>
      <c r="S4" s="7">
        <f t="shared" si="0"/>
        <v>45971</v>
      </c>
      <c r="T4" s="7">
        <f t="shared" si="0"/>
        <v>45972</v>
      </c>
      <c r="U4" s="7">
        <f t="shared" si="0"/>
        <v>45973</v>
      </c>
      <c r="V4" s="7">
        <f t="shared" si="0"/>
        <v>45974</v>
      </c>
      <c r="W4" s="7">
        <f t="shared" si="0"/>
        <v>45975</v>
      </c>
      <c r="X4" s="8">
        <f t="shared" si="0"/>
        <v>45976</v>
      </c>
      <c r="Y4" s="8">
        <f t="shared" si="0"/>
        <v>45977</v>
      </c>
      <c r="Z4" s="7">
        <f t="shared" si="0"/>
        <v>45978</v>
      </c>
      <c r="AA4" s="7">
        <f t="shared" si="0"/>
        <v>45979</v>
      </c>
      <c r="AB4" s="7">
        <f t="shared" si="0"/>
        <v>45980</v>
      </c>
      <c r="AC4" s="7">
        <f t="shared" si="0"/>
        <v>45981</v>
      </c>
      <c r="AD4" s="7">
        <f t="shared" si="0"/>
        <v>45982</v>
      </c>
      <c r="AE4" s="8">
        <f t="shared" si="0"/>
        <v>45983</v>
      </c>
      <c r="AF4" s="8">
        <f t="shared" si="0"/>
        <v>45984</v>
      </c>
      <c r="AG4" s="7">
        <f t="shared" si="0"/>
        <v>45985</v>
      </c>
      <c r="AH4" s="7">
        <f t="shared" si="0"/>
        <v>45986</v>
      </c>
      <c r="AI4" s="7">
        <f t="shared" si="0"/>
        <v>45987</v>
      </c>
      <c r="AJ4" s="7">
        <f t="shared" si="0"/>
        <v>45988</v>
      </c>
      <c r="AK4" s="7">
        <f t="shared" si="0"/>
        <v>45989</v>
      </c>
      <c r="AL4" s="8">
        <f t="shared" si="0"/>
        <v>45990</v>
      </c>
      <c r="AM4" s="8">
        <f t="shared" si="0"/>
        <v>45991</v>
      </c>
      <c r="AN4" s="7">
        <f t="shared" si="0"/>
        <v>45992</v>
      </c>
      <c r="AO4" s="7">
        <f t="shared" si="0"/>
        <v>45993</v>
      </c>
      <c r="AP4" s="7">
        <f t="shared" si="0"/>
        <v>45994</v>
      </c>
      <c r="AQ4" s="7">
        <f t="shared" si="0"/>
        <v>45995</v>
      </c>
      <c r="AR4" s="7">
        <f t="shared" si="0"/>
        <v>45996</v>
      </c>
      <c r="AS4" s="8">
        <f t="shared" si="0"/>
        <v>45997</v>
      </c>
      <c r="AT4" s="8">
        <f t="shared" si="0"/>
        <v>45998</v>
      </c>
      <c r="AU4" s="7">
        <f t="shared" si="0"/>
        <v>45999</v>
      </c>
      <c r="AV4" s="7">
        <f t="shared" si="0"/>
        <v>46000</v>
      </c>
      <c r="AW4" s="7">
        <f t="shared" si="0"/>
        <v>46001</v>
      </c>
      <c r="AX4" s="7">
        <f t="shared" si="0"/>
        <v>46002</v>
      </c>
      <c r="AY4" s="7">
        <f t="shared" si="0"/>
        <v>46003</v>
      </c>
      <c r="AZ4" s="8">
        <f t="shared" si="0"/>
        <v>46004</v>
      </c>
      <c r="BA4" s="8">
        <f t="shared" si="0"/>
        <v>46005</v>
      </c>
      <c r="BB4" s="7">
        <f t="shared" si="0"/>
        <v>46006</v>
      </c>
      <c r="BC4" s="7">
        <f t="shared" si="0"/>
        <v>46007</v>
      </c>
      <c r="BD4" s="7">
        <f t="shared" si="0"/>
        <v>46008</v>
      </c>
      <c r="BE4" s="7">
        <f t="shared" si="0"/>
        <v>46009</v>
      </c>
      <c r="BF4" s="7">
        <f t="shared" si="0"/>
        <v>46010</v>
      </c>
      <c r="BG4" s="8">
        <f t="shared" si="0"/>
        <v>46011</v>
      </c>
      <c r="BH4" s="8">
        <f t="shared" si="0"/>
        <v>46012</v>
      </c>
      <c r="BI4" s="7">
        <f t="shared" si="0"/>
        <v>46013</v>
      </c>
      <c r="BJ4" s="7">
        <f t="shared" si="0"/>
        <v>46014</v>
      </c>
      <c r="BK4" s="7">
        <f t="shared" si="0"/>
        <v>46015</v>
      </c>
      <c r="BL4" s="7">
        <f t="shared" si="0"/>
        <v>46016</v>
      </c>
      <c r="BM4" s="7">
        <f t="shared" si="0"/>
        <v>46017</v>
      </c>
      <c r="BN4" s="8">
        <f t="shared" si="0"/>
        <v>46018</v>
      </c>
      <c r="BO4" s="8">
        <f t="shared" si="0"/>
        <v>46019</v>
      </c>
      <c r="BP4" s="7">
        <f t="shared" si="0"/>
        <v>46020</v>
      </c>
      <c r="BQ4" s="7">
        <f t="shared" si="0"/>
        <v>46021</v>
      </c>
      <c r="BR4" s="7">
        <f t="shared" si="0"/>
        <v>46022</v>
      </c>
      <c r="BS4" s="7">
        <f t="shared" si="0"/>
        <v>46023</v>
      </c>
      <c r="BT4" s="7">
        <f t="shared" si="0"/>
        <v>46024</v>
      </c>
      <c r="BU4" s="8">
        <f t="shared" si="0"/>
        <v>46025</v>
      </c>
      <c r="BV4" s="8">
        <f t="shared" si="0"/>
        <v>46026</v>
      </c>
      <c r="BW4" s="7">
        <f t="shared" ref="BW4:CY4" si="1">BV4+1</f>
        <v>46027</v>
      </c>
      <c r="BX4" s="7">
        <f t="shared" si="1"/>
        <v>46028</v>
      </c>
      <c r="BY4" s="7">
        <f t="shared" si="1"/>
        <v>46029</v>
      </c>
      <c r="BZ4" s="7">
        <f t="shared" si="1"/>
        <v>46030</v>
      </c>
      <c r="CA4" s="7">
        <f t="shared" si="1"/>
        <v>46031</v>
      </c>
      <c r="CB4" s="8">
        <f t="shared" si="1"/>
        <v>46032</v>
      </c>
      <c r="CC4" s="8">
        <f t="shared" si="1"/>
        <v>46033</v>
      </c>
      <c r="CD4" s="7">
        <f t="shared" si="1"/>
        <v>46034</v>
      </c>
      <c r="CE4" s="7">
        <f t="shared" si="1"/>
        <v>46035</v>
      </c>
      <c r="CF4" s="7">
        <f t="shared" si="1"/>
        <v>46036</v>
      </c>
      <c r="CG4" s="7">
        <f t="shared" si="1"/>
        <v>46037</v>
      </c>
      <c r="CH4" s="7">
        <f t="shared" si="1"/>
        <v>46038</v>
      </c>
      <c r="CI4" s="8">
        <f t="shared" si="1"/>
        <v>46039</v>
      </c>
      <c r="CJ4" s="8">
        <f t="shared" si="1"/>
        <v>46040</v>
      </c>
      <c r="CK4" s="7">
        <f t="shared" si="1"/>
        <v>46041</v>
      </c>
      <c r="CL4" s="7">
        <f t="shared" si="1"/>
        <v>46042</v>
      </c>
      <c r="CM4" s="7">
        <f t="shared" si="1"/>
        <v>46043</v>
      </c>
      <c r="CN4" s="7">
        <f t="shared" si="1"/>
        <v>46044</v>
      </c>
      <c r="CO4" s="7">
        <f t="shared" si="1"/>
        <v>46045</v>
      </c>
      <c r="CP4" s="8">
        <f t="shared" si="1"/>
        <v>46046</v>
      </c>
      <c r="CQ4" s="8">
        <f t="shared" si="1"/>
        <v>46047</v>
      </c>
      <c r="CR4" s="7">
        <f t="shared" si="1"/>
        <v>46048</v>
      </c>
      <c r="CS4" s="7">
        <f t="shared" si="1"/>
        <v>46049</v>
      </c>
      <c r="CT4" s="7">
        <f t="shared" si="1"/>
        <v>46050</v>
      </c>
      <c r="CU4" s="7">
        <f t="shared" si="1"/>
        <v>46051</v>
      </c>
      <c r="CV4" s="7">
        <f t="shared" si="1"/>
        <v>46052</v>
      </c>
      <c r="CW4" s="8">
        <f t="shared" si="1"/>
        <v>46053</v>
      </c>
      <c r="CX4" s="8">
        <f t="shared" si="1"/>
        <v>46054</v>
      </c>
      <c r="CY4" s="7">
        <f t="shared" si="1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>J5+1</f>
        <v>45963</v>
      </c>
      <c r="L5" s="3">
        <f t="shared" si="0"/>
        <v>45964</v>
      </c>
      <c r="M5" s="3">
        <f t="shared" si="0"/>
        <v>45965</v>
      </c>
      <c r="N5" s="3">
        <f t="shared" si="0"/>
        <v>45966</v>
      </c>
      <c r="O5" s="3">
        <f t="shared" si="0"/>
        <v>45967</v>
      </c>
      <c r="P5" s="3">
        <f t="shared" si="0"/>
        <v>45968</v>
      </c>
      <c r="Q5" s="11">
        <f t="shared" si="0"/>
        <v>45969</v>
      </c>
      <c r="R5" s="11">
        <f t="shared" si="0"/>
        <v>45970</v>
      </c>
      <c r="S5" s="3">
        <f t="shared" si="0"/>
        <v>45971</v>
      </c>
      <c r="T5" s="3">
        <f t="shared" si="0"/>
        <v>45972</v>
      </c>
      <c r="U5" s="3">
        <f t="shared" si="0"/>
        <v>45973</v>
      </c>
      <c r="V5" s="3">
        <f t="shared" si="0"/>
        <v>45974</v>
      </c>
      <c r="W5" s="3">
        <f t="shared" si="0"/>
        <v>45975</v>
      </c>
      <c r="X5" s="11">
        <f t="shared" si="0"/>
        <v>45976</v>
      </c>
      <c r="Y5" s="11">
        <f t="shared" si="0"/>
        <v>45977</v>
      </c>
      <c r="Z5" s="3">
        <f t="shared" si="0"/>
        <v>45978</v>
      </c>
      <c r="AA5" s="3">
        <f t="shared" si="0"/>
        <v>45979</v>
      </c>
      <c r="AB5" s="3">
        <f t="shared" si="0"/>
        <v>45980</v>
      </c>
      <c r="AC5" s="3">
        <f t="shared" si="0"/>
        <v>45981</v>
      </c>
      <c r="AD5" s="3">
        <f t="shared" si="0"/>
        <v>45982</v>
      </c>
      <c r="AE5" s="11">
        <f t="shared" si="0"/>
        <v>45983</v>
      </c>
      <c r="AF5" s="11">
        <f t="shared" si="0"/>
        <v>45984</v>
      </c>
      <c r="AG5" s="3">
        <f t="shared" si="0"/>
        <v>45985</v>
      </c>
      <c r="AH5" s="3">
        <f t="shared" si="0"/>
        <v>45986</v>
      </c>
      <c r="AI5" s="3">
        <f t="shared" si="0"/>
        <v>45987</v>
      </c>
      <c r="AJ5" s="3">
        <f t="shared" si="0"/>
        <v>45988</v>
      </c>
      <c r="AK5" s="3">
        <f t="shared" si="0"/>
        <v>45989</v>
      </c>
      <c r="AL5" s="11">
        <f t="shared" si="0"/>
        <v>45990</v>
      </c>
      <c r="AM5" s="11">
        <f t="shared" si="0"/>
        <v>45991</v>
      </c>
      <c r="AN5" s="3">
        <f t="shared" si="0"/>
        <v>45992</v>
      </c>
      <c r="AO5" s="3">
        <f t="shared" si="0"/>
        <v>45993</v>
      </c>
      <c r="AP5" s="3">
        <f t="shared" si="0"/>
        <v>45994</v>
      </c>
      <c r="AQ5" s="3">
        <f t="shared" si="0"/>
        <v>45995</v>
      </c>
      <c r="AR5" s="3">
        <f t="shared" si="0"/>
        <v>45996</v>
      </c>
      <c r="AS5" s="11">
        <f t="shared" si="0"/>
        <v>45997</v>
      </c>
      <c r="AT5" s="11">
        <f t="shared" si="0"/>
        <v>45998</v>
      </c>
      <c r="AU5" s="3">
        <f t="shared" si="0"/>
        <v>45999</v>
      </c>
      <c r="AV5" s="3">
        <f t="shared" si="0"/>
        <v>46000</v>
      </c>
      <c r="AW5" s="3">
        <f t="shared" si="0"/>
        <v>46001</v>
      </c>
      <c r="AX5" s="3">
        <f t="shared" si="0"/>
        <v>46002</v>
      </c>
      <c r="AY5" s="3">
        <f t="shared" si="0"/>
        <v>46003</v>
      </c>
      <c r="AZ5" s="11">
        <f t="shared" si="0"/>
        <v>46004</v>
      </c>
      <c r="BA5" s="11">
        <f t="shared" si="0"/>
        <v>46005</v>
      </c>
      <c r="BB5" s="3">
        <f t="shared" si="0"/>
        <v>46006</v>
      </c>
      <c r="BC5" s="3">
        <f t="shared" si="0"/>
        <v>46007</v>
      </c>
      <c r="BD5" s="3">
        <f t="shared" si="0"/>
        <v>46008</v>
      </c>
      <c r="BE5" s="3">
        <f t="shared" si="0"/>
        <v>46009</v>
      </c>
      <c r="BF5" s="3">
        <f t="shared" si="0"/>
        <v>46010</v>
      </c>
      <c r="BG5" s="11">
        <f t="shared" si="0"/>
        <v>46011</v>
      </c>
      <c r="BH5" s="11">
        <f t="shared" si="0"/>
        <v>46012</v>
      </c>
      <c r="BI5" s="3">
        <f t="shared" si="0"/>
        <v>46013</v>
      </c>
      <c r="BJ5" s="3">
        <f t="shared" si="0"/>
        <v>46014</v>
      </c>
      <c r="BK5" s="3">
        <f t="shared" si="0"/>
        <v>46015</v>
      </c>
      <c r="BL5" s="3">
        <f t="shared" si="0"/>
        <v>46016</v>
      </c>
      <c r="BM5" s="3">
        <f t="shared" si="0"/>
        <v>46017</v>
      </c>
      <c r="BN5" s="11">
        <f t="shared" si="0"/>
        <v>46018</v>
      </c>
      <c r="BO5" s="11">
        <f t="shared" si="0"/>
        <v>46019</v>
      </c>
      <c r="BP5" s="3">
        <f t="shared" si="0"/>
        <v>46020</v>
      </c>
      <c r="BQ5" s="3">
        <f t="shared" si="0"/>
        <v>46021</v>
      </c>
      <c r="BR5" s="3">
        <f t="shared" si="0"/>
        <v>46022</v>
      </c>
      <c r="BS5" s="3">
        <f t="shared" si="0"/>
        <v>46023</v>
      </c>
      <c r="BT5" s="3">
        <f t="shared" si="0"/>
        <v>46024</v>
      </c>
      <c r="BU5" s="11">
        <f t="shared" ref="BU5:CY5" si="2">BT5+1</f>
        <v>46025</v>
      </c>
      <c r="BV5" s="11">
        <f t="shared" si="2"/>
        <v>46026</v>
      </c>
      <c r="BW5" s="3">
        <f t="shared" si="2"/>
        <v>46027</v>
      </c>
      <c r="BX5" s="3">
        <f t="shared" si="2"/>
        <v>46028</v>
      </c>
      <c r="BY5" s="3">
        <f t="shared" si="2"/>
        <v>46029</v>
      </c>
      <c r="BZ5" s="3">
        <f t="shared" si="2"/>
        <v>46030</v>
      </c>
      <c r="CA5" s="3">
        <f t="shared" si="2"/>
        <v>46031</v>
      </c>
      <c r="CB5" s="11">
        <f t="shared" si="2"/>
        <v>46032</v>
      </c>
      <c r="CC5" s="11">
        <f t="shared" si="2"/>
        <v>46033</v>
      </c>
      <c r="CD5" s="3">
        <f t="shared" si="2"/>
        <v>46034</v>
      </c>
      <c r="CE5" s="3">
        <f t="shared" si="2"/>
        <v>46035</v>
      </c>
      <c r="CF5" s="3">
        <f t="shared" si="2"/>
        <v>46036</v>
      </c>
      <c r="CG5" s="3">
        <f t="shared" si="2"/>
        <v>46037</v>
      </c>
      <c r="CH5" s="3">
        <f t="shared" si="2"/>
        <v>46038</v>
      </c>
      <c r="CI5" s="11">
        <f t="shared" si="2"/>
        <v>46039</v>
      </c>
      <c r="CJ5" s="11">
        <f t="shared" si="2"/>
        <v>46040</v>
      </c>
      <c r="CK5" s="3">
        <f t="shared" si="2"/>
        <v>46041</v>
      </c>
      <c r="CL5" s="3">
        <f t="shared" si="2"/>
        <v>46042</v>
      </c>
      <c r="CM5" s="3">
        <f t="shared" si="2"/>
        <v>46043</v>
      </c>
      <c r="CN5" s="3">
        <f t="shared" si="2"/>
        <v>46044</v>
      </c>
      <c r="CO5" s="3">
        <f t="shared" si="2"/>
        <v>46045</v>
      </c>
      <c r="CP5" s="11">
        <f t="shared" si="2"/>
        <v>46046</v>
      </c>
      <c r="CQ5" s="11">
        <f t="shared" si="2"/>
        <v>46047</v>
      </c>
      <c r="CR5" s="3">
        <f t="shared" si="2"/>
        <v>46048</v>
      </c>
      <c r="CS5" s="3">
        <f t="shared" si="2"/>
        <v>46049</v>
      </c>
      <c r="CT5" s="3">
        <f t="shared" si="2"/>
        <v>46050</v>
      </c>
      <c r="CU5" s="3">
        <f t="shared" si="2"/>
        <v>46051</v>
      </c>
      <c r="CV5" s="3">
        <f t="shared" si="2"/>
        <v>46052</v>
      </c>
      <c r="CW5" s="11">
        <f t="shared" si="2"/>
        <v>46053</v>
      </c>
      <c r="CX5" s="11">
        <f t="shared" si="2"/>
        <v>46054</v>
      </c>
      <c r="CY5" s="3">
        <f t="shared" si="2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>J6+1</f>
        <v>45963</v>
      </c>
      <c r="L6" s="13">
        <f t="shared" si="0"/>
        <v>45964</v>
      </c>
      <c r="M6" s="13">
        <f t="shared" si="0"/>
        <v>45965</v>
      </c>
      <c r="N6" s="13">
        <f t="shared" si="0"/>
        <v>45966</v>
      </c>
      <c r="O6" s="13">
        <f t="shared" si="0"/>
        <v>45967</v>
      </c>
      <c r="P6" s="13">
        <f t="shared" si="0"/>
        <v>45968</v>
      </c>
      <c r="Q6" s="14">
        <f t="shared" si="0"/>
        <v>45969</v>
      </c>
      <c r="R6" s="14">
        <f t="shared" si="0"/>
        <v>45970</v>
      </c>
      <c r="S6" s="13">
        <f t="shared" si="0"/>
        <v>45971</v>
      </c>
      <c r="T6" s="13">
        <f t="shared" si="0"/>
        <v>45972</v>
      </c>
      <c r="U6" s="13">
        <f t="shared" si="0"/>
        <v>45973</v>
      </c>
      <c r="V6" s="13">
        <f t="shared" si="0"/>
        <v>45974</v>
      </c>
      <c r="W6" s="13">
        <f t="shared" si="0"/>
        <v>45975</v>
      </c>
      <c r="X6" s="14">
        <f t="shared" si="0"/>
        <v>45976</v>
      </c>
      <c r="Y6" s="14">
        <f t="shared" si="0"/>
        <v>45977</v>
      </c>
      <c r="Z6" s="13">
        <f t="shared" si="0"/>
        <v>45978</v>
      </c>
      <c r="AA6" s="13">
        <f t="shared" si="0"/>
        <v>45979</v>
      </c>
      <c r="AB6" s="13">
        <f t="shared" si="0"/>
        <v>45980</v>
      </c>
      <c r="AC6" s="13">
        <f t="shared" si="0"/>
        <v>45981</v>
      </c>
      <c r="AD6" s="13">
        <f t="shared" si="0"/>
        <v>45982</v>
      </c>
      <c r="AE6" s="14">
        <f t="shared" si="0"/>
        <v>45983</v>
      </c>
      <c r="AF6" s="14">
        <f t="shared" si="0"/>
        <v>45984</v>
      </c>
      <c r="AG6" s="13">
        <f t="shared" si="0"/>
        <v>45985</v>
      </c>
      <c r="AH6" s="13">
        <f t="shared" si="0"/>
        <v>45986</v>
      </c>
      <c r="AI6" s="13">
        <f t="shared" si="0"/>
        <v>45987</v>
      </c>
      <c r="AJ6" s="13">
        <f t="shared" si="0"/>
        <v>45988</v>
      </c>
      <c r="AK6" s="13">
        <f t="shared" si="0"/>
        <v>45989</v>
      </c>
      <c r="AL6" s="14">
        <f t="shared" si="0"/>
        <v>45990</v>
      </c>
      <c r="AM6" s="14">
        <f t="shared" si="0"/>
        <v>45991</v>
      </c>
      <c r="AN6" s="13">
        <f t="shared" si="0"/>
        <v>45992</v>
      </c>
      <c r="AO6" s="13">
        <f t="shared" si="0"/>
        <v>45993</v>
      </c>
      <c r="AP6" s="13">
        <f t="shared" si="0"/>
        <v>45994</v>
      </c>
      <c r="AQ6" s="13">
        <f t="shared" si="0"/>
        <v>45995</v>
      </c>
      <c r="AR6" s="13">
        <f t="shared" si="0"/>
        <v>45996</v>
      </c>
      <c r="AS6" s="14">
        <f t="shared" si="0"/>
        <v>45997</v>
      </c>
      <c r="AT6" s="14">
        <f t="shared" si="0"/>
        <v>45998</v>
      </c>
      <c r="AU6" s="13">
        <f t="shared" si="0"/>
        <v>45999</v>
      </c>
      <c r="AV6" s="13">
        <f t="shared" si="0"/>
        <v>46000</v>
      </c>
      <c r="AW6" s="13">
        <f t="shared" si="0"/>
        <v>46001</v>
      </c>
      <c r="AX6" s="13">
        <f t="shared" si="0"/>
        <v>46002</v>
      </c>
      <c r="AY6" s="13">
        <f t="shared" si="0"/>
        <v>46003</v>
      </c>
      <c r="AZ6" s="14">
        <f t="shared" si="0"/>
        <v>46004</v>
      </c>
      <c r="BA6" s="14">
        <f t="shared" si="0"/>
        <v>46005</v>
      </c>
      <c r="BB6" s="13">
        <f t="shared" si="0"/>
        <v>46006</v>
      </c>
      <c r="BC6" s="13">
        <f t="shared" si="0"/>
        <v>46007</v>
      </c>
      <c r="BD6" s="13">
        <f t="shared" si="0"/>
        <v>46008</v>
      </c>
      <c r="BE6" s="13">
        <f t="shared" si="0"/>
        <v>46009</v>
      </c>
      <c r="BF6" s="13">
        <f t="shared" si="0"/>
        <v>46010</v>
      </c>
      <c r="BG6" s="14">
        <f t="shared" si="0"/>
        <v>46011</v>
      </c>
      <c r="BH6" s="14">
        <f t="shared" si="0"/>
        <v>46012</v>
      </c>
      <c r="BI6" s="13">
        <f t="shared" si="0"/>
        <v>46013</v>
      </c>
      <c r="BJ6" s="13">
        <f t="shared" si="0"/>
        <v>46014</v>
      </c>
      <c r="BK6" s="13">
        <f t="shared" si="0"/>
        <v>46015</v>
      </c>
      <c r="BL6" s="13">
        <f t="shared" si="0"/>
        <v>46016</v>
      </c>
      <c r="BM6" s="13">
        <f t="shared" si="0"/>
        <v>46017</v>
      </c>
      <c r="BN6" s="14">
        <f t="shared" si="0"/>
        <v>46018</v>
      </c>
      <c r="BO6" s="14">
        <f t="shared" si="0"/>
        <v>46019</v>
      </c>
      <c r="BP6" s="13">
        <f t="shared" si="0"/>
        <v>46020</v>
      </c>
      <c r="BQ6" s="13">
        <f t="shared" si="0"/>
        <v>46021</v>
      </c>
      <c r="BR6" s="13">
        <f t="shared" si="0"/>
        <v>46022</v>
      </c>
      <c r="BS6" s="13">
        <f t="shared" si="0"/>
        <v>46023</v>
      </c>
      <c r="BT6" s="13">
        <f t="shared" si="0"/>
        <v>46024</v>
      </c>
      <c r="BU6" s="14">
        <f t="shared" ref="BU6:CY6" si="3">BT6+1</f>
        <v>46025</v>
      </c>
      <c r="BV6" s="14">
        <f t="shared" si="3"/>
        <v>46026</v>
      </c>
      <c r="BW6" s="13">
        <f t="shared" si="3"/>
        <v>46027</v>
      </c>
      <c r="BX6" s="13">
        <f t="shared" si="3"/>
        <v>46028</v>
      </c>
      <c r="BY6" s="13">
        <f t="shared" si="3"/>
        <v>46029</v>
      </c>
      <c r="BZ6" s="13">
        <f t="shared" si="3"/>
        <v>46030</v>
      </c>
      <c r="CA6" s="13">
        <f t="shared" si="3"/>
        <v>46031</v>
      </c>
      <c r="CB6" s="14">
        <f t="shared" si="3"/>
        <v>46032</v>
      </c>
      <c r="CC6" s="14">
        <f t="shared" si="3"/>
        <v>46033</v>
      </c>
      <c r="CD6" s="13">
        <f t="shared" si="3"/>
        <v>46034</v>
      </c>
      <c r="CE6" s="13">
        <f t="shared" si="3"/>
        <v>46035</v>
      </c>
      <c r="CF6" s="13">
        <f t="shared" si="3"/>
        <v>46036</v>
      </c>
      <c r="CG6" s="13">
        <f t="shared" si="3"/>
        <v>46037</v>
      </c>
      <c r="CH6" s="13">
        <f t="shared" si="3"/>
        <v>46038</v>
      </c>
      <c r="CI6" s="14">
        <f t="shared" si="3"/>
        <v>46039</v>
      </c>
      <c r="CJ6" s="14">
        <f t="shared" si="3"/>
        <v>46040</v>
      </c>
      <c r="CK6" s="13">
        <f t="shared" si="3"/>
        <v>46041</v>
      </c>
      <c r="CL6" s="13">
        <f t="shared" si="3"/>
        <v>46042</v>
      </c>
      <c r="CM6" s="13">
        <f t="shared" si="3"/>
        <v>46043</v>
      </c>
      <c r="CN6" s="13">
        <f t="shared" si="3"/>
        <v>46044</v>
      </c>
      <c r="CO6" s="13">
        <f t="shared" si="3"/>
        <v>46045</v>
      </c>
      <c r="CP6" s="14">
        <f t="shared" si="3"/>
        <v>46046</v>
      </c>
      <c r="CQ6" s="14">
        <f t="shared" si="3"/>
        <v>46047</v>
      </c>
      <c r="CR6" s="13">
        <f t="shared" si="3"/>
        <v>46048</v>
      </c>
      <c r="CS6" s="13">
        <f t="shared" si="3"/>
        <v>46049</v>
      </c>
      <c r="CT6" s="13">
        <f t="shared" si="3"/>
        <v>46050</v>
      </c>
      <c r="CU6" s="13">
        <f t="shared" si="3"/>
        <v>46051</v>
      </c>
      <c r="CV6" s="13">
        <f t="shared" si="3"/>
        <v>46052</v>
      </c>
      <c r="CW6" s="14">
        <f t="shared" si="3"/>
        <v>46053</v>
      </c>
      <c r="CX6" s="14">
        <f t="shared" si="3"/>
        <v>46054</v>
      </c>
      <c r="CY6" s="13">
        <f t="shared" si="3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104" t="s">
        <v>3</v>
      </c>
      <c r="C8" s="105"/>
      <c r="D8" s="105"/>
      <c r="E8" s="105"/>
      <c r="F8" s="105"/>
      <c r="G8" s="105"/>
      <c r="H8" s="105"/>
      <c r="I8" s="105"/>
      <c r="J8" s="15">
        <f t="shared" ref="J8:AO8" si="4">SUM(J14:J1972)</f>
        <v>0</v>
      </c>
      <c r="K8" s="15">
        <f t="shared" si="4"/>
        <v>0</v>
      </c>
      <c r="L8" s="15">
        <f t="shared" si="4"/>
        <v>0</v>
      </c>
      <c r="M8" s="15">
        <f t="shared" si="4"/>
        <v>0</v>
      </c>
      <c r="N8" s="15">
        <f t="shared" si="4"/>
        <v>0</v>
      </c>
      <c r="O8" s="15">
        <f t="shared" si="4"/>
        <v>0</v>
      </c>
      <c r="P8" s="15">
        <f t="shared" si="4"/>
        <v>0</v>
      </c>
      <c r="Q8" s="15">
        <f t="shared" si="4"/>
        <v>0</v>
      </c>
      <c r="R8" s="15">
        <f t="shared" si="4"/>
        <v>0</v>
      </c>
      <c r="S8" s="15">
        <f t="shared" si="4"/>
        <v>0</v>
      </c>
      <c r="T8" s="15">
        <f t="shared" si="4"/>
        <v>0</v>
      </c>
      <c r="U8" s="15">
        <f t="shared" si="4"/>
        <v>0</v>
      </c>
      <c r="V8" s="15">
        <f t="shared" si="4"/>
        <v>0</v>
      </c>
      <c r="W8" s="15">
        <f t="shared" si="4"/>
        <v>0</v>
      </c>
      <c r="X8" s="15">
        <f t="shared" si="4"/>
        <v>0</v>
      </c>
      <c r="Y8" s="15">
        <f t="shared" si="4"/>
        <v>0</v>
      </c>
      <c r="Z8" s="15">
        <f t="shared" si="4"/>
        <v>0</v>
      </c>
      <c r="AA8" s="15">
        <f t="shared" si="4"/>
        <v>0</v>
      </c>
      <c r="AB8" s="15">
        <f t="shared" si="4"/>
        <v>0</v>
      </c>
      <c r="AC8" s="15">
        <f t="shared" si="4"/>
        <v>0</v>
      </c>
      <c r="AD8" s="15">
        <f t="shared" si="4"/>
        <v>0</v>
      </c>
      <c r="AE8" s="15">
        <f t="shared" si="4"/>
        <v>0</v>
      </c>
      <c r="AF8" s="15">
        <f t="shared" si="4"/>
        <v>0</v>
      </c>
      <c r="AG8" s="15">
        <f t="shared" si="4"/>
        <v>119</v>
      </c>
      <c r="AH8" s="15">
        <f t="shared" si="4"/>
        <v>119</v>
      </c>
      <c r="AI8" s="15">
        <f t="shared" si="4"/>
        <v>119</v>
      </c>
      <c r="AJ8" s="15">
        <f t="shared" si="4"/>
        <v>119</v>
      </c>
      <c r="AK8" s="15">
        <f t="shared" si="4"/>
        <v>119</v>
      </c>
      <c r="AL8" s="15">
        <f t="shared" si="4"/>
        <v>119</v>
      </c>
      <c r="AM8" s="15">
        <f t="shared" si="4"/>
        <v>119</v>
      </c>
      <c r="AN8" s="15">
        <f t="shared" si="4"/>
        <v>119</v>
      </c>
      <c r="AO8" s="15">
        <f t="shared" si="4"/>
        <v>119</v>
      </c>
      <c r="AP8" s="15">
        <f t="shared" ref="AP8:BP8" si="5">SUM(AP14:AP1972)</f>
        <v>119</v>
      </c>
      <c r="AQ8" s="15">
        <f t="shared" si="5"/>
        <v>119</v>
      </c>
      <c r="AR8" s="15">
        <f t="shared" si="5"/>
        <v>119</v>
      </c>
      <c r="AS8" s="15">
        <f t="shared" si="5"/>
        <v>119</v>
      </c>
      <c r="AT8" s="15">
        <f t="shared" si="5"/>
        <v>119</v>
      </c>
      <c r="AU8" s="15">
        <f t="shared" si="5"/>
        <v>136</v>
      </c>
      <c r="AV8" s="15">
        <f t="shared" si="5"/>
        <v>119</v>
      </c>
      <c r="AW8" s="15">
        <f t="shared" si="5"/>
        <v>119</v>
      </c>
      <c r="AX8" s="15">
        <f t="shared" si="5"/>
        <v>153</v>
      </c>
      <c r="AY8" s="15">
        <f t="shared" si="5"/>
        <v>119</v>
      </c>
      <c r="AZ8" s="15">
        <f t="shared" si="5"/>
        <v>119</v>
      </c>
      <c r="BA8" s="15">
        <f t="shared" si="5"/>
        <v>119</v>
      </c>
      <c r="BB8" s="15">
        <f t="shared" si="5"/>
        <v>119</v>
      </c>
      <c r="BC8" s="15">
        <f t="shared" si="5"/>
        <v>119</v>
      </c>
      <c r="BD8" s="15">
        <f t="shared" si="5"/>
        <v>119</v>
      </c>
      <c r="BE8" s="15">
        <f t="shared" si="5"/>
        <v>119</v>
      </c>
      <c r="BF8" s="15">
        <f t="shared" si="5"/>
        <v>136</v>
      </c>
      <c r="BG8" s="15">
        <f t="shared" si="5"/>
        <v>119</v>
      </c>
      <c r="BH8" s="15">
        <f t="shared" si="5"/>
        <v>119</v>
      </c>
      <c r="BI8" s="15">
        <f t="shared" si="5"/>
        <v>119</v>
      </c>
      <c r="BJ8" s="15">
        <f t="shared" si="5"/>
        <v>119</v>
      </c>
      <c r="BK8" s="15">
        <f t="shared" si="5"/>
        <v>119</v>
      </c>
      <c r="BL8" s="15">
        <f t="shared" si="5"/>
        <v>0</v>
      </c>
      <c r="BM8" s="15">
        <f t="shared" si="5"/>
        <v>153</v>
      </c>
      <c r="BN8" s="15">
        <f t="shared" si="5"/>
        <v>170</v>
      </c>
      <c r="BO8" s="15">
        <f t="shared" si="5"/>
        <v>119</v>
      </c>
      <c r="BP8" s="15">
        <f t="shared" si="5"/>
        <v>119</v>
      </c>
      <c r="BQ8" s="15">
        <f t="shared" ref="BQ8:CS8" si="6">SUM(BQ14:BQ1972)</f>
        <v>153</v>
      </c>
      <c r="BR8" s="15">
        <f t="shared" si="6"/>
        <v>119</v>
      </c>
      <c r="BS8" s="15">
        <f t="shared" si="6"/>
        <v>119</v>
      </c>
      <c r="BT8" s="15">
        <f t="shared" si="6"/>
        <v>119</v>
      </c>
      <c r="BU8" s="15">
        <f t="shared" si="6"/>
        <v>119</v>
      </c>
      <c r="BV8" s="15">
        <f t="shared" si="6"/>
        <v>119</v>
      </c>
      <c r="BW8" s="15">
        <f t="shared" si="6"/>
        <v>119</v>
      </c>
      <c r="BX8" s="15">
        <f t="shared" si="6"/>
        <v>136</v>
      </c>
      <c r="BY8" s="15">
        <f t="shared" si="6"/>
        <v>119</v>
      </c>
      <c r="BZ8" s="15">
        <f t="shared" si="6"/>
        <v>119</v>
      </c>
      <c r="CA8" s="15">
        <f t="shared" si="6"/>
        <v>119</v>
      </c>
      <c r="CB8" s="15">
        <f t="shared" si="6"/>
        <v>119</v>
      </c>
      <c r="CC8" s="15">
        <f t="shared" si="6"/>
        <v>119</v>
      </c>
      <c r="CD8" s="15">
        <f t="shared" si="6"/>
        <v>119</v>
      </c>
      <c r="CE8" s="15">
        <f t="shared" si="6"/>
        <v>119</v>
      </c>
      <c r="CF8" s="15">
        <f t="shared" si="6"/>
        <v>119</v>
      </c>
      <c r="CG8" s="15">
        <f t="shared" si="6"/>
        <v>119</v>
      </c>
      <c r="CH8" s="15">
        <f t="shared" si="6"/>
        <v>119</v>
      </c>
      <c r="CI8" s="15">
        <f t="shared" si="6"/>
        <v>119</v>
      </c>
      <c r="CJ8" s="15">
        <f t="shared" si="6"/>
        <v>119</v>
      </c>
      <c r="CK8" s="15">
        <f t="shared" si="6"/>
        <v>119</v>
      </c>
      <c r="CL8" s="15">
        <f t="shared" si="6"/>
        <v>119</v>
      </c>
      <c r="CM8" s="15">
        <f t="shared" si="6"/>
        <v>119</v>
      </c>
      <c r="CN8" s="15">
        <f t="shared" si="6"/>
        <v>119</v>
      </c>
      <c r="CO8" s="15">
        <f t="shared" si="6"/>
        <v>0</v>
      </c>
      <c r="CP8" s="15">
        <f t="shared" si="6"/>
        <v>0</v>
      </c>
      <c r="CQ8" s="15">
        <f t="shared" si="6"/>
        <v>0</v>
      </c>
      <c r="CR8" s="15">
        <f t="shared" si="6"/>
        <v>0</v>
      </c>
      <c r="CS8" s="15">
        <f t="shared" si="6"/>
        <v>0</v>
      </c>
    </row>
    <row r="9" spans="1:103" s="18" customFormat="1" ht="16.5" customHeight="1" x14ac:dyDescent="0.25">
      <c r="A9" s="12"/>
      <c r="B9" s="106" t="s">
        <v>4</v>
      </c>
      <c r="C9" s="107"/>
      <c r="D9" s="107"/>
      <c r="E9" s="107"/>
      <c r="F9" s="107"/>
      <c r="G9" s="107"/>
      <c r="H9" s="107"/>
      <c r="I9" s="107"/>
      <c r="J9" s="17">
        <f t="shared" ref="J9:AO9" si="7">COUNTIF(J14:J1972,"T")</f>
        <v>7</v>
      </c>
      <c r="K9" s="17">
        <f t="shared" si="7"/>
        <v>7</v>
      </c>
      <c r="L9" s="17">
        <f t="shared" si="7"/>
        <v>7</v>
      </c>
      <c r="M9" s="17">
        <f t="shared" si="7"/>
        <v>7</v>
      </c>
      <c r="N9" s="17">
        <f t="shared" si="7"/>
        <v>7</v>
      </c>
      <c r="O9" s="17">
        <f t="shared" si="7"/>
        <v>7</v>
      </c>
      <c r="P9" s="17">
        <f t="shared" si="7"/>
        <v>7</v>
      </c>
      <c r="Q9" s="17">
        <f t="shared" si="7"/>
        <v>7</v>
      </c>
      <c r="R9" s="17">
        <f t="shared" si="7"/>
        <v>7</v>
      </c>
      <c r="S9" s="17">
        <f t="shared" si="7"/>
        <v>7</v>
      </c>
      <c r="T9" s="17">
        <f t="shared" si="7"/>
        <v>7</v>
      </c>
      <c r="U9" s="17">
        <f t="shared" si="7"/>
        <v>7</v>
      </c>
      <c r="V9" s="17">
        <f t="shared" si="7"/>
        <v>7</v>
      </c>
      <c r="W9" s="17">
        <f t="shared" si="7"/>
        <v>7</v>
      </c>
      <c r="X9" s="17">
        <f t="shared" si="7"/>
        <v>8</v>
      </c>
      <c r="Y9" s="17">
        <f t="shared" si="7"/>
        <v>7</v>
      </c>
      <c r="Z9" s="17">
        <f t="shared" si="7"/>
        <v>7</v>
      </c>
      <c r="AA9" s="17">
        <f t="shared" si="7"/>
        <v>9</v>
      </c>
      <c r="AB9" s="17">
        <f t="shared" si="7"/>
        <v>7</v>
      </c>
      <c r="AC9" s="17">
        <f t="shared" si="7"/>
        <v>7</v>
      </c>
      <c r="AD9" s="17">
        <f t="shared" si="7"/>
        <v>7</v>
      </c>
      <c r="AE9" s="17">
        <f t="shared" si="7"/>
        <v>7</v>
      </c>
      <c r="AF9" s="17">
        <f t="shared" si="7"/>
        <v>7</v>
      </c>
      <c r="AG9" s="17">
        <f t="shared" si="7"/>
        <v>7</v>
      </c>
      <c r="AH9" s="17">
        <f t="shared" si="7"/>
        <v>7</v>
      </c>
      <c r="AI9" s="17">
        <f t="shared" si="7"/>
        <v>8</v>
      </c>
      <c r="AJ9" s="17">
        <f t="shared" si="7"/>
        <v>7</v>
      </c>
      <c r="AK9" s="17">
        <f t="shared" si="7"/>
        <v>7</v>
      </c>
      <c r="AL9" s="17">
        <f t="shared" si="7"/>
        <v>7</v>
      </c>
      <c r="AM9" s="17">
        <f t="shared" si="7"/>
        <v>7</v>
      </c>
      <c r="AN9" s="17">
        <f t="shared" si="7"/>
        <v>7</v>
      </c>
      <c r="AO9" s="17">
        <f t="shared" si="7"/>
        <v>0</v>
      </c>
      <c r="AP9" s="17">
        <f t="shared" ref="AP9:BP9" si="8">COUNTIF(AP14:AP1972,"T")</f>
        <v>9</v>
      </c>
      <c r="AQ9" s="17">
        <f t="shared" si="8"/>
        <v>10</v>
      </c>
      <c r="AR9" s="17">
        <f t="shared" si="8"/>
        <v>7</v>
      </c>
      <c r="AS9" s="17">
        <f t="shared" si="8"/>
        <v>7</v>
      </c>
      <c r="AT9" s="17">
        <f t="shared" si="8"/>
        <v>9</v>
      </c>
      <c r="AU9" s="17">
        <f t="shared" si="8"/>
        <v>7</v>
      </c>
      <c r="AV9" s="17">
        <f t="shared" si="8"/>
        <v>7</v>
      </c>
      <c r="AW9" s="17">
        <f t="shared" si="8"/>
        <v>7</v>
      </c>
      <c r="AX9" s="17">
        <f t="shared" si="8"/>
        <v>7</v>
      </c>
      <c r="AY9" s="17">
        <f t="shared" si="8"/>
        <v>7</v>
      </c>
      <c r="AZ9" s="17">
        <f t="shared" si="8"/>
        <v>7</v>
      </c>
      <c r="BA9" s="17">
        <f t="shared" si="8"/>
        <v>8</v>
      </c>
      <c r="BB9" s="17">
        <f t="shared" si="8"/>
        <v>7</v>
      </c>
      <c r="BC9" s="17">
        <f t="shared" si="8"/>
        <v>7</v>
      </c>
      <c r="BD9" s="17">
        <f t="shared" si="8"/>
        <v>7</v>
      </c>
      <c r="BE9" s="17">
        <f t="shared" si="8"/>
        <v>7</v>
      </c>
      <c r="BF9" s="17">
        <f t="shared" si="8"/>
        <v>7</v>
      </c>
      <c r="BG9" s="17">
        <f t="shared" si="8"/>
        <v>7</v>
      </c>
      <c r="BH9" s="17">
        <f t="shared" si="8"/>
        <v>7</v>
      </c>
      <c r="BI9" s="17">
        <f t="shared" si="8"/>
        <v>7</v>
      </c>
      <c r="BJ9" s="17">
        <f t="shared" si="8"/>
        <v>7</v>
      </c>
      <c r="BK9" s="17">
        <f t="shared" si="8"/>
        <v>7</v>
      </c>
      <c r="BL9" s="17">
        <f t="shared" si="8"/>
        <v>7</v>
      </c>
      <c r="BM9" s="17">
        <f t="shared" si="8"/>
        <v>7</v>
      </c>
      <c r="BN9" s="17">
        <f t="shared" si="8"/>
        <v>7</v>
      </c>
      <c r="BO9" s="17">
        <f t="shared" si="8"/>
        <v>7</v>
      </c>
      <c r="BP9" s="17">
        <f t="shared" si="8"/>
        <v>7</v>
      </c>
      <c r="BQ9" s="17">
        <f t="shared" ref="BQ9:CS9" si="9">COUNTIF(BQ14:BQ1972,"T")</f>
        <v>7</v>
      </c>
      <c r="BR9" s="17">
        <f t="shared" si="9"/>
        <v>0</v>
      </c>
      <c r="BS9" s="17">
        <f t="shared" si="9"/>
        <v>0</v>
      </c>
      <c r="BT9" s="17">
        <f t="shared" si="9"/>
        <v>0</v>
      </c>
      <c r="BU9" s="17">
        <f t="shared" si="9"/>
        <v>0</v>
      </c>
      <c r="BV9" s="17">
        <f t="shared" si="9"/>
        <v>0</v>
      </c>
      <c r="BW9" s="17">
        <f t="shared" si="9"/>
        <v>0</v>
      </c>
      <c r="BX9" s="17">
        <f t="shared" si="9"/>
        <v>0</v>
      </c>
      <c r="BY9" s="17">
        <f t="shared" si="9"/>
        <v>0</v>
      </c>
      <c r="BZ9" s="17">
        <f t="shared" si="9"/>
        <v>0</v>
      </c>
      <c r="CA9" s="17">
        <f t="shared" si="9"/>
        <v>0</v>
      </c>
      <c r="CB9" s="17">
        <f t="shared" si="9"/>
        <v>0</v>
      </c>
      <c r="CC9" s="17">
        <f t="shared" si="9"/>
        <v>0</v>
      </c>
      <c r="CD9" s="17">
        <f t="shared" si="9"/>
        <v>0</v>
      </c>
      <c r="CE9" s="17">
        <f t="shared" si="9"/>
        <v>0</v>
      </c>
      <c r="CF9" s="17">
        <f t="shared" si="9"/>
        <v>0</v>
      </c>
      <c r="CG9" s="17">
        <f t="shared" si="9"/>
        <v>0</v>
      </c>
      <c r="CH9" s="17">
        <f t="shared" si="9"/>
        <v>0</v>
      </c>
      <c r="CI9" s="17">
        <f t="shared" si="9"/>
        <v>0</v>
      </c>
      <c r="CJ9" s="17">
        <f t="shared" si="9"/>
        <v>0</v>
      </c>
      <c r="CK9" s="17">
        <f t="shared" si="9"/>
        <v>0</v>
      </c>
      <c r="CL9" s="17">
        <f t="shared" si="9"/>
        <v>0</v>
      </c>
      <c r="CM9" s="17">
        <f t="shared" si="9"/>
        <v>0</v>
      </c>
      <c r="CN9" s="17">
        <f t="shared" si="9"/>
        <v>0</v>
      </c>
      <c r="CO9" s="17">
        <f t="shared" si="9"/>
        <v>0</v>
      </c>
      <c r="CP9" s="17">
        <f t="shared" si="9"/>
        <v>0</v>
      </c>
      <c r="CQ9" s="17">
        <f t="shared" si="9"/>
        <v>0</v>
      </c>
      <c r="CR9" s="17">
        <f t="shared" si="9"/>
        <v>0</v>
      </c>
      <c r="CS9" s="17">
        <f t="shared" si="9"/>
        <v>0</v>
      </c>
    </row>
    <row r="10" spans="1:103" s="20" customFormat="1" ht="16.5" customHeight="1" x14ac:dyDescent="0.25">
      <c r="A10" s="12"/>
      <c r="B10" s="108" t="s">
        <v>5</v>
      </c>
      <c r="C10" s="109"/>
      <c r="D10" s="109"/>
      <c r="E10" s="109"/>
      <c r="F10" s="109"/>
      <c r="G10" s="109"/>
      <c r="H10" s="109"/>
      <c r="I10" s="109"/>
      <c r="J10" s="19">
        <f t="shared" ref="J10:AO10" si="10">COUNTIF(J14:J1972,"P1")+COUNTIF(J14:J1972,"P2")+COUNTIF(J14:J1972,"P3")</f>
        <v>0</v>
      </c>
      <c r="K10" s="19">
        <f t="shared" si="10"/>
        <v>0</v>
      </c>
      <c r="L10" s="19">
        <f t="shared" si="10"/>
        <v>0</v>
      </c>
      <c r="M10" s="19">
        <f t="shared" si="10"/>
        <v>0</v>
      </c>
      <c r="N10" s="19">
        <f t="shared" si="10"/>
        <v>0</v>
      </c>
      <c r="O10" s="19">
        <f t="shared" si="10"/>
        <v>0</v>
      </c>
      <c r="P10" s="19">
        <f t="shared" si="10"/>
        <v>0</v>
      </c>
      <c r="Q10" s="19">
        <f t="shared" si="10"/>
        <v>7</v>
      </c>
      <c r="R10" s="19">
        <f t="shared" si="10"/>
        <v>7</v>
      </c>
      <c r="S10" s="19">
        <f t="shared" si="10"/>
        <v>7</v>
      </c>
      <c r="T10" s="19">
        <f t="shared" si="10"/>
        <v>7</v>
      </c>
      <c r="U10" s="19">
        <f t="shared" si="10"/>
        <v>7</v>
      </c>
      <c r="V10" s="19">
        <f t="shared" si="10"/>
        <v>7</v>
      </c>
      <c r="W10" s="19">
        <f t="shared" si="10"/>
        <v>7</v>
      </c>
      <c r="X10" s="19">
        <f t="shared" si="10"/>
        <v>14</v>
      </c>
      <c r="Y10" s="19">
        <f t="shared" si="10"/>
        <v>14</v>
      </c>
      <c r="Z10" s="19">
        <f t="shared" si="10"/>
        <v>14</v>
      </c>
      <c r="AA10" s="19">
        <f t="shared" si="10"/>
        <v>14</v>
      </c>
      <c r="AB10" s="19">
        <f t="shared" si="10"/>
        <v>14</v>
      </c>
      <c r="AC10" s="19">
        <f t="shared" si="10"/>
        <v>14</v>
      </c>
      <c r="AD10" s="19">
        <f t="shared" si="10"/>
        <v>21</v>
      </c>
      <c r="AE10" s="19">
        <f t="shared" si="10"/>
        <v>22</v>
      </c>
      <c r="AF10" s="19">
        <f t="shared" si="10"/>
        <v>21</v>
      </c>
      <c r="AG10" s="19">
        <f t="shared" si="10"/>
        <v>21</v>
      </c>
      <c r="AH10" s="19">
        <f t="shared" si="10"/>
        <v>23</v>
      </c>
      <c r="AI10" s="19">
        <f t="shared" si="10"/>
        <v>21</v>
      </c>
      <c r="AJ10" s="19">
        <f t="shared" si="10"/>
        <v>21</v>
      </c>
      <c r="AK10" s="19">
        <f t="shared" si="10"/>
        <v>21</v>
      </c>
      <c r="AL10" s="19">
        <f t="shared" si="10"/>
        <v>22</v>
      </c>
      <c r="AM10" s="19">
        <f t="shared" si="10"/>
        <v>21</v>
      </c>
      <c r="AN10" s="19">
        <f t="shared" si="10"/>
        <v>21</v>
      </c>
      <c r="AO10" s="19">
        <f t="shared" si="10"/>
        <v>23</v>
      </c>
      <c r="AP10" s="19">
        <f t="shared" ref="AP10:BP10" si="11">COUNTIF(AP14:AP1972,"P1")+COUNTIF(AP14:AP1972,"P2")+COUNTIF(AP14:AP1972,"P3")</f>
        <v>22</v>
      </c>
      <c r="AQ10" s="19">
        <f t="shared" si="11"/>
        <v>21</v>
      </c>
      <c r="AR10" s="19">
        <f t="shared" si="11"/>
        <v>22</v>
      </c>
      <c r="AS10" s="19">
        <f t="shared" si="11"/>
        <v>21</v>
      </c>
      <c r="AT10" s="19">
        <f t="shared" si="11"/>
        <v>21</v>
      </c>
      <c r="AU10" s="19">
        <f t="shared" si="11"/>
        <v>23</v>
      </c>
      <c r="AV10" s="19">
        <f t="shared" si="11"/>
        <v>14</v>
      </c>
      <c r="AW10" s="19">
        <f t="shared" si="11"/>
        <v>24</v>
      </c>
      <c r="AX10" s="19">
        <f t="shared" si="11"/>
        <v>24</v>
      </c>
      <c r="AY10" s="19">
        <f t="shared" si="11"/>
        <v>21</v>
      </c>
      <c r="AZ10" s="19">
        <f t="shared" si="11"/>
        <v>21</v>
      </c>
      <c r="BA10" s="19">
        <f t="shared" si="11"/>
        <v>23</v>
      </c>
      <c r="BB10" s="19">
        <f t="shared" si="11"/>
        <v>21</v>
      </c>
      <c r="BC10" s="19">
        <f t="shared" si="11"/>
        <v>15</v>
      </c>
      <c r="BD10" s="19">
        <f t="shared" si="11"/>
        <v>23</v>
      </c>
      <c r="BE10" s="19">
        <f t="shared" si="11"/>
        <v>24</v>
      </c>
      <c r="BF10" s="19">
        <f t="shared" si="11"/>
        <v>21</v>
      </c>
      <c r="BG10" s="19">
        <f t="shared" si="11"/>
        <v>21</v>
      </c>
      <c r="BH10" s="19">
        <f t="shared" si="11"/>
        <v>24</v>
      </c>
      <c r="BI10" s="19">
        <f t="shared" si="11"/>
        <v>14</v>
      </c>
      <c r="BJ10" s="19">
        <f t="shared" si="11"/>
        <v>23</v>
      </c>
      <c r="BK10" s="19">
        <f t="shared" si="11"/>
        <v>24</v>
      </c>
      <c r="BL10" s="19">
        <f t="shared" si="11"/>
        <v>21</v>
      </c>
      <c r="BM10" s="19">
        <f t="shared" si="11"/>
        <v>21</v>
      </c>
      <c r="BN10" s="19">
        <f t="shared" si="11"/>
        <v>23</v>
      </c>
      <c r="BO10" s="19">
        <f t="shared" si="11"/>
        <v>22</v>
      </c>
      <c r="BP10" s="19">
        <f t="shared" si="11"/>
        <v>21</v>
      </c>
      <c r="BQ10" s="19">
        <f t="shared" ref="BQ10:CS10" si="12">COUNTIF(BQ14:BQ1972,"P1")+COUNTIF(BQ14:BQ1972,"P2")+COUNTIF(BQ14:BQ1972,"P3")</f>
        <v>21</v>
      </c>
      <c r="BR10" s="19">
        <f t="shared" si="12"/>
        <v>21</v>
      </c>
      <c r="BS10" s="19">
        <f t="shared" si="12"/>
        <v>21</v>
      </c>
      <c r="BT10" s="19">
        <f t="shared" si="12"/>
        <v>21</v>
      </c>
      <c r="BU10" s="19">
        <f t="shared" si="12"/>
        <v>22</v>
      </c>
      <c r="BV10" s="19">
        <f t="shared" si="12"/>
        <v>21</v>
      </c>
      <c r="BW10" s="19">
        <f t="shared" si="12"/>
        <v>21</v>
      </c>
      <c r="BX10" s="19">
        <f t="shared" si="12"/>
        <v>21</v>
      </c>
      <c r="BY10" s="19">
        <f t="shared" si="12"/>
        <v>14</v>
      </c>
      <c r="BZ10" s="19">
        <f t="shared" si="12"/>
        <v>14</v>
      </c>
      <c r="CA10" s="19">
        <f t="shared" si="12"/>
        <v>14</v>
      </c>
      <c r="CB10" s="19">
        <f t="shared" si="12"/>
        <v>14</v>
      </c>
      <c r="CC10" s="19">
        <f t="shared" si="12"/>
        <v>14</v>
      </c>
      <c r="CD10" s="19">
        <f t="shared" si="12"/>
        <v>14</v>
      </c>
      <c r="CE10" s="19">
        <f t="shared" si="12"/>
        <v>14</v>
      </c>
      <c r="CF10" s="19">
        <f t="shared" si="12"/>
        <v>7</v>
      </c>
      <c r="CG10" s="19">
        <f t="shared" si="12"/>
        <v>7</v>
      </c>
      <c r="CH10" s="19">
        <f t="shared" si="12"/>
        <v>7</v>
      </c>
      <c r="CI10" s="19">
        <f t="shared" si="12"/>
        <v>7</v>
      </c>
      <c r="CJ10" s="19">
        <f t="shared" si="12"/>
        <v>7</v>
      </c>
      <c r="CK10" s="19">
        <f t="shared" si="12"/>
        <v>7</v>
      </c>
      <c r="CL10" s="19">
        <f t="shared" si="12"/>
        <v>0</v>
      </c>
      <c r="CM10" s="19">
        <f t="shared" si="12"/>
        <v>0</v>
      </c>
      <c r="CN10" s="19">
        <f t="shared" si="12"/>
        <v>0</v>
      </c>
      <c r="CO10" s="19">
        <f t="shared" si="12"/>
        <v>0</v>
      </c>
      <c r="CP10" s="19">
        <f t="shared" si="12"/>
        <v>0</v>
      </c>
      <c r="CQ10" s="19">
        <f t="shared" si="12"/>
        <v>0</v>
      </c>
      <c r="CR10" s="19">
        <f t="shared" si="12"/>
        <v>0</v>
      </c>
      <c r="CS10" s="19">
        <f t="shared" si="12"/>
        <v>0</v>
      </c>
    </row>
    <row r="11" spans="1:103" s="22" customFormat="1" ht="16.5" customHeight="1" x14ac:dyDescent="0.25">
      <c r="A11" s="12"/>
      <c r="B11" s="110" t="s">
        <v>6</v>
      </c>
      <c r="C11" s="111"/>
      <c r="D11" s="111"/>
      <c r="E11" s="111"/>
      <c r="F11" s="111"/>
      <c r="G11" s="111"/>
      <c r="H11" s="111"/>
      <c r="I11" s="111"/>
      <c r="J11" s="21">
        <f t="shared" ref="J11:AO11" si="13">COUNTIF(J14:J1972,"C1")+COUNTIF(J14:J1972,"C2")</f>
        <v>0</v>
      </c>
      <c r="K11" s="21">
        <f t="shared" si="13"/>
        <v>0</v>
      </c>
      <c r="L11" s="21">
        <f t="shared" si="13"/>
        <v>0</v>
      </c>
      <c r="M11" s="21">
        <f t="shared" si="13"/>
        <v>0</v>
      </c>
      <c r="N11" s="21">
        <f t="shared" si="13"/>
        <v>0</v>
      </c>
      <c r="O11" s="21">
        <f t="shared" si="13"/>
        <v>0</v>
      </c>
      <c r="P11" s="21">
        <f t="shared" si="13"/>
        <v>0</v>
      </c>
      <c r="Q11" s="21">
        <f t="shared" si="13"/>
        <v>0</v>
      </c>
      <c r="R11" s="21">
        <f t="shared" si="13"/>
        <v>7</v>
      </c>
      <c r="S11" s="21">
        <f t="shared" si="13"/>
        <v>7</v>
      </c>
      <c r="T11" s="21">
        <f t="shared" si="13"/>
        <v>7</v>
      </c>
      <c r="U11" s="21">
        <f t="shared" si="13"/>
        <v>7</v>
      </c>
      <c r="V11" s="21">
        <f t="shared" si="13"/>
        <v>7</v>
      </c>
      <c r="W11" s="21">
        <f t="shared" si="13"/>
        <v>7</v>
      </c>
      <c r="X11" s="21">
        <f t="shared" si="13"/>
        <v>7</v>
      </c>
      <c r="Y11" s="21">
        <f t="shared" si="13"/>
        <v>14</v>
      </c>
      <c r="Z11" s="21">
        <f t="shared" si="13"/>
        <v>14</v>
      </c>
      <c r="AA11" s="21">
        <f t="shared" si="13"/>
        <v>14</v>
      </c>
      <c r="AB11" s="21">
        <f t="shared" si="13"/>
        <v>14</v>
      </c>
      <c r="AC11" s="21">
        <f t="shared" si="13"/>
        <v>14</v>
      </c>
      <c r="AD11" s="21">
        <f t="shared" si="13"/>
        <v>14</v>
      </c>
      <c r="AE11" s="21">
        <f t="shared" si="13"/>
        <v>14</v>
      </c>
      <c r="AF11" s="21">
        <f t="shared" si="13"/>
        <v>15</v>
      </c>
      <c r="AG11" s="21">
        <f t="shared" si="13"/>
        <v>14</v>
      </c>
      <c r="AH11" s="21">
        <f t="shared" si="13"/>
        <v>14</v>
      </c>
      <c r="AI11" s="21">
        <f t="shared" si="13"/>
        <v>16</v>
      </c>
      <c r="AJ11" s="21">
        <f t="shared" si="13"/>
        <v>14</v>
      </c>
      <c r="AK11" s="21">
        <f t="shared" si="13"/>
        <v>14</v>
      </c>
      <c r="AL11" s="21">
        <f t="shared" si="13"/>
        <v>14</v>
      </c>
      <c r="AM11" s="21">
        <f t="shared" si="13"/>
        <v>15</v>
      </c>
      <c r="AN11" s="21">
        <f t="shared" si="13"/>
        <v>14</v>
      </c>
      <c r="AO11" s="21">
        <f t="shared" si="13"/>
        <v>14</v>
      </c>
      <c r="AP11" s="21">
        <f t="shared" ref="AP11:BP11" si="14">COUNTIF(AP14:AP1972,"C1")+COUNTIF(AP14:AP1972,"C2")</f>
        <v>16</v>
      </c>
      <c r="AQ11" s="21">
        <f t="shared" si="14"/>
        <v>15</v>
      </c>
      <c r="AR11" s="21">
        <f t="shared" si="14"/>
        <v>14</v>
      </c>
      <c r="AS11" s="21">
        <f t="shared" si="14"/>
        <v>14</v>
      </c>
      <c r="AT11" s="21">
        <f t="shared" si="14"/>
        <v>14</v>
      </c>
      <c r="AU11" s="21">
        <f t="shared" si="14"/>
        <v>14</v>
      </c>
      <c r="AV11" s="21">
        <f t="shared" si="14"/>
        <v>14</v>
      </c>
      <c r="AW11" s="21">
        <f t="shared" si="14"/>
        <v>7</v>
      </c>
      <c r="AX11" s="21">
        <f t="shared" si="14"/>
        <v>17</v>
      </c>
      <c r="AY11" s="21">
        <f t="shared" si="14"/>
        <v>17</v>
      </c>
      <c r="AZ11" s="21">
        <f t="shared" si="14"/>
        <v>14</v>
      </c>
      <c r="BA11" s="21">
        <f t="shared" si="14"/>
        <v>14</v>
      </c>
      <c r="BB11" s="21">
        <f t="shared" si="14"/>
        <v>16</v>
      </c>
      <c r="BC11" s="21">
        <f t="shared" si="14"/>
        <v>14</v>
      </c>
      <c r="BD11" s="21">
        <f t="shared" si="14"/>
        <v>7</v>
      </c>
      <c r="BE11" s="21">
        <f t="shared" si="14"/>
        <v>16</v>
      </c>
      <c r="BF11" s="21">
        <f t="shared" si="14"/>
        <v>17</v>
      </c>
      <c r="BG11" s="21">
        <f t="shared" si="14"/>
        <v>14</v>
      </c>
      <c r="BH11" s="21">
        <f t="shared" si="14"/>
        <v>14</v>
      </c>
      <c r="BI11" s="21">
        <f t="shared" si="14"/>
        <v>17</v>
      </c>
      <c r="BJ11" s="21">
        <f t="shared" si="14"/>
        <v>14</v>
      </c>
      <c r="BK11" s="21">
        <f t="shared" si="14"/>
        <v>14</v>
      </c>
      <c r="BL11" s="21">
        <f t="shared" si="14"/>
        <v>14</v>
      </c>
      <c r="BM11" s="21">
        <f t="shared" si="14"/>
        <v>14</v>
      </c>
      <c r="BN11" s="21">
        <f t="shared" si="14"/>
        <v>14</v>
      </c>
      <c r="BO11" s="21">
        <f t="shared" si="14"/>
        <v>14</v>
      </c>
      <c r="BP11" s="21">
        <f t="shared" si="14"/>
        <v>15</v>
      </c>
      <c r="BQ11" s="21">
        <f t="shared" ref="BQ11:CS11" si="15">COUNTIF(BQ14:BQ1972,"C1")+COUNTIF(BQ14:BQ1972,"C2")</f>
        <v>14</v>
      </c>
      <c r="BR11" s="21">
        <f t="shared" si="15"/>
        <v>14</v>
      </c>
      <c r="BS11" s="21">
        <f t="shared" si="15"/>
        <v>14</v>
      </c>
      <c r="BT11" s="21">
        <f t="shared" si="15"/>
        <v>14</v>
      </c>
      <c r="BU11" s="21">
        <f t="shared" si="15"/>
        <v>14</v>
      </c>
      <c r="BV11" s="21">
        <f t="shared" si="15"/>
        <v>14</v>
      </c>
      <c r="BW11" s="21">
        <f t="shared" si="15"/>
        <v>14</v>
      </c>
      <c r="BX11" s="21">
        <f t="shared" si="15"/>
        <v>14</v>
      </c>
      <c r="BY11" s="21">
        <f t="shared" si="15"/>
        <v>14</v>
      </c>
      <c r="BZ11" s="21">
        <f t="shared" si="15"/>
        <v>7</v>
      </c>
      <c r="CA11" s="21">
        <f t="shared" si="15"/>
        <v>7</v>
      </c>
      <c r="CB11" s="21">
        <f t="shared" si="15"/>
        <v>7</v>
      </c>
      <c r="CC11" s="21">
        <f t="shared" si="15"/>
        <v>7</v>
      </c>
      <c r="CD11" s="21">
        <f t="shared" si="15"/>
        <v>7</v>
      </c>
      <c r="CE11" s="21">
        <f t="shared" si="15"/>
        <v>7</v>
      </c>
      <c r="CF11" s="21">
        <f t="shared" si="15"/>
        <v>7</v>
      </c>
      <c r="CG11" s="21">
        <f t="shared" si="15"/>
        <v>0</v>
      </c>
      <c r="CH11" s="21">
        <f t="shared" si="15"/>
        <v>0</v>
      </c>
      <c r="CI11" s="21">
        <f t="shared" si="15"/>
        <v>0</v>
      </c>
      <c r="CJ11" s="21">
        <f t="shared" si="15"/>
        <v>0</v>
      </c>
      <c r="CK11" s="21">
        <f t="shared" si="15"/>
        <v>0</v>
      </c>
      <c r="CL11" s="21">
        <f t="shared" si="15"/>
        <v>0</v>
      </c>
      <c r="CM11" s="21">
        <f t="shared" si="15"/>
        <v>0</v>
      </c>
      <c r="CN11" s="21">
        <f t="shared" si="15"/>
        <v>0</v>
      </c>
      <c r="CO11" s="21">
        <f t="shared" si="15"/>
        <v>0</v>
      </c>
      <c r="CP11" s="21">
        <f t="shared" si="15"/>
        <v>0</v>
      </c>
      <c r="CQ11" s="21">
        <f t="shared" si="15"/>
        <v>0</v>
      </c>
      <c r="CR11" s="21">
        <f t="shared" si="15"/>
        <v>0</v>
      </c>
      <c r="CS11" s="21">
        <f t="shared" si="15"/>
        <v>0</v>
      </c>
    </row>
    <row r="12" spans="1:103" s="24" customFormat="1" ht="16.5" hidden="1" customHeight="1" x14ac:dyDescent="0.25">
      <c r="A12" s="12"/>
      <c r="B12" s="101" t="s">
        <v>7</v>
      </c>
      <c r="C12" s="102"/>
      <c r="D12" s="102"/>
      <c r="E12" s="102"/>
      <c r="F12" s="102"/>
      <c r="G12" s="102"/>
      <c r="H12" s="102"/>
      <c r="I12" s="102"/>
      <c r="J12" s="23">
        <f t="shared" ref="J12:AO12" si="16">COUNTIF(J15:J1972,"")</f>
        <v>1951</v>
      </c>
      <c r="K12" s="23">
        <f t="shared" si="16"/>
        <v>1951</v>
      </c>
      <c r="L12" s="23">
        <f t="shared" si="16"/>
        <v>1951</v>
      </c>
      <c r="M12" s="23">
        <f t="shared" si="16"/>
        <v>1951</v>
      </c>
      <c r="N12" s="23">
        <f t="shared" si="16"/>
        <v>1951</v>
      </c>
      <c r="O12" s="23">
        <f t="shared" si="16"/>
        <v>1951</v>
      </c>
      <c r="P12" s="23">
        <f t="shared" si="16"/>
        <v>1951</v>
      </c>
      <c r="Q12" s="23">
        <f t="shared" si="16"/>
        <v>1944</v>
      </c>
      <c r="R12" s="23">
        <f t="shared" si="16"/>
        <v>1937</v>
      </c>
      <c r="S12" s="23">
        <f t="shared" si="16"/>
        <v>1937</v>
      </c>
      <c r="T12" s="23">
        <f t="shared" si="16"/>
        <v>1937</v>
      </c>
      <c r="U12" s="23">
        <f t="shared" si="16"/>
        <v>1937</v>
      </c>
      <c r="V12" s="23">
        <f t="shared" si="16"/>
        <v>1937</v>
      </c>
      <c r="W12" s="23">
        <f t="shared" si="16"/>
        <v>1937</v>
      </c>
      <c r="X12" s="23">
        <f t="shared" si="16"/>
        <v>1929</v>
      </c>
      <c r="Y12" s="23">
        <f t="shared" si="16"/>
        <v>1923</v>
      </c>
      <c r="Z12" s="23">
        <f t="shared" si="16"/>
        <v>1923</v>
      </c>
      <c r="AA12" s="23">
        <f t="shared" si="16"/>
        <v>1921</v>
      </c>
      <c r="AB12" s="23">
        <f t="shared" si="16"/>
        <v>1923</v>
      </c>
      <c r="AC12" s="23">
        <f t="shared" si="16"/>
        <v>1924</v>
      </c>
      <c r="AD12" s="23">
        <f t="shared" si="16"/>
        <v>1916</v>
      </c>
      <c r="AE12" s="23">
        <f t="shared" si="16"/>
        <v>1915</v>
      </c>
      <c r="AF12" s="23">
        <f t="shared" si="16"/>
        <v>1915</v>
      </c>
      <c r="AG12" s="23">
        <f t="shared" si="16"/>
        <v>1909</v>
      </c>
      <c r="AH12" s="23">
        <f t="shared" si="16"/>
        <v>1907</v>
      </c>
      <c r="AI12" s="23">
        <f t="shared" si="16"/>
        <v>1906</v>
      </c>
      <c r="AJ12" s="23">
        <f t="shared" si="16"/>
        <v>1910</v>
      </c>
      <c r="AK12" s="23">
        <f t="shared" si="16"/>
        <v>1910</v>
      </c>
      <c r="AL12" s="23">
        <f t="shared" si="16"/>
        <v>1908</v>
      </c>
      <c r="AM12" s="23">
        <f t="shared" si="16"/>
        <v>1908</v>
      </c>
      <c r="AN12" s="23">
        <f t="shared" si="16"/>
        <v>1909</v>
      </c>
      <c r="AO12" s="23">
        <f t="shared" si="16"/>
        <v>1914</v>
      </c>
      <c r="AP12" s="23">
        <f t="shared" ref="AP12:BQ12" si="17">COUNTIF(AP15:AP1972,"")</f>
        <v>1904</v>
      </c>
      <c r="AQ12" s="23">
        <f t="shared" si="17"/>
        <v>1906</v>
      </c>
      <c r="AR12" s="23">
        <f t="shared" si="17"/>
        <v>1909</v>
      </c>
      <c r="AS12" s="23">
        <f t="shared" si="17"/>
        <v>1909</v>
      </c>
      <c r="AT12" s="23">
        <f t="shared" si="17"/>
        <v>1907</v>
      </c>
      <c r="AU12" s="23">
        <f t="shared" si="17"/>
        <v>1906</v>
      </c>
      <c r="AV12" s="23">
        <f t="shared" si="17"/>
        <v>1916</v>
      </c>
      <c r="AW12" s="23">
        <f t="shared" si="17"/>
        <v>1914</v>
      </c>
      <c r="AX12" s="23">
        <f t="shared" si="17"/>
        <v>1901</v>
      </c>
      <c r="AY12" s="23">
        <f t="shared" si="17"/>
        <v>1906</v>
      </c>
      <c r="AZ12" s="23">
        <f t="shared" si="17"/>
        <v>1910</v>
      </c>
      <c r="BA12" s="23">
        <f t="shared" si="17"/>
        <v>1906</v>
      </c>
      <c r="BB12" s="23">
        <f t="shared" si="17"/>
        <v>1907</v>
      </c>
      <c r="BC12" s="23">
        <f t="shared" si="17"/>
        <v>1915</v>
      </c>
      <c r="BD12" s="23">
        <f t="shared" si="17"/>
        <v>1914</v>
      </c>
      <c r="BE12" s="23">
        <f t="shared" si="17"/>
        <v>1905</v>
      </c>
      <c r="BF12" s="23">
        <f t="shared" si="17"/>
        <v>1905</v>
      </c>
      <c r="BG12" s="23">
        <f t="shared" si="17"/>
        <v>1909</v>
      </c>
      <c r="BH12" s="23">
        <f t="shared" si="17"/>
        <v>1906</v>
      </c>
      <c r="BI12" s="23">
        <f t="shared" si="17"/>
        <v>1913</v>
      </c>
      <c r="BJ12" s="23">
        <f t="shared" si="17"/>
        <v>1907</v>
      </c>
      <c r="BK12" s="23">
        <f t="shared" si="17"/>
        <v>1906</v>
      </c>
      <c r="BL12" s="23">
        <f t="shared" si="17"/>
        <v>1917</v>
      </c>
      <c r="BM12" s="23">
        <f t="shared" si="17"/>
        <v>1908</v>
      </c>
      <c r="BN12" s="23">
        <f t="shared" si="17"/>
        <v>1904</v>
      </c>
      <c r="BO12" s="23">
        <f t="shared" si="17"/>
        <v>1908</v>
      </c>
      <c r="BP12" s="23">
        <f t="shared" si="17"/>
        <v>1908</v>
      </c>
      <c r="BQ12" s="23">
        <f t="shared" si="17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8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19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8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19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8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19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8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19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8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19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8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19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8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19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8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19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8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19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8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19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8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19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8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19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8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19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8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19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8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19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8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19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8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19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8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19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8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19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8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19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8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19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8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19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8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19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8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19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8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19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8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19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8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19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8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19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8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19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8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19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8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19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8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19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8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19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8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19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8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19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8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19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8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19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8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19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8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19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8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19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8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19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8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19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8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19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8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19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8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19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8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19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8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19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8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19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8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19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8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19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8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19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8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19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8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19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8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19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8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19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8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19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8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19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8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19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8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19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8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19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8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19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8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19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8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19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8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19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0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1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0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1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0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1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0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1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0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1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0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1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0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1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0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1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0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1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0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1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0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1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0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1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0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1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0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1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0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1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0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1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0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1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0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1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0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1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0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1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0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1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0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1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0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1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0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1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0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1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0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1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0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1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0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1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0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1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0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1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0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1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0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1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0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1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0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1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0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1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0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1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0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1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0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1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0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1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0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1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0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1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0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1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0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1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0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1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0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1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0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1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0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1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0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1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0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1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0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1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0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1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0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1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0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1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0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1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0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1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0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1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0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1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0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1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0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1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0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1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0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1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0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1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0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1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0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1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2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3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2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3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2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3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2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3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2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3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2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3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2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3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2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3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2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3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2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3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2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3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2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3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2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3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2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3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2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3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2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3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2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3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2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3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2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3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2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3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2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3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2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3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2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3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2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3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2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3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2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3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2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3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2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3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2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3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2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3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2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3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2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3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2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3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2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3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2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3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2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3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2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3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2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3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2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3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2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3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2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3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2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3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2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3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2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3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2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3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2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3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2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3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2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3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2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3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2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3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2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3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2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3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2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3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2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3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2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3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2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3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2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3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2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3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2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3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2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3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2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3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2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3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2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3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2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3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4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5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4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5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4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5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4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5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4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5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4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5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4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5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4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5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4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5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4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5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4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5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4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5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4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5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4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5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4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5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4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5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4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5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4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5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4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5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4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5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4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5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4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5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4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5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4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5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4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5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4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5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4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5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4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5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4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5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50" priority="911">
      <formula>LEN(TRIM(E14))=0</formula>
    </cfRule>
  </conditionalFormatting>
  <conditionalFormatting sqref="J114:J119 BT207:BV213 AW168:BA174 BZ168:CP174">
    <cfRule type="containsText" dxfId="1049" priority="906" operator="containsText" text="T">
      <formula>NOT(ISERROR(SEARCH("T",J114)))</formula>
    </cfRule>
  </conditionalFormatting>
  <conditionalFormatting sqref="J120:M126">
    <cfRule type="containsText" dxfId="1048" priority="447" operator="containsText" text="T">
      <formula>NOT(ISERROR(SEARCH("T",J120)))</formula>
    </cfRule>
  </conditionalFormatting>
  <conditionalFormatting sqref="J113:T113">
    <cfRule type="containsText" dxfId="1047" priority="898" operator="containsText" text="17">
      <formula>NOT(ISERROR(SEARCH("17",J113)))</formula>
    </cfRule>
    <cfRule type="containsText" dxfId="1046" priority="899" operator="containsText" text="T">
      <formula>NOT(ISERROR(SEARCH("T",J113)))</formula>
    </cfRule>
  </conditionalFormatting>
  <conditionalFormatting sqref="J67:X68 BT207:BV213">
    <cfRule type="containsText" dxfId="1045" priority="843" operator="containsText" text="17">
      <formula>NOT(ISERROR(SEARCH("17",J67)))</formula>
    </cfRule>
  </conditionalFormatting>
  <conditionalFormatting sqref="J97:X98">
    <cfRule type="containsText" dxfId="1044" priority="833" operator="containsText" text="17">
      <formula>NOT(ISERROR(SEARCH("17",J97)))</formula>
    </cfRule>
  </conditionalFormatting>
  <conditionalFormatting sqref="J67:Z68">
    <cfRule type="containsText" dxfId="1043" priority="837" operator="containsText" text="T">
      <formula>NOT(ISERROR(SEARCH("T",J67)))</formula>
    </cfRule>
  </conditionalFormatting>
  <conditionalFormatting sqref="J97:Z98">
    <cfRule type="containsText" dxfId="1042" priority="827" operator="containsText" text="T">
      <formula>NOT(ISERROR(SEARCH("T",J97)))</formula>
    </cfRule>
  </conditionalFormatting>
  <conditionalFormatting sqref="J127:Z130">
    <cfRule type="containsText" dxfId="1041" priority="807" operator="containsText" text="T">
      <formula>NOT(ISERROR(SEARCH("T",J127)))</formula>
    </cfRule>
  </conditionalFormatting>
  <conditionalFormatting sqref="J114:AD119 J113:R113">
    <cfRule type="containsText" dxfId="1040" priority="905" operator="containsText" text="17">
      <formula>NOT(ISERROR(SEARCH("17",J113)))</formula>
    </cfRule>
  </conditionalFormatting>
  <conditionalFormatting sqref="J48:AO49">
    <cfRule type="containsText" dxfId="1039" priority="580" operator="containsText" text="17">
      <formula>NOT(ISERROR(SEARCH("17",J48)))</formula>
    </cfRule>
  </conditionalFormatting>
  <conditionalFormatting sqref="J63:AP66">
    <cfRule type="containsText" dxfId="1038" priority="560" operator="containsText" text="17">
      <formula>NOT(ISERROR(SEARCH("17",J63)))</formula>
    </cfRule>
  </conditionalFormatting>
  <conditionalFormatting sqref="J48:AQ49">
    <cfRule type="containsText" dxfId="1037" priority="574" operator="containsText" text="T">
      <formula>NOT(ISERROR(SEARCH("T",J48)))</formula>
    </cfRule>
  </conditionalFormatting>
  <conditionalFormatting sqref="J59:AQ62">
    <cfRule type="containsText" dxfId="1036" priority="546" operator="containsText" text="17">
      <formula>NOT(ISERROR(SEARCH("17",J59)))</formula>
    </cfRule>
  </conditionalFormatting>
  <conditionalFormatting sqref="J86:AQ89">
    <cfRule type="containsText" dxfId="1035" priority="536" operator="containsText" text="17">
      <formula>NOT(ISERROR(SEARCH("17",J86)))</formula>
    </cfRule>
  </conditionalFormatting>
  <conditionalFormatting sqref="J50:AR53">
    <cfRule type="containsText" dxfId="1034" priority="564" operator="containsText" text="T">
      <formula>NOT(ISERROR(SEARCH("T",J50)))</formula>
    </cfRule>
  </conditionalFormatting>
  <conditionalFormatting sqref="J63:AR66">
    <cfRule type="containsText" dxfId="1033" priority="554" operator="containsText" text="T">
      <formula>NOT(ISERROR(SEARCH("T",J63)))</formula>
    </cfRule>
  </conditionalFormatting>
  <conditionalFormatting sqref="J83:AR85">
    <cfRule type="containsText" dxfId="1032" priority="526" operator="containsText" text="17">
      <formula>NOT(ISERROR(SEARCH("17",J83)))</formula>
    </cfRule>
  </conditionalFormatting>
  <conditionalFormatting sqref="J214:AR217">
    <cfRule type="containsText" dxfId="1031" priority="516" operator="containsText" text="17">
      <formula>NOT(ISERROR(SEARCH("17",J214)))</formula>
    </cfRule>
  </conditionalFormatting>
  <conditionalFormatting sqref="J59:AS62">
    <cfRule type="containsText" dxfId="1030" priority="540" operator="containsText" text="T">
      <formula>NOT(ISERROR(SEARCH("T",J59)))</formula>
    </cfRule>
  </conditionalFormatting>
  <conditionalFormatting sqref="J86:AS89">
    <cfRule type="containsText" dxfId="1029" priority="530" operator="containsText" text="T">
      <formula>NOT(ISERROR(SEARCH("T",J86)))</formula>
    </cfRule>
  </conditionalFormatting>
  <conditionalFormatting sqref="J218:AS224">
    <cfRule type="containsText" dxfId="1028" priority="506" operator="containsText" text="17">
      <formula>NOT(ISERROR(SEARCH("17",J218)))</formula>
    </cfRule>
  </conditionalFormatting>
  <conditionalFormatting sqref="J83:AT85">
    <cfRule type="containsText" dxfId="1027" priority="520" operator="containsText" text="T">
      <formula>NOT(ISERROR(SEARCH("T",J83)))</formula>
    </cfRule>
  </conditionalFormatting>
  <conditionalFormatting sqref="J214:AT217">
    <cfRule type="containsText" dxfId="1026" priority="510" operator="containsText" text="T">
      <formula>NOT(ISERROR(SEARCH("T",J214)))</formula>
    </cfRule>
  </conditionalFormatting>
  <conditionalFormatting sqref="J225:AT231">
    <cfRule type="containsText" dxfId="1025" priority="496" operator="containsText" text="17">
      <formula>NOT(ISERROR(SEARCH("17",J225)))</formula>
    </cfRule>
  </conditionalFormatting>
  <conditionalFormatting sqref="J218:AU224">
    <cfRule type="containsText" dxfId="1024" priority="500" operator="containsText" text="T">
      <formula>NOT(ISERROR(SEARCH("T",J218)))</formula>
    </cfRule>
  </conditionalFormatting>
  <conditionalFormatting sqref="J232:AU234">
    <cfRule type="containsText" dxfId="1023" priority="486" operator="containsText" text="17">
      <formula>NOT(ISERROR(SEARCH("17",J232)))</formula>
    </cfRule>
  </conditionalFormatting>
  <conditionalFormatting sqref="J225:AV231">
    <cfRule type="containsText" dxfId="1022" priority="490" operator="containsText" text="T">
      <formula>NOT(ISERROR(SEARCH("T",J225)))</formula>
    </cfRule>
  </conditionalFormatting>
  <conditionalFormatting sqref="J232:AW234">
    <cfRule type="containsText" dxfId="1021" priority="480" operator="containsText" text="T">
      <formula>NOT(ISERROR(SEARCH("T",J232)))</formula>
    </cfRule>
  </conditionalFormatting>
  <conditionalFormatting sqref="J33:CP33">
    <cfRule type="containsText" dxfId="1020" priority="1058" operator="containsText" text="T">
      <formula>NOT(ISERROR(SEARCH("T",J33)))</formula>
    </cfRule>
  </conditionalFormatting>
  <conditionalFormatting sqref="K77:K82">
    <cfRule type="containsText" dxfId="1019" priority="893" operator="containsText" text="T">
      <formula>NOT(ISERROR(SEARCH("T",K77)))</formula>
    </cfRule>
  </conditionalFormatting>
  <conditionalFormatting sqref="K76:U76">
    <cfRule type="containsText" dxfId="1018" priority="886" operator="containsText" text="T">
      <formula>NOT(ISERROR(SEARCH("T",K76)))</formula>
    </cfRule>
    <cfRule type="containsText" dxfId="1017" priority="885" operator="containsText" text="17">
      <formula>NOT(ISERROR(SEARCH("17",K76)))</formula>
    </cfRule>
  </conditionalFormatting>
  <conditionalFormatting sqref="K77:AE82 K76:S76">
    <cfRule type="containsText" dxfId="1016" priority="892" operator="containsText" text="17">
      <formula>NOT(ISERROR(SEARCH("17",K76)))</formula>
    </cfRule>
  </conditionalFormatting>
  <conditionalFormatting sqref="L107:L112">
    <cfRule type="containsText" dxfId="1015" priority="880" operator="containsText" text="T">
      <formula>NOT(ISERROR(SEARCH("T",L107)))</formula>
    </cfRule>
  </conditionalFormatting>
  <conditionalFormatting sqref="L106:V106">
    <cfRule type="containsText" dxfId="1014" priority="872" operator="containsText" text="17">
      <formula>NOT(ISERROR(SEARCH("17",L106)))</formula>
    </cfRule>
    <cfRule type="containsText" dxfId="1013" priority="873" operator="containsText" text="T">
      <formula>NOT(ISERROR(SEARCH("T",L106)))</formula>
    </cfRule>
  </conditionalFormatting>
  <conditionalFormatting sqref="L107:AF112 L106:T106">
    <cfRule type="containsText" dxfId="1012" priority="879" operator="containsText" text="17">
      <formula>NOT(ISERROR(SEARCH("17",L106)))</formula>
    </cfRule>
  </conditionalFormatting>
  <conditionalFormatting sqref="M120:AG126 AJ120:AJ126">
    <cfRule type="containsText" dxfId="1011" priority="444" operator="containsText" text="T">
      <formula>NOT(ISERROR(SEARCH("T",M120)))</formula>
    </cfRule>
  </conditionalFormatting>
  <conditionalFormatting sqref="M120:AG126">
    <cfRule type="containsText" dxfId="1010" priority="446" operator="containsText" text="17">
      <formula>NOT(ISERROR(SEARCH("17",M120)))</formula>
    </cfRule>
  </conditionalFormatting>
  <conditionalFormatting sqref="N70:N75">
    <cfRule type="containsText" dxfId="1009" priority="867" operator="containsText" text="T">
      <formula>NOT(ISERROR(SEARCH("T",N70)))</formula>
    </cfRule>
  </conditionalFormatting>
  <conditionalFormatting sqref="N69:X69">
    <cfRule type="containsText" dxfId="1008" priority="860" operator="containsText" text="T">
      <formula>NOT(ISERROR(SEARCH("T",N69)))</formula>
    </cfRule>
    <cfRule type="containsText" dxfId="1007" priority="859" operator="containsText" text="17">
      <formula>NOT(ISERROR(SEARCH("17",N69)))</formula>
    </cfRule>
  </conditionalFormatting>
  <conditionalFormatting sqref="N70:AH75 N69:V69">
    <cfRule type="containsText" dxfId="1006" priority="866" operator="containsText" text="17">
      <formula>NOT(ISERROR(SEARCH("17",N69)))</formula>
    </cfRule>
  </conditionalFormatting>
  <conditionalFormatting sqref="O100:O105">
    <cfRule type="containsText" dxfId="1005" priority="854" operator="containsText" text="T">
      <formula>NOT(ISERROR(SEARCH("T",O100)))</formula>
    </cfRule>
  </conditionalFormatting>
  <conditionalFormatting sqref="O99:Y99">
    <cfRule type="containsText" dxfId="1004" priority="846" operator="containsText" text="17">
      <formula>NOT(ISERROR(SEARCH("17",O99)))</formula>
    </cfRule>
    <cfRule type="containsText" dxfId="1003" priority="847" operator="containsText" text="T">
      <formula>NOT(ISERROR(SEARCH("T",O99)))</formula>
    </cfRule>
  </conditionalFormatting>
  <conditionalFormatting sqref="O100:AI105 O99:W99">
    <cfRule type="containsText" dxfId="1002" priority="853" operator="containsText" text="17">
      <formula>NOT(ISERROR(SEARCH("17",O99)))</formula>
    </cfRule>
  </conditionalFormatting>
  <conditionalFormatting sqref="P67:Z68">
    <cfRule type="containsText" dxfId="1001" priority="836" operator="containsText" text="17">
      <formula>NOT(ISERROR(SEARCH("17",P67)))</formula>
    </cfRule>
  </conditionalFormatting>
  <conditionalFormatting sqref="P97:Z98">
    <cfRule type="containsText" dxfId="1000" priority="826" operator="containsText" text="17">
      <formula>NOT(ISERROR(SEARCH("17",P97)))</formula>
    </cfRule>
  </conditionalFormatting>
  <conditionalFormatting sqref="P127:Z130">
    <cfRule type="containsText" dxfId="999" priority="806" operator="containsText" text="17">
      <formula>NOT(ISERROR(SEARCH("17",P127)))</formula>
    </cfRule>
  </conditionalFormatting>
  <conditionalFormatting sqref="Q132:Q137">
    <cfRule type="containsText" dxfId="998" priority="801" operator="containsText" text="T">
      <formula>NOT(ISERROR(SEARCH("T",Q132)))</formula>
    </cfRule>
  </conditionalFormatting>
  <conditionalFormatting sqref="Q131:AA131">
    <cfRule type="containsText" dxfId="997" priority="794" operator="containsText" text="T">
      <formula>NOT(ISERROR(SEARCH("T",Q131)))</formula>
    </cfRule>
    <cfRule type="containsText" dxfId="996" priority="793" operator="containsText" text="17">
      <formula>NOT(ISERROR(SEARCH("17",Q131)))</formula>
    </cfRule>
  </conditionalFormatting>
  <conditionalFormatting sqref="Q132:AK137 Q131:Y131">
    <cfRule type="containsText" dxfId="995" priority="800" operator="containsText" text="17">
      <formula>NOT(ISERROR(SEARCH("17",Q131)))</formula>
    </cfRule>
  </conditionalFormatting>
  <conditionalFormatting sqref="R139:R144">
    <cfRule type="containsText" dxfId="994" priority="788" operator="containsText" text="T">
      <formula>NOT(ISERROR(SEARCH("T",R139)))</formula>
    </cfRule>
  </conditionalFormatting>
  <conditionalFormatting sqref="R138:AB138">
    <cfRule type="containsText" dxfId="993" priority="780" operator="containsText" text="17">
      <formula>NOT(ISERROR(SEARCH("17",R138)))</formula>
    </cfRule>
    <cfRule type="containsText" dxfId="992" priority="781" operator="containsText" text="T">
      <formula>NOT(ISERROR(SEARCH("T",R138)))</formula>
    </cfRule>
  </conditionalFormatting>
  <conditionalFormatting sqref="R139:AL144 R138:Z138">
    <cfRule type="containsText" dxfId="991" priority="787" operator="containsText" text="17">
      <formula>NOT(ISERROR(SEARCH("17",R138)))</formula>
    </cfRule>
  </conditionalFormatting>
  <conditionalFormatting sqref="S146:S151">
    <cfRule type="containsText" dxfId="990" priority="775" operator="containsText" text="T">
      <formula>NOT(ISERROR(SEARCH("T",S146)))</formula>
    </cfRule>
  </conditionalFormatting>
  <conditionalFormatting sqref="S145:AC145">
    <cfRule type="containsText" dxfId="989" priority="768" operator="containsText" text="T">
      <formula>NOT(ISERROR(SEARCH("T",S145)))</formula>
    </cfRule>
    <cfRule type="containsText" dxfId="988" priority="767" operator="containsText" text="17">
      <formula>NOT(ISERROR(SEARCH("17",S145)))</formula>
    </cfRule>
  </conditionalFormatting>
  <conditionalFormatting sqref="S146:AM151 S145:AA145">
    <cfRule type="containsText" dxfId="987" priority="774" operator="containsText" text="17">
      <formula>NOT(ISERROR(SEARCH("17",S145)))</formula>
    </cfRule>
  </conditionalFormatting>
  <conditionalFormatting sqref="T153:T158">
    <cfRule type="containsText" dxfId="986" priority="762" operator="containsText" text="T">
      <formula>NOT(ISERROR(SEARCH("T",T153)))</formula>
    </cfRule>
  </conditionalFormatting>
  <conditionalFormatting sqref="T152:AD152">
    <cfRule type="containsText" dxfId="985" priority="754" operator="containsText" text="17">
      <formula>NOT(ISERROR(SEARCH("17",T152)))</formula>
    </cfRule>
    <cfRule type="containsText" dxfId="984" priority="755" operator="containsText" text="T">
      <formula>NOT(ISERROR(SEARCH("T",T152)))</formula>
    </cfRule>
  </conditionalFormatting>
  <conditionalFormatting sqref="T153:AN158 T152:AB152">
    <cfRule type="containsText" dxfId="983" priority="761" operator="containsText" text="17">
      <formula>NOT(ISERROR(SEARCH("17",T152)))</formula>
    </cfRule>
  </conditionalFormatting>
  <conditionalFormatting sqref="U160:U165">
    <cfRule type="containsText" dxfId="982" priority="749" operator="containsText" text="T">
      <formula>NOT(ISERROR(SEARCH("T",U160)))</formula>
    </cfRule>
  </conditionalFormatting>
  <conditionalFormatting sqref="U113:AA113">
    <cfRule type="containsText" dxfId="981" priority="907" operator="containsText" text="17">
      <formula>NOT(ISERROR(SEARCH("17",U113)))</formula>
    </cfRule>
    <cfRule type="containsText" dxfId="980" priority="908" operator="containsText" text="T">
      <formula>NOT(ISERROR(SEARCH("T",U113)))</formula>
    </cfRule>
  </conditionalFormatting>
  <conditionalFormatting sqref="U159:AE159">
    <cfRule type="containsText" dxfId="979" priority="742" operator="containsText" text="T">
      <formula>NOT(ISERROR(SEARCH("T",U159)))</formula>
    </cfRule>
    <cfRule type="containsText" dxfId="978" priority="741" operator="containsText" text="17">
      <formula>NOT(ISERROR(SEARCH("17",U159)))</formula>
    </cfRule>
  </conditionalFormatting>
  <conditionalFormatting sqref="U160:AO165 U159:AC159">
    <cfRule type="containsText" dxfId="977" priority="748" operator="containsText" text="17">
      <formula>NOT(ISERROR(SEARCH("17",U159)))</formula>
    </cfRule>
  </conditionalFormatting>
  <conditionalFormatting sqref="V113">
    <cfRule type="containsText" dxfId="976" priority="903" operator="containsText" text="17">
      <formula>NOT(ISERROR(SEARCH("17",V113)))</formula>
    </cfRule>
    <cfRule type="containsText" dxfId="975" priority="904" operator="containsText" text="T">
      <formula>NOT(ISERROR(SEARCH("T",V113)))</formula>
    </cfRule>
  </conditionalFormatting>
  <conditionalFormatting sqref="V208:V213">
    <cfRule type="containsText" dxfId="974" priority="736" operator="containsText" text="T">
      <formula>NOT(ISERROR(SEARCH("T",V208)))</formula>
    </cfRule>
  </conditionalFormatting>
  <conditionalFormatting sqref="V76:AB76">
    <cfRule type="containsText" dxfId="973" priority="894" operator="containsText" text="17">
      <formula>NOT(ISERROR(SEARCH("17",V76)))</formula>
    </cfRule>
    <cfRule type="containsText" dxfId="972" priority="895" operator="containsText" text="T">
      <formula>NOT(ISERROR(SEARCH("T",V76)))</formula>
    </cfRule>
  </conditionalFormatting>
  <conditionalFormatting sqref="V207:AF207">
    <cfRule type="containsText" dxfId="971" priority="728" operator="containsText" text="17">
      <formula>NOT(ISERROR(SEARCH("17",V207)))</formula>
    </cfRule>
    <cfRule type="containsText" dxfId="970" priority="729" operator="containsText" text="T">
      <formula>NOT(ISERROR(SEARCH("T",V207)))</formula>
    </cfRule>
  </conditionalFormatting>
  <conditionalFormatting sqref="V208:AP213 V207:AD207">
    <cfRule type="containsText" dxfId="969" priority="735" operator="containsText" text="17">
      <formula>NOT(ISERROR(SEARCH("17",V207)))</formula>
    </cfRule>
  </conditionalFormatting>
  <conditionalFormatting sqref="W76">
    <cfRule type="containsText" dxfId="968" priority="890" operator="containsText" text="17">
      <formula>NOT(ISERROR(SEARCH("17",W76)))</formula>
    </cfRule>
    <cfRule type="containsText" dxfId="967" priority="891" operator="containsText" text="T">
      <formula>NOT(ISERROR(SEARCH("T",W76)))</formula>
    </cfRule>
  </conditionalFormatting>
  <conditionalFormatting sqref="W201:W206">
    <cfRule type="containsText" dxfId="966" priority="723" operator="containsText" text="T">
      <formula>NOT(ISERROR(SEARCH("T",W201)))</formula>
    </cfRule>
  </conditionalFormatting>
  <conditionalFormatting sqref="W106:AC106">
    <cfRule type="containsText" dxfId="965" priority="882" operator="containsText" text="T">
      <formula>NOT(ISERROR(SEARCH("T",W106)))</formula>
    </cfRule>
    <cfRule type="containsText" dxfId="964" priority="881" operator="containsText" text="17">
      <formula>NOT(ISERROR(SEARCH("17",W106)))</formula>
    </cfRule>
  </conditionalFormatting>
  <conditionalFormatting sqref="W200:AG200">
    <cfRule type="containsText" dxfId="963" priority="716" operator="containsText" text="T">
      <formula>NOT(ISERROR(SEARCH("T",W200)))</formula>
    </cfRule>
    <cfRule type="containsText" dxfId="962" priority="715" operator="containsText" text="17">
      <formula>NOT(ISERROR(SEARCH("17",W200)))</formula>
    </cfRule>
  </conditionalFormatting>
  <conditionalFormatting sqref="W201:AQ206 W200:AE200">
    <cfRule type="containsText" dxfId="961" priority="722" operator="containsText" text="17">
      <formula>NOT(ISERROR(SEARCH("17",W200)))</formula>
    </cfRule>
  </conditionalFormatting>
  <conditionalFormatting sqref="X106">
    <cfRule type="containsText" dxfId="960" priority="878" operator="containsText" text="T">
      <formula>NOT(ISERROR(SEARCH("T",X106)))</formula>
    </cfRule>
    <cfRule type="containsText" dxfId="959" priority="877" operator="containsText" text="17">
      <formula>NOT(ISERROR(SEARCH("17",X106)))</formula>
    </cfRule>
  </conditionalFormatting>
  <conditionalFormatting sqref="X194:X199">
    <cfRule type="containsText" dxfId="958" priority="710" operator="containsText" text="T">
      <formula>NOT(ISERROR(SEARCH("T",X194)))</formula>
    </cfRule>
  </conditionalFormatting>
  <conditionalFormatting sqref="X192:AH193">
    <cfRule type="containsText" dxfId="957" priority="697" operator="containsText" text="17">
      <formula>NOT(ISERROR(SEARCH("17",X192)))</formula>
    </cfRule>
    <cfRule type="containsText" dxfId="956" priority="698" operator="containsText" text="T">
      <formula>NOT(ISERROR(SEARCH("T",X192)))</formula>
    </cfRule>
  </conditionalFormatting>
  <conditionalFormatting sqref="Y169:Y174">
    <cfRule type="containsText" dxfId="955" priority="692" operator="containsText" text="T">
      <formula>NOT(ISERROR(SEARCH("T",Y169)))</formula>
    </cfRule>
  </conditionalFormatting>
  <conditionalFormatting sqref="Y69:AE69">
    <cfRule type="containsText" dxfId="954" priority="869" operator="containsText" text="T">
      <formula>NOT(ISERROR(SEARCH("T",Y69)))</formula>
    </cfRule>
    <cfRule type="containsText" dxfId="953" priority="868" operator="containsText" text="17">
      <formula>NOT(ISERROR(SEARCH("17",Y69)))</formula>
    </cfRule>
  </conditionalFormatting>
  <conditionalFormatting sqref="Y168:AI168">
    <cfRule type="containsText" dxfId="952" priority="684" operator="containsText" text="17">
      <formula>NOT(ISERROR(SEARCH("17",Y168)))</formula>
    </cfRule>
    <cfRule type="containsText" dxfId="951" priority="685" operator="containsText" text="T">
      <formula>NOT(ISERROR(SEARCH("T",Y168)))</formula>
    </cfRule>
  </conditionalFormatting>
  <conditionalFormatting sqref="Y169:AS174 Y168:AG168">
    <cfRule type="containsText" dxfId="950" priority="691" operator="containsText" text="17">
      <formula>NOT(ISERROR(SEARCH("17",Y168)))</formula>
    </cfRule>
  </conditionalFormatting>
  <conditionalFormatting sqref="Z69">
    <cfRule type="containsText" dxfId="949" priority="864" operator="containsText" text="17">
      <formula>NOT(ISERROR(SEARCH("17",Z69)))</formula>
    </cfRule>
    <cfRule type="containsText" dxfId="948" priority="865" operator="containsText" text="T">
      <formula>NOT(ISERROR(SEARCH("T",Z69)))</formula>
    </cfRule>
  </conditionalFormatting>
  <conditionalFormatting sqref="Z176:Z181">
    <cfRule type="containsText" dxfId="947" priority="679" operator="containsText" text="T">
      <formula>NOT(ISERROR(SEARCH("T",Z176)))</formula>
    </cfRule>
  </conditionalFormatting>
  <conditionalFormatting sqref="Z99:AF99">
    <cfRule type="containsText" dxfId="946" priority="856" operator="containsText" text="T">
      <formula>NOT(ISERROR(SEARCH("T",Z99)))</formula>
    </cfRule>
    <cfRule type="containsText" dxfId="945" priority="855" operator="containsText" text="17">
      <formula>NOT(ISERROR(SEARCH("17",Z99)))</formula>
    </cfRule>
  </conditionalFormatting>
  <conditionalFormatting sqref="Z175:AJ175">
    <cfRule type="containsText" dxfId="944" priority="671" operator="containsText" text="17">
      <formula>NOT(ISERROR(SEARCH("17",Z175)))</formula>
    </cfRule>
    <cfRule type="containsText" dxfId="943" priority="672" operator="containsText" text="T">
      <formula>NOT(ISERROR(SEARCH("T",Z175)))</formula>
    </cfRule>
  </conditionalFormatting>
  <conditionalFormatting sqref="Z176:AT181 Z175:AH175">
    <cfRule type="containsText" dxfId="942" priority="678" operator="containsText" text="17">
      <formula>NOT(ISERROR(SEARCH("17",Z175)))</formula>
    </cfRule>
  </conditionalFormatting>
  <conditionalFormatting sqref="AA99">
    <cfRule type="containsText" dxfId="941" priority="851" operator="containsText" text="17">
      <formula>NOT(ISERROR(SEARCH("17",AA99)))</formula>
    </cfRule>
    <cfRule type="containsText" dxfId="940" priority="852" operator="containsText" text="T">
      <formula>NOT(ISERROR(SEARCH("T",AA99)))</formula>
    </cfRule>
  </conditionalFormatting>
  <conditionalFormatting sqref="AA113 AE113:AG113 J114:AD119 AG114:AG119">
    <cfRule type="containsText" dxfId="939" priority="900" operator="containsText" text="T">
      <formula>NOT(ISERROR(SEARCH("T",J113)))</formula>
    </cfRule>
  </conditionalFormatting>
  <conditionalFormatting sqref="AA183:AA190">
    <cfRule type="containsText" dxfId="938" priority="666" operator="containsText" text="T">
      <formula>NOT(ISERROR(SEARCH("T",AA183)))</formula>
    </cfRule>
  </conditionalFormatting>
  <conditionalFormatting sqref="AA113:AB113 AE113:AG113 AG114:AG119">
    <cfRule type="containsText" dxfId="937" priority="901" operator="containsText" text="17">
      <formula>NOT(ISERROR(SEARCH("17",AA113)))</formula>
    </cfRule>
  </conditionalFormatting>
  <conditionalFormatting sqref="AA67:AG68">
    <cfRule type="containsText" dxfId="936" priority="845" operator="containsText" text="T">
      <formula>NOT(ISERROR(SEARCH("T",AA67)))</formula>
    </cfRule>
    <cfRule type="containsText" dxfId="935" priority="844" operator="containsText" text="17">
      <formula>NOT(ISERROR(SEARCH("17",AA67)))</formula>
    </cfRule>
  </conditionalFormatting>
  <conditionalFormatting sqref="AA97:AG98">
    <cfRule type="containsText" dxfId="934" priority="835" operator="containsText" text="T">
      <formula>NOT(ISERROR(SEARCH("T",AA97)))</formula>
    </cfRule>
    <cfRule type="containsText" dxfId="933" priority="834" operator="containsText" text="17">
      <formula>NOT(ISERROR(SEARCH("17",AA97)))</formula>
    </cfRule>
  </conditionalFormatting>
  <conditionalFormatting sqref="AA127:AG130">
    <cfRule type="containsText" dxfId="932" priority="814" operator="containsText" text="17">
      <formula>NOT(ISERROR(SEARCH("17",AA127)))</formula>
    </cfRule>
    <cfRule type="containsText" dxfId="931" priority="815" operator="containsText" text="T">
      <formula>NOT(ISERROR(SEARCH("T",AA127)))</formula>
    </cfRule>
  </conditionalFormatting>
  <conditionalFormatting sqref="AA182:AK182">
    <cfRule type="containsText" dxfId="930" priority="659" operator="containsText" text="T">
      <formula>NOT(ISERROR(SEARCH("T",AA182)))</formula>
    </cfRule>
    <cfRule type="containsText" dxfId="929" priority="658" operator="containsText" text="17">
      <formula>NOT(ISERROR(SEARCH("17",AA182)))</formula>
    </cfRule>
  </conditionalFormatting>
  <conditionalFormatting sqref="AA183:AU190 AA182:AI182">
    <cfRule type="containsText" dxfId="928" priority="665" operator="containsText" text="17">
      <formula>NOT(ISERROR(SEARCH("17",AA182)))</formula>
    </cfRule>
  </conditionalFormatting>
  <conditionalFormatting sqref="AB67:AB68">
    <cfRule type="containsText" dxfId="927" priority="842" operator="containsText" text="T">
      <formula>NOT(ISERROR(SEARCH("T",AB67)))</formula>
    </cfRule>
    <cfRule type="containsText" dxfId="926" priority="841" operator="containsText" text="17">
      <formula>NOT(ISERROR(SEARCH("17",AB67)))</formula>
    </cfRule>
  </conditionalFormatting>
  <conditionalFormatting sqref="AB76 AF76:AH76 K77:AE82 AH77:AH82">
    <cfRule type="containsText" dxfId="925" priority="887" operator="containsText" text="T">
      <formula>NOT(ISERROR(SEARCH("T",K76)))</formula>
    </cfRule>
  </conditionalFormatting>
  <conditionalFormatting sqref="AB91:AB96">
    <cfRule type="containsText" dxfId="924" priority="653" operator="containsText" text="T">
      <formula>NOT(ISERROR(SEARCH("T",AB91)))</formula>
    </cfRule>
  </conditionalFormatting>
  <conditionalFormatting sqref="AB97:AB98">
    <cfRule type="containsText" dxfId="923" priority="831" operator="containsText" text="17">
      <formula>NOT(ISERROR(SEARCH("17",AB97)))</formula>
    </cfRule>
    <cfRule type="containsText" dxfId="922" priority="832" operator="containsText" text="T">
      <formula>NOT(ISERROR(SEARCH("T",AB97)))</formula>
    </cfRule>
  </conditionalFormatting>
  <conditionalFormatting sqref="AB113">
    <cfRule type="containsText" dxfId="921" priority="902" operator="containsText" text="T">
      <formula>NOT(ISERROR(SEARCH("T",AB113)))</formula>
    </cfRule>
  </conditionalFormatting>
  <conditionalFormatting sqref="AB127:AB130">
    <cfRule type="containsText" dxfId="920" priority="811" operator="containsText" text="17">
      <formula>NOT(ISERROR(SEARCH("17",AB127)))</formula>
    </cfRule>
    <cfRule type="containsText" dxfId="919" priority="812" operator="containsText" text="T">
      <formula>NOT(ISERROR(SEARCH("T",AB127)))</formula>
    </cfRule>
  </conditionalFormatting>
  <conditionalFormatting sqref="AB76:AC76 AF76:AH76 AH77:AH82">
    <cfRule type="containsText" dxfId="918" priority="888" operator="containsText" text="17">
      <formula>NOT(ISERROR(SEARCH("17",AB76)))</formula>
    </cfRule>
  </conditionalFormatting>
  <conditionalFormatting sqref="AB131:AH131">
    <cfRule type="containsText" dxfId="917" priority="802" operator="containsText" text="17">
      <formula>NOT(ISERROR(SEARCH("17",AB131)))</formula>
    </cfRule>
    <cfRule type="containsText" dxfId="916" priority="803" operator="containsText" text="T">
      <formula>NOT(ISERROR(SEARCH("T",AB131)))</formula>
    </cfRule>
  </conditionalFormatting>
  <conditionalFormatting sqref="AB90:AL90">
    <cfRule type="containsText" dxfId="915" priority="645" operator="containsText" text="17">
      <formula>NOT(ISERROR(SEARCH("17",AB90)))</formula>
    </cfRule>
    <cfRule type="containsText" dxfId="914" priority="646" operator="containsText" text="T">
      <formula>NOT(ISERROR(SEARCH("T",AB90)))</formula>
    </cfRule>
  </conditionalFormatting>
  <conditionalFormatting sqref="AB91:AV96 AB90:AJ90">
    <cfRule type="containsText" dxfId="913" priority="652" operator="containsText" text="17">
      <formula>NOT(ISERROR(SEARCH("17",AB90)))</formula>
    </cfRule>
  </conditionalFormatting>
  <conditionalFormatting sqref="AC15:AC20">
    <cfRule type="containsText" dxfId="912" priority="640" operator="containsText" text="T">
      <formula>NOT(ISERROR(SEARCH("T",AC15)))</formula>
    </cfRule>
  </conditionalFormatting>
  <conditionalFormatting sqref="AC76">
    <cfRule type="containsText" dxfId="911" priority="889" operator="containsText" text="T">
      <formula>NOT(ISERROR(SEARCH("T",AC76)))</formula>
    </cfRule>
  </conditionalFormatting>
  <conditionalFormatting sqref="AC106 L107:AF112 AI107:AI112">
    <cfRule type="containsText" dxfId="910" priority="874" operator="containsText" text="T">
      <formula>NOT(ISERROR(SEARCH("T",L106)))</formula>
    </cfRule>
  </conditionalFormatting>
  <conditionalFormatting sqref="AC131">
    <cfRule type="containsText" dxfId="909" priority="798" operator="containsText" text="17">
      <formula>NOT(ISERROR(SEARCH("17",AC131)))</formula>
    </cfRule>
    <cfRule type="containsText" dxfId="908" priority="799" operator="containsText" text="T">
      <formula>NOT(ISERROR(SEARCH("T",AC131)))</formula>
    </cfRule>
  </conditionalFormatting>
  <conditionalFormatting sqref="AC106:AD106 AI107:AI112">
    <cfRule type="containsText" dxfId="907" priority="875" operator="containsText" text="17">
      <formula>NOT(ISERROR(SEARCH("17",AC106)))</formula>
    </cfRule>
  </conditionalFormatting>
  <conditionalFormatting sqref="AC138:AI138">
    <cfRule type="containsText" dxfId="906" priority="790" operator="containsText" text="T">
      <formula>NOT(ISERROR(SEARCH("T",AC138)))</formula>
    </cfRule>
    <cfRule type="containsText" dxfId="905" priority="789" operator="containsText" text="17">
      <formula>NOT(ISERROR(SEARCH("17",AC138)))</formula>
    </cfRule>
  </conditionalFormatting>
  <conditionalFormatting sqref="AC14:AM14">
    <cfRule type="containsText" dxfId="904" priority="632" operator="containsText" text="17">
      <formula>NOT(ISERROR(SEARCH("17",AC14)))</formula>
    </cfRule>
    <cfRule type="containsText" dxfId="903" priority="633" operator="containsText" text="T">
      <formula>NOT(ISERROR(SEARCH("T",AC14)))</formula>
    </cfRule>
  </conditionalFormatting>
  <conditionalFormatting sqref="AC15:AW20 AC14:AK14">
    <cfRule type="containsText" dxfId="902" priority="639" operator="containsText" text="17">
      <formula>NOT(ISERROR(SEARCH("17",AC14)))</formula>
    </cfRule>
  </conditionalFormatting>
  <conditionalFormatting sqref="AD35:AD40">
    <cfRule type="containsText" dxfId="901" priority="627" operator="containsText" text="T">
      <formula>NOT(ISERROR(SEARCH("T",AD35)))</formula>
    </cfRule>
  </conditionalFormatting>
  <conditionalFormatting sqref="AD106">
    <cfRule type="containsText" dxfId="900" priority="876" operator="containsText" text="T">
      <formula>NOT(ISERROR(SEARCH("T",AD106)))</formula>
    </cfRule>
  </conditionalFormatting>
  <conditionalFormatting sqref="AD138">
    <cfRule type="containsText" dxfId="899" priority="786" operator="containsText" text="T">
      <formula>NOT(ISERROR(SEARCH("T",AD138)))</formula>
    </cfRule>
    <cfRule type="containsText" dxfId="898" priority="785" operator="containsText" text="17">
      <formula>NOT(ISERROR(SEARCH("17",AD138)))</formula>
    </cfRule>
  </conditionalFormatting>
  <conditionalFormatting sqref="AD145:AJ145">
    <cfRule type="containsText" dxfId="897" priority="776" operator="containsText" text="17">
      <formula>NOT(ISERROR(SEARCH("17",AD145)))</formula>
    </cfRule>
    <cfRule type="containsText" dxfId="896" priority="777" operator="containsText" text="T">
      <formula>NOT(ISERROR(SEARCH("T",AD145)))</formula>
    </cfRule>
  </conditionalFormatting>
  <conditionalFormatting sqref="AD34:AN34">
    <cfRule type="containsText" dxfId="895" priority="620" operator="containsText" text="T">
      <formula>NOT(ISERROR(SEARCH("T",AD34)))</formula>
    </cfRule>
    <cfRule type="containsText" dxfId="894" priority="619" operator="containsText" text="17">
      <formula>NOT(ISERROR(SEARCH("17",AD34)))</formula>
    </cfRule>
  </conditionalFormatting>
  <conditionalFormatting sqref="AD35:AX40 AD34:AL34">
    <cfRule type="containsText" dxfId="893" priority="626" operator="containsText" text="17">
      <formula>NOT(ISERROR(SEARCH("17",AD34)))</formula>
    </cfRule>
  </conditionalFormatting>
  <conditionalFormatting sqref="AE22:AE27">
    <cfRule type="containsText" dxfId="892" priority="614" operator="containsText" text="T">
      <formula>NOT(ISERROR(SEARCH("T",AE22)))</formula>
    </cfRule>
  </conditionalFormatting>
  <conditionalFormatting sqref="AE69 AI69:AK69 N70:AH75 AK70:AK75">
    <cfRule type="containsText" dxfId="891" priority="861" operator="containsText" text="T">
      <formula>NOT(ISERROR(SEARCH("T",N69)))</formula>
    </cfRule>
  </conditionalFormatting>
  <conditionalFormatting sqref="AE145">
    <cfRule type="containsText" dxfId="890" priority="772" operator="containsText" text="17">
      <formula>NOT(ISERROR(SEARCH("17",AE145)))</formula>
    </cfRule>
    <cfRule type="containsText" dxfId="889" priority="773" operator="containsText" text="T">
      <formula>NOT(ISERROR(SEARCH("T",AE145)))</formula>
    </cfRule>
  </conditionalFormatting>
  <conditionalFormatting sqref="AE69:AF69 AI69:AK69 AK70:AK75">
    <cfRule type="containsText" dxfId="888" priority="862" operator="containsText" text="17">
      <formula>NOT(ISERROR(SEARCH("17",AE69)))</formula>
    </cfRule>
  </conditionalFormatting>
  <conditionalFormatting sqref="AE152:AK152">
    <cfRule type="containsText" dxfId="887" priority="763" operator="containsText" text="17">
      <formula>NOT(ISERROR(SEARCH("17",AE152)))</formula>
    </cfRule>
    <cfRule type="containsText" dxfId="886" priority="764" operator="containsText" text="T">
      <formula>NOT(ISERROR(SEARCH("T",AE152)))</formula>
    </cfRule>
  </conditionalFormatting>
  <conditionalFormatting sqref="AE21:AO21">
    <cfRule type="containsText" dxfId="885" priority="606" operator="containsText" text="17">
      <formula>NOT(ISERROR(SEARCH("17",AE21)))</formula>
    </cfRule>
    <cfRule type="containsText" dxfId="884" priority="607" operator="containsText" text="T">
      <formula>NOT(ISERROR(SEARCH("T",AE21)))</formula>
    </cfRule>
  </conditionalFormatting>
  <conditionalFormatting sqref="AE22:AY27 AE21:AM21">
    <cfRule type="containsText" dxfId="883" priority="613" operator="containsText" text="17">
      <formula>NOT(ISERROR(SEARCH("17",AE21)))</formula>
    </cfRule>
  </conditionalFormatting>
  <conditionalFormatting sqref="AF42:AF47">
    <cfRule type="containsText" dxfId="882" priority="601" operator="containsText" text="T">
      <formula>NOT(ISERROR(SEARCH("T",AF42)))</formula>
    </cfRule>
  </conditionalFormatting>
  <conditionalFormatting sqref="AF69">
    <cfRule type="containsText" dxfId="881" priority="863" operator="containsText" text="T">
      <formula>NOT(ISERROR(SEARCH("T",AF69)))</formula>
    </cfRule>
  </conditionalFormatting>
  <conditionalFormatting sqref="AF99 AJ99:AL99 O100:AI105 AL100:AL105">
    <cfRule type="containsText" dxfId="880" priority="848" operator="containsText" text="T">
      <formula>NOT(ISERROR(SEARCH("T",O99)))</formula>
    </cfRule>
  </conditionalFormatting>
  <conditionalFormatting sqref="AF152">
    <cfRule type="containsText" dxfId="879" priority="759" operator="containsText" text="17">
      <formula>NOT(ISERROR(SEARCH("17",AF152)))</formula>
    </cfRule>
    <cfRule type="containsText" dxfId="878" priority="760" operator="containsText" text="T">
      <formula>NOT(ISERROR(SEARCH("T",AF152)))</formula>
    </cfRule>
  </conditionalFormatting>
  <conditionalFormatting sqref="AF99:AG99 AJ99:AL99 AL100:AL105">
    <cfRule type="containsText" dxfId="877" priority="849" operator="containsText" text="17">
      <formula>NOT(ISERROR(SEARCH("17",AF99)))</formula>
    </cfRule>
  </conditionalFormatting>
  <conditionalFormatting sqref="AF159:AL159">
    <cfRule type="containsText" dxfId="876" priority="750" operator="containsText" text="17">
      <formula>NOT(ISERROR(SEARCH("17",AF159)))</formula>
    </cfRule>
    <cfRule type="containsText" dxfId="875" priority="751" operator="containsText" text="T">
      <formula>NOT(ISERROR(SEARCH("T",AF159)))</formula>
    </cfRule>
  </conditionalFormatting>
  <conditionalFormatting sqref="AF41:AP41">
    <cfRule type="containsText" dxfId="874" priority="593" operator="containsText" text="17">
      <formula>NOT(ISERROR(SEARCH("17",AF41)))</formula>
    </cfRule>
    <cfRule type="containsText" dxfId="873" priority="594" operator="containsText" text="T">
      <formula>NOT(ISERROR(SEARCH("T",AF41)))</formula>
    </cfRule>
  </conditionalFormatting>
  <conditionalFormatting sqref="AF42:AZ47 AF41:AN41">
    <cfRule type="containsText" dxfId="872" priority="600" operator="containsText" text="17">
      <formula>NOT(ISERROR(SEARCH("17",AF41)))</formula>
    </cfRule>
  </conditionalFormatting>
  <conditionalFormatting sqref="AG67:AG68">
    <cfRule type="containsText" dxfId="871" priority="838" operator="containsText" text="T">
      <formula>NOT(ISERROR(SEARCH("T",AG67)))</formula>
    </cfRule>
  </conditionalFormatting>
  <conditionalFormatting sqref="AG97:AG98">
    <cfRule type="containsText" dxfId="870" priority="828" operator="containsText" text="T">
      <formula>NOT(ISERROR(SEARCH("T",AG97)))</formula>
    </cfRule>
  </conditionalFormatting>
  <conditionalFormatting sqref="AG99">
    <cfRule type="containsText" dxfId="869" priority="850" operator="containsText" text="T">
      <formula>NOT(ISERROR(SEARCH("T",AG99)))</formula>
    </cfRule>
  </conditionalFormatting>
  <conditionalFormatting sqref="AG114:AG119">
    <cfRule type="containsText" dxfId="868" priority="910" operator="containsText" text="T">
      <formula>NOT(ISERROR(SEARCH("T",AG114)))</formula>
    </cfRule>
  </conditionalFormatting>
  <conditionalFormatting sqref="AG127:AG130 AK127:AM130">
    <cfRule type="containsText" dxfId="867" priority="808" operator="containsText" text="T">
      <formula>NOT(ISERROR(SEARCH("T",AG127)))</formula>
    </cfRule>
  </conditionalFormatting>
  <conditionalFormatting sqref="AG159">
    <cfRule type="containsText" dxfId="866" priority="746" operator="containsText" text="17">
      <formula>NOT(ISERROR(SEARCH("17",AG159)))</formula>
    </cfRule>
    <cfRule type="containsText" dxfId="865" priority="747" operator="containsText" text="T">
      <formula>NOT(ISERROR(SEARCH("T",AG159)))</formula>
    </cfRule>
  </conditionalFormatting>
  <conditionalFormatting sqref="AG67:AH68">
    <cfRule type="containsText" dxfId="864" priority="839" operator="containsText" text="17">
      <formula>NOT(ISERROR(SEARCH("17",AG67)))</formula>
    </cfRule>
  </conditionalFormatting>
  <conditionalFormatting sqref="AG97:AH98">
    <cfRule type="containsText" dxfId="863" priority="829" operator="containsText" text="17">
      <formula>NOT(ISERROR(SEARCH("17",AG97)))</formula>
    </cfRule>
  </conditionalFormatting>
  <conditionalFormatting sqref="AG127:AH130 AK127:AM130">
    <cfRule type="containsText" dxfId="862" priority="809" operator="containsText" text="17">
      <formula>NOT(ISERROR(SEARCH("17",AG127)))</formula>
    </cfRule>
  </conditionalFormatting>
  <conditionalFormatting sqref="AG207:AM207">
    <cfRule type="containsText" dxfId="861" priority="738" operator="containsText" text="T">
      <formula>NOT(ISERROR(SEARCH("T",AG207)))</formula>
    </cfRule>
    <cfRule type="containsText" dxfId="860" priority="737" operator="containsText" text="17">
      <formula>NOT(ISERROR(SEARCH("17",AG207)))</formula>
    </cfRule>
  </conditionalFormatting>
  <conditionalFormatting sqref="AG28:AO32">
    <cfRule type="containsText" dxfId="859" priority="590" operator="containsText" text="17">
      <formula>NOT(ISERROR(SEARCH("17",AG28)))</formula>
    </cfRule>
  </conditionalFormatting>
  <conditionalFormatting sqref="AG28:AQ32">
    <cfRule type="containsText" dxfId="858" priority="584" operator="containsText" text="T">
      <formula>NOT(ISERROR(SEARCH("T",AG28)))</formula>
    </cfRule>
    <cfRule type="containsText" dxfId="857" priority="583" operator="containsText" text="17">
      <formula>NOT(ISERROR(SEARCH("17",AG28)))</formula>
    </cfRule>
  </conditionalFormatting>
  <conditionalFormatting sqref="AG48:AQ49">
    <cfRule type="containsText" dxfId="856" priority="573" operator="containsText" text="17">
      <formula>NOT(ISERROR(SEARCH("17",AG48)))</formula>
    </cfRule>
  </conditionalFormatting>
  <conditionalFormatting sqref="AG106:AY106">
    <cfRule type="containsText" dxfId="855" priority="411" operator="containsText" text="17">
      <formula>NOT(ISERROR(SEARCH("17",AG106)))</formula>
    </cfRule>
  </conditionalFormatting>
  <conditionalFormatting sqref="AG106:BA106">
    <cfRule type="containsText" dxfId="854" priority="405" operator="containsText" text="T">
      <formula>NOT(ISERROR(SEARCH("T",AG106)))</formula>
    </cfRule>
  </conditionalFormatting>
  <conditionalFormatting sqref="AH67:AH68">
    <cfRule type="containsText" dxfId="853" priority="840" operator="containsText" text="T">
      <formula>NOT(ISERROR(SEARCH("T",AH67)))</formula>
    </cfRule>
  </conditionalFormatting>
  <conditionalFormatting sqref="AH77:AH82">
    <cfRule type="containsText" dxfId="852" priority="897" operator="containsText" text="T">
      <formula>NOT(ISERROR(SEARCH("T",AH77)))</formula>
    </cfRule>
  </conditionalFormatting>
  <conditionalFormatting sqref="AH97:AH98">
    <cfRule type="containsText" dxfId="851" priority="830" operator="containsText" text="T">
      <formula>NOT(ISERROR(SEARCH("T",AH97)))</formula>
    </cfRule>
  </conditionalFormatting>
  <conditionalFormatting sqref="AH127:AH130">
    <cfRule type="containsText" dxfId="850" priority="810" operator="containsText" text="T">
      <formula>NOT(ISERROR(SEARCH("T",AH127)))</formula>
    </cfRule>
  </conditionalFormatting>
  <conditionalFormatting sqref="AH131 AL131:AN131 Q132:AK137 AN132:AN137">
    <cfRule type="containsText" dxfId="849" priority="795" operator="containsText" text="T">
      <formula>NOT(ISERROR(SEARCH("T",Q131)))</formula>
    </cfRule>
  </conditionalFormatting>
  <conditionalFormatting sqref="AH207">
    <cfRule type="containsText" dxfId="848" priority="733" operator="containsText" text="17">
      <formula>NOT(ISERROR(SEARCH("17",AH207)))</formula>
    </cfRule>
    <cfRule type="containsText" dxfId="847" priority="734" operator="containsText" text="T">
      <formula>NOT(ISERROR(SEARCH("T",AH207)))</formula>
    </cfRule>
  </conditionalFormatting>
  <conditionalFormatting sqref="AH131:AI131 AL131:AN131 AN132:AN137">
    <cfRule type="containsText" dxfId="846" priority="796" operator="containsText" text="17">
      <formula>NOT(ISERROR(SEARCH("17",AH131)))</formula>
    </cfRule>
  </conditionalFormatting>
  <conditionalFormatting sqref="AH200:AN200">
    <cfRule type="containsText" dxfId="845" priority="724" operator="containsText" text="17">
      <formula>NOT(ISERROR(SEARCH("17",AH200)))</formula>
    </cfRule>
    <cfRule type="containsText" dxfId="844" priority="725" operator="containsText" text="T">
      <formula>NOT(ISERROR(SEARCH("T",AH200)))</formula>
    </cfRule>
  </conditionalFormatting>
  <conditionalFormatting sqref="AH50:AP53">
    <cfRule type="containsText" dxfId="843" priority="570" operator="containsText" text="17">
      <formula>NOT(ISERROR(SEARCH("17",AH50)))</formula>
    </cfRule>
  </conditionalFormatting>
  <conditionalFormatting sqref="AH50:AR53">
    <cfRule type="containsText" dxfId="842" priority="563" operator="containsText" text="17">
      <formula>NOT(ISERROR(SEARCH("17",AH50)))</formula>
    </cfRule>
  </conditionalFormatting>
  <conditionalFormatting sqref="AH63:AR66">
    <cfRule type="containsText" dxfId="841" priority="553" operator="containsText" text="17">
      <formula>NOT(ISERROR(SEARCH("17",AH63)))</formula>
    </cfRule>
  </conditionalFormatting>
  <conditionalFormatting sqref="AH113:AU116">
    <cfRule type="containsText" dxfId="840" priority="476" operator="containsText" text="17">
      <formula>NOT(ISERROR(SEARCH("17",AH113)))</formula>
    </cfRule>
  </conditionalFormatting>
  <conditionalFormatting sqref="AH117:AV119">
    <cfRule type="containsText" dxfId="839" priority="466" operator="containsText" text="17">
      <formula>NOT(ISERROR(SEARCH("17",AH117)))</formula>
    </cfRule>
  </conditionalFormatting>
  <conditionalFormatting sqref="AH113:AW116">
    <cfRule type="containsText" dxfId="838" priority="470" operator="containsText" text="T">
      <formula>NOT(ISERROR(SEARCH("T",AH113)))</formula>
    </cfRule>
  </conditionalFormatting>
  <conditionalFormatting sqref="AH117:AX119">
    <cfRule type="containsText" dxfId="837" priority="460" operator="containsText" text="T">
      <formula>NOT(ISERROR(SEARCH("T",AH117)))</formula>
    </cfRule>
  </conditionalFormatting>
  <conditionalFormatting sqref="AI131">
    <cfRule type="containsText" dxfId="836" priority="797" operator="containsText" text="T">
      <formula>NOT(ISERROR(SEARCH("T",AI131)))</formula>
    </cfRule>
  </conditionalFormatting>
  <conditionalFormatting sqref="AI138 AM138:AO138 R139:AL144 AO139:AO144">
    <cfRule type="containsText" dxfId="835" priority="782" operator="containsText" text="T">
      <formula>NOT(ISERROR(SEARCH("T",R138)))</formula>
    </cfRule>
  </conditionalFormatting>
  <conditionalFormatting sqref="AI200">
    <cfRule type="containsText" dxfId="834" priority="721" operator="containsText" text="T">
      <formula>NOT(ISERROR(SEARCH("T",AI200)))</formula>
    </cfRule>
    <cfRule type="containsText" dxfId="833" priority="720" operator="containsText" text="17">
      <formula>NOT(ISERROR(SEARCH("17",AI200)))</formula>
    </cfRule>
  </conditionalFormatting>
  <conditionalFormatting sqref="AI138:AJ138 AM138:AO138 AO139:AO144">
    <cfRule type="containsText" dxfId="832" priority="783" operator="containsText" text="17">
      <formula>NOT(ISERROR(SEARCH("17",AI138)))</formula>
    </cfRule>
  </conditionalFormatting>
  <conditionalFormatting sqref="AI107:AO112">
    <cfRule type="containsText" dxfId="831" priority="884" operator="containsText" text="T">
      <formula>NOT(ISERROR(SEARCH("T",AI107)))</formula>
    </cfRule>
  </conditionalFormatting>
  <conditionalFormatting sqref="AI192:AO192">
    <cfRule type="containsText" dxfId="830" priority="701" operator="containsText" text="T">
      <formula>NOT(ISERROR(SEARCH("T",AI192)))</formula>
    </cfRule>
  </conditionalFormatting>
  <conditionalFormatting sqref="AI193:AO193">
    <cfRule type="containsText" dxfId="829" priority="712" operator="containsText" text="T">
      <formula>NOT(ISERROR(SEARCH("T",AI193)))</formula>
    </cfRule>
    <cfRule type="containsText" dxfId="828" priority="711" operator="containsText" text="17">
      <formula>NOT(ISERROR(SEARCH("17",AI193)))</formula>
    </cfRule>
  </conditionalFormatting>
  <conditionalFormatting sqref="AI192:AP192 AS192:AU192">
    <cfRule type="containsText" dxfId="827" priority="699" operator="containsText" text="17">
      <formula>NOT(ISERROR(SEARCH("17",AI192)))</formula>
    </cfRule>
  </conditionalFormatting>
  <conditionalFormatting sqref="AI59:AS62">
    <cfRule type="containsText" dxfId="826" priority="539" operator="containsText" text="17">
      <formula>NOT(ISERROR(SEARCH("17",AI59)))</formula>
    </cfRule>
  </conditionalFormatting>
  <conditionalFormatting sqref="AI86:AS89">
    <cfRule type="containsText" dxfId="825" priority="529" operator="containsText" text="17">
      <formula>NOT(ISERROR(SEARCH("17",AI86)))</formula>
    </cfRule>
  </conditionalFormatting>
  <conditionalFormatting sqref="AI79:AV82">
    <cfRule type="containsText" dxfId="824" priority="456" operator="containsText" text="17">
      <formula>NOT(ISERROR(SEARCH("17",AI79)))</formula>
    </cfRule>
  </conditionalFormatting>
  <conditionalFormatting sqref="AI76:AX78">
    <cfRule type="containsText" dxfId="823" priority="431" operator="containsText" text="17">
      <formula>NOT(ISERROR(SEARCH("17",AI76)))</formula>
    </cfRule>
  </conditionalFormatting>
  <conditionalFormatting sqref="AI79:AX82">
    <cfRule type="containsText" dxfId="822" priority="450" operator="containsText" text="T">
      <formula>NOT(ISERROR(SEARCH("T",AI79)))</formula>
    </cfRule>
  </conditionalFormatting>
  <conditionalFormatting sqref="AI76:AZ78">
    <cfRule type="containsText" dxfId="821" priority="425" operator="containsText" text="T">
      <formula>NOT(ISERROR(SEARCH("T",AI76)))</formula>
    </cfRule>
  </conditionalFormatting>
  <conditionalFormatting sqref="AJ120:AJ126">
    <cfRule type="containsText" dxfId="820" priority="445" operator="containsText" text="17">
      <formula>NOT(ISERROR(SEARCH("17",AJ120)))</formula>
    </cfRule>
    <cfRule type="containsText" dxfId="819" priority="448" operator="containsText" text="T">
      <formula>NOT(ISERROR(SEARCH("T",AJ120)))</formula>
    </cfRule>
  </conditionalFormatting>
  <conditionalFormatting sqref="AJ138">
    <cfRule type="containsText" dxfId="818" priority="784" operator="containsText" text="T">
      <formula>NOT(ISERROR(SEARCH("T",AJ138)))</formula>
    </cfRule>
  </conditionalFormatting>
  <conditionalFormatting sqref="AJ145 AN145:AP145 S146:AM151 AP146:AP151">
    <cfRule type="containsText" dxfId="817" priority="769" operator="containsText" text="T">
      <formula>NOT(ISERROR(SEARCH("T",S145)))</formula>
    </cfRule>
  </conditionalFormatting>
  <conditionalFormatting sqref="AJ192:AJ193">
    <cfRule type="containsText" dxfId="816" priority="707" operator="containsText" text="17">
      <formula>NOT(ISERROR(SEARCH("17",AJ192)))</formula>
    </cfRule>
    <cfRule type="containsText" dxfId="815" priority="708" operator="containsText" text="T">
      <formula>NOT(ISERROR(SEARCH("T",AJ192)))</formula>
    </cfRule>
  </conditionalFormatting>
  <conditionalFormatting sqref="AJ145:AK145 AN145:AP145 AP146:AP151">
    <cfRule type="containsText" dxfId="814" priority="770" operator="containsText" text="17">
      <formula>NOT(ISERROR(SEARCH("17",AJ145)))</formula>
    </cfRule>
  </conditionalFormatting>
  <conditionalFormatting sqref="AJ168:AP168">
    <cfRule type="containsText" dxfId="813" priority="693" operator="containsText" text="17">
      <formula>NOT(ISERROR(SEARCH("17",AJ168)))</formula>
    </cfRule>
    <cfRule type="containsText" dxfId="812" priority="694" operator="containsText" text="T">
      <formula>NOT(ISERROR(SEARCH("T",AJ168)))</formula>
    </cfRule>
  </conditionalFormatting>
  <conditionalFormatting sqref="AJ83:AT85">
    <cfRule type="containsText" dxfId="811" priority="519" operator="containsText" text="17">
      <formula>NOT(ISERROR(SEARCH("17",AJ83)))</formula>
    </cfRule>
  </conditionalFormatting>
  <conditionalFormatting sqref="AJ214:AT217">
    <cfRule type="containsText" dxfId="810" priority="509" operator="containsText" text="17">
      <formula>NOT(ISERROR(SEARCH("17",AJ214)))</formula>
    </cfRule>
  </conditionalFormatting>
  <conditionalFormatting sqref="AK70:AK75">
    <cfRule type="containsText" dxfId="809" priority="871" operator="containsText" text="T">
      <formula>NOT(ISERROR(SEARCH("T",AK70)))</formula>
    </cfRule>
  </conditionalFormatting>
  <conditionalFormatting sqref="AK129:AK130 P127:X130">
    <cfRule type="containsText" dxfId="808" priority="813" operator="containsText" text="17">
      <formula>NOT(ISERROR(SEARCH("17",P127)))</formula>
    </cfRule>
  </conditionalFormatting>
  <conditionalFormatting sqref="AK145">
    <cfRule type="containsText" dxfId="807" priority="771" operator="containsText" text="T">
      <formula>NOT(ISERROR(SEARCH("T",AK145)))</formula>
    </cfRule>
  </conditionalFormatting>
  <conditionalFormatting sqref="AK152 AO152:AQ152 T153:AN158 AQ153:AQ158">
    <cfRule type="containsText" dxfId="806" priority="756" operator="containsText" text="T">
      <formula>NOT(ISERROR(SEARCH("T",T152)))</formula>
    </cfRule>
  </conditionalFormatting>
  <conditionalFormatting sqref="AK168">
    <cfRule type="containsText" dxfId="805" priority="689" operator="containsText" text="17">
      <formula>NOT(ISERROR(SEARCH("17",AK168)))</formula>
    </cfRule>
    <cfRule type="containsText" dxfId="804" priority="690" operator="containsText" text="T">
      <formula>NOT(ISERROR(SEARCH("T",AK168)))</formula>
    </cfRule>
  </conditionalFormatting>
  <conditionalFormatting sqref="AK152:AL152 AO152:AQ152 AQ153:AQ158">
    <cfRule type="containsText" dxfId="803" priority="757" operator="containsText" text="17">
      <formula>NOT(ISERROR(SEARCH("17",AK152)))</formula>
    </cfRule>
  </conditionalFormatting>
  <conditionalFormatting sqref="AK175:AQ175">
    <cfRule type="containsText" dxfId="802" priority="681" operator="containsText" text="T">
      <formula>NOT(ISERROR(SEARCH("T",AK175)))</formula>
    </cfRule>
    <cfRule type="containsText" dxfId="801" priority="680" operator="containsText" text="17">
      <formula>NOT(ISERROR(SEARCH("17",AK175)))</formula>
    </cfRule>
  </conditionalFormatting>
  <conditionalFormatting sqref="AK218:AU224">
    <cfRule type="containsText" dxfId="800" priority="499" operator="containsText" text="17">
      <formula>NOT(ISERROR(SEARCH("17",AK218)))</formula>
    </cfRule>
  </conditionalFormatting>
  <conditionalFormatting sqref="AK120:AY120">
    <cfRule type="containsText" dxfId="799" priority="391" operator="containsText" text="17">
      <formula>NOT(ISERROR(SEARCH("17",AK120)))</formula>
    </cfRule>
  </conditionalFormatting>
  <conditionalFormatting sqref="AK122:AY122">
    <cfRule type="containsText" dxfId="798" priority="381" operator="containsText" text="17">
      <formula>NOT(ISERROR(SEARCH("17",AK122)))</formula>
    </cfRule>
  </conditionalFormatting>
  <conditionalFormatting sqref="AK124:AY126">
    <cfRule type="containsText" dxfId="797" priority="401" operator="containsText" text="17">
      <formula>NOT(ISERROR(SEARCH("17",AK124)))</formula>
    </cfRule>
  </conditionalFormatting>
  <conditionalFormatting sqref="AK121:AZ121">
    <cfRule type="containsText" dxfId="796" priority="361" operator="containsText" text="17">
      <formula>NOT(ISERROR(SEARCH("17",AK121)))</formula>
    </cfRule>
  </conditionalFormatting>
  <conditionalFormatting sqref="AK123:AZ123">
    <cfRule type="containsText" dxfId="795" priority="351" operator="containsText" text="17">
      <formula>NOT(ISERROR(SEARCH("17",AK123)))</formula>
    </cfRule>
  </conditionalFormatting>
  <conditionalFormatting sqref="AK67:BA68">
    <cfRule type="containsText" dxfId="794" priority="311" operator="containsText" text="17">
      <formula>NOT(ISERROR(SEARCH("17",AK67)))</formula>
    </cfRule>
  </conditionalFormatting>
  <conditionalFormatting sqref="AK120:BA120">
    <cfRule type="containsText" dxfId="793" priority="385" operator="containsText" text="T">
      <formula>NOT(ISERROR(SEARCH("T",AK120)))</formula>
    </cfRule>
  </conditionalFormatting>
  <conditionalFormatting sqref="AK122:BA122">
    <cfRule type="containsText" dxfId="792" priority="375" operator="containsText" text="T">
      <formula>NOT(ISERROR(SEARCH("T",AK122)))</formula>
    </cfRule>
  </conditionalFormatting>
  <conditionalFormatting sqref="AK124:BA126">
    <cfRule type="containsText" dxfId="791" priority="395" operator="containsText" text="T">
      <formula>NOT(ISERROR(SEARCH("T",AK124)))</formula>
    </cfRule>
  </conditionalFormatting>
  <conditionalFormatting sqref="AK97:BB98">
    <cfRule type="containsText" dxfId="790" priority="301" operator="containsText" text="17">
      <formula>NOT(ISERROR(SEARCH("17",AK97)))</formula>
    </cfRule>
  </conditionalFormatting>
  <conditionalFormatting sqref="AK121:BB121">
    <cfRule type="containsText" dxfId="789" priority="355" operator="containsText" text="T">
      <formula>NOT(ISERROR(SEARCH("T",AK121)))</formula>
    </cfRule>
  </conditionalFormatting>
  <conditionalFormatting sqref="AK123:BB123">
    <cfRule type="containsText" dxfId="788" priority="345" operator="containsText" text="T">
      <formula>NOT(ISERROR(SEARCH("T",AK123)))</formula>
    </cfRule>
  </conditionalFormatting>
  <conditionalFormatting sqref="AK67:BC68">
    <cfRule type="containsText" dxfId="787" priority="305" operator="containsText" text="T">
      <formula>NOT(ISERROR(SEARCH("T",AK67)))</formula>
    </cfRule>
  </conditionalFormatting>
  <conditionalFormatting sqref="AK97:BD98">
    <cfRule type="containsText" dxfId="786" priority="295" operator="containsText" text="T">
      <formula>NOT(ISERROR(SEARCH("T",AK97)))</formula>
    </cfRule>
  </conditionalFormatting>
  <conditionalFormatting sqref="AL100:AL105">
    <cfRule type="containsText" dxfId="785" priority="858" operator="containsText" text="T">
      <formula>NOT(ISERROR(SEARCH("T",AL100)))</formula>
    </cfRule>
  </conditionalFormatting>
  <conditionalFormatting sqref="AL152">
    <cfRule type="containsText" dxfId="784" priority="758" operator="containsText" text="T">
      <formula>NOT(ISERROR(SEARCH("T",AL152)))</formula>
    </cfRule>
  </conditionalFormatting>
  <conditionalFormatting sqref="AL159 AP159:AR159 U160:AO165 AR160:AR165">
    <cfRule type="containsText" dxfId="783" priority="743" operator="containsText" text="T">
      <formula>NOT(ISERROR(SEARCH("T",U159)))</formula>
    </cfRule>
  </conditionalFormatting>
  <conditionalFormatting sqref="AL175">
    <cfRule type="containsText" dxfId="782" priority="677" operator="containsText" text="T">
      <formula>NOT(ISERROR(SEARCH("T",AL175)))</formula>
    </cfRule>
    <cfRule type="containsText" dxfId="781" priority="676" operator="containsText" text="17">
      <formula>NOT(ISERROR(SEARCH("17",AL175)))</formula>
    </cfRule>
  </conditionalFormatting>
  <conditionalFormatting sqref="AL159:AM159 AP159:AR159 AR160:AR165">
    <cfRule type="containsText" dxfId="780" priority="744" operator="containsText" text="17">
      <formula>NOT(ISERROR(SEARCH("17",AL159)))</formula>
    </cfRule>
  </conditionalFormatting>
  <conditionalFormatting sqref="AL182:AR182">
    <cfRule type="containsText" dxfId="779" priority="668" operator="containsText" text="T">
      <formula>NOT(ISERROR(SEARCH("T",AL182)))</formula>
    </cfRule>
    <cfRule type="containsText" dxfId="778" priority="667" operator="containsText" text="17">
      <formula>NOT(ISERROR(SEARCH("17",AL182)))</formula>
    </cfRule>
  </conditionalFormatting>
  <conditionalFormatting sqref="AL225:AV231">
    <cfRule type="containsText" dxfId="777" priority="489" operator="containsText" text="17">
      <formula>NOT(ISERROR(SEARCH("17",AL225)))</formula>
    </cfRule>
  </conditionalFormatting>
  <conditionalFormatting sqref="AL72:AY75">
    <cfRule type="containsText" dxfId="776" priority="421" operator="containsText" text="17">
      <formula>NOT(ISERROR(SEARCH("17",AL72)))</formula>
    </cfRule>
  </conditionalFormatting>
  <conditionalFormatting sqref="AL69:AZ71">
    <cfRule type="containsText" dxfId="775" priority="341" operator="containsText" text="17">
      <formula>NOT(ISERROR(SEARCH("17",AL69)))</formula>
    </cfRule>
  </conditionalFormatting>
  <conditionalFormatting sqref="AL72:BA75">
    <cfRule type="containsText" dxfId="774" priority="415" operator="containsText" text="T">
      <formula>NOT(ISERROR(SEARCH("T",AL72)))</formula>
    </cfRule>
  </conditionalFormatting>
  <conditionalFormatting sqref="AL69:BB71">
    <cfRule type="containsText" dxfId="773" priority="335" operator="containsText" text="T">
      <formula>NOT(ISERROR(SEARCH("T",AL69)))</formula>
    </cfRule>
  </conditionalFormatting>
  <conditionalFormatting sqref="AM159">
    <cfRule type="containsText" dxfId="772" priority="745" operator="containsText" text="T">
      <formula>NOT(ISERROR(SEARCH("T",AM159)))</formula>
    </cfRule>
  </conditionalFormatting>
  <conditionalFormatting sqref="AM182">
    <cfRule type="containsText" dxfId="771" priority="663" operator="containsText" text="17">
      <formula>NOT(ISERROR(SEARCH("17",AM182)))</formula>
    </cfRule>
    <cfRule type="containsText" dxfId="770" priority="664" operator="containsText" text="T">
      <formula>NOT(ISERROR(SEARCH("T",AM182)))</formula>
    </cfRule>
  </conditionalFormatting>
  <conditionalFormatting sqref="AM207 AQ207:AS207 V208:AP213 AS208:AS213">
    <cfRule type="containsText" dxfId="769" priority="730" operator="containsText" text="T">
      <formula>NOT(ISERROR(SEARCH("T",V207)))</formula>
    </cfRule>
  </conditionalFormatting>
  <conditionalFormatting sqref="AM207:AN207 AQ207:AS207 AS208:AS213">
    <cfRule type="containsText" dxfId="768" priority="731" operator="containsText" text="17">
      <formula>NOT(ISERROR(SEARCH("17",AM207)))</formula>
    </cfRule>
  </conditionalFormatting>
  <conditionalFormatting sqref="AM90:AS90">
    <cfRule type="containsText" dxfId="767" priority="655" operator="containsText" text="T">
      <formula>NOT(ISERROR(SEARCH("T",AM90)))</formula>
    </cfRule>
    <cfRule type="containsText" dxfId="766" priority="654" operator="containsText" text="17">
      <formula>NOT(ISERROR(SEARCH("17",AM90)))</formula>
    </cfRule>
  </conditionalFormatting>
  <conditionalFormatting sqref="AM113:AW116">
    <cfRule type="containsText" dxfId="765" priority="469" operator="containsText" text="17">
      <formula>NOT(ISERROR(SEARCH("17",AM113)))</formula>
    </cfRule>
  </conditionalFormatting>
  <conditionalFormatting sqref="AM232:AW234">
    <cfRule type="containsText" dxfId="764" priority="479" operator="containsText" text="17">
      <formula>NOT(ISERROR(SEARCH("17",AM232)))</formula>
    </cfRule>
  </conditionalFormatting>
  <conditionalFormatting sqref="AM103:AZ104">
    <cfRule type="containsText" dxfId="763" priority="371" operator="containsText" text="17">
      <formula>NOT(ISERROR(SEARCH("17",AM103)))</formula>
    </cfRule>
  </conditionalFormatting>
  <conditionalFormatting sqref="AM99:BA102">
    <cfRule type="containsText" dxfId="762" priority="331" operator="containsText" text="17">
      <formula>NOT(ISERROR(SEARCH("17",AM99)))</formula>
    </cfRule>
  </conditionalFormatting>
  <conditionalFormatting sqref="AM105:BA105">
    <cfRule type="containsText" dxfId="761" priority="321" operator="containsText" text="17">
      <formula>NOT(ISERROR(SEARCH("17",AM105)))</formula>
    </cfRule>
  </conditionalFormatting>
  <conditionalFormatting sqref="AM103:BB104">
    <cfRule type="containsText" dxfId="760" priority="365" operator="containsText" text="T">
      <formula>NOT(ISERROR(SEARCH("T",AM103)))</formula>
    </cfRule>
  </conditionalFormatting>
  <conditionalFormatting sqref="AM99:BC102">
    <cfRule type="containsText" dxfId="759" priority="325" operator="containsText" text="T">
      <formula>NOT(ISERROR(SEARCH("T",AM99)))</formula>
    </cfRule>
  </conditionalFormatting>
  <conditionalFormatting sqref="AM105:BC105">
    <cfRule type="containsText" dxfId="758" priority="315" operator="containsText" text="T">
      <formula>NOT(ISERROR(SEARCH("T",AM105)))</formula>
    </cfRule>
  </conditionalFormatting>
  <conditionalFormatting sqref="AN90">
    <cfRule type="containsText" dxfId="757" priority="651" operator="containsText" text="T">
      <formula>NOT(ISERROR(SEARCH("T",AN90)))</formula>
    </cfRule>
    <cfRule type="containsText" dxfId="756" priority="650" operator="containsText" text="17">
      <formula>NOT(ISERROR(SEARCH("17",AN90)))</formula>
    </cfRule>
  </conditionalFormatting>
  <conditionalFormatting sqref="AN132:AN137">
    <cfRule type="containsText" dxfId="755" priority="805" operator="containsText" text="T">
      <formula>NOT(ISERROR(SEARCH("T",AN132)))</formula>
    </cfRule>
  </conditionalFormatting>
  <conditionalFormatting sqref="AN200 AR200:AT200 W201:AQ206 AT201:AT206">
    <cfRule type="containsText" dxfId="754" priority="717" operator="containsText" text="T">
      <formula>NOT(ISERROR(SEARCH("T",W200)))</formula>
    </cfRule>
  </conditionalFormatting>
  <conditionalFormatting sqref="AN207">
    <cfRule type="containsText" dxfId="753" priority="732" operator="containsText" text="T">
      <formula>NOT(ISERROR(SEARCH("T",AN207)))</formula>
    </cfRule>
  </conditionalFormatting>
  <conditionalFormatting sqref="AN200:AO200 AR200:AT200 AT201:AT206">
    <cfRule type="containsText" dxfId="752" priority="718" operator="containsText" text="17">
      <formula>NOT(ISERROR(SEARCH("17",AN200)))</formula>
    </cfRule>
  </conditionalFormatting>
  <conditionalFormatting sqref="AN14:AT14">
    <cfRule type="containsText" dxfId="751" priority="641" operator="containsText" text="17">
      <formula>NOT(ISERROR(SEARCH("17",AN14)))</formula>
    </cfRule>
    <cfRule type="containsText" dxfId="750" priority="642" operator="containsText" text="T">
      <formula>NOT(ISERROR(SEARCH("T",AN14)))</formula>
    </cfRule>
  </conditionalFormatting>
  <conditionalFormatting sqref="AN79:AX82">
    <cfRule type="containsText" dxfId="749" priority="449" operator="containsText" text="17">
      <formula>NOT(ISERROR(SEARCH("17",AN79)))</formula>
    </cfRule>
  </conditionalFormatting>
  <conditionalFormatting sqref="AN117:AX119">
    <cfRule type="containsText" dxfId="748" priority="459" operator="containsText" text="17">
      <formula>NOT(ISERROR(SEARCH("17",AN117)))</formula>
    </cfRule>
  </conditionalFormatting>
  <conditionalFormatting sqref="AO14">
    <cfRule type="containsText" dxfId="747" priority="637" operator="containsText" text="17">
      <formula>NOT(ISERROR(SEARCH("17",AO14)))</formula>
    </cfRule>
    <cfRule type="containsText" dxfId="746" priority="638" operator="containsText" text="T">
      <formula>NOT(ISERROR(SEARCH("T",AO14)))</formula>
    </cfRule>
  </conditionalFormatting>
  <conditionalFormatting sqref="AO139:AO144">
    <cfRule type="containsText" dxfId="745" priority="792" operator="containsText" text="T">
      <formula>NOT(ISERROR(SEARCH("T",AO139)))</formula>
    </cfRule>
  </conditionalFormatting>
  <conditionalFormatting sqref="AO192:AO193 AS192:AU193 X194:AR199 AU194:AU199">
    <cfRule type="containsText" dxfId="744" priority="704" operator="containsText" text="T">
      <formula>NOT(ISERROR(SEARCH("T",X192)))</formula>
    </cfRule>
  </conditionalFormatting>
  <conditionalFormatting sqref="AO200">
    <cfRule type="containsText" dxfId="743" priority="719" operator="containsText" text="T">
      <formula>NOT(ISERROR(SEARCH("T",AO200)))</formula>
    </cfRule>
  </conditionalFormatting>
  <conditionalFormatting sqref="AO193:AP193 AS193:AU193 AU194:AU199">
    <cfRule type="containsText" dxfId="742" priority="705" operator="containsText" text="17">
      <formula>NOT(ISERROR(SEARCH("17",AO193)))</formula>
    </cfRule>
  </conditionalFormatting>
  <conditionalFormatting sqref="AO34:AU34">
    <cfRule type="containsText" dxfId="741" priority="629" operator="containsText" text="T">
      <formula>NOT(ISERROR(SEARCH("T",AO34)))</formula>
    </cfRule>
    <cfRule type="containsText" dxfId="740" priority="628" operator="containsText" text="17">
      <formula>NOT(ISERROR(SEARCH("17",AO34)))</formula>
    </cfRule>
  </conditionalFormatting>
  <conditionalFormatting sqref="AO131:BB137">
    <cfRule type="containsText" dxfId="739" priority="291" operator="containsText" text="17">
      <formula>NOT(ISERROR(SEARCH("17",AO131)))</formula>
    </cfRule>
  </conditionalFormatting>
  <conditionalFormatting sqref="AO131:BD137">
    <cfRule type="containsText" dxfId="738" priority="285" operator="containsText" text="T">
      <formula>NOT(ISERROR(SEARCH("T",AO131)))</formula>
    </cfRule>
  </conditionalFormatting>
  <conditionalFormatting sqref="AP34">
    <cfRule type="containsText" dxfId="737" priority="625" operator="containsText" text="T">
      <formula>NOT(ISERROR(SEARCH("T",AP34)))</formula>
    </cfRule>
    <cfRule type="containsText" dxfId="736" priority="624" operator="containsText" text="17">
      <formula>NOT(ISERROR(SEARCH("17",AP34)))</formula>
    </cfRule>
  </conditionalFormatting>
  <conditionalFormatting sqref="AP146:AP151">
    <cfRule type="containsText" dxfId="735" priority="779" operator="containsText" text="T">
      <formula>NOT(ISERROR(SEARCH("T",AP146)))</formula>
    </cfRule>
  </conditionalFormatting>
  <conditionalFormatting sqref="AP168 AT168:AV168 Y169:AS174 AV169:AV174">
    <cfRule type="containsText" dxfId="734" priority="686" operator="containsText" text="T">
      <formula>NOT(ISERROR(SEARCH("T",Y168)))</formula>
    </cfRule>
  </conditionalFormatting>
  <conditionalFormatting sqref="AP192:AP193">
    <cfRule type="containsText" dxfId="733" priority="706" operator="containsText" text="T">
      <formula>NOT(ISERROR(SEARCH("T",AP192)))</formula>
    </cfRule>
  </conditionalFormatting>
  <conditionalFormatting sqref="AP168:AQ168 AT168:AV168 AV169:AV174">
    <cfRule type="containsText" dxfId="732" priority="687" operator="containsText" text="17">
      <formula>NOT(ISERROR(SEARCH("17",AP168)))</formula>
    </cfRule>
  </conditionalFormatting>
  <conditionalFormatting sqref="AP21:AV21">
    <cfRule type="containsText" dxfId="731" priority="616" operator="containsText" text="T">
      <formula>NOT(ISERROR(SEARCH("T",AP21)))</formula>
    </cfRule>
    <cfRule type="containsText" dxfId="730" priority="615" operator="containsText" text="17">
      <formula>NOT(ISERROR(SEARCH("17",AP21)))</formula>
    </cfRule>
  </conditionalFormatting>
  <conditionalFormatting sqref="AP107:AX112">
    <cfRule type="containsText" dxfId="729" priority="441" operator="containsText" text="17">
      <formula>NOT(ISERROR(SEARCH("17",AP107)))</formula>
    </cfRule>
  </conditionalFormatting>
  <conditionalFormatting sqref="AP76:AZ78">
    <cfRule type="containsText" dxfId="728" priority="424" operator="containsText" text="17">
      <formula>NOT(ISERROR(SEARCH("17",AP76)))</formula>
    </cfRule>
  </conditionalFormatting>
  <conditionalFormatting sqref="AP107:AZ112">
    <cfRule type="containsText" dxfId="727" priority="434" operator="containsText" text="17">
      <formula>NOT(ISERROR(SEARCH("17",AP107)))</formula>
    </cfRule>
    <cfRule type="containsText" dxfId="726" priority="435" operator="containsText" text="T">
      <formula>NOT(ISERROR(SEARCH("T",AP107)))</formula>
    </cfRule>
  </conditionalFormatting>
  <conditionalFormatting sqref="AP138:BC144">
    <cfRule type="containsText" dxfId="725" priority="281" operator="containsText" text="17">
      <formula>NOT(ISERROR(SEARCH("17",AP138)))</formula>
    </cfRule>
  </conditionalFormatting>
  <conditionalFormatting sqref="AP138:BE144">
    <cfRule type="containsText" dxfId="724" priority="275" operator="containsText" text="T">
      <formula>NOT(ISERROR(SEARCH("T",AP138)))</formula>
    </cfRule>
  </conditionalFormatting>
  <conditionalFormatting sqref="AQ21">
    <cfRule type="containsText" dxfId="723" priority="611" operator="containsText" text="17">
      <formula>NOT(ISERROR(SEARCH("17",AQ21)))</formula>
    </cfRule>
    <cfRule type="containsText" dxfId="722" priority="612" operator="containsText" text="T">
      <formula>NOT(ISERROR(SEARCH("T",AQ21)))</formula>
    </cfRule>
  </conditionalFormatting>
  <conditionalFormatting sqref="AQ153:AQ158">
    <cfRule type="containsText" dxfId="721" priority="766" operator="containsText" text="T">
      <formula>NOT(ISERROR(SEARCH("T",AQ153)))</formula>
    </cfRule>
  </conditionalFormatting>
  <conditionalFormatting sqref="AQ168">
    <cfRule type="containsText" dxfId="720" priority="688" operator="containsText" text="T">
      <formula>NOT(ISERROR(SEARCH("T",AQ168)))</formula>
    </cfRule>
  </conditionalFormatting>
  <conditionalFormatting sqref="AQ175 AU175:AW175 Z176:AT181 AW176:AW181">
    <cfRule type="containsText" dxfId="719" priority="673" operator="containsText" text="T">
      <formula>NOT(ISERROR(SEARCH("T",Z175)))</formula>
    </cfRule>
  </conditionalFormatting>
  <conditionalFormatting sqref="AQ175:AR175 AU175:AW175 AW176:AW181">
    <cfRule type="containsText" dxfId="718" priority="674" operator="containsText" text="17">
      <formula>NOT(ISERROR(SEARCH("17",AQ175)))</formula>
    </cfRule>
  </conditionalFormatting>
  <conditionalFormatting sqref="AQ41:AW41">
    <cfRule type="containsText" dxfId="717" priority="602" operator="containsText" text="17">
      <formula>NOT(ISERROR(SEARCH("17",AQ41)))</formula>
    </cfRule>
    <cfRule type="containsText" dxfId="716" priority="603" operator="containsText" text="T">
      <formula>NOT(ISERROR(SEARCH("T",AQ41)))</formula>
    </cfRule>
  </conditionalFormatting>
  <conditionalFormatting sqref="AQ72:BA75">
    <cfRule type="containsText" dxfId="715" priority="414" operator="containsText" text="17">
      <formula>NOT(ISERROR(SEARCH("17",AQ72)))</formula>
    </cfRule>
  </conditionalFormatting>
  <conditionalFormatting sqref="AQ106:BA106">
    <cfRule type="containsText" dxfId="714" priority="404" operator="containsText" text="17">
      <formula>NOT(ISERROR(SEARCH("17",AQ106)))</formula>
    </cfRule>
  </conditionalFormatting>
  <conditionalFormatting sqref="AQ120:BA120">
    <cfRule type="containsText" dxfId="713" priority="384" operator="containsText" text="17">
      <formula>NOT(ISERROR(SEARCH("17",AQ120)))</formula>
    </cfRule>
  </conditionalFormatting>
  <conditionalFormatting sqref="AQ122:BA122">
    <cfRule type="containsText" dxfId="712" priority="374" operator="containsText" text="17">
      <formula>NOT(ISERROR(SEARCH("17",AQ122)))</formula>
    </cfRule>
  </conditionalFormatting>
  <conditionalFormatting sqref="AQ124:BA126">
    <cfRule type="containsText" dxfId="711" priority="394" operator="containsText" text="17">
      <formula>NOT(ISERROR(SEARCH("17",AQ124)))</formula>
    </cfRule>
  </conditionalFormatting>
  <conditionalFormatting sqref="AQ145:BD151">
    <cfRule type="containsText" dxfId="710" priority="271" operator="containsText" text="17">
      <formula>NOT(ISERROR(SEARCH("17",AQ145)))</formula>
    </cfRule>
  </conditionalFormatting>
  <conditionalFormatting sqref="AQ145:BF151">
    <cfRule type="containsText" dxfId="709" priority="265" operator="containsText" text="T">
      <formula>NOT(ISERROR(SEARCH("T",AQ145)))</formula>
    </cfRule>
  </conditionalFormatting>
  <conditionalFormatting sqref="AR41">
    <cfRule type="containsText" dxfId="708" priority="598" operator="containsText" text="17">
      <formula>NOT(ISERROR(SEARCH("17",AR41)))</formula>
    </cfRule>
    <cfRule type="containsText" dxfId="707" priority="599" operator="containsText" text="T">
      <formula>NOT(ISERROR(SEARCH("T",AR41)))</formula>
    </cfRule>
  </conditionalFormatting>
  <conditionalFormatting sqref="AR160:AR165">
    <cfRule type="containsText" dxfId="706" priority="753" operator="containsText" text="T">
      <formula>NOT(ISERROR(SEARCH("T",AR160)))</formula>
    </cfRule>
  </conditionalFormatting>
  <conditionalFormatting sqref="AR175">
    <cfRule type="containsText" dxfId="705" priority="675" operator="containsText" text="T">
      <formula>NOT(ISERROR(SEARCH("T",AR175)))</formula>
    </cfRule>
  </conditionalFormatting>
  <conditionalFormatting sqref="AR182 AV182:AX182 AA183:AU190 AX183:AX190">
    <cfRule type="containsText" dxfId="704" priority="660" operator="containsText" text="T">
      <formula>NOT(ISERROR(SEARCH("T",AA182)))</formula>
    </cfRule>
  </conditionalFormatting>
  <conditionalFormatting sqref="AR182:AS182 AV182:AX182 AX183:AX190">
    <cfRule type="containsText" dxfId="703" priority="661" operator="containsText" text="17">
      <formula>NOT(ISERROR(SEARCH("17",AR182)))</formula>
    </cfRule>
  </conditionalFormatting>
  <conditionalFormatting sqref="AR28:AX32">
    <cfRule type="containsText" dxfId="702" priority="591" operator="containsText" text="17">
      <formula>NOT(ISERROR(SEARCH("17",AR28)))</formula>
    </cfRule>
    <cfRule type="containsText" dxfId="701" priority="592" operator="containsText" text="T">
      <formula>NOT(ISERROR(SEARCH("T",AR28)))</formula>
    </cfRule>
  </conditionalFormatting>
  <conditionalFormatting sqref="AR48:AX49">
    <cfRule type="containsText" dxfId="700" priority="581" operator="containsText" text="17">
      <formula>NOT(ISERROR(SEARCH("17",AR48)))</formula>
    </cfRule>
    <cfRule type="containsText" dxfId="699" priority="582" operator="containsText" text="T">
      <formula>NOT(ISERROR(SEARCH("T",AR48)))</formula>
    </cfRule>
  </conditionalFormatting>
  <conditionalFormatting sqref="AR69:BB71">
    <cfRule type="containsText" dxfId="698" priority="334" operator="containsText" text="17">
      <formula>NOT(ISERROR(SEARCH("17",AR69)))</formula>
    </cfRule>
  </conditionalFormatting>
  <conditionalFormatting sqref="AR103:BB104">
    <cfRule type="containsText" dxfId="697" priority="364" operator="containsText" text="17">
      <formula>NOT(ISERROR(SEARCH("17",AR103)))</formula>
    </cfRule>
  </conditionalFormatting>
  <conditionalFormatting sqref="AR121:BB121">
    <cfRule type="containsText" dxfId="696" priority="354" operator="containsText" text="17">
      <formula>NOT(ISERROR(SEARCH("17",AR121)))</formula>
    </cfRule>
  </conditionalFormatting>
  <conditionalFormatting sqref="AR123:BB123">
    <cfRule type="containsText" dxfId="695" priority="344" operator="containsText" text="17">
      <formula>NOT(ISERROR(SEARCH("17",AR123)))</formula>
    </cfRule>
  </conditionalFormatting>
  <conditionalFormatting sqref="AR152:BE158">
    <cfRule type="containsText" dxfId="694" priority="261" operator="containsText" text="17">
      <formula>NOT(ISERROR(SEARCH("17",AR152)))</formula>
    </cfRule>
  </conditionalFormatting>
  <conditionalFormatting sqref="AR152:BG158">
    <cfRule type="containsText" dxfId="693" priority="255" operator="containsText" text="T">
      <formula>NOT(ISERROR(SEARCH("T",AR152)))</formula>
    </cfRule>
  </conditionalFormatting>
  <conditionalFormatting sqref="AS28:AS32">
    <cfRule type="containsText" dxfId="692" priority="589" operator="containsText" text="T">
      <formula>NOT(ISERROR(SEARCH("T",AS28)))</formula>
    </cfRule>
    <cfRule type="containsText" dxfId="691" priority="588" operator="containsText" text="17">
      <formula>NOT(ISERROR(SEARCH("17",AS28)))</formula>
    </cfRule>
  </conditionalFormatting>
  <conditionalFormatting sqref="AS48:AS49">
    <cfRule type="containsText" dxfId="690" priority="578" operator="containsText" text="17">
      <formula>NOT(ISERROR(SEARCH("17",AS48)))</formula>
    </cfRule>
    <cfRule type="containsText" dxfId="689" priority="579" operator="containsText" text="T">
      <formula>NOT(ISERROR(SEARCH("T",AS48)))</formula>
    </cfRule>
  </conditionalFormatting>
  <conditionalFormatting sqref="AS90 AW90:AY90 AB91:AV96 AY91:AY96">
    <cfRule type="containsText" dxfId="688" priority="647" operator="containsText" text="T">
      <formula>NOT(ISERROR(SEARCH("T",AB90)))</formula>
    </cfRule>
  </conditionalFormatting>
  <conditionalFormatting sqref="AS182">
    <cfRule type="containsText" dxfId="687" priority="662" operator="containsText" text="T">
      <formula>NOT(ISERROR(SEARCH("T",AS182)))</formula>
    </cfRule>
  </conditionalFormatting>
  <conditionalFormatting sqref="AS192:AS193 X194:AR199 X192:AF193">
    <cfRule type="containsText" dxfId="686" priority="709" operator="containsText" text="17">
      <formula>NOT(ISERROR(SEARCH("17",X192)))</formula>
    </cfRule>
  </conditionalFormatting>
  <conditionalFormatting sqref="AS208:AS213">
    <cfRule type="containsText" dxfId="685" priority="740" operator="containsText" text="T">
      <formula>NOT(ISERROR(SEARCH("T",AS208)))</formula>
    </cfRule>
  </conditionalFormatting>
  <conditionalFormatting sqref="AS90:AT90 AW90:AY90 AY91:AY96">
    <cfRule type="containsText" dxfId="684" priority="648" operator="containsText" text="17">
      <formula>NOT(ISERROR(SEARCH("17",AS90)))</formula>
    </cfRule>
  </conditionalFormatting>
  <conditionalFormatting sqref="AS50:AY53">
    <cfRule type="containsText" dxfId="683" priority="572" operator="containsText" text="T">
      <formula>NOT(ISERROR(SEARCH("T",AS50)))</formula>
    </cfRule>
    <cfRule type="containsText" dxfId="682" priority="571" operator="containsText" text="17">
      <formula>NOT(ISERROR(SEARCH("17",AS50)))</formula>
    </cfRule>
  </conditionalFormatting>
  <conditionalFormatting sqref="AS63:AY66">
    <cfRule type="containsText" dxfId="681" priority="562" operator="containsText" text="T">
      <formula>NOT(ISERROR(SEARCH("T",AS63)))</formula>
    </cfRule>
    <cfRule type="containsText" dxfId="680" priority="561" operator="containsText" text="17">
      <formula>NOT(ISERROR(SEARCH("17",AS63)))</formula>
    </cfRule>
  </conditionalFormatting>
  <conditionalFormatting sqref="AS67:BC68">
    <cfRule type="containsText" dxfId="679" priority="304" operator="containsText" text="17">
      <formula>NOT(ISERROR(SEARCH("17",AS67)))</formula>
    </cfRule>
  </conditionalFormatting>
  <conditionalFormatting sqref="AS99:BC102">
    <cfRule type="containsText" dxfId="678" priority="324" operator="containsText" text="17">
      <formula>NOT(ISERROR(SEARCH("17",AS99)))</formula>
    </cfRule>
  </conditionalFormatting>
  <conditionalFormatting sqref="AS105:BC105">
    <cfRule type="containsText" dxfId="677" priority="314" operator="containsText" text="17">
      <formula>NOT(ISERROR(SEARCH("17",AS105)))</formula>
    </cfRule>
  </conditionalFormatting>
  <conditionalFormatting sqref="AS159:BF165">
    <cfRule type="containsText" dxfId="676" priority="251" operator="containsText" text="17">
      <formula>NOT(ISERROR(SEARCH("17",AS159)))</formula>
    </cfRule>
  </conditionalFormatting>
  <conditionalFormatting sqref="AS159:BH165">
    <cfRule type="containsText" dxfId="675" priority="245" operator="containsText" text="T">
      <formula>NOT(ISERROR(SEARCH("T",AS159)))</formula>
    </cfRule>
  </conditionalFormatting>
  <conditionalFormatting sqref="AT14 AX14:AZ14 AC15:AW20 AZ15:AZ20">
    <cfRule type="containsText" dxfId="674" priority="634" operator="containsText" text="T">
      <formula>NOT(ISERROR(SEARCH("T",AC14)))</formula>
    </cfRule>
  </conditionalFormatting>
  <conditionalFormatting sqref="AT50:AT53">
    <cfRule type="containsText" dxfId="673" priority="568" operator="containsText" text="17">
      <formula>NOT(ISERROR(SEARCH("17",AT50)))</formula>
    </cfRule>
    <cfRule type="containsText" dxfId="672" priority="569" operator="containsText" text="T">
      <formula>NOT(ISERROR(SEARCH("T",AT50)))</formula>
    </cfRule>
  </conditionalFormatting>
  <conditionalFormatting sqref="AT63:AT66">
    <cfRule type="containsText" dxfId="671" priority="558" operator="containsText" text="17">
      <formula>NOT(ISERROR(SEARCH("17",AT63)))</formula>
    </cfRule>
    <cfRule type="containsText" dxfId="670" priority="559" operator="containsText" text="T">
      <formula>NOT(ISERROR(SEARCH("T",AT63)))</formula>
    </cfRule>
  </conditionalFormatting>
  <conditionalFormatting sqref="AT90">
    <cfRule type="containsText" dxfId="669" priority="649" operator="containsText" text="T">
      <formula>NOT(ISERROR(SEARCH("T",AT90)))</formula>
    </cfRule>
  </conditionalFormatting>
  <conditionalFormatting sqref="AT201:AT206">
    <cfRule type="containsText" dxfId="668" priority="727" operator="containsText" text="T">
      <formula>NOT(ISERROR(SEARCH("T",AT201)))</formula>
    </cfRule>
  </conditionalFormatting>
  <conditionalFormatting sqref="AT14:AU14 AX14:AZ14 AZ15:AZ20">
    <cfRule type="containsText" dxfId="667" priority="635" operator="containsText" text="17">
      <formula>NOT(ISERROR(SEARCH("17",AT14)))</formula>
    </cfRule>
  </conditionalFormatting>
  <conditionalFormatting sqref="AT59:AZ62">
    <cfRule type="containsText" dxfId="666" priority="548" operator="containsText" text="T">
      <formula>NOT(ISERROR(SEARCH("T",AT59)))</formula>
    </cfRule>
    <cfRule type="containsText" dxfId="665" priority="547" operator="containsText" text="17">
      <formula>NOT(ISERROR(SEARCH("17",AT59)))</formula>
    </cfRule>
  </conditionalFormatting>
  <conditionalFormatting sqref="AT86:AZ89">
    <cfRule type="containsText" dxfId="664" priority="538" operator="containsText" text="T">
      <formula>NOT(ISERROR(SEARCH("T",AT86)))</formula>
    </cfRule>
    <cfRule type="containsText" dxfId="663" priority="537" operator="containsText" text="17">
      <formula>NOT(ISERROR(SEARCH("17",AT86)))</formula>
    </cfRule>
  </conditionalFormatting>
  <conditionalFormatting sqref="AT97:BD98">
    <cfRule type="containsText" dxfId="662" priority="294" operator="containsText" text="17">
      <formula>NOT(ISERROR(SEARCH("17",AT97)))</formula>
    </cfRule>
  </conditionalFormatting>
  <conditionalFormatting sqref="AT131:BD137">
    <cfRule type="containsText" dxfId="661" priority="284" operator="containsText" text="17">
      <formula>NOT(ISERROR(SEARCH("17",AT131)))</formula>
    </cfRule>
  </conditionalFormatting>
  <conditionalFormatting sqref="AU14">
    <cfRule type="containsText" dxfId="660" priority="636" operator="containsText" text="T">
      <formula>NOT(ISERROR(SEARCH("T",AU14)))</formula>
    </cfRule>
  </conditionalFormatting>
  <conditionalFormatting sqref="AU34 AY34:BA34 AD35:AX40 BA35:BA40">
    <cfRule type="containsText" dxfId="659" priority="621" operator="containsText" text="T">
      <formula>NOT(ISERROR(SEARCH("T",AD34)))</formula>
    </cfRule>
  </conditionalFormatting>
  <conditionalFormatting sqref="AU59:AU62">
    <cfRule type="containsText" dxfId="658" priority="544" operator="containsText" text="17">
      <formula>NOT(ISERROR(SEARCH("17",AU59)))</formula>
    </cfRule>
    <cfRule type="containsText" dxfId="657" priority="545" operator="containsText" text="T">
      <formula>NOT(ISERROR(SEARCH("T",AU59)))</formula>
    </cfRule>
  </conditionalFormatting>
  <conditionalFormatting sqref="AU86:AU89">
    <cfRule type="containsText" dxfId="656" priority="535" operator="containsText" text="T">
      <formula>NOT(ISERROR(SEARCH("T",AU86)))</formula>
    </cfRule>
    <cfRule type="containsText" dxfId="655" priority="534" operator="containsText" text="17">
      <formula>NOT(ISERROR(SEARCH("17",AU86)))</formula>
    </cfRule>
  </conditionalFormatting>
  <conditionalFormatting sqref="AU194:AU199">
    <cfRule type="containsText" dxfId="654" priority="714" operator="containsText" text="T">
      <formula>NOT(ISERROR(SEARCH("T",AU194)))</formula>
    </cfRule>
  </conditionalFormatting>
  <conditionalFormatting sqref="AU34:AV34 AY34:BA34 BA35:BA40">
    <cfRule type="containsText" dxfId="653" priority="622" operator="containsText" text="17">
      <formula>NOT(ISERROR(SEARCH("17",AU34)))</formula>
    </cfRule>
  </conditionalFormatting>
  <conditionalFormatting sqref="AU83:BA85">
    <cfRule type="containsText" dxfId="652" priority="528" operator="containsText" text="T">
      <formula>NOT(ISERROR(SEARCH("T",AU83)))</formula>
    </cfRule>
    <cfRule type="containsText" dxfId="651" priority="527" operator="containsText" text="17">
      <formula>NOT(ISERROR(SEARCH("17",AU83)))</formula>
    </cfRule>
  </conditionalFormatting>
  <conditionalFormatting sqref="AU214:BA217">
    <cfRule type="containsText" dxfId="650" priority="518" operator="containsText" text="T">
      <formula>NOT(ISERROR(SEARCH("T",AU214)))</formula>
    </cfRule>
    <cfRule type="containsText" dxfId="649" priority="517" operator="containsText" text="17">
      <formula>NOT(ISERROR(SEARCH("17",AU214)))</formula>
    </cfRule>
  </conditionalFormatting>
  <conditionalFormatting sqref="AU138:BE144">
    <cfRule type="containsText" dxfId="648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47" priority="8533" operator="containsText" text="17">
      <formula>NOT(ISERROR(SEARCH("17",J14)))</formula>
    </cfRule>
  </conditionalFormatting>
  <conditionalFormatting sqref="AV21 AZ21:BB21 AE22:AY27">
    <cfRule type="containsText" dxfId="646" priority="608" operator="containsText" text="T">
      <formula>NOT(ISERROR(SEARCH("T",AE21)))</formula>
    </cfRule>
  </conditionalFormatting>
  <conditionalFormatting sqref="AV34">
    <cfRule type="containsText" dxfId="645" priority="623" operator="containsText" text="T">
      <formula>NOT(ISERROR(SEARCH("T",AV34)))</formula>
    </cfRule>
  </conditionalFormatting>
  <conditionalFormatting sqref="AV83:AV85">
    <cfRule type="containsText" dxfId="644" priority="524" operator="containsText" text="17">
      <formula>NOT(ISERROR(SEARCH("17",AV83)))</formula>
    </cfRule>
    <cfRule type="containsText" dxfId="643" priority="525" operator="containsText" text="T">
      <formula>NOT(ISERROR(SEARCH("T",AV83)))</formula>
    </cfRule>
  </conditionalFormatting>
  <conditionalFormatting sqref="AV169:AV174">
    <cfRule type="containsText" dxfId="642" priority="696" operator="containsText" text="T">
      <formula>NOT(ISERROR(SEARCH("T",AV169)))</formula>
    </cfRule>
  </conditionalFormatting>
  <conditionalFormatting sqref="AV214:AV217">
    <cfRule type="containsText" dxfId="641" priority="514" operator="containsText" text="17">
      <formula>NOT(ISERROR(SEARCH("17",AV214)))</formula>
    </cfRule>
    <cfRule type="containsText" dxfId="640" priority="515" operator="containsText" text="T">
      <formula>NOT(ISERROR(SEARCH("T",AV214)))</formula>
    </cfRule>
  </conditionalFormatting>
  <conditionalFormatting sqref="AV21:AW21 AZ21:BB21 BB22:BF27">
    <cfRule type="containsText" dxfId="639" priority="609" operator="containsText" text="17">
      <formula>NOT(ISERROR(SEARCH("17",AV21)))</formula>
    </cfRule>
  </conditionalFormatting>
  <conditionalFormatting sqref="AV218:BB224">
    <cfRule type="containsText" dxfId="638" priority="507" operator="containsText" text="17">
      <formula>NOT(ISERROR(SEARCH("17",AV218)))</formula>
    </cfRule>
    <cfRule type="containsText" dxfId="637" priority="508" operator="containsText" text="T">
      <formula>NOT(ISERROR(SEARCH("T",AV218)))</formula>
    </cfRule>
  </conditionalFormatting>
  <conditionalFormatting sqref="AV145:BF151">
    <cfRule type="containsText" dxfId="636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35" priority="7303" operator="containsText" text="T">
      <formula>NOT(ISERROR(SEARCH("T",J14)))</formula>
    </cfRule>
  </conditionalFormatting>
  <conditionalFormatting sqref="AW21">
    <cfRule type="containsText" dxfId="634" priority="610" operator="containsText" text="T">
      <formula>NOT(ISERROR(SEARCH("T",AW21)))</formula>
    </cfRule>
  </conditionalFormatting>
  <conditionalFormatting sqref="AW41 BA41:BC41 AF42:AZ47 BC42:BC47">
    <cfRule type="containsText" dxfId="633" priority="595" operator="containsText" text="T">
      <formula>NOT(ISERROR(SEARCH("T",AF41)))</formula>
    </cfRule>
  </conditionalFormatting>
  <conditionalFormatting sqref="AW176:AW181">
    <cfRule type="containsText" dxfId="632" priority="683" operator="containsText" text="T">
      <formula>NOT(ISERROR(SEARCH("T",AW176)))</formula>
    </cfRule>
  </conditionalFormatting>
  <conditionalFormatting sqref="AW218:AW224">
    <cfRule type="containsText" dxfId="631" priority="505" operator="containsText" text="T">
      <formula>NOT(ISERROR(SEARCH("T",AW218)))</formula>
    </cfRule>
    <cfRule type="containsText" dxfId="630" priority="504" operator="containsText" text="17">
      <formula>NOT(ISERROR(SEARCH("17",AW218)))</formula>
    </cfRule>
  </conditionalFormatting>
  <conditionalFormatting sqref="AW41:AX41 BA41:BC41 BC42:BC47">
    <cfRule type="containsText" dxfId="629" priority="596" operator="containsText" text="17">
      <formula>NOT(ISERROR(SEARCH("17",AW41)))</formula>
    </cfRule>
  </conditionalFormatting>
  <conditionalFormatting sqref="AW225:BC231">
    <cfRule type="containsText" dxfId="628" priority="498" operator="containsText" text="T">
      <formula>NOT(ISERROR(SEARCH("T",AW225)))</formula>
    </cfRule>
    <cfRule type="containsText" dxfId="627" priority="497" operator="containsText" text="17">
      <formula>NOT(ISERROR(SEARCH("17",AW225)))</formula>
    </cfRule>
  </conditionalFormatting>
  <conditionalFormatting sqref="AW152:BG158">
    <cfRule type="containsText" dxfId="626" priority="254" operator="containsText" text="17">
      <formula>NOT(ISERROR(SEARCH("17",AW152)))</formula>
    </cfRule>
  </conditionalFormatting>
  <conditionalFormatting sqref="AW168:CP174">
    <cfRule type="containsText" dxfId="625" priority="205" operator="containsText" text="17">
      <formula>NOT(ISERROR(SEARCH("17",AW168)))</formula>
    </cfRule>
  </conditionalFormatting>
  <conditionalFormatting sqref="AX28:AX32 BB28:BD32">
    <cfRule type="containsText" dxfId="624" priority="585" operator="containsText" text="T">
      <formula>NOT(ISERROR(SEARCH("T",AX28)))</formula>
    </cfRule>
  </conditionalFormatting>
  <conditionalFormatting sqref="AX41">
    <cfRule type="containsText" dxfId="623" priority="597" operator="containsText" text="T">
      <formula>NOT(ISERROR(SEARCH("T",AX41)))</formula>
    </cfRule>
  </conditionalFormatting>
  <conditionalFormatting sqref="AX48:AX49 BB48:BD49">
    <cfRule type="containsText" dxfId="622" priority="575" operator="containsText" text="T">
      <formula>NOT(ISERROR(SEARCH("T",AX48)))</formula>
    </cfRule>
  </conditionalFormatting>
  <conditionalFormatting sqref="AX180:AX181 AY182:AY185 BM191 BU200:BU202 BV203:BV205">
    <cfRule type="containsText" dxfId="621" priority="7319" operator="containsText" text="T">
      <formula>NOT(ISERROR(SEARCH("T",AX180)))</formula>
    </cfRule>
    <cfRule type="containsText" dxfId="620" priority="7321" operator="containsText" text="T">
      <formula>NOT(ISERROR(SEARCH("T",AX180)))</formula>
    </cfRule>
    <cfRule type="containsText" dxfId="619" priority="7320" operator="containsText" text="17">
      <formula>NOT(ISERROR(SEARCH("17",AX180)))</formula>
    </cfRule>
  </conditionalFormatting>
  <conditionalFormatting sqref="AX183:AX190">
    <cfRule type="containsText" dxfId="618" priority="670" operator="containsText" text="T">
      <formula>NOT(ISERROR(SEARCH("T",AX183)))</formula>
    </cfRule>
  </conditionalFormatting>
  <conditionalFormatting sqref="AX192">
    <cfRule type="containsText" dxfId="617" priority="6267" operator="containsText" text="T">
      <formula>NOT(ISERROR(SEARCH("T",AX192)))</formula>
    </cfRule>
    <cfRule type="containsText" dxfId="616" priority="6266" operator="containsText" text="17">
      <formula>NOT(ISERROR(SEARCH("17",AX192)))</formula>
    </cfRule>
    <cfRule type="containsText" dxfId="615" priority="2370" operator="containsText" text="T">
      <formula>NOT(ISERROR(SEARCH("T",AX192)))</formula>
    </cfRule>
    <cfRule type="containsText" dxfId="614" priority="2369" operator="containsText" text="17">
      <formula>NOT(ISERROR(SEARCH("17",AX192)))</formula>
    </cfRule>
  </conditionalFormatting>
  <conditionalFormatting sqref="AX196:AX198">
    <cfRule type="containsText" dxfId="613" priority="7295" operator="containsText" text="T">
      <formula>NOT(ISERROR(SEARCH("T",AX196)))</formula>
    </cfRule>
    <cfRule type="containsText" dxfId="612" priority="7294" operator="containsText" text="17">
      <formula>NOT(ISERROR(SEARCH("17",AX196)))</formula>
    </cfRule>
  </conditionalFormatting>
  <conditionalFormatting sqref="AX225:AX231">
    <cfRule type="containsText" dxfId="611" priority="494" operator="containsText" text="17">
      <formula>NOT(ISERROR(SEARCH("17",AX225)))</formula>
    </cfRule>
    <cfRule type="containsText" dxfId="610" priority="495" operator="containsText" text="T">
      <formula>NOT(ISERROR(SEARCH("T",AX225)))</formula>
    </cfRule>
  </conditionalFormatting>
  <conditionalFormatting sqref="AX28:AY32 BB28:BD32">
    <cfRule type="containsText" dxfId="609" priority="586" operator="containsText" text="17">
      <formula>NOT(ISERROR(SEARCH("17",AX28)))</formula>
    </cfRule>
  </conditionalFormatting>
  <conditionalFormatting sqref="AX48:AY49 BB48:BD49">
    <cfRule type="containsText" dxfId="608" priority="576" operator="containsText" text="17">
      <formula>NOT(ISERROR(SEARCH("17",AX48)))</formula>
    </cfRule>
  </conditionalFormatting>
  <conditionalFormatting sqref="AX170:BA170">
    <cfRule type="containsText" dxfId="607" priority="8728" operator="containsText" text="17">
      <formula>NOT(ISERROR(SEARCH("17",AX170)))</formula>
    </cfRule>
    <cfRule type="containsText" dxfId="606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605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604" priority="5061" operator="containsText" text="T">
      <formula>NOT(ISERROR(SEARCH("T",AX199)))</formula>
    </cfRule>
  </conditionalFormatting>
  <conditionalFormatting sqref="AX33:BC33">
    <cfRule type="containsText" dxfId="603" priority="8832" operator="containsText" text="T">
      <formula>NOT(ISERROR(SEARCH("T",AX33)))</formula>
    </cfRule>
  </conditionalFormatting>
  <conditionalFormatting sqref="AX113:BD116">
    <cfRule type="containsText" dxfId="602" priority="478" operator="containsText" text="T">
      <formula>NOT(ISERROR(SEARCH("T",AX113)))</formula>
    </cfRule>
    <cfRule type="containsText" dxfId="601" priority="477" operator="containsText" text="17">
      <formula>NOT(ISERROR(SEARCH("17",AX113)))</formula>
    </cfRule>
  </conditionalFormatting>
  <conditionalFormatting sqref="AX232:BD234">
    <cfRule type="containsText" dxfId="600" priority="487" operator="containsText" text="17">
      <formula>NOT(ISERROR(SEARCH("17",AX232)))</formula>
    </cfRule>
    <cfRule type="containsText" dxfId="599" priority="488" operator="containsText" text="T">
      <formula>NOT(ISERROR(SEARCH("T",AX232)))</formula>
    </cfRule>
  </conditionalFormatting>
  <conditionalFormatting sqref="AX199:BE199 AX206:BD206 AX213">
    <cfRule type="containsText" dxfId="598" priority="5068" operator="containsText" text="17">
      <formula>NOT(ISERROR(SEARCH("17",AX199)))</formula>
    </cfRule>
    <cfRule type="containsText" dxfId="597" priority="5069" operator="containsText" text="T">
      <formula>NOT(ISERROR(SEARCH("T",AX199)))</formula>
    </cfRule>
  </conditionalFormatting>
  <conditionalFormatting sqref="AX159:BH165">
    <cfRule type="containsText" dxfId="596" priority="244" operator="containsText" text="17">
      <formula>NOT(ISERROR(SEARCH("17",AX159)))</formula>
    </cfRule>
  </conditionalFormatting>
  <conditionalFormatting sqref="AX175:CP181">
    <cfRule type="containsText" dxfId="595" priority="172" operator="containsText" text="T">
      <formula>NOT(ISERROR(SEARCH("T",AX175)))</formula>
    </cfRule>
  </conditionalFormatting>
  <conditionalFormatting sqref="AY28:AY32">
    <cfRule type="containsText" dxfId="594" priority="587" operator="containsText" text="T">
      <formula>NOT(ISERROR(SEARCH("T",AY28)))</formula>
    </cfRule>
  </conditionalFormatting>
  <conditionalFormatting sqref="AY33">
    <cfRule type="containsText" dxfId="593" priority="8206" operator="containsText" text="17">
      <formula>NOT(ISERROR(SEARCH("17",AY33)))</formula>
    </cfRule>
    <cfRule type="containsText" dxfId="592" priority="8207" operator="containsText" text="T">
      <formula>NOT(ISERROR(SEARCH("T",AY33)))</formula>
    </cfRule>
  </conditionalFormatting>
  <conditionalFormatting sqref="AY48:AY49">
    <cfRule type="containsText" dxfId="591" priority="577" operator="containsText" text="T">
      <formula>NOT(ISERROR(SEARCH("T",AY48)))</formula>
    </cfRule>
  </conditionalFormatting>
  <conditionalFormatting sqref="AY50:AY53 BC50:BE53">
    <cfRule type="containsText" dxfId="590" priority="565" operator="containsText" text="T">
      <formula>NOT(ISERROR(SEARCH("T",AY50)))</formula>
    </cfRule>
  </conditionalFormatting>
  <conditionalFormatting sqref="AY63:AY66 BC63:BI66">
    <cfRule type="containsText" dxfId="589" priority="555" operator="containsText" text="T">
      <formula>NOT(ISERROR(SEARCH("T",AY63)))</formula>
    </cfRule>
  </conditionalFormatting>
  <conditionalFormatting sqref="AY91:AY96">
    <cfRule type="containsText" dxfId="588" priority="657" operator="containsText" text="T">
      <formula>NOT(ISERROR(SEARCH("T",AY91)))</formula>
    </cfRule>
  </conditionalFormatting>
  <conditionalFormatting sqref="AY113:AY116">
    <cfRule type="containsText" dxfId="587" priority="474" operator="containsText" text="17">
      <formula>NOT(ISERROR(SEARCH("17",AY113)))</formula>
    </cfRule>
    <cfRule type="containsText" dxfId="586" priority="475" operator="containsText" text="T">
      <formula>NOT(ISERROR(SEARCH("T",AY113)))</formula>
    </cfRule>
  </conditionalFormatting>
  <conditionalFormatting sqref="AY182:AY185 BM191 BU200:BU202 BV203:BV205 AX180:AX181">
    <cfRule type="containsText" dxfId="585" priority="7318" operator="containsText" text="17">
      <formula>NOT(ISERROR(SEARCH("17",AX180)))</formula>
    </cfRule>
  </conditionalFormatting>
  <conditionalFormatting sqref="AY189">
    <cfRule type="containsText" dxfId="584" priority="4911" operator="containsText" text="T">
      <formula>NOT(ISERROR(SEARCH("T",AY189)))</formula>
    </cfRule>
    <cfRule type="containsText" dxfId="583" priority="4910" operator="containsText" text="17">
      <formula>NOT(ISERROR(SEARCH("17",AY189)))</formula>
    </cfRule>
    <cfRule type="containsText" dxfId="582" priority="4892" operator="containsText" text="17">
      <formula>NOT(ISERROR(SEARCH("17",AY189)))</formula>
    </cfRule>
    <cfRule type="containsText" dxfId="581" priority="4893" operator="containsText" text="T">
      <formula>NOT(ISERROR(SEARCH("T",AY189)))</formula>
    </cfRule>
  </conditionalFormatting>
  <conditionalFormatting sqref="AY190 AX191:BH191 BK191 BO191:BS191">
    <cfRule type="containsText" dxfId="580" priority="8514" operator="containsText" text="T">
      <formula>NOT(ISERROR(SEARCH("T",AX190)))</formula>
    </cfRule>
  </conditionalFormatting>
  <conditionalFormatting sqref="AY199 AX206">
    <cfRule type="containsText" dxfId="579" priority="2143" operator="containsText" text="17">
      <formula>NOT(ISERROR(SEARCH("17",AX199)))</formula>
    </cfRule>
    <cfRule type="containsText" dxfId="578" priority="2144" operator="containsText" text="T">
      <formula>NOT(ISERROR(SEARCH("T",AX199)))</formula>
    </cfRule>
  </conditionalFormatting>
  <conditionalFormatting sqref="AY232:AY234">
    <cfRule type="containsText" dxfId="577" priority="484" operator="containsText" text="17">
      <formula>NOT(ISERROR(SEARCH("17",AY232)))</formula>
    </cfRule>
    <cfRule type="containsText" dxfId="576" priority="485" operator="containsText" text="T">
      <formula>NOT(ISERROR(SEARCH("T",AY232)))</formula>
    </cfRule>
  </conditionalFormatting>
  <conditionalFormatting sqref="AY50:AZ53 BC50:BE53">
    <cfRule type="containsText" dxfId="575" priority="566" operator="containsText" text="17">
      <formula>NOT(ISERROR(SEARCH("17",AY50)))</formula>
    </cfRule>
  </conditionalFormatting>
  <conditionalFormatting sqref="AY63:AZ66 BC63:BE66">
    <cfRule type="containsText" dxfId="574" priority="556" operator="containsText" text="17">
      <formula>NOT(ISERROR(SEARCH("17",AY63)))</formula>
    </cfRule>
  </conditionalFormatting>
  <conditionalFormatting sqref="AY79:BE82">
    <cfRule type="containsText" dxfId="573" priority="458" operator="containsText" text="T">
      <formula>NOT(ISERROR(SEARCH("T",AY79)))</formula>
    </cfRule>
    <cfRule type="containsText" dxfId="572" priority="457" operator="containsText" text="17">
      <formula>NOT(ISERROR(SEARCH("17",AY79)))</formula>
    </cfRule>
  </conditionalFormatting>
  <conditionalFormatting sqref="AY117:BE119">
    <cfRule type="containsText" dxfId="571" priority="468" operator="containsText" text="T">
      <formula>NOT(ISERROR(SEARCH("T",AY117)))</formula>
    </cfRule>
    <cfRule type="containsText" dxfId="570" priority="467" operator="containsText" text="17">
      <formula>NOT(ISERROR(SEARCH("17",AY117)))</formula>
    </cfRule>
  </conditionalFormatting>
  <conditionalFormatting sqref="AY207:BI213">
    <cfRule type="containsText" dxfId="569" priority="234" operator="containsText" text="17">
      <formula>NOT(ISERROR(SEARCH("17",AY207)))</formula>
    </cfRule>
  </conditionalFormatting>
  <conditionalFormatting sqref="AY207:BP213">
    <cfRule type="containsText" dxfId="568" priority="243" operator="containsText" text="T">
      <formula>NOT(ISERROR(SEARCH("T",AY207)))</formula>
    </cfRule>
  </conditionalFormatting>
  <conditionalFormatting sqref="AY193:BV213 AX195:BV195 BH214:BL215">
    <cfRule type="containsText" dxfId="567" priority="914" operator="containsText" text="T">
      <formula>NOT(ISERROR(SEARCH("T",AX193)))</formula>
    </cfRule>
  </conditionalFormatting>
  <conditionalFormatting sqref="AZ15:AZ20">
    <cfRule type="containsText" dxfId="566" priority="644" operator="containsText" text="T">
      <formula>NOT(ISERROR(SEARCH("T",AZ15)))</formula>
    </cfRule>
  </conditionalFormatting>
  <conditionalFormatting sqref="AZ50:AZ53">
    <cfRule type="containsText" dxfId="565" priority="567" operator="containsText" text="T">
      <formula>NOT(ISERROR(SEARCH("T",AZ50)))</formula>
    </cfRule>
  </conditionalFormatting>
  <conditionalFormatting sqref="AZ63:AZ66">
    <cfRule type="containsText" dxfId="564" priority="557" operator="containsText" text="T">
      <formula>NOT(ISERROR(SEARCH("T",AZ63)))</formula>
    </cfRule>
  </conditionalFormatting>
  <conditionalFormatting sqref="AZ79:AZ82">
    <cfRule type="containsText" dxfId="563" priority="455" operator="containsText" text="T">
      <formula>NOT(ISERROR(SEARCH("T",AZ79)))</formula>
    </cfRule>
    <cfRule type="containsText" dxfId="562" priority="454" operator="containsText" text="17">
      <formula>NOT(ISERROR(SEARCH("17",AZ79)))</formula>
    </cfRule>
  </conditionalFormatting>
  <conditionalFormatting sqref="AZ86:AZ89 BD86:BF89">
    <cfRule type="containsText" dxfId="561" priority="531" operator="containsText" text="T">
      <formula>NOT(ISERROR(SEARCH("T",AZ86)))</formula>
    </cfRule>
  </conditionalFormatting>
  <conditionalFormatting sqref="AZ117:AZ119">
    <cfRule type="containsText" dxfId="560" priority="465" operator="containsText" text="T">
      <formula>NOT(ISERROR(SEARCH("T",AZ117)))</formula>
    </cfRule>
    <cfRule type="containsText" dxfId="559" priority="464" operator="containsText" text="17">
      <formula>NOT(ISERROR(SEARCH("17",AZ117)))</formula>
    </cfRule>
  </conditionalFormatting>
  <conditionalFormatting sqref="AZ59:BA62 BD59:BF62">
    <cfRule type="containsText" dxfId="558" priority="542" operator="containsText" text="17">
      <formula>NOT(ISERROR(SEARCH("17",AZ59)))</formula>
    </cfRule>
  </conditionalFormatting>
  <conditionalFormatting sqref="AZ86:BA89 BD86:BF89">
    <cfRule type="containsText" dxfId="557" priority="532" operator="containsText" text="17">
      <formula>NOT(ISERROR(SEARCH("17",AZ86)))</formula>
    </cfRule>
  </conditionalFormatting>
  <conditionalFormatting sqref="AZ93:BB93">
    <cfRule type="containsText" dxfId="556" priority="4057" operator="containsText" text="T">
      <formula>NOT(ISERROR(SEARCH("T",AZ93)))</formula>
    </cfRule>
    <cfRule type="containsText" dxfId="555" priority="4056" operator="containsText" text="17">
      <formula>NOT(ISERROR(SEARCH("17",AZ93)))</formula>
    </cfRule>
  </conditionalFormatting>
  <conditionalFormatting sqref="AZ175:BB178">
    <cfRule type="containsText" dxfId="554" priority="933" operator="containsText" text="T">
      <formula>NOT(ISERROR(SEARCH("T",AZ175)))</formula>
    </cfRule>
  </conditionalFormatting>
  <conditionalFormatting sqref="AZ180:BB181 AZ182:BC183">
    <cfRule type="containsText" dxfId="553" priority="927" operator="containsText" text="T">
      <formula>NOT(ISERROR(SEARCH("T",AZ180)))</formula>
    </cfRule>
  </conditionalFormatting>
  <conditionalFormatting sqref="AZ185:BC188 AZ189:BW190">
    <cfRule type="containsText" dxfId="552" priority="921" operator="containsText" text="T">
      <formula>NOT(ISERROR(SEARCH("T",AZ185)))</formula>
    </cfRule>
  </conditionalFormatting>
  <conditionalFormatting sqref="AZ200:BJ206">
    <cfRule type="containsText" dxfId="551" priority="223" operator="containsText" text="17">
      <formula>NOT(ISERROR(SEARCH("17",AZ200)))</formula>
    </cfRule>
  </conditionalFormatting>
  <conditionalFormatting sqref="AZ200:BW206">
    <cfRule type="containsText" dxfId="550" priority="232" operator="containsText" text="T">
      <formula>NOT(ISERROR(SEARCH("T",AZ200)))</formula>
    </cfRule>
  </conditionalFormatting>
  <conditionalFormatting sqref="BA22:BA27">
    <cfRule type="containsText" dxfId="549" priority="550" operator="containsText" text="17">
      <formula>NOT(ISERROR(SEARCH("17",BA22)))</formula>
    </cfRule>
    <cfRule type="containsText" dxfId="548" priority="549" operator="containsText" text="T">
      <formula>NOT(ISERROR(SEARCH("T",BA22)))</formula>
    </cfRule>
  </conditionalFormatting>
  <conditionalFormatting sqref="BA35:BA40">
    <cfRule type="containsText" dxfId="547" priority="631" operator="containsText" text="T">
      <formula>NOT(ISERROR(SEARCH("T",BA35)))</formula>
    </cfRule>
  </conditionalFormatting>
  <conditionalFormatting sqref="BA59:BA62">
    <cfRule type="containsText" dxfId="546" priority="543" operator="containsText" text="T">
      <formula>NOT(ISERROR(SEARCH("T",BA59)))</formula>
    </cfRule>
  </conditionalFormatting>
  <conditionalFormatting sqref="BA83:BA85 BE83:BG85">
    <cfRule type="containsText" dxfId="545" priority="521" operator="containsText" text="T">
      <formula>NOT(ISERROR(SEARCH("T",BA83)))</formula>
    </cfRule>
  </conditionalFormatting>
  <conditionalFormatting sqref="BA86:BA89">
    <cfRule type="containsText" dxfId="544" priority="533" operator="containsText" text="T">
      <formula>NOT(ISERROR(SEARCH("T",BA86)))</formula>
    </cfRule>
  </conditionalFormatting>
  <conditionalFormatting sqref="BA199 AZ206">
    <cfRule type="containsText" dxfId="543" priority="5057" operator="containsText" text="T">
      <formula>NOT(ISERROR(SEARCH("T",AZ199)))</formula>
    </cfRule>
    <cfRule type="containsText" dxfId="542" priority="5056" operator="containsText" text="17">
      <formula>NOT(ISERROR(SEARCH("17",AZ199)))</formula>
    </cfRule>
  </conditionalFormatting>
  <conditionalFormatting sqref="BA214:BA217 BE214:BG217">
    <cfRule type="containsText" dxfId="541" priority="511" operator="containsText" text="T">
      <formula>NOT(ISERROR(SEARCH("T",BA214)))</formula>
    </cfRule>
  </conditionalFormatting>
  <conditionalFormatting sqref="BA22:BB27">
    <cfRule type="containsText" dxfId="540" priority="552" operator="containsText" text="T">
      <formula>NOT(ISERROR(SEARCH("T",BA22)))</formula>
    </cfRule>
  </conditionalFormatting>
  <conditionalFormatting sqref="BA83:BB85 BE83:BG85">
    <cfRule type="containsText" dxfId="539" priority="522" operator="containsText" text="17">
      <formula>NOT(ISERROR(SEARCH("17",BA83)))</formula>
    </cfRule>
  </conditionalFormatting>
  <conditionalFormatting sqref="BA214:BB217 BE214:BG217">
    <cfRule type="containsText" dxfId="538" priority="512" operator="containsText" text="17">
      <formula>NOT(ISERROR(SEARCH("17",BA214)))</formula>
    </cfRule>
  </conditionalFormatting>
  <conditionalFormatting sqref="BA76:BG78">
    <cfRule type="containsText" dxfId="537" priority="433" operator="containsText" text="T">
      <formula>NOT(ISERROR(SEARCH("T",BA76)))</formula>
    </cfRule>
    <cfRule type="containsText" dxfId="536" priority="432" operator="containsText" text="17">
      <formula>NOT(ISERROR(SEARCH("17",BA76)))</formula>
    </cfRule>
  </conditionalFormatting>
  <conditionalFormatting sqref="BA107:BG112">
    <cfRule type="containsText" dxfId="535" priority="443" operator="containsText" text="T">
      <formula>NOT(ISERROR(SEARCH("T",BA107)))</formula>
    </cfRule>
    <cfRule type="containsText" dxfId="534" priority="442" operator="containsText" text="17">
      <formula>NOT(ISERROR(SEARCH("17",BA107)))</formula>
    </cfRule>
  </conditionalFormatting>
  <conditionalFormatting sqref="BA192:BK199">
    <cfRule type="containsText" dxfId="533" priority="206" operator="containsText" text="17">
      <formula>NOT(ISERROR(SEARCH("17",BA192)))</formula>
    </cfRule>
  </conditionalFormatting>
  <conditionalFormatting sqref="BA192:BR199">
    <cfRule type="containsText" dxfId="532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31" priority="915" operator="containsText" text="17">
      <formula>NOT(ISERROR(SEARCH("17",AX192)))</formula>
    </cfRule>
  </conditionalFormatting>
  <conditionalFormatting sqref="BA192:BX199">
    <cfRule type="containsText" dxfId="530" priority="222" operator="containsText" text="T">
      <formula>NOT(ISERROR(SEARCH("T",BA192)))</formula>
    </cfRule>
  </conditionalFormatting>
  <conditionalFormatting sqref="BB22:BB27">
    <cfRule type="containsText" dxfId="529" priority="618" operator="containsText" text="T">
      <formula>NOT(ISERROR(SEARCH("T",BB22)))</formula>
    </cfRule>
  </conditionalFormatting>
  <conditionalFormatting sqref="BB76:BB78">
    <cfRule type="containsText" dxfId="528" priority="429" operator="containsText" text="17">
      <formula>NOT(ISERROR(SEARCH("17",BB76)))</formula>
    </cfRule>
    <cfRule type="containsText" dxfId="527" priority="430" operator="containsText" text="T">
      <formula>NOT(ISERROR(SEARCH("T",BB76)))</formula>
    </cfRule>
  </conditionalFormatting>
  <conditionalFormatting sqref="BB83:BB85">
    <cfRule type="containsText" dxfId="526" priority="523" operator="containsText" text="T">
      <formula>NOT(ISERROR(SEARCH("T",BB83)))</formula>
    </cfRule>
  </conditionalFormatting>
  <conditionalFormatting sqref="BB107:BB112">
    <cfRule type="containsText" dxfId="525" priority="440" operator="containsText" text="T">
      <formula>NOT(ISERROR(SEARCH("T",BB107)))</formula>
    </cfRule>
    <cfRule type="containsText" dxfId="524" priority="439" operator="containsText" text="17">
      <formula>NOT(ISERROR(SEARCH("17",BB107)))</formula>
    </cfRule>
  </conditionalFormatting>
  <conditionalFormatting sqref="BB199 BD199:BI199 BA206 BC206:BH206">
    <cfRule type="containsText" dxfId="523" priority="5071" operator="containsText" text="T">
      <formula>NOT(ISERROR(SEARCH("T",BA199)))</formula>
    </cfRule>
    <cfRule type="containsText" dxfId="522" priority="5070" operator="containsText" text="17">
      <formula>NOT(ISERROR(SEARCH("17",BA199)))</formula>
    </cfRule>
  </conditionalFormatting>
  <conditionalFormatting sqref="BB214:BB217">
    <cfRule type="containsText" dxfId="521" priority="513" operator="containsText" text="T">
      <formula>NOT(ISERROR(SEARCH("T",BB214)))</formula>
    </cfRule>
  </conditionalFormatting>
  <conditionalFormatting sqref="BB218:BB224 BF218:BH224">
    <cfRule type="containsText" dxfId="520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519" priority="8546" operator="containsText" text="T">
      <formula>NOT(ISERROR(SEARCH("T",AX35)))</formula>
    </cfRule>
  </conditionalFormatting>
  <conditionalFormatting sqref="BB218:BC224 BF218:BH224">
    <cfRule type="containsText" dxfId="518" priority="502" operator="containsText" text="17">
      <formula>NOT(ISERROR(SEARCH("17",BB218)))</formula>
    </cfRule>
  </conditionalFormatting>
  <conditionalFormatting sqref="BB72:BH75">
    <cfRule type="containsText" dxfId="517" priority="423" operator="containsText" text="T">
      <formula>NOT(ISERROR(SEARCH("T",BB72)))</formula>
    </cfRule>
    <cfRule type="containsText" dxfId="516" priority="422" operator="containsText" text="17">
      <formula>NOT(ISERROR(SEARCH("17",BB72)))</formula>
    </cfRule>
  </conditionalFormatting>
  <conditionalFormatting sqref="BB106:BH106">
    <cfRule type="containsText" dxfId="515" priority="412" operator="containsText" text="17">
      <formula>NOT(ISERROR(SEARCH("17",BB106)))</formula>
    </cfRule>
    <cfRule type="containsText" dxfId="514" priority="413" operator="containsText" text="T">
      <formula>NOT(ISERROR(SEARCH("T",BB106)))</formula>
    </cfRule>
  </conditionalFormatting>
  <conditionalFormatting sqref="BB120:BH120">
    <cfRule type="containsText" dxfId="513" priority="393" operator="containsText" text="T">
      <formula>NOT(ISERROR(SEARCH("T",BB120)))</formula>
    </cfRule>
    <cfRule type="containsText" dxfId="512" priority="392" operator="containsText" text="17">
      <formula>NOT(ISERROR(SEARCH("17",BB120)))</formula>
    </cfRule>
  </conditionalFormatting>
  <conditionalFormatting sqref="BB122:BH122">
    <cfRule type="containsText" dxfId="511" priority="383" operator="containsText" text="T">
      <formula>NOT(ISERROR(SEARCH("T",BB122)))</formula>
    </cfRule>
    <cfRule type="containsText" dxfId="510" priority="382" operator="containsText" text="17">
      <formula>NOT(ISERROR(SEARCH("17",BB122)))</formula>
    </cfRule>
  </conditionalFormatting>
  <conditionalFormatting sqref="BB124:BH126">
    <cfRule type="containsText" dxfId="509" priority="402" operator="containsText" text="17">
      <formula>NOT(ISERROR(SEARCH("17",BB124)))</formula>
    </cfRule>
    <cfRule type="containsText" dxfId="508" priority="403" operator="containsText" text="T">
      <formula>NOT(ISERROR(SEARCH("T",BB124)))</formula>
    </cfRule>
  </conditionalFormatting>
  <conditionalFormatting sqref="BB168:BL174">
    <cfRule type="containsText" dxfId="507" priority="182" operator="containsText" text="17">
      <formula>NOT(ISERROR(SEARCH("17",BB168)))</formula>
    </cfRule>
  </conditionalFormatting>
  <conditionalFormatting sqref="BB194:BN194 BB196:BN198">
    <cfRule type="containsText" dxfId="506" priority="916" operator="containsText" text="17">
      <formula>NOT(ISERROR(SEARCH("17",BB194)))</formula>
    </cfRule>
  </conditionalFormatting>
  <conditionalFormatting sqref="BB168:BY174">
    <cfRule type="containsText" dxfId="505" priority="194" operator="containsText" text="17">
      <formula>NOT(ISERROR(SEARCH("17",BB168)))</formula>
    </cfRule>
    <cfRule type="containsText" dxfId="504" priority="196" operator="containsText" text="T">
      <formula>NOT(ISERROR(SEARCH("T",BB168)))</formula>
    </cfRule>
    <cfRule type="containsText" dxfId="503" priority="191" operator="containsText" text="T">
      <formula>NOT(ISERROR(SEARCH("T",BB168)))</formula>
    </cfRule>
  </conditionalFormatting>
  <conditionalFormatting sqref="BC34">
    <cfRule type="containsText" dxfId="502" priority="8060" operator="containsText" text="17">
      <formula>NOT(ISERROR(SEARCH("17",BC34)))</formula>
    </cfRule>
    <cfRule type="containsText" dxfId="501" priority="8061" operator="containsText" text="T">
      <formula>NOT(ISERROR(SEARCH("T",BC34)))</formula>
    </cfRule>
    <cfRule type="containsText" dxfId="500" priority="8062" operator="containsText" text="17">
      <formula>NOT(ISERROR(SEARCH("17",BC34)))</formula>
    </cfRule>
    <cfRule type="containsText" dxfId="499" priority="8063" operator="containsText" text="T">
      <formula>NOT(ISERROR(SEARCH("T",BC34)))</formula>
    </cfRule>
  </conditionalFormatting>
  <conditionalFormatting sqref="BC42:BC47">
    <cfRule type="containsText" dxfId="498" priority="605" operator="containsText" text="T">
      <formula>NOT(ISERROR(SEARCH("T",BC42)))</formula>
    </cfRule>
  </conditionalFormatting>
  <conditionalFormatting sqref="BC72:BC75">
    <cfRule type="containsText" dxfId="497" priority="420" operator="containsText" text="T">
      <formula>NOT(ISERROR(SEARCH("T",BC72)))</formula>
    </cfRule>
    <cfRule type="containsText" dxfId="496" priority="419" operator="containsText" text="17">
      <formula>NOT(ISERROR(SEARCH("17",BC72)))</formula>
    </cfRule>
  </conditionalFormatting>
  <conditionalFormatting sqref="BC106">
    <cfRule type="containsText" dxfId="495" priority="410" operator="containsText" text="T">
      <formula>NOT(ISERROR(SEARCH("T",BC106)))</formula>
    </cfRule>
    <cfRule type="containsText" dxfId="494" priority="409" operator="containsText" text="17">
      <formula>NOT(ISERROR(SEARCH("17",BC106)))</formula>
    </cfRule>
  </conditionalFormatting>
  <conditionalFormatting sqref="BC120">
    <cfRule type="containsText" dxfId="493" priority="390" operator="containsText" text="T">
      <formula>NOT(ISERROR(SEARCH("T",BC120)))</formula>
    </cfRule>
    <cfRule type="containsText" dxfId="492" priority="389" operator="containsText" text="17">
      <formula>NOT(ISERROR(SEARCH("17",BC120)))</formula>
    </cfRule>
  </conditionalFormatting>
  <conditionalFormatting sqref="BC122">
    <cfRule type="containsText" dxfId="491" priority="380" operator="containsText" text="T">
      <formula>NOT(ISERROR(SEARCH("T",BC122)))</formula>
    </cfRule>
    <cfRule type="containsText" dxfId="490" priority="379" operator="containsText" text="17">
      <formula>NOT(ISERROR(SEARCH("17",BC122)))</formula>
    </cfRule>
  </conditionalFormatting>
  <conditionalFormatting sqref="BC124:BC126">
    <cfRule type="containsText" dxfId="489" priority="399" operator="containsText" text="17">
      <formula>NOT(ISERROR(SEARCH("17",BC124)))</formula>
    </cfRule>
    <cfRule type="containsText" dxfId="488" priority="400" operator="containsText" text="T">
      <formula>NOT(ISERROR(SEARCH("T",BC124)))</formula>
    </cfRule>
  </conditionalFormatting>
  <conditionalFormatting sqref="BC182:BC183">
    <cfRule type="containsText" dxfId="487" priority="928" operator="containsText" text="17">
      <formula>NOT(ISERROR(SEARCH("17",BC182)))</formula>
    </cfRule>
  </conditionalFormatting>
  <conditionalFormatting sqref="BC186:BC188 BC189:BV190">
    <cfRule type="containsText" dxfId="486" priority="922" operator="containsText" text="17">
      <formula>NOT(ISERROR(SEARCH("17",BC186)))</formula>
    </cfRule>
  </conditionalFormatting>
  <conditionalFormatting sqref="BC199 BB206 BS127">
    <cfRule type="containsText" dxfId="485" priority="2145" operator="containsText" text="17">
      <formula>NOT(ISERROR(SEARCH("17",BB127)))</formula>
    </cfRule>
  </conditionalFormatting>
  <conditionalFormatting sqref="BC218:BC224">
    <cfRule type="containsText" dxfId="484" priority="503" operator="containsText" text="T">
      <formula>NOT(ISERROR(SEARCH("T",BC218)))</formula>
    </cfRule>
  </conditionalFormatting>
  <conditionalFormatting sqref="BC225:BC231 BG225:BI231">
    <cfRule type="containsText" dxfId="483" priority="491" operator="containsText" text="T">
      <formula>NOT(ISERROR(SEARCH("T",BC225)))</formula>
    </cfRule>
  </conditionalFormatting>
  <conditionalFormatting sqref="BC16:BD20">
    <cfRule type="containsText" dxfId="482" priority="8379" operator="containsText" text="17">
      <formula>NOT(ISERROR(SEARCH("17",BC16)))</formula>
    </cfRule>
  </conditionalFormatting>
  <conditionalFormatting sqref="BC225:BD231 BG225:BI231">
    <cfRule type="containsText" dxfId="481" priority="492" operator="containsText" text="17">
      <formula>NOT(ISERROR(SEARCH("17",BC225)))</formula>
    </cfRule>
  </conditionalFormatting>
  <conditionalFormatting sqref="BC69:BI71">
    <cfRule type="containsText" dxfId="480" priority="343" operator="containsText" text="T">
      <formula>NOT(ISERROR(SEARCH("T",BC69)))</formula>
    </cfRule>
    <cfRule type="containsText" dxfId="479" priority="342" operator="containsText" text="17">
      <formula>NOT(ISERROR(SEARCH("17",BC69)))</formula>
    </cfRule>
  </conditionalFormatting>
  <conditionalFormatting sqref="BC103:BI104">
    <cfRule type="containsText" dxfId="478" priority="372" operator="containsText" text="17">
      <formula>NOT(ISERROR(SEARCH("17",BC103)))</formula>
    </cfRule>
    <cfRule type="containsText" dxfId="477" priority="373" operator="containsText" text="T">
      <formula>NOT(ISERROR(SEARCH("T",BC103)))</formula>
    </cfRule>
  </conditionalFormatting>
  <conditionalFormatting sqref="BC121:BI121">
    <cfRule type="containsText" dxfId="476" priority="362" operator="containsText" text="17">
      <formula>NOT(ISERROR(SEARCH("17",BC121)))</formula>
    </cfRule>
    <cfRule type="containsText" dxfId="475" priority="363" operator="containsText" text="T">
      <formula>NOT(ISERROR(SEARCH("T",BC121)))</formula>
    </cfRule>
  </conditionalFormatting>
  <conditionalFormatting sqref="BC123:BI123">
    <cfRule type="containsText" dxfId="474" priority="352" operator="containsText" text="17">
      <formula>NOT(ISERROR(SEARCH("17",BC123)))</formula>
    </cfRule>
    <cfRule type="containsText" dxfId="473" priority="353" operator="containsText" text="T">
      <formula>NOT(ISERROR(SEARCH("T",BC123)))</formula>
    </cfRule>
  </conditionalFormatting>
  <conditionalFormatting sqref="BC175:BM181">
    <cfRule type="containsText" dxfId="472" priority="158" operator="containsText" text="17">
      <formula>NOT(ISERROR(SEARCH("17",BC175)))</formula>
    </cfRule>
  </conditionalFormatting>
  <conditionalFormatting sqref="BC199:BR199 BB206:BQ206 BS127">
    <cfRule type="containsText" dxfId="471" priority="5050" operator="containsText" text="17">
      <formula>NOT(ISERROR(SEARCH("17",BB127)))</formula>
    </cfRule>
  </conditionalFormatting>
  <conditionalFormatting sqref="BC175:BZ181">
    <cfRule type="containsText" dxfId="470" priority="167" operator="containsText" text="T">
      <formula>NOT(ISERROR(SEARCH("T",BC175)))</formula>
    </cfRule>
    <cfRule type="containsText" dxfId="469" priority="170" operator="containsText" text="17">
      <formula>NOT(ISERROR(SEARCH("17",BC175)))</formula>
    </cfRule>
  </conditionalFormatting>
  <conditionalFormatting sqref="BC175:CP181">
    <cfRule type="containsText" dxfId="468" priority="181" operator="containsText" text="17">
      <formula>NOT(ISERROR(SEARCH("17",BC175)))</formula>
    </cfRule>
  </conditionalFormatting>
  <conditionalFormatting sqref="BD69:BD71">
    <cfRule type="containsText" dxfId="467" priority="339" operator="containsText" text="17">
      <formula>NOT(ISERROR(SEARCH("17",BD69)))</formula>
    </cfRule>
    <cfRule type="containsText" dxfId="466" priority="340" operator="containsText" text="T">
      <formula>NOT(ISERROR(SEARCH("T",BD69)))</formula>
    </cfRule>
  </conditionalFormatting>
  <conditionalFormatting sqref="BD103:BD104">
    <cfRule type="containsText" dxfId="465" priority="370" operator="containsText" text="T">
      <formula>NOT(ISERROR(SEARCH("T",BD103)))</formula>
    </cfRule>
    <cfRule type="containsText" dxfId="464" priority="369" operator="containsText" text="17">
      <formula>NOT(ISERROR(SEARCH("17",BD103)))</formula>
    </cfRule>
  </conditionalFormatting>
  <conditionalFormatting sqref="BD113:BD116 BH113:BJ116">
    <cfRule type="containsText" dxfId="463" priority="471" operator="containsText" text="T">
      <formula>NOT(ISERROR(SEARCH("T",BD113)))</formula>
    </cfRule>
  </conditionalFormatting>
  <conditionalFormatting sqref="BD121">
    <cfRule type="containsText" dxfId="462" priority="360" operator="containsText" text="T">
      <formula>NOT(ISERROR(SEARCH("T",BD121)))</formula>
    </cfRule>
    <cfRule type="containsText" dxfId="461" priority="359" operator="containsText" text="17">
      <formula>NOT(ISERROR(SEARCH("17",BD121)))</formula>
    </cfRule>
  </conditionalFormatting>
  <conditionalFormatting sqref="BD123">
    <cfRule type="containsText" dxfId="460" priority="349" operator="containsText" text="17">
      <formula>NOT(ISERROR(SEARCH("17",BD123)))</formula>
    </cfRule>
    <cfRule type="containsText" dxfId="459" priority="350" operator="containsText" text="T">
      <formula>NOT(ISERROR(SEARCH("T",BD123)))</formula>
    </cfRule>
  </conditionalFormatting>
  <conditionalFormatting sqref="BD225:BD231">
    <cfRule type="containsText" dxfId="458" priority="493" operator="containsText" text="T">
      <formula>NOT(ISERROR(SEARCH("T",BD225)))</formula>
    </cfRule>
  </conditionalFormatting>
  <conditionalFormatting sqref="BD232:BD234 BH232:BJ234">
    <cfRule type="containsText" dxfId="457" priority="481" operator="containsText" text="T">
      <formula>NOT(ISERROR(SEARCH("T",BD232)))</formula>
    </cfRule>
  </conditionalFormatting>
  <conditionalFormatting sqref="BD35:BE39">
    <cfRule type="containsText" dxfId="456" priority="1049" operator="containsText" text="T">
      <formula>NOT(ISERROR(SEARCH("T",BD35)))</formula>
    </cfRule>
  </conditionalFormatting>
  <conditionalFormatting sqref="BD113:BE116 BH113:BJ116">
    <cfRule type="containsText" dxfId="455" priority="472" operator="containsText" text="17">
      <formula>NOT(ISERROR(SEARCH("17",BD113)))</formula>
    </cfRule>
  </conditionalFormatting>
  <conditionalFormatting sqref="BD232:BE234 BH232:BN234">
    <cfRule type="containsText" dxfId="454" priority="482" operator="containsText" text="17">
      <formula>NOT(ISERROR(SEARCH("17",BD232)))</formula>
    </cfRule>
  </conditionalFormatting>
  <conditionalFormatting sqref="BD41:BG45">
    <cfRule type="containsText" dxfId="453" priority="1042" operator="containsText" text="T">
      <formula>NOT(ISERROR(SEARCH("T",BD41)))</formula>
    </cfRule>
  </conditionalFormatting>
  <conditionalFormatting sqref="BD47:BG47 BE48:BH48">
    <cfRule type="containsText" dxfId="452" priority="1037" operator="containsText" text="T">
      <formula>NOT(ISERROR(SEARCH("T",BD47)))</formula>
    </cfRule>
  </conditionalFormatting>
  <conditionalFormatting sqref="BD67:BJ68">
    <cfRule type="containsText" dxfId="451" priority="313" operator="containsText" text="T">
      <formula>NOT(ISERROR(SEARCH("T",BD67)))</formula>
    </cfRule>
    <cfRule type="containsText" dxfId="450" priority="312" operator="containsText" text="17">
      <formula>NOT(ISERROR(SEARCH("17",BD67)))</formula>
    </cfRule>
  </conditionalFormatting>
  <conditionalFormatting sqref="BD99:BJ102">
    <cfRule type="containsText" dxfId="449" priority="333" operator="containsText" text="T">
      <formula>NOT(ISERROR(SEARCH("T",BD99)))</formula>
    </cfRule>
    <cfRule type="containsText" dxfId="448" priority="332" operator="containsText" text="17">
      <formula>NOT(ISERROR(SEARCH("17",BD99)))</formula>
    </cfRule>
  </conditionalFormatting>
  <conditionalFormatting sqref="BD105:BJ105">
    <cfRule type="containsText" dxfId="447" priority="323" operator="containsText" text="T">
      <formula>NOT(ISERROR(SEARCH("T",BD105)))</formula>
    </cfRule>
    <cfRule type="containsText" dxfId="446" priority="322" operator="containsText" text="17">
      <formula>NOT(ISERROR(SEARCH("17",BD105)))</formula>
    </cfRule>
  </conditionalFormatting>
  <conditionalFormatting sqref="BD54:BN59 AZ59:AZ62 BD60:BI62">
    <cfRule type="containsText" dxfId="445" priority="541" operator="containsText" text="T">
      <formula>NOT(ISERROR(SEARCH("T",AZ54)))</formula>
    </cfRule>
  </conditionalFormatting>
  <conditionalFormatting sqref="BD182:BN188">
    <cfRule type="containsText" dxfId="444" priority="134" operator="containsText" text="17">
      <formula>NOT(ISERROR(SEARCH("17",BD182)))</formula>
    </cfRule>
  </conditionalFormatting>
  <conditionalFormatting sqref="BD182:CA188">
    <cfRule type="containsText" dxfId="443" priority="143" operator="containsText" text="T">
      <formula>NOT(ISERROR(SEARCH("T",BD182)))</formula>
    </cfRule>
    <cfRule type="containsText" dxfId="442" priority="146" operator="containsText" text="17">
      <formula>NOT(ISERROR(SEARCH("17",BD182)))</formula>
    </cfRule>
  </conditionalFormatting>
  <conditionalFormatting sqref="BD182:CP188">
    <cfRule type="containsText" dxfId="441" priority="148" operator="containsText" text="T">
      <formula>NOT(ISERROR(SEARCH("T",BD182)))</formula>
    </cfRule>
    <cfRule type="containsText" dxfId="440" priority="157" operator="containsText" text="17">
      <formula>NOT(ISERROR(SEARCH("17",BD182)))</formula>
    </cfRule>
  </conditionalFormatting>
  <conditionalFormatting sqref="BE15:BE20">
    <cfRule type="containsText" dxfId="439" priority="130" operator="containsText" text="T">
      <formula>NOT(ISERROR(SEARCH("T",BE15)))</formula>
    </cfRule>
  </conditionalFormatting>
  <conditionalFormatting sqref="BE67:BE68">
    <cfRule type="containsText" dxfId="438" priority="309" operator="containsText" text="17">
      <formula>NOT(ISERROR(SEARCH("17",BE67)))</formula>
    </cfRule>
    <cfRule type="containsText" dxfId="437" priority="310" operator="containsText" text="T">
      <formula>NOT(ISERROR(SEARCH("T",BE67)))</formula>
    </cfRule>
  </conditionalFormatting>
  <conditionalFormatting sqref="BE79:BE82 BI79:BK82">
    <cfRule type="containsText" dxfId="436" priority="451" operator="containsText" text="T">
      <formula>NOT(ISERROR(SEARCH("T",BE79)))</formula>
    </cfRule>
  </conditionalFormatting>
  <conditionalFormatting sqref="BE99:BE102">
    <cfRule type="containsText" dxfId="435" priority="330" operator="containsText" text="T">
      <formula>NOT(ISERROR(SEARCH("T",BE99)))</formula>
    </cfRule>
    <cfRule type="containsText" dxfId="434" priority="329" operator="containsText" text="17">
      <formula>NOT(ISERROR(SEARCH("17",BE99)))</formula>
    </cfRule>
  </conditionalFormatting>
  <conditionalFormatting sqref="BE105">
    <cfRule type="containsText" dxfId="433" priority="320" operator="containsText" text="T">
      <formula>NOT(ISERROR(SEARCH("T",BE105)))</formula>
    </cfRule>
    <cfRule type="containsText" dxfId="432" priority="319" operator="containsText" text="17">
      <formula>NOT(ISERROR(SEARCH("17",BE105)))</formula>
    </cfRule>
  </conditionalFormatting>
  <conditionalFormatting sqref="BE113:BE116">
    <cfRule type="containsText" dxfId="431" priority="473" operator="containsText" text="T">
      <formula>NOT(ISERROR(SEARCH("T",BE113)))</formula>
    </cfRule>
  </conditionalFormatting>
  <conditionalFormatting sqref="BE117:BE119 BI117:BK119">
    <cfRule type="containsText" dxfId="430" priority="461" operator="containsText" text="T">
      <formula>NOT(ISERROR(SEARCH("T",BE117)))</formula>
    </cfRule>
  </conditionalFormatting>
  <conditionalFormatting sqref="BE232:BE234">
    <cfRule type="containsText" dxfId="429" priority="483" operator="containsText" text="T">
      <formula>NOT(ISERROR(SEARCH("T",BE232)))</formula>
    </cfRule>
  </conditionalFormatting>
  <conditionalFormatting sqref="BE23:BF27">
    <cfRule type="containsText" dxfId="428" priority="1062" operator="containsText" text="17">
      <formula>NOT(ISERROR(SEARCH("17",BE23)))</formula>
    </cfRule>
  </conditionalFormatting>
  <conditionalFormatting sqref="BE79:BF82 BI79:BK82">
    <cfRule type="containsText" dxfId="427" priority="452" operator="containsText" text="17">
      <formula>NOT(ISERROR(SEARCH("17",BE79)))</formula>
    </cfRule>
  </conditionalFormatting>
  <conditionalFormatting sqref="BE117:BF119 BI117:BP119">
    <cfRule type="containsText" dxfId="426" priority="462" operator="containsText" text="17">
      <formula>NOT(ISERROR(SEARCH("17",BE117)))</formula>
    </cfRule>
  </conditionalFormatting>
  <conditionalFormatting sqref="BE199:BF199 BD206:BE206">
    <cfRule type="containsText" dxfId="425" priority="2142" operator="containsText" text="T">
      <formula>NOT(ISERROR(SEARCH("T",BD199)))</formula>
    </cfRule>
    <cfRule type="containsText" dxfId="424" priority="2141" operator="containsText" text="17">
      <formula>NOT(ISERROR(SEARCH("17",BD199)))</formula>
    </cfRule>
  </conditionalFormatting>
  <conditionalFormatting sqref="BE97:BK98">
    <cfRule type="containsText" dxfId="423" priority="302" operator="containsText" text="17">
      <formula>NOT(ISERROR(SEARCH("17",BE97)))</formula>
    </cfRule>
    <cfRule type="containsText" dxfId="422" priority="303" operator="containsText" text="T">
      <formula>NOT(ISERROR(SEARCH("T",BE97)))</formula>
    </cfRule>
  </conditionalFormatting>
  <conditionalFormatting sqref="BE131:BK137">
    <cfRule type="containsText" dxfId="421" priority="293" operator="containsText" text="T">
      <formula>NOT(ISERROR(SEARCH("T",BE131)))</formula>
    </cfRule>
    <cfRule type="containsText" dxfId="420" priority="292" operator="containsText" text="17">
      <formula>NOT(ISERROR(SEARCH("17",BE131)))</formula>
    </cfRule>
  </conditionalFormatting>
  <conditionalFormatting sqref="BE14:BO14">
    <cfRule type="containsText" dxfId="419" priority="122" operator="containsText" text="17">
      <formula>NOT(ISERROR(SEARCH("17",BE14)))</formula>
    </cfRule>
    <cfRule type="containsText" dxfId="418" priority="123" operator="containsText" text="T">
      <formula>NOT(ISERROR(SEARCH("T",BE14)))</formula>
    </cfRule>
  </conditionalFormatting>
  <conditionalFormatting sqref="BE15:BY20 BE14:BM14">
    <cfRule type="containsText" dxfId="417" priority="129" operator="containsText" text="17">
      <formula>NOT(ISERROR(SEARCH("17",BE14)))</formula>
    </cfRule>
  </conditionalFormatting>
  <conditionalFormatting sqref="BF35:BF40">
    <cfRule type="containsText" dxfId="416" priority="118" operator="containsText" text="T">
      <formula>NOT(ISERROR(SEARCH("T",BF35)))</formula>
    </cfRule>
  </conditionalFormatting>
  <conditionalFormatting sqref="BF79:BF82">
    <cfRule type="containsText" dxfId="415" priority="453" operator="containsText" text="T">
      <formula>NOT(ISERROR(SEARCH("T",BF79)))</formula>
    </cfRule>
  </conditionalFormatting>
  <conditionalFormatting sqref="BF93:BF96 AZ94:BB96 BG94:BI96 BS97 BM231:BN234">
    <cfRule type="containsText" dxfId="414" priority="8576" operator="containsText" text="T">
      <formula>NOT(ISERROR(SEARCH("T",AZ93)))</formula>
    </cfRule>
  </conditionalFormatting>
  <conditionalFormatting sqref="BF93:BF96 AZ94:BB96 BS97 BG94:BI96 BM231:BN234">
    <cfRule type="containsText" dxfId="413" priority="8575" operator="containsText" text="17">
      <formula>NOT(ISERROR(SEARCH("17",AZ93)))</formula>
    </cfRule>
  </conditionalFormatting>
  <conditionalFormatting sqref="BF97:BF98">
    <cfRule type="containsText" dxfId="412" priority="300" operator="containsText" text="T">
      <formula>NOT(ISERROR(SEARCH("T",BF97)))</formula>
    </cfRule>
    <cfRule type="containsText" dxfId="411" priority="299" operator="containsText" text="17">
      <formula>NOT(ISERROR(SEARCH("17",BF97)))</formula>
    </cfRule>
  </conditionalFormatting>
  <conditionalFormatting sqref="BF117:BF119">
    <cfRule type="containsText" dxfId="410" priority="463" operator="containsText" text="T">
      <formula>NOT(ISERROR(SEARCH("T",BF117)))</formula>
    </cfRule>
  </conditionalFormatting>
  <conditionalFormatting sqref="BF131:BF137">
    <cfRule type="containsText" dxfId="409" priority="289" operator="containsText" text="17">
      <formula>NOT(ISERROR(SEARCH("17",BF131)))</formula>
    </cfRule>
    <cfRule type="containsText" dxfId="408" priority="290" operator="containsText" text="T">
      <formula>NOT(ISERROR(SEARCH("T",BF131)))</formula>
    </cfRule>
  </conditionalFormatting>
  <conditionalFormatting sqref="BF138:BL144">
    <cfRule type="containsText" dxfId="407" priority="283" operator="containsText" text="T">
      <formula>NOT(ISERROR(SEARCH("T",BF138)))</formula>
    </cfRule>
    <cfRule type="containsText" dxfId="406" priority="282" operator="containsText" text="17">
      <formula>NOT(ISERROR(SEARCH("17",BF138)))</formula>
    </cfRule>
  </conditionalFormatting>
  <conditionalFormatting sqref="BF34:BP34">
    <cfRule type="containsText" dxfId="405" priority="110" operator="containsText" text="17">
      <formula>NOT(ISERROR(SEARCH("17",BF34)))</formula>
    </cfRule>
    <cfRule type="containsText" dxfId="404" priority="111" operator="containsText" text="T">
      <formula>NOT(ISERROR(SEARCH("T",BF34)))</formula>
    </cfRule>
  </conditionalFormatting>
  <conditionalFormatting sqref="BF35:BZ40 BF34:BN34">
    <cfRule type="containsText" dxfId="403" priority="117" operator="containsText" text="17">
      <formula>NOT(ISERROR(SEARCH("17",BF34)))</formula>
    </cfRule>
  </conditionalFormatting>
  <conditionalFormatting sqref="BF50:CA52 BF53:BN53">
    <cfRule type="containsText" dxfId="402" priority="1032" operator="containsText" text="T">
      <formula>NOT(ISERROR(SEARCH("T",BF50)))</formula>
    </cfRule>
  </conditionalFormatting>
  <conditionalFormatting sqref="BG22:BG27">
    <cfRule type="containsText" dxfId="401" priority="106" operator="containsText" text="T">
      <formula>NOT(ISERROR(SEARCH("T",BG22)))</formula>
    </cfRule>
  </conditionalFormatting>
  <conditionalFormatting sqref="BG41:BG45">
    <cfRule type="containsText" dxfId="400" priority="1043" operator="containsText" text="17">
      <formula>NOT(ISERROR(SEARCH("17",BG41)))</formula>
    </cfRule>
  </conditionalFormatting>
  <conditionalFormatting sqref="BG47">
    <cfRule type="containsText" dxfId="399" priority="1041" operator="containsText" text="17">
      <formula>NOT(ISERROR(SEARCH("17",BG47)))</formula>
    </cfRule>
  </conditionalFormatting>
  <conditionalFormatting sqref="BG76:BG78 BK76:BM78">
    <cfRule type="containsText" dxfId="398" priority="426" operator="containsText" text="T">
      <formula>NOT(ISERROR(SEARCH("T",BG76)))</formula>
    </cfRule>
  </conditionalFormatting>
  <conditionalFormatting sqref="BG86 BG93:BI93">
    <cfRule type="containsText" dxfId="397" priority="4101" operator="containsText" text="T">
      <formula>NOT(ISERROR(SEARCH("T",BG86)))</formula>
    </cfRule>
    <cfRule type="containsText" dxfId="396" priority="4100" operator="containsText" text="17">
      <formula>NOT(ISERROR(SEARCH("17",BG86)))</formula>
    </cfRule>
  </conditionalFormatting>
  <conditionalFormatting sqref="BG107:BG112 BK107:BM112">
    <cfRule type="containsText" dxfId="395" priority="436" operator="containsText" text="T">
      <formula>NOT(ISERROR(SEARCH("T",BG107)))</formula>
    </cfRule>
  </conditionalFormatting>
  <conditionalFormatting sqref="BG138:BG144">
    <cfRule type="containsText" dxfId="394" priority="279" operator="containsText" text="17">
      <formula>NOT(ISERROR(SEARCH("17",BG138)))</formula>
    </cfRule>
    <cfRule type="containsText" dxfId="393" priority="280" operator="containsText" text="T">
      <formula>NOT(ISERROR(SEARCH("T",BG138)))</formula>
    </cfRule>
  </conditionalFormatting>
  <conditionalFormatting sqref="BG30:BH32 BG33:BZ33">
    <cfRule type="containsText" dxfId="392" priority="1056" operator="containsText" text="17">
      <formula>NOT(ISERROR(SEARCH("17",BG30)))</formula>
    </cfRule>
  </conditionalFormatting>
  <conditionalFormatting sqref="BG48:BH48">
    <cfRule type="containsText" dxfId="391" priority="1038" operator="containsText" text="17">
      <formula>NOT(ISERROR(SEARCH("17",BG48)))</formula>
    </cfRule>
  </conditionalFormatting>
  <conditionalFormatting sqref="BG76:BH78 BK76:BM78">
    <cfRule type="containsText" dxfId="390" priority="427" operator="containsText" text="17">
      <formula>NOT(ISERROR(SEARCH("17",BG76)))</formula>
    </cfRule>
  </conditionalFormatting>
  <conditionalFormatting sqref="BG107:BH112 BK107:BM112">
    <cfRule type="containsText" dxfId="389" priority="437" operator="containsText" text="17">
      <formula>NOT(ISERROR(SEARCH("17",BG107)))</formula>
    </cfRule>
  </conditionalFormatting>
  <conditionalFormatting sqref="BG145:BM151">
    <cfRule type="containsText" dxfId="388" priority="272" operator="containsText" text="17">
      <formula>NOT(ISERROR(SEARCH("17",BG145)))</formula>
    </cfRule>
    <cfRule type="containsText" dxfId="387" priority="273" operator="containsText" text="T">
      <formula>NOT(ISERROR(SEARCH("T",BG145)))</formula>
    </cfRule>
  </conditionalFormatting>
  <conditionalFormatting sqref="BG21:BQ21">
    <cfRule type="containsText" dxfId="386" priority="98" operator="containsText" text="17">
      <formula>NOT(ISERROR(SEARCH("17",BG21)))</formula>
    </cfRule>
    <cfRule type="containsText" dxfId="385" priority="99" operator="containsText" text="T">
      <formula>NOT(ISERROR(SEARCH("T",BG21)))</formula>
    </cfRule>
  </conditionalFormatting>
  <conditionalFormatting sqref="BG50:BQ52">
    <cfRule type="containsText" dxfId="384" priority="1036" operator="containsText" text="17">
      <formula>NOT(ISERROR(SEARCH("17",BG50)))</formula>
    </cfRule>
  </conditionalFormatting>
  <conditionalFormatting sqref="BG51:BS52 BG53:BN59 BG60:BI66">
    <cfRule type="containsText" dxfId="383" priority="1033" operator="containsText" text="17">
      <formula>NOT(ISERROR(SEARCH("17",BG51)))</formula>
    </cfRule>
  </conditionalFormatting>
  <conditionalFormatting sqref="BG22:CA27 BG21:BO21">
    <cfRule type="containsText" dxfId="382" priority="105" operator="containsText" text="17">
      <formula>NOT(ISERROR(SEARCH("17",BG21)))</formula>
    </cfRule>
  </conditionalFormatting>
  <conditionalFormatting sqref="BH42:BH47">
    <cfRule type="containsText" dxfId="381" priority="94" operator="containsText" text="T">
      <formula>NOT(ISERROR(SEARCH("T",BH42)))</formula>
    </cfRule>
  </conditionalFormatting>
  <conditionalFormatting sqref="BH72:BH75 BL72:BN75">
    <cfRule type="containsText" dxfId="380" priority="416" operator="containsText" text="T">
      <formula>NOT(ISERROR(SEARCH("T",BH72)))</formula>
    </cfRule>
  </conditionalFormatting>
  <conditionalFormatting sqref="BH76:BH78">
    <cfRule type="containsText" dxfId="379" priority="428" operator="containsText" text="T">
      <formula>NOT(ISERROR(SEARCH("T",BH76)))</formula>
    </cfRule>
  </conditionalFormatting>
  <conditionalFormatting sqref="BH106 BL106:BN106">
    <cfRule type="containsText" dxfId="378" priority="406" operator="containsText" text="T">
      <formula>NOT(ISERROR(SEARCH("T",BH106)))</formula>
    </cfRule>
  </conditionalFormatting>
  <conditionalFormatting sqref="BH107:BH112">
    <cfRule type="containsText" dxfId="377" priority="438" operator="containsText" text="T">
      <formula>NOT(ISERROR(SEARCH("T",BH107)))</formula>
    </cfRule>
  </conditionalFormatting>
  <conditionalFormatting sqref="BH120 BL120:BN120">
    <cfRule type="containsText" dxfId="376" priority="386" operator="containsText" text="T">
      <formula>NOT(ISERROR(SEARCH("T",BH120)))</formula>
    </cfRule>
  </conditionalFormatting>
  <conditionalFormatting sqref="BH122 BL122:BO122">
    <cfRule type="containsText" dxfId="375" priority="376" operator="containsText" text="T">
      <formula>NOT(ISERROR(SEARCH("T",BH122)))</formula>
    </cfRule>
  </conditionalFormatting>
  <conditionalFormatting sqref="BH124:BH126 BL124:BN126">
    <cfRule type="containsText" dxfId="374" priority="396" operator="containsText" text="T">
      <formula>NOT(ISERROR(SEARCH("T",BH124)))</formula>
    </cfRule>
  </conditionalFormatting>
  <conditionalFormatting sqref="BH145:BH151">
    <cfRule type="containsText" dxfId="373" priority="269" operator="containsText" text="17">
      <formula>NOT(ISERROR(SEARCH("17",BH145)))</formula>
    </cfRule>
    <cfRule type="containsText" dxfId="372" priority="270" operator="containsText" text="T">
      <formula>NOT(ISERROR(SEARCH("T",BH145)))</formula>
    </cfRule>
  </conditionalFormatting>
  <conditionalFormatting sqref="BH72:BI75 BL72:BN75">
    <cfRule type="containsText" dxfId="371" priority="417" operator="containsText" text="17">
      <formula>NOT(ISERROR(SEARCH("17",BH72)))</formula>
    </cfRule>
  </conditionalFormatting>
  <conditionalFormatting sqref="BH106:BI106 BL106:CJ106">
    <cfRule type="containsText" dxfId="370" priority="407" operator="containsText" text="17">
      <formula>NOT(ISERROR(SEARCH("17",BH106)))</formula>
    </cfRule>
  </conditionalFormatting>
  <conditionalFormatting sqref="BH120:BI120 BL120:BO120">
    <cfRule type="containsText" dxfId="369" priority="387" operator="containsText" text="17">
      <formula>NOT(ISERROR(SEARCH("17",BH120)))</formula>
    </cfRule>
  </conditionalFormatting>
  <conditionalFormatting sqref="BH122:BI122 BL122:BO122">
    <cfRule type="containsText" dxfId="368" priority="377" operator="containsText" text="17">
      <formula>NOT(ISERROR(SEARCH("17",BH122)))</formula>
    </cfRule>
  </conditionalFormatting>
  <conditionalFormatting sqref="BH124:BI126 BL124:BO126">
    <cfRule type="containsText" dxfId="367" priority="397" operator="containsText" text="17">
      <formula>NOT(ISERROR(SEARCH("17",BH124)))</formula>
    </cfRule>
  </conditionalFormatting>
  <conditionalFormatting sqref="BH214:BI216">
    <cfRule type="containsText" dxfId="366" priority="5856" operator="containsText" text="17">
      <formula>NOT(ISERROR(SEARCH("17",BH214)))</formula>
    </cfRule>
    <cfRule type="containsText" dxfId="365" priority="5857" operator="containsText" text="T">
      <formula>NOT(ISERROR(SEARCH("T",BH214)))</formula>
    </cfRule>
  </conditionalFormatting>
  <conditionalFormatting sqref="BH84:BK89">
    <cfRule type="containsText" dxfId="364" priority="1009" operator="containsText" text="17">
      <formula>NOT(ISERROR(SEARCH("17",BH84)))</formula>
    </cfRule>
  </conditionalFormatting>
  <conditionalFormatting sqref="BH152:BN158">
    <cfRule type="containsText" dxfId="363" priority="262" operator="containsText" text="17">
      <formula>NOT(ISERROR(SEARCH("17",BH152)))</formula>
    </cfRule>
    <cfRule type="containsText" dxfId="362" priority="263" operator="containsText" text="T">
      <formula>NOT(ISERROR(SEARCH("T",BH152)))</formula>
    </cfRule>
  </conditionalFormatting>
  <conditionalFormatting sqref="BH41:BR41">
    <cfRule type="containsText" dxfId="361" priority="87" operator="containsText" text="T">
      <formula>NOT(ISERROR(SEARCH("T",BH41)))</formula>
    </cfRule>
    <cfRule type="containsText" dxfId="360" priority="86" operator="containsText" text="17">
      <formula>NOT(ISERROR(SEARCH("17",BH41)))</formula>
    </cfRule>
  </conditionalFormatting>
  <conditionalFormatting sqref="BH42:CB47 BH41:BP41">
    <cfRule type="containsText" dxfId="359" priority="93" operator="containsText" text="17">
      <formula>NOT(ISERROR(SEARCH("17",BH41)))</formula>
    </cfRule>
  </conditionalFormatting>
  <conditionalFormatting sqref="BI28:BI32">
    <cfRule type="containsText" dxfId="358" priority="79" operator="containsText" text="T">
      <formula>NOT(ISERROR(SEARCH("T",BI28)))</formula>
    </cfRule>
  </conditionalFormatting>
  <conditionalFormatting sqref="BI48:BI49">
    <cfRule type="containsText" dxfId="357" priority="74" operator="containsText" text="T">
      <formula>NOT(ISERROR(SEARCH("T",BI48)))</formula>
    </cfRule>
  </conditionalFormatting>
  <conditionalFormatting sqref="BI69:BI71 BM69:BO71">
    <cfRule type="containsText" dxfId="356" priority="336" operator="containsText" text="T">
      <formula>NOT(ISERROR(SEARCH("T",BI69)))</formula>
    </cfRule>
  </conditionalFormatting>
  <conditionalFormatting sqref="BI72:BI75">
    <cfRule type="containsText" dxfId="355" priority="418" operator="containsText" text="T">
      <formula>NOT(ISERROR(SEARCH("T",BI72)))</formula>
    </cfRule>
  </conditionalFormatting>
  <conditionalFormatting sqref="BI103:BI104 BM103:BO104">
    <cfRule type="containsText" dxfId="354" priority="366" operator="containsText" text="T">
      <formula>NOT(ISERROR(SEARCH("T",BI103)))</formula>
    </cfRule>
  </conditionalFormatting>
  <conditionalFormatting sqref="BI106">
    <cfRule type="containsText" dxfId="353" priority="408" operator="containsText" text="T">
      <formula>NOT(ISERROR(SEARCH("T",BI106)))</formula>
    </cfRule>
  </conditionalFormatting>
  <conditionalFormatting sqref="BI120">
    <cfRule type="containsText" dxfId="352" priority="388" operator="containsText" text="T">
      <formula>NOT(ISERROR(SEARCH("T",BI120)))</formula>
    </cfRule>
  </conditionalFormatting>
  <conditionalFormatting sqref="BI121 BM121:BO121">
    <cfRule type="containsText" dxfId="351" priority="356" operator="containsText" text="T">
      <formula>NOT(ISERROR(SEARCH("T",BI121)))</formula>
    </cfRule>
  </conditionalFormatting>
  <conditionalFormatting sqref="BI122">
    <cfRule type="containsText" dxfId="350" priority="378" operator="containsText" text="T">
      <formula>NOT(ISERROR(SEARCH("T",BI122)))</formula>
    </cfRule>
  </conditionalFormatting>
  <conditionalFormatting sqref="BI123 BM123:BO123">
    <cfRule type="containsText" dxfId="349" priority="346" operator="containsText" text="T">
      <formula>NOT(ISERROR(SEARCH("T",BI123)))</formula>
    </cfRule>
  </conditionalFormatting>
  <conditionalFormatting sqref="BI124:BI126">
    <cfRule type="containsText" dxfId="348" priority="398" operator="containsText" text="T">
      <formula>NOT(ISERROR(SEARCH("T",BI124)))</formula>
    </cfRule>
  </conditionalFormatting>
  <conditionalFormatting sqref="BI152:BI158">
    <cfRule type="containsText" dxfId="347" priority="259" operator="containsText" text="17">
      <formula>NOT(ISERROR(SEARCH("17",BI152)))</formula>
    </cfRule>
    <cfRule type="containsText" dxfId="346" priority="260" operator="containsText" text="T">
      <formula>NOT(ISERROR(SEARCH("T",BI152)))</formula>
    </cfRule>
  </conditionalFormatting>
  <conditionalFormatting sqref="BI69:BJ71 BM69:BO71">
    <cfRule type="containsText" dxfId="345" priority="337" operator="containsText" text="17">
      <formula>NOT(ISERROR(SEARCH("17",BI69)))</formula>
    </cfRule>
  </conditionalFormatting>
  <conditionalFormatting sqref="BI103:BJ104 BM103:BO104">
    <cfRule type="containsText" dxfId="344" priority="367" operator="containsText" text="17">
      <formula>NOT(ISERROR(SEARCH("17",BI103)))</formula>
    </cfRule>
  </conditionalFormatting>
  <conditionalFormatting sqref="BI121:BJ121 BM121:BO121">
    <cfRule type="containsText" dxfId="343" priority="357" operator="containsText" text="17">
      <formula>NOT(ISERROR(SEARCH("17",BI121)))</formula>
    </cfRule>
  </conditionalFormatting>
  <conditionalFormatting sqref="BI123:BJ123 BM123:BO123">
    <cfRule type="containsText" dxfId="342" priority="347" operator="containsText" text="17">
      <formula>NOT(ISERROR(SEARCH("17",BI123)))</formula>
    </cfRule>
  </conditionalFormatting>
  <conditionalFormatting sqref="BI214:BJ216">
    <cfRule type="containsText" dxfId="341" priority="5863" operator="containsText" text="T">
      <formula>NOT(ISERROR(SEARCH("T",BI214)))</formula>
    </cfRule>
    <cfRule type="containsText" dxfId="340" priority="5862" operator="containsText" text="17">
      <formula>NOT(ISERROR(SEARCH("17",BI214)))</formula>
    </cfRule>
  </conditionalFormatting>
  <conditionalFormatting sqref="BI218:BL220 BL221:BM223 BM224:BM227 BM228:BN230">
    <cfRule type="containsText" dxfId="339" priority="5627" operator="containsText" text="T">
      <formula>NOT(ISERROR(SEARCH("T",BI218)))</formula>
    </cfRule>
  </conditionalFormatting>
  <conditionalFormatting sqref="BI159:BO165">
    <cfRule type="containsText" dxfId="338" priority="253" operator="containsText" text="T">
      <formula>NOT(ISERROR(SEARCH("T",BI159)))</formula>
    </cfRule>
    <cfRule type="containsText" dxfId="337" priority="252" operator="containsText" text="17">
      <formula>NOT(ISERROR(SEARCH("17",BI159)))</formula>
    </cfRule>
  </conditionalFormatting>
  <conditionalFormatting sqref="BI28:CC32 CF28:CF32">
    <cfRule type="containsText" dxfId="336" priority="76" operator="containsText" text="T">
      <formula>NOT(ISERROR(SEARCH("T",BI28)))</formula>
    </cfRule>
  </conditionalFormatting>
  <conditionalFormatting sqref="BI28:CC32">
    <cfRule type="containsText" dxfId="335" priority="78" operator="containsText" text="17">
      <formula>NOT(ISERROR(SEARCH("17",BI28)))</formula>
    </cfRule>
  </conditionalFormatting>
  <conditionalFormatting sqref="BI48:CC49 CF48:CF49">
    <cfRule type="containsText" dxfId="334" priority="71" operator="containsText" text="T">
      <formula>NOT(ISERROR(SEARCH("T",BI48)))</formula>
    </cfRule>
  </conditionalFormatting>
  <conditionalFormatting sqref="BI48:CC49">
    <cfRule type="containsText" dxfId="333" priority="73" operator="containsText" text="17">
      <formula>NOT(ISERROR(SEARCH("17",BI48)))</formula>
    </cfRule>
  </conditionalFormatting>
  <conditionalFormatting sqref="BJ60:BJ68">
    <cfRule type="containsText" dxfId="332" priority="69" operator="containsText" text="T">
      <formula>NOT(ISERROR(SEARCH("T",BJ60)))</formula>
    </cfRule>
  </conditionalFormatting>
  <conditionalFormatting sqref="BJ69:BJ71">
    <cfRule type="containsText" dxfId="331" priority="338" operator="containsText" text="T">
      <formula>NOT(ISERROR(SEARCH("T",BJ69)))</formula>
    </cfRule>
  </conditionalFormatting>
  <conditionalFormatting sqref="BJ99:BJ102 BN99:BP102">
    <cfRule type="containsText" dxfId="330" priority="326" operator="containsText" text="T">
      <formula>NOT(ISERROR(SEARCH("T",BJ99)))</formula>
    </cfRule>
  </conditionalFormatting>
  <conditionalFormatting sqref="BJ103:BJ104">
    <cfRule type="containsText" dxfId="329" priority="368" operator="containsText" text="T">
      <formula>NOT(ISERROR(SEARCH("T",BJ103)))</formula>
    </cfRule>
  </conditionalFormatting>
  <conditionalFormatting sqref="BJ105 BN105:BP105">
    <cfRule type="containsText" dxfId="328" priority="316" operator="containsText" text="T">
      <formula>NOT(ISERROR(SEARCH("T",BJ105)))</formula>
    </cfRule>
  </conditionalFormatting>
  <conditionalFormatting sqref="BJ121">
    <cfRule type="containsText" dxfId="327" priority="358" operator="containsText" text="T">
      <formula>NOT(ISERROR(SEARCH("T",BJ121)))</formula>
    </cfRule>
  </conditionalFormatting>
  <conditionalFormatting sqref="BJ123">
    <cfRule type="containsText" dxfId="326" priority="348" operator="containsText" text="T">
      <formula>NOT(ISERROR(SEARCH("T",BJ123)))</formula>
    </cfRule>
  </conditionalFormatting>
  <conditionalFormatting sqref="BJ159:BJ165">
    <cfRule type="containsText" dxfId="325" priority="249" operator="containsText" text="17">
      <formula>NOT(ISERROR(SEARCH("17",BJ159)))</formula>
    </cfRule>
    <cfRule type="containsText" dxfId="324" priority="250" operator="containsText" text="T">
      <formula>NOT(ISERROR(SEARCH("T",BJ159)))</formula>
    </cfRule>
  </conditionalFormatting>
  <conditionalFormatting sqref="BJ199 BI206">
    <cfRule type="containsText" dxfId="323" priority="5048" operator="containsText" text="17">
      <formula>NOT(ISERROR(SEARCH("17",BI199)))</formula>
    </cfRule>
    <cfRule type="containsText" dxfId="322" priority="5049" operator="containsText" text="T">
      <formula>NOT(ISERROR(SEARCH("T",BI199)))</formula>
    </cfRule>
  </conditionalFormatting>
  <conditionalFormatting sqref="BJ99:BK102 BN99:BP102">
    <cfRule type="containsText" dxfId="321" priority="327" operator="containsText" text="17">
      <formula>NOT(ISERROR(SEARCH("17",BJ99)))</formula>
    </cfRule>
  </conditionalFormatting>
  <conditionalFormatting sqref="BJ105:BK105 BN105:CJ105">
    <cfRule type="containsText" dxfId="320" priority="317" operator="containsText" text="17">
      <formula>NOT(ISERROR(SEARCH("17",BJ105)))</formula>
    </cfRule>
  </conditionalFormatting>
  <conditionalFormatting sqref="BJ228:BN231 BK232:BN234">
    <cfRule type="containsText" dxfId="319" priority="5687" operator="containsText" text="T">
      <formula>NOT(ISERROR(SEARCH("T",BJ228)))</formula>
    </cfRule>
    <cfRule type="containsText" dxfId="318" priority="5690" operator="containsText" text="17">
      <formula>NOT(ISERROR(SEARCH("17",BJ228)))</formula>
    </cfRule>
    <cfRule type="containsText" dxfId="317" priority="5691" operator="containsText" text="T">
      <formula>NOT(ISERROR(SEARCH("T",BJ228)))</formula>
    </cfRule>
  </conditionalFormatting>
  <conditionalFormatting sqref="BJ228:BN231">
    <cfRule type="containsText" dxfId="316" priority="5686" operator="containsText" text="17">
      <formula>NOT(ISERROR(SEARCH("17",BJ228)))</formula>
    </cfRule>
  </conditionalFormatting>
  <conditionalFormatting sqref="BJ207:BP213">
    <cfRule type="containsText" dxfId="315" priority="242" operator="containsText" text="17">
      <formula>NOT(ISERROR(SEARCH("17",BJ207)))</formula>
    </cfRule>
  </conditionalFormatting>
  <conditionalFormatting sqref="BJ60:CD66 CG60:CG66">
    <cfRule type="containsText" dxfId="314" priority="66" operator="containsText" text="T">
      <formula>NOT(ISERROR(SEARCH("T",BJ60)))</formula>
    </cfRule>
  </conditionalFormatting>
  <conditionalFormatting sqref="BJ60:CD66">
    <cfRule type="containsText" dxfId="313" priority="68" operator="containsText" text="17">
      <formula>NOT(ISERROR(SEARCH("17",BJ60)))</formula>
    </cfRule>
  </conditionalFormatting>
  <conditionalFormatting sqref="BK67:BK68">
    <cfRule type="containsText" dxfId="312" priority="308" operator="containsText" text="T">
      <formula>NOT(ISERROR(SEARCH("T",BK67)))</formula>
    </cfRule>
  </conditionalFormatting>
  <conditionalFormatting sqref="BK85:BK89">
    <cfRule type="containsText" dxfId="311" priority="1010" operator="containsText" text="17">
      <formula>NOT(ISERROR(SEARCH("17",BK85)))</formula>
    </cfRule>
  </conditionalFormatting>
  <conditionalFormatting sqref="BK90:BK98">
    <cfRule type="containsText" dxfId="310" priority="64" operator="containsText" text="T">
      <formula>NOT(ISERROR(SEARCH("T",BK90)))</formula>
    </cfRule>
  </conditionalFormatting>
  <conditionalFormatting sqref="BK99:BK102">
    <cfRule type="containsText" dxfId="309" priority="328" operator="containsText" text="T">
      <formula>NOT(ISERROR(SEARCH("T",BK99)))</formula>
    </cfRule>
  </conditionalFormatting>
  <conditionalFormatting sqref="BK105">
    <cfRule type="containsText" dxfId="308" priority="318" operator="containsText" text="T">
      <formula>NOT(ISERROR(SEARCH("T",BK105)))</formula>
    </cfRule>
  </conditionalFormatting>
  <conditionalFormatting sqref="BK131:BK137 BO131:BQ137">
    <cfRule type="containsText" dxfId="307" priority="286" operator="containsText" text="T">
      <formula>NOT(ISERROR(SEARCH("T",BK131)))</formula>
    </cfRule>
  </conditionalFormatting>
  <conditionalFormatting sqref="BK199 BJ206">
    <cfRule type="containsText" dxfId="306" priority="5064" operator="containsText" text="17">
      <formula>NOT(ISERROR(SEARCH("17",BJ199)))</formula>
    </cfRule>
    <cfRule type="containsText" dxfId="305" priority="5065" operator="containsText" text="T">
      <formula>NOT(ISERROR(SEARCH("T",BJ199)))</formula>
    </cfRule>
  </conditionalFormatting>
  <conditionalFormatting sqref="BK207:BK213">
    <cfRule type="containsText" dxfId="304" priority="239" operator="containsText" text="17">
      <formula>NOT(ISERROR(SEARCH("17",BK207)))</formula>
    </cfRule>
    <cfRule type="containsText" dxfId="303" priority="240" operator="containsText" text="T">
      <formula>NOT(ISERROR(SEARCH("T",BK207)))</formula>
    </cfRule>
  </conditionalFormatting>
  <conditionalFormatting sqref="BK217:BK223 BL224:BL230">
    <cfRule type="containsText" dxfId="302" priority="5614" operator="containsText" text="17">
      <formula>NOT(ISERROR(SEARCH("17",BK217)))</formula>
    </cfRule>
    <cfRule type="containsText" dxfId="301" priority="5615" operator="containsText" text="T">
      <formula>NOT(ISERROR(SEARCH("T",BK217)))</formula>
    </cfRule>
  </conditionalFormatting>
  <conditionalFormatting sqref="BK131:BL137 BO131:BQ137">
    <cfRule type="containsText" dxfId="300" priority="287" operator="containsText" text="17">
      <formula>NOT(ISERROR(SEARCH("17",BK131)))</formula>
    </cfRule>
  </conditionalFormatting>
  <conditionalFormatting sqref="BK217:BL217">
    <cfRule type="containsText" dxfId="299" priority="5313" operator="containsText" text="T">
      <formula>NOT(ISERROR(SEARCH("T",BK217)))</formula>
    </cfRule>
    <cfRule type="containsText" dxfId="298" priority="5312" operator="containsText" text="17">
      <formula>NOT(ISERROR(SEARCH("17",BK217)))</formula>
    </cfRule>
  </conditionalFormatting>
  <conditionalFormatting sqref="BK218:BL220 BK221:BM223">
    <cfRule type="containsText" dxfId="297" priority="5620" operator="containsText" text="17">
      <formula>NOT(ISERROR(SEARCH("17",BK218)))</formula>
    </cfRule>
    <cfRule type="containsText" dxfId="296" priority="5621" operator="containsText" text="T">
      <formula>NOT(ISERROR(SEARCH("T",BK218)))</formula>
    </cfRule>
  </conditionalFormatting>
  <conditionalFormatting sqref="BK200:BQ206">
    <cfRule type="containsText" dxfId="295" priority="229" operator="containsText" text="17">
      <formula>NOT(ISERROR(SEARCH("17",BK200)))</formula>
    </cfRule>
    <cfRule type="containsText" dxfId="294" priority="230" operator="containsText" text="T">
      <formula>NOT(ISERROR(SEARCH("T",BK200)))</formula>
    </cfRule>
  </conditionalFormatting>
  <conditionalFormatting sqref="BK90:CE96 CH90:CH96">
    <cfRule type="containsText" dxfId="293" priority="61" operator="containsText" text="T">
      <formula>NOT(ISERROR(SEARCH("T",BK90)))</formula>
    </cfRule>
  </conditionalFormatting>
  <conditionalFormatting sqref="BK90:CE96">
    <cfRule type="containsText" dxfId="292" priority="63" operator="containsText" text="17">
      <formula>NOT(ISERROR(SEARCH("17",BK90)))</formula>
    </cfRule>
  </conditionalFormatting>
  <conditionalFormatting sqref="BL79">
    <cfRule type="containsText" dxfId="291" priority="3869" operator="containsText" text="T">
      <formula>NOT(ISERROR(SEARCH("T",BL79)))</formula>
    </cfRule>
    <cfRule type="containsText" dxfId="290" priority="3868" operator="containsText" text="17">
      <formula>NOT(ISERROR(SEARCH("17",BL79)))</formula>
    </cfRule>
  </conditionalFormatting>
  <conditionalFormatting sqref="BL83:BL89">
    <cfRule type="containsText" dxfId="289" priority="59" operator="containsText" text="T">
      <formula>NOT(ISERROR(SEARCH("T",BL83)))</formula>
    </cfRule>
  </conditionalFormatting>
  <conditionalFormatting sqref="BL97:BL98">
    <cfRule type="containsText" dxfId="288" priority="298" operator="containsText" text="T">
      <formula>NOT(ISERROR(SEARCH("T",BL97)))</formula>
    </cfRule>
  </conditionalFormatting>
  <conditionalFormatting sqref="BL131:BL137">
    <cfRule type="containsText" dxfId="287" priority="288" operator="containsText" text="T">
      <formula>NOT(ISERROR(SEARCH("T",BL131)))</formula>
    </cfRule>
  </conditionalFormatting>
  <conditionalFormatting sqref="BL138:BL144 BP138:BR144">
    <cfRule type="containsText" dxfId="286" priority="276" operator="containsText" text="T">
      <formula>NOT(ISERROR(SEARCH("T",BL138)))</formula>
    </cfRule>
  </conditionalFormatting>
  <conditionalFormatting sqref="BL200:BL206">
    <cfRule type="containsText" dxfId="285" priority="227" operator="containsText" text="17">
      <formula>NOT(ISERROR(SEARCH("17",BL200)))</formula>
    </cfRule>
    <cfRule type="containsText" dxfId="284" priority="228" operator="containsText" text="T">
      <formula>NOT(ISERROR(SEARCH("T",BL200)))</formula>
    </cfRule>
  </conditionalFormatting>
  <conditionalFormatting sqref="BL217">
    <cfRule type="containsText" dxfId="283" priority="5315" operator="containsText" text="T">
      <formula>NOT(ISERROR(SEARCH("T",BL217)))</formula>
    </cfRule>
    <cfRule type="containsText" dxfId="282" priority="5314" operator="containsText" text="17">
      <formula>NOT(ISERROR(SEARCH("17",BL217)))</formula>
    </cfRule>
  </conditionalFormatting>
  <conditionalFormatting sqref="BL218:BL220 BL221:BM223 BM224:BM227 BM228:BN230">
    <cfRule type="containsText" dxfId="281" priority="5626" operator="containsText" text="17">
      <formula>NOT(ISERROR(SEARCH("17",BL218)))</formula>
    </cfRule>
  </conditionalFormatting>
  <conditionalFormatting sqref="BL138:BM144 BP138:BR144">
    <cfRule type="containsText" dxfId="280" priority="277" operator="containsText" text="17">
      <formula>NOT(ISERROR(SEARCH("17",BL138)))</formula>
    </cfRule>
  </conditionalFormatting>
  <conditionalFormatting sqref="BL199:BM199 BK206:BL206">
    <cfRule type="containsText" dxfId="279" priority="2139" operator="containsText" text="17">
      <formula>NOT(ISERROR(SEARCH("17",BK199)))</formula>
    </cfRule>
    <cfRule type="containsText" dxfId="278" priority="2140" operator="containsText" text="T">
      <formula>NOT(ISERROR(SEARCH("T",BK199)))</formula>
    </cfRule>
  </conditionalFormatting>
  <conditionalFormatting sqref="BL224:BM227 BL228:BN230">
    <cfRule type="containsText" dxfId="277" priority="5619" operator="containsText" text="T">
      <formula>NOT(ISERROR(SEARCH("T",BL224)))</formula>
    </cfRule>
    <cfRule type="containsText" dxfId="276" priority="5618" operator="containsText" text="17">
      <formula>NOT(ISERROR(SEARCH("17",BL224)))</formula>
    </cfRule>
  </conditionalFormatting>
  <conditionalFormatting sqref="BL192:BR199">
    <cfRule type="containsText" dxfId="275" priority="212" operator="containsText" text="17">
      <formula>NOT(ISERROR(SEARCH("17",BL192)))</formula>
    </cfRule>
  </conditionalFormatting>
  <conditionalFormatting sqref="BL83:CF89 CI83:CI89">
    <cfRule type="containsText" dxfId="274" priority="56" operator="containsText" text="T">
      <formula>NOT(ISERROR(SEARCH("T",BL83)))</formula>
    </cfRule>
  </conditionalFormatting>
  <conditionalFormatting sqref="BL83:CF89">
    <cfRule type="containsText" dxfId="273" priority="58" operator="containsText" text="17">
      <formula>NOT(ISERROR(SEARCH("17",BL83)))</formula>
    </cfRule>
  </conditionalFormatting>
  <conditionalFormatting sqref="BM138:BM144">
    <cfRule type="containsText" dxfId="272" priority="278" operator="containsText" text="T">
      <formula>NOT(ISERROR(SEARCH("T",BM138)))</formula>
    </cfRule>
  </conditionalFormatting>
  <conditionalFormatting sqref="BM145:BM151 BQ145:BS151">
    <cfRule type="containsText" dxfId="271" priority="266" operator="containsText" text="T">
      <formula>NOT(ISERROR(SEARCH("T",BM145)))</formula>
    </cfRule>
  </conditionalFormatting>
  <conditionalFormatting sqref="BM192:BM199">
    <cfRule type="containsText" dxfId="270" priority="211" operator="containsText" text="T">
      <formula>NOT(ISERROR(SEARCH("T",BM192)))</formula>
    </cfRule>
    <cfRule type="containsText" dxfId="269" priority="210" operator="containsText" text="17">
      <formula>NOT(ISERROR(SEARCH("17",BM192)))</formula>
    </cfRule>
  </conditionalFormatting>
  <conditionalFormatting sqref="BM214:BM220">
    <cfRule type="containsText" dxfId="268" priority="54" operator="containsText" text="T">
      <formula>NOT(ISERROR(SEARCH("T",BM214)))</formula>
    </cfRule>
  </conditionalFormatting>
  <conditionalFormatting sqref="BM145:BN151 BQ145:BS151">
    <cfRule type="containsText" dxfId="267" priority="267" operator="containsText" text="17">
      <formula>NOT(ISERROR(SEARCH("17",BM145)))</formula>
    </cfRule>
  </conditionalFormatting>
  <conditionalFormatting sqref="BM168:BS174">
    <cfRule type="containsText" dxfId="266" priority="188" operator="containsText" text="17">
      <formula>NOT(ISERROR(SEARCH("17",BM168)))</formula>
    </cfRule>
    <cfRule type="containsText" dxfId="265" priority="189" operator="containsText" text="T">
      <formula>NOT(ISERROR(SEARCH("T",BM168)))</formula>
    </cfRule>
  </conditionalFormatting>
  <conditionalFormatting sqref="BM214:CG220 CJ214:CJ220">
    <cfRule type="containsText" dxfId="264" priority="51" operator="containsText" text="T">
      <formula>NOT(ISERROR(SEARCH("T",BM214)))</formula>
    </cfRule>
  </conditionalFormatting>
  <conditionalFormatting sqref="BM214:CG220">
    <cfRule type="containsText" dxfId="263" priority="53" operator="containsText" text="17">
      <formula>NOT(ISERROR(SEARCH("17",BM214)))</formula>
    </cfRule>
  </conditionalFormatting>
  <conditionalFormatting sqref="BM79:CJ82 CJ83:CJ84">
    <cfRule type="containsText" dxfId="262" priority="1015" operator="containsText" text="17">
      <formula>NOT(ISERROR(SEARCH("17",BM79)))</formula>
    </cfRule>
  </conditionalFormatting>
  <conditionalFormatting sqref="BN145:BN151">
    <cfRule type="containsText" dxfId="261" priority="268" operator="containsText" text="T">
      <formula>NOT(ISERROR(SEARCH("T",BN145)))</formula>
    </cfRule>
  </conditionalFormatting>
  <conditionalFormatting sqref="BN152:BN158 BR152:BT158">
    <cfRule type="containsText" dxfId="260" priority="256" operator="containsText" text="T">
      <formula>NOT(ISERROR(SEARCH("T",BN152)))</formula>
    </cfRule>
  </conditionalFormatting>
  <conditionalFormatting sqref="BN168:BN174">
    <cfRule type="containsText" dxfId="259" priority="187" operator="containsText" text="T">
      <formula>NOT(ISERROR(SEARCH("T",BN168)))</formula>
    </cfRule>
    <cfRule type="containsText" dxfId="258" priority="186" operator="containsText" text="17">
      <formula>NOT(ISERROR(SEARCH("17",BN168)))</formula>
    </cfRule>
  </conditionalFormatting>
  <conditionalFormatting sqref="BN221:BN227">
    <cfRule type="containsText" dxfId="257" priority="49" operator="containsText" text="T">
      <formula>NOT(ISERROR(SEARCH("T",BN221)))</formula>
    </cfRule>
  </conditionalFormatting>
  <conditionalFormatting sqref="BN152:BO158 BR152:BT158">
    <cfRule type="containsText" dxfId="256" priority="257" operator="containsText" text="17">
      <formula>NOT(ISERROR(SEARCH("17",BN152)))</formula>
    </cfRule>
  </conditionalFormatting>
  <conditionalFormatting sqref="BN67:BP68 BJ67:BK68">
    <cfRule type="containsText" dxfId="255" priority="307" operator="containsText" text="17">
      <formula>NOT(ISERROR(SEARCH("17",BJ67)))</formula>
    </cfRule>
  </conditionalFormatting>
  <conditionalFormatting sqref="BN67:BP68">
    <cfRule type="containsText" dxfId="254" priority="306" operator="containsText" text="T">
      <formula>NOT(ISERROR(SEARCH("T",BN67)))</formula>
    </cfRule>
  </conditionalFormatting>
  <conditionalFormatting sqref="BN175:BT181">
    <cfRule type="containsText" dxfId="253" priority="165" operator="containsText" text="T">
      <formula>NOT(ISERROR(SEARCH("T",BN175)))</formula>
    </cfRule>
    <cfRule type="containsText" dxfId="252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51" priority="918" operator="containsText" text="T">
      <formula>NOT(ISERROR(SEARCH("T",BM192)))</formula>
    </cfRule>
  </conditionalFormatting>
  <conditionalFormatting sqref="BN221:CH227 CK221:CK227">
    <cfRule type="containsText" dxfId="250" priority="46" operator="containsText" text="T">
      <formula>NOT(ISERROR(SEARCH("T",BN221)))</formula>
    </cfRule>
  </conditionalFormatting>
  <conditionalFormatting sqref="BN221:CH227">
    <cfRule type="containsText" dxfId="249" priority="48" operator="containsText" text="17">
      <formula>NOT(ISERROR(SEARCH("17",BN221)))</formula>
    </cfRule>
  </conditionalFormatting>
  <conditionalFormatting sqref="BN107:CJ109">
    <cfRule type="containsText" dxfId="248" priority="993" operator="containsText" text="17">
      <formula>NOT(ISERROR(SEARCH("17",BN107)))</formula>
    </cfRule>
  </conditionalFormatting>
  <conditionalFormatting sqref="BN111:CJ112 BM113:BP115">
    <cfRule type="containsText" dxfId="247" priority="987" operator="containsText" text="17">
      <formula>NOT(ISERROR(SEARCH("17",BM111)))</formula>
    </cfRule>
  </conditionalFormatting>
  <conditionalFormatting sqref="BO152:BO158">
    <cfRule type="containsText" dxfId="246" priority="258" operator="containsText" text="T">
      <formula>NOT(ISERROR(SEARCH("T",BO152)))</formula>
    </cfRule>
  </conditionalFormatting>
  <conditionalFormatting sqref="BO159:BO165 BS159:BU165">
    <cfRule type="containsText" dxfId="245" priority="246" operator="containsText" text="T">
      <formula>NOT(ISERROR(SEARCH("T",BO159)))</formula>
    </cfRule>
  </conditionalFormatting>
  <conditionalFormatting sqref="BO175:BO181">
    <cfRule type="containsText" dxfId="244" priority="163" operator="containsText" text="T">
      <formula>NOT(ISERROR(SEARCH("T",BO175)))</formula>
    </cfRule>
    <cfRule type="containsText" dxfId="243" priority="162" operator="containsText" text="17">
      <formula>NOT(ISERROR(SEARCH("17",BO175)))</formula>
    </cfRule>
  </conditionalFormatting>
  <conditionalFormatting sqref="BO228:BO234">
    <cfRule type="containsText" dxfId="242" priority="44" operator="containsText" text="T">
      <formula>NOT(ISERROR(SEARCH("T",BO228)))</formula>
    </cfRule>
  </conditionalFormatting>
  <conditionalFormatting sqref="BO118:BP119">
    <cfRule type="containsText" dxfId="241" priority="982" operator="containsText" text="17">
      <formula>NOT(ISERROR(SEARCH("17",BO118)))</formula>
    </cfRule>
  </conditionalFormatting>
  <conditionalFormatting sqref="BO159:BP165 BS159:BU165">
    <cfRule type="containsText" dxfId="240" priority="247" operator="containsText" text="17">
      <formula>NOT(ISERROR(SEARCH("17",BO159)))</formula>
    </cfRule>
  </conditionalFormatting>
  <conditionalFormatting sqref="BO182:BU188">
    <cfRule type="containsText" dxfId="239" priority="140" operator="containsText" text="17">
      <formula>NOT(ISERROR(SEARCH("17",BO182)))</formula>
    </cfRule>
    <cfRule type="containsText" dxfId="238" priority="141" operator="containsText" text="T">
      <formula>NOT(ISERROR(SEARCH("T",BO182)))</formula>
    </cfRule>
  </conditionalFormatting>
  <conditionalFormatting sqref="BO228:CI234 CL228:CL234">
    <cfRule type="containsText" dxfId="237" priority="41" operator="containsText" text="T">
      <formula>NOT(ISERROR(SEARCH("T",BO228)))</formula>
    </cfRule>
  </conditionalFormatting>
  <conditionalFormatting sqref="BO228:CI234">
    <cfRule type="containsText" dxfId="236" priority="43" operator="containsText" text="17">
      <formula>NOT(ISERROR(SEARCH("17",BO228)))</formula>
    </cfRule>
  </conditionalFormatting>
  <conditionalFormatting sqref="BO73:CK75 BN76:CK77 CK78">
    <cfRule type="containsText" dxfId="235" priority="1021" operator="containsText" text="17">
      <formula>NOT(ISERROR(SEARCH("17",BN73)))</formula>
    </cfRule>
  </conditionalFormatting>
  <conditionalFormatting sqref="BO97:CP98 BK97:BL98">
    <cfRule type="containsText" dxfId="234" priority="297" operator="containsText" text="17">
      <formula>NOT(ISERROR(SEARCH("17",BK97)))</formula>
    </cfRule>
  </conditionalFormatting>
  <conditionalFormatting sqref="BO97:CP98">
    <cfRule type="containsText" dxfId="233" priority="296" operator="containsText" text="T">
      <formula>NOT(ISERROR(SEARCH("T",BO97)))</formula>
    </cfRule>
  </conditionalFormatting>
  <conditionalFormatting sqref="BP159:BP165">
    <cfRule type="containsText" dxfId="232" priority="248" operator="containsText" text="T">
      <formula>NOT(ISERROR(SEARCH("T",BP159)))</formula>
    </cfRule>
  </conditionalFormatting>
  <conditionalFormatting sqref="BP182:BP188">
    <cfRule type="containsText" dxfId="231" priority="139" operator="containsText" text="T">
      <formula>NOT(ISERROR(SEARCH("T",BP182)))</formula>
    </cfRule>
    <cfRule type="containsText" dxfId="230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229" priority="920" operator="containsText" text="T">
      <formula>NOT(ISERROR(SEARCH("T",BM192)))</formula>
    </cfRule>
  </conditionalFormatting>
  <conditionalFormatting sqref="BP200:BP213">
    <cfRule type="containsText" dxfId="228" priority="233" operator="containsText" text="T">
      <formula>NOT(ISERROR(SEARCH("T",BP200)))</formula>
    </cfRule>
  </conditionalFormatting>
  <conditionalFormatting sqref="BP207:BQ213">
    <cfRule type="containsText" dxfId="227" priority="237" operator="containsText" text="17">
      <formula>NOT(ISERROR(SEARCH("17",BP207)))</formula>
    </cfRule>
  </conditionalFormatting>
  <conditionalFormatting sqref="BP194:BT194 BM195:BS195 BO196:BT198">
    <cfRule type="containsText" dxfId="226" priority="919" operator="containsText" text="17">
      <formula>NOT(ISERROR(SEARCH("17",BM194)))</formula>
    </cfRule>
  </conditionalFormatting>
  <conditionalFormatting sqref="BP14:BV14">
    <cfRule type="containsText" dxfId="225" priority="131" operator="containsText" text="17">
      <formula>NOT(ISERROR(SEARCH("17",BP14)))</formula>
    </cfRule>
    <cfRule type="containsText" dxfId="224" priority="132" operator="containsText" text="T">
      <formula>NOT(ISERROR(SEARCH("T",BP14)))</formula>
    </cfRule>
  </conditionalFormatting>
  <conditionalFormatting sqref="BP189:BV190">
    <cfRule type="containsText" dxfId="223" priority="924" operator="containsText" text="T">
      <formula>NOT(ISERROR(SEARCH("T",BP189)))</formula>
    </cfRule>
  </conditionalFormatting>
  <conditionalFormatting sqref="BP120:BZ126">
    <cfRule type="containsText" dxfId="222" priority="21" operator="containsText" text="17">
      <formula>NOT(ISERROR(SEARCH("17",BP120)))</formula>
    </cfRule>
  </conditionalFormatting>
  <conditionalFormatting sqref="BP80:CB82">
    <cfRule type="containsText" dxfId="221" priority="1016" operator="containsText" text="17">
      <formula>NOT(ISERROR(SEARCH("17",BP80)))</formula>
    </cfRule>
  </conditionalFormatting>
  <conditionalFormatting sqref="BP106:CB109">
    <cfRule type="containsText" dxfId="220" priority="994" operator="containsText" text="17">
      <formula>NOT(ISERROR(SEARCH("17",BP106)))</formula>
    </cfRule>
  </conditionalFormatting>
  <conditionalFormatting sqref="BP112:CB112">
    <cfRule type="containsText" dxfId="219" priority="988" operator="containsText" text="17">
      <formula>NOT(ISERROR(SEARCH("17",BP112)))</formula>
    </cfRule>
  </conditionalFormatting>
  <conditionalFormatting sqref="BP120:CM126">
    <cfRule type="containsText" dxfId="218" priority="30" operator="containsText" text="T">
      <formula>NOT(ISERROR(SEARCH("T",BP120)))</formula>
    </cfRule>
    <cfRule type="containsText" dxfId="217" priority="32" operator="containsText" text="17">
      <formula>NOT(ISERROR(SEARCH("17",BP120)))</formula>
    </cfRule>
  </conditionalFormatting>
  <conditionalFormatting sqref="BP120:CP126">
    <cfRule type="containsText" dxfId="216" priority="40" operator="containsText" text="17">
      <formula>NOT(ISERROR(SEARCH("17",BP120)))</formula>
    </cfRule>
    <cfRule type="containsText" dxfId="215" priority="33" operator="containsText" text="T">
      <formula>NOT(ISERROR(SEARCH("T",BP120)))</formula>
    </cfRule>
  </conditionalFormatting>
  <conditionalFormatting sqref="BQ14">
    <cfRule type="containsText" dxfId="214" priority="127" operator="containsText" text="17">
      <formula>NOT(ISERROR(SEARCH("17",BQ14)))</formula>
    </cfRule>
    <cfRule type="containsText" dxfId="213" priority="128" operator="containsText" text="T">
      <formula>NOT(ISERROR(SEARCH("T",BQ14)))</formula>
    </cfRule>
  </conditionalFormatting>
  <conditionalFormatting sqref="BQ192:BQ206">
    <cfRule type="containsText" dxfId="212" priority="216" operator="containsText" text="T">
      <formula>NOT(ISERROR(SEARCH("T",BQ192)))</formula>
    </cfRule>
  </conditionalFormatting>
  <conditionalFormatting sqref="BQ207:BQ213">
    <cfRule type="containsText" dxfId="211" priority="238" operator="containsText" text="T">
      <formula>NOT(ISERROR(SEARCH("T",BQ207)))</formula>
    </cfRule>
  </conditionalFormatting>
  <conditionalFormatting sqref="BQ200:BR206">
    <cfRule type="containsText" dxfId="210" priority="225" operator="containsText" text="17">
      <formula>NOT(ISERROR(SEARCH("17",BQ200)))</formula>
    </cfRule>
  </conditionalFormatting>
  <conditionalFormatting sqref="BQ34:BW34">
    <cfRule type="containsText" dxfId="209" priority="120" operator="containsText" text="T">
      <formula>NOT(ISERROR(SEARCH("T",BQ34)))</formula>
    </cfRule>
    <cfRule type="containsText" dxfId="208" priority="119" operator="containsText" text="17">
      <formula>NOT(ISERROR(SEARCH("17",BQ34)))</formula>
    </cfRule>
  </conditionalFormatting>
  <conditionalFormatting sqref="BQ113:CA119">
    <cfRule type="containsText" dxfId="207" priority="1" operator="containsText" text="17">
      <formula>NOT(ISERROR(SEARCH("17",BQ113)))</formula>
    </cfRule>
  </conditionalFormatting>
  <conditionalFormatting sqref="BQ100:CB102 BP103:CB103">
    <cfRule type="containsText" dxfId="206" priority="999" operator="containsText" text="17">
      <formula>NOT(ISERROR(SEARCH("17",BP100)))</formula>
    </cfRule>
  </conditionalFormatting>
  <conditionalFormatting sqref="BQ113:CN119">
    <cfRule type="containsText" dxfId="205" priority="12" operator="containsText" text="17">
      <formula>NOT(ISERROR(SEARCH("17",BQ113)))</formula>
    </cfRule>
    <cfRule type="containsText" dxfId="204" priority="10" operator="containsText" text="T">
      <formula>NOT(ISERROR(SEARCH("T",BQ113)))</formula>
    </cfRule>
  </conditionalFormatting>
  <conditionalFormatting sqref="BQ113:CP119">
    <cfRule type="containsText" dxfId="203" priority="13" operator="containsText" text="T">
      <formula>NOT(ISERROR(SEARCH("T",BQ113)))</formula>
    </cfRule>
    <cfRule type="containsText" dxfId="202" priority="20" operator="containsText" text="17">
      <formula>NOT(ISERROR(SEARCH("17",BQ113)))</formula>
    </cfRule>
  </conditionalFormatting>
  <conditionalFormatting sqref="BR34">
    <cfRule type="containsText" dxfId="201" priority="115" operator="containsText" text="17">
      <formula>NOT(ISERROR(SEARCH("17",BR34)))</formula>
    </cfRule>
    <cfRule type="containsText" dxfId="200" priority="116" operator="containsText" text="T">
      <formula>NOT(ISERROR(SEARCH("T",BR34)))</formula>
    </cfRule>
  </conditionalFormatting>
  <conditionalFormatting sqref="BR192:BR199">
    <cfRule type="containsText" dxfId="199" priority="207" operator="containsText" text="T">
      <formula>NOT(ISERROR(SEARCH("T",BR192)))</formula>
    </cfRule>
  </conditionalFormatting>
  <conditionalFormatting sqref="BR200:BR206">
    <cfRule type="containsText" dxfId="198" priority="226" operator="containsText" text="T">
      <formula>NOT(ISERROR(SEARCH("T",BR200)))</formula>
    </cfRule>
  </conditionalFormatting>
  <conditionalFormatting sqref="BR50:BS50 BU50:BY50">
    <cfRule type="containsText" dxfId="197" priority="1034" operator="containsText" text="17">
      <formula>NOT(ISERROR(SEARCH("17",BR50)))</formula>
    </cfRule>
    <cfRule type="containsText" dxfId="196" priority="1035" operator="containsText" text="T">
      <formula>NOT(ISERROR(SEARCH("T",BR50)))</formula>
    </cfRule>
  </conditionalFormatting>
  <conditionalFormatting sqref="BR192:BS199">
    <cfRule type="containsText" dxfId="195" priority="208" operator="containsText" text="17">
      <formula>NOT(ISERROR(SEARCH("17",BR192)))</formula>
    </cfRule>
  </conditionalFormatting>
  <conditionalFormatting sqref="BR21:BX21">
    <cfRule type="containsText" dxfId="194" priority="108" operator="containsText" text="T">
      <formula>NOT(ISERROR(SEARCH("T",BR21)))</formula>
    </cfRule>
    <cfRule type="containsText" dxfId="193" priority="107" operator="containsText" text="17">
      <formula>NOT(ISERROR(SEARCH("17",BR21)))</formula>
    </cfRule>
  </conditionalFormatting>
  <conditionalFormatting sqref="BR68:CD71 BQ74:CC77">
    <cfRule type="containsText" dxfId="192" priority="1022" operator="containsText" text="17">
      <formula>NOT(ISERROR(SEARCH("17",BQ68)))</formula>
    </cfRule>
  </conditionalFormatting>
  <conditionalFormatting sqref="BS21">
    <cfRule type="containsText" dxfId="191" priority="104" operator="containsText" text="T">
      <formula>NOT(ISERROR(SEARCH("T",BS21)))</formula>
    </cfRule>
    <cfRule type="containsText" dxfId="190" priority="103" operator="containsText" text="17">
      <formula>NOT(ISERROR(SEARCH("17",BS21)))</formula>
    </cfRule>
  </conditionalFormatting>
  <conditionalFormatting sqref="BS127 BC199 BB206">
    <cfRule type="containsText" dxfId="189" priority="2146" operator="containsText" text="T">
      <formula>NOT(ISERROR(SEARCH("T",BB127)))</formula>
    </cfRule>
  </conditionalFormatting>
  <conditionalFormatting sqref="BS127 BC199:BR199 BB206:BQ206">
    <cfRule type="containsText" dxfId="188" priority="5051" operator="containsText" text="T">
      <formula>NOT(ISERROR(SEARCH("T",BB127)))</formula>
    </cfRule>
  </conditionalFormatting>
  <conditionalFormatting sqref="BS168:BS181">
    <cfRule type="containsText" dxfId="187" priority="168" operator="containsText" text="T">
      <formula>NOT(ISERROR(SEARCH("T",BS168)))</formula>
    </cfRule>
  </conditionalFormatting>
  <conditionalFormatting sqref="BS192:BS199">
    <cfRule type="containsText" dxfId="186" priority="209" operator="containsText" text="T">
      <formula>NOT(ISERROR(SEARCH("T",BS192)))</formula>
    </cfRule>
  </conditionalFormatting>
  <conditionalFormatting sqref="BS168:BT174">
    <cfRule type="containsText" dxfId="185" priority="184" operator="containsText" text="17">
      <formula>NOT(ISERROR(SEARCH("17",BS168)))</formula>
    </cfRule>
  </conditionalFormatting>
  <conditionalFormatting sqref="BS199:BT199 BR206:BS206">
    <cfRule type="containsText" dxfId="184" priority="2150" operator="containsText" text="T">
      <formula>NOT(ISERROR(SEARCH("T",BR199)))</formula>
    </cfRule>
    <cfRule type="containsText" dxfId="183" priority="2149" operator="containsText" text="17">
      <formula>NOT(ISERROR(SEARCH("17",BR199)))</formula>
    </cfRule>
  </conditionalFormatting>
  <conditionalFormatting sqref="BS41:BY41">
    <cfRule type="containsText" dxfId="182" priority="96" operator="containsText" text="T">
      <formula>NOT(ISERROR(SEARCH("T",BS41)))</formula>
    </cfRule>
    <cfRule type="containsText" dxfId="181" priority="95" operator="containsText" text="17">
      <formula>NOT(ISERROR(SEARCH("17",BS41)))</formula>
    </cfRule>
  </conditionalFormatting>
  <conditionalFormatting sqref="BT41">
    <cfRule type="containsText" dxfId="180" priority="92" operator="containsText" text="T">
      <formula>NOT(ISERROR(SEARCH("T",BT41)))</formula>
    </cfRule>
    <cfRule type="containsText" dxfId="179" priority="91" operator="containsText" text="17">
      <formula>NOT(ISERROR(SEARCH("17",BT41)))</formula>
    </cfRule>
  </conditionalFormatting>
  <conditionalFormatting sqref="BT50:BT52 BZ50:BZ52 BU51:BY52">
    <cfRule type="containsText" dxfId="178" priority="8559" operator="containsText" text="17">
      <formula>NOT(ISERROR(SEARCH("17",BT50)))</formula>
    </cfRule>
    <cfRule type="containsText" dxfId="177" priority="8560" operator="containsText" text="T">
      <formula>NOT(ISERROR(SEARCH("T",BT50)))</formula>
    </cfRule>
  </conditionalFormatting>
  <conditionalFormatting sqref="BT145:BT148">
    <cfRule type="containsText" dxfId="176" priority="1589" operator="containsText" text="17">
      <formula>NOT(ISERROR(SEARCH("17",BT145)))</formula>
    </cfRule>
    <cfRule type="containsText" dxfId="175" priority="8534" operator="containsText" text="T">
      <formula>NOT(ISERROR(SEARCH("T",BT145)))</formula>
    </cfRule>
    <cfRule type="containsText" dxfId="174" priority="1590" operator="containsText" text="T">
      <formula>NOT(ISERROR(SEARCH("T",BT145)))</formula>
    </cfRule>
  </conditionalFormatting>
  <conditionalFormatting sqref="BT168:BT174">
    <cfRule type="containsText" dxfId="173" priority="185" operator="containsText" text="T">
      <formula>NOT(ISERROR(SEARCH("T",BT168)))</formula>
    </cfRule>
  </conditionalFormatting>
  <conditionalFormatting sqref="BT175:BT188">
    <cfRule type="containsText" dxfId="172" priority="144" operator="containsText" text="T">
      <formula>NOT(ISERROR(SEARCH("T",BT175)))</formula>
    </cfRule>
  </conditionalFormatting>
  <conditionalFormatting sqref="BT175:BU181">
    <cfRule type="containsText" dxfId="171" priority="160" operator="containsText" text="17">
      <formula>NOT(ISERROR(SEARCH("17",BT175)))</formula>
    </cfRule>
  </conditionalFormatting>
  <conditionalFormatting sqref="BT139:CQ144">
    <cfRule type="containsText" dxfId="170" priority="968" operator="containsText" text="T">
      <formula>NOT(ISERROR(SEARCH("T",BT139)))</formula>
    </cfRule>
    <cfRule type="containsText" dxfId="169" priority="965" operator="containsText" text="17">
      <formula>NOT(ISERROR(SEARCH("17",BT139)))</formula>
    </cfRule>
  </conditionalFormatting>
  <conditionalFormatting sqref="BU175:BU181">
    <cfRule type="containsText" dxfId="168" priority="161" operator="containsText" text="T">
      <formula>NOT(ISERROR(SEARCH("T",BU175)))</formula>
    </cfRule>
  </conditionalFormatting>
  <conditionalFormatting sqref="BU182:BU188">
    <cfRule type="containsText" dxfId="167" priority="135" operator="containsText" text="T">
      <formula>NOT(ISERROR(SEARCH("T",BU182)))</formula>
    </cfRule>
  </conditionalFormatting>
  <conditionalFormatting sqref="BU200:BU202 AX210:AX211">
    <cfRule type="containsText" dxfId="166" priority="8520" operator="containsText" text="T">
      <formula>NOT(ISERROR(SEARCH("T",AX200)))</formula>
    </cfRule>
  </conditionalFormatting>
  <conditionalFormatting sqref="BU200:BU202 AY190 AX191:BH191 BK191 BO191:BS191">
    <cfRule type="containsText" dxfId="165" priority="8513" operator="containsText" text="17">
      <formula>NOT(ISERROR(SEARCH("17",AX190)))</formula>
    </cfRule>
  </conditionalFormatting>
  <conditionalFormatting sqref="BU182:BV188">
    <cfRule type="containsText" dxfId="164" priority="136" operator="containsText" text="17">
      <formula>NOT(ISERROR(SEARCH("17",BU182)))</formula>
    </cfRule>
  </conditionalFormatting>
  <conditionalFormatting sqref="BU200:BW206">
    <cfRule type="containsText" dxfId="163" priority="231" operator="containsText" text="17">
      <formula>NOT(ISERROR(SEARCH("17",BU200)))</formula>
    </cfRule>
  </conditionalFormatting>
  <conditionalFormatting sqref="BU153:CQ158">
    <cfRule type="containsText" dxfId="162" priority="952" operator="containsText" text="17">
      <formula>NOT(ISERROR(SEARCH("17",BU153)))</formula>
    </cfRule>
    <cfRule type="containsText" dxfId="161" priority="955" operator="containsText" text="T">
      <formula>NOT(ISERROR(SEARCH("T",BU153)))</formula>
    </cfRule>
  </conditionalFormatting>
  <conditionalFormatting sqref="BU146:CR151 BV160:CQ165">
    <cfRule type="containsText" dxfId="160" priority="8367" operator="containsText" text="17">
      <formula>NOT(ISERROR(SEARCH("17",BU146)))</formula>
    </cfRule>
  </conditionalFormatting>
  <conditionalFormatting sqref="BU146:CR151">
    <cfRule type="containsText" dxfId="159" priority="964" operator="containsText" text="T">
      <formula>NOT(ISERROR(SEARCH("T",BU146)))</formula>
    </cfRule>
  </conditionalFormatting>
  <conditionalFormatting sqref="BV14 BZ14:CB14 BE15:BY20 CB15:CB20">
    <cfRule type="containsText" dxfId="158" priority="124" operator="containsText" text="T">
      <formula>NOT(ISERROR(SEARCH("T",BE14)))</formula>
    </cfRule>
  </conditionalFormatting>
  <conditionalFormatting sqref="BV182:BV188">
    <cfRule type="containsText" dxfId="157" priority="137" operator="containsText" text="T">
      <formula>NOT(ISERROR(SEARCH("T",BV182)))</formula>
    </cfRule>
  </conditionalFormatting>
  <conditionalFormatting sqref="BV192:BV199">
    <cfRule type="containsText" dxfId="156" priority="221" operator="containsText" text="17">
      <formula>NOT(ISERROR(SEARCH("17",BV192)))</formula>
    </cfRule>
    <cfRule type="containsText" dxfId="155" priority="217" operator="containsText" text="17">
      <formula>NOT(ISERROR(SEARCH("17",BV192)))</formula>
    </cfRule>
    <cfRule type="containsText" dxfId="154" priority="220" operator="containsText" text="T">
      <formula>NOT(ISERROR(SEARCH("T",BV192)))</formula>
    </cfRule>
    <cfRule type="containsText" dxfId="153" priority="219" operator="containsText" text="17">
      <formula>NOT(ISERROR(SEARCH("17",BV192)))</formula>
    </cfRule>
    <cfRule type="containsText" dxfId="152" priority="218" operator="containsText" text="T">
      <formula>NOT(ISERROR(SEARCH("T",BV192)))</formula>
    </cfRule>
  </conditionalFormatting>
  <conditionalFormatting sqref="BV199 BU206">
    <cfRule type="containsText" dxfId="151" priority="2148" operator="containsText" text="T">
      <formula>NOT(ISERROR(SEARCH("T",BU199)))</formula>
    </cfRule>
    <cfRule type="containsText" dxfId="150" priority="2147" operator="containsText" text="17">
      <formula>NOT(ISERROR(SEARCH("17",BU199)))</formula>
    </cfRule>
  </conditionalFormatting>
  <conditionalFormatting sqref="BV14:BW14 BZ14:CB14 CB15:CB20">
    <cfRule type="containsText" dxfId="149" priority="125" operator="containsText" text="17">
      <formula>NOT(ISERROR(SEARCH("17",BV14)))</formula>
    </cfRule>
  </conditionalFormatting>
  <conditionalFormatting sqref="BV192:BX199">
    <cfRule type="containsText" dxfId="148" priority="214" operator="containsText" text="17">
      <formula>NOT(ISERROR(SEARCH("17",BV192)))</formula>
    </cfRule>
    <cfRule type="containsText" dxfId="147" priority="215" operator="containsText" text="T">
      <formula>NOT(ISERROR(SEARCH("T",BV192)))</formula>
    </cfRule>
  </conditionalFormatting>
  <conditionalFormatting sqref="BV133:CH137">
    <cfRule type="containsText" dxfId="146" priority="971" operator="containsText" text="17">
      <formula>NOT(ISERROR(SEARCH("17",BV133)))</formula>
    </cfRule>
  </conditionalFormatting>
  <conditionalFormatting sqref="BV160:CQ165">
    <cfRule type="containsText" dxfId="145" priority="951" operator="containsText" text="T">
      <formula>NOT(ISERROR(SEARCH("T",BV160)))</formula>
    </cfRule>
  </conditionalFormatting>
  <conditionalFormatting sqref="BW14">
    <cfRule type="containsText" dxfId="144" priority="126" operator="containsText" text="T">
      <formula>NOT(ISERROR(SEARCH("T",BW14)))</formula>
    </cfRule>
  </conditionalFormatting>
  <conditionalFormatting sqref="BW34 CA34:CC34 BF35:BZ40 CC35:CC40">
    <cfRule type="containsText" dxfId="143" priority="112" operator="containsText" text="T">
      <formula>NOT(ISERROR(SEARCH("T",BF34)))</formula>
    </cfRule>
  </conditionalFormatting>
  <conditionalFormatting sqref="BW168:BW174">
    <cfRule type="containsText" dxfId="142" priority="204" operator="containsText" text="T">
      <formula>NOT(ISERROR(SEARCH("T",BW168)))</formula>
    </cfRule>
    <cfRule type="containsText" dxfId="141" priority="203" operator="containsText" text="17">
      <formula>NOT(ISERROR(SEARCH("17",BW168)))</formula>
    </cfRule>
    <cfRule type="containsText" dxfId="140" priority="199" operator="containsText" text="17">
      <formula>NOT(ISERROR(SEARCH("17",BW168)))</formula>
    </cfRule>
    <cfRule type="containsText" dxfId="139" priority="200" operator="containsText" text="T">
      <formula>NOT(ISERROR(SEARCH("T",BW168)))</formula>
    </cfRule>
    <cfRule type="containsText" dxfId="138" priority="201" operator="containsText" text="17">
      <formula>NOT(ISERROR(SEARCH("17",BW168)))</formula>
    </cfRule>
    <cfRule type="containsText" dxfId="137" priority="202" operator="containsText" text="T">
      <formula>NOT(ISERROR(SEARCH("T",BW168)))</formula>
    </cfRule>
  </conditionalFormatting>
  <conditionalFormatting sqref="BW34:BX34 CA34:CC34 CC35:CC40">
    <cfRule type="containsText" dxfId="136" priority="113" operator="containsText" text="17">
      <formula>NOT(ISERROR(SEARCH("17",BW34)))</formula>
    </cfRule>
  </conditionalFormatting>
  <conditionalFormatting sqref="BW168:BY174">
    <cfRule type="containsText" dxfId="135" priority="190" operator="containsText" text="17">
      <formula>NOT(ISERROR(SEARCH("17",BW168)))</formula>
    </cfRule>
  </conditionalFormatting>
  <conditionalFormatting sqref="BW160:CG165">
    <cfRule type="containsText" dxfId="134" priority="949" operator="containsText" text="17">
      <formula>NOT(ISERROR(SEARCH("17",BW160)))</formula>
    </cfRule>
  </conditionalFormatting>
  <conditionalFormatting sqref="BW140:CI144">
    <cfRule type="containsText" dxfId="133" priority="966" operator="containsText" text="17">
      <formula>NOT(ISERROR(SEARCH("17",BW140)))</formula>
    </cfRule>
  </conditionalFormatting>
  <conditionalFormatting sqref="BW154:CI158">
    <cfRule type="containsText" dxfId="132" priority="953" operator="containsText" text="17">
      <formula>NOT(ISERROR(SEARCH("17",BW154)))</formula>
    </cfRule>
  </conditionalFormatting>
  <conditionalFormatting sqref="BW161:CI165">
    <cfRule type="containsText" dxfId="131" priority="946" operator="containsText" text="17">
      <formula>NOT(ISERROR(SEARCH("17",BW161)))</formula>
    </cfRule>
  </conditionalFormatting>
  <conditionalFormatting sqref="BX21 CB21:CD21 BG22:CA27 CD22:CD27">
    <cfRule type="containsText" dxfId="130" priority="100" operator="containsText" text="T">
      <formula>NOT(ISERROR(SEARCH("T",BG21)))</formula>
    </cfRule>
  </conditionalFormatting>
  <conditionalFormatting sqref="BX34">
    <cfRule type="containsText" dxfId="129" priority="114" operator="containsText" text="T">
      <formula>NOT(ISERROR(SEARCH("T",BX34)))</formula>
    </cfRule>
  </conditionalFormatting>
  <conditionalFormatting sqref="BX175:BX181">
    <cfRule type="containsText" dxfId="128" priority="178" operator="containsText" text="T">
      <formula>NOT(ISERROR(SEARCH("T",BX175)))</formula>
    </cfRule>
    <cfRule type="containsText" dxfId="127" priority="176" operator="containsText" text="T">
      <formula>NOT(ISERROR(SEARCH("T",BX175)))</formula>
    </cfRule>
    <cfRule type="containsText" dxfId="126" priority="177" operator="containsText" text="17">
      <formula>NOT(ISERROR(SEARCH("17",BX175)))</formula>
    </cfRule>
    <cfRule type="containsText" dxfId="125" priority="175" operator="containsText" text="17">
      <formula>NOT(ISERROR(SEARCH("17",BX175)))</formula>
    </cfRule>
    <cfRule type="containsText" dxfId="124" priority="180" operator="containsText" text="T">
      <formula>NOT(ISERROR(SEARCH("T",BX175)))</formula>
    </cfRule>
    <cfRule type="containsText" dxfId="123" priority="179" operator="containsText" text="17">
      <formula>NOT(ISERROR(SEARCH("17",BX175)))</formula>
    </cfRule>
  </conditionalFormatting>
  <conditionalFormatting sqref="BX21:BY21 CB21:CD21 CD22:CD27">
    <cfRule type="containsText" dxfId="122" priority="101" operator="containsText" text="17">
      <formula>NOT(ISERROR(SEARCH("17",BX21)))</formula>
    </cfRule>
  </conditionalFormatting>
  <conditionalFormatting sqref="BX175:BZ181">
    <cfRule type="containsText" dxfId="121" priority="166" operator="containsText" text="17">
      <formula>NOT(ISERROR(SEARCH("17",BX175)))</formula>
    </cfRule>
  </conditionalFormatting>
  <conditionalFormatting sqref="BX146:CH151">
    <cfRule type="containsText" dxfId="120" priority="962" operator="containsText" text="17">
      <formula>NOT(ISERROR(SEARCH("17",BX146)))</formula>
    </cfRule>
  </conditionalFormatting>
  <conditionalFormatting sqref="BX147:CJ151">
    <cfRule type="containsText" dxfId="119" priority="959" operator="containsText" text="17">
      <formula>NOT(ISERROR(SEARCH("17",BX147)))</formula>
    </cfRule>
  </conditionalFormatting>
  <conditionalFormatting sqref="BY21">
    <cfRule type="containsText" dxfId="118" priority="102" operator="containsText" text="T">
      <formula>NOT(ISERROR(SEARCH("T",BY21)))</formula>
    </cfRule>
  </conditionalFormatting>
  <conditionalFormatting sqref="BY41 CC41:CE41 BH42:CB47 CE42:CE47">
    <cfRule type="containsText" dxfId="117" priority="88" operator="containsText" text="T">
      <formula>NOT(ISERROR(SEARCH("T",BH41)))</formula>
    </cfRule>
  </conditionalFormatting>
  <conditionalFormatting sqref="BY182:BY188">
    <cfRule type="containsText" dxfId="116" priority="156" operator="containsText" text="T">
      <formula>NOT(ISERROR(SEARCH("T",BY182)))</formula>
    </cfRule>
    <cfRule type="containsText" dxfId="115" priority="155" operator="containsText" text="17">
      <formula>NOT(ISERROR(SEARCH("17",BY182)))</formula>
    </cfRule>
    <cfRule type="containsText" dxfId="114" priority="154" operator="containsText" text="T">
      <formula>NOT(ISERROR(SEARCH("T",BY182)))</formula>
    </cfRule>
    <cfRule type="containsText" dxfId="113" priority="153" operator="containsText" text="17">
      <formula>NOT(ISERROR(SEARCH("17",BY182)))</formula>
    </cfRule>
    <cfRule type="containsText" dxfId="112" priority="152" operator="containsText" text="T">
      <formula>NOT(ISERROR(SEARCH("T",BY182)))</formula>
    </cfRule>
    <cfRule type="containsText" dxfId="111" priority="151" operator="containsText" text="17">
      <formula>NOT(ISERROR(SEARCH("17",BY182)))</formula>
    </cfRule>
  </conditionalFormatting>
  <conditionalFormatting sqref="BY41:BZ41 CC41:CE41 CE42:CE47">
    <cfRule type="containsText" dxfId="110" priority="89" operator="containsText" text="17">
      <formula>NOT(ISERROR(SEARCH("17",BY41)))</formula>
    </cfRule>
  </conditionalFormatting>
  <conditionalFormatting sqref="BY182:CA188">
    <cfRule type="containsText" dxfId="109" priority="142" operator="containsText" text="17">
      <formula>NOT(ISERROR(SEARCH("17",BY182)))</formula>
    </cfRule>
  </conditionalFormatting>
  <conditionalFormatting sqref="BZ41">
    <cfRule type="containsText" dxfId="108" priority="90" operator="containsText" text="T">
      <formula>NOT(ISERROR(SEARCH("T",BZ41)))</formula>
    </cfRule>
  </conditionalFormatting>
  <conditionalFormatting sqref="CA79:CB79 CC79:CI82">
    <cfRule type="containsText" dxfId="107" priority="1018" operator="containsText" text="T">
      <formula>NOT(ISERROR(SEARCH("T",CA79)))</formula>
    </cfRule>
  </conditionalFormatting>
  <conditionalFormatting sqref="CA79:CB79">
    <cfRule type="containsText" dxfId="106" priority="1017" operator="containsText" text="17">
      <formula>NOT(ISERROR(SEARCH("17",CA79)))</formula>
    </cfRule>
  </conditionalFormatting>
  <conditionalFormatting sqref="CA99:CB99 CC99:CI103">
    <cfRule type="containsText" dxfId="105" priority="1001" operator="containsText" text="T">
      <formula>NOT(ISERROR(SEARCH("T",CA99)))</formula>
    </cfRule>
    <cfRule type="containsText" dxfId="104" priority="1000" operator="containsText" text="17">
      <formula>NOT(ISERROR(SEARCH("17",CA99)))</formula>
    </cfRule>
  </conditionalFormatting>
  <conditionalFormatting sqref="CA111:CB111 CC111:CI112">
    <cfRule type="containsText" dxfId="103" priority="990" operator="containsText" text="T">
      <formula>NOT(ISERROR(SEARCH("T",CA111)))</formula>
    </cfRule>
  </conditionalFormatting>
  <conditionalFormatting sqref="CA111:CB111">
    <cfRule type="containsText" dxfId="102" priority="989" operator="containsText" text="17">
      <formula>NOT(ISERROR(SEARCH("17",CA111)))</formula>
    </cfRule>
  </conditionalFormatting>
  <conditionalFormatting sqref="CA120:CG126">
    <cfRule type="containsText" dxfId="101" priority="27" operator="containsText" text="17">
      <formula>NOT(ISERROR(SEARCH("17",CA120)))</formula>
    </cfRule>
    <cfRule type="containsText" dxfId="100" priority="28" operator="containsText" text="T">
      <formula>NOT(ISERROR(SEARCH("T",CA120)))</formula>
    </cfRule>
  </conditionalFormatting>
  <conditionalFormatting sqref="CB15:CB20">
    <cfRule type="containsText" dxfId="99" priority="133" operator="containsText" text="T">
      <formula>NOT(ISERROR(SEARCH("T",CB15)))</formula>
    </cfRule>
  </conditionalFormatting>
  <conditionalFormatting sqref="CB120:CB126">
    <cfRule type="containsText" dxfId="98" priority="25" operator="containsText" text="17">
      <formula>NOT(ISERROR(SEARCH("17",CB120)))</formula>
    </cfRule>
    <cfRule type="containsText" dxfId="97" priority="26" operator="containsText" text="T">
      <formula>NOT(ISERROR(SEARCH("T",CB120)))</formula>
    </cfRule>
  </conditionalFormatting>
  <conditionalFormatting sqref="CB113:CH119">
    <cfRule type="containsText" dxfId="96" priority="8" operator="containsText" text="T">
      <formula>NOT(ISERROR(SEARCH("T",CB113)))</formula>
    </cfRule>
    <cfRule type="containsText" dxfId="95" priority="7" operator="containsText" text="17">
      <formula>NOT(ISERROR(SEARCH("17",CB113)))</formula>
    </cfRule>
  </conditionalFormatting>
  <conditionalFormatting sqref="CC35:CC40">
    <cfRule type="containsText" dxfId="94" priority="121" operator="containsText" text="T">
      <formula>NOT(ISERROR(SEARCH("T",CC35)))</formula>
    </cfRule>
  </conditionalFormatting>
  <conditionalFormatting sqref="CC113:CC119">
    <cfRule type="containsText" dxfId="93" priority="5" operator="containsText" text="17">
      <formula>NOT(ISERROR(SEARCH("17",CC113)))</formula>
    </cfRule>
    <cfRule type="containsText" dxfId="92" priority="6" operator="containsText" text="T">
      <formula>NOT(ISERROR(SEARCH("T",CC113)))</formula>
    </cfRule>
  </conditionalFormatting>
  <conditionalFormatting sqref="CC67:CD67 CE67:CK71 CB73:CC73 CD73:CJ77">
    <cfRule type="containsText" dxfId="91" priority="1024" operator="containsText" text="T">
      <formula>NOT(ISERROR(SEARCH("T",CB67)))</formula>
    </cfRule>
  </conditionalFormatting>
  <conditionalFormatting sqref="CC67:CD67 CE67:CK71 CB73:CC73">
    <cfRule type="containsText" dxfId="90" priority="1023" operator="containsText" text="17">
      <formula>NOT(ISERROR(SEARCH("17",CB67)))</formula>
    </cfRule>
  </conditionalFormatting>
  <conditionalFormatting sqref="CC105:CI109 BQ105:CP105">
    <cfRule type="containsText" dxfId="89" priority="996" operator="containsText" text="T">
      <formula>NOT(ISERROR(SEARCH("T",BQ105)))</formula>
    </cfRule>
  </conditionalFormatting>
  <conditionalFormatting sqref="CD22:CD27">
    <cfRule type="containsText" dxfId="88" priority="109" operator="containsText" text="T">
      <formula>NOT(ISERROR(SEARCH("T",CD22)))</formula>
    </cfRule>
  </conditionalFormatting>
  <conditionalFormatting sqref="CE42:CE47">
    <cfRule type="containsText" dxfId="87" priority="97" operator="containsText" text="T">
      <formula>NOT(ISERROR(SEARCH("T",CE42)))</formula>
    </cfRule>
  </conditionalFormatting>
  <conditionalFormatting sqref="CF28:CF32">
    <cfRule type="containsText" dxfId="86" priority="77" operator="containsText" text="17">
      <formula>NOT(ISERROR(SEARCH("17",CF28)))</formula>
    </cfRule>
  </conditionalFormatting>
  <conditionalFormatting sqref="CF48:CF49">
    <cfRule type="containsText" dxfId="85" priority="72" operator="containsText" text="17">
      <formula>NOT(ISERROR(SEARCH("17",CF48)))</formula>
    </cfRule>
  </conditionalFormatting>
  <conditionalFormatting sqref="CF28:CP32">
    <cfRule type="containsText" dxfId="84" priority="80" operator="containsText" text="T">
      <formula>NOT(ISERROR(SEARCH("T",CF28)))</formula>
    </cfRule>
  </conditionalFormatting>
  <conditionalFormatting sqref="CF41:CP49">
    <cfRule type="containsText" dxfId="83" priority="75" operator="containsText" text="T">
      <formula>NOT(ISERROR(SEARCH("T",CF41)))</formula>
    </cfRule>
  </conditionalFormatting>
  <conditionalFormatting sqref="CG60:CG66">
    <cfRule type="containsText" dxfId="82" priority="67" operator="containsText" text="17">
      <formula>NOT(ISERROR(SEARCH("17",CG60)))</formula>
    </cfRule>
  </conditionalFormatting>
  <conditionalFormatting sqref="CG113:CG126">
    <cfRule type="containsText" dxfId="81" priority="11" operator="containsText" text="T">
      <formula>NOT(ISERROR(SEARCH("T",CG113)))</formula>
    </cfRule>
  </conditionalFormatting>
  <conditionalFormatting sqref="CG120:CH126">
    <cfRule type="containsText" dxfId="80" priority="23" operator="containsText" text="17">
      <formula>NOT(ISERROR(SEARCH("17",CG120)))</formula>
    </cfRule>
  </conditionalFormatting>
  <conditionalFormatting sqref="CG132:CH132 CI132:CO137">
    <cfRule type="containsText" dxfId="79" priority="972" operator="containsText" text="17">
      <formula>NOT(ISERROR(SEARCH("17",CG132)))</formula>
    </cfRule>
    <cfRule type="containsText" dxfId="78" priority="973" operator="containsText" text="T">
      <formula>NOT(ISERROR(SEARCH("T",CG132)))</formula>
    </cfRule>
  </conditionalFormatting>
  <conditionalFormatting sqref="CG60:CP66">
    <cfRule type="containsText" dxfId="77" priority="70" operator="containsText" text="T">
      <formula>NOT(ISERROR(SEARCH("T",CG60)))</formula>
    </cfRule>
  </conditionalFormatting>
  <conditionalFormatting sqref="CH90:CH96">
    <cfRule type="containsText" dxfId="76" priority="62" operator="containsText" text="17">
      <formula>NOT(ISERROR(SEARCH("17",CH90)))</formula>
    </cfRule>
  </conditionalFormatting>
  <conditionalFormatting sqref="CH113:CH119">
    <cfRule type="containsText" dxfId="75" priority="2" operator="containsText" text="T">
      <formula>NOT(ISERROR(SEARCH("T",CH113)))</formula>
    </cfRule>
  </conditionalFormatting>
  <conditionalFormatting sqref="CH120:CH126">
    <cfRule type="containsText" dxfId="74" priority="24" operator="containsText" text="T">
      <formula>NOT(ISERROR(SEARCH("T",CH120)))</formula>
    </cfRule>
  </conditionalFormatting>
  <conditionalFormatting sqref="CH113:CI119">
    <cfRule type="containsText" dxfId="73" priority="3" operator="containsText" text="17">
      <formula>NOT(ISERROR(SEARCH("17",CH113)))</formula>
    </cfRule>
  </conditionalFormatting>
  <conditionalFormatting sqref="CH139:CI139">
    <cfRule type="containsText" dxfId="72" priority="967" operator="containsText" text="17">
      <formula>NOT(ISERROR(SEARCH("17",CH139)))</formula>
    </cfRule>
  </conditionalFormatting>
  <conditionalFormatting sqref="CH153:CI153">
    <cfRule type="containsText" dxfId="71" priority="954" operator="containsText" text="17">
      <formula>NOT(ISERROR(SEARCH("17",CH153)))</formula>
    </cfRule>
  </conditionalFormatting>
  <conditionalFormatting sqref="CH160:CI160 CJ160:CP165">
    <cfRule type="containsText" dxfId="70" priority="947" operator="containsText" text="17">
      <formula>NOT(ISERROR(SEARCH("17",CH160)))</formula>
    </cfRule>
  </conditionalFormatting>
  <conditionalFormatting sqref="CH160:CI160 CK160:CO165">
    <cfRule type="containsText" dxfId="69" priority="948" operator="containsText" text="T">
      <formula>NOT(ISERROR(SEARCH("T",CH160)))</formula>
    </cfRule>
  </conditionalFormatting>
  <conditionalFormatting sqref="CH90:CP96">
    <cfRule type="containsText" dxfId="68" priority="65" operator="containsText" text="T">
      <formula>NOT(ISERROR(SEARCH("T",CH90)))</formula>
    </cfRule>
  </conditionalFormatting>
  <conditionalFormatting sqref="CI83:CI89">
    <cfRule type="containsText" dxfId="67" priority="57" operator="containsText" text="17">
      <formula>NOT(ISERROR(SEARCH("17",CI83)))</formula>
    </cfRule>
    <cfRule type="containsText" dxfId="66" priority="60" operator="containsText" text="T">
      <formula>NOT(ISERROR(SEARCH("T",CI83)))</formula>
    </cfRule>
  </conditionalFormatting>
  <conditionalFormatting sqref="CI113:CI119">
    <cfRule type="containsText" dxfId="65" priority="4" operator="containsText" text="T">
      <formula>NOT(ISERROR(SEARCH("T",CI113)))</formula>
    </cfRule>
  </conditionalFormatting>
  <conditionalFormatting sqref="CI146:CJ146 CK146:CQ151">
    <cfRule type="containsText" dxfId="64" priority="960" operator="containsText" text="17">
      <formula>NOT(ISERROR(SEARCH("17",CI146)))</formula>
    </cfRule>
  </conditionalFormatting>
  <conditionalFormatting sqref="CI146:CJ146 CL146:CP151">
    <cfRule type="containsText" dxfId="63" priority="961" operator="containsText" text="T">
      <formula>NOT(ISERROR(SEARCH("T",CI146)))</formula>
    </cfRule>
  </conditionalFormatting>
  <conditionalFormatting sqref="CJ214:CJ220">
    <cfRule type="containsText" dxfId="62" priority="52" operator="containsText" text="17">
      <formula>NOT(ISERROR(SEARCH("17",CJ214)))</formula>
    </cfRule>
  </conditionalFormatting>
  <conditionalFormatting sqref="CJ214:XFD220">
    <cfRule type="containsText" dxfId="61" priority="55" operator="containsText" text="T">
      <formula>NOT(ISERROR(SEARCH("T",CJ214)))</formula>
    </cfRule>
  </conditionalFormatting>
  <conditionalFormatting sqref="CK120:CK126">
    <cfRule type="containsText" dxfId="60" priority="37" operator="containsText" text="T">
      <formula>NOT(ISERROR(SEARCH("T",CK120)))</formula>
    </cfRule>
    <cfRule type="containsText" dxfId="59" priority="35" operator="containsText" text="T">
      <formula>NOT(ISERROR(SEARCH("T",CK120)))</formula>
    </cfRule>
    <cfRule type="containsText" dxfId="58" priority="34" operator="containsText" text="17">
      <formula>NOT(ISERROR(SEARCH("17",CK120)))</formula>
    </cfRule>
    <cfRule type="containsText" dxfId="57" priority="39" operator="containsText" text="T">
      <formula>NOT(ISERROR(SEARCH("T",CK120)))</formula>
    </cfRule>
    <cfRule type="containsText" dxfId="56" priority="36" operator="containsText" text="17">
      <formula>NOT(ISERROR(SEARCH("17",CK120)))</formula>
    </cfRule>
    <cfRule type="containsText" dxfId="55" priority="38" operator="containsText" text="17">
      <formula>NOT(ISERROR(SEARCH("17",CK120)))</formula>
    </cfRule>
  </conditionalFormatting>
  <conditionalFormatting sqref="CK221:CK227">
    <cfRule type="containsText" dxfId="54" priority="47" operator="containsText" text="17">
      <formula>NOT(ISERROR(SEARCH("17",CK221)))</formula>
    </cfRule>
  </conditionalFormatting>
  <conditionalFormatting sqref="CK120:CM126">
    <cfRule type="containsText" dxfId="53" priority="29" operator="containsText" text="17">
      <formula>NOT(ISERROR(SEARCH("17",CK120)))</formula>
    </cfRule>
  </conditionalFormatting>
  <conditionalFormatting sqref="CK221:CP227">
    <cfRule type="containsText" dxfId="52" priority="50" operator="containsText" text="T">
      <formula>NOT(ISERROR(SEARCH("T",CK221)))</formula>
    </cfRule>
  </conditionalFormatting>
  <conditionalFormatting sqref="CL113:CL119">
    <cfRule type="containsText" dxfId="51" priority="15" operator="containsText" text="T">
      <formula>NOT(ISERROR(SEARCH("T",CL113)))</formula>
    </cfRule>
    <cfRule type="containsText" dxfId="50" priority="18" operator="containsText" text="17">
      <formula>NOT(ISERROR(SEARCH("17",CL113)))</formula>
    </cfRule>
    <cfRule type="containsText" dxfId="49" priority="19" operator="containsText" text="T">
      <formula>NOT(ISERROR(SEARCH("T",CL113)))</formula>
    </cfRule>
    <cfRule type="containsText" dxfId="48" priority="14" operator="containsText" text="17">
      <formula>NOT(ISERROR(SEARCH("17",CL113)))</formula>
    </cfRule>
    <cfRule type="containsText" dxfId="47" priority="16" operator="containsText" text="17">
      <formula>NOT(ISERROR(SEARCH("17",CL113)))</formula>
    </cfRule>
    <cfRule type="containsText" dxfId="46" priority="17" operator="containsText" text="T">
      <formula>NOT(ISERROR(SEARCH("T",CL113)))</formula>
    </cfRule>
  </conditionalFormatting>
  <conditionalFormatting sqref="CL228:CL234">
    <cfRule type="containsText" dxfId="45" priority="42" operator="containsText" text="17">
      <formula>NOT(ISERROR(SEARCH("17",CL228)))</formula>
    </cfRule>
  </conditionalFormatting>
  <conditionalFormatting sqref="CL113:CN119">
    <cfRule type="containsText" dxfId="44" priority="9" operator="containsText" text="17">
      <formula>NOT(ISERROR(SEARCH("17",CL113)))</formula>
    </cfRule>
  </conditionalFormatting>
  <conditionalFormatting sqref="CL228:CP234">
    <cfRule type="containsText" dxfId="43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111"/>
  <sheetViews>
    <sheetView tabSelected="1" workbookViewId="0">
      <pane xSplit="2" ySplit="1" topLeftCell="C870" activePane="bottomRight" state="frozen"/>
      <selection pane="topRight" activeCell="C1" sqref="C1"/>
      <selection pane="bottomLeft" activeCell="A2" sqref="A2"/>
      <selection pane="bottomRight" activeCell="F886" sqref="F886"/>
    </sheetView>
  </sheetViews>
  <sheetFormatPr defaultRowHeight="15" x14ac:dyDescent="0.25"/>
  <cols>
    <col min="1" max="1" width="14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25" t="s">
        <v>212</v>
      </c>
      <c r="B1" s="25" t="s">
        <v>213</v>
      </c>
      <c r="C1" s="25"/>
      <c r="D1" s="25" t="s">
        <v>585</v>
      </c>
      <c r="E1" s="25" t="s">
        <v>580</v>
      </c>
      <c r="F1" s="25" t="s">
        <v>581</v>
      </c>
      <c r="G1" s="25" t="s">
        <v>582</v>
      </c>
      <c r="H1" s="25" t="s">
        <v>583</v>
      </c>
      <c r="I1" s="25" t="s">
        <v>584</v>
      </c>
      <c r="J1" s="25" t="s">
        <v>586</v>
      </c>
      <c r="K1" s="25" t="s">
        <v>590</v>
      </c>
      <c r="L1" s="25" t="s">
        <v>587</v>
      </c>
      <c r="M1" s="25" t="s">
        <v>588</v>
      </c>
      <c r="N1" s="25" t="s">
        <v>589</v>
      </c>
      <c r="O1" s="25" t="s">
        <v>591</v>
      </c>
    </row>
    <row r="2" spans="1:15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</row>
    <row r="3" spans="1:15" x14ac:dyDescent="0.25">
      <c r="A3" s="77">
        <v>45962</v>
      </c>
      <c r="B3" s="25" t="s">
        <v>458</v>
      </c>
      <c r="C3" s="25"/>
      <c r="D3" s="77">
        <f t="shared" ref="D3:D66" si="0">A3+23</f>
        <v>45985</v>
      </c>
      <c r="E3" s="77">
        <f t="shared" ref="E3:E66" si="1">A3+7</f>
        <v>45969</v>
      </c>
      <c r="F3" s="77">
        <f t="shared" ref="F3:F66" si="2">A3+14</f>
        <v>45976</v>
      </c>
      <c r="G3" s="77">
        <f t="shared" ref="G3:G66" si="3">A3+20</f>
        <v>45982</v>
      </c>
      <c r="H3" s="77">
        <f t="shared" ref="H3:H66" si="4">A3+8</f>
        <v>45970</v>
      </c>
      <c r="I3" s="77">
        <f t="shared" ref="I3:I66" si="5">A3+15</f>
        <v>45977</v>
      </c>
      <c r="J3" s="77">
        <v>45991</v>
      </c>
      <c r="K3" s="78">
        <f t="shared" ref="K3:K34" si="6">J3-A3</f>
        <v>29</v>
      </c>
      <c r="L3" s="25">
        <v>19.739999999999998</v>
      </c>
      <c r="M3" s="25">
        <v>10.58</v>
      </c>
      <c r="N3" s="25">
        <f t="shared" ref="N3:N66" si="7">L3-M3</f>
        <v>9.1599999999999984</v>
      </c>
      <c r="O3" s="25" t="s">
        <v>592</v>
      </c>
    </row>
    <row r="4" spans="1:15" x14ac:dyDescent="0.25">
      <c r="A4" s="77">
        <v>45962</v>
      </c>
      <c r="B4" s="25" t="s">
        <v>459</v>
      </c>
      <c r="C4" s="25"/>
      <c r="D4" s="77">
        <f t="shared" si="0"/>
        <v>45985</v>
      </c>
      <c r="E4" s="77">
        <f t="shared" si="1"/>
        <v>45969</v>
      </c>
      <c r="F4" s="77">
        <f t="shared" si="2"/>
        <v>45976</v>
      </c>
      <c r="G4" s="77">
        <f t="shared" si="3"/>
        <v>45982</v>
      </c>
      <c r="H4" s="77">
        <f t="shared" si="4"/>
        <v>45970</v>
      </c>
      <c r="I4" s="77">
        <f t="shared" si="5"/>
        <v>45977</v>
      </c>
      <c r="J4" s="77">
        <v>45991</v>
      </c>
      <c r="K4" s="78">
        <f t="shared" si="6"/>
        <v>29</v>
      </c>
      <c r="L4" s="25">
        <v>19.829999999999998</v>
      </c>
      <c r="M4" s="25">
        <v>10.97</v>
      </c>
      <c r="N4" s="25">
        <f t="shared" si="7"/>
        <v>8.8599999999999977</v>
      </c>
      <c r="O4" s="25" t="s">
        <v>592</v>
      </c>
    </row>
    <row r="5" spans="1:15" x14ac:dyDescent="0.25">
      <c r="A5" s="77">
        <v>45962</v>
      </c>
      <c r="B5" s="25" t="s">
        <v>460</v>
      </c>
      <c r="C5" s="25"/>
      <c r="D5" s="77">
        <f t="shared" si="0"/>
        <v>45985</v>
      </c>
      <c r="E5" s="77">
        <f t="shared" si="1"/>
        <v>45969</v>
      </c>
      <c r="F5" s="77">
        <f t="shared" si="2"/>
        <v>45976</v>
      </c>
      <c r="G5" s="77">
        <f t="shared" si="3"/>
        <v>45982</v>
      </c>
      <c r="H5" s="77">
        <f t="shared" si="4"/>
        <v>45970</v>
      </c>
      <c r="I5" s="77">
        <f t="shared" si="5"/>
        <v>45977</v>
      </c>
      <c r="J5" s="77">
        <v>45991</v>
      </c>
      <c r="K5" s="78">
        <f t="shared" si="6"/>
        <v>29</v>
      </c>
      <c r="L5" s="25">
        <v>18.91</v>
      </c>
      <c r="M5" s="25">
        <v>18.420000000000002</v>
      </c>
      <c r="N5" s="25">
        <f t="shared" si="7"/>
        <v>0.48999999999999844</v>
      </c>
      <c r="O5" s="25" t="s">
        <v>593</v>
      </c>
    </row>
    <row r="6" spans="1:15" x14ac:dyDescent="0.25">
      <c r="A6" s="77">
        <v>45962</v>
      </c>
      <c r="B6" s="25" t="s">
        <v>461</v>
      </c>
      <c r="C6" s="25"/>
      <c r="D6" s="77">
        <f t="shared" si="0"/>
        <v>45985</v>
      </c>
      <c r="E6" s="77">
        <f t="shared" si="1"/>
        <v>45969</v>
      </c>
      <c r="F6" s="77">
        <f t="shared" si="2"/>
        <v>45976</v>
      </c>
      <c r="G6" s="77">
        <f t="shared" si="3"/>
        <v>45982</v>
      </c>
      <c r="H6" s="77">
        <f t="shared" si="4"/>
        <v>45970</v>
      </c>
      <c r="I6" s="77">
        <f t="shared" si="5"/>
        <v>45977</v>
      </c>
      <c r="J6" s="77">
        <v>45991</v>
      </c>
      <c r="K6" s="78">
        <f t="shared" si="6"/>
        <v>29</v>
      </c>
      <c r="L6" s="25">
        <v>17.75</v>
      </c>
      <c r="M6" s="25">
        <v>16.28</v>
      </c>
      <c r="N6" s="25">
        <f t="shared" si="7"/>
        <v>1.4699999999999989</v>
      </c>
      <c r="O6" s="25" t="s">
        <v>593</v>
      </c>
    </row>
    <row r="7" spans="1:15" x14ac:dyDescent="0.25">
      <c r="A7" s="77">
        <v>45962</v>
      </c>
      <c r="B7" s="25" t="s">
        <v>462</v>
      </c>
      <c r="C7" s="25"/>
      <c r="D7" s="77">
        <f t="shared" si="0"/>
        <v>45985</v>
      </c>
      <c r="E7" s="77">
        <f t="shared" si="1"/>
        <v>45969</v>
      </c>
      <c r="F7" s="77">
        <f t="shared" si="2"/>
        <v>45976</v>
      </c>
      <c r="G7" s="77">
        <f t="shared" si="3"/>
        <v>45982</v>
      </c>
      <c r="H7" s="77">
        <f t="shared" si="4"/>
        <v>45970</v>
      </c>
      <c r="I7" s="77">
        <f t="shared" si="5"/>
        <v>45977</v>
      </c>
      <c r="J7" s="77">
        <v>45991</v>
      </c>
      <c r="K7" s="78">
        <f t="shared" si="6"/>
        <v>29</v>
      </c>
      <c r="L7" s="25">
        <v>16.420000000000002</v>
      </c>
      <c r="M7" s="25">
        <v>15.72</v>
      </c>
      <c r="N7" s="25">
        <f t="shared" si="7"/>
        <v>0.70000000000000107</v>
      </c>
      <c r="O7" s="25" t="s">
        <v>593</v>
      </c>
    </row>
    <row r="8" spans="1:15" x14ac:dyDescent="0.25">
      <c r="A8" s="77">
        <v>45962</v>
      </c>
      <c r="B8" s="25" t="s">
        <v>464</v>
      </c>
      <c r="C8" s="25"/>
      <c r="D8" s="77">
        <f t="shared" si="0"/>
        <v>45985</v>
      </c>
      <c r="E8" s="77">
        <f t="shared" si="1"/>
        <v>45969</v>
      </c>
      <c r="F8" s="77">
        <f t="shared" si="2"/>
        <v>45976</v>
      </c>
      <c r="G8" s="77">
        <f t="shared" si="3"/>
        <v>45982</v>
      </c>
      <c r="H8" s="77">
        <f t="shared" si="4"/>
        <v>45970</v>
      </c>
      <c r="I8" s="77">
        <f t="shared" si="5"/>
        <v>45977</v>
      </c>
      <c r="J8" s="77">
        <v>45991</v>
      </c>
      <c r="K8" s="78">
        <f t="shared" si="6"/>
        <v>29</v>
      </c>
      <c r="L8" s="25">
        <v>15.36</v>
      </c>
      <c r="M8" s="25">
        <v>14.51</v>
      </c>
      <c r="N8" s="25">
        <f t="shared" si="7"/>
        <v>0.84999999999999964</v>
      </c>
      <c r="O8" s="25" t="s">
        <v>593</v>
      </c>
    </row>
    <row r="9" spans="1:15" x14ac:dyDescent="0.25">
      <c r="A9" s="77">
        <v>45962</v>
      </c>
      <c r="B9" s="25" t="s">
        <v>463</v>
      </c>
      <c r="C9" s="25"/>
      <c r="D9" s="77">
        <f t="shared" si="0"/>
        <v>45985</v>
      </c>
      <c r="E9" s="77">
        <f t="shared" si="1"/>
        <v>45969</v>
      </c>
      <c r="F9" s="77">
        <f t="shared" si="2"/>
        <v>45976</v>
      </c>
      <c r="G9" s="77">
        <f t="shared" si="3"/>
        <v>45982</v>
      </c>
      <c r="H9" s="77">
        <f t="shared" si="4"/>
        <v>45970</v>
      </c>
      <c r="I9" s="77">
        <f t="shared" si="5"/>
        <v>45977</v>
      </c>
      <c r="J9" s="77">
        <v>45992</v>
      </c>
      <c r="K9" s="78">
        <f t="shared" si="6"/>
        <v>30</v>
      </c>
      <c r="L9" s="25">
        <v>19.91</v>
      </c>
      <c r="M9" s="25">
        <v>10.84</v>
      </c>
      <c r="N9" s="25">
        <f t="shared" si="7"/>
        <v>9.07</v>
      </c>
      <c r="O9" s="25" t="s">
        <v>592</v>
      </c>
    </row>
    <row r="10" spans="1:15" x14ac:dyDescent="0.25">
      <c r="A10" s="77">
        <v>45963</v>
      </c>
      <c r="B10" s="25" t="s">
        <v>424</v>
      </c>
      <c r="C10" s="25"/>
      <c r="D10" s="77">
        <f t="shared" si="0"/>
        <v>45986</v>
      </c>
      <c r="E10" s="77">
        <f t="shared" si="1"/>
        <v>45970</v>
      </c>
      <c r="F10" s="77">
        <f t="shared" si="2"/>
        <v>45977</v>
      </c>
      <c r="G10" s="77">
        <f t="shared" si="3"/>
        <v>45983</v>
      </c>
      <c r="H10" s="77">
        <f t="shared" si="4"/>
        <v>45971</v>
      </c>
      <c r="I10" s="77">
        <f t="shared" si="5"/>
        <v>45978</v>
      </c>
      <c r="J10" s="77">
        <v>45992</v>
      </c>
      <c r="K10" s="78">
        <f t="shared" si="6"/>
        <v>29</v>
      </c>
      <c r="L10" s="25">
        <v>16.170000000000002</v>
      </c>
      <c r="M10" s="25">
        <v>14.96</v>
      </c>
      <c r="N10" s="25">
        <f t="shared" si="7"/>
        <v>1.2100000000000009</v>
      </c>
      <c r="O10" s="25" t="s">
        <v>593</v>
      </c>
    </row>
    <row r="11" spans="1:15" x14ac:dyDescent="0.25">
      <c r="A11" s="77">
        <v>45963</v>
      </c>
      <c r="B11" s="25" t="s">
        <v>425</v>
      </c>
      <c r="C11" s="25"/>
      <c r="D11" s="77">
        <f t="shared" si="0"/>
        <v>45986</v>
      </c>
      <c r="E11" s="77">
        <f t="shared" si="1"/>
        <v>45970</v>
      </c>
      <c r="F11" s="77">
        <f t="shared" si="2"/>
        <v>45977</v>
      </c>
      <c r="G11" s="77">
        <f t="shared" si="3"/>
        <v>45983</v>
      </c>
      <c r="H11" s="77">
        <f t="shared" si="4"/>
        <v>45971</v>
      </c>
      <c r="I11" s="77">
        <f t="shared" si="5"/>
        <v>45978</v>
      </c>
      <c r="J11" s="77">
        <v>45992</v>
      </c>
      <c r="K11" s="78">
        <f t="shared" si="6"/>
        <v>29</v>
      </c>
      <c r="L11" s="25">
        <v>17.53</v>
      </c>
      <c r="M11" s="25">
        <v>16.28</v>
      </c>
      <c r="N11" s="25">
        <f t="shared" si="7"/>
        <v>1.25</v>
      </c>
      <c r="O11" s="25" t="s">
        <v>593</v>
      </c>
    </row>
    <row r="12" spans="1:15" x14ac:dyDescent="0.25">
      <c r="A12" s="77">
        <v>45963</v>
      </c>
      <c r="B12" s="25" t="s">
        <v>426</v>
      </c>
      <c r="C12" s="25"/>
      <c r="D12" s="77">
        <f t="shared" si="0"/>
        <v>45986</v>
      </c>
      <c r="E12" s="77">
        <f t="shared" si="1"/>
        <v>45970</v>
      </c>
      <c r="F12" s="77">
        <f t="shared" si="2"/>
        <v>45977</v>
      </c>
      <c r="G12" s="77">
        <f t="shared" si="3"/>
        <v>45983</v>
      </c>
      <c r="H12" s="77">
        <f t="shared" si="4"/>
        <v>45971</v>
      </c>
      <c r="I12" s="77">
        <f t="shared" si="5"/>
        <v>45978</v>
      </c>
      <c r="J12" s="77">
        <v>45992</v>
      </c>
      <c r="K12" s="78">
        <f t="shared" si="6"/>
        <v>29</v>
      </c>
      <c r="L12" s="25">
        <v>16.760000000000002</v>
      </c>
      <c r="M12" s="25">
        <v>15.35</v>
      </c>
      <c r="N12" s="25">
        <f t="shared" si="7"/>
        <v>1.4100000000000019</v>
      </c>
      <c r="O12" s="25" t="s">
        <v>593</v>
      </c>
    </row>
    <row r="13" spans="1:15" x14ac:dyDescent="0.25">
      <c r="A13" s="77">
        <v>45963</v>
      </c>
      <c r="B13" s="25" t="s">
        <v>427</v>
      </c>
      <c r="C13" s="25"/>
      <c r="D13" s="77">
        <f t="shared" si="0"/>
        <v>45986</v>
      </c>
      <c r="E13" s="77">
        <f t="shared" si="1"/>
        <v>45970</v>
      </c>
      <c r="F13" s="77">
        <f t="shared" si="2"/>
        <v>45977</v>
      </c>
      <c r="G13" s="77">
        <f t="shared" si="3"/>
        <v>45983</v>
      </c>
      <c r="H13" s="77">
        <f t="shared" si="4"/>
        <v>45971</v>
      </c>
      <c r="I13" s="77">
        <f t="shared" si="5"/>
        <v>45978</v>
      </c>
      <c r="J13" s="77">
        <v>45992</v>
      </c>
      <c r="K13" s="78">
        <f t="shared" si="6"/>
        <v>29</v>
      </c>
      <c r="L13" s="25">
        <v>19.739999999999998</v>
      </c>
      <c r="M13" s="25">
        <v>10.51</v>
      </c>
      <c r="N13" s="25">
        <f t="shared" si="7"/>
        <v>9.2299999999999986</v>
      </c>
      <c r="O13" s="25" t="s">
        <v>592</v>
      </c>
    </row>
    <row r="14" spans="1:15" x14ac:dyDescent="0.25">
      <c r="A14" s="77">
        <v>45963</v>
      </c>
      <c r="B14" s="25" t="s">
        <v>421</v>
      </c>
      <c r="C14" s="25"/>
      <c r="D14" s="77">
        <f t="shared" si="0"/>
        <v>45986</v>
      </c>
      <c r="E14" s="77">
        <f t="shared" si="1"/>
        <v>45970</v>
      </c>
      <c r="F14" s="77">
        <f t="shared" si="2"/>
        <v>45977</v>
      </c>
      <c r="G14" s="77">
        <f t="shared" si="3"/>
        <v>45983</v>
      </c>
      <c r="H14" s="77">
        <f t="shared" si="4"/>
        <v>45971</v>
      </c>
      <c r="I14" s="77">
        <f t="shared" si="5"/>
        <v>45978</v>
      </c>
      <c r="J14" s="77">
        <v>45993</v>
      </c>
      <c r="K14" s="78">
        <f t="shared" si="6"/>
        <v>30</v>
      </c>
      <c r="L14" s="25">
        <v>18.91</v>
      </c>
      <c r="M14" s="25">
        <v>17.62</v>
      </c>
      <c r="N14" s="25">
        <f t="shared" si="7"/>
        <v>1.2899999999999991</v>
      </c>
      <c r="O14" s="25" t="s">
        <v>593</v>
      </c>
    </row>
    <row r="15" spans="1:15" x14ac:dyDescent="0.25">
      <c r="A15" s="77">
        <v>45963</v>
      </c>
      <c r="B15" s="25" t="s">
        <v>422</v>
      </c>
      <c r="C15" s="25"/>
      <c r="D15" s="77">
        <f t="shared" si="0"/>
        <v>45986</v>
      </c>
      <c r="E15" s="77">
        <f t="shared" si="1"/>
        <v>45970</v>
      </c>
      <c r="F15" s="77">
        <f t="shared" si="2"/>
        <v>45977</v>
      </c>
      <c r="G15" s="77">
        <f t="shared" si="3"/>
        <v>45983</v>
      </c>
      <c r="H15" s="77">
        <f t="shared" si="4"/>
        <v>45971</v>
      </c>
      <c r="I15" s="77">
        <f t="shared" si="5"/>
        <v>45978</v>
      </c>
      <c r="J15" s="77">
        <v>45993</v>
      </c>
      <c r="K15" s="78">
        <f t="shared" si="6"/>
        <v>30</v>
      </c>
      <c r="L15" s="25">
        <v>19.239999999999998</v>
      </c>
      <c r="M15" s="25">
        <v>9.73</v>
      </c>
      <c r="N15" s="25">
        <f t="shared" si="7"/>
        <v>9.509999999999998</v>
      </c>
      <c r="O15" s="25" t="s">
        <v>592</v>
      </c>
    </row>
    <row r="16" spans="1:15" x14ac:dyDescent="0.25">
      <c r="A16" s="77">
        <v>45963</v>
      </c>
      <c r="B16" s="25" t="s">
        <v>423</v>
      </c>
      <c r="C16" s="25"/>
      <c r="D16" s="77">
        <f t="shared" si="0"/>
        <v>45986</v>
      </c>
      <c r="E16" s="77">
        <f t="shared" si="1"/>
        <v>45970</v>
      </c>
      <c r="F16" s="77">
        <f t="shared" si="2"/>
        <v>45977</v>
      </c>
      <c r="G16" s="77">
        <f t="shared" si="3"/>
        <v>45983</v>
      </c>
      <c r="H16" s="77">
        <f t="shared" si="4"/>
        <v>45971</v>
      </c>
      <c r="I16" s="77">
        <f t="shared" si="5"/>
        <v>45978</v>
      </c>
      <c r="J16" s="77">
        <v>45993</v>
      </c>
      <c r="K16" s="78">
        <f t="shared" si="6"/>
        <v>30</v>
      </c>
      <c r="L16" s="25">
        <v>17.579999999999998</v>
      </c>
      <c r="M16" s="25">
        <v>8.0399999999999991</v>
      </c>
      <c r="N16" s="25">
        <f t="shared" si="7"/>
        <v>9.5399999999999991</v>
      </c>
      <c r="O16" s="25" t="s">
        <v>592</v>
      </c>
    </row>
    <row r="17" spans="1:15" x14ac:dyDescent="0.25">
      <c r="A17" s="77">
        <v>45964</v>
      </c>
      <c r="B17" s="25" t="s">
        <v>452</v>
      </c>
      <c r="C17" s="25"/>
      <c r="D17" s="77">
        <f t="shared" si="0"/>
        <v>45987</v>
      </c>
      <c r="E17" s="77">
        <f t="shared" si="1"/>
        <v>45971</v>
      </c>
      <c r="F17" s="77">
        <f t="shared" si="2"/>
        <v>45978</v>
      </c>
      <c r="G17" s="77">
        <f t="shared" si="3"/>
        <v>45984</v>
      </c>
      <c r="H17" s="77">
        <f t="shared" si="4"/>
        <v>45972</v>
      </c>
      <c r="I17" s="77">
        <f t="shared" si="5"/>
        <v>45979</v>
      </c>
      <c r="J17" s="77">
        <v>45994</v>
      </c>
      <c r="K17" s="78">
        <f t="shared" si="6"/>
        <v>30</v>
      </c>
      <c r="L17" s="25">
        <v>18.21</v>
      </c>
      <c r="M17" s="25">
        <v>17.809999999999999</v>
      </c>
      <c r="N17" s="25">
        <f t="shared" si="7"/>
        <v>0.40000000000000213</v>
      </c>
      <c r="O17" s="25" t="s">
        <v>593</v>
      </c>
    </row>
    <row r="18" spans="1:15" x14ac:dyDescent="0.25">
      <c r="A18" s="77">
        <v>45964</v>
      </c>
      <c r="B18" s="25" t="s">
        <v>453</v>
      </c>
      <c r="C18" s="25"/>
      <c r="D18" s="77">
        <f t="shared" si="0"/>
        <v>45987</v>
      </c>
      <c r="E18" s="77">
        <f t="shared" si="1"/>
        <v>45971</v>
      </c>
      <c r="F18" s="77">
        <f t="shared" si="2"/>
        <v>45978</v>
      </c>
      <c r="G18" s="77">
        <f t="shared" si="3"/>
        <v>45984</v>
      </c>
      <c r="H18" s="77">
        <f t="shared" si="4"/>
        <v>45972</v>
      </c>
      <c r="I18" s="77">
        <f t="shared" si="5"/>
        <v>45979</v>
      </c>
      <c r="J18" s="77">
        <v>45994</v>
      </c>
      <c r="K18" s="78">
        <f t="shared" si="6"/>
        <v>30</v>
      </c>
      <c r="L18" s="25">
        <v>17.93</v>
      </c>
      <c r="M18" s="25">
        <v>16.579999999999998</v>
      </c>
      <c r="N18" s="25">
        <f t="shared" si="7"/>
        <v>1.3500000000000014</v>
      </c>
      <c r="O18" s="25" t="s">
        <v>593</v>
      </c>
    </row>
    <row r="19" spans="1:15" x14ac:dyDescent="0.25">
      <c r="A19" s="77">
        <v>45964</v>
      </c>
      <c r="B19" s="25" t="s">
        <v>454</v>
      </c>
      <c r="C19" s="25"/>
      <c r="D19" s="77">
        <f t="shared" si="0"/>
        <v>45987</v>
      </c>
      <c r="E19" s="77">
        <f t="shared" si="1"/>
        <v>45971</v>
      </c>
      <c r="F19" s="77">
        <f t="shared" si="2"/>
        <v>45978</v>
      </c>
      <c r="G19" s="77">
        <f t="shared" si="3"/>
        <v>45984</v>
      </c>
      <c r="H19" s="77">
        <f t="shared" si="4"/>
        <v>45972</v>
      </c>
      <c r="I19" s="77">
        <f t="shared" si="5"/>
        <v>45979</v>
      </c>
      <c r="J19" s="77">
        <v>45994</v>
      </c>
      <c r="K19" s="78">
        <f t="shared" si="6"/>
        <v>30</v>
      </c>
      <c r="L19" s="25">
        <v>18.559999999999999</v>
      </c>
      <c r="M19" s="25">
        <v>17.21</v>
      </c>
      <c r="N19" s="25">
        <f t="shared" si="7"/>
        <v>1.3499999999999979</v>
      </c>
      <c r="O19" s="25" t="s">
        <v>593</v>
      </c>
    </row>
    <row r="20" spans="1:15" x14ac:dyDescent="0.25">
      <c r="A20" s="77">
        <v>45964</v>
      </c>
      <c r="B20" s="25" t="s">
        <v>455</v>
      </c>
      <c r="C20" s="25"/>
      <c r="D20" s="77">
        <f t="shared" si="0"/>
        <v>45987</v>
      </c>
      <c r="E20" s="77">
        <f t="shared" si="1"/>
        <v>45971</v>
      </c>
      <c r="F20" s="77">
        <f t="shared" si="2"/>
        <v>45978</v>
      </c>
      <c r="G20" s="77">
        <f t="shared" si="3"/>
        <v>45984</v>
      </c>
      <c r="H20" s="77">
        <f t="shared" si="4"/>
        <v>45972</v>
      </c>
      <c r="I20" s="77">
        <f t="shared" si="5"/>
        <v>45979</v>
      </c>
      <c r="J20" s="77">
        <v>45994</v>
      </c>
      <c r="K20" s="78">
        <f t="shared" si="6"/>
        <v>30</v>
      </c>
      <c r="L20" s="25">
        <v>18.11</v>
      </c>
      <c r="M20" s="25">
        <v>8.76</v>
      </c>
      <c r="N20" s="25">
        <f t="shared" si="7"/>
        <v>9.35</v>
      </c>
      <c r="O20" s="25" t="s">
        <v>592</v>
      </c>
    </row>
    <row r="21" spans="1:15" x14ac:dyDescent="0.25">
      <c r="A21" s="77">
        <v>45964</v>
      </c>
      <c r="B21" s="25" t="s">
        <v>456</v>
      </c>
      <c r="C21" s="25"/>
      <c r="D21" s="77">
        <f t="shared" si="0"/>
        <v>45987</v>
      </c>
      <c r="E21" s="77">
        <f t="shared" si="1"/>
        <v>45971</v>
      </c>
      <c r="F21" s="77">
        <f t="shared" si="2"/>
        <v>45978</v>
      </c>
      <c r="G21" s="77">
        <f t="shared" si="3"/>
        <v>45984</v>
      </c>
      <c r="H21" s="77">
        <f t="shared" si="4"/>
        <v>45972</v>
      </c>
      <c r="I21" s="77">
        <f t="shared" si="5"/>
        <v>45979</v>
      </c>
      <c r="J21" s="77">
        <v>45994</v>
      </c>
      <c r="K21" s="78">
        <f t="shared" si="6"/>
        <v>30</v>
      </c>
      <c r="L21" s="25">
        <v>17.510000000000002</v>
      </c>
      <c r="M21" s="25">
        <v>7.91</v>
      </c>
      <c r="N21" s="25">
        <f t="shared" si="7"/>
        <v>9.6000000000000014</v>
      </c>
      <c r="O21" s="25" t="s">
        <v>592</v>
      </c>
    </row>
    <row r="22" spans="1:15" x14ac:dyDescent="0.25">
      <c r="A22" s="77">
        <v>45964</v>
      </c>
      <c r="B22" s="25" t="s">
        <v>457</v>
      </c>
      <c r="C22" s="25"/>
      <c r="D22" s="77">
        <f t="shared" si="0"/>
        <v>45987</v>
      </c>
      <c r="E22" s="77">
        <f t="shared" si="1"/>
        <v>45971</v>
      </c>
      <c r="F22" s="77">
        <f t="shared" si="2"/>
        <v>45978</v>
      </c>
      <c r="G22" s="77">
        <f t="shared" si="3"/>
        <v>45984</v>
      </c>
      <c r="H22" s="77">
        <f t="shared" si="4"/>
        <v>45972</v>
      </c>
      <c r="I22" s="77">
        <f t="shared" si="5"/>
        <v>45979</v>
      </c>
      <c r="J22" s="77">
        <v>45994</v>
      </c>
      <c r="K22" s="78">
        <f t="shared" si="6"/>
        <v>30</v>
      </c>
      <c r="L22" s="25">
        <v>16.59</v>
      </c>
      <c r="M22" s="25">
        <v>7.14</v>
      </c>
      <c r="N22" s="25">
        <f t="shared" si="7"/>
        <v>9.4499999999999993</v>
      </c>
      <c r="O22" s="25" t="s">
        <v>592</v>
      </c>
    </row>
    <row r="23" spans="1:15" x14ac:dyDescent="0.25">
      <c r="A23" s="77">
        <v>45964</v>
      </c>
      <c r="B23" s="25" t="s">
        <v>451</v>
      </c>
      <c r="C23" s="25"/>
      <c r="D23" s="77">
        <f t="shared" si="0"/>
        <v>45987</v>
      </c>
      <c r="E23" s="77">
        <f t="shared" si="1"/>
        <v>45971</v>
      </c>
      <c r="F23" s="77">
        <f t="shared" si="2"/>
        <v>45978</v>
      </c>
      <c r="G23" s="77">
        <f t="shared" si="3"/>
        <v>45984</v>
      </c>
      <c r="H23" s="77">
        <f t="shared" si="4"/>
        <v>45972</v>
      </c>
      <c r="I23" s="77">
        <f t="shared" si="5"/>
        <v>45979</v>
      </c>
      <c r="J23" s="77">
        <v>45995</v>
      </c>
      <c r="K23" s="78">
        <f t="shared" si="6"/>
        <v>31</v>
      </c>
      <c r="L23" s="25">
        <v>16.28</v>
      </c>
      <c r="M23" s="25">
        <v>7.08</v>
      </c>
      <c r="N23" s="25">
        <f t="shared" si="7"/>
        <v>9.2000000000000011</v>
      </c>
      <c r="O23" s="25" t="s">
        <v>592</v>
      </c>
    </row>
    <row r="24" spans="1:15" x14ac:dyDescent="0.25">
      <c r="A24" s="77">
        <v>45965</v>
      </c>
      <c r="B24" s="25" t="s">
        <v>465</v>
      </c>
      <c r="C24" s="25"/>
      <c r="D24" s="77">
        <f t="shared" si="0"/>
        <v>45988</v>
      </c>
      <c r="E24" s="77">
        <f t="shared" si="1"/>
        <v>45972</v>
      </c>
      <c r="F24" s="77">
        <f t="shared" si="2"/>
        <v>45979</v>
      </c>
      <c r="G24" s="77">
        <f t="shared" si="3"/>
        <v>45985</v>
      </c>
      <c r="H24" s="77">
        <f t="shared" si="4"/>
        <v>45973</v>
      </c>
      <c r="I24" s="77">
        <f t="shared" si="5"/>
        <v>45980</v>
      </c>
      <c r="J24" s="77">
        <v>45995</v>
      </c>
      <c r="K24" s="78">
        <f t="shared" si="6"/>
        <v>30</v>
      </c>
      <c r="L24" s="25">
        <v>16.21</v>
      </c>
      <c r="M24" s="25">
        <v>15.12</v>
      </c>
      <c r="N24" s="25">
        <f t="shared" si="7"/>
        <v>1.0900000000000016</v>
      </c>
      <c r="O24" s="25" t="s">
        <v>593</v>
      </c>
    </row>
    <row r="25" spans="1:15" x14ac:dyDescent="0.25">
      <c r="A25" s="77">
        <v>45965</v>
      </c>
      <c r="B25" s="25" t="s">
        <v>467</v>
      </c>
      <c r="C25" s="25"/>
      <c r="D25" s="77">
        <f t="shared" si="0"/>
        <v>45988</v>
      </c>
      <c r="E25" s="77">
        <f t="shared" si="1"/>
        <v>45972</v>
      </c>
      <c r="F25" s="77">
        <f t="shared" si="2"/>
        <v>45979</v>
      </c>
      <c r="G25" s="77">
        <f t="shared" si="3"/>
        <v>45985</v>
      </c>
      <c r="H25" s="77">
        <f t="shared" si="4"/>
        <v>45973</v>
      </c>
      <c r="I25" s="77">
        <f t="shared" si="5"/>
        <v>45980</v>
      </c>
      <c r="J25" s="77">
        <v>45995</v>
      </c>
      <c r="K25" s="78">
        <f t="shared" si="6"/>
        <v>30</v>
      </c>
      <c r="L25" s="25">
        <v>14.28</v>
      </c>
      <c r="M25" s="25">
        <v>13.1</v>
      </c>
      <c r="N25" s="25">
        <f t="shared" si="7"/>
        <v>1.1799999999999997</v>
      </c>
      <c r="O25" s="25" t="s">
        <v>593</v>
      </c>
    </row>
    <row r="26" spans="1:15" x14ac:dyDescent="0.25">
      <c r="A26" s="77">
        <v>45965</v>
      </c>
      <c r="B26" s="25" t="s">
        <v>469</v>
      </c>
      <c r="C26" s="25"/>
      <c r="D26" s="77">
        <f t="shared" si="0"/>
        <v>45988</v>
      </c>
      <c r="E26" s="77">
        <f t="shared" si="1"/>
        <v>45972</v>
      </c>
      <c r="F26" s="77">
        <f t="shared" si="2"/>
        <v>45979</v>
      </c>
      <c r="G26" s="77">
        <f t="shared" si="3"/>
        <v>45985</v>
      </c>
      <c r="H26" s="77">
        <f t="shared" si="4"/>
        <v>45973</v>
      </c>
      <c r="I26" s="77">
        <f t="shared" si="5"/>
        <v>45980</v>
      </c>
      <c r="J26" s="77">
        <v>45995</v>
      </c>
      <c r="K26" s="78">
        <f t="shared" si="6"/>
        <v>30</v>
      </c>
      <c r="L26" s="25">
        <v>15.74</v>
      </c>
      <c r="M26" s="25">
        <v>14.21</v>
      </c>
      <c r="N26" s="25">
        <f t="shared" si="7"/>
        <v>1.5299999999999994</v>
      </c>
      <c r="O26" s="25" t="s">
        <v>593</v>
      </c>
    </row>
    <row r="27" spans="1:15" x14ac:dyDescent="0.25">
      <c r="A27" s="77">
        <v>45965</v>
      </c>
      <c r="B27" s="25" t="s">
        <v>470</v>
      </c>
      <c r="C27" s="25"/>
      <c r="D27" s="77">
        <f t="shared" si="0"/>
        <v>45988</v>
      </c>
      <c r="E27" s="77">
        <f t="shared" si="1"/>
        <v>45972</v>
      </c>
      <c r="F27" s="77">
        <f t="shared" si="2"/>
        <v>45979</v>
      </c>
      <c r="G27" s="77">
        <f t="shared" si="3"/>
        <v>45985</v>
      </c>
      <c r="H27" s="77">
        <f t="shared" si="4"/>
        <v>45973</v>
      </c>
      <c r="I27" s="77">
        <f t="shared" si="5"/>
        <v>45980</v>
      </c>
      <c r="J27" s="77">
        <v>45995</v>
      </c>
      <c r="K27" s="78">
        <f t="shared" si="6"/>
        <v>30</v>
      </c>
      <c r="L27" s="25">
        <v>15.02</v>
      </c>
      <c r="M27" s="25">
        <v>13.98</v>
      </c>
      <c r="N27" s="25">
        <f t="shared" si="7"/>
        <v>1.0399999999999991</v>
      </c>
      <c r="O27" s="25" t="s">
        <v>593</v>
      </c>
    </row>
    <row r="28" spans="1:15" x14ac:dyDescent="0.25">
      <c r="A28" s="77">
        <v>45965</v>
      </c>
      <c r="B28" s="25" t="s">
        <v>471</v>
      </c>
      <c r="C28" s="25"/>
      <c r="D28" s="77">
        <f t="shared" si="0"/>
        <v>45988</v>
      </c>
      <c r="E28" s="77">
        <f t="shared" si="1"/>
        <v>45972</v>
      </c>
      <c r="F28" s="77">
        <f t="shared" si="2"/>
        <v>45979</v>
      </c>
      <c r="G28" s="77">
        <f t="shared" si="3"/>
        <v>45985</v>
      </c>
      <c r="H28" s="77">
        <f t="shared" si="4"/>
        <v>45973</v>
      </c>
      <c r="I28" s="77">
        <f t="shared" si="5"/>
        <v>45980</v>
      </c>
      <c r="J28" s="77">
        <v>45995</v>
      </c>
      <c r="K28" s="78">
        <f t="shared" si="6"/>
        <v>30</v>
      </c>
      <c r="L28" s="25">
        <v>17.21</v>
      </c>
      <c r="M28" s="25">
        <v>16.12</v>
      </c>
      <c r="N28" s="25">
        <f t="shared" si="7"/>
        <v>1.0899999999999999</v>
      </c>
      <c r="O28" s="25" t="s">
        <v>593</v>
      </c>
    </row>
    <row r="29" spans="1:15" x14ac:dyDescent="0.25">
      <c r="A29" s="77">
        <v>45965</v>
      </c>
      <c r="B29" s="25" t="s">
        <v>466</v>
      </c>
      <c r="C29" s="25"/>
      <c r="D29" s="77">
        <f t="shared" si="0"/>
        <v>45988</v>
      </c>
      <c r="E29" s="77">
        <f t="shared" si="1"/>
        <v>45972</v>
      </c>
      <c r="F29" s="77">
        <f t="shared" si="2"/>
        <v>45979</v>
      </c>
      <c r="G29" s="77">
        <f t="shared" si="3"/>
        <v>45985</v>
      </c>
      <c r="H29" s="77">
        <f t="shared" si="4"/>
        <v>45973</v>
      </c>
      <c r="I29" s="77">
        <f t="shared" si="5"/>
        <v>45980</v>
      </c>
      <c r="J29" s="77">
        <v>45996</v>
      </c>
      <c r="K29" s="78">
        <f t="shared" si="6"/>
        <v>31</v>
      </c>
      <c r="L29" s="25">
        <v>12.51</v>
      </c>
      <c r="M29" s="25">
        <v>5.12</v>
      </c>
      <c r="N29" s="25">
        <f t="shared" si="7"/>
        <v>7.39</v>
      </c>
      <c r="O29" s="25" t="s">
        <v>592</v>
      </c>
    </row>
    <row r="30" spans="1:15" x14ac:dyDescent="0.25">
      <c r="A30" s="77">
        <v>45965</v>
      </c>
      <c r="B30" s="25" t="s">
        <v>468</v>
      </c>
      <c r="C30" s="25"/>
      <c r="D30" s="77">
        <f t="shared" si="0"/>
        <v>45988</v>
      </c>
      <c r="E30" s="77">
        <f t="shared" si="1"/>
        <v>45972</v>
      </c>
      <c r="F30" s="77">
        <f t="shared" si="2"/>
        <v>45979</v>
      </c>
      <c r="G30" s="77">
        <f t="shared" si="3"/>
        <v>45985</v>
      </c>
      <c r="H30" s="77">
        <f t="shared" si="4"/>
        <v>45973</v>
      </c>
      <c r="I30" s="77">
        <f t="shared" si="5"/>
        <v>45980</v>
      </c>
      <c r="J30" s="77">
        <v>45996</v>
      </c>
      <c r="K30" s="78">
        <f t="shared" si="6"/>
        <v>31</v>
      </c>
      <c r="L30" s="25">
        <v>11.27</v>
      </c>
      <c r="M30" s="25">
        <v>4.8</v>
      </c>
      <c r="N30" s="25">
        <f t="shared" si="7"/>
        <v>6.47</v>
      </c>
      <c r="O30" s="25" t="s">
        <v>592</v>
      </c>
    </row>
    <row r="31" spans="1:15" x14ac:dyDescent="0.25">
      <c r="A31" s="77">
        <v>45966</v>
      </c>
      <c r="B31" s="25" t="s">
        <v>417</v>
      </c>
      <c r="C31" s="25"/>
      <c r="D31" s="77">
        <f t="shared" si="0"/>
        <v>45989</v>
      </c>
      <c r="E31" s="77">
        <f t="shared" si="1"/>
        <v>45973</v>
      </c>
      <c r="F31" s="77">
        <f t="shared" si="2"/>
        <v>45980</v>
      </c>
      <c r="G31" s="77">
        <f t="shared" si="3"/>
        <v>45986</v>
      </c>
      <c r="H31" s="77">
        <f t="shared" si="4"/>
        <v>45974</v>
      </c>
      <c r="I31" s="77">
        <f t="shared" si="5"/>
        <v>45981</v>
      </c>
      <c r="J31" s="77">
        <v>45995</v>
      </c>
      <c r="K31" s="78">
        <f t="shared" si="6"/>
        <v>29</v>
      </c>
      <c r="L31" s="25">
        <v>17.510000000000002</v>
      </c>
      <c r="M31" s="25">
        <v>16.059999999999999</v>
      </c>
      <c r="N31" s="25">
        <f t="shared" si="7"/>
        <v>1.4500000000000028</v>
      </c>
      <c r="O31" s="25" t="s">
        <v>593</v>
      </c>
    </row>
    <row r="32" spans="1:15" x14ac:dyDescent="0.25">
      <c r="A32" s="77">
        <v>45966</v>
      </c>
      <c r="B32" s="25" t="s">
        <v>418</v>
      </c>
      <c r="C32" s="25"/>
      <c r="D32" s="77">
        <f t="shared" si="0"/>
        <v>45989</v>
      </c>
      <c r="E32" s="77">
        <f t="shared" si="1"/>
        <v>45973</v>
      </c>
      <c r="F32" s="77">
        <f t="shared" si="2"/>
        <v>45980</v>
      </c>
      <c r="G32" s="77">
        <f t="shared" si="3"/>
        <v>45986</v>
      </c>
      <c r="H32" s="77">
        <f t="shared" si="4"/>
        <v>45974</v>
      </c>
      <c r="I32" s="77">
        <f t="shared" si="5"/>
        <v>45981</v>
      </c>
      <c r="J32" s="77">
        <v>45995</v>
      </c>
      <c r="K32" s="78">
        <f t="shared" si="6"/>
        <v>29</v>
      </c>
      <c r="L32" s="25">
        <v>15.24</v>
      </c>
      <c r="M32" s="25">
        <v>14.81</v>
      </c>
      <c r="N32" s="25">
        <f t="shared" si="7"/>
        <v>0.42999999999999972</v>
      </c>
      <c r="O32" s="25" t="s">
        <v>593</v>
      </c>
    </row>
    <row r="33" spans="1:15" x14ac:dyDescent="0.25">
      <c r="A33" s="77">
        <v>45966</v>
      </c>
      <c r="B33" s="25" t="s">
        <v>419</v>
      </c>
      <c r="C33" s="25"/>
      <c r="D33" s="77">
        <f t="shared" si="0"/>
        <v>45989</v>
      </c>
      <c r="E33" s="77">
        <f t="shared" si="1"/>
        <v>45973</v>
      </c>
      <c r="F33" s="77">
        <f t="shared" si="2"/>
        <v>45980</v>
      </c>
      <c r="G33" s="77">
        <f t="shared" si="3"/>
        <v>45986</v>
      </c>
      <c r="H33" s="77">
        <f t="shared" si="4"/>
        <v>45974</v>
      </c>
      <c r="I33" s="77">
        <f t="shared" si="5"/>
        <v>45981</v>
      </c>
      <c r="J33" s="77">
        <v>45995</v>
      </c>
      <c r="K33" s="78">
        <f t="shared" si="6"/>
        <v>29</v>
      </c>
      <c r="L33" s="25">
        <v>16.91</v>
      </c>
      <c r="M33" s="25">
        <v>7.68</v>
      </c>
      <c r="N33" s="25">
        <f t="shared" si="7"/>
        <v>9.23</v>
      </c>
      <c r="O33" s="25" t="s">
        <v>592</v>
      </c>
    </row>
    <row r="34" spans="1:15" x14ac:dyDescent="0.25">
      <c r="A34" s="77">
        <v>45966</v>
      </c>
      <c r="B34" s="25" t="s">
        <v>420</v>
      </c>
      <c r="C34" s="25"/>
      <c r="D34" s="77">
        <f t="shared" si="0"/>
        <v>45989</v>
      </c>
      <c r="E34" s="77">
        <f t="shared" si="1"/>
        <v>45973</v>
      </c>
      <c r="F34" s="77">
        <f t="shared" si="2"/>
        <v>45980</v>
      </c>
      <c r="G34" s="77">
        <f t="shared" si="3"/>
        <v>45986</v>
      </c>
      <c r="H34" s="77">
        <f t="shared" si="4"/>
        <v>45974</v>
      </c>
      <c r="I34" s="77">
        <f t="shared" si="5"/>
        <v>45981</v>
      </c>
      <c r="J34" s="77">
        <v>45995</v>
      </c>
      <c r="K34" s="78">
        <f t="shared" si="6"/>
        <v>29</v>
      </c>
      <c r="L34" s="25">
        <v>18.510000000000002</v>
      </c>
      <c r="M34" s="25">
        <v>8.51</v>
      </c>
      <c r="N34" s="25">
        <f t="shared" si="7"/>
        <v>10.000000000000002</v>
      </c>
      <c r="O34" s="25" t="s">
        <v>592</v>
      </c>
    </row>
    <row r="35" spans="1:15" x14ac:dyDescent="0.25">
      <c r="A35" s="77">
        <v>45966</v>
      </c>
      <c r="B35" s="25" t="s">
        <v>414</v>
      </c>
      <c r="C35" s="25"/>
      <c r="D35" s="77">
        <f t="shared" si="0"/>
        <v>45989</v>
      </c>
      <c r="E35" s="77">
        <f t="shared" si="1"/>
        <v>45973</v>
      </c>
      <c r="F35" s="77">
        <f t="shared" si="2"/>
        <v>45980</v>
      </c>
      <c r="G35" s="77">
        <f t="shared" si="3"/>
        <v>45986</v>
      </c>
      <c r="H35" s="77">
        <f t="shared" si="4"/>
        <v>45974</v>
      </c>
      <c r="I35" s="77">
        <f t="shared" si="5"/>
        <v>45981</v>
      </c>
      <c r="J35" s="77">
        <v>45996</v>
      </c>
      <c r="K35" s="78">
        <f t="shared" ref="K35:K66" si="8">J35-A35</f>
        <v>30</v>
      </c>
      <c r="L35" s="25">
        <v>15.19</v>
      </c>
      <c r="M35" s="25">
        <v>14.76</v>
      </c>
      <c r="N35" s="25">
        <f t="shared" si="7"/>
        <v>0.42999999999999972</v>
      </c>
      <c r="O35" s="25" t="s">
        <v>593</v>
      </c>
    </row>
    <row r="36" spans="1:15" x14ac:dyDescent="0.25">
      <c r="A36" s="77">
        <v>45966</v>
      </c>
      <c r="B36" s="25" t="s">
        <v>415</v>
      </c>
      <c r="C36" s="25"/>
      <c r="D36" s="77">
        <f t="shared" si="0"/>
        <v>45989</v>
      </c>
      <c r="E36" s="77">
        <f t="shared" si="1"/>
        <v>45973</v>
      </c>
      <c r="F36" s="77">
        <f t="shared" si="2"/>
        <v>45980</v>
      </c>
      <c r="G36" s="77">
        <f t="shared" si="3"/>
        <v>45986</v>
      </c>
      <c r="H36" s="77">
        <f t="shared" si="4"/>
        <v>45974</v>
      </c>
      <c r="I36" s="77">
        <f t="shared" si="5"/>
        <v>45981</v>
      </c>
      <c r="J36" s="77">
        <v>45996</v>
      </c>
      <c r="K36" s="78">
        <f t="shared" si="8"/>
        <v>30</v>
      </c>
      <c r="L36" s="25">
        <v>15.07</v>
      </c>
      <c r="M36" s="25">
        <v>13.91</v>
      </c>
      <c r="N36" s="25">
        <f t="shared" si="7"/>
        <v>1.1600000000000001</v>
      </c>
      <c r="O36" s="25" t="s">
        <v>593</v>
      </c>
    </row>
    <row r="37" spans="1:15" x14ac:dyDescent="0.25">
      <c r="A37" s="77">
        <v>45966</v>
      </c>
      <c r="B37" s="25" t="s">
        <v>416</v>
      </c>
      <c r="C37" s="25"/>
      <c r="D37" s="77">
        <f t="shared" si="0"/>
        <v>45989</v>
      </c>
      <c r="E37" s="77">
        <f t="shared" si="1"/>
        <v>45973</v>
      </c>
      <c r="F37" s="77">
        <f t="shared" si="2"/>
        <v>45980</v>
      </c>
      <c r="G37" s="77">
        <f t="shared" si="3"/>
        <v>45986</v>
      </c>
      <c r="H37" s="77">
        <f t="shared" si="4"/>
        <v>45974</v>
      </c>
      <c r="I37" s="77">
        <f t="shared" si="5"/>
        <v>45981</v>
      </c>
      <c r="J37" s="77">
        <v>45996</v>
      </c>
      <c r="K37" s="78">
        <f t="shared" si="8"/>
        <v>30</v>
      </c>
      <c r="L37" s="25">
        <v>14.33</v>
      </c>
      <c r="M37" s="25">
        <v>13.12</v>
      </c>
      <c r="N37" s="25">
        <f t="shared" si="7"/>
        <v>1.2100000000000009</v>
      </c>
      <c r="O37" s="25" t="s">
        <v>593</v>
      </c>
    </row>
    <row r="38" spans="1:15" x14ac:dyDescent="0.25">
      <c r="A38" s="77">
        <v>45967</v>
      </c>
      <c r="B38" s="25" t="s">
        <v>448</v>
      </c>
      <c r="C38" s="25"/>
      <c r="D38" s="77">
        <f t="shared" si="0"/>
        <v>45990</v>
      </c>
      <c r="E38" s="77">
        <f t="shared" si="1"/>
        <v>45974</v>
      </c>
      <c r="F38" s="77">
        <f t="shared" si="2"/>
        <v>45981</v>
      </c>
      <c r="G38" s="77">
        <f t="shared" si="3"/>
        <v>45987</v>
      </c>
      <c r="H38" s="77">
        <f t="shared" si="4"/>
        <v>45975</v>
      </c>
      <c r="I38" s="77">
        <f t="shared" si="5"/>
        <v>45982</v>
      </c>
      <c r="J38" s="77">
        <v>45996</v>
      </c>
      <c r="K38" s="78">
        <f t="shared" si="8"/>
        <v>29</v>
      </c>
      <c r="L38" s="25">
        <v>16.11</v>
      </c>
      <c r="M38" s="25">
        <v>14.97</v>
      </c>
      <c r="N38" s="25">
        <f t="shared" si="7"/>
        <v>1.1399999999999988</v>
      </c>
      <c r="O38" s="25" t="s">
        <v>593</v>
      </c>
    </row>
    <row r="39" spans="1:15" x14ac:dyDescent="0.25">
      <c r="A39" s="77">
        <v>45967</v>
      </c>
      <c r="B39" s="25" t="s">
        <v>449</v>
      </c>
      <c r="C39" s="25"/>
      <c r="D39" s="77">
        <f t="shared" si="0"/>
        <v>45990</v>
      </c>
      <c r="E39" s="77">
        <f t="shared" si="1"/>
        <v>45974</v>
      </c>
      <c r="F39" s="77">
        <f t="shared" si="2"/>
        <v>45981</v>
      </c>
      <c r="G39" s="77">
        <f t="shared" si="3"/>
        <v>45987</v>
      </c>
      <c r="H39" s="77">
        <f t="shared" si="4"/>
        <v>45975</v>
      </c>
      <c r="I39" s="77">
        <f t="shared" si="5"/>
        <v>45982</v>
      </c>
      <c r="J39" s="77">
        <v>45996</v>
      </c>
      <c r="K39" s="78">
        <f t="shared" si="8"/>
        <v>29</v>
      </c>
      <c r="L39" s="25">
        <v>14.56</v>
      </c>
      <c r="M39" s="25">
        <v>13.82</v>
      </c>
      <c r="N39" s="25">
        <f t="shared" si="7"/>
        <v>0.74000000000000021</v>
      </c>
      <c r="O39" s="25" t="s">
        <v>593</v>
      </c>
    </row>
    <row r="40" spans="1:15" x14ac:dyDescent="0.25">
      <c r="A40" s="77">
        <v>45967</v>
      </c>
      <c r="B40" s="25" t="s">
        <v>444</v>
      </c>
      <c r="C40" s="25"/>
      <c r="D40" s="77">
        <f t="shared" si="0"/>
        <v>45990</v>
      </c>
      <c r="E40" s="77">
        <f t="shared" si="1"/>
        <v>45974</v>
      </c>
      <c r="F40" s="77">
        <f t="shared" si="2"/>
        <v>45981</v>
      </c>
      <c r="G40" s="77">
        <f t="shared" si="3"/>
        <v>45987</v>
      </c>
      <c r="H40" s="77">
        <f t="shared" si="4"/>
        <v>45975</v>
      </c>
      <c r="I40" s="77">
        <f t="shared" si="5"/>
        <v>45982</v>
      </c>
      <c r="J40" s="77">
        <v>45997</v>
      </c>
      <c r="K40" s="78">
        <f t="shared" si="8"/>
        <v>30</v>
      </c>
      <c r="L40" s="25">
        <v>15.21</v>
      </c>
      <c r="M40" s="25">
        <v>6.98</v>
      </c>
      <c r="N40" s="25">
        <f t="shared" si="7"/>
        <v>8.23</v>
      </c>
      <c r="O40" s="25" t="s">
        <v>592</v>
      </c>
    </row>
    <row r="41" spans="1:15" x14ac:dyDescent="0.25">
      <c r="A41" s="77">
        <v>45967</v>
      </c>
      <c r="B41" s="25" t="s">
        <v>445</v>
      </c>
      <c r="C41" s="25"/>
      <c r="D41" s="77">
        <f t="shared" si="0"/>
        <v>45990</v>
      </c>
      <c r="E41" s="77">
        <f t="shared" si="1"/>
        <v>45974</v>
      </c>
      <c r="F41" s="77">
        <f t="shared" si="2"/>
        <v>45981</v>
      </c>
      <c r="G41" s="77">
        <f t="shared" si="3"/>
        <v>45987</v>
      </c>
      <c r="H41" s="77">
        <f t="shared" si="4"/>
        <v>45975</v>
      </c>
      <c r="I41" s="77">
        <f t="shared" si="5"/>
        <v>45982</v>
      </c>
      <c r="J41" s="77">
        <v>45997</v>
      </c>
      <c r="K41" s="78">
        <f t="shared" si="8"/>
        <v>30</v>
      </c>
      <c r="L41" s="25">
        <v>13.98</v>
      </c>
      <c r="M41" s="25">
        <v>5.71</v>
      </c>
      <c r="N41" s="25">
        <f t="shared" si="7"/>
        <v>8.27</v>
      </c>
      <c r="O41" s="25" t="s">
        <v>592</v>
      </c>
    </row>
    <row r="42" spans="1:15" x14ac:dyDescent="0.25">
      <c r="A42" s="77">
        <v>45967</v>
      </c>
      <c r="B42" s="25" t="s">
        <v>446</v>
      </c>
      <c r="C42" s="25"/>
      <c r="D42" s="77">
        <f t="shared" si="0"/>
        <v>45990</v>
      </c>
      <c r="E42" s="77">
        <f t="shared" si="1"/>
        <v>45974</v>
      </c>
      <c r="F42" s="77">
        <f t="shared" si="2"/>
        <v>45981</v>
      </c>
      <c r="G42" s="77">
        <f t="shared" si="3"/>
        <v>45987</v>
      </c>
      <c r="H42" s="77">
        <f t="shared" si="4"/>
        <v>45975</v>
      </c>
      <c r="I42" s="77">
        <f t="shared" si="5"/>
        <v>45982</v>
      </c>
      <c r="J42" s="77">
        <v>45997</v>
      </c>
      <c r="K42" s="78">
        <f t="shared" si="8"/>
        <v>30</v>
      </c>
      <c r="L42" s="25">
        <v>16.2</v>
      </c>
      <c r="M42" s="25">
        <v>8.1199999999999992</v>
      </c>
      <c r="N42" s="25">
        <f t="shared" si="7"/>
        <v>8.08</v>
      </c>
      <c r="O42" s="25" t="s">
        <v>592</v>
      </c>
    </row>
    <row r="43" spans="1:15" x14ac:dyDescent="0.25">
      <c r="A43" s="77">
        <v>45967</v>
      </c>
      <c r="B43" s="25" t="s">
        <v>447</v>
      </c>
      <c r="C43" s="25"/>
      <c r="D43" s="77">
        <f t="shared" si="0"/>
        <v>45990</v>
      </c>
      <c r="E43" s="77">
        <f t="shared" si="1"/>
        <v>45974</v>
      </c>
      <c r="F43" s="77">
        <f t="shared" si="2"/>
        <v>45981</v>
      </c>
      <c r="G43" s="77">
        <f t="shared" si="3"/>
        <v>45987</v>
      </c>
      <c r="H43" s="77">
        <f t="shared" si="4"/>
        <v>45975</v>
      </c>
      <c r="I43" s="77">
        <f t="shared" si="5"/>
        <v>45982</v>
      </c>
      <c r="J43" s="77">
        <v>45997</v>
      </c>
      <c r="K43" s="78">
        <f t="shared" si="8"/>
        <v>30</v>
      </c>
      <c r="L43" s="25">
        <v>14.91</v>
      </c>
      <c r="M43" s="25">
        <v>7.08</v>
      </c>
      <c r="N43" s="25">
        <f t="shared" si="7"/>
        <v>7.83</v>
      </c>
      <c r="O43" s="25" t="s">
        <v>592</v>
      </c>
    </row>
    <row r="44" spans="1:15" x14ac:dyDescent="0.25">
      <c r="A44" s="77">
        <v>45967</v>
      </c>
      <c r="B44" s="25" t="s">
        <v>450</v>
      </c>
      <c r="C44" s="25"/>
      <c r="D44" s="77">
        <f t="shared" si="0"/>
        <v>45990</v>
      </c>
      <c r="E44" s="77">
        <f t="shared" si="1"/>
        <v>45974</v>
      </c>
      <c r="F44" s="77">
        <f t="shared" si="2"/>
        <v>45981</v>
      </c>
      <c r="G44" s="77">
        <f t="shared" si="3"/>
        <v>45987</v>
      </c>
      <c r="H44" s="77">
        <f t="shared" si="4"/>
        <v>45975</v>
      </c>
      <c r="I44" s="77">
        <f t="shared" si="5"/>
        <v>45982</v>
      </c>
      <c r="J44" s="77">
        <v>45997</v>
      </c>
      <c r="K44" s="78">
        <f t="shared" si="8"/>
        <v>30</v>
      </c>
      <c r="L44" s="25">
        <v>15.24</v>
      </c>
      <c r="M44" s="25">
        <v>7.62</v>
      </c>
      <c r="N44" s="25">
        <f t="shared" si="7"/>
        <v>7.62</v>
      </c>
      <c r="O44" s="25" t="s">
        <v>592</v>
      </c>
    </row>
    <row r="45" spans="1:15" x14ac:dyDescent="0.25">
      <c r="A45" s="77">
        <v>45968</v>
      </c>
      <c r="B45" s="25" t="s">
        <v>412</v>
      </c>
      <c r="C45" s="25"/>
      <c r="D45" s="77">
        <f t="shared" si="0"/>
        <v>45991</v>
      </c>
      <c r="E45" s="77">
        <f t="shared" si="1"/>
        <v>45975</v>
      </c>
      <c r="F45" s="77">
        <f t="shared" si="2"/>
        <v>45982</v>
      </c>
      <c r="G45" s="77">
        <f t="shared" si="3"/>
        <v>45988</v>
      </c>
      <c r="H45" s="77">
        <f t="shared" si="4"/>
        <v>45976</v>
      </c>
      <c r="I45" s="77">
        <f t="shared" si="5"/>
        <v>45983</v>
      </c>
      <c r="J45" s="77">
        <v>45997</v>
      </c>
      <c r="K45" s="78">
        <f t="shared" si="8"/>
        <v>29</v>
      </c>
      <c r="L45" s="25">
        <v>14.56</v>
      </c>
      <c r="M45" s="25">
        <v>7.03</v>
      </c>
      <c r="N45" s="25">
        <f t="shared" si="7"/>
        <v>7.53</v>
      </c>
      <c r="O45" s="25" t="s">
        <v>593</v>
      </c>
    </row>
    <row r="46" spans="1:15" x14ac:dyDescent="0.25">
      <c r="A46" s="77">
        <v>45968</v>
      </c>
      <c r="B46" s="25" t="s">
        <v>413</v>
      </c>
      <c r="C46" s="25"/>
      <c r="D46" s="77">
        <f t="shared" si="0"/>
        <v>45991</v>
      </c>
      <c r="E46" s="77">
        <f t="shared" si="1"/>
        <v>45975</v>
      </c>
      <c r="F46" s="77">
        <f t="shared" si="2"/>
        <v>45982</v>
      </c>
      <c r="G46" s="77">
        <f t="shared" si="3"/>
        <v>45988</v>
      </c>
      <c r="H46" s="77">
        <f t="shared" si="4"/>
        <v>45976</v>
      </c>
      <c r="I46" s="77">
        <f t="shared" si="5"/>
        <v>45983</v>
      </c>
      <c r="J46" s="77">
        <v>45997</v>
      </c>
      <c r="K46" s="78">
        <f t="shared" si="8"/>
        <v>29</v>
      </c>
      <c r="L46" s="25">
        <v>15.27</v>
      </c>
      <c r="M46" s="25">
        <v>14.31</v>
      </c>
      <c r="N46" s="25">
        <f t="shared" si="7"/>
        <v>0.95999999999999908</v>
      </c>
      <c r="O46" s="25" t="s">
        <v>593</v>
      </c>
    </row>
    <row r="47" spans="1:15" x14ac:dyDescent="0.25">
      <c r="A47" s="77">
        <v>45968</v>
      </c>
      <c r="B47" s="25" t="s">
        <v>442</v>
      </c>
      <c r="C47" s="25"/>
      <c r="D47" s="77">
        <f t="shared" si="0"/>
        <v>45991</v>
      </c>
      <c r="E47" s="77">
        <f t="shared" si="1"/>
        <v>45975</v>
      </c>
      <c r="F47" s="77">
        <f t="shared" si="2"/>
        <v>45982</v>
      </c>
      <c r="G47" s="77">
        <f t="shared" si="3"/>
        <v>45988</v>
      </c>
      <c r="H47" s="77">
        <f t="shared" si="4"/>
        <v>45976</v>
      </c>
      <c r="I47" s="77">
        <f t="shared" si="5"/>
        <v>45983</v>
      </c>
      <c r="J47" s="77">
        <v>45997</v>
      </c>
      <c r="K47" s="78">
        <f t="shared" si="8"/>
        <v>29</v>
      </c>
      <c r="L47" s="25">
        <v>14.32</v>
      </c>
      <c r="M47" s="25">
        <v>13.59</v>
      </c>
      <c r="N47" s="25">
        <f t="shared" si="7"/>
        <v>0.73000000000000043</v>
      </c>
      <c r="O47" s="25" t="s">
        <v>593</v>
      </c>
    </row>
    <row r="48" spans="1:15" x14ac:dyDescent="0.25">
      <c r="A48" s="77">
        <v>45968</v>
      </c>
      <c r="B48" s="25" t="s">
        <v>443</v>
      </c>
      <c r="C48" s="25"/>
      <c r="D48" s="77">
        <f t="shared" si="0"/>
        <v>45991</v>
      </c>
      <c r="E48" s="77">
        <f t="shared" si="1"/>
        <v>45975</v>
      </c>
      <c r="F48" s="77">
        <f t="shared" si="2"/>
        <v>45982</v>
      </c>
      <c r="G48" s="77">
        <f t="shared" si="3"/>
        <v>45988</v>
      </c>
      <c r="H48" s="77">
        <f t="shared" si="4"/>
        <v>45976</v>
      </c>
      <c r="I48" s="77">
        <f t="shared" si="5"/>
        <v>45983</v>
      </c>
      <c r="J48" s="77">
        <v>45997</v>
      </c>
      <c r="K48" s="78">
        <f t="shared" si="8"/>
        <v>29</v>
      </c>
      <c r="L48" s="25">
        <v>15.29</v>
      </c>
      <c r="M48" s="25">
        <v>14.62</v>
      </c>
      <c r="N48" s="25">
        <f t="shared" si="7"/>
        <v>0.66999999999999993</v>
      </c>
      <c r="O48" s="25" t="s">
        <v>593</v>
      </c>
    </row>
    <row r="49" spans="1:15" x14ac:dyDescent="0.25">
      <c r="A49" s="77">
        <v>45968</v>
      </c>
      <c r="B49" s="25" t="s">
        <v>472</v>
      </c>
      <c r="C49" s="25"/>
      <c r="D49" s="77">
        <f t="shared" si="0"/>
        <v>45991</v>
      </c>
      <c r="E49" s="77">
        <f t="shared" si="1"/>
        <v>45975</v>
      </c>
      <c r="F49" s="77">
        <f t="shared" si="2"/>
        <v>45982</v>
      </c>
      <c r="G49" s="77">
        <f t="shared" si="3"/>
        <v>45988</v>
      </c>
      <c r="H49" s="77">
        <f t="shared" si="4"/>
        <v>45976</v>
      </c>
      <c r="I49" s="77">
        <f t="shared" si="5"/>
        <v>45983</v>
      </c>
      <c r="J49" s="77">
        <v>45997</v>
      </c>
      <c r="K49" s="78">
        <f t="shared" si="8"/>
        <v>29</v>
      </c>
      <c r="L49" s="25">
        <v>11.74</v>
      </c>
      <c r="M49" s="25">
        <v>10.28</v>
      </c>
      <c r="N49" s="25">
        <f t="shared" si="7"/>
        <v>1.4600000000000009</v>
      </c>
      <c r="O49" s="25" t="s">
        <v>593</v>
      </c>
    </row>
    <row r="50" spans="1:15" x14ac:dyDescent="0.25">
      <c r="A50" s="77">
        <v>45968</v>
      </c>
      <c r="B50" s="25" t="s">
        <v>473</v>
      </c>
      <c r="C50" s="25"/>
      <c r="D50" s="77">
        <f t="shared" si="0"/>
        <v>45991</v>
      </c>
      <c r="E50" s="77">
        <f t="shared" si="1"/>
        <v>45975</v>
      </c>
      <c r="F50" s="77">
        <f t="shared" si="2"/>
        <v>45982</v>
      </c>
      <c r="G50" s="77">
        <f t="shared" si="3"/>
        <v>45988</v>
      </c>
      <c r="H50" s="77">
        <f t="shared" si="4"/>
        <v>45976</v>
      </c>
      <c r="I50" s="77">
        <f t="shared" si="5"/>
        <v>45983</v>
      </c>
      <c r="J50" s="77">
        <v>45997</v>
      </c>
      <c r="K50" s="78">
        <f t="shared" si="8"/>
        <v>29</v>
      </c>
      <c r="L50" s="25">
        <v>11.28</v>
      </c>
      <c r="M50" s="25">
        <v>10.14</v>
      </c>
      <c r="N50" s="25">
        <f t="shared" si="7"/>
        <v>1.1399999999999988</v>
      </c>
      <c r="O50" s="25" t="s">
        <v>593</v>
      </c>
    </row>
    <row r="51" spans="1:15" x14ac:dyDescent="0.25">
      <c r="A51" s="77">
        <v>45968</v>
      </c>
      <c r="B51" s="25" t="s">
        <v>474</v>
      </c>
      <c r="C51" s="25"/>
      <c r="D51" s="77">
        <f t="shared" si="0"/>
        <v>45991</v>
      </c>
      <c r="E51" s="77">
        <f t="shared" si="1"/>
        <v>45975</v>
      </c>
      <c r="F51" s="77">
        <f t="shared" si="2"/>
        <v>45982</v>
      </c>
      <c r="G51" s="77">
        <f t="shared" si="3"/>
        <v>45988</v>
      </c>
      <c r="H51" s="77">
        <f t="shared" si="4"/>
        <v>45976</v>
      </c>
      <c r="I51" s="77">
        <f t="shared" si="5"/>
        <v>45983</v>
      </c>
      <c r="J51" s="77">
        <v>45997</v>
      </c>
      <c r="K51" s="78">
        <f t="shared" si="8"/>
        <v>29</v>
      </c>
      <c r="L51" s="25">
        <v>8.2100000000000009</v>
      </c>
      <c r="M51" s="25">
        <v>7.05</v>
      </c>
      <c r="N51" s="25">
        <f t="shared" si="7"/>
        <v>1.160000000000001</v>
      </c>
      <c r="O51" s="25" t="s">
        <v>593</v>
      </c>
    </row>
    <row r="52" spans="1:15" x14ac:dyDescent="0.25">
      <c r="A52" s="77">
        <v>45969</v>
      </c>
      <c r="B52" s="25" t="s">
        <v>476</v>
      </c>
      <c r="C52" s="25"/>
      <c r="D52" s="77">
        <f t="shared" si="0"/>
        <v>45992</v>
      </c>
      <c r="E52" s="77">
        <f t="shared" si="1"/>
        <v>45976</v>
      </c>
      <c r="F52" s="77">
        <f t="shared" si="2"/>
        <v>45983</v>
      </c>
      <c r="G52" s="77">
        <f t="shared" si="3"/>
        <v>45989</v>
      </c>
      <c r="H52" s="77">
        <f t="shared" si="4"/>
        <v>45977</v>
      </c>
      <c r="I52" s="77">
        <f t="shared" si="5"/>
        <v>45984</v>
      </c>
      <c r="J52" s="77">
        <v>45998</v>
      </c>
      <c r="K52" s="78">
        <f t="shared" si="8"/>
        <v>29</v>
      </c>
      <c r="L52" s="25">
        <v>14.21</v>
      </c>
      <c r="M52" s="25">
        <v>7.71</v>
      </c>
      <c r="N52" s="25">
        <f t="shared" si="7"/>
        <v>6.5000000000000009</v>
      </c>
      <c r="O52" s="25" t="s">
        <v>592</v>
      </c>
    </row>
    <row r="53" spans="1:15" x14ac:dyDescent="0.25">
      <c r="A53" s="77">
        <v>45969</v>
      </c>
      <c r="B53" s="25" t="s">
        <v>477</v>
      </c>
      <c r="C53" s="25"/>
      <c r="D53" s="77">
        <f t="shared" si="0"/>
        <v>45992</v>
      </c>
      <c r="E53" s="77">
        <f t="shared" si="1"/>
        <v>45976</v>
      </c>
      <c r="F53" s="77">
        <f t="shared" si="2"/>
        <v>45983</v>
      </c>
      <c r="G53" s="77">
        <f t="shared" si="3"/>
        <v>45989</v>
      </c>
      <c r="H53" s="77">
        <f t="shared" si="4"/>
        <v>45977</v>
      </c>
      <c r="I53" s="77">
        <f t="shared" si="5"/>
        <v>45984</v>
      </c>
      <c r="J53" s="77">
        <v>45998</v>
      </c>
      <c r="K53" s="78">
        <f t="shared" si="8"/>
        <v>29</v>
      </c>
      <c r="L53" s="25">
        <v>13.68</v>
      </c>
      <c r="M53" s="25">
        <v>6.22</v>
      </c>
      <c r="N53" s="25">
        <f t="shared" si="7"/>
        <v>7.46</v>
      </c>
      <c r="O53" s="25" t="s">
        <v>592</v>
      </c>
    </row>
    <row r="54" spans="1:15" x14ac:dyDescent="0.25">
      <c r="A54" s="77">
        <v>45969</v>
      </c>
      <c r="B54" s="25" t="s">
        <v>478</v>
      </c>
      <c r="C54" s="25"/>
      <c r="D54" s="77">
        <f t="shared" si="0"/>
        <v>45992</v>
      </c>
      <c r="E54" s="77">
        <f t="shared" si="1"/>
        <v>45976</v>
      </c>
      <c r="F54" s="77">
        <f t="shared" si="2"/>
        <v>45983</v>
      </c>
      <c r="G54" s="77">
        <f t="shared" si="3"/>
        <v>45989</v>
      </c>
      <c r="H54" s="77">
        <f t="shared" si="4"/>
        <v>45977</v>
      </c>
      <c r="I54" s="77">
        <f t="shared" si="5"/>
        <v>45984</v>
      </c>
      <c r="J54" s="77">
        <v>45998</v>
      </c>
      <c r="K54" s="78">
        <f t="shared" si="8"/>
        <v>29</v>
      </c>
      <c r="L54" s="25">
        <v>15.29</v>
      </c>
      <c r="M54" s="25">
        <v>8.69</v>
      </c>
      <c r="N54" s="25">
        <f t="shared" si="7"/>
        <v>6.6</v>
      </c>
      <c r="O54" s="25" t="s">
        <v>592</v>
      </c>
    </row>
    <row r="55" spans="1:15" x14ac:dyDescent="0.25">
      <c r="A55" s="77">
        <v>45969</v>
      </c>
      <c r="B55" s="25" t="s">
        <v>479</v>
      </c>
      <c r="C55" s="25"/>
      <c r="D55" s="77">
        <f t="shared" si="0"/>
        <v>45992</v>
      </c>
      <c r="E55" s="77">
        <f t="shared" si="1"/>
        <v>45976</v>
      </c>
      <c r="F55" s="77">
        <f t="shared" si="2"/>
        <v>45983</v>
      </c>
      <c r="G55" s="77">
        <f t="shared" si="3"/>
        <v>45989</v>
      </c>
      <c r="H55" s="77">
        <f t="shared" si="4"/>
        <v>45977</v>
      </c>
      <c r="I55" s="77">
        <f t="shared" si="5"/>
        <v>45984</v>
      </c>
      <c r="J55" s="77">
        <v>45998</v>
      </c>
      <c r="K55" s="78">
        <f t="shared" si="8"/>
        <v>29</v>
      </c>
      <c r="L55" s="25">
        <v>11.52</v>
      </c>
      <c r="M55" s="25">
        <v>10.77</v>
      </c>
      <c r="N55" s="25">
        <f t="shared" si="7"/>
        <v>0.75</v>
      </c>
      <c r="O55" s="25" t="s">
        <v>593</v>
      </c>
    </row>
    <row r="56" spans="1:15" x14ac:dyDescent="0.25">
      <c r="A56" s="77">
        <v>45969</v>
      </c>
      <c r="B56" s="25" t="s">
        <v>480</v>
      </c>
      <c r="C56" s="25"/>
      <c r="D56" s="77">
        <f t="shared" si="0"/>
        <v>45992</v>
      </c>
      <c r="E56" s="77">
        <f t="shared" si="1"/>
        <v>45976</v>
      </c>
      <c r="F56" s="77">
        <f t="shared" si="2"/>
        <v>45983</v>
      </c>
      <c r="G56" s="77">
        <f t="shared" si="3"/>
        <v>45989</v>
      </c>
      <c r="H56" s="77">
        <f t="shared" si="4"/>
        <v>45977</v>
      </c>
      <c r="I56" s="77">
        <f t="shared" si="5"/>
        <v>45984</v>
      </c>
      <c r="J56" s="77">
        <v>45998</v>
      </c>
      <c r="K56" s="78">
        <f t="shared" si="8"/>
        <v>29</v>
      </c>
      <c r="L56" s="25">
        <v>13.4</v>
      </c>
      <c r="M56" s="25">
        <v>12.19</v>
      </c>
      <c r="N56" s="25">
        <f t="shared" si="7"/>
        <v>1.2100000000000009</v>
      </c>
      <c r="O56" s="25" t="s">
        <v>593</v>
      </c>
    </row>
    <row r="57" spans="1:15" x14ac:dyDescent="0.25">
      <c r="A57" s="77">
        <v>45969</v>
      </c>
      <c r="B57" s="25" t="s">
        <v>481</v>
      </c>
      <c r="C57" s="25"/>
      <c r="D57" s="77">
        <f t="shared" si="0"/>
        <v>45992</v>
      </c>
      <c r="E57" s="77">
        <f t="shared" si="1"/>
        <v>45976</v>
      </c>
      <c r="F57" s="77">
        <f t="shared" si="2"/>
        <v>45983</v>
      </c>
      <c r="G57" s="77">
        <f t="shared" si="3"/>
        <v>45989</v>
      </c>
      <c r="H57" s="77">
        <f t="shared" si="4"/>
        <v>45977</v>
      </c>
      <c r="I57" s="77">
        <f t="shared" si="5"/>
        <v>45984</v>
      </c>
      <c r="J57" s="77">
        <v>45998</v>
      </c>
      <c r="K57" s="78">
        <f t="shared" si="8"/>
        <v>29</v>
      </c>
      <c r="L57" s="25">
        <v>11.58</v>
      </c>
      <c r="M57" s="25">
        <v>10.71</v>
      </c>
      <c r="N57" s="25">
        <f t="shared" si="7"/>
        <v>0.86999999999999922</v>
      </c>
      <c r="O57" s="25" t="s">
        <v>593</v>
      </c>
    </row>
    <row r="58" spans="1:15" x14ac:dyDescent="0.25">
      <c r="A58" s="77">
        <v>45969</v>
      </c>
      <c r="B58" s="25" t="s">
        <v>482</v>
      </c>
      <c r="C58" s="25"/>
      <c r="D58" s="77">
        <f t="shared" si="0"/>
        <v>45992</v>
      </c>
      <c r="E58" s="77">
        <f t="shared" si="1"/>
        <v>45976</v>
      </c>
      <c r="F58" s="77">
        <f t="shared" si="2"/>
        <v>45983</v>
      </c>
      <c r="G58" s="77">
        <f t="shared" si="3"/>
        <v>45989</v>
      </c>
      <c r="H58" s="77">
        <f t="shared" si="4"/>
        <v>45977</v>
      </c>
      <c r="I58" s="77">
        <f t="shared" si="5"/>
        <v>45984</v>
      </c>
      <c r="J58" s="77">
        <v>45998</v>
      </c>
      <c r="K58" s="78">
        <f t="shared" si="8"/>
        <v>29</v>
      </c>
      <c r="L58" s="25">
        <v>12.17</v>
      </c>
      <c r="M58" s="25">
        <v>11.59</v>
      </c>
      <c r="N58" s="25">
        <f t="shared" si="7"/>
        <v>0.58000000000000007</v>
      </c>
      <c r="O58" s="25" t="s">
        <v>593</v>
      </c>
    </row>
    <row r="59" spans="1:15" x14ac:dyDescent="0.25">
      <c r="A59" s="77">
        <v>45970</v>
      </c>
      <c r="B59" s="25" t="s">
        <v>483</v>
      </c>
      <c r="C59" s="25"/>
      <c r="D59" s="77">
        <f t="shared" si="0"/>
        <v>45993</v>
      </c>
      <c r="E59" s="77">
        <f t="shared" si="1"/>
        <v>45977</v>
      </c>
      <c r="F59" s="77">
        <f t="shared" si="2"/>
        <v>45984</v>
      </c>
      <c r="G59" s="77">
        <f t="shared" si="3"/>
        <v>45990</v>
      </c>
      <c r="H59" s="77">
        <f t="shared" si="4"/>
        <v>45978</v>
      </c>
      <c r="I59" s="77">
        <f t="shared" si="5"/>
        <v>45985</v>
      </c>
      <c r="J59" s="77">
        <v>45998</v>
      </c>
      <c r="K59" s="78">
        <f t="shared" si="8"/>
        <v>28</v>
      </c>
      <c r="L59" s="25">
        <v>11.98</v>
      </c>
      <c r="M59" s="25">
        <v>10.01</v>
      </c>
      <c r="N59" s="25">
        <f t="shared" si="7"/>
        <v>1.9700000000000006</v>
      </c>
      <c r="O59" s="25" t="s">
        <v>593</v>
      </c>
    </row>
    <row r="60" spans="1:15" x14ac:dyDescent="0.25">
      <c r="A60" s="77">
        <v>45970</v>
      </c>
      <c r="B60" s="25" t="s">
        <v>484</v>
      </c>
      <c r="C60" s="25"/>
      <c r="D60" s="77">
        <f t="shared" si="0"/>
        <v>45993</v>
      </c>
      <c r="E60" s="77">
        <f t="shared" si="1"/>
        <v>45977</v>
      </c>
      <c r="F60" s="77">
        <f t="shared" si="2"/>
        <v>45984</v>
      </c>
      <c r="G60" s="77">
        <f t="shared" si="3"/>
        <v>45990</v>
      </c>
      <c r="H60" s="77">
        <f t="shared" si="4"/>
        <v>45978</v>
      </c>
      <c r="I60" s="77">
        <f t="shared" si="5"/>
        <v>45985</v>
      </c>
      <c r="J60" s="77">
        <v>45998</v>
      </c>
      <c r="K60" s="78">
        <f t="shared" si="8"/>
        <v>28</v>
      </c>
      <c r="L60" s="25">
        <v>10.71</v>
      </c>
      <c r="M60" s="25">
        <v>9.84</v>
      </c>
      <c r="N60" s="25">
        <f t="shared" si="7"/>
        <v>0.87000000000000099</v>
      </c>
      <c r="O60" s="25" t="s">
        <v>593</v>
      </c>
    </row>
    <row r="61" spans="1:15" x14ac:dyDescent="0.25">
      <c r="A61" s="77">
        <v>45970</v>
      </c>
      <c r="B61" s="25" t="s">
        <v>485</v>
      </c>
      <c r="C61" s="25"/>
      <c r="D61" s="77">
        <f t="shared" si="0"/>
        <v>45993</v>
      </c>
      <c r="E61" s="77">
        <f t="shared" si="1"/>
        <v>45977</v>
      </c>
      <c r="F61" s="77">
        <f t="shared" si="2"/>
        <v>45984</v>
      </c>
      <c r="G61" s="77">
        <f t="shared" si="3"/>
        <v>45990</v>
      </c>
      <c r="H61" s="77">
        <f t="shared" si="4"/>
        <v>45978</v>
      </c>
      <c r="I61" s="77">
        <f t="shared" si="5"/>
        <v>45985</v>
      </c>
      <c r="J61" s="77">
        <v>45998</v>
      </c>
      <c r="K61" s="78">
        <f t="shared" si="8"/>
        <v>28</v>
      </c>
      <c r="L61" s="25">
        <v>7.55</v>
      </c>
      <c r="M61" s="25">
        <v>6.64</v>
      </c>
      <c r="N61" s="25">
        <f t="shared" si="7"/>
        <v>0.91000000000000014</v>
      </c>
      <c r="O61" s="25" t="s">
        <v>593</v>
      </c>
    </row>
    <row r="62" spans="1:15" x14ac:dyDescent="0.25">
      <c r="A62" s="77">
        <v>45970</v>
      </c>
      <c r="B62" s="25" t="s">
        <v>486</v>
      </c>
      <c r="C62" s="25"/>
      <c r="D62" s="77">
        <f t="shared" si="0"/>
        <v>45993</v>
      </c>
      <c r="E62" s="77">
        <f t="shared" si="1"/>
        <v>45977</v>
      </c>
      <c r="F62" s="77">
        <f t="shared" si="2"/>
        <v>45984</v>
      </c>
      <c r="G62" s="77">
        <f t="shared" si="3"/>
        <v>45990</v>
      </c>
      <c r="H62" s="77">
        <f t="shared" si="4"/>
        <v>45978</v>
      </c>
      <c r="I62" s="77">
        <f t="shared" si="5"/>
        <v>45985</v>
      </c>
      <c r="J62" s="77">
        <v>45998</v>
      </c>
      <c r="K62" s="78">
        <f t="shared" si="8"/>
        <v>28</v>
      </c>
      <c r="L62" s="25">
        <v>7.41</v>
      </c>
      <c r="M62" s="25">
        <v>6.28</v>
      </c>
      <c r="N62" s="25">
        <f t="shared" si="7"/>
        <v>1.1299999999999999</v>
      </c>
      <c r="O62" s="25" t="s">
        <v>593</v>
      </c>
    </row>
    <row r="63" spans="1:15" x14ac:dyDescent="0.25">
      <c r="A63" s="77">
        <v>45970</v>
      </c>
      <c r="B63" s="25" t="s">
        <v>487</v>
      </c>
      <c r="C63" s="25"/>
      <c r="D63" s="77">
        <f t="shared" si="0"/>
        <v>45993</v>
      </c>
      <c r="E63" s="77">
        <f t="shared" si="1"/>
        <v>45977</v>
      </c>
      <c r="F63" s="77">
        <f t="shared" si="2"/>
        <v>45984</v>
      </c>
      <c r="G63" s="77">
        <f t="shared" si="3"/>
        <v>45990</v>
      </c>
      <c r="H63" s="77">
        <f t="shared" si="4"/>
        <v>45978</v>
      </c>
      <c r="I63" s="77">
        <f t="shared" si="5"/>
        <v>45985</v>
      </c>
      <c r="J63" s="77">
        <v>45998</v>
      </c>
      <c r="K63" s="78">
        <f t="shared" si="8"/>
        <v>28</v>
      </c>
      <c r="L63" s="25">
        <v>6.36</v>
      </c>
      <c r="M63" s="25">
        <v>5.71</v>
      </c>
      <c r="N63" s="25">
        <f t="shared" si="7"/>
        <v>0.65000000000000036</v>
      </c>
      <c r="O63" s="25" t="s">
        <v>593</v>
      </c>
    </row>
    <row r="64" spans="1:15" x14ac:dyDescent="0.25">
      <c r="A64" s="77">
        <v>45970</v>
      </c>
      <c r="B64" s="25" t="s">
        <v>488</v>
      </c>
      <c r="C64" s="25"/>
      <c r="D64" s="77">
        <f t="shared" si="0"/>
        <v>45993</v>
      </c>
      <c r="E64" s="77">
        <f t="shared" si="1"/>
        <v>45977</v>
      </c>
      <c r="F64" s="77">
        <f t="shared" si="2"/>
        <v>45984</v>
      </c>
      <c r="G64" s="77">
        <f t="shared" si="3"/>
        <v>45990</v>
      </c>
      <c r="H64" s="77">
        <f t="shared" si="4"/>
        <v>45978</v>
      </c>
      <c r="I64" s="77">
        <f t="shared" si="5"/>
        <v>45985</v>
      </c>
      <c r="J64" s="77">
        <v>45999</v>
      </c>
      <c r="K64" s="78">
        <f t="shared" si="8"/>
        <v>29</v>
      </c>
      <c r="L64" s="25">
        <v>7.21</v>
      </c>
      <c r="M64" s="25">
        <v>3.42</v>
      </c>
      <c r="N64" s="25">
        <f t="shared" si="7"/>
        <v>3.79</v>
      </c>
      <c r="O64" s="25" t="s">
        <v>592</v>
      </c>
    </row>
    <row r="65" spans="1:15" x14ac:dyDescent="0.25">
      <c r="A65" s="77">
        <v>45970</v>
      </c>
      <c r="B65" s="25" t="s">
        <v>489</v>
      </c>
      <c r="C65" s="25"/>
      <c r="D65" s="77">
        <f t="shared" si="0"/>
        <v>45993</v>
      </c>
      <c r="E65" s="77">
        <f t="shared" si="1"/>
        <v>45977</v>
      </c>
      <c r="F65" s="77">
        <f t="shared" si="2"/>
        <v>45984</v>
      </c>
      <c r="G65" s="77">
        <f t="shared" si="3"/>
        <v>45990</v>
      </c>
      <c r="H65" s="77">
        <f t="shared" si="4"/>
        <v>45978</v>
      </c>
      <c r="I65" s="77">
        <f t="shared" si="5"/>
        <v>45985</v>
      </c>
      <c r="J65" s="77">
        <v>45999</v>
      </c>
      <c r="K65" s="78">
        <f t="shared" si="8"/>
        <v>29</v>
      </c>
      <c r="L65" s="25">
        <v>6.13</v>
      </c>
      <c r="M65" s="25">
        <v>3.28</v>
      </c>
      <c r="N65" s="25">
        <f t="shared" si="7"/>
        <v>2.85</v>
      </c>
      <c r="O65" s="25" t="s">
        <v>592</v>
      </c>
    </row>
    <row r="66" spans="1:15" x14ac:dyDescent="0.25">
      <c r="A66" s="77">
        <v>45971</v>
      </c>
      <c r="B66" s="25" t="s">
        <v>490</v>
      </c>
      <c r="C66" s="25"/>
      <c r="D66" s="77">
        <f t="shared" si="0"/>
        <v>45994</v>
      </c>
      <c r="E66" s="77">
        <f t="shared" si="1"/>
        <v>45978</v>
      </c>
      <c r="F66" s="77">
        <f t="shared" si="2"/>
        <v>45985</v>
      </c>
      <c r="G66" s="77">
        <f t="shared" si="3"/>
        <v>45991</v>
      </c>
      <c r="H66" s="77">
        <f t="shared" si="4"/>
        <v>45979</v>
      </c>
      <c r="I66" s="77">
        <f t="shared" si="5"/>
        <v>45986</v>
      </c>
      <c r="J66" s="77">
        <v>45999</v>
      </c>
      <c r="K66" s="78">
        <f t="shared" si="8"/>
        <v>28</v>
      </c>
      <c r="L66" s="25">
        <v>13.21</v>
      </c>
      <c r="M66" s="25">
        <v>6.51</v>
      </c>
      <c r="N66" s="25">
        <f t="shared" si="7"/>
        <v>6.7000000000000011</v>
      </c>
      <c r="O66" s="25" t="s">
        <v>592</v>
      </c>
    </row>
    <row r="67" spans="1:15" x14ac:dyDescent="0.25">
      <c r="A67" s="77">
        <v>45971</v>
      </c>
      <c r="B67" s="25" t="s">
        <v>491</v>
      </c>
      <c r="C67" s="25"/>
      <c r="D67" s="77">
        <f t="shared" ref="D67:D130" si="9">A67+23</f>
        <v>45994</v>
      </c>
      <c r="E67" s="77">
        <f t="shared" ref="E67:E130" si="10">A67+7</f>
        <v>45978</v>
      </c>
      <c r="F67" s="77">
        <f t="shared" ref="F67:F130" si="11">A67+14</f>
        <v>45985</v>
      </c>
      <c r="G67" s="77">
        <f t="shared" ref="G67:G130" si="12">A67+20</f>
        <v>45991</v>
      </c>
      <c r="H67" s="77">
        <f t="shared" ref="H67:H130" si="13">A67+8</f>
        <v>45979</v>
      </c>
      <c r="I67" s="77">
        <f t="shared" ref="I67:I130" si="14">A67+15</f>
        <v>45986</v>
      </c>
      <c r="J67" s="77">
        <v>45999</v>
      </c>
      <c r="K67" s="78">
        <f t="shared" ref="K67:K98" si="15">J67-A67</f>
        <v>28</v>
      </c>
      <c r="L67" s="25">
        <v>14.17</v>
      </c>
      <c r="M67" s="25">
        <v>8.17</v>
      </c>
      <c r="N67" s="25">
        <f t="shared" ref="N67:N133" si="16">L67-M67</f>
        <v>6</v>
      </c>
      <c r="O67" s="25" t="s">
        <v>592</v>
      </c>
    </row>
    <row r="68" spans="1:15" x14ac:dyDescent="0.25">
      <c r="A68" s="77">
        <v>45971</v>
      </c>
      <c r="B68" s="25" t="s">
        <v>492</v>
      </c>
      <c r="C68" s="25"/>
      <c r="D68" s="77">
        <f t="shared" si="9"/>
        <v>45994</v>
      </c>
      <c r="E68" s="77">
        <f t="shared" si="10"/>
        <v>45978</v>
      </c>
      <c r="F68" s="77">
        <f t="shared" si="11"/>
        <v>45985</v>
      </c>
      <c r="G68" s="77">
        <f t="shared" si="12"/>
        <v>45991</v>
      </c>
      <c r="H68" s="77">
        <f t="shared" si="13"/>
        <v>45979</v>
      </c>
      <c r="I68" s="77">
        <f t="shared" si="14"/>
        <v>45986</v>
      </c>
      <c r="J68" s="77">
        <v>45999</v>
      </c>
      <c r="K68" s="78">
        <f t="shared" si="15"/>
        <v>28</v>
      </c>
      <c r="L68" s="25">
        <v>14.36</v>
      </c>
      <c r="M68" s="25">
        <v>8.24</v>
      </c>
      <c r="N68" s="25">
        <f t="shared" si="16"/>
        <v>6.1199999999999992</v>
      </c>
      <c r="O68" s="25" t="s">
        <v>592</v>
      </c>
    </row>
    <row r="69" spans="1:15" x14ac:dyDescent="0.25">
      <c r="A69" s="77">
        <v>45971</v>
      </c>
      <c r="B69" s="25" t="s">
        <v>493</v>
      </c>
      <c r="C69" s="25"/>
      <c r="D69" s="77">
        <f t="shared" si="9"/>
        <v>45994</v>
      </c>
      <c r="E69" s="77">
        <f t="shared" si="10"/>
        <v>45978</v>
      </c>
      <c r="F69" s="77">
        <f t="shared" si="11"/>
        <v>45985</v>
      </c>
      <c r="G69" s="77">
        <f t="shared" si="12"/>
        <v>45991</v>
      </c>
      <c r="H69" s="77">
        <f t="shared" si="13"/>
        <v>45979</v>
      </c>
      <c r="I69" s="77">
        <f t="shared" si="14"/>
        <v>45986</v>
      </c>
      <c r="J69" s="77">
        <v>45999</v>
      </c>
      <c r="K69" s="78">
        <f t="shared" si="15"/>
        <v>28</v>
      </c>
      <c r="L69" s="25">
        <v>12.71</v>
      </c>
      <c r="M69" s="25">
        <v>11.28</v>
      </c>
      <c r="N69" s="25">
        <f t="shared" si="16"/>
        <v>1.4300000000000015</v>
      </c>
      <c r="O69" s="25" t="s">
        <v>593</v>
      </c>
    </row>
    <row r="70" spans="1:15" x14ac:dyDescent="0.25">
      <c r="A70" s="77">
        <v>45971</v>
      </c>
      <c r="B70" s="25" t="s">
        <v>494</v>
      </c>
      <c r="C70" s="25"/>
      <c r="D70" s="77">
        <f t="shared" si="9"/>
        <v>45994</v>
      </c>
      <c r="E70" s="77">
        <f t="shared" si="10"/>
        <v>45978</v>
      </c>
      <c r="F70" s="77">
        <f t="shared" si="11"/>
        <v>45985</v>
      </c>
      <c r="G70" s="77">
        <f t="shared" si="12"/>
        <v>45991</v>
      </c>
      <c r="H70" s="77">
        <f t="shared" si="13"/>
        <v>45979</v>
      </c>
      <c r="I70" s="77">
        <f t="shared" si="14"/>
        <v>45986</v>
      </c>
      <c r="J70" s="77">
        <v>45999</v>
      </c>
      <c r="K70" s="78">
        <f t="shared" si="15"/>
        <v>28</v>
      </c>
      <c r="L70" s="25">
        <v>13.9</v>
      </c>
      <c r="M70" s="25">
        <v>12.01</v>
      </c>
      <c r="N70" s="25">
        <f t="shared" si="16"/>
        <v>1.8900000000000006</v>
      </c>
      <c r="O70" s="25" t="s">
        <v>593</v>
      </c>
    </row>
    <row r="71" spans="1:15" x14ac:dyDescent="0.25">
      <c r="A71" s="77">
        <v>45971</v>
      </c>
      <c r="B71" s="25" t="s">
        <v>495</v>
      </c>
      <c r="C71" s="25"/>
      <c r="D71" s="77">
        <f t="shared" si="9"/>
        <v>45994</v>
      </c>
      <c r="E71" s="77">
        <f t="shared" si="10"/>
        <v>45978</v>
      </c>
      <c r="F71" s="77">
        <f t="shared" si="11"/>
        <v>45985</v>
      </c>
      <c r="G71" s="77">
        <f t="shared" si="12"/>
        <v>45991</v>
      </c>
      <c r="H71" s="77">
        <f t="shared" si="13"/>
        <v>45979</v>
      </c>
      <c r="I71" s="77">
        <f t="shared" si="14"/>
        <v>45986</v>
      </c>
      <c r="J71" s="77">
        <v>45999</v>
      </c>
      <c r="K71" s="78">
        <f t="shared" si="15"/>
        <v>28</v>
      </c>
      <c r="L71" s="25">
        <v>10.77</v>
      </c>
      <c r="M71" s="25">
        <v>9.06</v>
      </c>
      <c r="N71" s="25">
        <f t="shared" si="16"/>
        <v>1.7099999999999991</v>
      </c>
      <c r="O71" s="25" t="s">
        <v>593</v>
      </c>
    </row>
    <row r="72" spans="1:15" x14ac:dyDescent="0.25">
      <c r="A72" s="77">
        <v>45971</v>
      </c>
      <c r="B72" s="25" t="s">
        <v>496</v>
      </c>
      <c r="C72" s="25"/>
      <c r="D72" s="77">
        <f t="shared" si="9"/>
        <v>45994</v>
      </c>
      <c r="E72" s="77">
        <f t="shared" si="10"/>
        <v>45978</v>
      </c>
      <c r="F72" s="77">
        <f t="shared" si="11"/>
        <v>45985</v>
      </c>
      <c r="G72" s="77">
        <f t="shared" si="12"/>
        <v>45991</v>
      </c>
      <c r="H72" s="77">
        <f t="shared" si="13"/>
        <v>45979</v>
      </c>
      <c r="I72" s="77">
        <f t="shared" si="14"/>
        <v>45986</v>
      </c>
      <c r="J72" s="77">
        <v>45999</v>
      </c>
      <c r="K72" s="78">
        <f t="shared" si="15"/>
        <v>28</v>
      </c>
      <c r="L72" s="25">
        <v>11.28</v>
      </c>
      <c r="M72" s="25">
        <v>10.51</v>
      </c>
      <c r="N72" s="25">
        <f t="shared" si="16"/>
        <v>0.76999999999999957</v>
      </c>
      <c r="O72" s="25" t="s">
        <v>593</v>
      </c>
    </row>
    <row r="73" spans="1:15" x14ac:dyDescent="0.25">
      <c r="A73" s="77">
        <v>45972</v>
      </c>
      <c r="B73" s="25" t="s">
        <v>497</v>
      </c>
      <c r="C73" s="25"/>
      <c r="D73" s="77">
        <f t="shared" si="9"/>
        <v>45995</v>
      </c>
      <c r="E73" s="77">
        <f t="shared" si="10"/>
        <v>45979</v>
      </c>
      <c r="F73" s="77">
        <f t="shared" si="11"/>
        <v>45986</v>
      </c>
      <c r="G73" s="77">
        <f t="shared" si="12"/>
        <v>45992</v>
      </c>
      <c r="H73" s="77">
        <f t="shared" si="13"/>
        <v>45980</v>
      </c>
      <c r="I73" s="77">
        <f t="shared" si="14"/>
        <v>45987</v>
      </c>
      <c r="J73" s="77">
        <v>45999</v>
      </c>
      <c r="K73" s="78">
        <f t="shared" si="15"/>
        <v>27</v>
      </c>
      <c r="L73" s="25">
        <v>9.64</v>
      </c>
      <c r="M73" s="25">
        <v>8.1199999999999992</v>
      </c>
      <c r="N73" s="25">
        <f t="shared" si="16"/>
        <v>1.5200000000000014</v>
      </c>
      <c r="O73" s="25" t="s">
        <v>593</v>
      </c>
    </row>
    <row r="74" spans="1:15" x14ac:dyDescent="0.25">
      <c r="A74" s="77">
        <v>45972</v>
      </c>
      <c r="B74" s="25" t="s">
        <v>498</v>
      </c>
      <c r="C74" s="25"/>
      <c r="D74" s="77">
        <f t="shared" si="9"/>
        <v>45995</v>
      </c>
      <c r="E74" s="77">
        <f t="shared" si="10"/>
        <v>45979</v>
      </c>
      <c r="F74" s="77">
        <f t="shared" si="11"/>
        <v>45986</v>
      </c>
      <c r="G74" s="77">
        <f t="shared" si="12"/>
        <v>45992</v>
      </c>
      <c r="H74" s="77">
        <f t="shared" si="13"/>
        <v>45980</v>
      </c>
      <c r="I74" s="77">
        <f t="shared" si="14"/>
        <v>45987</v>
      </c>
      <c r="J74" s="77">
        <v>46000</v>
      </c>
      <c r="K74" s="78">
        <f t="shared" si="15"/>
        <v>28</v>
      </c>
      <c r="L74" s="25">
        <v>12.72</v>
      </c>
      <c r="M74" s="25">
        <v>6.36</v>
      </c>
      <c r="N74" s="25">
        <f t="shared" si="16"/>
        <v>6.36</v>
      </c>
      <c r="O74" s="25" t="s">
        <v>592</v>
      </c>
    </row>
    <row r="75" spans="1:15" x14ac:dyDescent="0.25">
      <c r="A75" s="77">
        <v>45972</v>
      </c>
      <c r="B75" s="25" t="s">
        <v>499</v>
      </c>
      <c r="C75" s="25"/>
      <c r="D75" s="77">
        <f t="shared" si="9"/>
        <v>45995</v>
      </c>
      <c r="E75" s="77">
        <f t="shared" si="10"/>
        <v>45979</v>
      </c>
      <c r="F75" s="77">
        <f t="shared" si="11"/>
        <v>45986</v>
      </c>
      <c r="G75" s="77">
        <f t="shared" si="12"/>
        <v>45992</v>
      </c>
      <c r="H75" s="77">
        <f t="shared" si="13"/>
        <v>45980</v>
      </c>
      <c r="I75" s="77">
        <f t="shared" si="14"/>
        <v>45987</v>
      </c>
      <c r="J75" s="77">
        <v>46000</v>
      </c>
      <c r="K75" s="78">
        <f t="shared" si="15"/>
        <v>28</v>
      </c>
      <c r="L75" s="25">
        <v>8.32</v>
      </c>
      <c r="M75" s="25">
        <v>4.1900000000000004</v>
      </c>
      <c r="N75" s="25">
        <f t="shared" si="16"/>
        <v>4.13</v>
      </c>
      <c r="O75" s="25" t="s">
        <v>592</v>
      </c>
    </row>
    <row r="76" spans="1:15" x14ac:dyDescent="0.25">
      <c r="A76" s="77">
        <v>45972</v>
      </c>
      <c r="B76" s="25" t="s">
        <v>500</v>
      </c>
      <c r="C76" s="25"/>
      <c r="D76" s="77">
        <f t="shared" si="9"/>
        <v>45995</v>
      </c>
      <c r="E76" s="77">
        <f t="shared" si="10"/>
        <v>45979</v>
      </c>
      <c r="F76" s="77">
        <f t="shared" si="11"/>
        <v>45986</v>
      </c>
      <c r="G76" s="77">
        <f t="shared" si="12"/>
        <v>45992</v>
      </c>
      <c r="H76" s="77">
        <f t="shared" si="13"/>
        <v>45980</v>
      </c>
      <c r="I76" s="77">
        <f t="shared" si="14"/>
        <v>45987</v>
      </c>
      <c r="J76" s="77">
        <v>46000</v>
      </c>
      <c r="K76" s="78">
        <f t="shared" si="15"/>
        <v>28</v>
      </c>
      <c r="L76" s="25">
        <v>11.98</v>
      </c>
      <c r="M76" s="25">
        <v>7.94</v>
      </c>
      <c r="N76" s="25">
        <f t="shared" si="16"/>
        <v>4.04</v>
      </c>
      <c r="O76" s="25" t="s">
        <v>592</v>
      </c>
    </row>
    <row r="77" spans="1:15" x14ac:dyDescent="0.25">
      <c r="A77" s="77">
        <v>45972</v>
      </c>
      <c r="B77" s="25" t="s">
        <v>501</v>
      </c>
      <c r="C77" s="25"/>
      <c r="D77" s="77">
        <f t="shared" si="9"/>
        <v>45995</v>
      </c>
      <c r="E77" s="77">
        <f t="shared" si="10"/>
        <v>45979</v>
      </c>
      <c r="F77" s="77">
        <f t="shared" si="11"/>
        <v>45986</v>
      </c>
      <c r="G77" s="77">
        <f t="shared" si="12"/>
        <v>45992</v>
      </c>
      <c r="H77" s="77">
        <f t="shared" si="13"/>
        <v>45980</v>
      </c>
      <c r="I77" s="77">
        <f t="shared" si="14"/>
        <v>45987</v>
      </c>
      <c r="J77" s="77">
        <v>46000</v>
      </c>
      <c r="K77" s="78">
        <f t="shared" si="15"/>
        <v>28</v>
      </c>
      <c r="L77" s="25">
        <v>9.1199999999999992</v>
      </c>
      <c r="M77" s="25">
        <v>6.7</v>
      </c>
      <c r="N77" s="25">
        <f t="shared" si="16"/>
        <v>2.419999999999999</v>
      </c>
      <c r="O77" s="25" t="s">
        <v>593</v>
      </c>
    </row>
    <row r="78" spans="1:15" x14ac:dyDescent="0.25">
      <c r="A78" s="77">
        <v>45972</v>
      </c>
      <c r="B78" s="25" t="s">
        <v>502</v>
      </c>
      <c r="C78" s="25"/>
      <c r="D78" s="77">
        <f t="shared" si="9"/>
        <v>45995</v>
      </c>
      <c r="E78" s="77">
        <f t="shared" si="10"/>
        <v>45979</v>
      </c>
      <c r="F78" s="77">
        <f t="shared" si="11"/>
        <v>45986</v>
      </c>
      <c r="G78" s="77">
        <f t="shared" si="12"/>
        <v>45992</v>
      </c>
      <c r="H78" s="77">
        <f t="shared" si="13"/>
        <v>45980</v>
      </c>
      <c r="I78" s="77">
        <f t="shared" si="14"/>
        <v>45987</v>
      </c>
      <c r="J78" s="77">
        <v>46000</v>
      </c>
      <c r="K78" s="78">
        <f t="shared" si="15"/>
        <v>28</v>
      </c>
      <c r="L78" s="25">
        <v>5.32</v>
      </c>
      <c r="M78" s="25">
        <v>4.12</v>
      </c>
      <c r="N78" s="25">
        <f t="shared" si="16"/>
        <v>1.2000000000000002</v>
      </c>
      <c r="O78" s="25" t="s">
        <v>593</v>
      </c>
    </row>
    <row r="79" spans="1:15" x14ac:dyDescent="0.25">
      <c r="A79" s="77">
        <v>45972</v>
      </c>
      <c r="B79" s="25" t="s">
        <v>503</v>
      </c>
      <c r="C79" s="25"/>
      <c r="D79" s="77">
        <f t="shared" si="9"/>
        <v>45995</v>
      </c>
      <c r="E79" s="77">
        <f t="shared" si="10"/>
        <v>45979</v>
      </c>
      <c r="F79" s="77">
        <f t="shared" si="11"/>
        <v>45986</v>
      </c>
      <c r="G79" s="77">
        <f t="shared" si="12"/>
        <v>45992</v>
      </c>
      <c r="H79" s="77">
        <f t="shared" si="13"/>
        <v>45980</v>
      </c>
      <c r="I79" s="77">
        <f t="shared" si="14"/>
        <v>45987</v>
      </c>
      <c r="J79" s="77">
        <v>46000</v>
      </c>
      <c r="K79" s="78">
        <f t="shared" si="15"/>
        <v>28</v>
      </c>
      <c r="L79" s="25">
        <v>8.58</v>
      </c>
      <c r="M79" s="25">
        <v>6.29</v>
      </c>
      <c r="N79" s="25">
        <f t="shared" si="16"/>
        <v>2.29</v>
      </c>
      <c r="O79" s="25" t="s">
        <v>593</v>
      </c>
    </row>
    <row r="80" spans="1:15" x14ac:dyDescent="0.25">
      <c r="A80" s="77">
        <v>45973</v>
      </c>
      <c r="B80" s="25" t="s">
        <v>504</v>
      </c>
      <c r="C80" s="25"/>
      <c r="D80" s="77">
        <f t="shared" si="9"/>
        <v>45996</v>
      </c>
      <c r="E80" s="77">
        <f t="shared" si="10"/>
        <v>45980</v>
      </c>
      <c r="F80" s="77">
        <f t="shared" si="11"/>
        <v>45987</v>
      </c>
      <c r="G80" s="77">
        <f t="shared" si="12"/>
        <v>45993</v>
      </c>
      <c r="H80" s="77">
        <f t="shared" si="13"/>
        <v>45981</v>
      </c>
      <c r="I80" s="77">
        <f t="shared" si="14"/>
        <v>45988</v>
      </c>
      <c r="J80" s="77">
        <v>46000</v>
      </c>
      <c r="K80" s="78">
        <f t="shared" si="15"/>
        <v>27</v>
      </c>
      <c r="L80" s="25">
        <v>9.23</v>
      </c>
      <c r="M80" s="25">
        <v>5.23</v>
      </c>
      <c r="N80" s="25">
        <f t="shared" si="16"/>
        <v>4</v>
      </c>
      <c r="O80" s="25" t="s">
        <v>593</v>
      </c>
    </row>
    <row r="81" spans="1:15" x14ac:dyDescent="0.25">
      <c r="A81" s="77">
        <v>45973</v>
      </c>
      <c r="B81" s="25" t="s">
        <v>505</v>
      </c>
      <c r="C81" s="25"/>
      <c r="D81" s="77">
        <f t="shared" si="9"/>
        <v>45996</v>
      </c>
      <c r="E81" s="77">
        <f t="shared" si="10"/>
        <v>45980</v>
      </c>
      <c r="F81" s="77">
        <f t="shared" si="11"/>
        <v>45987</v>
      </c>
      <c r="G81" s="77">
        <f t="shared" si="12"/>
        <v>45993</v>
      </c>
      <c r="H81" s="77">
        <f t="shared" si="13"/>
        <v>45981</v>
      </c>
      <c r="I81" s="77">
        <f t="shared" si="14"/>
        <v>45988</v>
      </c>
      <c r="J81" s="77">
        <v>46001</v>
      </c>
      <c r="K81" s="78">
        <f t="shared" si="15"/>
        <v>28</v>
      </c>
      <c r="L81" s="25">
        <v>12.21</v>
      </c>
      <c r="M81" s="25">
        <v>6.01</v>
      </c>
      <c r="N81" s="25">
        <f t="shared" si="16"/>
        <v>6.2000000000000011</v>
      </c>
      <c r="O81" s="25" t="s">
        <v>592</v>
      </c>
    </row>
    <row r="82" spans="1:15" x14ac:dyDescent="0.25">
      <c r="A82" s="77">
        <v>45973</v>
      </c>
      <c r="B82" s="25" t="s">
        <v>506</v>
      </c>
      <c r="C82" s="25"/>
      <c r="D82" s="77">
        <f t="shared" si="9"/>
        <v>45996</v>
      </c>
      <c r="E82" s="77">
        <f t="shared" si="10"/>
        <v>45980</v>
      </c>
      <c r="F82" s="77">
        <f t="shared" si="11"/>
        <v>45987</v>
      </c>
      <c r="G82" s="77">
        <f t="shared" si="12"/>
        <v>45993</v>
      </c>
      <c r="H82" s="77">
        <f t="shared" si="13"/>
        <v>45981</v>
      </c>
      <c r="I82" s="77">
        <f t="shared" si="14"/>
        <v>45988</v>
      </c>
      <c r="J82" s="77">
        <v>46001</v>
      </c>
      <c r="K82" s="78">
        <f t="shared" si="15"/>
        <v>28</v>
      </c>
      <c r="L82" s="25">
        <v>12.57</v>
      </c>
      <c r="M82" s="25">
        <v>6.24</v>
      </c>
      <c r="N82" s="25">
        <f t="shared" si="16"/>
        <v>6.33</v>
      </c>
      <c r="O82" s="25" t="s">
        <v>592</v>
      </c>
    </row>
    <row r="83" spans="1:15" x14ac:dyDescent="0.25">
      <c r="A83" s="77">
        <v>45973</v>
      </c>
      <c r="B83" s="25" t="s">
        <v>507</v>
      </c>
      <c r="C83" s="25"/>
      <c r="D83" s="77">
        <f t="shared" si="9"/>
        <v>45996</v>
      </c>
      <c r="E83" s="77">
        <f t="shared" si="10"/>
        <v>45980</v>
      </c>
      <c r="F83" s="77">
        <f t="shared" si="11"/>
        <v>45987</v>
      </c>
      <c r="G83" s="77">
        <f t="shared" si="12"/>
        <v>45993</v>
      </c>
      <c r="H83" s="77">
        <f t="shared" si="13"/>
        <v>45981</v>
      </c>
      <c r="I83" s="77">
        <f t="shared" si="14"/>
        <v>45988</v>
      </c>
      <c r="J83" s="77">
        <v>46001</v>
      </c>
      <c r="K83" s="78">
        <f t="shared" si="15"/>
        <v>28</v>
      </c>
      <c r="L83" s="25">
        <v>11.12</v>
      </c>
      <c r="M83" s="25">
        <v>5.17</v>
      </c>
      <c r="N83" s="25">
        <f t="shared" si="16"/>
        <v>5.9499999999999993</v>
      </c>
      <c r="O83" s="25" t="s">
        <v>592</v>
      </c>
    </row>
    <row r="84" spans="1:15" x14ac:dyDescent="0.25">
      <c r="A84" s="77">
        <v>45973</v>
      </c>
      <c r="B84" s="25" t="s">
        <v>508</v>
      </c>
      <c r="C84" s="25"/>
      <c r="D84" s="77">
        <f t="shared" si="9"/>
        <v>45996</v>
      </c>
      <c r="E84" s="77">
        <f t="shared" si="10"/>
        <v>45980</v>
      </c>
      <c r="F84" s="77">
        <f t="shared" si="11"/>
        <v>45987</v>
      </c>
      <c r="G84" s="77">
        <f t="shared" si="12"/>
        <v>45993</v>
      </c>
      <c r="H84" s="77">
        <f t="shared" si="13"/>
        <v>45981</v>
      </c>
      <c r="I84" s="77">
        <f t="shared" si="14"/>
        <v>45988</v>
      </c>
      <c r="J84" s="77">
        <v>46001</v>
      </c>
      <c r="K84" s="78">
        <f t="shared" si="15"/>
        <v>28</v>
      </c>
      <c r="L84" s="25">
        <v>11.63</v>
      </c>
      <c r="M84" s="25">
        <v>10.210000000000001</v>
      </c>
      <c r="N84" s="25">
        <f t="shared" si="16"/>
        <v>1.42</v>
      </c>
      <c r="O84" s="25" t="s">
        <v>593</v>
      </c>
    </row>
    <row r="85" spans="1:15" x14ac:dyDescent="0.25">
      <c r="A85" s="77">
        <v>45973</v>
      </c>
      <c r="B85" s="25" t="s">
        <v>509</v>
      </c>
      <c r="C85" s="25"/>
      <c r="D85" s="77">
        <f t="shared" si="9"/>
        <v>45996</v>
      </c>
      <c r="E85" s="77">
        <f t="shared" si="10"/>
        <v>45980</v>
      </c>
      <c r="F85" s="77">
        <f t="shared" si="11"/>
        <v>45987</v>
      </c>
      <c r="G85" s="77">
        <f t="shared" si="12"/>
        <v>45993</v>
      </c>
      <c r="H85" s="77">
        <f t="shared" si="13"/>
        <v>45981</v>
      </c>
      <c r="I85" s="77">
        <f t="shared" si="14"/>
        <v>45988</v>
      </c>
      <c r="J85" s="77">
        <v>46001</v>
      </c>
      <c r="K85" s="78">
        <f t="shared" si="15"/>
        <v>28</v>
      </c>
      <c r="L85" s="25">
        <v>10.71</v>
      </c>
      <c r="M85" s="25">
        <v>9.89</v>
      </c>
      <c r="N85" s="25">
        <f t="shared" si="16"/>
        <v>0.82000000000000028</v>
      </c>
      <c r="O85" s="25" t="s">
        <v>593</v>
      </c>
    </row>
    <row r="86" spans="1:15" x14ac:dyDescent="0.25">
      <c r="A86" s="77">
        <v>45973</v>
      </c>
      <c r="B86" s="25" t="s">
        <v>510</v>
      </c>
      <c r="C86" s="25"/>
      <c r="D86" s="77">
        <f t="shared" si="9"/>
        <v>45996</v>
      </c>
      <c r="E86" s="77">
        <f t="shared" si="10"/>
        <v>45980</v>
      </c>
      <c r="F86" s="77">
        <f t="shared" si="11"/>
        <v>45987</v>
      </c>
      <c r="G86" s="77">
        <f t="shared" si="12"/>
        <v>45993</v>
      </c>
      <c r="H86" s="77">
        <f t="shared" si="13"/>
        <v>45981</v>
      </c>
      <c r="I86" s="77">
        <f t="shared" si="14"/>
        <v>45988</v>
      </c>
      <c r="J86" s="77">
        <v>46001</v>
      </c>
      <c r="K86" s="78">
        <f t="shared" si="15"/>
        <v>28</v>
      </c>
      <c r="L86" s="25">
        <v>10.66</v>
      </c>
      <c r="M86" s="25">
        <v>9.27</v>
      </c>
      <c r="N86" s="25">
        <f t="shared" si="16"/>
        <v>1.3900000000000006</v>
      </c>
      <c r="O86" s="25" t="s">
        <v>593</v>
      </c>
    </row>
    <row r="87" spans="1:15" x14ac:dyDescent="0.25">
      <c r="A87" s="77">
        <v>45974</v>
      </c>
      <c r="B87" s="25" t="s">
        <v>557</v>
      </c>
      <c r="C87" s="25"/>
      <c r="D87" s="77">
        <f t="shared" si="9"/>
        <v>45997</v>
      </c>
      <c r="E87" s="77">
        <f t="shared" si="10"/>
        <v>45981</v>
      </c>
      <c r="F87" s="77">
        <f t="shared" si="11"/>
        <v>45988</v>
      </c>
      <c r="G87" s="77">
        <f t="shared" si="12"/>
        <v>45994</v>
      </c>
      <c r="H87" s="77">
        <f t="shared" si="13"/>
        <v>45982</v>
      </c>
      <c r="I87" s="77">
        <f t="shared" si="14"/>
        <v>45989</v>
      </c>
      <c r="J87" s="77">
        <v>46001</v>
      </c>
      <c r="K87" s="78">
        <f t="shared" si="15"/>
        <v>27</v>
      </c>
      <c r="L87" s="25">
        <v>15.82</v>
      </c>
      <c r="M87" s="25">
        <v>14.25</v>
      </c>
      <c r="N87" s="25">
        <f t="shared" si="16"/>
        <v>1.5700000000000003</v>
      </c>
      <c r="O87" s="25" t="s">
        <v>593</v>
      </c>
    </row>
    <row r="88" spans="1:15" x14ac:dyDescent="0.25">
      <c r="A88" s="77">
        <v>45974</v>
      </c>
      <c r="B88" s="25" t="s">
        <v>558</v>
      </c>
      <c r="C88" s="25"/>
      <c r="D88" s="77">
        <f t="shared" si="9"/>
        <v>45997</v>
      </c>
      <c r="E88" s="77">
        <f t="shared" si="10"/>
        <v>45981</v>
      </c>
      <c r="F88" s="77">
        <f t="shared" si="11"/>
        <v>45988</v>
      </c>
      <c r="G88" s="77">
        <f t="shared" si="12"/>
        <v>45994</v>
      </c>
      <c r="H88" s="77">
        <f t="shared" si="13"/>
        <v>45982</v>
      </c>
      <c r="I88" s="77">
        <f t="shared" si="14"/>
        <v>45989</v>
      </c>
      <c r="J88" s="77">
        <v>46001</v>
      </c>
      <c r="K88" s="78">
        <f t="shared" si="15"/>
        <v>27</v>
      </c>
      <c r="L88" s="25">
        <v>16.89</v>
      </c>
      <c r="M88" s="25">
        <v>15.28</v>
      </c>
      <c r="N88" s="25">
        <f t="shared" si="16"/>
        <v>1.6100000000000012</v>
      </c>
      <c r="O88" s="25" t="s">
        <v>593</v>
      </c>
    </row>
    <row r="89" spans="1:15" x14ac:dyDescent="0.25">
      <c r="A89" s="77">
        <v>45974</v>
      </c>
      <c r="B89" s="25" t="s">
        <v>552</v>
      </c>
      <c r="C89" s="25"/>
      <c r="D89" s="77">
        <f t="shared" si="9"/>
        <v>45997</v>
      </c>
      <c r="E89" s="77">
        <f t="shared" si="10"/>
        <v>45981</v>
      </c>
      <c r="F89" s="77">
        <f t="shared" si="11"/>
        <v>45988</v>
      </c>
      <c r="G89" s="77">
        <f t="shared" si="12"/>
        <v>45994</v>
      </c>
      <c r="H89" s="77">
        <f t="shared" si="13"/>
        <v>45982</v>
      </c>
      <c r="I89" s="77">
        <f t="shared" si="14"/>
        <v>45989</v>
      </c>
      <c r="J89" s="77">
        <v>46002</v>
      </c>
      <c r="K89" s="78">
        <f t="shared" si="15"/>
        <v>28</v>
      </c>
      <c r="L89" s="25">
        <v>13.73</v>
      </c>
      <c r="M89" s="25">
        <v>12.51</v>
      </c>
      <c r="N89" s="25">
        <f t="shared" si="16"/>
        <v>1.2200000000000006</v>
      </c>
      <c r="O89" s="25" t="s">
        <v>593</v>
      </c>
    </row>
    <row r="90" spans="1:15" x14ac:dyDescent="0.25">
      <c r="A90" s="77">
        <v>45974</v>
      </c>
      <c r="B90" s="25" t="s">
        <v>553</v>
      </c>
      <c r="C90" s="25"/>
      <c r="D90" s="77">
        <f t="shared" si="9"/>
        <v>45997</v>
      </c>
      <c r="E90" s="77">
        <f t="shared" si="10"/>
        <v>45981</v>
      </c>
      <c r="F90" s="77">
        <f t="shared" si="11"/>
        <v>45988</v>
      </c>
      <c r="G90" s="77">
        <f t="shared" si="12"/>
        <v>45994</v>
      </c>
      <c r="H90" s="77">
        <f t="shared" si="13"/>
        <v>45982</v>
      </c>
      <c r="I90" s="77">
        <f t="shared" si="14"/>
        <v>45989</v>
      </c>
      <c r="J90" s="77">
        <v>46002</v>
      </c>
      <c r="K90" s="78">
        <f t="shared" si="15"/>
        <v>28</v>
      </c>
      <c r="L90" s="25">
        <v>14.51</v>
      </c>
      <c r="M90" s="25">
        <v>7.39</v>
      </c>
      <c r="N90" s="25">
        <f t="shared" si="16"/>
        <v>7.12</v>
      </c>
      <c r="O90" s="25" t="s">
        <v>592</v>
      </c>
    </row>
    <row r="91" spans="1:15" x14ac:dyDescent="0.25">
      <c r="A91" s="77">
        <v>45974</v>
      </c>
      <c r="B91" s="25" t="s">
        <v>554</v>
      </c>
      <c r="C91" s="25"/>
      <c r="D91" s="77">
        <f t="shared" si="9"/>
        <v>45997</v>
      </c>
      <c r="E91" s="77">
        <f t="shared" si="10"/>
        <v>45981</v>
      </c>
      <c r="F91" s="77">
        <f t="shared" si="11"/>
        <v>45988</v>
      </c>
      <c r="G91" s="77">
        <f t="shared" si="12"/>
        <v>45994</v>
      </c>
      <c r="H91" s="77">
        <f t="shared" si="13"/>
        <v>45982</v>
      </c>
      <c r="I91" s="77">
        <f t="shared" si="14"/>
        <v>45989</v>
      </c>
      <c r="J91" s="77">
        <v>46002</v>
      </c>
      <c r="K91" s="78">
        <f t="shared" si="15"/>
        <v>28</v>
      </c>
      <c r="L91" s="25">
        <v>14.39</v>
      </c>
      <c r="M91" s="25">
        <v>7.21</v>
      </c>
      <c r="N91" s="25">
        <f t="shared" si="16"/>
        <v>7.1800000000000006</v>
      </c>
      <c r="O91" s="25" t="s">
        <v>592</v>
      </c>
    </row>
    <row r="92" spans="1:15" x14ac:dyDescent="0.25">
      <c r="A92" s="77">
        <v>45974</v>
      </c>
      <c r="B92" s="25" t="s">
        <v>555</v>
      </c>
      <c r="C92" s="25"/>
      <c r="D92" s="77">
        <f t="shared" si="9"/>
        <v>45997</v>
      </c>
      <c r="E92" s="77">
        <f t="shared" si="10"/>
        <v>45981</v>
      </c>
      <c r="F92" s="77">
        <f t="shared" si="11"/>
        <v>45988</v>
      </c>
      <c r="G92" s="77">
        <f t="shared" si="12"/>
        <v>45994</v>
      </c>
      <c r="H92" s="77">
        <f t="shared" si="13"/>
        <v>45982</v>
      </c>
      <c r="I92" s="77">
        <f t="shared" si="14"/>
        <v>45989</v>
      </c>
      <c r="J92" s="77">
        <v>46002</v>
      </c>
      <c r="K92" s="78">
        <f t="shared" si="15"/>
        <v>28</v>
      </c>
      <c r="L92" s="25">
        <v>11.19</v>
      </c>
      <c r="M92" s="25">
        <v>5.15</v>
      </c>
      <c r="N92" s="25">
        <f t="shared" si="16"/>
        <v>6.0399999999999991</v>
      </c>
      <c r="O92" s="25" t="s">
        <v>592</v>
      </c>
    </row>
    <row r="93" spans="1:15" x14ac:dyDescent="0.25">
      <c r="A93" s="77">
        <v>45974</v>
      </c>
      <c r="B93" s="25" t="s">
        <v>556</v>
      </c>
      <c r="C93" s="25"/>
      <c r="D93" s="77">
        <f t="shared" si="9"/>
        <v>45997</v>
      </c>
      <c r="E93" s="77">
        <f t="shared" si="10"/>
        <v>45981</v>
      </c>
      <c r="F93" s="77">
        <f t="shared" si="11"/>
        <v>45988</v>
      </c>
      <c r="G93" s="77">
        <f t="shared" si="12"/>
        <v>45994</v>
      </c>
      <c r="H93" s="77">
        <f t="shared" si="13"/>
        <v>45982</v>
      </c>
      <c r="I93" s="77">
        <f t="shared" si="14"/>
        <v>45989</v>
      </c>
      <c r="J93" s="77">
        <v>46002</v>
      </c>
      <c r="K93" s="78">
        <f t="shared" si="15"/>
        <v>28</v>
      </c>
      <c r="L93" s="25">
        <v>12.47</v>
      </c>
      <c r="M93" s="25">
        <v>6.28</v>
      </c>
      <c r="N93" s="25">
        <f t="shared" si="16"/>
        <v>6.19</v>
      </c>
      <c r="O93" s="25" t="s">
        <v>592</v>
      </c>
    </row>
    <row r="94" spans="1:15" x14ac:dyDescent="0.25">
      <c r="A94" s="77">
        <v>45975</v>
      </c>
      <c r="B94" s="25" t="s">
        <v>549</v>
      </c>
      <c r="C94" s="25"/>
      <c r="D94" s="77">
        <f t="shared" si="9"/>
        <v>45998</v>
      </c>
      <c r="E94" s="77">
        <f t="shared" si="10"/>
        <v>45982</v>
      </c>
      <c r="F94" s="77">
        <f t="shared" si="11"/>
        <v>45989</v>
      </c>
      <c r="G94" s="77">
        <f t="shared" si="12"/>
        <v>45995</v>
      </c>
      <c r="H94" s="77">
        <f t="shared" si="13"/>
        <v>45983</v>
      </c>
      <c r="I94" s="77">
        <f t="shared" si="14"/>
        <v>45990</v>
      </c>
      <c r="J94" s="77">
        <v>46002</v>
      </c>
      <c r="K94" s="78">
        <f t="shared" si="15"/>
        <v>27</v>
      </c>
      <c r="L94" s="25">
        <v>13.66</v>
      </c>
      <c r="M94" s="25">
        <v>12.73</v>
      </c>
      <c r="N94" s="25">
        <f t="shared" si="16"/>
        <v>0.92999999999999972</v>
      </c>
      <c r="O94" s="25" t="s">
        <v>593</v>
      </c>
    </row>
    <row r="95" spans="1:15" x14ac:dyDescent="0.25">
      <c r="A95" s="77">
        <v>45975</v>
      </c>
      <c r="B95" s="25" t="s">
        <v>550</v>
      </c>
      <c r="C95" s="25"/>
      <c r="D95" s="77">
        <f t="shared" si="9"/>
        <v>45998</v>
      </c>
      <c r="E95" s="77">
        <f t="shared" si="10"/>
        <v>45982</v>
      </c>
      <c r="F95" s="77">
        <f t="shared" si="11"/>
        <v>45989</v>
      </c>
      <c r="G95" s="77">
        <f t="shared" si="12"/>
        <v>45995</v>
      </c>
      <c r="H95" s="77">
        <f t="shared" si="13"/>
        <v>45983</v>
      </c>
      <c r="I95" s="77">
        <f t="shared" si="14"/>
        <v>45990</v>
      </c>
      <c r="J95" s="77">
        <v>46002</v>
      </c>
      <c r="K95" s="78">
        <f t="shared" si="15"/>
        <v>27</v>
      </c>
      <c r="L95" s="25">
        <v>15.17</v>
      </c>
      <c r="M95" s="25">
        <v>14.58</v>
      </c>
      <c r="N95" s="25">
        <f t="shared" si="16"/>
        <v>0.58999999999999986</v>
      </c>
      <c r="O95" s="25" t="s">
        <v>593</v>
      </c>
    </row>
    <row r="96" spans="1:15" x14ac:dyDescent="0.25">
      <c r="A96" s="77">
        <v>45975</v>
      </c>
      <c r="B96" s="25" t="s">
        <v>551</v>
      </c>
      <c r="C96" s="25"/>
      <c r="D96" s="77">
        <f t="shared" si="9"/>
        <v>45998</v>
      </c>
      <c r="E96" s="77">
        <f t="shared" si="10"/>
        <v>45982</v>
      </c>
      <c r="F96" s="77">
        <f t="shared" si="11"/>
        <v>45989</v>
      </c>
      <c r="G96" s="77">
        <f t="shared" si="12"/>
        <v>45995</v>
      </c>
      <c r="H96" s="77">
        <f t="shared" si="13"/>
        <v>45983</v>
      </c>
      <c r="I96" s="77">
        <f t="shared" si="14"/>
        <v>45990</v>
      </c>
      <c r="J96" s="77">
        <v>46002</v>
      </c>
      <c r="K96" s="78">
        <f t="shared" si="15"/>
        <v>27</v>
      </c>
      <c r="L96" s="25">
        <v>14.25</v>
      </c>
      <c r="M96" s="25">
        <v>13.1</v>
      </c>
      <c r="N96" s="25">
        <f t="shared" si="16"/>
        <v>1.1500000000000004</v>
      </c>
      <c r="O96" s="25" t="s">
        <v>593</v>
      </c>
    </row>
    <row r="97" spans="1:15" x14ac:dyDescent="0.25">
      <c r="A97" s="77">
        <v>45975</v>
      </c>
      <c r="B97" s="25" t="s">
        <v>545</v>
      </c>
      <c r="C97" s="25"/>
      <c r="D97" s="77">
        <f t="shared" si="9"/>
        <v>45998</v>
      </c>
      <c r="E97" s="77">
        <f t="shared" si="10"/>
        <v>45982</v>
      </c>
      <c r="F97" s="77">
        <f t="shared" si="11"/>
        <v>45989</v>
      </c>
      <c r="G97" s="77">
        <f t="shared" si="12"/>
        <v>45995</v>
      </c>
      <c r="H97" s="77">
        <f t="shared" si="13"/>
        <v>45983</v>
      </c>
      <c r="I97" s="77">
        <f t="shared" si="14"/>
        <v>45990</v>
      </c>
      <c r="J97" s="77">
        <v>46003</v>
      </c>
      <c r="K97" s="78">
        <f t="shared" si="15"/>
        <v>28</v>
      </c>
      <c r="L97" s="25">
        <v>10.98</v>
      </c>
      <c r="M97" s="25">
        <v>4.1100000000000003</v>
      </c>
      <c r="N97" s="25">
        <f t="shared" si="16"/>
        <v>6.87</v>
      </c>
      <c r="O97" s="25" t="s">
        <v>592</v>
      </c>
    </row>
    <row r="98" spans="1:15" x14ac:dyDescent="0.25">
      <c r="A98" s="77">
        <v>45975</v>
      </c>
      <c r="B98" s="25" t="s">
        <v>546</v>
      </c>
      <c r="C98" s="25"/>
      <c r="D98" s="77">
        <f t="shared" si="9"/>
        <v>45998</v>
      </c>
      <c r="E98" s="77">
        <f t="shared" si="10"/>
        <v>45982</v>
      </c>
      <c r="F98" s="77">
        <f t="shared" si="11"/>
        <v>45989</v>
      </c>
      <c r="G98" s="77">
        <f t="shared" si="12"/>
        <v>45995</v>
      </c>
      <c r="H98" s="77">
        <f t="shared" si="13"/>
        <v>45983</v>
      </c>
      <c r="I98" s="77">
        <f t="shared" si="14"/>
        <v>45990</v>
      </c>
      <c r="J98" s="77">
        <v>46003</v>
      </c>
      <c r="K98" s="78">
        <f t="shared" si="15"/>
        <v>28</v>
      </c>
      <c r="L98" s="25">
        <v>11.61</v>
      </c>
      <c r="M98" s="25">
        <v>5.21</v>
      </c>
      <c r="N98" s="25">
        <f t="shared" si="16"/>
        <v>6.3999999999999995</v>
      </c>
      <c r="O98" s="25" t="s">
        <v>592</v>
      </c>
    </row>
    <row r="99" spans="1:15" x14ac:dyDescent="0.25">
      <c r="A99" s="77">
        <v>45975</v>
      </c>
      <c r="B99" s="25" t="s">
        <v>547</v>
      </c>
      <c r="C99" s="25"/>
      <c r="D99" s="77">
        <f t="shared" si="9"/>
        <v>45998</v>
      </c>
      <c r="E99" s="77">
        <f t="shared" si="10"/>
        <v>45982</v>
      </c>
      <c r="F99" s="77">
        <f t="shared" si="11"/>
        <v>45989</v>
      </c>
      <c r="G99" s="77">
        <f t="shared" si="12"/>
        <v>45995</v>
      </c>
      <c r="H99" s="77">
        <f t="shared" si="13"/>
        <v>45983</v>
      </c>
      <c r="I99" s="77">
        <f t="shared" si="14"/>
        <v>45990</v>
      </c>
      <c r="J99" s="77">
        <v>46003</v>
      </c>
      <c r="K99" s="78">
        <f t="shared" ref="K99:K162" si="17">J99-A99</f>
        <v>28</v>
      </c>
      <c r="L99" s="25">
        <v>10.43</v>
      </c>
      <c r="M99" s="25">
        <v>4.6399999999999997</v>
      </c>
      <c r="N99" s="25">
        <f t="shared" si="16"/>
        <v>5.79</v>
      </c>
      <c r="O99" s="25" t="s">
        <v>592</v>
      </c>
    </row>
    <row r="100" spans="1:15" x14ac:dyDescent="0.25">
      <c r="A100" s="77">
        <v>45975</v>
      </c>
      <c r="B100" s="25" t="s">
        <v>548</v>
      </c>
      <c r="C100" s="25"/>
      <c r="D100" s="77">
        <f t="shared" si="9"/>
        <v>45998</v>
      </c>
      <c r="E100" s="77">
        <f t="shared" si="10"/>
        <v>45982</v>
      </c>
      <c r="F100" s="77">
        <f t="shared" si="11"/>
        <v>45989</v>
      </c>
      <c r="G100" s="77">
        <f t="shared" si="12"/>
        <v>45995</v>
      </c>
      <c r="H100" s="77">
        <f t="shared" si="13"/>
        <v>45983</v>
      </c>
      <c r="I100" s="77">
        <f t="shared" si="14"/>
        <v>45990</v>
      </c>
      <c r="J100" s="77">
        <v>46003</v>
      </c>
      <c r="K100" s="78">
        <f t="shared" si="17"/>
        <v>28</v>
      </c>
      <c r="L100" s="25">
        <v>11.82</v>
      </c>
      <c r="M100" s="25">
        <v>5.71</v>
      </c>
      <c r="N100" s="25">
        <f t="shared" si="16"/>
        <v>6.11</v>
      </c>
      <c r="O100" s="25" t="s">
        <v>592</v>
      </c>
    </row>
    <row r="101" spans="1:15" x14ac:dyDescent="0.25">
      <c r="A101" s="77">
        <v>45976</v>
      </c>
      <c r="B101" s="25" t="s">
        <v>537</v>
      </c>
      <c r="C101" s="25"/>
      <c r="D101" s="77">
        <f t="shared" si="9"/>
        <v>45999</v>
      </c>
      <c r="E101" s="77">
        <f t="shared" si="10"/>
        <v>45983</v>
      </c>
      <c r="F101" s="77">
        <f t="shared" si="11"/>
        <v>45990</v>
      </c>
      <c r="G101" s="77">
        <f t="shared" si="12"/>
        <v>45996</v>
      </c>
      <c r="H101" s="77">
        <f t="shared" si="13"/>
        <v>45984</v>
      </c>
      <c r="I101" s="77">
        <f t="shared" si="14"/>
        <v>45991</v>
      </c>
      <c r="J101" s="77">
        <v>46003</v>
      </c>
      <c r="K101" s="78">
        <f t="shared" si="17"/>
        <v>27</v>
      </c>
      <c r="L101" s="25">
        <v>9.76</v>
      </c>
      <c r="M101" s="25">
        <v>8.6199999999999992</v>
      </c>
      <c r="N101" s="25">
        <f t="shared" si="16"/>
        <v>1.1400000000000006</v>
      </c>
      <c r="O101" s="25" t="s">
        <v>593</v>
      </c>
    </row>
    <row r="102" spans="1:15" x14ac:dyDescent="0.25">
      <c r="A102" s="77">
        <v>45976</v>
      </c>
      <c r="B102" s="25" t="s">
        <v>538</v>
      </c>
      <c r="C102" s="25"/>
      <c r="D102" s="77">
        <f t="shared" si="9"/>
        <v>45999</v>
      </c>
      <c r="E102" s="77">
        <f t="shared" si="10"/>
        <v>45983</v>
      </c>
      <c r="F102" s="77">
        <f t="shared" si="11"/>
        <v>45990</v>
      </c>
      <c r="G102" s="77">
        <f t="shared" si="12"/>
        <v>45996</v>
      </c>
      <c r="H102" s="77">
        <f t="shared" si="13"/>
        <v>45984</v>
      </c>
      <c r="I102" s="77">
        <f t="shared" si="14"/>
        <v>45991</v>
      </c>
      <c r="J102" s="77">
        <v>46003</v>
      </c>
      <c r="K102" s="78">
        <f t="shared" si="17"/>
        <v>27</v>
      </c>
      <c r="L102" s="25">
        <v>9.81</v>
      </c>
      <c r="M102" s="25">
        <v>8.76</v>
      </c>
      <c r="N102" s="25">
        <f t="shared" si="16"/>
        <v>1.0500000000000007</v>
      </c>
      <c r="O102" s="25" t="s">
        <v>593</v>
      </c>
    </row>
    <row r="103" spans="1:15" x14ac:dyDescent="0.25">
      <c r="A103" s="77">
        <v>45976</v>
      </c>
      <c r="B103" s="25" t="s">
        <v>539</v>
      </c>
      <c r="C103" s="25"/>
      <c r="D103" s="77">
        <f t="shared" si="9"/>
        <v>45999</v>
      </c>
      <c r="E103" s="77">
        <f t="shared" si="10"/>
        <v>45983</v>
      </c>
      <c r="F103" s="77">
        <f t="shared" si="11"/>
        <v>45990</v>
      </c>
      <c r="G103" s="77">
        <f t="shared" si="12"/>
        <v>45996</v>
      </c>
      <c r="H103" s="77">
        <f t="shared" si="13"/>
        <v>45984</v>
      </c>
      <c r="I103" s="77">
        <f t="shared" si="14"/>
        <v>45991</v>
      </c>
      <c r="J103" s="77">
        <v>46003</v>
      </c>
      <c r="K103" s="78">
        <f t="shared" si="17"/>
        <v>27</v>
      </c>
      <c r="L103" s="25">
        <v>13.25</v>
      </c>
      <c r="M103" s="25">
        <v>12.15</v>
      </c>
      <c r="N103" s="25">
        <f t="shared" si="16"/>
        <v>1.0999999999999996</v>
      </c>
      <c r="O103" s="25" t="s">
        <v>593</v>
      </c>
    </row>
    <row r="104" spans="1:15" x14ac:dyDescent="0.25">
      <c r="A104" s="77">
        <v>45976</v>
      </c>
      <c r="B104" s="25" t="s">
        <v>540</v>
      </c>
      <c r="C104" s="25"/>
      <c r="D104" s="77">
        <f t="shared" si="9"/>
        <v>45999</v>
      </c>
      <c r="E104" s="77">
        <f t="shared" si="10"/>
        <v>45983</v>
      </c>
      <c r="F104" s="77">
        <f t="shared" si="11"/>
        <v>45990</v>
      </c>
      <c r="G104" s="77">
        <f t="shared" si="12"/>
        <v>45996</v>
      </c>
      <c r="H104" s="77">
        <f t="shared" si="13"/>
        <v>45984</v>
      </c>
      <c r="I104" s="77">
        <f t="shared" si="14"/>
        <v>45991</v>
      </c>
      <c r="J104" s="77">
        <v>46003</v>
      </c>
      <c r="K104" s="78">
        <f t="shared" si="17"/>
        <v>27</v>
      </c>
      <c r="L104" s="25">
        <v>13.53</v>
      </c>
      <c r="M104" s="25">
        <v>12.37</v>
      </c>
      <c r="N104" s="25">
        <f t="shared" si="16"/>
        <v>1.1600000000000001</v>
      </c>
      <c r="O104" s="25" t="s">
        <v>593</v>
      </c>
    </row>
    <row r="105" spans="1:15" x14ac:dyDescent="0.25">
      <c r="A105" s="77">
        <v>45976</v>
      </c>
      <c r="B105" s="25" t="s">
        <v>541</v>
      </c>
      <c r="C105" s="25"/>
      <c r="D105" s="77">
        <f t="shared" si="9"/>
        <v>45999</v>
      </c>
      <c r="E105" s="77">
        <f t="shared" si="10"/>
        <v>45983</v>
      </c>
      <c r="F105" s="77">
        <f t="shared" si="11"/>
        <v>45990</v>
      </c>
      <c r="G105" s="77">
        <f t="shared" si="12"/>
        <v>45996</v>
      </c>
      <c r="H105" s="77">
        <f t="shared" si="13"/>
        <v>45984</v>
      </c>
      <c r="I105" s="77">
        <f t="shared" si="14"/>
        <v>45991</v>
      </c>
      <c r="J105" s="77">
        <v>46003</v>
      </c>
      <c r="K105" s="78">
        <f t="shared" si="17"/>
        <v>27</v>
      </c>
      <c r="L105" s="25">
        <v>12.49</v>
      </c>
      <c r="M105" s="25">
        <v>11.21</v>
      </c>
      <c r="N105" s="25">
        <f t="shared" si="16"/>
        <v>1.2799999999999994</v>
      </c>
      <c r="O105" s="25" t="s">
        <v>593</v>
      </c>
    </row>
    <row r="106" spans="1:15" x14ac:dyDescent="0.25">
      <c r="A106" s="77">
        <v>45976</v>
      </c>
      <c r="B106" s="25" t="s">
        <v>542</v>
      </c>
      <c r="C106" s="25"/>
      <c r="D106" s="77">
        <f t="shared" si="9"/>
        <v>45999</v>
      </c>
      <c r="E106" s="77">
        <f t="shared" si="10"/>
        <v>45983</v>
      </c>
      <c r="F106" s="77">
        <f t="shared" si="11"/>
        <v>45990</v>
      </c>
      <c r="G106" s="77">
        <f t="shared" si="12"/>
        <v>45996</v>
      </c>
      <c r="H106" s="77">
        <f t="shared" si="13"/>
        <v>45984</v>
      </c>
      <c r="I106" s="77">
        <f t="shared" si="14"/>
        <v>45991</v>
      </c>
      <c r="J106" s="77">
        <v>46003</v>
      </c>
      <c r="K106" s="78">
        <f t="shared" si="17"/>
        <v>27</v>
      </c>
      <c r="L106" s="25">
        <v>13.17</v>
      </c>
      <c r="M106" s="25">
        <v>12.56</v>
      </c>
      <c r="N106" s="25">
        <f t="shared" si="16"/>
        <v>0.60999999999999943</v>
      </c>
      <c r="O106" s="25" t="s">
        <v>593</v>
      </c>
    </row>
    <row r="107" spans="1:15" x14ac:dyDescent="0.25">
      <c r="A107" s="77">
        <v>45976</v>
      </c>
      <c r="B107" s="25" t="s">
        <v>543</v>
      </c>
      <c r="C107" s="25"/>
      <c r="D107" s="77">
        <f t="shared" si="9"/>
        <v>45999</v>
      </c>
      <c r="E107" s="77">
        <f t="shared" si="10"/>
        <v>45983</v>
      </c>
      <c r="F107" s="77">
        <f t="shared" si="11"/>
        <v>45990</v>
      </c>
      <c r="G107" s="77">
        <f t="shared" si="12"/>
        <v>45996</v>
      </c>
      <c r="H107" s="77">
        <f t="shared" si="13"/>
        <v>45984</v>
      </c>
      <c r="I107" s="77">
        <f t="shared" si="14"/>
        <v>45991</v>
      </c>
      <c r="J107" s="77">
        <v>46003</v>
      </c>
      <c r="K107" s="78">
        <f t="shared" si="17"/>
        <v>27</v>
      </c>
      <c r="L107" s="25">
        <v>10.56</v>
      </c>
      <c r="M107" s="25">
        <v>4.71</v>
      </c>
      <c r="N107" s="25">
        <f t="shared" si="16"/>
        <v>5.8500000000000005</v>
      </c>
      <c r="O107" s="25" t="s">
        <v>593</v>
      </c>
    </row>
    <row r="108" spans="1:15" x14ac:dyDescent="0.25">
      <c r="A108" s="77">
        <v>45976</v>
      </c>
      <c r="B108" s="25" t="s">
        <v>544</v>
      </c>
      <c r="C108" s="25"/>
      <c r="D108" s="77">
        <f t="shared" si="9"/>
        <v>45999</v>
      </c>
      <c r="E108" s="77">
        <f t="shared" si="10"/>
        <v>45983</v>
      </c>
      <c r="F108" s="77">
        <f t="shared" si="11"/>
        <v>45990</v>
      </c>
      <c r="G108" s="77">
        <f t="shared" si="12"/>
        <v>45996</v>
      </c>
      <c r="H108" s="77">
        <f t="shared" si="13"/>
        <v>45984</v>
      </c>
      <c r="I108" s="77">
        <f t="shared" si="14"/>
        <v>45991</v>
      </c>
      <c r="J108" s="77">
        <v>46003</v>
      </c>
      <c r="K108" s="78">
        <f t="shared" si="17"/>
        <v>27</v>
      </c>
      <c r="L108" s="25">
        <v>11.09</v>
      </c>
      <c r="M108" s="25">
        <v>5.04</v>
      </c>
      <c r="N108" s="25">
        <f t="shared" si="16"/>
        <v>6.05</v>
      </c>
      <c r="O108" s="25" t="s">
        <v>593</v>
      </c>
    </row>
    <row r="109" spans="1:15" x14ac:dyDescent="0.25">
      <c r="A109" s="77">
        <v>45977</v>
      </c>
      <c r="B109" s="25" t="s">
        <v>513</v>
      </c>
      <c r="C109" s="25"/>
      <c r="D109" s="77">
        <f t="shared" si="9"/>
        <v>46000</v>
      </c>
      <c r="E109" s="77">
        <f t="shared" si="10"/>
        <v>45984</v>
      </c>
      <c r="F109" s="77">
        <f t="shared" si="11"/>
        <v>45991</v>
      </c>
      <c r="G109" s="77">
        <f t="shared" si="12"/>
        <v>45997</v>
      </c>
      <c r="H109" s="77">
        <f t="shared" si="13"/>
        <v>45985</v>
      </c>
      <c r="I109" s="77">
        <f t="shared" si="14"/>
        <v>45992</v>
      </c>
      <c r="J109" s="77">
        <v>46004</v>
      </c>
      <c r="K109" s="78">
        <f t="shared" si="17"/>
        <v>27</v>
      </c>
      <c r="L109" s="25">
        <v>12.55</v>
      </c>
      <c r="M109" s="25">
        <v>6.07</v>
      </c>
      <c r="N109" s="25">
        <f t="shared" si="16"/>
        <v>6.48</v>
      </c>
      <c r="O109" s="25" t="s">
        <v>592</v>
      </c>
    </row>
    <row r="110" spans="1:15" x14ac:dyDescent="0.25">
      <c r="A110" s="77">
        <v>45977</v>
      </c>
      <c r="B110" s="25" t="s">
        <v>514</v>
      </c>
      <c r="C110" s="25"/>
      <c r="D110" s="77">
        <f t="shared" si="9"/>
        <v>46000</v>
      </c>
      <c r="E110" s="77">
        <f t="shared" si="10"/>
        <v>45984</v>
      </c>
      <c r="F110" s="77">
        <f t="shared" si="11"/>
        <v>45991</v>
      </c>
      <c r="G110" s="77">
        <f t="shared" si="12"/>
        <v>45997</v>
      </c>
      <c r="H110" s="77">
        <f t="shared" si="13"/>
        <v>45985</v>
      </c>
      <c r="I110" s="77">
        <f t="shared" si="14"/>
        <v>45992</v>
      </c>
      <c r="J110" s="77">
        <v>46004</v>
      </c>
      <c r="K110" s="78">
        <f t="shared" si="17"/>
        <v>27</v>
      </c>
      <c r="L110" s="25">
        <v>11.71</v>
      </c>
      <c r="M110" s="25">
        <v>5.58</v>
      </c>
      <c r="N110" s="25">
        <f t="shared" si="16"/>
        <v>6.1300000000000008</v>
      </c>
      <c r="O110" s="25" t="s">
        <v>592</v>
      </c>
    </row>
    <row r="111" spans="1:15" x14ac:dyDescent="0.25">
      <c r="A111" s="77">
        <v>45977</v>
      </c>
      <c r="B111" s="25" t="s">
        <v>515</v>
      </c>
      <c r="C111" s="25"/>
      <c r="D111" s="77">
        <f t="shared" si="9"/>
        <v>46000</v>
      </c>
      <c r="E111" s="77">
        <f t="shared" si="10"/>
        <v>45984</v>
      </c>
      <c r="F111" s="77">
        <f t="shared" si="11"/>
        <v>45991</v>
      </c>
      <c r="G111" s="77">
        <f t="shared" si="12"/>
        <v>45997</v>
      </c>
      <c r="H111" s="77">
        <f t="shared" si="13"/>
        <v>45985</v>
      </c>
      <c r="I111" s="77">
        <f t="shared" si="14"/>
        <v>45992</v>
      </c>
      <c r="J111" s="77">
        <v>46004</v>
      </c>
      <c r="K111" s="78">
        <f t="shared" si="17"/>
        <v>27</v>
      </c>
      <c r="L111" s="25">
        <v>11.62</v>
      </c>
      <c r="M111" s="25">
        <v>5.22</v>
      </c>
      <c r="N111" s="25">
        <f t="shared" si="16"/>
        <v>6.3999999999999995</v>
      </c>
      <c r="O111" s="25" t="s">
        <v>592</v>
      </c>
    </row>
    <row r="112" spans="1:15" x14ac:dyDescent="0.25">
      <c r="A112" s="77">
        <v>45977</v>
      </c>
      <c r="B112" s="25" t="s">
        <v>516</v>
      </c>
      <c r="C112" s="25"/>
      <c r="D112" s="77">
        <f t="shared" si="9"/>
        <v>46000</v>
      </c>
      <c r="E112" s="77">
        <f t="shared" si="10"/>
        <v>45984</v>
      </c>
      <c r="F112" s="77">
        <f t="shared" si="11"/>
        <v>45991</v>
      </c>
      <c r="G112" s="77">
        <f t="shared" si="12"/>
        <v>45997</v>
      </c>
      <c r="H112" s="77">
        <f t="shared" si="13"/>
        <v>45985</v>
      </c>
      <c r="I112" s="77">
        <f t="shared" si="14"/>
        <v>45992</v>
      </c>
      <c r="J112" s="77">
        <v>46004</v>
      </c>
      <c r="K112" s="78">
        <f t="shared" si="17"/>
        <v>27</v>
      </c>
      <c r="L112" s="25">
        <v>12.47</v>
      </c>
      <c r="M112" s="25">
        <v>11.29</v>
      </c>
      <c r="N112" s="25">
        <f t="shared" si="16"/>
        <v>1.1800000000000015</v>
      </c>
      <c r="O112" s="25" t="s">
        <v>593</v>
      </c>
    </row>
    <row r="113" spans="1:15" x14ac:dyDescent="0.25">
      <c r="A113" s="77">
        <v>45977</v>
      </c>
      <c r="B113" s="25" t="s">
        <v>517</v>
      </c>
      <c r="C113" s="25"/>
      <c r="D113" s="77">
        <f t="shared" si="9"/>
        <v>46000</v>
      </c>
      <c r="E113" s="77">
        <f t="shared" si="10"/>
        <v>45984</v>
      </c>
      <c r="F113" s="77">
        <f t="shared" si="11"/>
        <v>45991</v>
      </c>
      <c r="G113" s="77">
        <f t="shared" si="12"/>
        <v>45997</v>
      </c>
      <c r="H113" s="77">
        <f t="shared" si="13"/>
        <v>45985</v>
      </c>
      <c r="I113" s="77">
        <f t="shared" si="14"/>
        <v>45992</v>
      </c>
      <c r="J113" s="77">
        <v>46004</v>
      </c>
      <c r="K113" s="78">
        <f t="shared" si="17"/>
        <v>27</v>
      </c>
      <c r="L113" s="25">
        <v>11.81</v>
      </c>
      <c r="M113" s="25">
        <v>10.76</v>
      </c>
      <c r="N113" s="25">
        <f t="shared" si="16"/>
        <v>1.0500000000000007</v>
      </c>
      <c r="O113" s="25" t="s">
        <v>593</v>
      </c>
    </row>
    <row r="114" spans="1:15" x14ac:dyDescent="0.25">
      <c r="A114" s="77">
        <v>45977</v>
      </c>
      <c r="B114" s="25" t="s">
        <v>518</v>
      </c>
      <c r="C114" s="25"/>
      <c r="D114" s="77">
        <f t="shared" si="9"/>
        <v>46000</v>
      </c>
      <c r="E114" s="77">
        <f t="shared" si="10"/>
        <v>45984</v>
      </c>
      <c r="F114" s="77">
        <f t="shared" si="11"/>
        <v>45991</v>
      </c>
      <c r="G114" s="77">
        <f t="shared" si="12"/>
        <v>45997</v>
      </c>
      <c r="H114" s="77">
        <f t="shared" si="13"/>
        <v>45985</v>
      </c>
      <c r="I114" s="77">
        <f t="shared" si="14"/>
        <v>45992</v>
      </c>
      <c r="J114" s="77">
        <v>46004</v>
      </c>
      <c r="K114" s="78">
        <f t="shared" si="17"/>
        <v>27</v>
      </c>
      <c r="L114" s="25">
        <v>13.49</v>
      </c>
      <c r="M114" s="25">
        <v>12.15</v>
      </c>
      <c r="N114" s="25">
        <f t="shared" si="16"/>
        <v>1.3399999999999999</v>
      </c>
      <c r="O114" s="25" t="s">
        <v>593</v>
      </c>
    </row>
    <row r="115" spans="1:15" x14ac:dyDescent="0.25">
      <c r="A115" s="77">
        <v>45977</v>
      </c>
      <c r="B115" s="25" t="s">
        <v>519</v>
      </c>
      <c r="C115" s="25"/>
      <c r="D115" s="77">
        <f t="shared" si="9"/>
        <v>46000</v>
      </c>
      <c r="E115" s="77">
        <f t="shared" si="10"/>
        <v>45984</v>
      </c>
      <c r="F115" s="77">
        <f t="shared" si="11"/>
        <v>45991</v>
      </c>
      <c r="G115" s="77">
        <f t="shared" si="12"/>
        <v>45997</v>
      </c>
      <c r="H115" s="77">
        <f t="shared" si="13"/>
        <v>45985</v>
      </c>
      <c r="I115" s="77">
        <f t="shared" si="14"/>
        <v>45992</v>
      </c>
      <c r="J115" s="77">
        <v>46004</v>
      </c>
      <c r="K115" s="78">
        <f t="shared" si="17"/>
        <v>27</v>
      </c>
      <c r="L115" s="25">
        <v>12.68</v>
      </c>
      <c r="M115" s="25">
        <v>11.33</v>
      </c>
      <c r="N115" s="25">
        <f t="shared" si="16"/>
        <v>1.3499999999999996</v>
      </c>
      <c r="O115" s="25" t="s">
        <v>593</v>
      </c>
    </row>
    <row r="116" spans="1:15" x14ac:dyDescent="0.25">
      <c r="A116" s="77">
        <v>45978</v>
      </c>
      <c r="B116" s="25" t="s">
        <v>520</v>
      </c>
      <c r="C116" s="25"/>
      <c r="D116" s="77">
        <f t="shared" si="9"/>
        <v>46001</v>
      </c>
      <c r="E116" s="77">
        <f t="shared" si="10"/>
        <v>45985</v>
      </c>
      <c r="F116" s="77">
        <f t="shared" si="11"/>
        <v>45992</v>
      </c>
      <c r="G116" s="77">
        <f t="shared" si="12"/>
        <v>45998</v>
      </c>
      <c r="H116" s="77">
        <f t="shared" si="13"/>
        <v>45986</v>
      </c>
      <c r="I116" s="77">
        <f t="shared" si="14"/>
        <v>45993</v>
      </c>
      <c r="J116" s="77">
        <v>46005</v>
      </c>
      <c r="K116" s="78">
        <f t="shared" si="17"/>
        <v>27</v>
      </c>
      <c r="L116" s="25">
        <v>12.74</v>
      </c>
      <c r="M116" s="25">
        <v>6.28</v>
      </c>
      <c r="N116" s="25">
        <f t="shared" si="16"/>
        <v>6.46</v>
      </c>
      <c r="O116" s="25" t="s">
        <v>592</v>
      </c>
    </row>
    <row r="117" spans="1:15" x14ac:dyDescent="0.25">
      <c r="A117" s="77">
        <v>45978</v>
      </c>
      <c r="B117" s="25" t="s">
        <v>521</v>
      </c>
      <c r="C117" s="25"/>
      <c r="D117" s="77">
        <f t="shared" si="9"/>
        <v>46001</v>
      </c>
      <c r="E117" s="77">
        <f t="shared" si="10"/>
        <v>45985</v>
      </c>
      <c r="F117" s="77">
        <f t="shared" si="11"/>
        <v>45992</v>
      </c>
      <c r="G117" s="77">
        <f t="shared" si="12"/>
        <v>45998</v>
      </c>
      <c r="H117" s="77">
        <f t="shared" si="13"/>
        <v>45986</v>
      </c>
      <c r="I117" s="77">
        <f t="shared" si="14"/>
        <v>45993</v>
      </c>
      <c r="J117" s="77">
        <v>46005</v>
      </c>
      <c r="K117" s="78">
        <f t="shared" si="17"/>
        <v>27</v>
      </c>
      <c r="L117" s="25">
        <v>14.52</v>
      </c>
      <c r="M117" s="25">
        <v>7.31</v>
      </c>
      <c r="N117" s="25">
        <f t="shared" si="16"/>
        <v>7.21</v>
      </c>
      <c r="O117" s="25" t="s">
        <v>592</v>
      </c>
    </row>
    <row r="118" spans="1:15" x14ac:dyDescent="0.25">
      <c r="A118" s="77">
        <v>45978</v>
      </c>
      <c r="B118" s="25" t="s">
        <v>522</v>
      </c>
      <c r="C118" s="25"/>
      <c r="D118" s="77">
        <f t="shared" si="9"/>
        <v>46001</v>
      </c>
      <c r="E118" s="77">
        <f t="shared" si="10"/>
        <v>45985</v>
      </c>
      <c r="F118" s="77">
        <f t="shared" si="11"/>
        <v>45992</v>
      </c>
      <c r="G118" s="77">
        <f t="shared" si="12"/>
        <v>45998</v>
      </c>
      <c r="H118" s="77">
        <f t="shared" si="13"/>
        <v>45986</v>
      </c>
      <c r="I118" s="77">
        <f t="shared" si="14"/>
        <v>45993</v>
      </c>
      <c r="J118" s="77">
        <v>46005</v>
      </c>
      <c r="K118" s="78">
        <f t="shared" si="17"/>
        <v>27</v>
      </c>
      <c r="L118" s="25">
        <v>14.81</v>
      </c>
      <c r="M118" s="25">
        <v>7.52</v>
      </c>
      <c r="N118" s="25">
        <f t="shared" si="16"/>
        <v>7.2900000000000009</v>
      </c>
      <c r="O118" s="25" t="s">
        <v>592</v>
      </c>
    </row>
    <row r="119" spans="1:15" x14ac:dyDescent="0.25">
      <c r="A119" s="77">
        <v>45978</v>
      </c>
      <c r="B119" s="25" t="s">
        <v>523</v>
      </c>
      <c r="C119" s="25"/>
      <c r="D119" s="77">
        <f t="shared" si="9"/>
        <v>46001</v>
      </c>
      <c r="E119" s="77">
        <f t="shared" si="10"/>
        <v>45985</v>
      </c>
      <c r="F119" s="77">
        <f t="shared" si="11"/>
        <v>45992</v>
      </c>
      <c r="G119" s="77">
        <f t="shared" si="12"/>
        <v>45998</v>
      </c>
      <c r="H119" s="77">
        <f t="shared" si="13"/>
        <v>45986</v>
      </c>
      <c r="I119" s="77">
        <f t="shared" si="14"/>
        <v>45993</v>
      </c>
      <c r="J119" s="77">
        <v>46005</v>
      </c>
      <c r="K119" s="78">
        <f t="shared" si="17"/>
        <v>27</v>
      </c>
      <c r="L119" s="25">
        <v>13.1</v>
      </c>
      <c r="M119" s="25">
        <v>6.98</v>
      </c>
      <c r="N119" s="25">
        <f t="shared" si="16"/>
        <v>6.1199999999999992</v>
      </c>
      <c r="O119" s="25" t="s">
        <v>592</v>
      </c>
    </row>
    <row r="120" spans="1:15" x14ac:dyDescent="0.25">
      <c r="A120" s="77">
        <v>45978</v>
      </c>
      <c r="B120" s="25" t="s">
        <v>524</v>
      </c>
      <c r="C120" s="25"/>
      <c r="D120" s="77">
        <f t="shared" si="9"/>
        <v>46001</v>
      </c>
      <c r="E120" s="77">
        <f t="shared" si="10"/>
        <v>45985</v>
      </c>
      <c r="F120" s="77">
        <f t="shared" si="11"/>
        <v>45992</v>
      </c>
      <c r="G120" s="77">
        <f t="shared" si="12"/>
        <v>45998</v>
      </c>
      <c r="H120" s="77">
        <f t="shared" si="13"/>
        <v>45986</v>
      </c>
      <c r="I120" s="77">
        <f t="shared" si="14"/>
        <v>45993</v>
      </c>
      <c r="J120" s="77">
        <v>46005</v>
      </c>
      <c r="K120" s="78">
        <f t="shared" si="17"/>
        <v>27</v>
      </c>
      <c r="L120" s="25">
        <v>11.66</v>
      </c>
      <c r="M120" s="25">
        <v>10.210000000000001</v>
      </c>
      <c r="N120" s="25">
        <f t="shared" si="16"/>
        <v>1.4499999999999993</v>
      </c>
      <c r="O120" s="25" t="s">
        <v>593</v>
      </c>
    </row>
    <row r="121" spans="1:15" x14ac:dyDescent="0.25">
      <c r="A121" s="77">
        <v>45978</v>
      </c>
      <c r="B121" s="25" t="s">
        <v>525</v>
      </c>
      <c r="C121" s="25"/>
      <c r="D121" s="77">
        <f t="shared" si="9"/>
        <v>46001</v>
      </c>
      <c r="E121" s="77">
        <f t="shared" si="10"/>
        <v>45985</v>
      </c>
      <c r="F121" s="77">
        <f t="shared" si="11"/>
        <v>45992</v>
      </c>
      <c r="G121" s="77">
        <f t="shared" si="12"/>
        <v>45998</v>
      </c>
      <c r="H121" s="77">
        <f t="shared" si="13"/>
        <v>45986</v>
      </c>
      <c r="I121" s="77">
        <f t="shared" si="14"/>
        <v>45993</v>
      </c>
      <c r="J121" s="77">
        <v>46005</v>
      </c>
      <c r="K121" s="78">
        <f t="shared" si="17"/>
        <v>27</v>
      </c>
      <c r="L121" s="25">
        <v>13.79</v>
      </c>
      <c r="M121" s="25">
        <v>12.17</v>
      </c>
      <c r="N121" s="25">
        <f t="shared" si="16"/>
        <v>1.6199999999999992</v>
      </c>
      <c r="O121" s="25" t="s">
        <v>593</v>
      </c>
    </row>
    <row r="122" spans="1:15" x14ac:dyDescent="0.25">
      <c r="A122" s="77">
        <v>45978</v>
      </c>
      <c r="B122" s="25" t="s">
        <v>526</v>
      </c>
      <c r="C122" s="25"/>
      <c r="D122" s="77">
        <f t="shared" si="9"/>
        <v>46001</v>
      </c>
      <c r="E122" s="77">
        <f t="shared" si="10"/>
        <v>45985</v>
      </c>
      <c r="F122" s="77">
        <f t="shared" si="11"/>
        <v>45992</v>
      </c>
      <c r="G122" s="77">
        <f t="shared" si="12"/>
        <v>45998</v>
      </c>
      <c r="H122" s="77">
        <f t="shared" si="13"/>
        <v>45986</v>
      </c>
      <c r="I122" s="77">
        <f t="shared" si="14"/>
        <v>45993</v>
      </c>
      <c r="J122" s="77">
        <v>46005</v>
      </c>
      <c r="K122" s="78">
        <f t="shared" si="17"/>
        <v>27</v>
      </c>
      <c r="L122" s="25">
        <v>11.82</v>
      </c>
      <c r="M122" s="25">
        <v>10.58</v>
      </c>
      <c r="N122" s="25">
        <f t="shared" si="16"/>
        <v>1.2400000000000002</v>
      </c>
      <c r="O122" s="25" t="s">
        <v>593</v>
      </c>
    </row>
    <row r="123" spans="1:15" x14ac:dyDescent="0.25">
      <c r="A123" s="77">
        <v>45979</v>
      </c>
      <c r="B123" s="25" t="s">
        <v>527</v>
      </c>
      <c r="C123" s="25"/>
      <c r="D123" s="77">
        <f t="shared" si="9"/>
        <v>46002</v>
      </c>
      <c r="E123" s="77">
        <f t="shared" si="10"/>
        <v>45986</v>
      </c>
      <c r="F123" s="77">
        <f t="shared" si="11"/>
        <v>45993</v>
      </c>
      <c r="G123" s="77">
        <f t="shared" si="12"/>
        <v>45999</v>
      </c>
      <c r="H123" s="77">
        <f t="shared" si="13"/>
        <v>45987</v>
      </c>
      <c r="I123" s="77">
        <f t="shared" si="14"/>
        <v>45994</v>
      </c>
      <c r="J123" s="77">
        <v>46005</v>
      </c>
      <c r="K123" s="78">
        <f t="shared" si="17"/>
        <v>26</v>
      </c>
      <c r="L123" s="25">
        <v>12.75</v>
      </c>
      <c r="M123" s="25">
        <v>11.07</v>
      </c>
      <c r="N123" s="25">
        <f t="shared" si="16"/>
        <v>1.6799999999999997</v>
      </c>
      <c r="O123" s="25" t="s">
        <v>593</v>
      </c>
    </row>
    <row r="124" spans="1:15" x14ac:dyDescent="0.25">
      <c r="A124" s="77">
        <v>45979</v>
      </c>
      <c r="B124" s="25" t="s">
        <v>528</v>
      </c>
      <c r="C124" s="25"/>
      <c r="D124" s="77">
        <f t="shared" si="9"/>
        <v>46002</v>
      </c>
      <c r="E124" s="77">
        <f t="shared" si="10"/>
        <v>45986</v>
      </c>
      <c r="F124" s="77">
        <f t="shared" si="11"/>
        <v>45993</v>
      </c>
      <c r="G124" s="77">
        <f t="shared" si="12"/>
        <v>45999</v>
      </c>
      <c r="H124" s="77">
        <f t="shared" si="13"/>
        <v>45987</v>
      </c>
      <c r="I124" s="77">
        <f t="shared" si="14"/>
        <v>45994</v>
      </c>
      <c r="J124" s="77">
        <v>46005</v>
      </c>
      <c r="K124" s="78">
        <f t="shared" si="17"/>
        <v>26</v>
      </c>
      <c r="L124" s="25">
        <v>12.88</v>
      </c>
      <c r="M124" s="25">
        <v>11.16</v>
      </c>
      <c r="N124" s="25">
        <f t="shared" si="16"/>
        <v>1.7200000000000006</v>
      </c>
      <c r="O124" s="25" t="s">
        <v>593</v>
      </c>
    </row>
    <row r="125" spans="1:15" x14ac:dyDescent="0.25">
      <c r="A125" s="77">
        <v>45979</v>
      </c>
      <c r="B125" s="25" t="s">
        <v>529</v>
      </c>
      <c r="C125" s="25"/>
      <c r="D125" s="77">
        <f t="shared" si="9"/>
        <v>46002</v>
      </c>
      <c r="E125" s="77">
        <f t="shared" si="10"/>
        <v>45986</v>
      </c>
      <c r="F125" s="77">
        <f t="shared" si="11"/>
        <v>45993</v>
      </c>
      <c r="G125" s="77">
        <f t="shared" si="12"/>
        <v>45999</v>
      </c>
      <c r="H125" s="77">
        <f t="shared" si="13"/>
        <v>45987</v>
      </c>
      <c r="I125" s="77">
        <f t="shared" si="14"/>
        <v>45994</v>
      </c>
      <c r="J125" s="77">
        <v>46005</v>
      </c>
      <c r="K125" s="78">
        <f t="shared" si="17"/>
        <v>26</v>
      </c>
      <c r="L125" s="25">
        <v>13.54</v>
      </c>
      <c r="M125" s="25">
        <v>12.42</v>
      </c>
      <c r="N125" s="25">
        <f t="shared" si="16"/>
        <v>1.1199999999999992</v>
      </c>
      <c r="O125" s="25" t="s">
        <v>593</v>
      </c>
    </row>
    <row r="126" spans="1:15" x14ac:dyDescent="0.25">
      <c r="A126" s="77">
        <v>45979</v>
      </c>
      <c r="B126" s="25" t="s">
        <v>530</v>
      </c>
      <c r="C126" s="25"/>
      <c r="D126" s="77">
        <f t="shared" si="9"/>
        <v>46002</v>
      </c>
      <c r="E126" s="77">
        <f t="shared" si="10"/>
        <v>45986</v>
      </c>
      <c r="F126" s="77">
        <f t="shared" si="11"/>
        <v>45993</v>
      </c>
      <c r="G126" s="77">
        <f t="shared" si="12"/>
        <v>45999</v>
      </c>
      <c r="H126" s="77">
        <f t="shared" si="13"/>
        <v>45987</v>
      </c>
      <c r="I126" s="77">
        <f t="shared" si="14"/>
        <v>45994</v>
      </c>
      <c r="J126" s="77">
        <v>46006</v>
      </c>
      <c r="K126" s="78">
        <f t="shared" si="17"/>
        <v>27</v>
      </c>
      <c r="L126" s="25">
        <v>13.52</v>
      </c>
      <c r="M126" s="25">
        <v>5.91</v>
      </c>
      <c r="N126" s="25">
        <f t="shared" si="16"/>
        <v>7.6099999999999994</v>
      </c>
      <c r="O126" s="25" t="s">
        <v>592</v>
      </c>
    </row>
    <row r="127" spans="1:15" x14ac:dyDescent="0.25">
      <c r="A127" s="77">
        <v>45979</v>
      </c>
      <c r="B127" s="25" t="s">
        <v>531</v>
      </c>
      <c r="C127" s="25"/>
      <c r="D127" s="77">
        <f t="shared" si="9"/>
        <v>46002</v>
      </c>
      <c r="E127" s="77">
        <f t="shared" si="10"/>
        <v>45986</v>
      </c>
      <c r="F127" s="77">
        <f t="shared" si="11"/>
        <v>45993</v>
      </c>
      <c r="G127" s="77">
        <f t="shared" si="12"/>
        <v>45999</v>
      </c>
      <c r="H127" s="77">
        <f t="shared" si="13"/>
        <v>45987</v>
      </c>
      <c r="I127" s="77">
        <f t="shared" si="14"/>
        <v>45994</v>
      </c>
      <c r="J127" s="77">
        <v>46006</v>
      </c>
      <c r="K127" s="78">
        <f t="shared" si="17"/>
        <v>27</v>
      </c>
      <c r="L127" s="25">
        <v>12.96</v>
      </c>
      <c r="M127" s="25">
        <v>5.86</v>
      </c>
      <c r="N127" s="25">
        <f t="shared" si="16"/>
        <v>7.1000000000000005</v>
      </c>
      <c r="O127" s="25" t="s">
        <v>592</v>
      </c>
    </row>
    <row r="128" spans="1:15" x14ac:dyDescent="0.25">
      <c r="A128" s="77">
        <v>45979</v>
      </c>
      <c r="B128" s="25" t="s">
        <v>532</v>
      </c>
      <c r="C128" s="25"/>
      <c r="D128" s="77">
        <f t="shared" si="9"/>
        <v>46002</v>
      </c>
      <c r="E128" s="77">
        <f t="shared" si="10"/>
        <v>45986</v>
      </c>
      <c r="F128" s="77">
        <f t="shared" si="11"/>
        <v>45993</v>
      </c>
      <c r="G128" s="77">
        <f t="shared" si="12"/>
        <v>45999</v>
      </c>
      <c r="H128" s="77">
        <f t="shared" si="13"/>
        <v>45987</v>
      </c>
      <c r="I128" s="77">
        <f t="shared" si="14"/>
        <v>45994</v>
      </c>
      <c r="J128" s="77">
        <v>46006</v>
      </c>
      <c r="K128" s="78">
        <f t="shared" si="17"/>
        <v>27</v>
      </c>
      <c r="L128" s="25">
        <v>12.25</v>
      </c>
      <c r="M128" s="25">
        <v>5.1100000000000003</v>
      </c>
      <c r="N128" s="25">
        <f t="shared" si="16"/>
        <v>7.14</v>
      </c>
      <c r="O128" s="25" t="s">
        <v>592</v>
      </c>
    </row>
    <row r="129" spans="1:15" x14ac:dyDescent="0.25">
      <c r="A129" s="77">
        <v>45979</v>
      </c>
      <c r="B129" s="25" t="s">
        <v>533</v>
      </c>
      <c r="C129" s="25"/>
      <c r="D129" s="77">
        <f t="shared" si="9"/>
        <v>46002</v>
      </c>
      <c r="E129" s="77">
        <f t="shared" si="10"/>
        <v>45986</v>
      </c>
      <c r="F129" s="77">
        <f t="shared" si="11"/>
        <v>45993</v>
      </c>
      <c r="G129" s="77">
        <f t="shared" si="12"/>
        <v>45999</v>
      </c>
      <c r="H129" s="77">
        <f t="shared" si="13"/>
        <v>45987</v>
      </c>
      <c r="I129" s="77">
        <f t="shared" si="14"/>
        <v>45994</v>
      </c>
      <c r="J129" s="77">
        <v>46006</v>
      </c>
      <c r="K129" s="78">
        <f t="shared" si="17"/>
        <v>27</v>
      </c>
      <c r="L129" s="25">
        <v>11.81</v>
      </c>
      <c r="M129" s="25">
        <v>4.75</v>
      </c>
      <c r="N129" s="25">
        <f t="shared" si="16"/>
        <v>7.0600000000000005</v>
      </c>
      <c r="O129" s="25" t="s">
        <v>592</v>
      </c>
    </row>
    <row r="130" spans="1:15" x14ac:dyDescent="0.25">
      <c r="A130" s="77">
        <v>45980</v>
      </c>
      <c r="B130" s="25" t="s">
        <v>435</v>
      </c>
      <c r="C130" s="25"/>
      <c r="D130" s="77">
        <f t="shared" si="9"/>
        <v>46003</v>
      </c>
      <c r="E130" s="77">
        <f t="shared" si="10"/>
        <v>45987</v>
      </c>
      <c r="F130" s="77">
        <f t="shared" si="11"/>
        <v>45994</v>
      </c>
      <c r="G130" s="77">
        <f t="shared" si="12"/>
        <v>46000</v>
      </c>
      <c r="H130" s="77">
        <f t="shared" si="13"/>
        <v>45988</v>
      </c>
      <c r="I130" s="77">
        <f t="shared" si="14"/>
        <v>45995</v>
      </c>
      <c r="J130" s="77">
        <v>46008</v>
      </c>
      <c r="K130" s="78">
        <f t="shared" si="17"/>
        <v>28</v>
      </c>
      <c r="L130" s="25">
        <v>11.28</v>
      </c>
      <c r="M130" s="25">
        <v>6.56</v>
      </c>
      <c r="N130" s="25">
        <f t="shared" si="16"/>
        <v>4.72</v>
      </c>
      <c r="O130" s="25" t="s">
        <v>592</v>
      </c>
    </row>
    <row r="131" spans="1:15" x14ac:dyDescent="0.25">
      <c r="A131" s="77">
        <v>45980</v>
      </c>
      <c r="B131" s="25" t="s">
        <v>436</v>
      </c>
      <c r="C131" s="25"/>
      <c r="D131" s="77">
        <f t="shared" ref="D131:D194" si="18">A131+23</f>
        <v>46003</v>
      </c>
      <c r="E131" s="77">
        <f t="shared" ref="E131:E194" si="19">A131+7</f>
        <v>45987</v>
      </c>
      <c r="F131" s="77">
        <f t="shared" ref="F131:F194" si="20">A131+14</f>
        <v>45994</v>
      </c>
      <c r="G131" s="77">
        <f t="shared" ref="G131:G194" si="21">A131+20</f>
        <v>46000</v>
      </c>
      <c r="H131" s="77">
        <f t="shared" ref="H131:H194" si="22">A131+8</f>
        <v>45988</v>
      </c>
      <c r="I131" s="77">
        <f t="shared" ref="I131:I194" si="23">A131+15</f>
        <v>45995</v>
      </c>
      <c r="J131" s="77">
        <v>46008</v>
      </c>
      <c r="K131" s="78">
        <f t="shared" si="17"/>
        <v>28</v>
      </c>
      <c r="L131" s="25">
        <v>10.76</v>
      </c>
      <c r="M131" s="25">
        <v>5.17</v>
      </c>
      <c r="N131" s="25">
        <f t="shared" si="16"/>
        <v>5.59</v>
      </c>
      <c r="O131" s="25" t="s">
        <v>592</v>
      </c>
    </row>
    <row r="132" spans="1:15" x14ac:dyDescent="0.25">
      <c r="A132" s="77">
        <v>45980</v>
      </c>
      <c r="B132" s="25" t="s">
        <v>437</v>
      </c>
      <c r="C132" s="25"/>
      <c r="D132" s="77">
        <f t="shared" si="18"/>
        <v>46003</v>
      </c>
      <c r="E132" s="77">
        <f t="shared" si="19"/>
        <v>45987</v>
      </c>
      <c r="F132" s="77">
        <f t="shared" si="20"/>
        <v>45994</v>
      </c>
      <c r="G132" s="77">
        <f t="shared" si="21"/>
        <v>46000</v>
      </c>
      <c r="H132" s="77">
        <f t="shared" si="22"/>
        <v>45988</v>
      </c>
      <c r="I132" s="77">
        <f t="shared" si="23"/>
        <v>45995</v>
      </c>
      <c r="J132" s="77">
        <v>46008</v>
      </c>
      <c r="K132" s="78">
        <f t="shared" si="17"/>
        <v>28</v>
      </c>
      <c r="L132" s="25">
        <v>11.19</v>
      </c>
      <c r="M132" s="25">
        <v>5.91</v>
      </c>
      <c r="N132" s="25">
        <f t="shared" si="16"/>
        <v>5.2799999999999994</v>
      </c>
      <c r="O132" s="25" t="s">
        <v>592</v>
      </c>
    </row>
    <row r="133" spans="1:15" x14ac:dyDescent="0.25">
      <c r="A133" s="77">
        <v>45980</v>
      </c>
      <c r="B133" s="25" t="s">
        <v>438</v>
      </c>
      <c r="C133" s="25"/>
      <c r="D133" s="77">
        <f t="shared" si="18"/>
        <v>46003</v>
      </c>
      <c r="E133" s="77">
        <f t="shared" si="19"/>
        <v>45987</v>
      </c>
      <c r="F133" s="77">
        <f t="shared" si="20"/>
        <v>45994</v>
      </c>
      <c r="G133" s="77">
        <f t="shared" si="21"/>
        <v>46000</v>
      </c>
      <c r="H133" s="77">
        <f t="shared" si="22"/>
        <v>45988</v>
      </c>
      <c r="I133" s="77">
        <f t="shared" si="23"/>
        <v>45995</v>
      </c>
      <c r="J133" s="77">
        <v>46008</v>
      </c>
      <c r="K133" s="78">
        <f t="shared" si="17"/>
        <v>28</v>
      </c>
      <c r="L133" s="25">
        <v>9.91</v>
      </c>
      <c r="M133" s="25">
        <v>4.38</v>
      </c>
      <c r="N133" s="25">
        <f t="shared" si="16"/>
        <v>5.53</v>
      </c>
      <c r="O133" s="25" t="s">
        <v>592</v>
      </c>
    </row>
    <row r="134" spans="1:15" x14ac:dyDescent="0.25">
      <c r="A134" s="77">
        <v>45980</v>
      </c>
      <c r="B134" s="25" t="s">
        <v>439</v>
      </c>
      <c r="C134" s="25"/>
      <c r="D134" s="77">
        <f t="shared" si="18"/>
        <v>46003</v>
      </c>
      <c r="E134" s="77">
        <f t="shared" si="19"/>
        <v>45987</v>
      </c>
      <c r="F134" s="77">
        <f t="shared" si="20"/>
        <v>45994</v>
      </c>
      <c r="G134" s="77">
        <f t="shared" si="21"/>
        <v>46000</v>
      </c>
      <c r="H134" s="77">
        <f t="shared" si="22"/>
        <v>45988</v>
      </c>
      <c r="I134" s="77">
        <f t="shared" si="23"/>
        <v>45995</v>
      </c>
      <c r="J134" s="77">
        <v>46007</v>
      </c>
      <c r="K134" s="78">
        <f t="shared" si="17"/>
        <v>27</v>
      </c>
      <c r="L134" s="25">
        <v>9.1999999999999993</v>
      </c>
      <c r="M134" s="25">
        <v>7.21</v>
      </c>
      <c r="N134" s="25">
        <f t="shared" ref="N134:N169" si="24">L134-M134</f>
        <v>1.9899999999999993</v>
      </c>
      <c r="O134" s="25" t="s">
        <v>593</v>
      </c>
    </row>
    <row r="135" spans="1:15" x14ac:dyDescent="0.25">
      <c r="A135" s="77">
        <v>45980</v>
      </c>
      <c r="B135" s="25" t="s">
        <v>440</v>
      </c>
      <c r="C135" s="25"/>
      <c r="D135" s="77">
        <f t="shared" si="18"/>
        <v>46003</v>
      </c>
      <c r="E135" s="77">
        <f t="shared" si="19"/>
        <v>45987</v>
      </c>
      <c r="F135" s="77">
        <f t="shared" si="20"/>
        <v>45994</v>
      </c>
      <c r="G135" s="77">
        <f t="shared" si="21"/>
        <v>46000</v>
      </c>
      <c r="H135" s="77">
        <f t="shared" si="22"/>
        <v>45988</v>
      </c>
      <c r="I135" s="77">
        <f t="shared" si="23"/>
        <v>45995</v>
      </c>
      <c r="J135" s="77">
        <v>46007</v>
      </c>
      <c r="K135" s="78">
        <f t="shared" si="17"/>
        <v>27</v>
      </c>
      <c r="L135" s="25">
        <v>10.51</v>
      </c>
      <c r="M135" s="25">
        <v>8.76</v>
      </c>
      <c r="N135" s="25">
        <f t="shared" si="24"/>
        <v>1.75</v>
      </c>
      <c r="O135" s="25" t="s">
        <v>593</v>
      </c>
    </row>
    <row r="136" spans="1:15" x14ac:dyDescent="0.25">
      <c r="A136" s="77">
        <v>45980</v>
      </c>
      <c r="B136" s="25" t="s">
        <v>441</v>
      </c>
      <c r="C136" s="25"/>
      <c r="D136" s="77">
        <f t="shared" si="18"/>
        <v>46003</v>
      </c>
      <c r="E136" s="77">
        <f t="shared" si="19"/>
        <v>45987</v>
      </c>
      <c r="F136" s="77">
        <f t="shared" si="20"/>
        <v>45994</v>
      </c>
      <c r="G136" s="77">
        <f t="shared" si="21"/>
        <v>46000</v>
      </c>
      <c r="H136" s="77">
        <f t="shared" si="22"/>
        <v>45988</v>
      </c>
      <c r="I136" s="77">
        <f t="shared" si="23"/>
        <v>45995</v>
      </c>
      <c r="J136" s="77">
        <v>46007</v>
      </c>
      <c r="K136" s="78">
        <f t="shared" si="17"/>
        <v>27</v>
      </c>
      <c r="L136" s="25">
        <v>14.81</v>
      </c>
      <c r="M136" s="25">
        <v>6.98</v>
      </c>
      <c r="N136" s="25">
        <f t="shared" si="24"/>
        <v>7.83</v>
      </c>
      <c r="O136" s="25" t="s">
        <v>592</v>
      </c>
    </row>
    <row r="137" spans="1:15" x14ac:dyDescent="0.25">
      <c r="A137" s="77">
        <v>45981</v>
      </c>
      <c r="B137" s="25" t="s">
        <v>359</v>
      </c>
      <c r="C137" s="25"/>
      <c r="D137" s="77">
        <f t="shared" si="18"/>
        <v>46004</v>
      </c>
      <c r="E137" s="77">
        <f t="shared" si="19"/>
        <v>45988</v>
      </c>
      <c r="F137" s="77">
        <f t="shared" si="20"/>
        <v>45995</v>
      </c>
      <c r="G137" s="77">
        <f t="shared" si="21"/>
        <v>46001</v>
      </c>
      <c r="H137" s="77">
        <f t="shared" si="22"/>
        <v>45989</v>
      </c>
      <c r="I137" s="77">
        <f t="shared" si="23"/>
        <v>45996</v>
      </c>
      <c r="J137" s="77">
        <v>46006</v>
      </c>
      <c r="K137" s="78">
        <f t="shared" si="17"/>
        <v>25</v>
      </c>
      <c r="L137" s="25">
        <v>16.739999999999998</v>
      </c>
      <c r="M137" s="25">
        <v>12.16</v>
      </c>
      <c r="N137" s="25">
        <f t="shared" si="24"/>
        <v>4.5799999999999983</v>
      </c>
      <c r="O137" s="25" t="s">
        <v>593</v>
      </c>
    </row>
    <row r="138" spans="1:15" x14ac:dyDescent="0.25">
      <c r="A138" s="77">
        <v>45981</v>
      </c>
      <c r="B138" s="25" t="s">
        <v>360</v>
      </c>
      <c r="C138" s="25"/>
      <c r="D138" s="77">
        <f t="shared" si="18"/>
        <v>46004</v>
      </c>
      <c r="E138" s="77">
        <f t="shared" si="19"/>
        <v>45988</v>
      </c>
      <c r="F138" s="77">
        <f t="shared" si="20"/>
        <v>45995</v>
      </c>
      <c r="G138" s="77">
        <f t="shared" si="21"/>
        <v>46001</v>
      </c>
      <c r="H138" s="77">
        <f t="shared" si="22"/>
        <v>45989</v>
      </c>
      <c r="I138" s="77">
        <f t="shared" si="23"/>
        <v>45996</v>
      </c>
      <c r="J138" s="77">
        <v>46006</v>
      </c>
      <c r="K138" s="78">
        <f t="shared" si="17"/>
        <v>25</v>
      </c>
      <c r="L138" s="25">
        <v>18.91</v>
      </c>
      <c r="M138" s="25">
        <v>16.38</v>
      </c>
      <c r="N138" s="25">
        <f t="shared" si="24"/>
        <v>2.5300000000000011</v>
      </c>
      <c r="O138" s="25" t="s">
        <v>593</v>
      </c>
    </row>
    <row r="139" spans="1:15" x14ac:dyDescent="0.25">
      <c r="A139" s="77">
        <v>45981</v>
      </c>
      <c r="B139" s="25" t="s">
        <v>361</v>
      </c>
      <c r="C139" s="25"/>
      <c r="D139" s="77">
        <f t="shared" si="18"/>
        <v>46004</v>
      </c>
      <c r="E139" s="77">
        <f t="shared" si="19"/>
        <v>45988</v>
      </c>
      <c r="F139" s="77">
        <f t="shared" si="20"/>
        <v>45995</v>
      </c>
      <c r="G139" s="77">
        <f t="shared" si="21"/>
        <v>46001</v>
      </c>
      <c r="H139" s="77">
        <f t="shared" si="22"/>
        <v>45989</v>
      </c>
      <c r="I139" s="77">
        <f t="shared" si="23"/>
        <v>45996</v>
      </c>
      <c r="J139" s="77">
        <v>46006</v>
      </c>
      <c r="K139" s="78">
        <f t="shared" si="17"/>
        <v>25</v>
      </c>
      <c r="L139" s="25">
        <v>18.27</v>
      </c>
      <c r="M139" s="25">
        <v>15.14</v>
      </c>
      <c r="N139" s="25">
        <f t="shared" si="24"/>
        <v>3.129999999999999</v>
      </c>
      <c r="O139" s="25" t="s">
        <v>593</v>
      </c>
    </row>
    <row r="140" spans="1:15" x14ac:dyDescent="0.25">
      <c r="A140" s="77">
        <v>45981</v>
      </c>
      <c r="B140" s="25" t="s">
        <v>362</v>
      </c>
      <c r="C140" s="25"/>
      <c r="D140" s="77">
        <f t="shared" si="18"/>
        <v>46004</v>
      </c>
      <c r="E140" s="77">
        <f t="shared" si="19"/>
        <v>45988</v>
      </c>
      <c r="F140" s="77">
        <f t="shared" si="20"/>
        <v>45995</v>
      </c>
      <c r="G140" s="77">
        <f t="shared" si="21"/>
        <v>46001</v>
      </c>
      <c r="H140" s="77">
        <f t="shared" si="22"/>
        <v>45989</v>
      </c>
      <c r="I140" s="77">
        <f t="shared" si="23"/>
        <v>45996</v>
      </c>
      <c r="J140" s="77">
        <v>46006</v>
      </c>
      <c r="K140" s="78">
        <f t="shared" si="17"/>
        <v>25</v>
      </c>
      <c r="L140" s="25">
        <v>16.100000000000001</v>
      </c>
      <c r="M140" s="25">
        <v>13.47</v>
      </c>
      <c r="N140" s="25">
        <f t="shared" si="24"/>
        <v>2.6300000000000008</v>
      </c>
      <c r="O140" s="25" t="s">
        <v>593</v>
      </c>
    </row>
    <row r="141" spans="1:15" x14ac:dyDescent="0.25">
      <c r="A141" s="77">
        <v>45981</v>
      </c>
      <c r="B141" s="25" t="s">
        <v>363</v>
      </c>
      <c r="C141" s="25"/>
      <c r="D141" s="77">
        <f t="shared" si="18"/>
        <v>46004</v>
      </c>
      <c r="E141" s="77">
        <f t="shared" si="19"/>
        <v>45988</v>
      </c>
      <c r="F141" s="77">
        <f t="shared" si="20"/>
        <v>45995</v>
      </c>
      <c r="G141" s="77">
        <f t="shared" si="21"/>
        <v>46001</v>
      </c>
      <c r="H141" s="77">
        <f t="shared" si="22"/>
        <v>45989</v>
      </c>
      <c r="I141" s="77">
        <f t="shared" si="23"/>
        <v>45996</v>
      </c>
      <c r="J141" s="77">
        <v>46006</v>
      </c>
      <c r="K141" s="78">
        <f t="shared" si="17"/>
        <v>25</v>
      </c>
      <c r="L141" s="25">
        <v>16.190000000000001</v>
      </c>
      <c r="M141" s="25">
        <v>12.1</v>
      </c>
      <c r="N141" s="25">
        <f t="shared" si="24"/>
        <v>4.0900000000000016</v>
      </c>
      <c r="O141" s="25" t="s">
        <v>593</v>
      </c>
    </row>
    <row r="142" spans="1:15" x14ac:dyDescent="0.25">
      <c r="A142" s="77">
        <v>45981</v>
      </c>
      <c r="B142" s="25" t="s">
        <v>364</v>
      </c>
      <c r="C142" s="25"/>
      <c r="D142" s="77">
        <f t="shared" si="18"/>
        <v>46004</v>
      </c>
      <c r="E142" s="77">
        <f t="shared" si="19"/>
        <v>45988</v>
      </c>
      <c r="F142" s="77">
        <f t="shared" si="20"/>
        <v>45995</v>
      </c>
      <c r="G142" s="77">
        <f t="shared" si="21"/>
        <v>46001</v>
      </c>
      <c r="H142" s="77">
        <f t="shared" si="22"/>
        <v>45989</v>
      </c>
      <c r="I142" s="77">
        <f t="shared" si="23"/>
        <v>45996</v>
      </c>
      <c r="J142" s="77">
        <v>46007</v>
      </c>
      <c r="K142" s="78">
        <f t="shared" si="17"/>
        <v>26</v>
      </c>
      <c r="L142" s="25">
        <v>16.670000000000002</v>
      </c>
      <c r="M142" s="25">
        <v>7.1</v>
      </c>
      <c r="N142" s="25">
        <f t="shared" si="24"/>
        <v>9.5700000000000021</v>
      </c>
      <c r="O142" s="25" t="s">
        <v>592</v>
      </c>
    </row>
    <row r="143" spans="1:15" x14ac:dyDescent="0.25">
      <c r="A143" s="77">
        <v>45981</v>
      </c>
      <c r="B143" s="25" t="s">
        <v>365</v>
      </c>
      <c r="C143" s="25"/>
      <c r="D143" s="77">
        <f t="shared" si="18"/>
        <v>46004</v>
      </c>
      <c r="E143" s="77">
        <f t="shared" si="19"/>
        <v>45988</v>
      </c>
      <c r="F143" s="77">
        <f t="shared" si="20"/>
        <v>45995</v>
      </c>
      <c r="G143" s="77">
        <f t="shared" si="21"/>
        <v>46001</v>
      </c>
      <c r="H143" s="77">
        <f t="shared" si="22"/>
        <v>45989</v>
      </c>
      <c r="I143" s="77">
        <f t="shared" si="23"/>
        <v>45996</v>
      </c>
      <c r="J143" s="77">
        <v>46007</v>
      </c>
      <c r="K143" s="78">
        <f t="shared" si="17"/>
        <v>26</v>
      </c>
      <c r="L143" s="25">
        <v>17.100000000000001</v>
      </c>
      <c r="M143" s="25">
        <v>7.33</v>
      </c>
      <c r="N143" s="25">
        <f t="shared" si="24"/>
        <v>9.7700000000000014</v>
      </c>
      <c r="O143" s="25" t="s">
        <v>592</v>
      </c>
    </row>
    <row r="144" spans="1:15" x14ac:dyDescent="0.25">
      <c r="A144" s="77">
        <v>45982</v>
      </c>
      <c r="B144" s="25" t="s">
        <v>379</v>
      </c>
      <c r="C144" s="25"/>
      <c r="D144" s="77">
        <f t="shared" si="18"/>
        <v>46005</v>
      </c>
      <c r="E144" s="77">
        <f t="shared" si="19"/>
        <v>45989</v>
      </c>
      <c r="F144" s="77">
        <f t="shared" si="20"/>
        <v>45996</v>
      </c>
      <c r="G144" s="77">
        <f t="shared" si="21"/>
        <v>46002</v>
      </c>
      <c r="H144" s="77">
        <f t="shared" si="22"/>
        <v>45990</v>
      </c>
      <c r="I144" s="77">
        <f t="shared" si="23"/>
        <v>45997</v>
      </c>
      <c r="J144" s="77">
        <v>46008</v>
      </c>
      <c r="K144" s="78">
        <f t="shared" si="17"/>
        <v>26</v>
      </c>
      <c r="L144" s="81">
        <v>16.13</v>
      </c>
      <c r="M144" s="82">
        <v>14.08</v>
      </c>
      <c r="N144" s="25">
        <f t="shared" si="24"/>
        <v>2.0499999999999989</v>
      </c>
      <c r="O144" s="25" t="s">
        <v>593</v>
      </c>
    </row>
    <row r="145" spans="1:15" x14ac:dyDescent="0.25">
      <c r="A145" s="77">
        <v>45982</v>
      </c>
      <c r="B145" s="25" t="s">
        <v>380</v>
      </c>
      <c r="C145" s="25"/>
      <c r="D145" s="77">
        <f t="shared" si="18"/>
        <v>46005</v>
      </c>
      <c r="E145" s="77">
        <f t="shared" si="19"/>
        <v>45989</v>
      </c>
      <c r="F145" s="77">
        <f t="shared" si="20"/>
        <v>45996</v>
      </c>
      <c r="G145" s="77">
        <f t="shared" si="21"/>
        <v>46002</v>
      </c>
      <c r="H145" s="77">
        <f t="shared" si="22"/>
        <v>45990</v>
      </c>
      <c r="I145" s="77">
        <f t="shared" si="23"/>
        <v>45997</v>
      </c>
      <c r="J145" s="77">
        <v>46008</v>
      </c>
      <c r="K145" s="78">
        <f t="shared" si="17"/>
        <v>26</v>
      </c>
      <c r="L145" s="81">
        <v>17.260000000000002</v>
      </c>
      <c r="M145" s="82">
        <v>15.21</v>
      </c>
      <c r="N145" s="25">
        <f t="shared" si="24"/>
        <v>2.0500000000000007</v>
      </c>
      <c r="O145" s="25" t="s">
        <v>593</v>
      </c>
    </row>
    <row r="146" spans="1:15" x14ac:dyDescent="0.25">
      <c r="A146" s="77">
        <v>45982</v>
      </c>
      <c r="B146" s="25" t="s">
        <v>381</v>
      </c>
      <c r="C146" s="25"/>
      <c r="D146" s="77">
        <f t="shared" si="18"/>
        <v>46005</v>
      </c>
      <c r="E146" s="77">
        <f t="shared" si="19"/>
        <v>45989</v>
      </c>
      <c r="F146" s="77">
        <f t="shared" si="20"/>
        <v>45996</v>
      </c>
      <c r="G146" s="77">
        <f t="shared" si="21"/>
        <v>46002</v>
      </c>
      <c r="H146" s="77">
        <f t="shared" si="22"/>
        <v>45990</v>
      </c>
      <c r="I146" s="77">
        <f t="shared" si="23"/>
        <v>45997</v>
      </c>
      <c r="J146" s="77">
        <v>46008</v>
      </c>
      <c r="K146" s="78">
        <f t="shared" si="17"/>
        <v>26</v>
      </c>
      <c r="L146" s="81">
        <v>17.8</v>
      </c>
      <c r="M146" s="82">
        <v>15.56</v>
      </c>
      <c r="N146" s="25">
        <f t="shared" si="24"/>
        <v>2.2400000000000002</v>
      </c>
      <c r="O146" s="25" t="s">
        <v>593</v>
      </c>
    </row>
    <row r="147" spans="1:15" x14ac:dyDescent="0.25">
      <c r="A147" s="77">
        <v>45982</v>
      </c>
      <c r="B147" s="25" t="s">
        <v>382</v>
      </c>
      <c r="C147" s="25"/>
      <c r="D147" s="77">
        <f t="shared" si="18"/>
        <v>46005</v>
      </c>
      <c r="E147" s="77">
        <f t="shared" si="19"/>
        <v>45989</v>
      </c>
      <c r="F147" s="77">
        <f t="shared" si="20"/>
        <v>45996</v>
      </c>
      <c r="G147" s="77">
        <f t="shared" si="21"/>
        <v>46002</v>
      </c>
      <c r="H147" s="77">
        <f t="shared" si="22"/>
        <v>45990</v>
      </c>
      <c r="I147" s="77">
        <f t="shared" si="23"/>
        <v>45997</v>
      </c>
      <c r="J147" s="77">
        <v>46008</v>
      </c>
      <c r="K147" s="78">
        <f t="shared" si="17"/>
        <v>26</v>
      </c>
      <c r="L147" s="81">
        <v>18.149999999999999</v>
      </c>
      <c r="M147" s="82">
        <v>16.2</v>
      </c>
      <c r="N147" s="25">
        <f t="shared" si="24"/>
        <v>1.9499999999999993</v>
      </c>
      <c r="O147" s="25" t="s">
        <v>593</v>
      </c>
    </row>
    <row r="148" spans="1:15" x14ac:dyDescent="0.25">
      <c r="A148" s="77">
        <v>45982</v>
      </c>
      <c r="B148" s="25" t="s">
        <v>383</v>
      </c>
      <c r="C148" s="25"/>
      <c r="D148" s="77">
        <f t="shared" si="18"/>
        <v>46005</v>
      </c>
      <c r="E148" s="77">
        <f t="shared" si="19"/>
        <v>45989</v>
      </c>
      <c r="F148" s="77">
        <f t="shared" si="20"/>
        <v>45996</v>
      </c>
      <c r="G148" s="77">
        <f t="shared" si="21"/>
        <v>46002</v>
      </c>
      <c r="H148" s="77">
        <f t="shared" si="22"/>
        <v>45990</v>
      </c>
      <c r="I148" s="77">
        <f t="shared" si="23"/>
        <v>45997</v>
      </c>
      <c r="J148" s="77">
        <v>46008</v>
      </c>
      <c r="K148" s="78">
        <f t="shared" si="17"/>
        <v>26</v>
      </c>
      <c r="L148" s="81">
        <v>17.010000000000002</v>
      </c>
      <c r="M148" s="82">
        <v>14.88</v>
      </c>
      <c r="N148" s="25">
        <f t="shared" si="24"/>
        <v>2.1300000000000008</v>
      </c>
      <c r="O148" s="25" t="s">
        <v>593</v>
      </c>
    </row>
    <row r="149" spans="1:15" x14ac:dyDescent="0.25">
      <c r="A149" s="77">
        <v>45982</v>
      </c>
      <c r="B149" s="25" t="s">
        <v>384</v>
      </c>
      <c r="C149" s="25"/>
      <c r="D149" s="77">
        <f t="shared" si="18"/>
        <v>46005</v>
      </c>
      <c r="E149" s="77">
        <f t="shared" si="19"/>
        <v>45989</v>
      </c>
      <c r="F149" s="77">
        <f t="shared" si="20"/>
        <v>45996</v>
      </c>
      <c r="G149" s="77">
        <f t="shared" si="21"/>
        <v>46002</v>
      </c>
      <c r="H149" s="77">
        <f t="shared" si="22"/>
        <v>45990</v>
      </c>
      <c r="I149" s="77">
        <f t="shared" si="23"/>
        <v>45997</v>
      </c>
      <c r="J149" s="77">
        <v>46009</v>
      </c>
      <c r="K149" s="78">
        <f t="shared" si="17"/>
        <v>27</v>
      </c>
      <c r="L149" s="25">
        <v>14.23</v>
      </c>
      <c r="M149" s="25">
        <v>7.06</v>
      </c>
      <c r="N149" s="25">
        <f t="shared" si="24"/>
        <v>7.1700000000000008</v>
      </c>
      <c r="O149" s="25" t="s">
        <v>592</v>
      </c>
    </row>
    <row r="150" spans="1:15" x14ac:dyDescent="0.25">
      <c r="A150" s="77">
        <v>45982</v>
      </c>
      <c r="B150" s="25" t="s">
        <v>385</v>
      </c>
      <c r="C150" s="25"/>
      <c r="D150" s="77">
        <f t="shared" si="18"/>
        <v>46005</v>
      </c>
      <c r="E150" s="77">
        <f t="shared" si="19"/>
        <v>45989</v>
      </c>
      <c r="F150" s="77">
        <f t="shared" si="20"/>
        <v>45996</v>
      </c>
      <c r="G150" s="77">
        <f t="shared" si="21"/>
        <v>46002</v>
      </c>
      <c r="H150" s="77">
        <f t="shared" si="22"/>
        <v>45990</v>
      </c>
      <c r="I150" s="77">
        <f t="shared" si="23"/>
        <v>45997</v>
      </c>
      <c r="J150" s="77">
        <v>46009</v>
      </c>
      <c r="K150" s="78">
        <f t="shared" si="17"/>
        <v>27</v>
      </c>
      <c r="L150" s="25">
        <v>14.51</v>
      </c>
      <c r="M150" s="25">
        <v>7.12</v>
      </c>
      <c r="N150" s="25">
        <f t="shared" si="24"/>
        <v>7.39</v>
      </c>
      <c r="O150" s="25" t="s">
        <v>592</v>
      </c>
    </row>
    <row r="151" spans="1:15" x14ac:dyDescent="0.25">
      <c r="A151" s="77">
        <v>45983</v>
      </c>
      <c r="B151" s="25" t="s">
        <v>366</v>
      </c>
      <c r="C151" s="25"/>
      <c r="D151" s="77">
        <f t="shared" si="18"/>
        <v>46006</v>
      </c>
      <c r="E151" s="77">
        <f t="shared" si="19"/>
        <v>45990</v>
      </c>
      <c r="F151" s="77">
        <f t="shared" si="20"/>
        <v>45997</v>
      </c>
      <c r="G151" s="77">
        <f t="shared" si="21"/>
        <v>46003</v>
      </c>
      <c r="H151" s="77">
        <f t="shared" si="22"/>
        <v>45991</v>
      </c>
      <c r="I151" s="77">
        <f t="shared" si="23"/>
        <v>45998</v>
      </c>
      <c r="J151" s="77">
        <v>46009</v>
      </c>
      <c r="K151" s="78">
        <f t="shared" si="17"/>
        <v>26</v>
      </c>
      <c r="L151" s="25">
        <v>16.899999999999999</v>
      </c>
      <c r="M151" s="25">
        <v>14.19</v>
      </c>
      <c r="N151" s="25">
        <f t="shared" si="24"/>
        <v>2.7099999999999991</v>
      </c>
      <c r="O151" s="25" t="s">
        <v>593</v>
      </c>
    </row>
    <row r="152" spans="1:15" x14ac:dyDescent="0.25">
      <c r="A152" s="77">
        <v>45983</v>
      </c>
      <c r="B152" s="25" t="s">
        <v>367</v>
      </c>
      <c r="C152" s="25"/>
      <c r="D152" s="77">
        <f t="shared" si="18"/>
        <v>46006</v>
      </c>
      <c r="E152" s="77">
        <f t="shared" si="19"/>
        <v>45990</v>
      </c>
      <c r="F152" s="77">
        <f t="shared" si="20"/>
        <v>45997</v>
      </c>
      <c r="G152" s="77">
        <f t="shared" si="21"/>
        <v>46003</v>
      </c>
      <c r="H152" s="77">
        <f t="shared" si="22"/>
        <v>45991</v>
      </c>
      <c r="I152" s="77">
        <f t="shared" si="23"/>
        <v>45998</v>
      </c>
      <c r="J152" s="77">
        <v>46009</v>
      </c>
      <c r="K152" s="78">
        <f t="shared" si="17"/>
        <v>26</v>
      </c>
      <c r="L152" s="25">
        <v>17.96</v>
      </c>
      <c r="M152" s="25">
        <v>15.06</v>
      </c>
      <c r="N152" s="25">
        <f t="shared" si="24"/>
        <v>2.9000000000000004</v>
      </c>
      <c r="O152" s="25" t="s">
        <v>593</v>
      </c>
    </row>
    <row r="153" spans="1:15" x14ac:dyDescent="0.25">
      <c r="A153" s="77">
        <v>45983</v>
      </c>
      <c r="B153" s="25" t="s">
        <v>368</v>
      </c>
      <c r="C153" s="25"/>
      <c r="D153" s="77">
        <f t="shared" si="18"/>
        <v>46006</v>
      </c>
      <c r="E153" s="77">
        <f t="shared" si="19"/>
        <v>45990</v>
      </c>
      <c r="F153" s="77">
        <f t="shared" si="20"/>
        <v>45997</v>
      </c>
      <c r="G153" s="77">
        <f t="shared" si="21"/>
        <v>46003</v>
      </c>
      <c r="H153" s="77">
        <f t="shared" si="22"/>
        <v>45991</v>
      </c>
      <c r="I153" s="77">
        <f t="shared" si="23"/>
        <v>45998</v>
      </c>
      <c r="J153" s="77">
        <v>46009</v>
      </c>
      <c r="K153" s="78">
        <f t="shared" si="17"/>
        <v>26</v>
      </c>
      <c r="L153" s="25">
        <v>16.03</v>
      </c>
      <c r="M153" s="25">
        <v>13.98</v>
      </c>
      <c r="N153" s="25">
        <f t="shared" si="24"/>
        <v>2.0500000000000007</v>
      </c>
      <c r="O153" s="25" t="s">
        <v>593</v>
      </c>
    </row>
    <row r="154" spans="1:15" x14ac:dyDescent="0.25">
      <c r="A154" s="77">
        <v>45983</v>
      </c>
      <c r="B154" s="25" t="s">
        <v>369</v>
      </c>
      <c r="C154" s="25"/>
      <c r="D154" s="77">
        <f t="shared" si="18"/>
        <v>46006</v>
      </c>
      <c r="E154" s="77">
        <f t="shared" si="19"/>
        <v>45990</v>
      </c>
      <c r="F154" s="77">
        <f t="shared" si="20"/>
        <v>45997</v>
      </c>
      <c r="G154" s="77">
        <f t="shared" si="21"/>
        <v>46003</v>
      </c>
      <c r="H154" s="77">
        <f t="shared" si="22"/>
        <v>45991</v>
      </c>
      <c r="I154" s="77">
        <f t="shared" si="23"/>
        <v>45998</v>
      </c>
      <c r="J154" s="77">
        <v>46009</v>
      </c>
      <c r="K154" s="78">
        <f t="shared" si="17"/>
        <v>26</v>
      </c>
      <c r="L154" s="25">
        <v>17.190000000000001</v>
      </c>
      <c r="M154" s="25">
        <v>14.57</v>
      </c>
      <c r="N154" s="25">
        <f t="shared" si="24"/>
        <v>2.620000000000001</v>
      </c>
      <c r="O154" s="25" t="s">
        <v>593</v>
      </c>
    </row>
    <row r="155" spans="1:15" x14ac:dyDescent="0.25">
      <c r="A155" s="77">
        <v>45983</v>
      </c>
      <c r="B155" s="25" t="s">
        <v>370</v>
      </c>
      <c r="C155" s="25"/>
      <c r="D155" s="77">
        <f t="shared" si="18"/>
        <v>46006</v>
      </c>
      <c r="E155" s="77">
        <f t="shared" si="19"/>
        <v>45990</v>
      </c>
      <c r="F155" s="77">
        <f t="shared" si="20"/>
        <v>45997</v>
      </c>
      <c r="G155" s="77">
        <f t="shared" si="21"/>
        <v>46003</v>
      </c>
      <c r="H155" s="77">
        <f t="shared" si="22"/>
        <v>45991</v>
      </c>
      <c r="I155" s="77">
        <f t="shared" si="23"/>
        <v>45998</v>
      </c>
      <c r="J155" s="77">
        <v>46010</v>
      </c>
      <c r="K155" s="78">
        <f t="shared" si="17"/>
        <v>27</v>
      </c>
      <c r="L155" s="81">
        <v>19.37</v>
      </c>
      <c r="M155" s="82">
        <v>10.11</v>
      </c>
      <c r="N155" s="25">
        <f t="shared" si="24"/>
        <v>9.2600000000000016</v>
      </c>
      <c r="O155" s="82" t="s">
        <v>592</v>
      </c>
    </row>
    <row r="156" spans="1:15" x14ac:dyDescent="0.25">
      <c r="A156" s="77">
        <v>45983</v>
      </c>
      <c r="B156" s="25" t="s">
        <v>371</v>
      </c>
      <c r="C156" s="25"/>
      <c r="D156" s="77">
        <f t="shared" si="18"/>
        <v>46006</v>
      </c>
      <c r="E156" s="77">
        <f t="shared" si="19"/>
        <v>45990</v>
      </c>
      <c r="F156" s="77">
        <f t="shared" si="20"/>
        <v>45997</v>
      </c>
      <c r="G156" s="77">
        <f t="shared" si="21"/>
        <v>46003</v>
      </c>
      <c r="H156" s="77">
        <f t="shared" si="22"/>
        <v>45991</v>
      </c>
      <c r="I156" s="77">
        <f t="shared" si="23"/>
        <v>45998</v>
      </c>
      <c r="J156" s="77">
        <v>46010</v>
      </c>
      <c r="K156" s="78">
        <f t="shared" si="17"/>
        <v>27</v>
      </c>
      <c r="L156" s="81">
        <v>16.52</v>
      </c>
      <c r="M156" s="82">
        <v>8.27</v>
      </c>
      <c r="N156" s="25">
        <f t="shared" si="24"/>
        <v>8.25</v>
      </c>
      <c r="O156" s="82" t="s">
        <v>592</v>
      </c>
    </row>
    <row r="157" spans="1:15" x14ac:dyDescent="0.25">
      <c r="A157" s="77">
        <v>45983</v>
      </c>
      <c r="B157" s="25" t="s">
        <v>372</v>
      </c>
      <c r="C157" s="25"/>
      <c r="D157" s="77">
        <f t="shared" si="18"/>
        <v>46006</v>
      </c>
      <c r="E157" s="77">
        <f t="shared" si="19"/>
        <v>45990</v>
      </c>
      <c r="F157" s="77">
        <f t="shared" si="20"/>
        <v>45997</v>
      </c>
      <c r="G157" s="77">
        <f t="shared" si="21"/>
        <v>46003</v>
      </c>
      <c r="H157" s="77">
        <f t="shared" si="22"/>
        <v>45991</v>
      </c>
      <c r="I157" s="77">
        <f t="shared" si="23"/>
        <v>45998</v>
      </c>
      <c r="J157" s="77">
        <v>46010</v>
      </c>
      <c r="K157" s="78">
        <f t="shared" si="17"/>
        <v>27</v>
      </c>
      <c r="L157" s="81">
        <v>15.76</v>
      </c>
      <c r="M157" s="82">
        <v>13.89</v>
      </c>
      <c r="N157" s="25">
        <f t="shared" si="24"/>
        <v>1.8699999999999992</v>
      </c>
      <c r="O157" s="82" t="s">
        <v>593</v>
      </c>
    </row>
    <row r="158" spans="1:15" x14ac:dyDescent="0.25">
      <c r="A158" s="77">
        <v>45984</v>
      </c>
      <c r="B158" s="25" t="s">
        <v>386</v>
      </c>
      <c r="C158" s="25"/>
      <c r="D158" s="77">
        <f t="shared" si="18"/>
        <v>46007</v>
      </c>
      <c r="E158" s="77">
        <f t="shared" si="19"/>
        <v>45991</v>
      </c>
      <c r="F158" s="77">
        <f t="shared" si="20"/>
        <v>45998</v>
      </c>
      <c r="G158" s="77">
        <f t="shared" si="21"/>
        <v>46004</v>
      </c>
      <c r="H158" s="77">
        <f t="shared" si="22"/>
        <v>45992</v>
      </c>
      <c r="I158" s="77">
        <f t="shared" si="23"/>
        <v>45999</v>
      </c>
      <c r="J158" s="77">
        <v>46010</v>
      </c>
      <c r="K158" s="78">
        <f t="shared" si="17"/>
        <v>26</v>
      </c>
      <c r="L158" s="81">
        <v>17.02</v>
      </c>
      <c r="M158" s="82">
        <v>15.12</v>
      </c>
      <c r="N158" s="25">
        <f t="shared" si="24"/>
        <v>1.9000000000000004</v>
      </c>
      <c r="O158" s="82" t="s">
        <v>593</v>
      </c>
    </row>
    <row r="159" spans="1:15" x14ac:dyDescent="0.25">
      <c r="A159" s="77">
        <v>45984</v>
      </c>
      <c r="B159" s="25" t="s">
        <v>387</v>
      </c>
      <c r="C159" s="25"/>
      <c r="D159" s="77">
        <f t="shared" si="18"/>
        <v>46007</v>
      </c>
      <c r="E159" s="77">
        <f t="shared" si="19"/>
        <v>45991</v>
      </c>
      <c r="F159" s="77">
        <f t="shared" si="20"/>
        <v>45998</v>
      </c>
      <c r="G159" s="77">
        <f t="shared" si="21"/>
        <v>46004</v>
      </c>
      <c r="H159" s="77">
        <f t="shared" si="22"/>
        <v>45992</v>
      </c>
      <c r="I159" s="77">
        <f t="shared" si="23"/>
        <v>45999</v>
      </c>
      <c r="J159" s="77">
        <v>46010</v>
      </c>
      <c r="K159" s="78">
        <f t="shared" si="17"/>
        <v>26</v>
      </c>
      <c r="L159" s="81">
        <v>16.170000000000002</v>
      </c>
      <c r="M159" s="82">
        <v>14.59</v>
      </c>
      <c r="N159" s="25">
        <f t="shared" si="24"/>
        <v>1.5800000000000018</v>
      </c>
      <c r="O159" s="82" t="s">
        <v>593</v>
      </c>
    </row>
    <row r="160" spans="1:15" x14ac:dyDescent="0.25">
      <c r="A160" s="77">
        <v>45984</v>
      </c>
      <c r="B160" s="25" t="s">
        <v>388</v>
      </c>
      <c r="C160" s="25"/>
      <c r="D160" s="77">
        <f t="shared" si="18"/>
        <v>46007</v>
      </c>
      <c r="E160" s="77">
        <f t="shared" si="19"/>
        <v>45991</v>
      </c>
      <c r="F160" s="77">
        <f t="shared" si="20"/>
        <v>45998</v>
      </c>
      <c r="G160" s="77">
        <f t="shared" si="21"/>
        <v>46004</v>
      </c>
      <c r="H160" s="77">
        <f t="shared" si="22"/>
        <v>45992</v>
      </c>
      <c r="I160" s="77">
        <f t="shared" si="23"/>
        <v>45999</v>
      </c>
      <c r="J160" s="77">
        <v>46010</v>
      </c>
      <c r="K160" s="78">
        <f t="shared" si="17"/>
        <v>26</v>
      </c>
      <c r="L160" s="81">
        <v>16.89</v>
      </c>
      <c r="M160" s="82">
        <v>15.28</v>
      </c>
      <c r="N160" s="25">
        <f t="shared" si="24"/>
        <v>1.6100000000000012</v>
      </c>
      <c r="O160" s="82" t="s">
        <v>593</v>
      </c>
    </row>
    <row r="161" spans="1:15" x14ac:dyDescent="0.25">
      <c r="A161" s="77">
        <v>45984</v>
      </c>
      <c r="B161" s="25" t="s">
        <v>389</v>
      </c>
      <c r="C161" s="25"/>
      <c r="D161" s="77">
        <f t="shared" si="18"/>
        <v>46007</v>
      </c>
      <c r="E161" s="77">
        <f t="shared" si="19"/>
        <v>45991</v>
      </c>
      <c r="F161" s="77">
        <f t="shared" si="20"/>
        <v>45998</v>
      </c>
      <c r="G161" s="77">
        <f t="shared" si="21"/>
        <v>46004</v>
      </c>
      <c r="H161" s="77">
        <f t="shared" si="22"/>
        <v>45992</v>
      </c>
      <c r="I161" s="77">
        <f t="shared" si="23"/>
        <v>45999</v>
      </c>
      <c r="J161" s="77">
        <v>46010</v>
      </c>
      <c r="K161" s="78">
        <f t="shared" si="17"/>
        <v>26</v>
      </c>
      <c r="L161" s="81">
        <v>18.55</v>
      </c>
      <c r="M161" s="82">
        <v>16.36</v>
      </c>
      <c r="N161" s="25">
        <f t="shared" si="24"/>
        <v>2.1900000000000013</v>
      </c>
      <c r="O161" s="82" t="s">
        <v>593</v>
      </c>
    </row>
    <row r="162" spans="1:15" x14ac:dyDescent="0.25">
      <c r="A162" s="77">
        <v>45984</v>
      </c>
      <c r="B162" s="25" t="s">
        <v>390</v>
      </c>
      <c r="C162" s="25"/>
      <c r="D162" s="77">
        <f t="shared" si="18"/>
        <v>46007</v>
      </c>
      <c r="E162" s="77">
        <f t="shared" si="19"/>
        <v>45991</v>
      </c>
      <c r="F162" s="77">
        <f t="shared" si="20"/>
        <v>45998</v>
      </c>
      <c r="G162" s="77">
        <f t="shared" si="21"/>
        <v>46004</v>
      </c>
      <c r="H162" s="77">
        <f t="shared" si="22"/>
        <v>45992</v>
      </c>
      <c r="I162" s="77">
        <f t="shared" si="23"/>
        <v>45999</v>
      </c>
      <c r="J162" s="77">
        <v>46011</v>
      </c>
      <c r="K162" s="78">
        <f t="shared" si="17"/>
        <v>27</v>
      </c>
      <c r="L162" s="25">
        <v>18.93</v>
      </c>
      <c r="M162" s="25">
        <v>9.1300000000000008</v>
      </c>
      <c r="N162" s="25">
        <f t="shared" si="24"/>
        <v>9.7999999999999989</v>
      </c>
      <c r="O162" s="25" t="s">
        <v>592</v>
      </c>
    </row>
    <row r="163" spans="1:15" x14ac:dyDescent="0.25">
      <c r="A163" s="77">
        <v>45984</v>
      </c>
      <c r="B163" s="25" t="s">
        <v>391</v>
      </c>
      <c r="C163" s="25"/>
      <c r="D163" s="77">
        <f t="shared" si="18"/>
        <v>46007</v>
      </c>
      <c r="E163" s="77">
        <f t="shared" si="19"/>
        <v>45991</v>
      </c>
      <c r="F163" s="77">
        <f t="shared" si="20"/>
        <v>45998</v>
      </c>
      <c r="G163" s="77">
        <f t="shared" si="21"/>
        <v>46004</v>
      </c>
      <c r="H163" s="77">
        <f t="shared" si="22"/>
        <v>45992</v>
      </c>
      <c r="I163" s="77">
        <f t="shared" si="23"/>
        <v>45999</v>
      </c>
      <c r="J163" s="77">
        <v>46011</v>
      </c>
      <c r="K163" s="78">
        <f t="shared" ref="K163:K169" si="25">J163-A163</f>
        <v>27</v>
      </c>
      <c r="L163" s="25">
        <v>17.239999999999998</v>
      </c>
      <c r="M163" s="25">
        <v>8.7200000000000006</v>
      </c>
      <c r="N163" s="25">
        <f t="shared" si="24"/>
        <v>8.5199999999999978</v>
      </c>
      <c r="O163" s="25" t="s">
        <v>592</v>
      </c>
    </row>
    <row r="164" spans="1:15" x14ac:dyDescent="0.25">
      <c r="A164" s="77">
        <v>45984</v>
      </c>
      <c r="B164" s="25" t="s">
        <v>392</v>
      </c>
      <c r="C164" s="25"/>
      <c r="D164" s="77">
        <f t="shared" si="18"/>
        <v>46007</v>
      </c>
      <c r="E164" s="77">
        <f t="shared" si="19"/>
        <v>45991</v>
      </c>
      <c r="F164" s="77">
        <f t="shared" si="20"/>
        <v>45998</v>
      </c>
      <c r="G164" s="77">
        <f t="shared" si="21"/>
        <v>46004</v>
      </c>
      <c r="H164" s="77">
        <f t="shared" si="22"/>
        <v>45992</v>
      </c>
      <c r="I164" s="77">
        <f t="shared" si="23"/>
        <v>45999</v>
      </c>
      <c r="J164" s="77">
        <v>46011</v>
      </c>
      <c r="K164" s="78">
        <f t="shared" si="25"/>
        <v>27</v>
      </c>
      <c r="L164" s="25">
        <v>16.22</v>
      </c>
      <c r="M164" s="25">
        <v>8.1199999999999992</v>
      </c>
      <c r="N164" s="25">
        <f t="shared" si="24"/>
        <v>8.1</v>
      </c>
      <c r="O164" s="25" t="s">
        <v>592</v>
      </c>
    </row>
    <row r="165" spans="1:15" x14ac:dyDescent="0.25">
      <c r="A165" s="77">
        <v>45985</v>
      </c>
      <c r="B165" s="25" t="s">
        <v>373</v>
      </c>
      <c r="C165" s="25"/>
      <c r="D165" s="77">
        <f t="shared" si="18"/>
        <v>46008</v>
      </c>
      <c r="E165" s="77">
        <f t="shared" si="19"/>
        <v>45992</v>
      </c>
      <c r="F165" s="77">
        <f t="shared" si="20"/>
        <v>45999</v>
      </c>
      <c r="G165" s="77">
        <f t="shared" si="21"/>
        <v>46005</v>
      </c>
      <c r="H165" s="77">
        <f t="shared" si="22"/>
        <v>45993</v>
      </c>
      <c r="I165" s="77">
        <f t="shared" si="23"/>
        <v>46000</v>
      </c>
      <c r="J165" s="77">
        <v>46011</v>
      </c>
      <c r="K165" s="78">
        <f t="shared" si="25"/>
        <v>26</v>
      </c>
      <c r="L165" s="25">
        <v>15.2</v>
      </c>
      <c r="M165" s="25">
        <v>8.43</v>
      </c>
      <c r="N165" s="25">
        <f t="shared" si="24"/>
        <v>6.77</v>
      </c>
      <c r="O165" s="25" t="s">
        <v>592</v>
      </c>
    </row>
    <row r="166" spans="1:15" x14ac:dyDescent="0.25">
      <c r="A166" s="77">
        <v>45985</v>
      </c>
      <c r="B166" s="25" t="s">
        <v>374</v>
      </c>
      <c r="C166" s="25"/>
      <c r="D166" s="77">
        <f t="shared" si="18"/>
        <v>46008</v>
      </c>
      <c r="E166" s="77">
        <f t="shared" si="19"/>
        <v>45992</v>
      </c>
      <c r="F166" s="77">
        <f t="shared" si="20"/>
        <v>45999</v>
      </c>
      <c r="G166" s="77">
        <f t="shared" si="21"/>
        <v>46005</v>
      </c>
      <c r="H166" s="77">
        <f t="shared" si="22"/>
        <v>45993</v>
      </c>
      <c r="I166" s="77">
        <f t="shared" si="23"/>
        <v>46000</v>
      </c>
      <c r="J166" s="77">
        <v>46011</v>
      </c>
      <c r="K166" s="78">
        <f t="shared" si="25"/>
        <v>26</v>
      </c>
      <c r="L166" s="25">
        <v>17.41</v>
      </c>
      <c r="M166" s="25">
        <v>15.35</v>
      </c>
      <c r="N166" s="25">
        <f t="shared" si="24"/>
        <v>2.0600000000000005</v>
      </c>
      <c r="O166" s="25" t="s">
        <v>593</v>
      </c>
    </row>
    <row r="167" spans="1:15" x14ac:dyDescent="0.25">
      <c r="A167" s="77">
        <v>45985</v>
      </c>
      <c r="B167" s="25" t="s">
        <v>375</v>
      </c>
      <c r="C167" s="25"/>
      <c r="D167" s="77">
        <f t="shared" si="18"/>
        <v>46008</v>
      </c>
      <c r="E167" s="77">
        <f t="shared" si="19"/>
        <v>45992</v>
      </c>
      <c r="F167" s="77">
        <f t="shared" si="20"/>
        <v>45999</v>
      </c>
      <c r="G167" s="77">
        <f t="shared" si="21"/>
        <v>46005</v>
      </c>
      <c r="H167" s="77">
        <f t="shared" si="22"/>
        <v>45993</v>
      </c>
      <c r="I167" s="77">
        <f t="shared" si="23"/>
        <v>46000</v>
      </c>
      <c r="J167" s="77">
        <v>46011</v>
      </c>
      <c r="K167" s="78">
        <f t="shared" si="25"/>
        <v>26</v>
      </c>
      <c r="L167" s="25">
        <v>15.87</v>
      </c>
      <c r="M167" s="25">
        <v>14.92</v>
      </c>
      <c r="N167" s="25">
        <f t="shared" si="24"/>
        <v>0.94999999999999929</v>
      </c>
      <c r="O167" s="25" t="s">
        <v>593</v>
      </c>
    </row>
    <row r="168" spans="1:15" x14ac:dyDescent="0.25">
      <c r="A168" s="77">
        <v>45985</v>
      </c>
      <c r="B168" s="25" t="s">
        <v>376</v>
      </c>
      <c r="C168" s="25"/>
      <c r="D168" s="77">
        <f t="shared" si="18"/>
        <v>46008</v>
      </c>
      <c r="E168" s="77">
        <f t="shared" si="19"/>
        <v>45992</v>
      </c>
      <c r="F168" s="77">
        <f t="shared" si="20"/>
        <v>45999</v>
      </c>
      <c r="G168" s="77">
        <f t="shared" si="21"/>
        <v>46005</v>
      </c>
      <c r="H168" s="77">
        <f t="shared" si="22"/>
        <v>45993</v>
      </c>
      <c r="I168" s="77">
        <f t="shared" si="23"/>
        <v>46000</v>
      </c>
      <c r="J168" s="77">
        <v>46011</v>
      </c>
      <c r="K168" s="78">
        <f t="shared" si="25"/>
        <v>26</v>
      </c>
      <c r="L168" s="25">
        <v>14.73</v>
      </c>
      <c r="M168" s="25">
        <v>13.63</v>
      </c>
      <c r="N168" s="25">
        <f t="shared" si="24"/>
        <v>1.0999999999999996</v>
      </c>
      <c r="O168" s="25" t="s">
        <v>593</v>
      </c>
    </row>
    <row r="169" spans="1:15" x14ac:dyDescent="0.25">
      <c r="A169" s="77">
        <v>45985</v>
      </c>
      <c r="B169" s="25" t="s">
        <v>377</v>
      </c>
      <c r="C169" s="25"/>
      <c r="D169" s="77">
        <f t="shared" si="18"/>
        <v>46008</v>
      </c>
      <c r="E169" s="77">
        <f t="shared" si="19"/>
        <v>45992</v>
      </c>
      <c r="F169" s="77">
        <f t="shared" si="20"/>
        <v>45999</v>
      </c>
      <c r="G169" s="77">
        <f t="shared" si="21"/>
        <v>46005</v>
      </c>
      <c r="H169" s="77">
        <f t="shared" si="22"/>
        <v>45993</v>
      </c>
      <c r="I169" s="77">
        <f t="shared" si="23"/>
        <v>46000</v>
      </c>
      <c r="J169" s="77">
        <v>46011</v>
      </c>
      <c r="K169" s="78">
        <f t="shared" si="25"/>
        <v>26</v>
      </c>
      <c r="L169" s="25">
        <v>15.84</v>
      </c>
      <c r="M169" s="25">
        <v>13.82</v>
      </c>
      <c r="N169" s="25">
        <f t="shared" si="24"/>
        <v>2.0199999999999996</v>
      </c>
      <c r="O169" s="25" t="s">
        <v>593</v>
      </c>
    </row>
    <row r="170" spans="1:15" x14ac:dyDescent="0.25">
      <c r="A170" s="77">
        <v>45985</v>
      </c>
      <c r="B170" s="25" t="s">
        <v>393</v>
      </c>
      <c r="C170" s="25"/>
      <c r="D170" s="77">
        <f t="shared" ref="D170:D188" si="26">A170+23</f>
        <v>46008</v>
      </c>
      <c r="E170" s="77">
        <f t="shared" ref="E170:E188" si="27">A170+7</f>
        <v>45992</v>
      </c>
      <c r="F170" s="77">
        <f t="shared" ref="F170:F188" si="28">A170+14</f>
        <v>45999</v>
      </c>
      <c r="G170" s="77">
        <f t="shared" ref="G170:G188" si="29">A170+20</f>
        <v>46005</v>
      </c>
      <c r="H170" s="77">
        <f t="shared" ref="H170:H188" si="30">A170+8</f>
        <v>45993</v>
      </c>
      <c r="I170" s="77">
        <f t="shared" ref="I170:I188" si="31">A170+15</f>
        <v>46000</v>
      </c>
      <c r="J170" s="77">
        <v>46012</v>
      </c>
      <c r="K170" s="83">
        <f t="shared" ref="K170:K186" si="32">J170-A170</f>
        <v>27</v>
      </c>
      <c r="L170" s="81">
        <v>19.52</v>
      </c>
      <c r="M170" s="82">
        <v>9.18</v>
      </c>
      <c r="N170" s="25">
        <f t="shared" ref="N170:N211" si="33">L170-M170</f>
        <v>10.34</v>
      </c>
      <c r="O170" s="82" t="s">
        <v>592</v>
      </c>
    </row>
    <row r="171" spans="1:15" x14ac:dyDescent="0.25">
      <c r="A171" s="77">
        <v>45985</v>
      </c>
      <c r="B171" s="25" t="s">
        <v>394</v>
      </c>
      <c r="C171" s="25"/>
      <c r="D171" s="77">
        <f t="shared" si="26"/>
        <v>46008</v>
      </c>
      <c r="E171" s="77">
        <f t="shared" si="27"/>
        <v>45992</v>
      </c>
      <c r="F171" s="77">
        <f t="shared" si="28"/>
        <v>45999</v>
      </c>
      <c r="G171" s="77">
        <f t="shared" si="29"/>
        <v>46005</v>
      </c>
      <c r="H171" s="77">
        <f t="shared" si="30"/>
        <v>45993</v>
      </c>
      <c r="I171" s="77">
        <f t="shared" si="31"/>
        <v>46000</v>
      </c>
      <c r="J171" s="77">
        <v>46012</v>
      </c>
      <c r="K171" s="83">
        <f t="shared" si="32"/>
        <v>27</v>
      </c>
      <c r="L171" s="81">
        <v>18.739999999999998</v>
      </c>
      <c r="M171" s="82">
        <v>8.36</v>
      </c>
      <c r="N171" s="25">
        <f t="shared" si="33"/>
        <v>10.379999999999999</v>
      </c>
      <c r="O171" s="82" t="s">
        <v>592</v>
      </c>
    </row>
    <row r="172" spans="1:15" x14ac:dyDescent="0.25">
      <c r="A172" s="77">
        <v>45986</v>
      </c>
      <c r="B172" s="25" t="s">
        <v>395</v>
      </c>
      <c r="C172" s="25"/>
      <c r="D172" s="77">
        <f t="shared" si="26"/>
        <v>46009</v>
      </c>
      <c r="E172" s="77">
        <f t="shared" si="27"/>
        <v>45993</v>
      </c>
      <c r="F172" s="77">
        <f t="shared" si="28"/>
        <v>46000</v>
      </c>
      <c r="G172" s="77">
        <f t="shared" si="29"/>
        <v>46006</v>
      </c>
      <c r="H172" s="77">
        <f t="shared" si="30"/>
        <v>45994</v>
      </c>
      <c r="I172" s="77">
        <f t="shared" si="31"/>
        <v>46001</v>
      </c>
      <c r="J172" s="77">
        <v>46012</v>
      </c>
      <c r="K172" s="83">
        <f t="shared" si="32"/>
        <v>26</v>
      </c>
      <c r="L172" s="81">
        <v>14.17</v>
      </c>
      <c r="M172" s="82">
        <v>12.51</v>
      </c>
      <c r="N172" s="25">
        <f t="shared" si="33"/>
        <v>1.6600000000000001</v>
      </c>
      <c r="O172" s="82" t="s">
        <v>593</v>
      </c>
    </row>
    <row r="173" spans="1:15" x14ac:dyDescent="0.25">
      <c r="A173" s="77">
        <v>45986</v>
      </c>
      <c r="B173" s="25" t="s">
        <v>396</v>
      </c>
      <c r="C173" s="25"/>
      <c r="D173" s="77">
        <f t="shared" si="26"/>
        <v>46009</v>
      </c>
      <c r="E173" s="77">
        <f t="shared" si="27"/>
        <v>45993</v>
      </c>
      <c r="F173" s="77">
        <f t="shared" si="28"/>
        <v>46000</v>
      </c>
      <c r="G173" s="77">
        <f t="shared" si="29"/>
        <v>46006</v>
      </c>
      <c r="H173" s="77">
        <f t="shared" si="30"/>
        <v>45994</v>
      </c>
      <c r="I173" s="77">
        <f t="shared" si="31"/>
        <v>46001</v>
      </c>
      <c r="J173" s="77">
        <v>46012</v>
      </c>
      <c r="K173" s="83">
        <f t="shared" si="32"/>
        <v>26</v>
      </c>
      <c r="L173" s="81">
        <v>15.21</v>
      </c>
      <c r="M173" s="82">
        <v>13.78</v>
      </c>
      <c r="N173" s="25">
        <f t="shared" si="33"/>
        <v>1.4300000000000015</v>
      </c>
      <c r="O173" s="25" t="s">
        <v>593</v>
      </c>
    </row>
    <row r="174" spans="1:15" x14ac:dyDescent="0.25">
      <c r="A174" s="77">
        <v>45986</v>
      </c>
      <c r="B174" s="25" t="s">
        <v>397</v>
      </c>
      <c r="C174" s="25"/>
      <c r="D174" s="77">
        <f t="shared" si="26"/>
        <v>46009</v>
      </c>
      <c r="E174" s="77">
        <f t="shared" si="27"/>
        <v>45993</v>
      </c>
      <c r="F174" s="77">
        <f t="shared" si="28"/>
        <v>46000</v>
      </c>
      <c r="G174" s="77">
        <f t="shared" si="29"/>
        <v>46006</v>
      </c>
      <c r="H174" s="77">
        <f t="shared" si="30"/>
        <v>45994</v>
      </c>
      <c r="I174" s="77">
        <f t="shared" si="31"/>
        <v>46001</v>
      </c>
      <c r="J174" s="77">
        <v>46012</v>
      </c>
      <c r="K174" s="83">
        <f t="shared" si="32"/>
        <v>26</v>
      </c>
      <c r="L174" s="81">
        <v>17.86</v>
      </c>
      <c r="M174" s="82">
        <v>15.14</v>
      </c>
      <c r="N174" s="25">
        <f t="shared" si="33"/>
        <v>2.7199999999999989</v>
      </c>
      <c r="O174" s="25" t="s">
        <v>593</v>
      </c>
    </row>
    <row r="175" spans="1:15" x14ac:dyDescent="0.25">
      <c r="A175" s="77">
        <v>45986</v>
      </c>
      <c r="B175" s="25" t="s">
        <v>408</v>
      </c>
      <c r="C175" s="25"/>
      <c r="D175" s="77">
        <f t="shared" si="26"/>
        <v>46009</v>
      </c>
      <c r="E175" s="77">
        <f t="shared" si="27"/>
        <v>45993</v>
      </c>
      <c r="F175" s="77">
        <f t="shared" si="28"/>
        <v>46000</v>
      </c>
      <c r="G175" s="77">
        <f t="shared" si="29"/>
        <v>46006</v>
      </c>
      <c r="H175" s="77">
        <f t="shared" si="30"/>
        <v>45994</v>
      </c>
      <c r="I175" s="77">
        <f t="shared" si="31"/>
        <v>46001</v>
      </c>
      <c r="J175" s="77">
        <v>46013</v>
      </c>
      <c r="K175" s="83">
        <f t="shared" si="32"/>
        <v>27</v>
      </c>
      <c r="L175" s="81">
        <v>18.809999999999999</v>
      </c>
      <c r="M175" s="82">
        <v>8.51</v>
      </c>
      <c r="N175" s="25">
        <f t="shared" si="33"/>
        <v>10.299999999999999</v>
      </c>
      <c r="O175" s="25" t="s">
        <v>592</v>
      </c>
    </row>
    <row r="176" spans="1:15" x14ac:dyDescent="0.25">
      <c r="A176" s="77">
        <v>45986</v>
      </c>
      <c r="B176" s="25" t="s">
        <v>409</v>
      </c>
      <c r="C176" s="25"/>
      <c r="D176" s="77">
        <f t="shared" si="26"/>
        <v>46009</v>
      </c>
      <c r="E176" s="77">
        <f t="shared" si="27"/>
        <v>45993</v>
      </c>
      <c r="F176" s="77">
        <f t="shared" si="28"/>
        <v>46000</v>
      </c>
      <c r="G176" s="77">
        <f t="shared" si="29"/>
        <v>46006</v>
      </c>
      <c r="H176" s="77">
        <f t="shared" si="30"/>
        <v>45994</v>
      </c>
      <c r="I176" s="77">
        <f t="shared" si="31"/>
        <v>46001</v>
      </c>
      <c r="J176" s="77">
        <v>46013</v>
      </c>
      <c r="K176" s="83">
        <f t="shared" si="32"/>
        <v>27</v>
      </c>
      <c r="L176" s="81">
        <v>18.64</v>
      </c>
      <c r="M176" s="82">
        <v>8.49</v>
      </c>
      <c r="N176" s="25">
        <f t="shared" si="33"/>
        <v>10.15</v>
      </c>
      <c r="O176" s="25" t="s">
        <v>592</v>
      </c>
    </row>
    <row r="177" spans="1:15" x14ac:dyDescent="0.25">
      <c r="A177" s="77">
        <v>45986</v>
      </c>
      <c r="B177" s="25" t="s">
        <v>410</v>
      </c>
      <c r="C177" s="25"/>
      <c r="D177" s="77">
        <f t="shared" si="26"/>
        <v>46009</v>
      </c>
      <c r="E177" s="77">
        <f t="shared" si="27"/>
        <v>45993</v>
      </c>
      <c r="F177" s="77">
        <f t="shared" si="28"/>
        <v>46000</v>
      </c>
      <c r="G177" s="77">
        <f t="shared" si="29"/>
        <v>46006</v>
      </c>
      <c r="H177" s="77">
        <f t="shared" si="30"/>
        <v>45994</v>
      </c>
      <c r="I177" s="77">
        <f t="shared" si="31"/>
        <v>46001</v>
      </c>
      <c r="J177" s="77">
        <v>46012</v>
      </c>
      <c r="K177" s="83">
        <f t="shared" si="32"/>
        <v>26</v>
      </c>
      <c r="L177" s="81">
        <v>16.73</v>
      </c>
      <c r="M177" s="82">
        <v>14.42</v>
      </c>
      <c r="N177" s="25">
        <f t="shared" si="33"/>
        <v>2.3100000000000005</v>
      </c>
      <c r="O177" s="25" t="s">
        <v>593</v>
      </c>
    </row>
    <row r="178" spans="1:15" x14ac:dyDescent="0.25">
      <c r="A178" s="77">
        <v>45986</v>
      </c>
      <c r="B178" s="25" t="s">
        <v>411</v>
      </c>
      <c r="C178" s="25"/>
      <c r="D178" s="77">
        <f t="shared" si="26"/>
        <v>46009</v>
      </c>
      <c r="E178" s="77">
        <f t="shared" si="27"/>
        <v>45993</v>
      </c>
      <c r="F178" s="77">
        <f t="shared" si="28"/>
        <v>46000</v>
      </c>
      <c r="G178" s="77">
        <f t="shared" si="29"/>
        <v>46006</v>
      </c>
      <c r="H178" s="77">
        <f t="shared" si="30"/>
        <v>45994</v>
      </c>
      <c r="I178" s="77">
        <f t="shared" si="31"/>
        <v>46001</v>
      </c>
      <c r="J178" s="77">
        <v>46012</v>
      </c>
      <c r="K178" s="83">
        <f t="shared" si="32"/>
        <v>26</v>
      </c>
      <c r="L178" s="81">
        <v>18.89</v>
      </c>
      <c r="M178" s="82">
        <v>16.29</v>
      </c>
      <c r="N178" s="25">
        <f t="shared" si="33"/>
        <v>2.6000000000000014</v>
      </c>
      <c r="O178" s="25" t="s">
        <v>593</v>
      </c>
    </row>
    <row r="179" spans="1:15" x14ac:dyDescent="0.25">
      <c r="A179" s="77">
        <v>45987</v>
      </c>
      <c r="B179" s="25" t="s">
        <v>404</v>
      </c>
      <c r="C179" s="25"/>
      <c r="D179" s="77">
        <f t="shared" si="26"/>
        <v>46010</v>
      </c>
      <c r="E179" s="77">
        <f t="shared" si="27"/>
        <v>45994</v>
      </c>
      <c r="F179" s="77">
        <f t="shared" si="28"/>
        <v>46001</v>
      </c>
      <c r="G179" s="77">
        <f t="shared" si="29"/>
        <v>46007</v>
      </c>
      <c r="H179" s="77">
        <f t="shared" si="30"/>
        <v>45995</v>
      </c>
      <c r="I179" s="77">
        <f t="shared" si="31"/>
        <v>46002</v>
      </c>
      <c r="J179" s="77">
        <v>46013</v>
      </c>
      <c r="K179" s="83">
        <f t="shared" si="32"/>
        <v>26</v>
      </c>
      <c r="L179" s="81">
        <v>17.559999999999999</v>
      </c>
      <c r="M179" s="82">
        <v>15.3</v>
      </c>
      <c r="N179" s="25">
        <f t="shared" si="33"/>
        <v>2.259999999999998</v>
      </c>
      <c r="O179" s="25" t="s">
        <v>593</v>
      </c>
    </row>
    <row r="180" spans="1:15" x14ac:dyDescent="0.25">
      <c r="A180" s="77">
        <v>45987</v>
      </c>
      <c r="B180" s="25" t="s">
        <v>405</v>
      </c>
      <c r="C180" s="25"/>
      <c r="D180" s="77">
        <f t="shared" si="26"/>
        <v>46010</v>
      </c>
      <c r="E180" s="77">
        <f t="shared" si="27"/>
        <v>45994</v>
      </c>
      <c r="F180" s="77">
        <f t="shared" si="28"/>
        <v>46001</v>
      </c>
      <c r="G180" s="77">
        <f t="shared" si="29"/>
        <v>46007</v>
      </c>
      <c r="H180" s="77">
        <f t="shared" si="30"/>
        <v>45995</v>
      </c>
      <c r="I180" s="77">
        <f t="shared" si="31"/>
        <v>46002</v>
      </c>
      <c r="J180" s="77">
        <v>46013</v>
      </c>
      <c r="K180" s="83">
        <f t="shared" si="32"/>
        <v>26</v>
      </c>
      <c r="L180" s="81">
        <v>17.25</v>
      </c>
      <c r="M180" s="82">
        <v>15.19</v>
      </c>
      <c r="N180" s="25">
        <f t="shared" si="33"/>
        <v>2.0600000000000005</v>
      </c>
      <c r="O180" s="25" t="s">
        <v>593</v>
      </c>
    </row>
    <row r="181" spans="1:15" x14ac:dyDescent="0.25">
      <c r="A181" s="77">
        <v>45987</v>
      </c>
      <c r="B181" s="25" t="s">
        <v>406</v>
      </c>
      <c r="C181" s="25"/>
      <c r="D181" s="77">
        <f t="shared" si="26"/>
        <v>46010</v>
      </c>
      <c r="E181" s="77">
        <f t="shared" si="27"/>
        <v>45994</v>
      </c>
      <c r="F181" s="77">
        <f t="shared" si="28"/>
        <v>46001</v>
      </c>
      <c r="G181" s="77">
        <f t="shared" si="29"/>
        <v>46007</v>
      </c>
      <c r="H181" s="77">
        <f t="shared" si="30"/>
        <v>45995</v>
      </c>
      <c r="I181" s="77">
        <f t="shared" si="31"/>
        <v>46002</v>
      </c>
      <c r="J181" s="77">
        <v>46013</v>
      </c>
      <c r="K181" s="83">
        <f t="shared" si="32"/>
        <v>26</v>
      </c>
      <c r="L181" s="81">
        <v>16.12</v>
      </c>
      <c r="M181" s="82">
        <v>14.35</v>
      </c>
      <c r="N181" s="25">
        <f t="shared" si="33"/>
        <v>1.7700000000000014</v>
      </c>
      <c r="O181" s="25" t="s">
        <v>593</v>
      </c>
    </row>
    <row r="182" spans="1:15" x14ac:dyDescent="0.25">
      <c r="A182" s="77">
        <v>45987</v>
      </c>
      <c r="B182" s="25" t="s">
        <v>407</v>
      </c>
      <c r="C182" s="25"/>
      <c r="D182" s="77">
        <f t="shared" si="26"/>
        <v>46010</v>
      </c>
      <c r="E182" s="77">
        <f t="shared" si="27"/>
        <v>45994</v>
      </c>
      <c r="F182" s="77">
        <f t="shared" si="28"/>
        <v>46001</v>
      </c>
      <c r="G182" s="77">
        <f t="shared" si="29"/>
        <v>46007</v>
      </c>
      <c r="H182" s="77">
        <f t="shared" si="30"/>
        <v>45995</v>
      </c>
      <c r="I182" s="77">
        <f t="shared" si="31"/>
        <v>46002</v>
      </c>
      <c r="J182" s="77">
        <v>46013</v>
      </c>
      <c r="K182" s="83">
        <f t="shared" si="32"/>
        <v>26</v>
      </c>
      <c r="L182" s="81">
        <v>19.329999999999998</v>
      </c>
      <c r="M182" s="82">
        <v>9.27</v>
      </c>
      <c r="N182" s="25">
        <f t="shared" si="33"/>
        <v>10.059999999999999</v>
      </c>
      <c r="O182" s="25" t="s">
        <v>592</v>
      </c>
    </row>
    <row r="183" spans="1:15" x14ac:dyDescent="0.25">
      <c r="A183" s="77">
        <v>45987</v>
      </c>
      <c r="B183" s="25" t="s">
        <v>431</v>
      </c>
      <c r="C183" s="25"/>
      <c r="D183" s="77">
        <f t="shared" si="26"/>
        <v>46010</v>
      </c>
      <c r="E183" s="77">
        <f t="shared" si="27"/>
        <v>45994</v>
      </c>
      <c r="F183" s="77">
        <f t="shared" si="28"/>
        <v>46001</v>
      </c>
      <c r="G183" s="77">
        <f t="shared" si="29"/>
        <v>46007</v>
      </c>
      <c r="H183" s="77">
        <f t="shared" si="30"/>
        <v>45995</v>
      </c>
      <c r="I183" s="77">
        <f t="shared" si="31"/>
        <v>46002</v>
      </c>
      <c r="J183" s="77">
        <v>46014</v>
      </c>
      <c r="K183" s="83">
        <f t="shared" si="32"/>
        <v>27</v>
      </c>
      <c r="L183" s="25">
        <v>13.11</v>
      </c>
      <c r="M183" s="25">
        <v>5.99</v>
      </c>
      <c r="N183" s="25">
        <f t="shared" si="33"/>
        <v>7.1199999999999992</v>
      </c>
      <c r="O183" s="25" t="s">
        <v>592</v>
      </c>
    </row>
    <row r="184" spans="1:15" x14ac:dyDescent="0.25">
      <c r="A184" s="77">
        <v>45987</v>
      </c>
      <c r="B184" s="25" t="s">
        <v>432</v>
      </c>
      <c r="C184" s="25"/>
      <c r="D184" s="77">
        <f t="shared" si="26"/>
        <v>46010</v>
      </c>
      <c r="E184" s="77">
        <f t="shared" si="27"/>
        <v>45994</v>
      </c>
      <c r="F184" s="77">
        <f t="shared" si="28"/>
        <v>46001</v>
      </c>
      <c r="G184" s="77">
        <f t="shared" si="29"/>
        <v>46007</v>
      </c>
      <c r="H184" s="77">
        <f t="shared" si="30"/>
        <v>45995</v>
      </c>
      <c r="I184" s="77">
        <f t="shared" si="31"/>
        <v>46002</v>
      </c>
      <c r="J184" s="77">
        <v>46014</v>
      </c>
      <c r="K184" s="83">
        <f t="shared" si="32"/>
        <v>27</v>
      </c>
      <c r="L184" s="25">
        <v>14.26</v>
      </c>
      <c r="M184" s="25">
        <v>7.27</v>
      </c>
      <c r="N184" s="25">
        <f t="shared" si="33"/>
        <v>6.99</v>
      </c>
      <c r="O184" s="25" t="s">
        <v>592</v>
      </c>
    </row>
    <row r="185" spans="1:15" x14ac:dyDescent="0.25">
      <c r="A185" s="77">
        <v>45987</v>
      </c>
      <c r="B185" s="25" t="s">
        <v>433</v>
      </c>
      <c r="C185" s="25"/>
      <c r="D185" s="77">
        <f t="shared" si="26"/>
        <v>46010</v>
      </c>
      <c r="E185" s="77">
        <f t="shared" si="27"/>
        <v>45994</v>
      </c>
      <c r="F185" s="77">
        <f t="shared" si="28"/>
        <v>46001</v>
      </c>
      <c r="G185" s="77">
        <f t="shared" si="29"/>
        <v>46007</v>
      </c>
      <c r="H185" s="77">
        <f t="shared" si="30"/>
        <v>45995</v>
      </c>
      <c r="I185" s="77">
        <f t="shared" si="31"/>
        <v>46002</v>
      </c>
      <c r="J185" s="77">
        <v>46014</v>
      </c>
      <c r="K185" s="83">
        <f t="shared" si="32"/>
        <v>27</v>
      </c>
      <c r="L185" s="25">
        <v>15.03</v>
      </c>
      <c r="M185" s="25">
        <v>7.81</v>
      </c>
      <c r="N185" s="25">
        <f t="shared" si="33"/>
        <v>7.22</v>
      </c>
      <c r="O185" s="25" t="s">
        <v>592</v>
      </c>
    </row>
    <row r="186" spans="1:15" x14ac:dyDescent="0.25">
      <c r="A186" s="77">
        <v>45987</v>
      </c>
      <c r="B186" s="25" t="s">
        <v>434</v>
      </c>
      <c r="C186" s="25"/>
      <c r="D186" s="77">
        <f t="shared" si="26"/>
        <v>46010</v>
      </c>
      <c r="E186" s="77">
        <f t="shared" si="27"/>
        <v>45994</v>
      </c>
      <c r="F186" s="77">
        <f t="shared" si="28"/>
        <v>46001</v>
      </c>
      <c r="G186" s="77">
        <f t="shared" si="29"/>
        <v>46007</v>
      </c>
      <c r="H186" s="77">
        <f t="shared" si="30"/>
        <v>45995</v>
      </c>
      <c r="I186" s="77">
        <f t="shared" si="31"/>
        <v>46002</v>
      </c>
      <c r="J186" s="77">
        <v>46014</v>
      </c>
      <c r="K186" s="83">
        <f t="shared" si="32"/>
        <v>27</v>
      </c>
      <c r="L186" s="25">
        <v>13.78</v>
      </c>
      <c r="M186" s="25">
        <v>10.34</v>
      </c>
      <c r="N186" s="25">
        <f t="shared" si="33"/>
        <v>3.4399999999999995</v>
      </c>
      <c r="O186" s="25" t="s">
        <v>593</v>
      </c>
    </row>
    <row r="187" spans="1:15" x14ac:dyDescent="0.25">
      <c r="A187" s="77">
        <v>45988</v>
      </c>
      <c r="B187" s="25" t="s">
        <v>428</v>
      </c>
      <c r="C187" s="25"/>
      <c r="D187" s="77">
        <f t="shared" si="26"/>
        <v>46011</v>
      </c>
      <c r="E187" s="77">
        <f t="shared" si="27"/>
        <v>45995</v>
      </c>
      <c r="F187" s="77">
        <f t="shared" si="28"/>
        <v>46002</v>
      </c>
      <c r="G187" s="77">
        <f t="shared" si="29"/>
        <v>46008</v>
      </c>
      <c r="H187" s="77">
        <f t="shared" si="30"/>
        <v>45996</v>
      </c>
      <c r="I187" s="77">
        <f t="shared" si="31"/>
        <v>46003</v>
      </c>
      <c r="J187" s="77">
        <v>46013</v>
      </c>
      <c r="K187" s="83">
        <f>J187-A187</f>
        <v>25</v>
      </c>
      <c r="L187" s="81">
        <v>14.13</v>
      </c>
      <c r="M187" s="82">
        <v>12.72</v>
      </c>
      <c r="N187" s="25">
        <f t="shared" si="33"/>
        <v>1.4100000000000001</v>
      </c>
      <c r="O187" s="25" t="s">
        <v>593</v>
      </c>
    </row>
    <row r="188" spans="1:15" x14ac:dyDescent="0.25">
      <c r="A188" s="77">
        <v>45988</v>
      </c>
      <c r="B188" s="25" t="s">
        <v>429</v>
      </c>
      <c r="C188" s="25"/>
      <c r="D188" s="77">
        <f t="shared" si="26"/>
        <v>46011</v>
      </c>
      <c r="E188" s="77">
        <f t="shared" si="27"/>
        <v>45995</v>
      </c>
      <c r="F188" s="77">
        <f t="shared" si="28"/>
        <v>46002</v>
      </c>
      <c r="G188" s="77">
        <f t="shared" si="29"/>
        <v>46008</v>
      </c>
      <c r="H188" s="77">
        <f t="shared" si="30"/>
        <v>45996</v>
      </c>
      <c r="I188" s="77">
        <f t="shared" si="31"/>
        <v>46003</v>
      </c>
      <c r="J188" s="77">
        <v>46013</v>
      </c>
      <c r="K188" s="83">
        <f>J188-A188</f>
        <v>25</v>
      </c>
      <c r="L188" s="81">
        <v>14.02</v>
      </c>
      <c r="M188" s="82">
        <v>12.68</v>
      </c>
      <c r="N188" s="25">
        <f t="shared" si="33"/>
        <v>1.3399999999999999</v>
      </c>
      <c r="O188" s="25" t="s">
        <v>593</v>
      </c>
    </row>
    <row r="189" spans="1:15" x14ac:dyDescent="0.25">
      <c r="A189" s="77">
        <v>45988</v>
      </c>
      <c r="B189" s="25" t="s">
        <v>430</v>
      </c>
      <c r="C189" s="25"/>
      <c r="D189" s="77">
        <f t="shared" si="18"/>
        <v>46011</v>
      </c>
      <c r="E189" s="77">
        <f t="shared" si="19"/>
        <v>45995</v>
      </c>
      <c r="F189" s="77">
        <f t="shared" si="20"/>
        <v>46002</v>
      </c>
      <c r="G189" s="77">
        <f t="shared" si="21"/>
        <v>46008</v>
      </c>
      <c r="H189" s="77">
        <f t="shared" si="22"/>
        <v>45996</v>
      </c>
      <c r="I189" s="77">
        <f t="shared" si="23"/>
        <v>46003</v>
      </c>
      <c r="J189" s="77">
        <v>46014</v>
      </c>
      <c r="K189" s="83">
        <f>J189-A189</f>
        <v>26</v>
      </c>
      <c r="L189" s="25">
        <v>12.49</v>
      </c>
      <c r="M189" s="25">
        <v>5.65</v>
      </c>
      <c r="N189" s="25">
        <f t="shared" si="33"/>
        <v>6.84</v>
      </c>
      <c r="O189" s="25" t="s">
        <v>592</v>
      </c>
    </row>
    <row r="190" spans="1:15" x14ac:dyDescent="0.25">
      <c r="A190" s="77">
        <v>45988</v>
      </c>
      <c r="B190" s="25" t="s">
        <v>559</v>
      </c>
      <c r="C190" s="25"/>
      <c r="D190" s="77">
        <f t="shared" si="18"/>
        <v>46011</v>
      </c>
      <c r="E190" s="77">
        <f t="shared" si="19"/>
        <v>45995</v>
      </c>
      <c r="F190" s="77">
        <f t="shared" si="20"/>
        <v>46002</v>
      </c>
      <c r="G190" s="77">
        <f t="shared" si="21"/>
        <v>46008</v>
      </c>
      <c r="H190" s="77">
        <f t="shared" si="22"/>
        <v>45996</v>
      </c>
      <c r="I190" s="77">
        <f t="shared" si="23"/>
        <v>46003</v>
      </c>
      <c r="J190" s="77">
        <v>46014</v>
      </c>
      <c r="K190" s="83">
        <f>J190-A190</f>
        <v>26</v>
      </c>
      <c r="L190" s="25">
        <v>10.42</v>
      </c>
      <c r="M190" s="25">
        <v>8.56</v>
      </c>
      <c r="N190" s="25">
        <f t="shared" si="33"/>
        <v>1.8599999999999994</v>
      </c>
      <c r="O190" s="25" t="s">
        <v>593</v>
      </c>
    </row>
    <row r="191" spans="1:15" x14ac:dyDescent="0.25">
      <c r="A191" s="77">
        <v>45988</v>
      </c>
      <c r="B191" s="25" t="s">
        <v>560</v>
      </c>
      <c r="C191" s="25"/>
      <c r="D191" s="77">
        <f t="shared" si="18"/>
        <v>46011</v>
      </c>
      <c r="E191" s="77">
        <f t="shared" si="19"/>
        <v>45995</v>
      </c>
      <c r="F191" s="77">
        <f t="shared" si="20"/>
        <v>46002</v>
      </c>
      <c r="G191" s="77">
        <f t="shared" si="21"/>
        <v>46008</v>
      </c>
      <c r="H191" s="77">
        <f t="shared" si="22"/>
        <v>45996</v>
      </c>
      <c r="I191" s="77">
        <f t="shared" si="23"/>
        <v>46003</v>
      </c>
      <c r="J191" s="77">
        <v>46015</v>
      </c>
      <c r="K191" s="78">
        <f>J191-A191</f>
        <v>27</v>
      </c>
      <c r="L191" s="25">
        <v>15.79</v>
      </c>
      <c r="M191" s="25">
        <v>8.07</v>
      </c>
      <c r="N191" s="25">
        <f t="shared" si="33"/>
        <v>7.7199999999999989</v>
      </c>
      <c r="O191" s="25" t="s">
        <v>592</v>
      </c>
    </row>
    <row r="192" spans="1:15" x14ac:dyDescent="0.25">
      <c r="A192" s="77">
        <v>45988</v>
      </c>
      <c r="B192" s="25" t="s">
        <v>561</v>
      </c>
      <c r="C192" s="25"/>
      <c r="D192" s="77">
        <f t="shared" si="18"/>
        <v>46011</v>
      </c>
      <c r="E192" s="77">
        <f t="shared" si="19"/>
        <v>45995</v>
      </c>
      <c r="F192" s="77">
        <f t="shared" si="20"/>
        <v>46002</v>
      </c>
      <c r="G192" s="77">
        <f t="shared" si="21"/>
        <v>46008</v>
      </c>
      <c r="H192" s="77">
        <f t="shared" si="22"/>
        <v>45996</v>
      </c>
      <c r="I192" s="77">
        <f t="shared" si="23"/>
        <v>46003</v>
      </c>
      <c r="J192" s="77">
        <v>46015</v>
      </c>
      <c r="K192" s="78">
        <f t="shared" ref="K192:K207" si="34">J192-A192</f>
        <v>27</v>
      </c>
      <c r="L192" s="25">
        <v>15.83</v>
      </c>
      <c r="M192" s="25">
        <v>8.2100000000000009</v>
      </c>
      <c r="N192" s="25">
        <f t="shared" si="33"/>
        <v>7.6199999999999992</v>
      </c>
      <c r="O192" s="25" t="s">
        <v>592</v>
      </c>
    </row>
    <row r="193" spans="1:15" x14ac:dyDescent="0.25">
      <c r="A193" s="77">
        <v>45988</v>
      </c>
      <c r="B193" s="25" t="s">
        <v>562</v>
      </c>
      <c r="C193" s="25"/>
      <c r="D193" s="77">
        <f t="shared" si="18"/>
        <v>46011</v>
      </c>
      <c r="E193" s="77">
        <f t="shared" si="19"/>
        <v>45995</v>
      </c>
      <c r="F193" s="77">
        <f t="shared" si="20"/>
        <v>46002</v>
      </c>
      <c r="G193" s="77">
        <f t="shared" si="21"/>
        <v>46008</v>
      </c>
      <c r="H193" s="77">
        <f t="shared" si="22"/>
        <v>45996</v>
      </c>
      <c r="I193" s="77">
        <f t="shared" si="23"/>
        <v>46003</v>
      </c>
      <c r="J193" s="77">
        <v>46015</v>
      </c>
      <c r="K193" s="78">
        <f t="shared" si="34"/>
        <v>27</v>
      </c>
      <c r="L193" s="25">
        <v>9.31</v>
      </c>
      <c r="M193" s="25">
        <v>7.16</v>
      </c>
      <c r="N193" s="25">
        <f t="shared" si="33"/>
        <v>2.1500000000000004</v>
      </c>
      <c r="O193" s="25" t="s">
        <v>593</v>
      </c>
    </row>
    <row r="194" spans="1:15" x14ac:dyDescent="0.25">
      <c r="A194" s="77">
        <v>45989</v>
      </c>
      <c r="B194" s="25" t="s">
        <v>563</v>
      </c>
      <c r="C194" s="25"/>
      <c r="D194" s="77">
        <f t="shared" si="18"/>
        <v>46012</v>
      </c>
      <c r="E194" s="77">
        <f t="shared" si="19"/>
        <v>45996</v>
      </c>
      <c r="F194" s="77">
        <f t="shared" si="20"/>
        <v>46003</v>
      </c>
      <c r="G194" s="77">
        <f t="shared" si="21"/>
        <v>46009</v>
      </c>
      <c r="H194" s="77">
        <f t="shared" si="22"/>
        <v>45997</v>
      </c>
      <c r="I194" s="77">
        <f t="shared" si="23"/>
        <v>46004</v>
      </c>
      <c r="J194" s="77">
        <v>46015</v>
      </c>
      <c r="K194" s="78">
        <f t="shared" si="34"/>
        <v>26</v>
      </c>
      <c r="L194" s="25">
        <v>10.17</v>
      </c>
      <c r="M194" s="25">
        <v>8.31</v>
      </c>
      <c r="N194" s="25">
        <f t="shared" si="33"/>
        <v>1.8599999999999994</v>
      </c>
      <c r="O194" s="25" t="s">
        <v>593</v>
      </c>
    </row>
    <row r="195" spans="1:15" x14ac:dyDescent="0.25">
      <c r="A195" s="77">
        <v>45989</v>
      </c>
      <c r="B195" s="25" t="s">
        <v>564</v>
      </c>
      <c r="C195" s="25"/>
      <c r="D195" s="77">
        <f t="shared" ref="D195:D258" si="35">A195+23</f>
        <v>46012</v>
      </c>
      <c r="E195" s="77">
        <f t="shared" ref="E195:E258" si="36">A195+7</f>
        <v>45996</v>
      </c>
      <c r="F195" s="77">
        <f t="shared" ref="F195:F258" si="37">A195+14</f>
        <v>46003</v>
      </c>
      <c r="G195" s="77">
        <f t="shared" ref="G195:G258" si="38">A195+20</f>
        <v>46009</v>
      </c>
      <c r="H195" s="77">
        <f t="shared" ref="H195:H258" si="39">A195+8</f>
        <v>45997</v>
      </c>
      <c r="I195" s="77">
        <f t="shared" ref="I195:I258" si="40">A195+15</f>
        <v>46004</v>
      </c>
      <c r="J195" s="77">
        <v>46015</v>
      </c>
      <c r="K195" s="78">
        <f t="shared" si="34"/>
        <v>26</v>
      </c>
      <c r="L195" s="25">
        <v>9.6199999999999992</v>
      </c>
      <c r="M195" s="25">
        <v>7.56</v>
      </c>
      <c r="N195" s="25">
        <f t="shared" si="33"/>
        <v>2.0599999999999996</v>
      </c>
      <c r="O195" s="25" t="s">
        <v>593</v>
      </c>
    </row>
    <row r="196" spans="1:15" x14ac:dyDescent="0.25">
      <c r="A196" s="77">
        <v>45989</v>
      </c>
      <c r="B196" s="25" t="s">
        <v>565</v>
      </c>
      <c r="C196" s="25"/>
      <c r="D196" s="77">
        <f t="shared" si="35"/>
        <v>46012</v>
      </c>
      <c r="E196" s="77">
        <f t="shared" si="36"/>
        <v>45996</v>
      </c>
      <c r="F196" s="77">
        <f t="shared" si="37"/>
        <v>46003</v>
      </c>
      <c r="G196" s="77">
        <f t="shared" si="38"/>
        <v>46009</v>
      </c>
      <c r="H196" s="77">
        <f t="shared" si="39"/>
        <v>45997</v>
      </c>
      <c r="I196" s="77">
        <f t="shared" si="40"/>
        <v>46004</v>
      </c>
      <c r="J196" s="77">
        <v>46015</v>
      </c>
      <c r="K196" s="78">
        <f t="shared" si="34"/>
        <v>26</v>
      </c>
      <c r="L196" s="25">
        <v>10.45</v>
      </c>
      <c r="M196" s="25">
        <v>8.61</v>
      </c>
      <c r="N196" s="25">
        <f t="shared" si="33"/>
        <v>1.8399999999999999</v>
      </c>
      <c r="O196" s="25" t="s">
        <v>593</v>
      </c>
    </row>
    <row r="197" spans="1:15" x14ac:dyDescent="0.25">
      <c r="A197" s="77">
        <v>45989</v>
      </c>
      <c r="B197" s="25" t="s">
        <v>566</v>
      </c>
      <c r="C197" s="25"/>
      <c r="D197" s="77">
        <f t="shared" si="35"/>
        <v>46012</v>
      </c>
      <c r="E197" s="77">
        <f t="shared" si="36"/>
        <v>45996</v>
      </c>
      <c r="F197" s="77">
        <f t="shared" si="37"/>
        <v>46003</v>
      </c>
      <c r="G197" s="77">
        <f t="shared" si="38"/>
        <v>46009</v>
      </c>
      <c r="H197" s="77">
        <f t="shared" si="39"/>
        <v>45997</v>
      </c>
      <c r="I197" s="77">
        <f t="shared" si="40"/>
        <v>46004</v>
      </c>
      <c r="J197" s="77">
        <v>46015</v>
      </c>
      <c r="K197" s="78">
        <f t="shared" si="34"/>
        <v>26</v>
      </c>
      <c r="L197" s="25">
        <v>12.2</v>
      </c>
      <c r="M197" s="25">
        <v>10.18</v>
      </c>
      <c r="N197" s="25">
        <f t="shared" si="33"/>
        <v>2.0199999999999996</v>
      </c>
      <c r="O197" s="25" t="s">
        <v>593</v>
      </c>
    </row>
    <row r="198" spans="1:15" x14ac:dyDescent="0.25">
      <c r="A198" s="77">
        <v>45989</v>
      </c>
      <c r="B198" s="25" t="s">
        <v>567</v>
      </c>
      <c r="C198" s="25"/>
      <c r="D198" s="77">
        <f t="shared" si="35"/>
        <v>46012</v>
      </c>
      <c r="E198" s="77">
        <f t="shared" si="36"/>
        <v>45996</v>
      </c>
      <c r="F198" s="77">
        <f t="shared" si="37"/>
        <v>46003</v>
      </c>
      <c r="G198" s="77">
        <f t="shared" si="38"/>
        <v>46009</v>
      </c>
      <c r="H198" s="77">
        <f t="shared" si="39"/>
        <v>45997</v>
      </c>
      <c r="I198" s="77">
        <f t="shared" si="40"/>
        <v>46004</v>
      </c>
      <c r="J198" s="77">
        <v>46015</v>
      </c>
      <c r="K198" s="78">
        <f t="shared" si="34"/>
        <v>26</v>
      </c>
      <c r="L198" s="25">
        <v>14.91</v>
      </c>
      <c r="M198" s="25">
        <v>13.24</v>
      </c>
      <c r="N198" s="25">
        <f t="shared" si="33"/>
        <v>1.67</v>
      </c>
      <c r="O198" s="25" t="s">
        <v>593</v>
      </c>
    </row>
    <row r="199" spans="1:15" x14ac:dyDescent="0.25">
      <c r="A199" s="77">
        <v>45989</v>
      </c>
      <c r="B199" s="25" t="s">
        <v>568</v>
      </c>
      <c r="C199" s="25"/>
      <c r="D199" s="77">
        <f t="shared" si="35"/>
        <v>46012</v>
      </c>
      <c r="E199" s="77">
        <f t="shared" si="36"/>
        <v>45996</v>
      </c>
      <c r="F199" s="77">
        <f t="shared" si="37"/>
        <v>46003</v>
      </c>
      <c r="G199" s="77">
        <f t="shared" si="38"/>
        <v>46009</v>
      </c>
      <c r="H199" s="77">
        <f t="shared" si="39"/>
        <v>45997</v>
      </c>
      <c r="I199" s="77">
        <f t="shared" si="40"/>
        <v>46004</v>
      </c>
      <c r="J199" s="77">
        <v>46015</v>
      </c>
      <c r="K199" s="78">
        <f t="shared" si="34"/>
        <v>26</v>
      </c>
      <c r="L199" s="25">
        <v>15.18</v>
      </c>
      <c r="M199" s="25">
        <v>13.67</v>
      </c>
      <c r="N199" s="25">
        <f t="shared" si="33"/>
        <v>1.5099999999999998</v>
      </c>
      <c r="O199" s="25" t="s">
        <v>593</v>
      </c>
    </row>
    <row r="200" spans="1:15" x14ac:dyDescent="0.25">
      <c r="A200" s="77">
        <v>45989</v>
      </c>
      <c r="B200" s="25" t="s">
        <v>569</v>
      </c>
      <c r="C200" s="25"/>
      <c r="D200" s="77">
        <f t="shared" si="35"/>
        <v>46012</v>
      </c>
      <c r="E200" s="77">
        <f t="shared" si="36"/>
        <v>45996</v>
      </c>
      <c r="F200" s="77">
        <f t="shared" si="37"/>
        <v>46003</v>
      </c>
      <c r="G200" s="77">
        <f t="shared" si="38"/>
        <v>46009</v>
      </c>
      <c r="H200" s="77">
        <f t="shared" si="39"/>
        <v>45997</v>
      </c>
      <c r="I200" s="77">
        <f t="shared" si="40"/>
        <v>46004</v>
      </c>
      <c r="J200" s="77">
        <v>46015</v>
      </c>
      <c r="K200" s="78">
        <f t="shared" si="34"/>
        <v>26</v>
      </c>
      <c r="L200" s="25">
        <v>14.07</v>
      </c>
      <c r="M200" s="25">
        <v>13.58</v>
      </c>
      <c r="N200" s="25">
        <f t="shared" si="33"/>
        <v>0.49000000000000021</v>
      </c>
      <c r="O200" s="25" t="s">
        <v>593</v>
      </c>
    </row>
    <row r="201" spans="1:15" x14ac:dyDescent="0.25">
      <c r="A201" s="77">
        <v>45990</v>
      </c>
      <c r="B201" s="25" t="s">
        <v>570</v>
      </c>
      <c r="C201" s="25"/>
      <c r="D201" s="77">
        <f t="shared" si="35"/>
        <v>46013</v>
      </c>
      <c r="E201" s="77">
        <f t="shared" si="36"/>
        <v>45997</v>
      </c>
      <c r="F201" s="77">
        <f t="shared" si="37"/>
        <v>46004</v>
      </c>
      <c r="G201" s="77">
        <f t="shared" si="38"/>
        <v>46010</v>
      </c>
      <c r="H201" s="77">
        <f t="shared" si="39"/>
        <v>45998</v>
      </c>
      <c r="I201" s="77">
        <f t="shared" si="40"/>
        <v>46005</v>
      </c>
      <c r="J201" s="77">
        <v>46015</v>
      </c>
      <c r="K201" s="78">
        <f t="shared" si="34"/>
        <v>25</v>
      </c>
      <c r="L201" s="25">
        <v>16.100000000000001</v>
      </c>
      <c r="M201" s="25">
        <v>14.09</v>
      </c>
      <c r="N201" s="25">
        <f t="shared" si="33"/>
        <v>2.0100000000000016</v>
      </c>
      <c r="O201" s="25" t="s">
        <v>593</v>
      </c>
    </row>
    <row r="202" spans="1:15" x14ac:dyDescent="0.25">
      <c r="A202" s="77">
        <v>45990</v>
      </c>
      <c r="B202" s="25" t="s">
        <v>571</v>
      </c>
      <c r="C202" s="25"/>
      <c r="D202" s="77">
        <f t="shared" si="35"/>
        <v>46013</v>
      </c>
      <c r="E202" s="77">
        <f t="shared" si="36"/>
        <v>45997</v>
      </c>
      <c r="F202" s="77">
        <f t="shared" si="37"/>
        <v>46004</v>
      </c>
      <c r="G202" s="77">
        <f t="shared" si="38"/>
        <v>46010</v>
      </c>
      <c r="H202" s="77">
        <f t="shared" si="39"/>
        <v>45998</v>
      </c>
      <c r="I202" s="77">
        <f t="shared" si="40"/>
        <v>46005</v>
      </c>
      <c r="J202" s="77">
        <v>46015</v>
      </c>
      <c r="K202" s="78">
        <f t="shared" si="34"/>
        <v>25</v>
      </c>
      <c r="L202" s="25">
        <v>13.26</v>
      </c>
      <c r="M202" s="25">
        <v>11.12</v>
      </c>
      <c r="N202" s="25">
        <f t="shared" si="33"/>
        <v>2.1400000000000006</v>
      </c>
      <c r="O202" s="25" t="s">
        <v>593</v>
      </c>
    </row>
    <row r="203" spans="1:15" x14ac:dyDescent="0.25">
      <c r="A203" s="77">
        <v>45990</v>
      </c>
      <c r="B203" s="25" t="s">
        <v>572</v>
      </c>
      <c r="C203" s="25"/>
      <c r="D203" s="77">
        <f t="shared" si="35"/>
        <v>46013</v>
      </c>
      <c r="E203" s="77">
        <f t="shared" si="36"/>
        <v>45997</v>
      </c>
      <c r="F203" s="77">
        <f t="shared" si="37"/>
        <v>46004</v>
      </c>
      <c r="G203" s="77">
        <f t="shared" si="38"/>
        <v>46010</v>
      </c>
      <c r="H203" s="77">
        <f t="shared" si="39"/>
        <v>45998</v>
      </c>
      <c r="I203" s="77">
        <f t="shared" si="40"/>
        <v>46005</v>
      </c>
      <c r="J203" s="77">
        <v>46016</v>
      </c>
      <c r="K203" s="78">
        <f t="shared" si="34"/>
        <v>26</v>
      </c>
      <c r="L203" s="25">
        <v>16.39</v>
      </c>
      <c r="M203" s="25">
        <v>9.01</v>
      </c>
      <c r="N203" s="25">
        <f t="shared" si="33"/>
        <v>7.3800000000000008</v>
      </c>
      <c r="O203" s="25" t="s">
        <v>592</v>
      </c>
    </row>
    <row r="204" spans="1:15" x14ac:dyDescent="0.25">
      <c r="A204" s="77">
        <v>45990</v>
      </c>
      <c r="B204" s="25" t="s">
        <v>573</v>
      </c>
      <c r="C204" s="25"/>
      <c r="D204" s="77">
        <f t="shared" si="35"/>
        <v>46013</v>
      </c>
      <c r="E204" s="77">
        <f t="shared" si="36"/>
        <v>45997</v>
      </c>
      <c r="F204" s="77">
        <f t="shared" si="37"/>
        <v>46004</v>
      </c>
      <c r="G204" s="77">
        <f t="shared" si="38"/>
        <v>46010</v>
      </c>
      <c r="H204" s="77">
        <f t="shared" si="39"/>
        <v>45998</v>
      </c>
      <c r="I204" s="77">
        <f t="shared" si="40"/>
        <v>46005</v>
      </c>
      <c r="J204" s="77">
        <v>46016</v>
      </c>
      <c r="K204" s="78">
        <f t="shared" si="34"/>
        <v>26</v>
      </c>
      <c r="L204" s="25">
        <v>15.17</v>
      </c>
      <c r="M204" s="25">
        <v>8.24</v>
      </c>
      <c r="N204" s="25">
        <f t="shared" si="33"/>
        <v>6.93</v>
      </c>
      <c r="O204" s="25" t="s">
        <v>592</v>
      </c>
    </row>
    <row r="205" spans="1:15" x14ac:dyDescent="0.25">
      <c r="A205" s="77">
        <v>45990</v>
      </c>
      <c r="B205" s="25" t="s">
        <v>574</v>
      </c>
      <c r="C205" s="25"/>
      <c r="D205" s="77">
        <f t="shared" si="35"/>
        <v>46013</v>
      </c>
      <c r="E205" s="77">
        <f t="shared" si="36"/>
        <v>45997</v>
      </c>
      <c r="F205" s="77">
        <f t="shared" si="37"/>
        <v>46004</v>
      </c>
      <c r="G205" s="77">
        <f t="shared" si="38"/>
        <v>46010</v>
      </c>
      <c r="H205" s="77">
        <f t="shared" si="39"/>
        <v>45998</v>
      </c>
      <c r="I205" s="77">
        <f t="shared" si="40"/>
        <v>46005</v>
      </c>
      <c r="J205" s="77">
        <v>46016</v>
      </c>
      <c r="K205" s="78">
        <f t="shared" si="34"/>
        <v>26</v>
      </c>
      <c r="L205" s="25">
        <v>15.92</v>
      </c>
      <c r="M205" s="25">
        <v>8.76</v>
      </c>
      <c r="N205" s="25">
        <f t="shared" si="33"/>
        <v>7.16</v>
      </c>
      <c r="O205" s="25" t="s">
        <v>592</v>
      </c>
    </row>
    <row r="206" spans="1:15" x14ac:dyDescent="0.25">
      <c r="A206" s="77">
        <v>45990</v>
      </c>
      <c r="B206" s="25" t="s">
        <v>575</v>
      </c>
      <c r="C206" s="25"/>
      <c r="D206" s="77">
        <f t="shared" si="35"/>
        <v>46013</v>
      </c>
      <c r="E206" s="77">
        <f t="shared" si="36"/>
        <v>45997</v>
      </c>
      <c r="F206" s="77">
        <f t="shared" si="37"/>
        <v>46004</v>
      </c>
      <c r="G206" s="77">
        <f t="shared" si="38"/>
        <v>46010</v>
      </c>
      <c r="H206" s="77">
        <f t="shared" si="39"/>
        <v>45998</v>
      </c>
      <c r="I206" s="77">
        <f t="shared" si="40"/>
        <v>46005</v>
      </c>
      <c r="J206" s="77">
        <v>46016</v>
      </c>
      <c r="K206" s="78">
        <f t="shared" si="34"/>
        <v>26</v>
      </c>
      <c r="L206" s="25">
        <v>16.850000000000001</v>
      </c>
      <c r="M206" s="25">
        <v>9.8699999999999992</v>
      </c>
      <c r="N206" s="25">
        <f t="shared" si="33"/>
        <v>6.9800000000000022</v>
      </c>
      <c r="O206" s="25" t="s">
        <v>592</v>
      </c>
    </row>
    <row r="207" spans="1:15" x14ac:dyDescent="0.25">
      <c r="A207" s="77">
        <v>45990</v>
      </c>
      <c r="B207" s="25" t="s">
        <v>576</v>
      </c>
      <c r="C207" s="25"/>
      <c r="D207" s="77">
        <f t="shared" si="35"/>
        <v>46013</v>
      </c>
      <c r="E207" s="77">
        <f t="shared" si="36"/>
        <v>45997</v>
      </c>
      <c r="F207" s="77">
        <f t="shared" si="37"/>
        <v>46004</v>
      </c>
      <c r="G207" s="77">
        <f t="shared" si="38"/>
        <v>46010</v>
      </c>
      <c r="H207" s="77">
        <f t="shared" si="39"/>
        <v>45998</v>
      </c>
      <c r="I207" s="77">
        <f t="shared" si="40"/>
        <v>46005</v>
      </c>
      <c r="J207" s="77">
        <v>46016</v>
      </c>
      <c r="K207" s="78">
        <f t="shared" si="34"/>
        <v>26</v>
      </c>
      <c r="L207" s="25">
        <v>14.33</v>
      </c>
      <c r="M207" s="25">
        <v>12.78</v>
      </c>
      <c r="N207" s="25">
        <f t="shared" si="33"/>
        <v>1.5500000000000007</v>
      </c>
      <c r="O207" s="25" t="s">
        <v>593</v>
      </c>
    </row>
    <row r="208" spans="1:15" x14ac:dyDescent="0.25">
      <c r="A208" s="77">
        <v>45991</v>
      </c>
      <c r="B208" s="25" t="s">
        <v>458</v>
      </c>
      <c r="C208" s="25"/>
      <c r="D208" s="77">
        <f t="shared" si="35"/>
        <v>46014</v>
      </c>
      <c r="E208" s="77">
        <f t="shared" si="36"/>
        <v>45998</v>
      </c>
      <c r="F208" s="77">
        <f t="shared" si="37"/>
        <v>46005</v>
      </c>
      <c r="G208" s="77">
        <f t="shared" si="38"/>
        <v>46011</v>
      </c>
      <c r="H208" s="77">
        <f t="shared" si="39"/>
        <v>45999</v>
      </c>
      <c r="I208" s="77">
        <f t="shared" si="40"/>
        <v>46006</v>
      </c>
      <c r="J208" s="77">
        <v>46016</v>
      </c>
      <c r="K208" s="78">
        <f>J208-A208</f>
        <v>25</v>
      </c>
      <c r="L208" s="25">
        <v>17.11</v>
      </c>
      <c r="M208" s="25">
        <v>14.27</v>
      </c>
      <c r="N208" s="25">
        <f t="shared" si="33"/>
        <v>2.84</v>
      </c>
      <c r="O208" s="25" t="s">
        <v>593</v>
      </c>
    </row>
    <row r="209" spans="1:15" x14ac:dyDescent="0.25">
      <c r="A209" s="77">
        <v>45991</v>
      </c>
      <c r="B209" s="25" t="s">
        <v>459</v>
      </c>
      <c r="C209" s="25"/>
      <c r="D209" s="77">
        <f t="shared" si="35"/>
        <v>46014</v>
      </c>
      <c r="E209" s="77">
        <f t="shared" si="36"/>
        <v>45998</v>
      </c>
      <c r="F209" s="77">
        <f t="shared" si="37"/>
        <v>46005</v>
      </c>
      <c r="G209" s="77">
        <f t="shared" si="38"/>
        <v>46011</v>
      </c>
      <c r="H209" s="77">
        <f t="shared" si="39"/>
        <v>45999</v>
      </c>
      <c r="I209" s="77">
        <f t="shared" si="40"/>
        <v>46006</v>
      </c>
      <c r="J209" s="77">
        <v>46017</v>
      </c>
      <c r="K209" s="78">
        <f>J209-A209</f>
        <v>26</v>
      </c>
      <c r="L209" s="25">
        <v>17.510000000000002</v>
      </c>
      <c r="M209" s="25">
        <v>9.84</v>
      </c>
      <c r="N209" s="25">
        <f t="shared" si="33"/>
        <v>7.6700000000000017</v>
      </c>
      <c r="O209" s="25" t="s">
        <v>592</v>
      </c>
    </row>
    <row r="210" spans="1:15" x14ac:dyDescent="0.25">
      <c r="A210" s="77">
        <v>45991</v>
      </c>
      <c r="B210" s="25" t="s">
        <v>460</v>
      </c>
      <c r="C210" s="25"/>
      <c r="D210" s="77">
        <f t="shared" si="35"/>
        <v>46014</v>
      </c>
      <c r="E210" s="77">
        <f t="shared" si="36"/>
        <v>45998</v>
      </c>
      <c r="F210" s="77">
        <f t="shared" si="37"/>
        <v>46005</v>
      </c>
      <c r="G210" s="77">
        <f t="shared" si="38"/>
        <v>46011</v>
      </c>
      <c r="H210" s="77">
        <f t="shared" si="39"/>
        <v>45999</v>
      </c>
      <c r="I210" s="77">
        <f t="shared" si="40"/>
        <v>46006</v>
      </c>
      <c r="J210" s="77">
        <v>46017</v>
      </c>
      <c r="K210" s="78">
        <f>J210-A210</f>
        <v>26</v>
      </c>
      <c r="L210" s="25">
        <v>17.36</v>
      </c>
      <c r="M210" s="25">
        <v>9.56</v>
      </c>
      <c r="N210" s="25">
        <f t="shared" si="33"/>
        <v>7.7999999999999989</v>
      </c>
      <c r="O210" s="25" t="s">
        <v>592</v>
      </c>
    </row>
    <row r="211" spans="1:15" x14ac:dyDescent="0.25">
      <c r="A211" s="77">
        <v>45991</v>
      </c>
      <c r="B211" s="25" t="s">
        <v>461</v>
      </c>
      <c r="C211" s="25"/>
      <c r="D211" s="77">
        <f t="shared" si="35"/>
        <v>46014</v>
      </c>
      <c r="E211" s="77">
        <f t="shared" si="36"/>
        <v>45998</v>
      </c>
      <c r="F211" s="77">
        <f t="shared" si="37"/>
        <v>46005</v>
      </c>
      <c r="G211" s="77">
        <f t="shared" si="38"/>
        <v>46011</v>
      </c>
      <c r="H211" s="77">
        <f t="shared" si="39"/>
        <v>45999</v>
      </c>
      <c r="I211" s="77">
        <f t="shared" si="40"/>
        <v>46006</v>
      </c>
      <c r="J211" s="77">
        <v>46017</v>
      </c>
      <c r="K211" s="78">
        <f>J211-A211</f>
        <v>26</v>
      </c>
      <c r="L211" s="25">
        <v>16.91</v>
      </c>
      <c r="M211" s="25">
        <v>15.76</v>
      </c>
      <c r="N211" s="25">
        <f t="shared" si="33"/>
        <v>1.1500000000000004</v>
      </c>
      <c r="O211" s="25" t="s">
        <v>593</v>
      </c>
    </row>
    <row r="212" spans="1:15" x14ac:dyDescent="0.25">
      <c r="A212" s="77">
        <v>45991</v>
      </c>
      <c r="B212" s="25" t="s">
        <v>577</v>
      </c>
      <c r="C212" s="25"/>
      <c r="D212" s="77">
        <f t="shared" si="35"/>
        <v>46014</v>
      </c>
      <c r="E212" s="77">
        <f t="shared" si="36"/>
        <v>45998</v>
      </c>
      <c r="F212" s="77">
        <f t="shared" si="37"/>
        <v>46005</v>
      </c>
      <c r="G212" s="77">
        <f t="shared" si="38"/>
        <v>46011</v>
      </c>
      <c r="H212" s="77">
        <f t="shared" si="39"/>
        <v>45999</v>
      </c>
      <c r="I212" s="77">
        <f t="shared" si="40"/>
        <v>46006</v>
      </c>
      <c r="J212" s="77">
        <v>46016</v>
      </c>
      <c r="K212" s="78">
        <f t="shared" ref="K212:K218" si="41">J212-A212</f>
        <v>25</v>
      </c>
      <c r="L212" s="25">
        <v>15.16</v>
      </c>
      <c r="M212" s="25">
        <v>13.56</v>
      </c>
      <c r="N212" s="25">
        <f t="shared" ref="N212:N218" si="42">L212-M212</f>
        <v>1.5999999999999996</v>
      </c>
      <c r="O212" s="25" t="s">
        <v>593</v>
      </c>
    </row>
    <row r="213" spans="1:15" x14ac:dyDescent="0.25">
      <c r="A213" s="77">
        <v>45991</v>
      </c>
      <c r="B213" s="25" t="s">
        <v>578</v>
      </c>
      <c r="C213" s="25"/>
      <c r="D213" s="77">
        <f t="shared" si="35"/>
        <v>46014</v>
      </c>
      <c r="E213" s="77">
        <f t="shared" si="36"/>
        <v>45998</v>
      </c>
      <c r="F213" s="77">
        <f t="shared" si="37"/>
        <v>46005</v>
      </c>
      <c r="G213" s="77">
        <f t="shared" si="38"/>
        <v>46011</v>
      </c>
      <c r="H213" s="77">
        <f t="shared" si="39"/>
        <v>45999</v>
      </c>
      <c r="I213" s="77">
        <f t="shared" si="40"/>
        <v>46006</v>
      </c>
      <c r="J213" s="77">
        <v>46016</v>
      </c>
      <c r="K213" s="78">
        <f t="shared" si="41"/>
        <v>25</v>
      </c>
      <c r="L213" s="25">
        <v>14.18</v>
      </c>
      <c r="M213" s="25">
        <v>12.21</v>
      </c>
      <c r="N213" s="25">
        <f t="shared" si="42"/>
        <v>1.9699999999999989</v>
      </c>
      <c r="O213" s="25" t="s">
        <v>593</v>
      </c>
    </row>
    <row r="214" spans="1:15" x14ac:dyDescent="0.25">
      <c r="A214" s="77">
        <v>45991</v>
      </c>
      <c r="B214" s="25" t="s">
        <v>1144</v>
      </c>
      <c r="C214" s="25"/>
      <c r="D214" s="77">
        <f t="shared" si="35"/>
        <v>46014</v>
      </c>
      <c r="E214" s="77">
        <f t="shared" si="36"/>
        <v>45998</v>
      </c>
      <c r="F214" s="77">
        <f t="shared" si="37"/>
        <v>46005</v>
      </c>
      <c r="G214" s="77">
        <f t="shared" si="38"/>
        <v>46011</v>
      </c>
      <c r="H214" s="77">
        <f t="shared" si="39"/>
        <v>45999</v>
      </c>
      <c r="I214" s="77">
        <f t="shared" si="40"/>
        <v>46006</v>
      </c>
      <c r="J214" s="77">
        <v>46016</v>
      </c>
      <c r="K214" s="78">
        <f t="shared" si="41"/>
        <v>25</v>
      </c>
      <c r="L214" s="25">
        <v>16.5</v>
      </c>
      <c r="M214" s="25">
        <v>14.19</v>
      </c>
      <c r="N214" s="25">
        <f t="shared" si="42"/>
        <v>2.3100000000000005</v>
      </c>
      <c r="O214" s="25" t="s">
        <v>593</v>
      </c>
    </row>
    <row r="215" spans="1:15" x14ac:dyDescent="0.25">
      <c r="A215" s="77">
        <v>45992</v>
      </c>
      <c r="B215" s="25" t="s">
        <v>462</v>
      </c>
      <c r="C215" s="25"/>
      <c r="D215" s="77">
        <f t="shared" si="35"/>
        <v>46015</v>
      </c>
      <c r="E215" s="77">
        <f t="shared" si="36"/>
        <v>45999</v>
      </c>
      <c r="F215" s="77">
        <f t="shared" si="37"/>
        <v>46006</v>
      </c>
      <c r="G215" s="77">
        <f t="shared" si="38"/>
        <v>46012</v>
      </c>
      <c r="H215" s="77">
        <f t="shared" si="39"/>
        <v>46000</v>
      </c>
      <c r="I215" s="77">
        <f t="shared" si="40"/>
        <v>46007</v>
      </c>
      <c r="J215" s="77">
        <v>46017</v>
      </c>
      <c r="K215" s="78">
        <f t="shared" si="41"/>
        <v>25</v>
      </c>
      <c r="L215" s="25">
        <v>15.8</v>
      </c>
      <c r="M215" s="25">
        <v>14.92</v>
      </c>
      <c r="N215" s="25">
        <f t="shared" si="42"/>
        <v>0.88000000000000078</v>
      </c>
      <c r="O215" s="25" t="s">
        <v>593</v>
      </c>
    </row>
    <row r="216" spans="1:15" x14ac:dyDescent="0.25">
      <c r="A216" s="77">
        <v>45992</v>
      </c>
      <c r="B216" s="25" t="s">
        <v>463</v>
      </c>
      <c r="C216" s="25"/>
      <c r="D216" s="77">
        <f t="shared" si="35"/>
        <v>46015</v>
      </c>
      <c r="E216" s="77">
        <f t="shared" si="36"/>
        <v>45999</v>
      </c>
      <c r="F216" s="77">
        <f t="shared" si="37"/>
        <v>46006</v>
      </c>
      <c r="G216" s="77">
        <f t="shared" si="38"/>
        <v>46012</v>
      </c>
      <c r="H216" s="77">
        <f t="shared" si="39"/>
        <v>46000</v>
      </c>
      <c r="I216" s="77">
        <f t="shared" si="40"/>
        <v>46007</v>
      </c>
      <c r="J216" s="77">
        <v>46017</v>
      </c>
      <c r="K216" s="78">
        <f t="shared" si="41"/>
        <v>25</v>
      </c>
      <c r="L216" s="25">
        <v>16.68</v>
      </c>
      <c r="M216" s="25">
        <v>15.51</v>
      </c>
      <c r="N216" s="25">
        <f t="shared" si="42"/>
        <v>1.17</v>
      </c>
      <c r="O216" s="25" t="s">
        <v>593</v>
      </c>
    </row>
    <row r="217" spans="1:15" x14ac:dyDescent="0.25">
      <c r="A217" s="77">
        <v>45992</v>
      </c>
      <c r="B217" s="25" t="s">
        <v>464</v>
      </c>
      <c r="C217" s="25"/>
      <c r="D217" s="77">
        <f t="shared" si="35"/>
        <v>46015</v>
      </c>
      <c r="E217" s="77">
        <f t="shared" si="36"/>
        <v>45999</v>
      </c>
      <c r="F217" s="77">
        <f t="shared" si="37"/>
        <v>46006</v>
      </c>
      <c r="G217" s="77">
        <f t="shared" si="38"/>
        <v>46012</v>
      </c>
      <c r="H217" s="77">
        <f t="shared" si="39"/>
        <v>46000</v>
      </c>
      <c r="I217" s="77">
        <f t="shared" si="40"/>
        <v>46007</v>
      </c>
      <c r="J217" s="77">
        <v>46017</v>
      </c>
      <c r="K217" s="78">
        <f t="shared" si="41"/>
        <v>25</v>
      </c>
      <c r="L217" s="25">
        <v>14.62</v>
      </c>
      <c r="M217" s="25">
        <v>13.04</v>
      </c>
      <c r="N217" s="25">
        <f t="shared" si="42"/>
        <v>1.58</v>
      </c>
      <c r="O217" s="25" t="s">
        <v>593</v>
      </c>
    </row>
    <row r="218" spans="1:15" x14ac:dyDescent="0.25">
      <c r="A218" s="77">
        <v>45992</v>
      </c>
      <c r="B218" s="25" t="s">
        <v>424</v>
      </c>
      <c r="C218" s="25"/>
      <c r="D218" s="77">
        <f t="shared" si="35"/>
        <v>46015</v>
      </c>
      <c r="E218" s="77">
        <f t="shared" si="36"/>
        <v>45999</v>
      </c>
      <c r="F218" s="77">
        <f t="shared" si="37"/>
        <v>46006</v>
      </c>
      <c r="G218" s="77">
        <f t="shared" si="38"/>
        <v>46012</v>
      </c>
      <c r="H218" s="77">
        <f t="shared" si="39"/>
        <v>46000</v>
      </c>
      <c r="I218" s="77">
        <f t="shared" si="40"/>
        <v>46007</v>
      </c>
      <c r="J218" s="77">
        <v>46018</v>
      </c>
      <c r="K218" s="78">
        <f t="shared" si="41"/>
        <v>26</v>
      </c>
      <c r="L218" s="25">
        <v>16.28</v>
      </c>
      <c r="M218" s="25">
        <v>8.23</v>
      </c>
      <c r="N218" s="25">
        <f t="shared" si="42"/>
        <v>8.0500000000000007</v>
      </c>
      <c r="O218" s="25" t="s">
        <v>592</v>
      </c>
    </row>
    <row r="219" spans="1:15" x14ac:dyDescent="0.25">
      <c r="A219" s="77">
        <v>45992</v>
      </c>
      <c r="B219" s="25" t="s">
        <v>425</v>
      </c>
      <c r="C219" s="25"/>
      <c r="D219" s="77">
        <f t="shared" si="35"/>
        <v>46015</v>
      </c>
      <c r="E219" s="77">
        <f t="shared" si="36"/>
        <v>45999</v>
      </c>
      <c r="F219" s="77">
        <f t="shared" si="37"/>
        <v>46006</v>
      </c>
      <c r="G219" s="77">
        <f t="shared" si="38"/>
        <v>46012</v>
      </c>
      <c r="H219" s="77">
        <f t="shared" si="39"/>
        <v>46000</v>
      </c>
      <c r="I219" s="77">
        <f t="shared" si="40"/>
        <v>46007</v>
      </c>
      <c r="J219" s="77">
        <v>46017</v>
      </c>
      <c r="K219" s="78">
        <f t="shared" ref="K219:K225" si="43">J219-A219</f>
        <v>25</v>
      </c>
      <c r="L219" s="25">
        <v>14.43</v>
      </c>
      <c r="M219" s="25">
        <v>12.77</v>
      </c>
      <c r="N219" s="25">
        <f t="shared" ref="N219:N230" si="44">L219-M219</f>
        <v>1.6600000000000001</v>
      </c>
      <c r="O219" s="25" t="s">
        <v>593</v>
      </c>
    </row>
    <row r="220" spans="1:15" x14ac:dyDescent="0.25">
      <c r="A220" s="77">
        <v>45992</v>
      </c>
      <c r="B220" s="25" t="s">
        <v>426</v>
      </c>
      <c r="C220" s="25"/>
      <c r="D220" s="77">
        <f t="shared" si="35"/>
        <v>46015</v>
      </c>
      <c r="E220" s="77">
        <f t="shared" si="36"/>
        <v>45999</v>
      </c>
      <c r="F220" s="77">
        <f t="shared" si="37"/>
        <v>46006</v>
      </c>
      <c r="G220" s="77">
        <f t="shared" si="38"/>
        <v>46012</v>
      </c>
      <c r="H220" s="77">
        <f t="shared" si="39"/>
        <v>46000</v>
      </c>
      <c r="I220" s="77">
        <f t="shared" si="40"/>
        <v>46007</v>
      </c>
      <c r="J220" s="77">
        <v>46017</v>
      </c>
      <c r="K220" s="78">
        <f t="shared" si="43"/>
        <v>25</v>
      </c>
      <c r="L220" s="25">
        <v>16.77</v>
      </c>
      <c r="M220" s="25">
        <v>14.85</v>
      </c>
      <c r="N220" s="25">
        <f t="shared" si="44"/>
        <v>1.92</v>
      </c>
      <c r="O220" s="25" t="s">
        <v>593</v>
      </c>
    </row>
    <row r="221" spans="1:15" x14ac:dyDescent="0.25">
      <c r="A221" s="77">
        <v>45992</v>
      </c>
      <c r="B221" s="25" t="s">
        <v>427</v>
      </c>
      <c r="C221" s="25"/>
      <c r="D221" s="77">
        <f t="shared" si="35"/>
        <v>46015</v>
      </c>
      <c r="E221" s="77">
        <f t="shared" si="36"/>
        <v>45999</v>
      </c>
      <c r="F221" s="77">
        <f t="shared" si="37"/>
        <v>46006</v>
      </c>
      <c r="G221" s="77">
        <f t="shared" si="38"/>
        <v>46012</v>
      </c>
      <c r="H221" s="77">
        <f t="shared" si="39"/>
        <v>46000</v>
      </c>
      <c r="I221" s="77">
        <f t="shared" si="40"/>
        <v>46007</v>
      </c>
      <c r="J221" s="77">
        <v>46017</v>
      </c>
      <c r="K221" s="78">
        <f t="shared" si="43"/>
        <v>25</v>
      </c>
      <c r="L221" s="25">
        <v>15.11</v>
      </c>
      <c r="M221" s="25">
        <v>13.79</v>
      </c>
      <c r="N221" s="25">
        <f t="shared" si="44"/>
        <v>1.3200000000000003</v>
      </c>
      <c r="O221" s="25" t="s">
        <v>593</v>
      </c>
    </row>
    <row r="222" spans="1:15" x14ac:dyDescent="0.25">
      <c r="A222" s="77">
        <v>45994</v>
      </c>
      <c r="B222" s="25" t="s">
        <v>421</v>
      </c>
      <c r="C222" s="25"/>
      <c r="D222" s="77">
        <f t="shared" si="35"/>
        <v>46017</v>
      </c>
      <c r="E222" s="77">
        <f t="shared" si="36"/>
        <v>46001</v>
      </c>
      <c r="F222" s="77">
        <f t="shared" si="37"/>
        <v>46008</v>
      </c>
      <c r="G222" s="77">
        <f t="shared" si="38"/>
        <v>46014</v>
      </c>
      <c r="H222" s="77">
        <f t="shared" si="39"/>
        <v>46002</v>
      </c>
      <c r="I222" s="77">
        <f t="shared" si="40"/>
        <v>46009</v>
      </c>
      <c r="J222" s="77">
        <v>46018</v>
      </c>
      <c r="K222" s="78">
        <f t="shared" si="43"/>
        <v>24</v>
      </c>
      <c r="L222" s="25">
        <v>16.170000000000002</v>
      </c>
      <c r="M222" s="25">
        <v>8.19</v>
      </c>
      <c r="N222" s="25">
        <f t="shared" si="44"/>
        <v>7.9800000000000022</v>
      </c>
      <c r="O222" s="25" t="s">
        <v>592</v>
      </c>
    </row>
    <row r="223" spans="1:15" x14ac:dyDescent="0.25">
      <c r="A223" s="77">
        <v>45994</v>
      </c>
      <c r="B223" s="25" t="s">
        <v>422</v>
      </c>
      <c r="C223" s="25"/>
      <c r="D223" s="77">
        <f t="shared" si="35"/>
        <v>46017</v>
      </c>
      <c r="E223" s="77">
        <f t="shared" si="36"/>
        <v>46001</v>
      </c>
      <c r="F223" s="77">
        <f t="shared" si="37"/>
        <v>46008</v>
      </c>
      <c r="G223" s="77">
        <f t="shared" si="38"/>
        <v>46014</v>
      </c>
      <c r="H223" s="77">
        <f t="shared" si="39"/>
        <v>46002</v>
      </c>
      <c r="I223" s="77">
        <f t="shared" si="40"/>
        <v>46009</v>
      </c>
      <c r="J223" s="77">
        <v>46018</v>
      </c>
      <c r="K223" s="78">
        <f t="shared" si="43"/>
        <v>24</v>
      </c>
      <c r="L223" s="25">
        <v>15.22</v>
      </c>
      <c r="M223" s="25">
        <v>7.81</v>
      </c>
      <c r="N223" s="25">
        <f t="shared" si="44"/>
        <v>7.410000000000001</v>
      </c>
      <c r="O223" s="25" t="s">
        <v>592</v>
      </c>
    </row>
    <row r="224" spans="1:15" x14ac:dyDescent="0.25">
      <c r="A224" s="77">
        <v>45994</v>
      </c>
      <c r="B224" s="25" t="s">
        <v>423</v>
      </c>
      <c r="C224" s="25"/>
      <c r="D224" s="77">
        <f t="shared" si="35"/>
        <v>46017</v>
      </c>
      <c r="E224" s="77">
        <f t="shared" si="36"/>
        <v>46001</v>
      </c>
      <c r="F224" s="77">
        <f t="shared" si="37"/>
        <v>46008</v>
      </c>
      <c r="G224" s="77">
        <f t="shared" si="38"/>
        <v>46014</v>
      </c>
      <c r="H224" s="77">
        <f t="shared" si="39"/>
        <v>46002</v>
      </c>
      <c r="I224" s="77">
        <f t="shared" si="40"/>
        <v>46009</v>
      </c>
      <c r="J224" s="77">
        <v>46018</v>
      </c>
      <c r="K224" s="78">
        <f t="shared" si="43"/>
        <v>24</v>
      </c>
      <c r="L224" s="25">
        <v>15.1</v>
      </c>
      <c r="M224" s="25">
        <v>7.56</v>
      </c>
      <c r="N224" s="25">
        <f t="shared" si="44"/>
        <v>7.54</v>
      </c>
      <c r="O224" s="25" t="s">
        <v>592</v>
      </c>
    </row>
    <row r="225" spans="1:15" x14ac:dyDescent="0.25">
      <c r="A225" s="77">
        <v>45994</v>
      </c>
      <c r="B225" s="25" t="s">
        <v>452</v>
      </c>
      <c r="C225" s="25"/>
      <c r="D225" s="77">
        <f t="shared" si="35"/>
        <v>46017</v>
      </c>
      <c r="E225" s="77">
        <f t="shared" si="36"/>
        <v>46001</v>
      </c>
      <c r="F225" s="77">
        <f t="shared" si="37"/>
        <v>46008</v>
      </c>
      <c r="G225" s="77">
        <f t="shared" si="38"/>
        <v>46014</v>
      </c>
      <c r="H225" s="77">
        <f t="shared" si="39"/>
        <v>46002</v>
      </c>
      <c r="I225" s="77">
        <f t="shared" si="40"/>
        <v>46009</v>
      </c>
      <c r="J225" s="77">
        <v>46018</v>
      </c>
      <c r="K225" s="78">
        <f t="shared" si="43"/>
        <v>24</v>
      </c>
      <c r="L225" s="25">
        <v>16.41</v>
      </c>
      <c r="M225" s="25">
        <v>14.18</v>
      </c>
      <c r="N225" s="25">
        <f t="shared" si="44"/>
        <v>2.2300000000000004</v>
      </c>
      <c r="O225" s="25" t="s">
        <v>593</v>
      </c>
    </row>
    <row r="226" spans="1:15" x14ac:dyDescent="0.25">
      <c r="A226" s="77">
        <v>45994</v>
      </c>
      <c r="B226" s="25" t="s">
        <v>453</v>
      </c>
      <c r="C226" s="25"/>
      <c r="D226" s="77">
        <f t="shared" si="35"/>
        <v>46017</v>
      </c>
      <c r="E226" s="77">
        <f t="shared" si="36"/>
        <v>46001</v>
      </c>
      <c r="F226" s="77">
        <f t="shared" si="37"/>
        <v>46008</v>
      </c>
      <c r="G226" s="77">
        <f t="shared" si="38"/>
        <v>46014</v>
      </c>
      <c r="H226" s="77">
        <f t="shared" si="39"/>
        <v>46002</v>
      </c>
      <c r="I226" s="77">
        <f t="shared" si="40"/>
        <v>46009</v>
      </c>
      <c r="J226" s="77">
        <v>46018</v>
      </c>
      <c r="K226" s="78">
        <f t="shared" ref="K226:K235" si="45">J226-A226</f>
        <v>24</v>
      </c>
      <c r="L226" s="25">
        <v>15.28</v>
      </c>
      <c r="M226" s="25">
        <v>13.98</v>
      </c>
      <c r="N226" s="25">
        <f t="shared" si="44"/>
        <v>1.2999999999999989</v>
      </c>
      <c r="O226" s="25" t="s">
        <v>593</v>
      </c>
    </row>
    <row r="227" spans="1:15" x14ac:dyDescent="0.25">
      <c r="A227" s="77">
        <v>45994</v>
      </c>
      <c r="B227" s="25" t="s">
        <v>454</v>
      </c>
      <c r="C227" s="25"/>
      <c r="D227" s="77">
        <f t="shared" si="35"/>
        <v>46017</v>
      </c>
      <c r="E227" s="77">
        <f t="shared" si="36"/>
        <v>46001</v>
      </c>
      <c r="F227" s="77">
        <f t="shared" si="37"/>
        <v>46008</v>
      </c>
      <c r="G227" s="77">
        <f t="shared" si="38"/>
        <v>46014</v>
      </c>
      <c r="H227" s="77">
        <f t="shared" si="39"/>
        <v>46002</v>
      </c>
      <c r="I227" s="77">
        <f t="shared" si="40"/>
        <v>46009</v>
      </c>
      <c r="J227" s="77">
        <v>46018</v>
      </c>
      <c r="K227" s="78">
        <f t="shared" si="45"/>
        <v>24</v>
      </c>
      <c r="L227" s="25">
        <v>17.36</v>
      </c>
      <c r="M227" s="25">
        <v>15.86</v>
      </c>
      <c r="N227" s="25">
        <f t="shared" si="44"/>
        <v>1.5</v>
      </c>
      <c r="O227" s="25" t="s">
        <v>593</v>
      </c>
    </row>
    <row r="228" spans="1:15" x14ac:dyDescent="0.25">
      <c r="A228" s="77">
        <v>45994</v>
      </c>
      <c r="B228" s="25" t="s">
        <v>455</v>
      </c>
      <c r="C228" s="25"/>
      <c r="D228" s="77">
        <f t="shared" si="35"/>
        <v>46017</v>
      </c>
      <c r="E228" s="77">
        <f t="shared" si="36"/>
        <v>46001</v>
      </c>
      <c r="F228" s="77">
        <f t="shared" si="37"/>
        <v>46008</v>
      </c>
      <c r="G228" s="77">
        <f t="shared" si="38"/>
        <v>46014</v>
      </c>
      <c r="H228" s="77">
        <f t="shared" si="39"/>
        <v>46002</v>
      </c>
      <c r="I228" s="77">
        <f t="shared" si="40"/>
        <v>46009</v>
      </c>
      <c r="J228" s="77">
        <v>46018</v>
      </c>
      <c r="K228" s="78">
        <f t="shared" si="45"/>
        <v>24</v>
      </c>
      <c r="L228" s="25">
        <v>15.13</v>
      </c>
      <c r="M228" s="25">
        <v>13.74</v>
      </c>
      <c r="N228" s="25">
        <f t="shared" si="44"/>
        <v>1.3900000000000006</v>
      </c>
      <c r="O228" s="25" t="s">
        <v>593</v>
      </c>
    </row>
    <row r="229" spans="1:15" x14ac:dyDescent="0.25">
      <c r="A229" s="77">
        <v>45994</v>
      </c>
      <c r="B229" s="25" t="s">
        <v>456</v>
      </c>
      <c r="C229" s="25"/>
      <c r="D229" s="77">
        <f t="shared" si="35"/>
        <v>46017</v>
      </c>
      <c r="E229" s="77">
        <f t="shared" si="36"/>
        <v>46001</v>
      </c>
      <c r="F229" s="77">
        <f t="shared" si="37"/>
        <v>46008</v>
      </c>
      <c r="G229" s="77">
        <f t="shared" si="38"/>
        <v>46014</v>
      </c>
      <c r="H229" s="77">
        <f t="shared" si="39"/>
        <v>46002</v>
      </c>
      <c r="I229" s="77">
        <f t="shared" si="40"/>
        <v>46009</v>
      </c>
      <c r="J229" s="77">
        <v>46018</v>
      </c>
      <c r="K229" s="78">
        <f t="shared" si="45"/>
        <v>24</v>
      </c>
      <c r="L229" s="25">
        <v>17.079999999999998</v>
      </c>
      <c r="M229" s="25">
        <v>14.91</v>
      </c>
      <c r="N229" s="25">
        <f t="shared" si="44"/>
        <v>2.1699999999999982</v>
      </c>
      <c r="O229" s="25" t="s">
        <v>593</v>
      </c>
    </row>
    <row r="230" spans="1:15" x14ac:dyDescent="0.25">
      <c r="A230" s="77">
        <v>45994</v>
      </c>
      <c r="B230" s="25" t="s">
        <v>457</v>
      </c>
      <c r="C230" s="25"/>
      <c r="D230" s="77">
        <f t="shared" si="35"/>
        <v>46017</v>
      </c>
      <c r="E230" s="77">
        <f t="shared" si="36"/>
        <v>46001</v>
      </c>
      <c r="F230" s="77">
        <f t="shared" si="37"/>
        <v>46008</v>
      </c>
      <c r="G230" s="77">
        <f t="shared" si="38"/>
        <v>46014</v>
      </c>
      <c r="H230" s="77">
        <f t="shared" si="39"/>
        <v>46002</v>
      </c>
      <c r="I230" s="77">
        <f t="shared" si="40"/>
        <v>46009</v>
      </c>
      <c r="J230" s="77">
        <v>46018</v>
      </c>
      <c r="K230" s="78">
        <f t="shared" si="45"/>
        <v>24</v>
      </c>
      <c r="L230" s="25">
        <v>16.850000000000001</v>
      </c>
      <c r="M230" s="25">
        <v>14.58</v>
      </c>
      <c r="N230" s="25">
        <f t="shared" si="44"/>
        <v>2.2700000000000014</v>
      </c>
      <c r="O230" s="25" t="s">
        <v>593</v>
      </c>
    </row>
    <row r="231" spans="1:15" x14ac:dyDescent="0.25">
      <c r="A231" s="77">
        <v>45995</v>
      </c>
      <c r="B231" s="25" t="s">
        <v>417</v>
      </c>
      <c r="C231" s="25"/>
      <c r="D231" s="77">
        <f t="shared" si="35"/>
        <v>46018</v>
      </c>
      <c r="E231" s="77">
        <f t="shared" si="36"/>
        <v>46002</v>
      </c>
      <c r="F231" s="77">
        <f t="shared" si="37"/>
        <v>46009</v>
      </c>
      <c r="G231" s="77">
        <f t="shared" si="38"/>
        <v>46015</v>
      </c>
      <c r="H231" s="77">
        <f t="shared" si="39"/>
        <v>46003</v>
      </c>
      <c r="I231" s="77">
        <f t="shared" si="40"/>
        <v>46010</v>
      </c>
      <c r="J231" s="77">
        <v>46019</v>
      </c>
      <c r="K231" s="78">
        <f t="shared" si="45"/>
        <v>24</v>
      </c>
      <c r="L231" s="25">
        <v>14.27</v>
      </c>
      <c r="M231" s="25">
        <v>7.16</v>
      </c>
      <c r="N231" s="25">
        <f>L231-M231</f>
        <v>7.1099999999999994</v>
      </c>
      <c r="O231" s="25" t="s">
        <v>592</v>
      </c>
    </row>
    <row r="232" spans="1:15" x14ac:dyDescent="0.25">
      <c r="A232" s="77">
        <v>45995</v>
      </c>
      <c r="B232" s="25" t="s">
        <v>418</v>
      </c>
      <c r="C232" s="25"/>
      <c r="D232" s="77">
        <f t="shared" si="35"/>
        <v>46018</v>
      </c>
      <c r="E232" s="77">
        <f t="shared" si="36"/>
        <v>46002</v>
      </c>
      <c r="F232" s="77">
        <f t="shared" si="37"/>
        <v>46009</v>
      </c>
      <c r="G232" s="77">
        <f t="shared" si="38"/>
        <v>46015</v>
      </c>
      <c r="H232" s="77">
        <f t="shared" si="39"/>
        <v>46003</v>
      </c>
      <c r="I232" s="77">
        <f t="shared" si="40"/>
        <v>46010</v>
      </c>
      <c r="J232" s="77">
        <v>46019</v>
      </c>
      <c r="K232" s="78">
        <f t="shared" si="45"/>
        <v>24</v>
      </c>
      <c r="L232" s="25">
        <v>14.39</v>
      </c>
      <c r="M232" s="25">
        <v>7.2</v>
      </c>
      <c r="N232" s="25">
        <f>L232-M232</f>
        <v>7.19</v>
      </c>
      <c r="O232" s="25" t="s">
        <v>592</v>
      </c>
    </row>
    <row r="233" spans="1:15" x14ac:dyDescent="0.25">
      <c r="A233" s="77">
        <v>45995</v>
      </c>
      <c r="B233" s="25" t="s">
        <v>419</v>
      </c>
      <c r="C233" s="25"/>
      <c r="D233" s="77">
        <f t="shared" si="35"/>
        <v>46018</v>
      </c>
      <c r="E233" s="77">
        <f t="shared" si="36"/>
        <v>46002</v>
      </c>
      <c r="F233" s="77">
        <f t="shared" si="37"/>
        <v>46009</v>
      </c>
      <c r="G233" s="77">
        <f t="shared" si="38"/>
        <v>46015</v>
      </c>
      <c r="H233" s="77">
        <f t="shared" si="39"/>
        <v>46003</v>
      </c>
      <c r="I233" s="77">
        <f t="shared" si="40"/>
        <v>46010</v>
      </c>
      <c r="J233" s="77">
        <v>46019</v>
      </c>
      <c r="K233" s="78">
        <f t="shared" si="45"/>
        <v>24</v>
      </c>
      <c r="L233" s="25">
        <v>13.56</v>
      </c>
      <c r="M233" s="25">
        <v>6.92</v>
      </c>
      <c r="N233" s="25">
        <f>L233-M233</f>
        <v>6.6400000000000006</v>
      </c>
      <c r="O233" s="25" t="s">
        <v>592</v>
      </c>
    </row>
    <row r="234" spans="1:15" x14ac:dyDescent="0.25">
      <c r="A234" s="77">
        <v>45995</v>
      </c>
      <c r="B234" s="25" t="s">
        <v>420</v>
      </c>
      <c r="C234" s="25"/>
      <c r="D234" s="77">
        <f t="shared" si="35"/>
        <v>46018</v>
      </c>
      <c r="E234" s="77">
        <f t="shared" si="36"/>
        <v>46002</v>
      </c>
      <c r="F234" s="77">
        <f t="shared" si="37"/>
        <v>46009</v>
      </c>
      <c r="G234" s="77">
        <f t="shared" si="38"/>
        <v>46015</v>
      </c>
      <c r="H234" s="77">
        <f t="shared" si="39"/>
        <v>46003</v>
      </c>
      <c r="I234" s="77">
        <f t="shared" si="40"/>
        <v>46010</v>
      </c>
      <c r="J234" s="77">
        <v>46019</v>
      </c>
      <c r="K234" s="78">
        <f t="shared" si="45"/>
        <v>24</v>
      </c>
      <c r="L234" s="25">
        <v>14.16</v>
      </c>
      <c r="M234" s="25">
        <v>7.03</v>
      </c>
      <c r="N234" s="25">
        <f>L234-M234</f>
        <v>7.13</v>
      </c>
      <c r="O234" s="25" t="s">
        <v>592</v>
      </c>
    </row>
    <row r="235" spans="1:15" x14ac:dyDescent="0.25">
      <c r="A235" s="77">
        <v>45995</v>
      </c>
      <c r="B235" s="25" t="s">
        <v>451</v>
      </c>
      <c r="C235" s="25"/>
      <c r="D235" s="77">
        <f t="shared" si="35"/>
        <v>46018</v>
      </c>
      <c r="E235" s="77">
        <f t="shared" si="36"/>
        <v>46002</v>
      </c>
      <c r="F235" s="77">
        <f t="shared" si="37"/>
        <v>46009</v>
      </c>
      <c r="G235" s="77">
        <f t="shared" si="38"/>
        <v>46015</v>
      </c>
      <c r="H235" s="77">
        <f t="shared" si="39"/>
        <v>46003</v>
      </c>
      <c r="I235" s="77">
        <f t="shared" si="40"/>
        <v>46010</v>
      </c>
      <c r="J235" s="77">
        <v>46019</v>
      </c>
      <c r="K235" s="78">
        <f t="shared" si="45"/>
        <v>24</v>
      </c>
      <c r="L235" s="25">
        <v>11.73</v>
      </c>
      <c r="M235" s="25">
        <v>5.56</v>
      </c>
      <c r="N235" s="25">
        <f>L235-M235</f>
        <v>6.1700000000000008</v>
      </c>
      <c r="O235" s="25" t="s">
        <v>592</v>
      </c>
    </row>
    <row r="236" spans="1:15" x14ac:dyDescent="0.25">
      <c r="A236" s="77">
        <v>45995</v>
      </c>
      <c r="B236" s="25" t="s">
        <v>465</v>
      </c>
      <c r="C236" s="25"/>
      <c r="D236" s="77">
        <f t="shared" ref="D236:D251" si="46">A236+23</f>
        <v>46018</v>
      </c>
      <c r="E236" s="77">
        <f t="shared" ref="E236:E251" si="47">A236+7</f>
        <v>46002</v>
      </c>
      <c r="F236" s="77">
        <f t="shared" ref="F236:F251" si="48">A236+14</f>
        <v>46009</v>
      </c>
      <c r="G236" s="77">
        <f t="shared" ref="G236:G251" si="49">A236+20</f>
        <v>46015</v>
      </c>
      <c r="H236" s="77">
        <f t="shared" ref="H236:H251" si="50">A236+8</f>
        <v>46003</v>
      </c>
      <c r="I236" s="77">
        <f t="shared" ref="I236:I251" si="51">A236+15</f>
        <v>46010</v>
      </c>
      <c r="J236" s="77">
        <v>46020</v>
      </c>
      <c r="K236" s="78">
        <f t="shared" ref="K236:K247" si="52">J236-A236</f>
        <v>25</v>
      </c>
      <c r="L236" s="25">
        <v>11.39</v>
      </c>
      <c r="M236" s="25">
        <v>5.25</v>
      </c>
      <c r="N236" s="25">
        <f t="shared" ref="N236:N249" si="53">L236-M236</f>
        <v>6.1400000000000006</v>
      </c>
      <c r="O236" s="25" t="s">
        <v>592</v>
      </c>
    </row>
    <row r="237" spans="1:15" x14ac:dyDescent="0.25">
      <c r="A237" s="77">
        <v>45995</v>
      </c>
      <c r="B237" s="25" t="s">
        <v>467</v>
      </c>
      <c r="C237" s="25"/>
      <c r="D237" s="77">
        <f t="shared" si="46"/>
        <v>46018</v>
      </c>
      <c r="E237" s="77">
        <f t="shared" si="47"/>
        <v>46002</v>
      </c>
      <c r="F237" s="77">
        <f t="shared" si="48"/>
        <v>46009</v>
      </c>
      <c r="G237" s="77">
        <f t="shared" si="49"/>
        <v>46015</v>
      </c>
      <c r="H237" s="77">
        <f t="shared" si="50"/>
        <v>46003</v>
      </c>
      <c r="I237" s="77">
        <f t="shared" si="51"/>
        <v>46010</v>
      </c>
      <c r="J237" s="77">
        <v>46020</v>
      </c>
      <c r="K237" s="78">
        <f t="shared" si="52"/>
        <v>25</v>
      </c>
      <c r="L237" s="25">
        <v>10.67</v>
      </c>
      <c r="M237" s="25">
        <v>4.1399999999999997</v>
      </c>
      <c r="N237" s="25">
        <f t="shared" si="53"/>
        <v>6.53</v>
      </c>
      <c r="O237" s="25" t="s">
        <v>592</v>
      </c>
    </row>
    <row r="238" spans="1:15" x14ac:dyDescent="0.25">
      <c r="A238" s="77">
        <v>45995</v>
      </c>
      <c r="B238" s="25" t="s">
        <v>469</v>
      </c>
      <c r="C238" s="25"/>
      <c r="D238" s="77">
        <f t="shared" si="46"/>
        <v>46018</v>
      </c>
      <c r="E238" s="77">
        <f t="shared" si="47"/>
        <v>46002</v>
      </c>
      <c r="F238" s="77">
        <f t="shared" si="48"/>
        <v>46009</v>
      </c>
      <c r="G238" s="77">
        <f t="shared" si="49"/>
        <v>46015</v>
      </c>
      <c r="H238" s="77">
        <f t="shared" si="50"/>
        <v>46003</v>
      </c>
      <c r="I238" s="77">
        <f t="shared" si="51"/>
        <v>46010</v>
      </c>
      <c r="J238" s="77">
        <v>46020</v>
      </c>
      <c r="K238" s="78">
        <f t="shared" si="52"/>
        <v>25</v>
      </c>
      <c r="L238" s="25">
        <v>10.210000000000001</v>
      </c>
      <c r="M238" s="25">
        <v>3.81</v>
      </c>
      <c r="N238" s="25">
        <f t="shared" si="53"/>
        <v>6.4</v>
      </c>
      <c r="O238" s="25" t="s">
        <v>592</v>
      </c>
    </row>
    <row r="239" spans="1:15" x14ac:dyDescent="0.25">
      <c r="A239" s="77">
        <v>45996</v>
      </c>
      <c r="B239" s="25" t="s">
        <v>466</v>
      </c>
      <c r="C239" s="25"/>
      <c r="D239" s="77">
        <f t="shared" si="46"/>
        <v>46019</v>
      </c>
      <c r="E239" s="77">
        <f t="shared" si="47"/>
        <v>46003</v>
      </c>
      <c r="F239" s="77">
        <f t="shared" si="48"/>
        <v>46010</v>
      </c>
      <c r="G239" s="77">
        <f t="shared" si="49"/>
        <v>46016</v>
      </c>
      <c r="H239" s="77">
        <f t="shared" si="50"/>
        <v>46004</v>
      </c>
      <c r="I239" s="77">
        <f t="shared" si="51"/>
        <v>46011</v>
      </c>
      <c r="J239" s="77">
        <v>46020</v>
      </c>
      <c r="K239" s="78">
        <f t="shared" si="52"/>
        <v>24</v>
      </c>
      <c r="L239" s="25">
        <v>11.12</v>
      </c>
      <c r="M239" s="25">
        <v>5.15</v>
      </c>
      <c r="N239" s="25">
        <f t="shared" si="53"/>
        <v>5.9699999999999989</v>
      </c>
      <c r="O239" s="25" t="s">
        <v>592</v>
      </c>
    </row>
    <row r="240" spans="1:15" x14ac:dyDescent="0.25">
      <c r="A240" s="77">
        <v>45996</v>
      </c>
      <c r="B240" s="25" t="s">
        <v>468</v>
      </c>
      <c r="C240" s="25"/>
      <c r="D240" s="77">
        <f t="shared" si="46"/>
        <v>46019</v>
      </c>
      <c r="E240" s="77">
        <f t="shared" si="47"/>
        <v>46003</v>
      </c>
      <c r="F240" s="77">
        <f t="shared" si="48"/>
        <v>46010</v>
      </c>
      <c r="G240" s="77">
        <f t="shared" si="49"/>
        <v>46016</v>
      </c>
      <c r="H240" s="77">
        <f t="shared" si="50"/>
        <v>46004</v>
      </c>
      <c r="I240" s="77">
        <f t="shared" si="51"/>
        <v>46011</v>
      </c>
      <c r="J240" s="77">
        <v>46020</v>
      </c>
      <c r="K240" s="78">
        <f t="shared" si="52"/>
        <v>24</v>
      </c>
      <c r="L240" s="25">
        <v>10.06</v>
      </c>
      <c r="M240" s="25">
        <v>3.38</v>
      </c>
      <c r="N240" s="25">
        <f t="shared" si="53"/>
        <v>6.6800000000000006</v>
      </c>
      <c r="O240" s="25" t="s">
        <v>592</v>
      </c>
    </row>
    <row r="241" spans="1:15" x14ac:dyDescent="0.25">
      <c r="A241" s="77">
        <v>45996</v>
      </c>
      <c r="B241" s="25" t="s">
        <v>414</v>
      </c>
      <c r="C241" s="25"/>
      <c r="D241" s="77">
        <f t="shared" si="46"/>
        <v>46019</v>
      </c>
      <c r="E241" s="77">
        <f t="shared" si="47"/>
        <v>46003</v>
      </c>
      <c r="F241" s="77">
        <f t="shared" si="48"/>
        <v>46010</v>
      </c>
      <c r="G241" s="77">
        <f t="shared" si="49"/>
        <v>46016</v>
      </c>
      <c r="H241" s="77">
        <f t="shared" si="50"/>
        <v>46004</v>
      </c>
      <c r="I241" s="77">
        <f t="shared" si="51"/>
        <v>46011</v>
      </c>
      <c r="J241" s="77">
        <v>46019</v>
      </c>
      <c r="K241" s="78">
        <f t="shared" si="52"/>
        <v>23</v>
      </c>
      <c r="L241" s="25">
        <v>14.46</v>
      </c>
      <c r="M241" s="25">
        <v>12.66</v>
      </c>
      <c r="N241" s="25">
        <f t="shared" si="53"/>
        <v>1.8000000000000007</v>
      </c>
      <c r="O241" s="25" t="s">
        <v>593</v>
      </c>
    </row>
    <row r="242" spans="1:15" x14ac:dyDescent="0.25">
      <c r="A242" s="77">
        <v>45996</v>
      </c>
      <c r="B242" s="25" t="s">
        <v>415</v>
      </c>
      <c r="C242" s="25"/>
      <c r="D242" s="77">
        <f t="shared" si="46"/>
        <v>46019</v>
      </c>
      <c r="E242" s="77">
        <f t="shared" si="47"/>
        <v>46003</v>
      </c>
      <c r="F242" s="77">
        <f t="shared" si="48"/>
        <v>46010</v>
      </c>
      <c r="G242" s="77">
        <f t="shared" si="49"/>
        <v>46016</v>
      </c>
      <c r="H242" s="77">
        <f t="shared" si="50"/>
        <v>46004</v>
      </c>
      <c r="I242" s="77">
        <f t="shared" si="51"/>
        <v>46011</v>
      </c>
      <c r="J242" s="77">
        <v>46019</v>
      </c>
      <c r="K242" s="78">
        <f t="shared" si="52"/>
        <v>23</v>
      </c>
      <c r="L242" s="25">
        <v>15.28</v>
      </c>
      <c r="M242" s="25">
        <v>13.36</v>
      </c>
      <c r="N242" s="25">
        <f t="shared" si="53"/>
        <v>1.92</v>
      </c>
      <c r="O242" s="25" t="s">
        <v>593</v>
      </c>
    </row>
    <row r="243" spans="1:15" x14ac:dyDescent="0.25">
      <c r="A243" s="77">
        <v>45996</v>
      </c>
      <c r="B243" s="25" t="s">
        <v>416</v>
      </c>
      <c r="C243" s="25"/>
      <c r="D243" s="77">
        <f t="shared" si="46"/>
        <v>46019</v>
      </c>
      <c r="E243" s="77">
        <f t="shared" si="47"/>
        <v>46003</v>
      </c>
      <c r="F243" s="77">
        <f t="shared" si="48"/>
        <v>46010</v>
      </c>
      <c r="G243" s="77">
        <f t="shared" si="49"/>
        <v>46016</v>
      </c>
      <c r="H243" s="77">
        <f t="shared" si="50"/>
        <v>46004</v>
      </c>
      <c r="I243" s="77">
        <f t="shared" si="51"/>
        <v>46011</v>
      </c>
      <c r="J243" s="77">
        <v>46019</v>
      </c>
      <c r="K243" s="78">
        <f t="shared" si="52"/>
        <v>23</v>
      </c>
      <c r="L243" s="25">
        <v>15.41</v>
      </c>
      <c r="M243" s="25">
        <v>13.51</v>
      </c>
      <c r="N243" s="25">
        <f t="shared" si="53"/>
        <v>1.9000000000000004</v>
      </c>
      <c r="O243" s="25" t="s">
        <v>593</v>
      </c>
    </row>
    <row r="244" spans="1:15" x14ac:dyDescent="0.25">
      <c r="A244" s="77">
        <v>45996</v>
      </c>
      <c r="B244" s="25" t="s">
        <v>448</v>
      </c>
      <c r="C244" s="25"/>
      <c r="D244" s="77">
        <f t="shared" si="46"/>
        <v>46019</v>
      </c>
      <c r="E244" s="77">
        <f t="shared" si="47"/>
        <v>46003</v>
      </c>
      <c r="F244" s="77">
        <f t="shared" si="48"/>
        <v>46010</v>
      </c>
      <c r="G244" s="77">
        <f t="shared" si="49"/>
        <v>46016</v>
      </c>
      <c r="H244" s="77">
        <f t="shared" si="50"/>
        <v>46004</v>
      </c>
      <c r="I244" s="77">
        <f t="shared" si="51"/>
        <v>46011</v>
      </c>
      <c r="J244" s="77">
        <v>46019</v>
      </c>
      <c r="K244" s="78">
        <f t="shared" si="52"/>
        <v>23</v>
      </c>
      <c r="L244" s="25">
        <v>15.19</v>
      </c>
      <c r="M244" s="25">
        <v>13.29</v>
      </c>
      <c r="N244" s="25">
        <f t="shared" si="53"/>
        <v>1.9000000000000004</v>
      </c>
      <c r="O244" s="25" t="s">
        <v>593</v>
      </c>
    </row>
    <row r="245" spans="1:15" x14ac:dyDescent="0.25">
      <c r="A245" s="77">
        <v>45996</v>
      </c>
      <c r="B245" s="25" t="s">
        <v>449</v>
      </c>
      <c r="C245" s="25"/>
      <c r="D245" s="77">
        <f t="shared" si="46"/>
        <v>46019</v>
      </c>
      <c r="E245" s="77">
        <f t="shared" si="47"/>
        <v>46003</v>
      </c>
      <c r="F245" s="77">
        <f t="shared" si="48"/>
        <v>46010</v>
      </c>
      <c r="G245" s="77">
        <f t="shared" si="49"/>
        <v>46016</v>
      </c>
      <c r="H245" s="77">
        <f t="shared" si="50"/>
        <v>46004</v>
      </c>
      <c r="I245" s="77">
        <f t="shared" si="51"/>
        <v>46011</v>
      </c>
      <c r="J245" s="77">
        <v>46019</v>
      </c>
      <c r="K245" s="78">
        <f t="shared" si="52"/>
        <v>23</v>
      </c>
      <c r="L245" s="25">
        <v>14.25</v>
      </c>
      <c r="M245" s="25">
        <v>12.54</v>
      </c>
      <c r="N245" s="25">
        <f t="shared" si="53"/>
        <v>1.7100000000000009</v>
      </c>
      <c r="O245" s="25" t="s">
        <v>593</v>
      </c>
    </row>
    <row r="246" spans="1:15" x14ac:dyDescent="0.25">
      <c r="A246" s="77">
        <v>45995</v>
      </c>
      <c r="B246" s="25" t="s">
        <v>470</v>
      </c>
      <c r="C246" s="25"/>
      <c r="D246" s="77">
        <f t="shared" si="46"/>
        <v>46018</v>
      </c>
      <c r="E246" s="77">
        <f t="shared" si="47"/>
        <v>46002</v>
      </c>
      <c r="F246" s="77">
        <f t="shared" si="48"/>
        <v>46009</v>
      </c>
      <c r="G246" s="77">
        <f t="shared" si="49"/>
        <v>46015</v>
      </c>
      <c r="H246" s="77">
        <f t="shared" si="50"/>
        <v>46003</v>
      </c>
      <c r="I246" s="77">
        <f t="shared" si="51"/>
        <v>46010</v>
      </c>
      <c r="J246" s="77">
        <v>46020</v>
      </c>
      <c r="K246" s="78">
        <f t="shared" si="52"/>
        <v>25</v>
      </c>
      <c r="L246" s="25">
        <v>12.43</v>
      </c>
      <c r="M246" s="25">
        <v>10.59</v>
      </c>
      <c r="N246" s="25">
        <f t="shared" si="53"/>
        <v>1.8399999999999999</v>
      </c>
      <c r="O246" s="25" t="s">
        <v>593</v>
      </c>
    </row>
    <row r="247" spans="1:15" x14ac:dyDescent="0.25">
      <c r="A247" s="77">
        <v>45995</v>
      </c>
      <c r="B247" s="25" t="s">
        <v>471</v>
      </c>
      <c r="C247" s="25"/>
      <c r="D247" s="77">
        <f t="shared" si="46"/>
        <v>46018</v>
      </c>
      <c r="E247" s="77">
        <f t="shared" si="47"/>
        <v>46002</v>
      </c>
      <c r="F247" s="77">
        <f t="shared" si="48"/>
        <v>46009</v>
      </c>
      <c r="G247" s="77">
        <f t="shared" si="49"/>
        <v>46015</v>
      </c>
      <c r="H247" s="77">
        <f t="shared" si="50"/>
        <v>46003</v>
      </c>
      <c r="I247" s="77">
        <f t="shared" si="51"/>
        <v>46010</v>
      </c>
      <c r="J247" s="77">
        <v>46020</v>
      </c>
      <c r="K247" s="78">
        <f t="shared" si="52"/>
        <v>25</v>
      </c>
      <c r="L247" s="25">
        <v>14.85</v>
      </c>
      <c r="M247" s="25">
        <v>12.71</v>
      </c>
      <c r="N247" s="25">
        <f t="shared" si="53"/>
        <v>2.1399999999999988</v>
      </c>
      <c r="O247" s="25" t="s">
        <v>593</v>
      </c>
    </row>
    <row r="248" spans="1:15" x14ac:dyDescent="0.25">
      <c r="A248" s="77">
        <v>45997</v>
      </c>
      <c r="B248" s="25" t="s">
        <v>412</v>
      </c>
      <c r="C248" s="25"/>
      <c r="D248" s="77">
        <f t="shared" si="46"/>
        <v>46020</v>
      </c>
      <c r="E248" s="77">
        <f t="shared" si="47"/>
        <v>46004</v>
      </c>
      <c r="F248" s="77">
        <f t="shared" si="48"/>
        <v>46011</v>
      </c>
      <c r="G248" s="77">
        <f t="shared" si="49"/>
        <v>46017</v>
      </c>
      <c r="H248" s="77">
        <f t="shared" si="50"/>
        <v>46005</v>
      </c>
      <c r="I248" s="77">
        <f t="shared" si="51"/>
        <v>46012</v>
      </c>
      <c r="J248" s="77">
        <v>46021</v>
      </c>
      <c r="K248" s="78">
        <f>J249-A248</f>
        <v>24</v>
      </c>
      <c r="L248" s="25">
        <v>13.24</v>
      </c>
      <c r="M248" s="25">
        <v>6.67</v>
      </c>
      <c r="N248" s="25">
        <f t="shared" si="53"/>
        <v>6.57</v>
      </c>
      <c r="O248" s="25" t="s">
        <v>592</v>
      </c>
    </row>
    <row r="249" spans="1:15" x14ac:dyDescent="0.25">
      <c r="A249" s="77">
        <v>45997</v>
      </c>
      <c r="B249" s="25" t="s">
        <v>413</v>
      </c>
      <c r="C249" s="25"/>
      <c r="D249" s="77">
        <f t="shared" si="46"/>
        <v>46020</v>
      </c>
      <c r="E249" s="77">
        <f t="shared" si="47"/>
        <v>46004</v>
      </c>
      <c r="F249" s="77">
        <f t="shared" si="48"/>
        <v>46011</v>
      </c>
      <c r="G249" s="77">
        <f t="shared" si="49"/>
        <v>46017</v>
      </c>
      <c r="H249" s="77">
        <f t="shared" si="50"/>
        <v>46005</v>
      </c>
      <c r="I249" s="77">
        <f t="shared" si="51"/>
        <v>46012</v>
      </c>
      <c r="J249" s="77">
        <v>46021</v>
      </c>
      <c r="K249" s="78">
        <f>J250-A249</f>
        <v>23</v>
      </c>
      <c r="L249" s="25">
        <v>14.2</v>
      </c>
      <c r="M249" s="25">
        <v>7.52</v>
      </c>
      <c r="N249" s="25">
        <f t="shared" si="53"/>
        <v>6.68</v>
      </c>
      <c r="O249" s="25" t="s">
        <v>592</v>
      </c>
    </row>
    <row r="250" spans="1:15" x14ac:dyDescent="0.25">
      <c r="A250" s="77">
        <v>45997</v>
      </c>
      <c r="B250" s="25" t="s">
        <v>444</v>
      </c>
      <c r="C250" s="25"/>
      <c r="D250" s="77">
        <f t="shared" si="46"/>
        <v>46020</v>
      </c>
      <c r="E250" s="77">
        <f t="shared" si="47"/>
        <v>46004</v>
      </c>
      <c r="F250" s="77">
        <f t="shared" si="48"/>
        <v>46011</v>
      </c>
      <c r="G250" s="77">
        <f t="shared" si="49"/>
        <v>46017</v>
      </c>
      <c r="H250" s="77">
        <f t="shared" si="50"/>
        <v>46005</v>
      </c>
      <c r="I250" s="77">
        <f t="shared" si="51"/>
        <v>46012</v>
      </c>
      <c r="J250" s="77">
        <v>46020</v>
      </c>
      <c r="K250" s="78">
        <f>J250-A250</f>
        <v>23</v>
      </c>
      <c r="L250" s="25">
        <v>16.63</v>
      </c>
      <c r="M250" s="25">
        <v>14.74</v>
      </c>
      <c r="N250" s="25">
        <f>L250-M250</f>
        <v>1.8899999999999988</v>
      </c>
      <c r="O250" s="25" t="s">
        <v>593</v>
      </c>
    </row>
    <row r="251" spans="1:15" x14ac:dyDescent="0.25">
      <c r="A251" s="77">
        <v>45997</v>
      </c>
      <c r="B251" s="25" t="s">
        <v>445</v>
      </c>
      <c r="C251" s="25"/>
      <c r="D251" s="77">
        <f t="shared" si="46"/>
        <v>46020</v>
      </c>
      <c r="E251" s="77">
        <f t="shared" si="47"/>
        <v>46004</v>
      </c>
      <c r="F251" s="77">
        <f t="shared" si="48"/>
        <v>46011</v>
      </c>
      <c r="G251" s="77">
        <f t="shared" si="49"/>
        <v>46017</v>
      </c>
      <c r="H251" s="77">
        <f t="shared" si="50"/>
        <v>46005</v>
      </c>
      <c r="I251" s="77">
        <f t="shared" si="51"/>
        <v>46012</v>
      </c>
      <c r="J251" s="77">
        <v>46020</v>
      </c>
      <c r="K251" s="78">
        <f>J251-A251</f>
        <v>23</v>
      </c>
      <c r="L251" s="25">
        <v>16.39</v>
      </c>
      <c r="M251" s="25">
        <v>14.19</v>
      </c>
      <c r="N251" s="25">
        <f>L251-M251</f>
        <v>2.2000000000000011</v>
      </c>
      <c r="O251" s="25" t="s">
        <v>593</v>
      </c>
    </row>
    <row r="252" spans="1:15" x14ac:dyDescent="0.25">
      <c r="A252" s="77">
        <v>45997</v>
      </c>
      <c r="B252" s="25" t="s">
        <v>446</v>
      </c>
      <c r="C252" s="25"/>
      <c r="D252" s="77">
        <f t="shared" si="35"/>
        <v>46020</v>
      </c>
      <c r="E252" s="77">
        <f t="shared" si="36"/>
        <v>46004</v>
      </c>
      <c r="F252" s="77">
        <f t="shared" si="37"/>
        <v>46011</v>
      </c>
      <c r="G252" s="77">
        <f t="shared" si="38"/>
        <v>46017</v>
      </c>
      <c r="H252" s="77">
        <f t="shared" si="39"/>
        <v>46005</v>
      </c>
      <c r="I252" s="77">
        <f t="shared" si="40"/>
        <v>46012</v>
      </c>
      <c r="J252" s="77">
        <v>46019</v>
      </c>
      <c r="K252" s="78">
        <f t="shared" ref="K252:K315" si="54">J252-A252</f>
        <v>22</v>
      </c>
      <c r="L252" s="25">
        <v>13.06</v>
      </c>
      <c r="M252" s="25">
        <v>11.31</v>
      </c>
      <c r="N252" s="25">
        <f t="shared" ref="N252:N315" si="55">L252-M252</f>
        <v>1.75</v>
      </c>
      <c r="O252" s="25" t="s">
        <v>593</v>
      </c>
    </row>
    <row r="253" spans="1:15" x14ac:dyDescent="0.25">
      <c r="A253" s="77">
        <v>45997</v>
      </c>
      <c r="B253" s="25" t="s">
        <v>447</v>
      </c>
      <c r="C253" s="25"/>
      <c r="D253" s="77">
        <f t="shared" si="35"/>
        <v>46020</v>
      </c>
      <c r="E253" s="77">
        <f t="shared" si="36"/>
        <v>46004</v>
      </c>
      <c r="F253" s="77">
        <f t="shared" si="37"/>
        <v>46011</v>
      </c>
      <c r="G253" s="77">
        <f t="shared" si="38"/>
        <v>46017</v>
      </c>
      <c r="H253" s="77">
        <f t="shared" si="39"/>
        <v>46005</v>
      </c>
      <c r="I253" s="77">
        <f t="shared" si="40"/>
        <v>46012</v>
      </c>
      <c r="J253" s="77">
        <v>46019</v>
      </c>
      <c r="K253" s="78">
        <f t="shared" si="54"/>
        <v>22</v>
      </c>
      <c r="L253" s="25">
        <v>14.18</v>
      </c>
      <c r="M253" s="25">
        <v>12.48</v>
      </c>
      <c r="N253" s="25">
        <f t="shared" si="55"/>
        <v>1.6999999999999993</v>
      </c>
      <c r="O253" s="25" t="s">
        <v>593</v>
      </c>
    </row>
    <row r="254" spans="1:15" x14ac:dyDescent="0.25">
      <c r="A254" s="77">
        <v>45997</v>
      </c>
      <c r="B254" s="25" t="s">
        <v>450</v>
      </c>
      <c r="C254" s="25"/>
      <c r="D254" s="77">
        <f t="shared" si="35"/>
        <v>46020</v>
      </c>
      <c r="E254" s="77">
        <f t="shared" si="36"/>
        <v>46004</v>
      </c>
      <c r="F254" s="77">
        <f t="shared" si="37"/>
        <v>46011</v>
      </c>
      <c r="G254" s="77">
        <f t="shared" si="38"/>
        <v>46017</v>
      </c>
      <c r="H254" s="77">
        <f t="shared" si="39"/>
        <v>46005</v>
      </c>
      <c r="I254" s="77">
        <f t="shared" si="40"/>
        <v>46012</v>
      </c>
      <c r="J254" s="77">
        <v>46019</v>
      </c>
      <c r="K254" s="78">
        <f t="shared" si="54"/>
        <v>22</v>
      </c>
      <c r="L254" s="25">
        <v>13.18</v>
      </c>
      <c r="M254" s="25">
        <v>11.73</v>
      </c>
      <c r="N254" s="25">
        <f t="shared" si="55"/>
        <v>1.4499999999999993</v>
      </c>
      <c r="O254" s="25" t="s">
        <v>593</v>
      </c>
    </row>
    <row r="255" spans="1:15" x14ac:dyDescent="0.25">
      <c r="A255" s="77">
        <v>45998</v>
      </c>
      <c r="B255" s="25" t="s">
        <v>442</v>
      </c>
      <c r="C255" s="25"/>
      <c r="D255" s="77">
        <f t="shared" si="35"/>
        <v>46021</v>
      </c>
      <c r="E255" s="77">
        <f t="shared" si="36"/>
        <v>46005</v>
      </c>
      <c r="F255" s="77">
        <f t="shared" si="37"/>
        <v>46012</v>
      </c>
      <c r="G255" s="77">
        <f t="shared" si="38"/>
        <v>46018</v>
      </c>
      <c r="H255" s="77">
        <f t="shared" si="39"/>
        <v>46006</v>
      </c>
      <c r="I255" s="77">
        <f t="shared" si="40"/>
        <v>46013</v>
      </c>
      <c r="J255" s="77">
        <v>46021</v>
      </c>
      <c r="K255" s="78">
        <f t="shared" si="54"/>
        <v>23</v>
      </c>
      <c r="L255" s="25">
        <v>14.11</v>
      </c>
      <c r="M255" s="25">
        <v>7.59</v>
      </c>
      <c r="N255" s="25">
        <f t="shared" si="55"/>
        <v>6.52</v>
      </c>
      <c r="O255" s="25" t="s">
        <v>592</v>
      </c>
    </row>
    <row r="256" spans="1:15" x14ac:dyDescent="0.25">
      <c r="A256" s="77">
        <v>45998</v>
      </c>
      <c r="B256" s="25" t="s">
        <v>443</v>
      </c>
      <c r="C256" s="25"/>
      <c r="D256" s="77">
        <f t="shared" si="35"/>
        <v>46021</v>
      </c>
      <c r="E256" s="77">
        <f t="shared" si="36"/>
        <v>46005</v>
      </c>
      <c r="F256" s="77">
        <f t="shared" si="37"/>
        <v>46012</v>
      </c>
      <c r="G256" s="77">
        <f t="shared" si="38"/>
        <v>46018</v>
      </c>
      <c r="H256" s="77">
        <f t="shared" si="39"/>
        <v>46006</v>
      </c>
      <c r="I256" s="77">
        <f t="shared" si="40"/>
        <v>46013</v>
      </c>
      <c r="J256" s="77">
        <v>46021</v>
      </c>
      <c r="K256" s="78">
        <f t="shared" si="54"/>
        <v>23</v>
      </c>
      <c r="L256" s="25">
        <v>14.67</v>
      </c>
      <c r="M256" s="25">
        <v>12.51</v>
      </c>
      <c r="N256" s="25">
        <f t="shared" si="55"/>
        <v>2.16</v>
      </c>
      <c r="O256" s="25" t="s">
        <v>593</v>
      </c>
    </row>
    <row r="257" spans="1:15" x14ac:dyDescent="0.25">
      <c r="A257" s="77">
        <v>45998</v>
      </c>
      <c r="B257" s="25" t="s">
        <v>476</v>
      </c>
      <c r="C257" s="25"/>
      <c r="D257" s="77">
        <f t="shared" si="35"/>
        <v>46021</v>
      </c>
      <c r="E257" s="77">
        <f t="shared" si="36"/>
        <v>46005</v>
      </c>
      <c r="F257" s="77">
        <f t="shared" si="37"/>
        <v>46012</v>
      </c>
      <c r="G257" s="77">
        <f t="shared" si="38"/>
        <v>46018</v>
      </c>
      <c r="H257" s="77">
        <f t="shared" si="39"/>
        <v>46006</v>
      </c>
      <c r="I257" s="77">
        <f t="shared" si="40"/>
        <v>46013</v>
      </c>
      <c r="J257" s="77">
        <v>46021</v>
      </c>
      <c r="K257" s="78">
        <f t="shared" si="54"/>
        <v>23</v>
      </c>
      <c r="L257" s="25">
        <v>12.38</v>
      </c>
      <c r="M257" s="25">
        <v>10.74</v>
      </c>
      <c r="N257" s="25">
        <f t="shared" si="55"/>
        <v>1.6400000000000006</v>
      </c>
      <c r="O257" s="25" t="s">
        <v>593</v>
      </c>
    </row>
    <row r="258" spans="1:15" x14ac:dyDescent="0.25">
      <c r="A258" s="77">
        <v>45998</v>
      </c>
      <c r="B258" s="25" t="s">
        <v>477</v>
      </c>
      <c r="C258" s="25"/>
      <c r="D258" s="77">
        <f t="shared" si="35"/>
        <v>46021</v>
      </c>
      <c r="E258" s="77">
        <f t="shared" si="36"/>
        <v>46005</v>
      </c>
      <c r="F258" s="77">
        <f t="shared" si="37"/>
        <v>46012</v>
      </c>
      <c r="G258" s="77">
        <f t="shared" si="38"/>
        <v>46018</v>
      </c>
      <c r="H258" s="77">
        <f t="shared" si="39"/>
        <v>46006</v>
      </c>
      <c r="I258" s="77">
        <f t="shared" si="40"/>
        <v>46013</v>
      </c>
      <c r="J258" s="77">
        <v>46021</v>
      </c>
      <c r="K258" s="78">
        <f t="shared" si="54"/>
        <v>23</v>
      </c>
      <c r="L258" s="25">
        <v>14.47</v>
      </c>
      <c r="M258" s="25">
        <v>12.58</v>
      </c>
      <c r="N258" s="25">
        <f t="shared" si="55"/>
        <v>1.8900000000000006</v>
      </c>
      <c r="O258" s="25" t="s">
        <v>593</v>
      </c>
    </row>
    <row r="259" spans="1:15" x14ac:dyDescent="0.25">
      <c r="A259" s="77">
        <v>45998</v>
      </c>
      <c r="B259" s="25" t="s">
        <v>478</v>
      </c>
      <c r="C259" s="25"/>
      <c r="D259" s="77">
        <f t="shared" ref="D259:D322" si="56">A259+23</f>
        <v>46021</v>
      </c>
      <c r="E259" s="77">
        <f t="shared" ref="E259:E322" si="57">A259+7</f>
        <v>46005</v>
      </c>
      <c r="F259" s="77">
        <f t="shared" ref="F259:F322" si="58">A259+14</f>
        <v>46012</v>
      </c>
      <c r="G259" s="77">
        <f t="shared" ref="G259:G322" si="59">A259+20</f>
        <v>46018</v>
      </c>
      <c r="H259" s="77">
        <f t="shared" ref="H259:H322" si="60">A259+8</f>
        <v>46006</v>
      </c>
      <c r="I259" s="77">
        <f t="shared" ref="I259:I322" si="61">A259+15</f>
        <v>46013</v>
      </c>
      <c r="J259" s="77">
        <v>46021</v>
      </c>
      <c r="K259" s="78">
        <f t="shared" si="54"/>
        <v>23</v>
      </c>
      <c r="L259" s="25">
        <v>13.56</v>
      </c>
      <c r="M259" s="25">
        <v>11.86</v>
      </c>
      <c r="N259" s="25">
        <f t="shared" si="55"/>
        <v>1.7000000000000011</v>
      </c>
      <c r="O259" s="25" t="s">
        <v>593</v>
      </c>
    </row>
    <row r="260" spans="1:15" x14ac:dyDescent="0.25">
      <c r="A260" s="77">
        <v>45998</v>
      </c>
      <c r="B260" s="25" t="s">
        <v>479</v>
      </c>
      <c r="C260" s="25"/>
      <c r="D260" s="77">
        <f t="shared" si="56"/>
        <v>46021</v>
      </c>
      <c r="E260" s="77">
        <f t="shared" si="57"/>
        <v>46005</v>
      </c>
      <c r="F260" s="77">
        <f t="shared" si="58"/>
        <v>46012</v>
      </c>
      <c r="G260" s="77">
        <f t="shared" si="59"/>
        <v>46018</v>
      </c>
      <c r="H260" s="77">
        <f t="shared" si="60"/>
        <v>46006</v>
      </c>
      <c r="I260" s="77">
        <f t="shared" si="61"/>
        <v>46013</v>
      </c>
      <c r="J260" s="77">
        <v>46021</v>
      </c>
      <c r="K260" s="78">
        <f t="shared" si="54"/>
        <v>23</v>
      </c>
      <c r="L260" s="25">
        <v>14.19</v>
      </c>
      <c r="M260" s="25">
        <v>12.1</v>
      </c>
      <c r="N260" s="25">
        <f t="shared" si="55"/>
        <v>2.09</v>
      </c>
      <c r="O260" s="25" t="s">
        <v>593</v>
      </c>
    </row>
    <row r="261" spans="1:15" x14ac:dyDescent="0.25">
      <c r="A261" s="77">
        <v>45998</v>
      </c>
      <c r="B261" s="25" t="s">
        <v>480</v>
      </c>
      <c r="C261" s="25"/>
      <c r="D261" s="77">
        <f t="shared" si="56"/>
        <v>46021</v>
      </c>
      <c r="E261" s="77">
        <f t="shared" si="57"/>
        <v>46005</v>
      </c>
      <c r="F261" s="77">
        <f t="shared" si="58"/>
        <v>46012</v>
      </c>
      <c r="G261" s="77">
        <f t="shared" si="59"/>
        <v>46018</v>
      </c>
      <c r="H261" s="77">
        <f t="shared" si="60"/>
        <v>46006</v>
      </c>
      <c r="I261" s="77">
        <f t="shared" si="61"/>
        <v>46013</v>
      </c>
      <c r="J261" s="77">
        <v>46023</v>
      </c>
      <c r="K261" s="78">
        <f t="shared" si="54"/>
        <v>25</v>
      </c>
      <c r="L261" s="25">
        <v>13.37</v>
      </c>
      <c r="M261" s="25">
        <v>11.24</v>
      </c>
      <c r="N261" s="25">
        <f t="shared" si="55"/>
        <v>2.129999999999999</v>
      </c>
      <c r="O261" s="25" t="s">
        <v>593</v>
      </c>
    </row>
    <row r="262" spans="1:15" x14ac:dyDescent="0.25">
      <c r="A262" s="77">
        <v>45998</v>
      </c>
      <c r="B262" s="25" t="s">
        <v>481</v>
      </c>
      <c r="C262" s="25"/>
      <c r="D262" s="77">
        <f t="shared" si="56"/>
        <v>46021</v>
      </c>
      <c r="E262" s="77">
        <f t="shared" si="57"/>
        <v>46005</v>
      </c>
      <c r="F262" s="77">
        <f t="shared" si="58"/>
        <v>46012</v>
      </c>
      <c r="G262" s="77">
        <f t="shared" si="59"/>
        <v>46018</v>
      </c>
      <c r="H262" s="77">
        <f t="shared" si="60"/>
        <v>46006</v>
      </c>
      <c r="I262" s="77">
        <f t="shared" si="61"/>
        <v>46013</v>
      </c>
      <c r="J262" s="77">
        <v>46023</v>
      </c>
      <c r="K262" s="78">
        <f t="shared" si="54"/>
        <v>25</v>
      </c>
      <c r="L262" s="25">
        <v>12.68</v>
      </c>
      <c r="M262" s="25">
        <v>10.37</v>
      </c>
      <c r="N262" s="25">
        <f t="shared" si="55"/>
        <v>2.3100000000000005</v>
      </c>
      <c r="O262" s="25" t="s">
        <v>593</v>
      </c>
    </row>
    <row r="263" spans="1:15" x14ac:dyDescent="0.25">
      <c r="A263" s="77">
        <v>45998</v>
      </c>
      <c r="B263" s="25" t="s">
        <v>482</v>
      </c>
      <c r="C263" s="25"/>
      <c r="D263" s="77">
        <f t="shared" si="56"/>
        <v>46021</v>
      </c>
      <c r="E263" s="77">
        <f t="shared" si="57"/>
        <v>46005</v>
      </c>
      <c r="F263" s="77">
        <f t="shared" si="58"/>
        <v>46012</v>
      </c>
      <c r="G263" s="77">
        <f t="shared" si="59"/>
        <v>46018</v>
      </c>
      <c r="H263" s="77">
        <f t="shared" si="60"/>
        <v>46006</v>
      </c>
      <c r="I263" s="77">
        <f t="shared" si="61"/>
        <v>46013</v>
      </c>
      <c r="J263" s="77">
        <v>46024</v>
      </c>
      <c r="K263" s="78">
        <f t="shared" si="54"/>
        <v>26</v>
      </c>
      <c r="L263" s="25">
        <v>8.5399999999999991</v>
      </c>
      <c r="M263" s="25">
        <v>7.42</v>
      </c>
      <c r="N263" s="25">
        <f t="shared" si="55"/>
        <v>1.1199999999999992</v>
      </c>
      <c r="O263" s="25" t="s">
        <v>593</v>
      </c>
    </row>
    <row r="264" spans="1:15" x14ac:dyDescent="0.25">
      <c r="A264" s="77">
        <v>45999</v>
      </c>
      <c r="B264" s="25" t="s">
        <v>483</v>
      </c>
      <c r="C264" s="25"/>
      <c r="D264" s="77">
        <f t="shared" si="56"/>
        <v>46022</v>
      </c>
      <c r="E264" s="77">
        <f t="shared" si="57"/>
        <v>46006</v>
      </c>
      <c r="F264" s="77">
        <f t="shared" si="58"/>
        <v>46013</v>
      </c>
      <c r="G264" s="77">
        <f t="shared" si="59"/>
        <v>46019</v>
      </c>
      <c r="H264" s="77">
        <f t="shared" si="60"/>
        <v>46007</v>
      </c>
      <c r="I264" s="77">
        <f t="shared" si="61"/>
        <v>46014</v>
      </c>
      <c r="J264" s="77">
        <v>46024</v>
      </c>
      <c r="K264" s="78">
        <f t="shared" si="54"/>
        <v>25</v>
      </c>
      <c r="L264" s="25">
        <v>6.81</v>
      </c>
      <c r="M264" s="25">
        <v>6.7</v>
      </c>
      <c r="N264" s="25">
        <f t="shared" si="55"/>
        <v>0.10999999999999943</v>
      </c>
      <c r="O264" s="25" t="s">
        <v>593</v>
      </c>
    </row>
    <row r="265" spans="1:15" x14ac:dyDescent="0.25">
      <c r="A265" s="77">
        <v>45999</v>
      </c>
      <c r="B265" s="25" t="s">
        <v>484</v>
      </c>
      <c r="C265" s="25"/>
      <c r="D265" s="77">
        <f t="shared" si="56"/>
        <v>46022</v>
      </c>
      <c r="E265" s="77">
        <f t="shared" si="57"/>
        <v>46006</v>
      </c>
      <c r="F265" s="77">
        <f t="shared" si="58"/>
        <v>46013</v>
      </c>
      <c r="G265" s="77">
        <f t="shared" si="59"/>
        <v>46019</v>
      </c>
      <c r="H265" s="77">
        <f t="shared" si="60"/>
        <v>46007</v>
      </c>
      <c r="I265" s="77">
        <f t="shared" si="61"/>
        <v>46014</v>
      </c>
      <c r="J265" s="77">
        <v>46024</v>
      </c>
      <c r="K265" s="78">
        <f t="shared" si="54"/>
        <v>25</v>
      </c>
      <c r="L265" s="25">
        <v>8.26</v>
      </c>
      <c r="M265" s="25">
        <v>7.23</v>
      </c>
      <c r="N265" s="25">
        <f t="shared" si="55"/>
        <v>1.0299999999999994</v>
      </c>
      <c r="O265" s="25" t="s">
        <v>593</v>
      </c>
    </row>
    <row r="266" spans="1:15" x14ac:dyDescent="0.25">
      <c r="A266" s="77">
        <v>45999</v>
      </c>
      <c r="B266" s="25" t="s">
        <v>485</v>
      </c>
      <c r="C266" s="25"/>
      <c r="D266" s="77">
        <f t="shared" si="56"/>
        <v>46022</v>
      </c>
      <c r="E266" s="77">
        <f t="shared" si="57"/>
        <v>46006</v>
      </c>
      <c r="F266" s="77">
        <f t="shared" si="58"/>
        <v>46013</v>
      </c>
      <c r="G266" s="77">
        <f t="shared" si="59"/>
        <v>46019</v>
      </c>
      <c r="H266" s="77">
        <f t="shared" si="60"/>
        <v>46007</v>
      </c>
      <c r="I266" s="77">
        <f t="shared" si="61"/>
        <v>46014</v>
      </c>
      <c r="J266" s="77">
        <v>46024</v>
      </c>
      <c r="K266" s="78">
        <f t="shared" si="54"/>
        <v>25</v>
      </c>
      <c r="L266" s="25">
        <v>7.63</v>
      </c>
      <c r="M266" s="25">
        <v>7.12</v>
      </c>
      <c r="N266" s="25">
        <f t="shared" si="55"/>
        <v>0.50999999999999979</v>
      </c>
      <c r="O266" s="25" t="s">
        <v>593</v>
      </c>
    </row>
    <row r="267" spans="1:15" x14ac:dyDescent="0.25">
      <c r="A267" s="77">
        <v>45999</v>
      </c>
      <c r="B267" s="25" t="s">
        <v>486</v>
      </c>
      <c r="C267" s="25"/>
      <c r="D267" s="77">
        <f t="shared" si="56"/>
        <v>46022</v>
      </c>
      <c r="E267" s="77">
        <f t="shared" si="57"/>
        <v>46006</v>
      </c>
      <c r="F267" s="77">
        <f t="shared" si="58"/>
        <v>46013</v>
      </c>
      <c r="G267" s="77">
        <f t="shared" si="59"/>
        <v>46019</v>
      </c>
      <c r="H267" s="77">
        <f t="shared" si="60"/>
        <v>46007</v>
      </c>
      <c r="I267" s="77">
        <f t="shared" si="61"/>
        <v>46014</v>
      </c>
      <c r="J267" s="77">
        <v>46025</v>
      </c>
      <c r="K267" s="78">
        <f t="shared" si="54"/>
        <v>26</v>
      </c>
      <c r="L267" s="25">
        <v>7.26</v>
      </c>
      <c r="M267" s="25">
        <v>5.54</v>
      </c>
      <c r="N267" s="25">
        <f t="shared" si="55"/>
        <v>1.7199999999999998</v>
      </c>
      <c r="O267" s="25" t="s">
        <v>593</v>
      </c>
    </row>
    <row r="268" spans="1:15" x14ac:dyDescent="0.25">
      <c r="A268" s="77">
        <v>45999</v>
      </c>
      <c r="B268" s="25" t="s">
        <v>487</v>
      </c>
      <c r="C268" s="25"/>
      <c r="D268" s="77">
        <f t="shared" si="56"/>
        <v>46022</v>
      </c>
      <c r="E268" s="77">
        <f t="shared" si="57"/>
        <v>46006</v>
      </c>
      <c r="F268" s="77">
        <f t="shared" si="58"/>
        <v>46013</v>
      </c>
      <c r="G268" s="77">
        <f t="shared" si="59"/>
        <v>46019</v>
      </c>
      <c r="H268" s="77">
        <f t="shared" si="60"/>
        <v>46007</v>
      </c>
      <c r="I268" s="77">
        <f t="shared" si="61"/>
        <v>46014</v>
      </c>
      <c r="J268" s="77">
        <v>46025</v>
      </c>
      <c r="K268" s="78">
        <f t="shared" si="54"/>
        <v>26</v>
      </c>
      <c r="L268" s="25">
        <v>6.93</v>
      </c>
      <c r="M268" s="25">
        <v>5.21</v>
      </c>
      <c r="N268" s="25">
        <f t="shared" si="55"/>
        <v>1.7199999999999998</v>
      </c>
      <c r="O268" s="25" t="s">
        <v>593</v>
      </c>
    </row>
    <row r="269" spans="1:15" x14ac:dyDescent="0.25">
      <c r="A269" s="77">
        <v>45999</v>
      </c>
      <c r="B269" s="25" t="s">
        <v>488</v>
      </c>
      <c r="C269" s="25"/>
      <c r="D269" s="77">
        <f t="shared" si="56"/>
        <v>46022</v>
      </c>
      <c r="E269" s="77">
        <f t="shared" si="57"/>
        <v>46006</v>
      </c>
      <c r="F269" s="77">
        <f t="shared" si="58"/>
        <v>46013</v>
      </c>
      <c r="G269" s="77">
        <f t="shared" si="59"/>
        <v>46019</v>
      </c>
      <c r="H269" s="77">
        <f t="shared" si="60"/>
        <v>46007</v>
      </c>
      <c r="I269" s="77">
        <f t="shared" si="61"/>
        <v>46014</v>
      </c>
      <c r="J269" s="77">
        <v>46025</v>
      </c>
      <c r="K269" s="78">
        <f t="shared" si="54"/>
        <v>26</v>
      </c>
      <c r="L269" s="25">
        <v>12.09</v>
      </c>
      <c r="M269" s="25">
        <v>12.09</v>
      </c>
      <c r="N269" s="25">
        <f t="shared" si="55"/>
        <v>0</v>
      </c>
      <c r="O269" s="25" t="s">
        <v>593</v>
      </c>
    </row>
    <row r="270" spans="1:15" x14ac:dyDescent="0.25">
      <c r="A270" s="77">
        <v>45999</v>
      </c>
      <c r="B270" s="25" t="s">
        <v>489</v>
      </c>
      <c r="C270" s="25"/>
      <c r="D270" s="77">
        <f t="shared" si="56"/>
        <v>46022</v>
      </c>
      <c r="E270" s="77">
        <f t="shared" si="57"/>
        <v>46006</v>
      </c>
      <c r="F270" s="77">
        <f t="shared" si="58"/>
        <v>46013</v>
      </c>
      <c r="G270" s="77">
        <f t="shared" si="59"/>
        <v>46019</v>
      </c>
      <c r="H270" s="77">
        <f t="shared" si="60"/>
        <v>46007</v>
      </c>
      <c r="I270" s="77">
        <f t="shared" si="61"/>
        <v>46014</v>
      </c>
      <c r="J270" s="77">
        <v>46026</v>
      </c>
      <c r="K270" s="78">
        <f t="shared" si="54"/>
        <v>27</v>
      </c>
      <c r="L270" s="25">
        <v>12.51</v>
      </c>
      <c r="M270" s="25">
        <v>10.26</v>
      </c>
      <c r="N270" s="25">
        <f t="shared" si="55"/>
        <v>2.25</v>
      </c>
      <c r="O270" s="25" t="s">
        <v>593</v>
      </c>
    </row>
    <row r="271" spans="1:15" x14ac:dyDescent="0.25">
      <c r="A271" s="77">
        <v>46000</v>
      </c>
      <c r="B271" s="25" t="s">
        <v>490</v>
      </c>
      <c r="C271" s="25"/>
      <c r="D271" s="77">
        <f t="shared" si="56"/>
        <v>46023</v>
      </c>
      <c r="E271" s="77">
        <f t="shared" si="57"/>
        <v>46007</v>
      </c>
      <c r="F271" s="77">
        <f t="shared" si="58"/>
        <v>46014</v>
      </c>
      <c r="G271" s="77">
        <f t="shared" si="59"/>
        <v>46020</v>
      </c>
      <c r="H271" s="77">
        <f t="shared" si="60"/>
        <v>46008</v>
      </c>
      <c r="I271" s="77">
        <f t="shared" si="61"/>
        <v>46015</v>
      </c>
      <c r="J271" s="77">
        <v>46027</v>
      </c>
      <c r="K271" s="78">
        <f t="shared" si="54"/>
        <v>27</v>
      </c>
      <c r="L271" s="25">
        <v>7.3</v>
      </c>
      <c r="M271" s="25">
        <v>7</v>
      </c>
      <c r="N271" s="25">
        <f t="shared" si="55"/>
        <v>0.29999999999999982</v>
      </c>
      <c r="O271" s="25" t="s">
        <v>593</v>
      </c>
    </row>
    <row r="272" spans="1:15" x14ac:dyDescent="0.25">
      <c r="A272" s="77">
        <v>46000</v>
      </c>
      <c r="B272" s="25" t="s">
        <v>491</v>
      </c>
      <c r="C272" s="25"/>
      <c r="D272" s="77">
        <f t="shared" si="56"/>
        <v>46023</v>
      </c>
      <c r="E272" s="77">
        <f t="shared" si="57"/>
        <v>46007</v>
      </c>
      <c r="F272" s="77">
        <f t="shared" si="58"/>
        <v>46014</v>
      </c>
      <c r="G272" s="77">
        <f t="shared" si="59"/>
        <v>46020</v>
      </c>
      <c r="H272" s="77">
        <f t="shared" si="60"/>
        <v>46008</v>
      </c>
      <c r="I272" s="77">
        <f t="shared" si="61"/>
        <v>46015</v>
      </c>
      <c r="J272" s="77">
        <v>46027</v>
      </c>
      <c r="K272" s="78">
        <f t="shared" si="54"/>
        <v>27</v>
      </c>
      <c r="L272" s="25">
        <v>9.17</v>
      </c>
      <c r="M272" s="25">
        <v>8.92</v>
      </c>
      <c r="N272" s="25">
        <f t="shared" si="55"/>
        <v>0.25</v>
      </c>
      <c r="O272" s="25" t="s">
        <v>593</v>
      </c>
    </row>
    <row r="273" spans="1:15" x14ac:dyDescent="0.25">
      <c r="A273" s="77">
        <v>46000</v>
      </c>
      <c r="B273" s="25" t="s">
        <v>492</v>
      </c>
      <c r="C273" s="25"/>
      <c r="D273" s="77">
        <f t="shared" si="56"/>
        <v>46023</v>
      </c>
      <c r="E273" s="77">
        <f t="shared" si="57"/>
        <v>46007</v>
      </c>
      <c r="F273" s="77">
        <f t="shared" si="58"/>
        <v>46014</v>
      </c>
      <c r="G273" s="77">
        <f t="shared" si="59"/>
        <v>46020</v>
      </c>
      <c r="H273" s="77">
        <f t="shared" si="60"/>
        <v>46008</v>
      </c>
      <c r="I273" s="77">
        <f t="shared" si="61"/>
        <v>46015</v>
      </c>
      <c r="J273" s="77">
        <v>46029</v>
      </c>
      <c r="K273" s="78">
        <f t="shared" si="54"/>
        <v>29</v>
      </c>
      <c r="L273" s="84">
        <v>12.67</v>
      </c>
      <c r="M273" s="82">
        <v>6.58</v>
      </c>
      <c r="N273" s="25">
        <f t="shared" si="55"/>
        <v>6.09</v>
      </c>
      <c r="O273" s="25" t="s">
        <v>592</v>
      </c>
    </row>
    <row r="274" spans="1:15" x14ac:dyDescent="0.25">
      <c r="A274" s="77">
        <v>46000</v>
      </c>
      <c r="B274" s="25" t="s">
        <v>493</v>
      </c>
      <c r="C274" s="25"/>
      <c r="D274" s="77">
        <f t="shared" si="56"/>
        <v>46023</v>
      </c>
      <c r="E274" s="77">
        <f t="shared" si="57"/>
        <v>46007</v>
      </c>
      <c r="F274" s="77">
        <f t="shared" si="58"/>
        <v>46014</v>
      </c>
      <c r="G274" s="77">
        <f t="shared" si="59"/>
        <v>46020</v>
      </c>
      <c r="H274" s="77">
        <f t="shared" si="60"/>
        <v>46008</v>
      </c>
      <c r="I274" s="77">
        <f t="shared" si="61"/>
        <v>46015</v>
      </c>
      <c r="J274" s="77">
        <v>46029</v>
      </c>
      <c r="K274" s="78">
        <f t="shared" si="54"/>
        <v>29</v>
      </c>
      <c r="L274" s="84">
        <v>13.73</v>
      </c>
      <c r="M274" s="82">
        <v>7.52</v>
      </c>
      <c r="N274" s="25">
        <f t="shared" si="55"/>
        <v>6.2100000000000009</v>
      </c>
      <c r="O274" s="25" t="s">
        <v>592</v>
      </c>
    </row>
    <row r="275" spans="1:15" x14ac:dyDescent="0.25">
      <c r="A275" s="77">
        <v>46000</v>
      </c>
      <c r="B275" s="25" t="s">
        <v>494</v>
      </c>
      <c r="C275" s="25"/>
      <c r="D275" s="77">
        <f t="shared" si="56"/>
        <v>46023</v>
      </c>
      <c r="E275" s="77">
        <f t="shared" si="57"/>
        <v>46007</v>
      </c>
      <c r="F275" s="77">
        <f t="shared" si="58"/>
        <v>46014</v>
      </c>
      <c r="G275" s="77">
        <f t="shared" si="59"/>
        <v>46020</v>
      </c>
      <c r="H275" s="77">
        <f t="shared" si="60"/>
        <v>46008</v>
      </c>
      <c r="I275" s="77">
        <f t="shared" si="61"/>
        <v>46015</v>
      </c>
      <c r="J275" s="77">
        <v>46029</v>
      </c>
      <c r="K275" s="78">
        <f t="shared" si="54"/>
        <v>29</v>
      </c>
      <c r="L275" s="84">
        <v>14.11</v>
      </c>
      <c r="M275" s="82">
        <v>7.8</v>
      </c>
      <c r="N275" s="25">
        <f t="shared" si="55"/>
        <v>6.31</v>
      </c>
      <c r="O275" s="25" t="s">
        <v>592</v>
      </c>
    </row>
    <row r="276" spans="1:15" x14ac:dyDescent="0.25">
      <c r="A276" s="77">
        <v>46000</v>
      </c>
      <c r="B276" s="25" t="s">
        <v>495</v>
      </c>
      <c r="C276" s="25"/>
      <c r="D276" s="77">
        <f t="shared" si="56"/>
        <v>46023</v>
      </c>
      <c r="E276" s="77">
        <f t="shared" si="57"/>
        <v>46007</v>
      </c>
      <c r="F276" s="77">
        <f t="shared" si="58"/>
        <v>46014</v>
      </c>
      <c r="G276" s="77">
        <f t="shared" si="59"/>
        <v>46020</v>
      </c>
      <c r="H276" s="77">
        <f t="shared" si="60"/>
        <v>46008</v>
      </c>
      <c r="I276" s="77">
        <f t="shared" si="61"/>
        <v>46015</v>
      </c>
      <c r="J276" s="77">
        <v>46029</v>
      </c>
      <c r="K276" s="78">
        <f t="shared" si="54"/>
        <v>29</v>
      </c>
      <c r="L276" s="84">
        <v>13.82</v>
      </c>
      <c r="M276" s="82">
        <v>12.54</v>
      </c>
      <c r="N276" s="25">
        <f t="shared" si="55"/>
        <v>1.2800000000000011</v>
      </c>
      <c r="O276" s="25" t="s">
        <v>593</v>
      </c>
    </row>
    <row r="277" spans="1:15" x14ac:dyDescent="0.25">
      <c r="A277" s="77">
        <v>46000</v>
      </c>
      <c r="B277" s="25" t="s">
        <v>496</v>
      </c>
      <c r="C277" s="25"/>
      <c r="D277" s="77">
        <f t="shared" si="56"/>
        <v>46023</v>
      </c>
      <c r="E277" s="77">
        <f t="shared" si="57"/>
        <v>46007</v>
      </c>
      <c r="F277" s="77">
        <f t="shared" si="58"/>
        <v>46014</v>
      </c>
      <c r="G277" s="77">
        <f t="shared" si="59"/>
        <v>46020</v>
      </c>
      <c r="H277" s="77">
        <f t="shared" si="60"/>
        <v>46008</v>
      </c>
      <c r="I277" s="77">
        <f t="shared" si="61"/>
        <v>46015</v>
      </c>
      <c r="J277" s="77">
        <v>46029</v>
      </c>
      <c r="K277" s="78">
        <f t="shared" si="54"/>
        <v>29</v>
      </c>
      <c r="L277" s="84">
        <v>14.75</v>
      </c>
      <c r="M277" s="82">
        <v>13.21</v>
      </c>
      <c r="N277" s="25">
        <f t="shared" si="55"/>
        <v>1.5399999999999991</v>
      </c>
      <c r="O277" s="25" t="s">
        <v>593</v>
      </c>
    </row>
    <row r="278" spans="1:15" x14ac:dyDescent="0.25">
      <c r="A278" s="77">
        <v>46001</v>
      </c>
      <c r="B278" s="25" t="s">
        <v>497</v>
      </c>
      <c r="C278" s="25"/>
      <c r="D278" s="77">
        <f t="shared" si="56"/>
        <v>46024</v>
      </c>
      <c r="E278" s="77">
        <f t="shared" si="57"/>
        <v>46008</v>
      </c>
      <c r="F278" s="77">
        <f t="shared" si="58"/>
        <v>46015</v>
      </c>
      <c r="G278" s="77">
        <f t="shared" si="59"/>
        <v>46021</v>
      </c>
      <c r="H278" s="77">
        <f t="shared" si="60"/>
        <v>46009</v>
      </c>
      <c r="I278" s="77">
        <f t="shared" si="61"/>
        <v>46016</v>
      </c>
      <c r="J278" s="77">
        <v>46029</v>
      </c>
      <c r="K278" s="78">
        <f t="shared" si="54"/>
        <v>28</v>
      </c>
      <c r="L278" s="84">
        <v>14.06</v>
      </c>
      <c r="M278" s="82">
        <v>12.88</v>
      </c>
      <c r="N278" s="25">
        <f t="shared" si="55"/>
        <v>1.1799999999999997</v>
      </c>
      <c r="O278" s="25" t="s">
        <v>593</v>
      </c>
    </row>
    <row r="279" spans="1:15" x14ac:dyDescent="0.25">
      <c r="A279" s="77">
        <v>46001</v>
      </c>
      <c r="B279" s="25" t="s">
        <v>498</v>
      </c>
      <c r="C279" s="25"/>
      <c r="D279" s="77">
        <f t="shared" si="56"/>
        <v>46024</v>
      </c>
      <c r="E279" s="77">
        <f t="shared" si="57"/>
        <v>46008</v>
      </c>
      <c r="F279" s="77">
        <f t="shared" si="58"/>
        <v>46015</v>
      </c>
      <c r="G279" s="77">
        <f t="shared" si="59"/>
        <v>46021</v>
      </c>
      <c r="H279" s="77">
        <f t="shared" si="60"/>
        <v>46009</v>
      </c>
      <c r="I279" s="77">
        <f t="shared" si="61"/>
        <v>46016</v>
      </c>
      <c r="J279" s="77">
        <v>46029</v>
      </c>
      <c r="K279" s="78">
        <f t="shared" si="54"/>
        <v>28</v>
      </c>
      <c r="L279" s="84">
        <v>12.3</v>
      </c>
      <c r="M279" s="82">
        <v>11.1</v>
      </c>
      <c r="N279" s="25">
        <f t="shared" si="55"/>
        <v>1.2000000000000011</v>
      </c>
      <c r="O279" s="25" t="s">
        <v>593</v>
      </c>
    </row>
    <row r="280" spans="1:15" x14ac:dyDescent="0.25">
      <c r="A280" s="77">
        <v>46001</v>
      </c>
      <c r="B280" s="25" t="s">
        <v>499</v>
      </c>
      <c r="C280" s="25"/>
      <c r="D280" s="77">
        <f t="shared" si="56"/>
        <v>46024</v>
      </c>
      <c r="E280" s="77">
        <f t="shared" si="57"/>
        <v>46008</v>
      </c>
      <c r="F280" s="77">
        <f t="shared" si="58"/>
        <v>46015</v>
      </c>
      <c r="G280" s="77">
        <f t="shared" si="59"/>
        <v>46021</v>
      </c>
      <c r="H280" s="77">
        <f t="shared" si="60"/>
        <v>46009</v>
      </c>
      <c r="I280" s="77">
        <f t="shared" si="61"/>
        <v>46016</v>
      </c>
      <c r="J280" s="77">
        <v>46029</v>
      </c>
      <c r="K280" s="78">
        <f t="shared" si="54"/>
        <v>28</v>
      </c>
      <c r="L280" s="84">
        <v>11.18</v>
      </c>
      <c r="M280" s="82">
        <v>9.2799999999999994</v>
      </c>
      <c r="N280" s="25">
        <f t="shared" si="55"/>
        <v>1.9000000000000004</v>
      </c>
      <c r="O280" s="25" t="s">
        <v>593</v>
      </c>
    </row>
    <row r="281" spans="1:15" x14ac:dyDescent="0.25">
      <c r="A281" s="77">
        <v>46001</v>
      </c>
      <c r="B281" s="25" t="s">
        <v>500</v>
      </c>
      <c r="C281" s="25"/>
      <c r="D281" s="77">
        <f t="shared" si="56"/>
        <v>46024</v>
      </c>
      <c r="E281" s="77">
        <f t="shared" si="57"/>
        <v>46008</v>
      </c>
      <c r="F281" s="77">
        <f t="shared" si="58"/>
        <v>46015</v>
      </c>
      <c r="G281" s="77">
        <f t="shared" si="59"/>
        <v>46021</v>
      </c>
      <c r="H281" s="77">
        <f t="shared" si="60"/>
        <v>46009</v>
      </c>
      <c r="I281" s="77">
        <f t="shared" si="61"/>
        <v>46016</v>
      </c>
      <c r="J281" s="77">
        <v>46030</v>
      </c>
      <c r="K281" s="78">
        <f t="shared" si="54"/>
        <v>29</v>
      </c>
      <c r="L281" s="84">
        <v>11.36</v>
      </c>
      <c r="M281" s="82">
        <v>5.21</v>
      </c>
      <c r="N281" s="25">
        <f t="shared" si="55"/>
        <v>6.1499999999999995</v>
      </c>
      <c r="O281" s="25" t="s">
        <v>592</v>
      </c>
    </row>
    <row r="282" spans="1:15" x14ac:dyDescent="0.25">
      <c r="A282" s="77">
        <v>46001</v>
      </c>
      <c r="B282" s="25" t="s">
        <v>501</v>
      </c>
      <c r="C282" s="25"/>
      <c r="D282" s="77">
        <f t="shared" si="56"/>
        <v>46024</v>
      </c>
      <c r="E282" s="77">
        <f t="shared" si="57"/>
        <v>46008</v>
      </c>
      <c r="F282" s="77">
        <f t="shared" si="58"/>
        <v>46015</v>
      </c>
      <c r="G282" s="77">
        <f t="shared" si="59"/>
        <v>46021</v>
      </c>
      <c r="H282" s="77">
        <f t="shared" si="60"/>
        <v>46009</v>
      </c>
      <c r="I282" s="77">
        <f t="shared" si="61"/>
        <v>46016</v>
      </c>
      <c r="J282" s="77">
        <v>46030</v>
      </c>
      <c r="K282" s="78">
        <f t="shared" si="54"/>
        <v>29</v>
      </c>
      <c r="L282" s="84">
        <v>10.85</v>
      </c>
      <c r="M282" s="82">
        <v>4.57</v>
      </c>
      <c r="N282" s="25">
        <f t="shared" si="55"/>
        <v>6.2799999999999994</v>
      </c>
      <c r="O282" s="25" t="s">
        <v>592</v>
      </c>
    </row>
    <row r="283" spans="1:15" x14ac:dyDescent="0.25">
      <c r="A283" s="77">
        <v>46001</v>
      </c>
      <c r="B283" s="25" t="s">
        <v>502</v>
      </c>
      <c r="C283" s="25"/>
      <c r="D283" s="77">
        <f t="shared" si="56"/>
        <v>46024</v>
      </c>
      <c r="E283" s="77">
        <f t="shared" si="57"/>
        <v>46008</v>
      </c>
      <c r="F283" s="77">
        <f t="shared" si="58"/>
        <v>46015</v>
      </c>
      <c r="G283" s="77">
        <f t="shared" si="59"/>
        <v>46021</v>
      </c>
      <c r="H283" s="77">
        <f t="shared" si="60"/>
        <v>46009</v>
      </c>
      <c r="I283" s="77">
        <f t="shared" si="61"/>
        <v>46016</v>
      </c>
      <c r="J283" s="77">
        <v>46030</v>
      </c>
      <c r="K283" s="78">
        <f t="shared" si="54"/>
        <v>29</v>
      </c>
      <c r="L283" s="84">
        <v>9.7899999999999991</v>
      </c>
      <c r="M283" s="82">
        <v>4.1500000000000004</v>
      </c>
      <c r="N283" s="25">
        <f t="shared" si="55"/>
        <v>5.6399999999999988</v>
      </c>
      <c r="O283" s="25" t="s">
        <v>592</v>
      </c>
    </row>
    <row r="284" spans="1:15" x14ac:dyDescent="0.25">
      <c r="A284" s="77">
        <v>46001</v>
      </c>
      <c r="B284" s="25" t="s">
        <v>503</v>
      </c>
      <c r="C284" s="25"/>
      <c r="D284" s="77">
        <f t="shared" si="56"/>
        <v>46024</v>
      </c>
      <c r="E284" s="77">
        <f t="shared" si="57"/>
        <v>46008</v>
      </c>
      <c r="F284" s="77">
        <f t="shared" si="58"/>
        <v>46015</v>
      </c>
      <c r="G284" s="77">
        <f t="shared" si="59"/>
        <v>46021</v>
      </c>
      <c r="H284" s="77">
        <f t="shared" si="60"/>
        <v>46009</v>
      </c>
      <c r="I284" s="77">
        <f t="shared" si="61"/>
        <v>46016</v>
      </c>
      <c r="J284" s="77">
        <v>46030</v>
      </c>
      <c r="K284" s="78">
        <f t="shared" si="54"/>
        <v>29</v>
      </c>
      <c r="L284" s="84">
        <v>11.68</v>
      </c>
      <c r="M284" s="82">
        <v>5.73</v>
      </c>
      <c r="N284" s="25">
        <f t="shared" si="55"/>
        <v>5.9499999999999993</v>
      </c>
      <c r="O284" s="25" t="s">
        <v>592</v>
      </c>
    </row>
    <row r="285" spans="1:15" x14ac:dyDescent="0.25">
      <c r="A285" s="77">
        <v>46002</v>
      </c>
      <c r="B285" s="25" t="s">
        <v>504</v>
      </c>
      <c r="C285" s="25"/>
      <c r="D285" s="77">
        <f t="shared" si="56"/>
        <v>46025</v>
      </c>
      <c r="E285" s="77">
        <f t="shared" si="57"/>
        <v>46009</v>
      </c>
      <c r="F285" s="77">
        <f t="shared" si="58"/>
        <v>46016</v>
      </c>
      <c r="G285" s="77">
        <f t="shared" si="59"/>
        <v>46022</v>
      </c>
      <c r="H285" s="77">
        <f t="shared" si="60"/>
        <v>46010</v>
      </c>
      <c r="I285" s="77">
        <f t="shared" si="61"/>
        <v>46017</v>
      </c>
      <c r="J285" s="77">
        <v>46030</v>
      </c>
      <c r="K285" s="78">
        <f t="shared" si="54"/>
        <v>28</v>
      </c>
      <c r="L285" s="84">
        <v>10.11</v>
      </c>
      <c r="M285" s="82">
        <v>8.59</v>
      </c>
      <c r="N285" s="25">
        <f t="shared" si="55"/>
        <v>1.5199999999999996</v>
      </c>
      <c r="O285" s="25" t="s">
        <v>593</v>
      </c>
    </row>
    <row r="286" spans="1:15" x14ac:dyDescent="0.25">
      <c r="A286" s="77">
        <v>46002</v>
      </c>
      <c r="B286" s="25" t="s">
        <v>505</v>
      </c>
      <c r="C286" s="25"/>
      <c r="D286" s="77">
        <f t="shared" si="56"/>
        <v>46025</v>
      </c>
      <c r="E286" s="77">
        <f t="shared" si="57"/>
        <v>46009</v>
      </c>
      <c r="F286" s="77">
        <f t="shared" si="58"/>
        <v>46016</v>
      </c>
      <c r="G286" s="77">
        <f t="shared" si="59"/>
        <v>46022</v>
      </c>
      <c r="H286" s="77">
        <f t="shared" si="60"/>
        <v>46010</v>
      </c>
      <c r="I286" s="77">
        <f t="shared" si="61"/>
        <v>46017</v>
      </c>
      <c r="J286" s="77">
        <v>46030</v>
      </c>
      <c r="K286" s="78">
        <f t="shared" si="54"/>
        <v>28</v>
      </c>
      <c r="L286" s="84">
        <v>11.57</v>
      </c>
      <c r="M286" s="82">
        <v>9.1199999999999992</v>
      </c>
      <c r="N286" s="25">
        <f t="shared" si="55"/>
        <v>2.4500000000000011</v>
      </c>
      <c r="O286" s="25" t="s">
        <v>593</v>
      </c>
    </row>
    <row r="287" spans="1:15" x14ac:dyDescent="0.25">
      <c r="A287" s="77">
        <v>46002</v>
      </c>
      <c r="B287" s="25" t="s">
        <v>506</v>
      </c>
      <c r="C287" s="25"/>
      <c r="D287" s="77">
        <f t="shared" si="56"/>
        <v>46025</v>
      </c>
      <c r="E287" s="77">
        <f t="shared" si="57"/>
        <v>46009</v>
      </c>
      <c r="F287" s="77">
        <f t="shared" si="58"/>
        <v>46016</v>
      </c>
      <c r="G287" s="77">
        <f t="shared" si="59"/>
        <v>46022</v>
      </c>
      <c r="H287" s="77">
        <f t="shared" si="60"/>
        <v>46010</v>
      </c>
      <c r="I287" s="77">
        <f t="shared" si="61"/>
        <v>46017</v>
      </c>
      <c r="J287" s="77">
        <v>46030</v>
      </c>
      <c r="K287" s="78">
        <f t="shared" si="54"/>
        <v>28</v>
      </c>
      <c r="L287" s="84">
        <v>10.98</v>
      </c>
      <c r="M287" s="82">
        <v>9.31</v>
      </c>
      <c r="N287" s="25">
        <f t="shared" si="55"/>
        <v>1.67</v>
      </c>
      <c r="O287" s="25" t="s">
        <v>593</v>
      </c>
    </row>
    <row r="288" spans="1:15" x14ac:dyDescent="0.25">
      <c r="A288" s="77">
        <v>46002</v>
      </c>
      <c r="B288" s="25" t="s">
        <v>507</v>
      </c>
      <c r="C288" s="25"/>
      <c r="D288" s="77">
        <f t="shared" si="56"/>
        <v>46025</v>
      </c>
      <c r="E288" s="77">
        <f t="shared" si="57"/>
        <v>46009</v>
      </c>
      <c r="F288" s="77">
        <f t="shared" si="58"/>
        <v>46016</v>
      </c>
      <c r="G288" s="77">
        <f t="shared" si="59"/>
        <v>46022</v>
      </c>
      <c r="H288" s="77">
        <f t="shared" si="60"/>
        <v>46010</v>
      </c>
      <c r="I288" s="77">
        <f t="shared" si="61"/>
        <v>46017</v>
      </c>
      <c r="J288" s="77">
        <v>46030</v>
      </c>
      <c r="K288" s="78">
        <f t="shared" si="54"/>
        <v>28</v>
      </c>
      <c r="L288" s="84">
        <v>13.24</v>
      </c>
      <c r="M288" s="82">
        <v>10.47</v>
      </c>
      <c r="N288" s="25">
        <f t="shared" si="55"/>
        <v>2.7699999999999996</v>
      </c>
      <c r="O288" s="25" t="s">
        <v>593</v>
      </c>
    </row>
    <row r="289" spans="1:15" x14ac:dyDescent="0.25">
      <c r="A289" s="77">
        <v>46002</v>
      </c>
      <c r="B289" s="25" t="s">
        <v>508</v>
      </c>
      <c r="C289" s="25"/>
      <c r="D289" s="77">
        <f t="shared" si="56"/>
        <v>46025</v>
      </c>
      <c r="E289" s="77">
        <f t="shared" si="57"/>
        <v>46009</v>
      </c>
      <c r="F289" s="77">
        <f t="shared" si="58"/>
        <v>46016</v>
      </c>
      <c r="G289" s="77">
        <f t="shared" si="59"/>
        <v>46022</v>
      </c>
      <c r="H289" s="77">
        <f t="shared" si="60"/>
        <v>46010</v>
      </c>
      <c r="I289" s="77">
        <f t="shared" si="61"/>
        <v>46017</v>
      </c>
      <c r="J289" s="77">
        <v>46031</v>
      </c>
      <c r="K289" s="78">
        <f t="shared" si="54"/>
        <v>29</v>
      </c>
      <c r="L289" s="25">
        <v>10.91</v>
      </c>
      <c r="M289" s="25">
        <v>5.69</v>
      </c>
      <c r="N289" s="25">
        <f t="shared" si="55"/>
        <v>5.22</v>
      </c>
      <c r="O289" s="25" t="s">
        <v>592</v>
      </c>
    </row>
    <row r="290" spans="1:15" x14ac:dyDescent="0.25">
      <c r="A290" s="77">
        <v>46002</v>
      </c>
      <c r="B290" s="25" t="s">
        <v>509</v>
      </c>
      <c r="C290" s="25"/>
      <c r="D290" s="77">
        <f t="shared" si="56"/>
        <v>46025</v>
      </c>
      <c r="E290" s="77">
        <f t="shared" si="57"/>
        <v>46009</v>
      </c>
      <c r="F290" s="77">
        <f t="shared" si="58"/>
        <v>46016</v>
      </c>
      <c r="G290" s="77">
        <f t="shared" si="59"/>
        <v>46022</v>
      </c>
      <c r="H290" s="77">
        <f t="shared" si="60"/>
        <v>46010</v>
      </c>
      <c r="I290" s="77">
        <f t="shared" si="61"/>
        <v>46017</v>
      </c>
      <c r="J290" s="77">
        <v>46031</v>
      </c>
      <c r="K290" s="78">
        <f t="shared" si="54"/>
        <v>29</v>
      </c>
      <c r="L290" s="25">
        <v>11.19</v>
      </c>
      <c r="M290" s="25">
        <v>5.87</v>
      </c>
      <c r="N290" s="25">
        <f t="shared" si="55"/>
        <v>5.3199999999999994</v>
      </c>
      <c r="O290" s="25" t="s">
        <v>592</v>
      </c>
    </row>
    <row r="291" spans="1:15" x14ac:dyDescent="0.25">
      <c r="A291" s="77">
        <v>46002</v>
      </c>
      <c r="B291" s="25" t="s">
        <v>510</v>
      </c>
      <c r="C291" s="25"/>
      <c r="D291" s="77">
        <f t="shared" si="56"/>
        <v>46025</v>
      </c>
      <c r="E291" s="77">
        <f t="shared" si="57"/>
        <v>46009</v>
      </c>
      <c r="F291" s="77">
        <f t="shared" si="58"/>
        <v>46016</v>
      </c>
      <c r="G291" s="77">
        <f t="shared" si="59"/>
        <v>46022</v>
      </c>
      <c r="H291" s="77">
        <f t="shared" si="60"/>
        <v>46010</v>
      </c>
      <c r="I291" s="77">
        <f t="shared" si="61"/>
        <v>46017</v>
      </c>
      <c r="J291" s="77">
        <v>46031</v>
      </c>
      <c r="K291" s="78">
        <f t="shared" si="54"/>
        <v>29</v>
      </c>
      <c r="L291" s="25">
        <v>10.24</v>
      </c>
      <c r="M291" s="25">
        <v>4.96</v>
      </c>
      <c r="N291" s="25">
        <f t="shared" si="55"/>
        <v>5.28</v>
      </c>
      <c r="O291" s="25" t="s">
        <v>592</v>
      </c>
    </row>
    <row r="292" spans="1:15" x14ac:dyDescent="0.25">
      <c r="A292" s="77">
        <v>46003</v>
      </c>
      <c r="B292" s="25" t="s">
        <v>552</v>
      </c>
      <c r="C292" s="25"/>
      <c r="D292" s="77">
        <f t="shared" si="56"/>
        <v>46026</v>
      </c>
      <c r="E292" s="77">
        <f t="shared" si="57"/>
        <v>46010</v>
      </c>
      <c r="F292" s="77">
        <f t="shared" si="58"/>
        <v>46017</v>
      </c>
      <c r="G292" s="77">
        <f t="shared" si="59"/>
        <v>46023</v>
      </c>
      <c r="H292" s="77">
        <f t="shared" si="60"/>
        <v>46011</v>
      </c>
      <c r="I292" s="77">
        <f t="shared" si="61"/>
        <v>46018</v>
      </c>
      <c r="J292" s="77">
        <v>46032</v>
      </c>
      <c r="K292" s="78">
        <f t="shared" si="54"/>
        <v>29</v>
      </c>
      <c r="L292" s="25">
        <v>12.74</v>
      </c>
      <c r="M292" s="25">
        <v>6.18</v>
      </c>
      <c r="N292" s="25">
        <f t="shared" si="55"/>
        <v>6.5600000000000005</v>
      </c>
      <c r="O292" s="25" t="s">
        <v>592</v>
      </c>
    </row>
    <row r="293" spans="1:15" x14ac:dyDescent="0.25">
      <c r="A293" s="77">
        <v>46003</v>
      </c>
      <c r="B293" s="25" t="s">
        <v>553</v>
      </c>
      <c r="C293" s="25"/>
      <c r="D293" s="77">
        <f t="shared" si="56"/>
        <v>46026</v>
      </c>
      <c r="E293" s="77">
        <f t="shared" si="57"/>
        <v>46010</v>
      </c>
      <c r="F293" s="77">
        <f t="shared" si="58"/>
        <v>46017</v>
      </c>
      <c r="G293" s="77">
        <f t="shared" si="59"/>
        <v>46023</v>
      </c>
      <c r="H293" s="77">
        <f t="shared" si="60"/>
        <v>46011</v>
      </c>
      <c r="I293" s="77">
        <f t="shared" si="61"/>
        <v>46018</v>
      </c>
      <c r="J293" s="77">
        <v>46031</v>
      </c>
      <c r="K293" s="78">
        <f t="shared" si="54"/>
        <v>28</v>
      </c>
      <c r="L293" s="25">
        <v>15.17</v>
      </c>
      <c r="M293" s="25">
        <v>14.81</v>
      </c>
      <c r="N293" s="25">
        <f t="shared" si="55"/>
        <v>0.35999999999999943</v>
      </c>
      <c r="O293" s="25" t="s">
        <v>593</v>
      </c>
    </row>
    <row r="294" spans="1:15" x14ac:dyDescent="0.25">
      <c r="A294" s="77">
        <v>46003</v>
      </c>
      <c r="B294" s="25" t="s">
        <v>554</v>
      </c>
      <c r="C294" s="25"/>
      <c r="D294" s="77">
        <f t="shared" si="56"/>
        <v>46026</v>
      </c>
      <c r="E294" s="77">
        <f t="shared" si="57"/>
        <v>46010</v>
      </c>
      <c r="F294" s="77">
        <f t="shared" si="58"/>
        <v>46017</v>
      </c>
      <c r="G294" s="77">
        <f t="shared" si="59"/>
        <v>46023</v>
      </c>
      <c r="H294" s="77">
        <f t="shared" si="60"/>
        <v>46011</v>
      </c>
      <c r="I294" s="77">
        <f t="shared" si="61"/>
        <v>46018</v>
      </c>
      <c r="J294" s="77">
        <v>46031</v>
      </c>
      <c r="K294" s="78">
        <f t="shared" si="54"/>
        <v>28</v>
      </c>
      <c r="L294" s="25">
        <v>13.98</v>
      </c>
      <c r="M294" s="25">
        <v>12.77</v>
      </c>
      <c r="N294" s="25">
        <f t="shared" si="55"/>
        <v>1.2100000000000009</v>
      </c>
      <c r="O294" s="25" t="s">
        <v>593</v>
      </c>
    </row>
    <row r="295" spans="1:15" x14ac:dyDescent="0.25">
      <c r="A295" s="77">
        <v>46003</v>
      </c>
      <c r="B295" s="25" t="s">
        <v>555</v>
      </c>
      <c r="C295" s="25"/>
      <c r="D295" s="77">
        <f t="shared" si="56"/>
        <v>46026</v>
      </c>
      <c r="E295" s="77">
        <f t="shared" si="57"/>
        <v>46010</v>
      </c>
      <c r="F295" s="77">
        <f t="shared" si="58"/>
        <v>46017</v>
      </c>
      <c r="G295" s="77">
        <f t="shared" si="59"/>
        <v>46023</v>
      </c>
      <c r="H295" s="77">
        <f t="shared" si="60"/>
        <v>46011</v>
      </c>
      <c r="I295" s="77">
        <f t="shared" si="61"/>
        <v>46018</v>
      </c>
      <c r="J295" s="77">
        <v>46031</v>
      </c>
      <c r="K295" s="78">
        <f t="shared" si="54"/>
        <v>28</v>
      </c>
      <c r="L295" s="25">
        <v>13.41</v>
      </c>
      <c r="M295" s="25">
        <v>12.1</v>
      </c>
      <c r="N295" s="25">
        <f t="shared" si="55"/>
        <v>1.3100000000000005</v>
      </c>
      <c r="O295" s="25" t="s">
        <v>593</v>
      </c>
    </row>
    <row r="296" spans="1:15" x14ac:dyDescent="0.25">
      <c r="A296" s="77">
        <v>46003</v>
      </c>
      <c r="B296" s="25" t="s">
        <v>556</v>
      </c>
      <c r="C296" s="25"/>
      <c r="D296" s="77">
        <f t="shared" si="56"/>
        <v>46026</v>
      </c>
      <c r="E296" s="77">
        <f t="shared" si="57"/>
        <v>46010</v>
      </c>
      <c r="F296" s="77">
        <f t="shared" si="58"/>
        <v>46017</v>
      </c>
      <c r="G296" s="77">
        <f t="shared" si="59"/>
        <v>46023</v>
      </c>
      <c r="H296" s="77">
        <f t="shared" si="60"/>
        <v>46011</v>
      </c>
      <c r="I296" s="77">
        <f t="shared" si="61"/>
        <v>46018</v>
      </c>
      <c r="J296" s="77">
        <v>46031</v>
      </c>
      <c r="K296" s="78">
        <f t="shared" si="54"/>
        <v>28</v>
      </c>
      <c r="L296" s="25">
        <v>12.86</v>
      </c>
      <c r="M296" s="25">
        <v>11.69</v>
      </c>
      <c r="N296" s="25">
        <f t="shared" si="55"/>
        <v>1.17</v>
      </c>
      <c r="O296" s="25" t="s">
        <v>593</v>
      </c>
    </row>
    <row r="297" spans="1:15" x14ac:dyDescent="0.25">
      <c r="A297" s="77">
        <v>46003</v>
      </c>
      <c r="B297" s="25" t="s">
        <v>557</v>
      </c>
      <c r="C297" s="25"/>
      <c r="D297" s="77">
        <f t="shared" si="56"/>
        <v>46026</v>
      </c>
      <c r="E297" s="77">
        <f t="shared" si="57"/>
        <v>46010</v>
      </c>
      <c r="F297" s="77">
        <f t="shared" si="58"/>
        <v>46017</v>
      </c>
      <c r="G297" s="77">
        <f t="shared" si="59"/>
        <v>46023</v>
      </c>
      <c r="H297" s="77">
        <f t="shared" si="60"/>
        <v>46011</v>
      </c>
      <c r="I297" s="77">
        <f t="shared" si="61"/>
        <v>46018</v>
      </c>
      <c r="J297" s="77">
        <v>46031</v>
      </c>
      <c r="K297" s="78">
        <f t="shared" si="54"/>
        <v>28</v>
      </c>
      <c r="L297" s="25">
        <v>13.47</v>
      </c>
      <c r="M297" s="25">
        <v>7.39</v>
      </c>
      <c r="N297" s="25">
        <f t="shared" si="55"/>
        <v>6.080000000000001</v>
      </c>
      <c r="O297" s="25" t="s">
        <v>592</v>
      </c>
    </row>
    <row r="298" spans="1:15" x14ac:dyDescent="0.25">
      <c r="A298" s="77">
        <v>46003</v>
      </c>
      <c r="B298" s="25" t="s">
        <v>558</v>
      </c>
      <c r="C298" s="25"/>
      <c r="D298" s="77">
        <f t="shared" si="56"/>
        <v>46026</v>
      </c>
      <c r="E298" s="77">
        <f t="shared" si="57"/>
        <v>46010</v>
      </c>
      <c r="F298" s="77">
        <f t="shared" si="58"/>
        <v>46017</v>
      </c>
      <c r="G298" s="77">
        <f t="shared" si="59"/>
        <v>46023</v>
      </c>
      <c r="H298" s="77">
        <f t="shared" si="60"/>
        <v>46011</v>
      </c>
      <c r="I298" s="77">
        <f t="shared" si="61"/>
        <v>46018</v>
      </c>
      <c r="J298" s="77">
        <v>46031</v>
      </c>
      <c r="K298" s="78">
        <f t="shared" si="54"/>
        <v>28</v>
      </c>
      <c r="L298" s="25">
        <v>11.58</v>
      </c>
      <c r="M298" s="25">
        <v>6.73</v>
      </c>
      <c r="N298" s="25">
        <f t="shared" si="55"/>
        <v>4.8499999999999996</v>
      </c>
      <c r="O298" s="25" t="s">
        <v>592</v>
      </c>
    </row>
    <row r="299" spans="1:15" x14ac:dyDescent="0.25">
      <c r="A299" s="77">
        <v>46004</v>
      </c>
      <c r="B299" s="25" t="s">
        <v>545</v>
      </c>
      <c r="C299" s="25"/>
      <c r="D299" s="77">
        <f t="shared" si="56"/>
        <v>46027</v>
      </c>
      <c r="E299" s="77">
        <f t="shared" si="57"/>
        <v>46011</v>
      </c>
      <c r="F299" s="77">
        <f t="shared" si="58"/>
        <v>46018</v>
      </c>
      <c r="G299" s="77">
        <f t="shared" si="59"/>
        <v>46024</v>
      </c>
      <c r="H299" s="77">
        <f t="shared" si="60"/>
        <v>46012</v>
      </c>
      <c r="I299" s="77">
        <f t="shared" si="61"/>
        <v>46019</v>
      </c>
      <c r="J299" s="77">
        <v>46032</v>
      </c>
      <c r="K299" s="78">
        <f t="shared" si="54"/>
        <v>28</v>
      </c>
      <c r="L299" s="25">
        <v>12.15</v>
      </c>
      <c r="M299" s="25">
        <v>10.96</v>
      </c>
      <c r="N299" s="25">
        <f t="shared" si="55"/>
        <v>1.1899999999999995</v>
      </c>
      <c r="O299" s="25" t="s">
        <v>593</v>
      </c>
    </row>
    <row r="300" spans="1:15" x14ac:dyDescent="0.25">
      <c r="A300" s="77">
        <v>46004</v>
      </c>
      <c r="B300" s="25" t="s">
        <v>546</v>
      </c>
      <c r="C300" s="25"/>
      <c r="D300" s="77">
        <f t="shared" si="56"/>
        <v>46027</v>
      </c>
      <c r="E300" s="77">
        <f t="shared" si="57"/>
        <v>46011</v>
      </c>
      <c r="F300" s="77">
        <f t="shared" si="58"/>
        <v>46018</v>
      </c>
      <c r="G300" s="77">
        <f t="shared" si="59"/>
        <v>46024</v>
      </c>
      <c r="H300" s="77">
        <f t="shared" si="60"/>
        <v>46012</v>
      </c>
      <c r="I300" s="77">
        <f t="shared" si="61"/>
        <v>46019</v>
      </c>
      <c r="J300" s="77">
        <v>46032</v>
      </c>
      <c r="K300" s="78">
        <f t="shared" si="54"/>
        <v>28</v>
      </c>
      <c r="L300" s="25">
        <v>12.91</v>
      </c>
      <c r="M300" s="25">
        <v>11.81</v>
      </c>
      <c r="N300" s="25">
        <f t="shared" si="55"/>
        <v>1.0999999999999996</v>
      </c>
      <c r="O300" s="25" t="s">
        <v>593</v>
      </c>
    </row>
    <row r="301" spans="1:15" x14ac:dyDescent="0.25">
      <c r="A301" s="77">
        <v>46004</v>
      </c>
      <c r="B301" s="25" t="s">
        <v>547</v>
      </c>
      <c r="C301" s="25"/>
      <c r="D301" s="77">
        <f t="shared" si="56"/>
        <v>46027</v>
      </c>
      <c r="E301" s="77">
        <f t="shared" si="57"/>
        <v>46011</v>
      </c>
      <c r="F301" s="77">
        <f t="shared" si="58"/>
        <v>46018</v>
      </c>
      <c r="G301" s="77">
        <f t="shared" si="59"/>
        <v>46024</v>
      </c>
      <c r="H301" s="77">
        <f t="shared" si="60"/>
        <v>46012</v>
      </c>
      <c r="I301" s="77">
        <f t="shared" si="61"/>
        <v>46019</v>
      </c>
      <c r="J301" s="77">
        <v>46032</v>
      </c>
      <c r="K301" s="78">
        <f t="shared" si="54"/>
        <v>28</v>
      </c>
      <c r="L301" s="25">
        <v>11.86</v>
      </c>
      <c r="M301" s="25">
        <v>10.54</v>
      </c>
      <c r="N301" s="25">
        <f t="shared" si="55"/>
        <v>1.3200000000000003</v>
      </c>
      <c r="O301" s="25" t="s">
        <v>593</v>
      </c>
    </row>
    <row r="302" spans="1:15" x14ac:dyDescent="0.25">
      <c r="A302" s="77">
        <v>46004</v>
      </c>
      <c r="B302" s="25" t="s">
        <v>548</v>
      </c>
      <c r="C302" s="25"/>
      <c r="D302" s="77">
        <f t="shared" si="56"/>
        <v>46027</v>
      </c>
      <c r="E302" s="77">
        <f t="shared" si="57"/>
        <v>46011</v>
      </c>
      <c r="F302" s="77">
        <f t="shared" si="58"/>
        <v>46018</v>
      </c>
      <c r="G302" s="77">
        <f t="shared" si="59"/>
        <v>46024</v>
      </c>
      <c r="H302" s="77">
        <f t="shared" si="60"/>
        <v>46012</v>
      </c>
      <c r="I302" s="77">
        <f t="shared" si="61"/>
        <v>46019</v>
      </c>
      <c r="J302" s="77">
        <v>46032</v>
      </c>
      <c r="K302" s="78">
        <f t="shared" si="54"/>
        <v>28</v>
      </c>
      <c r="L302" s="25">
        <v>11.17</v>
      </c>
      <c r="M302" s="25">
        <v>9.2799999999999994</v>
      </c>
      <c r="N302" s="25">
        <f t="shared" si="55"/>
        <v>1.8900000000000006</v>
      </c>
      <c r="O302" s="25" t="s">
        <v>593</v>
      </c>
    </row>
    <row r="303" spans="1:15" x14ac:dyDescent="0.25">
      <c r="A303" s="77">
        <v>46004</v>
      </c>
      <c r="B303" s="25" t="s">
        <v>549</v>
      </c>
      <c r="C303" s="25"/>
      <c r="D303" s="77">
        <f t="shared" si="56"/>
        <v>46027</v>
      </c>
      <c r="E303" s="77">
        <f t="shared" si="57"/>
        <v>46011</v>
      </c>
      <c r="F303" s="77">
        <f t="shared" si="58"/>
        <v>46018</v>
      </c>
      <c r="G303" s="77">
        <f t="shared" si="59"/>
        <v>46024</v>
      </c>
      <c r="H303" s="77">
        <f t="shared" si="60"/>
        <v>46012</v>
      </c>
      <c r="I303" s="77">
        <f t="shared" si="61"/>
        <v>46019</v>
      </c>
      <c r="J303" s="77">
        <v>46032</v>
      </c>
      <c r="K303" s="78">
        <f t="shared" si="54"/>
        <v>28</v>
      </c>
      <c r="L303" s="25">
        <v>10.98</v>
      </c>
      <c r="M303" s="25">
        <v>5.09</v>
      </c>
      <c r="N303" s="25">
        <f t="shared" si="55"/>
        <v>5.8900000000000006</v>
      </c>
      <c r="O303" s="25" t="s">
        <v>592</v>
      </c>
    </row>
    <row r="304" spans="1:15" x14ac:dyDescent="0.25">
      <c r="A304" s="77">
        <v>46004</v>
      </c>
      <c r="B304" s="25" t="s">
        <v>550</v>
      </c>
      <c r="C304" s="25"/>
      <c r="D304" s="77">
        <f t="shared" si="56"/>
        <v>46027</v>
      </c>
      <c r="E304" s="77">
        <f t="shared" si="57"/>
        <v>46011</v>
      </c>
      <c r="F304" s="77">
        <f t="shared" si="58"/>
        <v>46018</v>
      </c>
      <c r="G304" s="77">
        <f t="shared" si="59"/>
        <v>46024</v>
      </c>
      <c r="H304" s="77">
        <f t="shared" si="60"/>
        <v>46012</v>
      </c>
      <c r="I304" s="77">
        <f t="shared" si="61"/>
        <v>46019</v>
      </c>
      <c r="J304" s="77">
        <v>46032</v>
      </c>
      <c r="K304" s="78">
        <f t="shared" si="54"/>
        <v>28</v>
      </c>
      <c r="L304" s="25">
        <v>10.31</v>
      </c>
      <c r="M304" s="25">
        <v>4.17</v>
      </c>
      <c r="N304" s="25">
        <f t="shared" si="55"/>
        <v>6.1400000000000006</v>
      </c>
      <c r="O304" s="25" t="s">
        <v>592</v>
      </c>
    </row>
    <row r="305" spans="1:15" x14ac:dyDescent="0.25">
      <c r="A305" s="77">
        <v>46004</v>
      </c>
      <c r="B305" s="25" t="s">
        <v>551</v>
      </c>
      <c r="C305" s="25"/>
      <c r="D305" s="77">
        <f t="shared" si="56"/>
        <v>46027</v>
      </c>
      <c r="E305" s="77">
        <f t="shared" si="57"/>
        <v>46011</v>
      </c>
      <c r="F305" s="77">
        <f t="shared" si="58"/>
        <v>46018</v>
      </c>
      <c r="G305" s="77">
        <f t="shared" si="59"/>
        <v>46024</v>
      </c>
      <c r="H305" s="77">
        <f t="shared" si="60"/>
        <v>46012</v>
      </c>
      <c r="I305" s="77">
        <f t="shared" si="61"/>
        <v>46019</v>
      </c>
      <c r="J305" s="77">
        <v>46032</v>
      </c>
      <c r="K305" s="78">
        <f t="shared" si="54"/>
        <v>28</v>
      </c>
      <c r="L305" s="25">
        <v>11.45</v>
      </c>
      <c r="M305" s="25">
        <v>5.26</v>
      </c>
      <c r="N305" s="25">
        <f t="shared" si="55"/>
        <v>6.1899999999999995</v>
      </c>
      <c r="O305" s="25" t="s">
        <v>592</v>
      </c>
    </row>
    <row r="306" spans="1:15" x14ac:dyDescent="0.25">
      <c r="A306" s="77">
        <v>46005</v>
      </c>
      <c r="B306" s="25" t="s">
        <v>537</v>
      </c>
      <c r="C306" s="25"/>
      <c r="D306" s="77">
        <f t="shared" si="56"/>
        <v>46028</v>
      </c>
      <c r="E306" s="77">
        <f t="shared" si="57"/>
        <v>46012</v>
      </c>
      <c r="F306" s="77">
        <f t="shared" si="58"/>
        <v>46019</v>
      </c>
      <c r="G306" s="77">
        <f t="shared" si="59"/>
        <v>46025</v>
      </c>
      <c r="H306" s="77">
        <f t="shared" si="60"/>
        <v>46013</v>
      </c>
      <c r="I306" s="77">
        <f t="shared" si="61"/>
        <v>46020</v>
      </c>
      <c r="J306" s="77">
        <v>46033</v>
      </c>
      <c r="K306" s="78">
        <f t="shared" si="54"/>
        <v>28</v>
      </c>
      <c r="L306" s="25">
        <v>12.07</v>
      </c>
      <c r="M306" s="25">
        <v>10.78</v>
      </c>
      <c r="N306" s="25">
        <f t="shared" si="55"/>
        <v>1.2900000000000009</v>
      </c>
      <c r="O306" s="25" t="s">
        <v>593</v>
      </c>
    </row>
    <row r="307" spans="1:15" x14ac:dyDescent="0.25">
      <c r="A307" s="77">
        <v>46005</v>
      </c>
      <c r="B307" s="25" t="s">
        <v>538</v>
      </c>
      <c r="C307" s="25"/>
      <c r="D307" s="77">
        <f t="shared" si="56"/>
        <v>46028</v>
      </c>
      <c r="E307" s="77">
        <f t="shared" si="57"/>
        <v>46012</v>
      </c>
      <c r="F307" s="77">
        <f t="shared" si="58"/>
        <v>46019</v>
      </c>
      <c r="G307" s="77">
        <f t="shared" si="59"/>
        <v>46025</v>
      </c>
      <c r="H307" s="77">
        <f t="shared" si="60"/>
        <v>46013</v>
      </c>
      <c r="I307" s="77">
        <f t="shared" si="61"/>
        <v>46020</v>
      </c>
      <c r="J307" s="77">
        <v>46033</v>
      </c>
      <c r="K307" s="78">
        <f t="shared" si="54"/>
        <v>28</v>
      </c>
      <c r="L307" s="25">
        <v>12.51</v>
      </c>
      <c r="M307" s="25">
        <v>11.89</v>
      </c>
      <c r="N307" s="25">
        <f t="shared" si="55"/>
        <v>0.61999999999999922</v>
      </c>
      <c r="O307" s="25" t="s">
        <v>593</v>
      </c>
    </row>
    <row r="308" spans="1:15" x14ac:dyDescent="0.25">
      <c r="A308" s="77">
        <v>46005</v>
      </c>
      <c r="B308" s="25" t="s">
        <v>539</v>
      </c>
      <c r="C308" s="25"/>
      <c r="D308" s="77">
        <f t="shared" si="56"/>
        <v>46028</v>
      </c>
      <c r="E308" s="77">
        <f t="shared" si="57"/>
        <v>46012</v>
      </c>
      <c r="F308" s="77">
        <f t="shared" si="58"/>
        <v>46019</v>
      </c>
      <c r="G308" s="77">
        <f t="shared" si="59"/>
        <v>46025</v>
      </c>
      <c r="H308" s="77">
        <f t="shared" si="60"/>
        <v>46013</v>
      </c>
      <c r="I308" s="77">
        <f t="shared" si="61"/>
        <v>46020</v>
      </c>
      <c r="J308" s="77">
        <v>46033</v>
      </c>
      <c r="K308" s="78">
        <f t="shared" si="54"/>
        <v>28</v>
      </c>
      <c r="L308" s="25">
        <v>14.98</v>
      </c>
      <c r="M308" s="25">
        <v>13.51</v>
      </c>
      <c r="N308" s="25">
        <f t="shared" si="55"/>
        <v>1.4700000000000006</v>
      </c>
      <c r="O308" s="25" t="s">
        <v>593</v>
      </c>
    </row>
    <row r="309" spans="1:15" x14ac:dyDescent="0.25">
      <c r="A309" s="77">
        <v>46005</v>
      </c>
      <c r="B309" s="25" t="s">
        <v>540</v>
      </c>
      <c r="C309" s="25"/>
      <c r="D309" s="77">
        <f t="shared" si="56"/>
        <v>46028</v>
      </c>
      <c r="E309" s="77">
        <f t="shared" si="57"/>
        <v>46012</v>
      </c>
      <c r="F309" s="77">
        <f t="shared" si="58"/>
        <v>46019</v>
      </c>
      <c r="G309" s="77">
        <f t="shared" si="59"/>
        <v>46025</v>
      </c>
      <c r="H309" s="77">
        <f t="shared" si="60"/>
        <v>46013</v>
      </c>
      <c r="I309" s="77">
        <f t="shared" si="61"/>
        <v>46020</v>
      </c>
      <c r="J309" s="77">
        <v>46033</v>
      </c>
      <c r="K309" s="78">
        <f t="shared" si="54"/>
        <v>28</v>
      </c>
      <c r="L309" s="25">
        <v>14.08</v>
      </c>
      <c r="M309" s="25">
        <v>12.76</v>
      </c>
      <c r="N309" s="25">
        <f t="shared" si="55"/>
        <v>1.3200000000000003</v>
      </c>
      <c r="O309" s="25" t="s">
        <v>593</v>
      </c>
    </row>
    <row r="310" spans="1:15" x14ac:dyDescent="0.25">
      <c r="A310" s="77">
        <v>46005</v>
      </c>
      <c r="B310" s="25" t="s">
        <v>541</v>
      </c>
      <c r="C310" s="25"/>
      <c r="D310" s="77">
        <f t="shared" si="56"/>
        <v>46028</v>
      </c>
      <c r="E310" s="77">
        <f t="shared" si="57"/>
        <v>46012</v>
      </c>
      <c r="F310" s="77">
        <f t="shared" si="58"/>
        <v>46019</v>
      </c>
      <c r="G310" s="77">
        <f t="shared" si="59"/>
        <v>46025</v>
      </c>
      <c r="H310" s="77">
        <f t="shared" si="60"/>
        <v>46013</v>
      </c>
      <c r="I310" s="77">
        <f t="shared" si="61"/>
        <v>46020</v>
      </c>
      <c r="J310" s="77">
        <v>46033</v>
      </c>
      <c r="K310" s="78">
        <f t="shared" si="54"/>
        <v>28</v>
      </c>
      <c r="L310" s="25">
        <v>13.28</v>
      </c>
      <c r="M310" s="25">
        <v>6.42</v>
      </c>
      <c r="N310" s="25">
        <f t="shared" si="55"/>
        <v>6.8599999999999994</v>
      </c>
      <c r="O310" s="25" t="s">
        <v>592</v>
      </c>
    </row>
    <row r="311" spans="1:15" x14ac:dyDescent="0.25">
      <c r="A311" s="77">
        <v>46005</v>
      </c>
      <c r="B311" s="25" t="s">
        <v>542</v>
      </c>
      <c r="C311" s="25"/>
      <c r="D311" s="77">
        <f t="shared" si="56"/>
        <v>46028</v>
      </c>
      <c r="E311" s="77">
        <f t="shared" si="57"/>
        <v>46012</v>
      </c>
      <c r="F311" s="77">
        <f t="shared" si="58"/>
        <v>46019</v>
      </c>
      <c r="G311" s="77">
        <f t="shared" si="59"/>
        <v>46025</v>
      </c>
      <c r="H311" s="77">
        <f t="shared" si="60"/>
        <v>46013</v>
      </c>
      <c r="I311" s="77">
        <f t="shared" si="61"/>
        <v>46020</v>
      </c>
      <c r="J311" s="77">
        <v>46033</v>
      </c>
      <c r="K311" s="78">
        <f t="shared" si="54"/>
        <v>28</v>
      </c>
      <c r="L311" s="25">
        <v>11.13</v>
      </c>
      <c r="M311" s="25">
        <v>5.87</v>
      </c>
      <c r="N311" s="25">
        <f t="shared" si="55"/>
        <v>5.2600000000000007</v>
      </c>
      <c r="O311" s="25" t="s">
        <v>592</v>
      </c>
    </row>
    <row r="312" spans="1:15" x14ac:dyDescent="0.25">
      <c r="A312" s="77">
        <v>46005</v>
      </c>
      <c r="B312" s="25" t="s">
        <v>543</v>
      </c>
      <c r="C312" s="25"/>
      <c r="D312" s="77">
        <f t="shared" si="56"/>
        <v>46028</v>
      </c>
      <c r="E312" s="77">
        <f t="shared" si="57"/>
        <v>46012</v>
      </c>
      <c r="F312" s="77">
        <f t="shared" si="58"/>
        <v>46019</v>
      </c>
      <c r="G312" s="77">
        <f t="shared" si="59"/>
        <v>46025</v>
      </c>
      <c r="H312" s="77">
        <f t="shared" si="60"/>
        <v>46013</v>
      </c>
      <c r="I312" s="77">
        <f t="shared" si="61"/>
        <v>46020</v>
      </c>
      <c r="J312" s="77">
        <v>46033</v>
      </c>
      <c r="K312" s="78">
        <f t="shared" si="54"/>
        <v>28</v>
      </c>
      <c r="L312" s="25">
        <v>13.91</v>
      </c>
      <c r="M312" s="25">
        <v>7.11</v>
      </c>
      <c r="N312" s="25">
        <f t="shared" si="55"/>
        <v>6.8</v>
      </c>
      <c r="O312" s="25" t="s">
        <v>592</v>
      </c>
    </row>
    <row r="313" spans="1:15" x14ac:dyDescent="0.25">
      <c r="A313" s="77">
        <v>46005</v>
      </c>
      <c r="B313" s="25" t="s">
        <v>544</v>
      </c>
      <c r="C313" s="25"/>
      <c r="D313" s="77">
        <f t="shared" si="56"/>
        <v>46028</v>
      </c>
      <c r="E313" s="77">
        <f t="shared" si="57"/>
        <v>46012</v>
      </c>
      <c r="F313" s="77">
        <f t="shared" si="58"/>
        <v>46019</v>
      </c>
      <c r="G313" s="77">
        <f t="shared" si="59"/>
        <v>46025</v>
      </c>
      <c r="H313" s="77">
        <f t="shared" si="60"/>
        <v>46013</v>
      </c>
      <c r="I313" s="77">
        <f t="shared" si="61"/>
        <v>46020</v>
      </c>
      <c r="J313" s="77">
        <v>46033</v>
      </c>
      <c r="K313" s="78">
        <f t="shared" si="54"/>
        <v>28</v>
      </c>
      <c r="L313" s="25">
        <v>12.84</v>
      </c>
      <c r="M313" s="25">
        <v>6.25</v>
      </c>
      <c r="N313" s="25">
        <f t="shared" si="55"/>
        <v>6.59</v>
      </c>
      <c r="O313" s="25" t="s">
        <v>592</v>
      </c>
    </row>
    <row r="314" spans="1:15" x14ac:dyDescent="0.25">
      <c r="A314" s="77">
        <v>46006</v>
      </c>
      <c r="B314" s="25" t="s">
        <v>513</v>
      </c>
      <c r="C314" s="25"/>
      <c r="D314" s="77">
        <f t="shared" si="56"/>
        <v>46029</v>
      </c>
      <c r="E314" s="77">
        <f t="shared" si="57"/>
        <v>46013</v>
      </c>
      <c r="F314" s="77">
        <f t="shared" si="58"/>
        <v>46020</v>
      </c>
      <c r="G314" s="77">
        <f t="shared" si="59"/>
        <v>46026</v>
      </c>
      <c r="H314" s="77">
        <f t="shared" si="60"/>
        <v>46014</v>
      </c>
      <c r="I314" s="77">
        <f t="shared" si="61"/>
        <v>46021</v>
      </c>
      <c r="J314" s="77">
        <v>46034</v>
      </c>
      <c r="K314" s="78">
        <f t="shared" si="54"/>
        <v>28</v>
      </c>
      <c r="L314" s="84">
        <v>10.38</v>
      </c>
      <c r="M314" s="82">
        <v>5.17</v>
      </c>
      <c r="N314" s="25">
        <f t="shared" si="55"/>
        <v>5.2100000000000009</v>
      </c>
      <c r="O314" s="82" t="s">
        <v>592</v>
      </c>
    </row>
    <row r="315" spans="1:15" x14ac:dyDescent="0.25">
      <c r="A315" s="77">
        <v>46006</v>
      </c>
      <c r="B315" s="25" t="s">
        <v>514</v>
      </c>
      <c r="C315" s="25"/>
      <c r="D315" s="77">
        <f t="shared" si="56"/>
        <v>46029</v>
      </c>
      <c r="E315" s="77">
        <f t="shared" si="57"/>
        <v>46013</v>
      </c>
      <c r="F315" s="77">
        <f t="shared" si="58"/>
        <v>46020</v>
      </c>
      <c r="G315" s="77">
        <f t="shared" si="59"/>
        <v>46026</v>
      </c>
      <c r="H315" s="77">
        <f t="shared" si="60"/>
        <v>46014</v>
      </c>
      <c r="I315" s="77">
        <f t="shared" si="61"/>
        <v>46021</v>
      </c>
      <c r="J315" s="77">
        <v>46034</v>
      </c>
      <c r="K315" s="78">
        <f t="shared" si="54"/>
        <v>28</v>
      </c>
      <c r="L315" s="84">
        <v>11.52</v>
      </c>
      <c r="M315" s="82">
        <v>6.31</v>
      </c>
      <c r="N315" s="25">
        <f t="shared" si="55"/>
        <v>5.21</v>
      </c>
      <c r="O315" s="82" t="s">
        <v>592</v>
      </c>
    </row>
    <row r="316" spans="1:15" x14ac:dyDescent="0.25">
      <c r="A316" s="77">
        <v>46006</v>
      </c>
      <c r="B316" s="25" t="s">
        <v>515</v>
      </c>
      <c r="C316" s="25"/>
      <c r="D316" s="77">
        <f t="shared" si="56"/>
        <v>46029</v>
      </c>
      <c r="E316" s="77">
        <f t="shared" si="57"/>
        <v>46013</v>
      </c>
      <c r="F316" s="77">
        <f t="shared" si="58"/>
        <v>46020</v>
      </c>
      <c r="G316" s="77">
        <f t="shared" si="59"/>
        <v>46026</v>
      </c>
      <c r="H316" s="77">
        <f t="shared" si="60"/>
        <v>46014</v>
      </c>
      <c r="I316" s="77">
        <f t="shared" si="61"/>
        <v>46021</v>
      </c>
      <c r="J316" s="77">
        <v>46034</v>
      </c>
      <c r="K316" s="78">
        <f t="shared" ref="K316:K341" si="62">J316-A316</f>
        <v>28</v>
      </c>
      <c r="L316" s="84">
        <v>10.29</v>
      </c>
      <c r="M316" s="82">
        <v>5.0999999999999996</v>
      </c>
      <c r="N316" s="25">
        <f t="shared" ref="N316:N366" si="63">L316-M316</f>
        <v>5.1899999999999995</v>
      </c>
      <c r="O316" s="82" t="s">
        <v>592</v>
      </c>
    </row>
    <row r="317" spans="1:15" x14ac:dyDescent="0.25">
      <c r="A317" s="77">
        <v>46006</v>
      </c>
      <c r="B317" s="25" t="s">
        <v>516</v>
      </c>
      <c r="C317" s="25"/>
      <c r="D317" s="77">
        <f t="shared" si="56"/>
        <v>46029</v>
      </c>
      <c r="E317" s="77">
        <f t="shared" si="57"/>
        <v>46013</v>
      </c>
      <c r="F317" s="77">
        <f t="shared" si="58"/>
        <v>46020</v>
      </c>
      <c r="G317" s="77">
        <f t="shared" si="59"/>
        <v>46026</v>
      </c>
      <c r="H317" s="77">
        <f t="shared" si="60"/>
        <v>46014</v>
      </c>
      <c r="I317" s="77">
        <f t="shared" si="61"/>
        <v>46021</v>
      </c>
      <c r="J317" s="77">
        <v>46034</v>
      </c>
      <c r="K317" s="78">
        <f t="shared" si="62"/>
        <v>28</v>
      </c>
      <c r="L317" s="84">
        <v>10.07</v>
      </c>
      <c r="M317" s="82">
        <v>4.5199999999999996</v>
      </c>
      <c r="N317" s="25">
        <f t="shared" si="63"/>
        <v>5.5500000000000007</v>
      </c>
      <c r="O317" s="82" t="s">
        <v>592</v>
      </c>
    </row>
    <row r="318" spans="1:15" x14ac:dyDescent="0.25">
      <c r="A318" s="77">
        <v>46006</v>
      </c>
      <c r="B318" s="25" t="s">
        <v>517</v>
      </c>
      <c r="C318" s="25"/>
      <c r="D318" s="77">
        <f t="shared" si="56"/>
        <v>46029</v>
      </c>
      <c r="E318" s="77">
        <f t="shared" si="57"/>
        <v>46013</v>
      </c>
      <c r="F318" s="77">
        <f t="shared" si="58"/>
        <v>46020</v>
      </c>
      <c r="G318" s="77">
        <f t="shared" si="59"/>
        <v>46026</v>
      </c>
      <c r="H318" s="77">
        <f t="shared" si="60"/>
        <v>46014</v>
      </c>
      <c r="I318" s="77">
        <f t="shared" si="61"/>
        <v>46021</v>
      </c>
      <c r="J318" s="77">
        <v>46034</v>
      </c>
      <c r="K318" s="78">
        <f t="shared" si="62"/>
        <v>28</v>
      </c>
      <c r="L318" s="84">
        <v>13.24</v>
      </c>
      <c r="M318" s="82">
        <v>11.71</v>
      </c>
      <c r="N318" s="25">
        <f t="shared" si="63"/>
        <v>1.5299999999999994</v>
      </c>
      <c r="O318" s="82" t="s">
        <v>593</v>
      </c>
    </row>
    <row r="319" spans="1:15" x14ac:dyDescent="0.25">
      <c r="A319" s="77">
        <v>46006</v>
      </c>
      <c r="B319" s="25" t="s">
        <v>518</v>
      </c>
      <c r="C319" s="25"/>
      <c r="D319" s="77">
        <f t="shared" si="56"/>
        <v>46029</v>
      </c>
      <c r="E319" s="77">
        <f t="shared" si="57"/>
        <v>46013</v>
      </c>
      <c r="F319" s="77">
        <f t="shared" si="58"/>
        <v>46020</v>
      </c>
      <c r="G319" s="77">
        <f t="shared" si="59"/>
        <v>46026</v>
      </c>
      <c r="H319" s="77">
        <f t="shared" si="60"/>
        <v>46014</v>
      </c>
      <c r="I319" s="77">
        <f t="shared" si="61"/>
        <v>46021</v>
      </c>
      <c r="J319" s="77">
        <v>46034</v>
      </c>
      <c r="K319" s="78">
        <f t="shared" si="62"/>
        <v>28</v>
      </c>
      <c r="L319" s="84">
        <v>12.03</v>
      </c>
      <c r="M319" s="82">
        <v>10.86</v>
      </c>
      <c r="N319" s="25">
        <f t="shared" si="63"/>
        <v>1.17</v>
      </c>
      <c r="O319" s="82" t="s">
        <v>593</v>
      </c>
    </row>
    <row r="320" spans="1:15" x14ac:dyDescent="0.25">
      <c r="A320" s="77">
        <v>46006</v>
      </c>
      <c r="B320" s="25" t="s">
        <v>519</v>
      </c>
      <c r="C320" s="25"/>
      <c r="D320" s="77">
        <f t="shared" si="56"/>
        <v>46029</v>
      </c>
      <c r="E320" s="77">
        <f t="shared" si="57"/>
        <v>46013</v>
      </c>
      <c r="F320" s="77">
        <f t="shared" si="58"/>
        <v>46020</v>
      </c>
      <c r="G320" s="77">
        <f t="shared" si="59"/>
        <v>46026</v>
      </c>
      <c r="H320" s="77">
        <f t="shared" si="60"/>
        <v>46014</v>
      </c>
      <c r="I320" s="77">
        <f t="shared" si="61"/>
        <v>46021</v>
      </c>
      <c r="J320" s="77">
        <v>46034</v>
      </c>
      <c r="K320" s="78">
        <f t="shared" si="62"/>
        <v>28</v>
      </c>
      <c r="L320" s="84">
        <v>13.98</v>
      </c>
      <c r="M320" s="82">
        <v>12.14</v>
      </c>
      <c r="N320" s="25">
        <f t="shared" si="63"/>
        <v>1.8399999999999999</v>
      </c>
      <c r="O320" s="82" t="s">
        <v>593</v>
      </c>
    </row>
    <row r="321" spans="1:15" x14ac:dyDescent="0.25">
      <c r="A321" s="77">
        <v>46007</v>
      </c>
      <c r="B321" s="25" t="s">
        <v>520</v>
      </c>
      <c r="C321" s="25"/>
      <c r="D321" s="77">
        <f t="shared" si="56"/>
        <v>46030</v>
      </c>
      <c r="E321" s="77">
        <f t="shared" si="57"/>
        <v>46014</v>
      </c>
      <c r="F321" s="77">
        <f t="shared" si="58"/>
        <v>46021</v>
      </c>
      <c r="G321" s="77">
        <f t="shared" si="59"/>
        <v>46027</v>
      </c>
      <c r="H321" s="77">
        <f t="shared" si="60"/>
        <v>46015</v>
      </c>
      <c r="I321" s="77">
        <f t="shared" si="61"/>
        <v>46022</v>
      </c>
      <c r="J321" s="77">
        <v>46034</v>
      </c>
      <c r="K321" s="78">
        <f t="shared" si="62"/>
        <v>27</v>
      </c>
      <c r="L321" s="84">
        <v>12.55</v>
      </c>
      <c r="M321" s="82">
        <v>11.39</v>
      </c>
      <c r="N321" s="25">
        <f t="shared" si="63"/>
        <v>1.1600000000000001</v>
      </c>
      <c r="O321" s="82" t="s">
        <v>593</v>
      </c>
    </row>
    <row r="322" spans="1:15" x14ac:dyDescent="0.25">
      <c r="A322" s="77">
        <v>46007</v>
      </c>
      <c r="B322" s="25" t="s">
        <v>521</v>
      </c>
      <c r="C322" s="25"/>
      <c r="D322" s="77">
        <f t="shared" si="56"/>
        <v>46030</v>
      </c>
      <c r="E322" s="77">
        <f t="shared" si="57"/>
        <v>46014</v>
      </c>
      <c r="F322" s="77">
        <f t="shared" si="58"/>
        <v>46021</v>
      </c>
      <c r="G322" s="77">
        <f t="shared" si="59"/>
        <v>46027</v>
      </c>
      <c r="H322" s="77">
        <f t="shared" si="60"/>
        <v>46015</v>
      </c>
      <c r="I322" s="77">
        <f t="shared" si="61"/>
        <v>46022</v>
      </c>
      <c r="J322" s="77">
        <v>46035</v>
      </c>
      <c r="K322" s="78">
        <f t="shared" si="62"/>
        <v>28</v>
      </c>
      <c r="L322" s="84">
        <v>9.51</v>
      </c>
      <c r="M322" s="82">
        <v>4.12</v>
      </c>
      <c r="N322" s="25">
        <f t="shared" si="63"/>
        <v>5.39</v>
      </c>
      <c r="O322" s="82" t="s">
        <v>592</v>
      </c>
    </row>
    <row r="323" spans="1:15" x14ac:dyDescent="0.25">
      <c r="A323" s="77">
        <v>46007</v>
      </c>
      <c r="B323" s="25" t="s">
        <v>522</v>
      </c>
      <c r="C323" s="25"/>
      <c r="D323" s="77">
        <f t="shared" ref="D323:D334" si="64">A323+23</f>
        <v>46030</v>
      </c>
      <c r="E323" s="77">
        <f t="shared" ref="E323:E334" si="65">A323+7</f>
        <v>46014</v>
      </c>
      <c r="F323" s="77">
        <f t="shared" ref="F323:F334" si="66">A323+14</f>
        <v>46021</v>
      </c>
      <c r="G323" s="77">
        <f t="shared" ref="G323:G334" si="67">A323+20</f>
        <v>46027</v>
      </c>
      <c r="H323" s="77">
        <f t="shared" ref="H323:H334" si="68">A323+8</f>
        <v>46015</v>
      </c>
      <c r="I323" s="77">
        <f t="shared" ref="I323:I334" si="69">A323+15</f>
        <v>46022</v>
      </c>
      <c r="J323" s="77">
        <v>46035</v>
      </c>
      <c r="K323" s="78">
        <f t="shared" si="62"/>
        <v>28</v>
      </c>
      <c r="L323" s="84">
        <v>10.75</v>
      </c>
      <c r="M323" s="82">
        <v>5.24</v>
      </c>
      <c r="N323" s="25">
        <f t="shared" si="63"/>
        <v>5.51</v>
      </c>
      <c r="O323" s="82" t="s">
        <v>592</v>
      </c>
    </row>
    <row r="324" spans="1:15" x14ac:dyDescent="0.25">
      <c r="A324" s="77">
        <v>46007</v>
      </c>
      <c r="B324" s="25" t="s">
        <v>523</v>
      </c>
      <c r="C324" s="25"/>
      <c r="D324" s="77">
        <f t="shared" si="64"/>
        <v>46030</v>
      </c>
      <c r="E324" s="77">
        <f t="shared" si="65"/>
        <v>46014</v>
      </c>
      <c r="F324" s="77">
        <f t="shared" si="66"/>
        <v>46021</v>
      </c>
      <c r="G324" s="77">
        <f t="shared" si="67"/>
        <v>46027</v>
      </c>
      <c r="H324" s="77">
        <f t="shared" si="68"/>
        <v>46015</v>
      </c>
      <c r="I324" s="77">
        <f t="shared" si="69"/>
        <v>46022</v>
      </c>
      <c r="J324" s="77">
        <v>46035</v>
      </c>
      <c r="K324" s="78">
        <f t="shared" si="62"/>
        <v>28</v>
      </c>
      <c r="L324" s="84">
        <v>11.18</v>
      </c>
      <c r="M324" s="82">
        <v>5.58</v>
      </c>
      <c r="N324" s="25">
        <f t="shared" si="63"/>
        <v>5.6</v>
      </c>
      <c r="O324" s="82" t="s">
        <v>592</v>
      </c>
    </row>
    <row r="325" spans="1:15" x14ac:dyDescent="0.25">
      <c r="A325" s="77">
        <v>46007</v>
      </c>
      <c r="B325" s="25" t="s">
        <v>524</v>
      </c>
      <c r="C325" s="25"/>
      <c r="D325" s="77">
        <f t="shared" si="64"/>
        <v>46030</v>
      </c>
      <c r="E325" s="77">
        <f t="shared" si="65"/>
        <v>46014</v>
      </c>
      <c r="F325" s="77">
        <f t="shared" si="66"/>
        <v>46021</v>
      </c>
      <c r="G325" s="77">
        <f t="shared" si="67"/>
        <v>46027</v>
      </c>
      <c r="H325" s="77">
        <f t="shared" si="68"/>
        <v>46015</v>
      </c>
      <c r="I325" s="77">
        <f t="shared" si="69"/>
        <v>46022</v>
      </c>
      <c r="J325" s="77">
        <v>46035</v>
      </c>
      <c r="K325" s="78">
        <f t="shared" si="62"/>
        <v>28</v>
      </c>
      <c r="L325" s="84">
        <v>8.27</v>
      </c>
      <c r="M325" s="82">
        <v>7.17</v>
      </c>
      <c r="N325" s="25">
        <f t="shared" si="63"/>
        <v>1.0999999999999996</v>
      </c>
      <c r="O325" s="82" t="s">
        <v>593</v>
      </c>
    </row>
    <row r="326" spans="1:15" x14ac:dyDescent="0.25">
      <c r="A326" s="77">
        <v>46007</v>
      </c>
      <c r="B326" s="25" t="s">
        <v>525</v>
      </c>
      <c r="C326" s="25"/>
      <c r="D326" s="77">
        <f t="shared" si="64"/>
        <v>46030</v>
      </c>
      <c r="E326" s="77">
        <f t="shared" si="65"/>
        <v>46014</v>
      </c>
      <c r="F326" s="77">
        <f t="shared" si="66"/>
        <v>46021</v>
      </c>
      <c r="G326" s="77">
        <f t="shared" si="67"/>
        <v>46027</v>
      </c>
      <c r="H326" s="77">
        <f t="shared" si="68"/>
        <v>46015</v>
      </c>
      <c r="I326" s="77">
        <f t="shared" si="69"/>
        <v>46022</v>
      </c>
      <c r="J326" s="77">
        <v>46036</v>
      </c>
      <c r="K326" s="78">
        <f t="shared" si="62"/>
        <v>29</v>
      </c>
      <c r="L326" s="84">
        <v>9.73</v>
      </c>
      <c r="M326" s="82">
        <v>4.3</v>
      </c>
      <c r="N326" s="25">
        <f t="shared" si="63"/>
        <v>5.4300000000000006</v>
      </c>
      <c r="O326" s="82" t="s">
        <v>592</v>
      </c>
    </row>
    <row r="327" spans="1:15" x14ac:dyDescent="0.25">
      <c r="A327" s="77">
        <v>46007</v>
      </c>
      <c r="B327" s="25" t="s">
        <v>526</v>
      </c>
      <c r="C327" s="25"/>
      <c r="D327" s="77">
        <f t="shared" si="64"/>
        <v>46030</v>
      </c>
      <c r="E327" s="77">
        <f t="shared" si="65"/>
        <v>46014</v>
      </c>
      <c r="F327" s="77">
        <f t="shared" si="66"/>
        <v>46021</v>
      </c>
      <c r="G327" s="77">
        <f t="shared" si="67"/>
        <v>46027</v>
      </c>
      <c r="H327" s="77">
        <f t="shared" si="68"/>
        <v>46015</v>
      </c>
      <c r="I327" s="77">
        <f t="shared" si="69"/>
        <v>46022</v>
      </c>
      <c r="J327" s="77">
        <v>46036</v>
      </c>
      <c r="K327" s="78">
        <f t="shared" si="62"/>
        <v>29</v>
      </c>
      <c r="L327" s="84">
        <v>11.28</v>
      </c>
      <c r="M327" s="82">
        <v>5.58</v>
      </c>
      <c r="N327" s="25">
        <f t="shared" si="63"/>
        <v>5.6999999999999993</v>
      </c>
      <c r="O327" s="82" t="s">
        <v>592</v>
      </c>
    </row>
    <row r="328" spans="1:15" x14ac:dyDescent="0.25">
      <c r="A328" s="77">
        <v>46008</v>
      </c>
      <c r="B328" s="25" t="s">
        <v>527</v>
      </c>
      <c r="C328" s="25"/>
      <c r="D328" s="77">
        <f t="shared" si="64"/>
        <v>46031</v>
      </c>
      <c r="E328" s="77">
        <f t="shared" si="65"/>
        <v>46015</v>
      </c>
      <c r="F328" s="77">
        <f t="shared" si="66"/>
        <v>46022</v>
      </c>
      <c r="G328" s="77">
        <f t="shared" si="67"/>
        <v>46028</v>
      </c>
      <c r="H328" s="77">
        <f t="shared" si="68"/>
        <v>46016</v>
      </c>
      <c r="I328" s="77">
        <f t="shared" si="69"/>
        <v>46023</v>
      </c>
      <c r="J328" s="77">
        <v>46036</v>
      </c>
      <c r="K328" s="78">
        <f t="shared" si="62"/>
        <v>28</v>
      </c>
      <c r="L328" s="84">
        <v>10.91</v>
      </c>
      <c r="M328" s="82">
        <v>5.13</v>
      </c>
      <c r="N328" s="25">
        <f t="shared" si="63"/>
        <v>5.78</v>
      </c>
      <c r="O328" s="82" t="s">
        <v>592</v>
      </c>
    </row>
    <row r="329" spans="1:15" x14ac:dyDescent="0.25">
      <c r="A329" s="77">
        <v>46008</v>
      </c>
      <c r="B329" s="25" t="s">
        <v>528</v>
      </c>
      <c r="C329" s="25"/>
      <c r="D329" s="77">
        <f t="shared" si="64"/>
        <v>46031</v>
      </c>
      <c r="E329" s="77">
        <f t="shared" si="65"/>
        <v>46015</v>
      </c>
      <c r="F329" s="77">
        <f t="shared" si="66"/>
        <v>46022</v>
      </c>
      <c r="G329" s="77">
        <f t="shared" si="67"/>
        <v>46028</v>
      </c>
      <c r="H329" s="77">
        <f t="shared" si="68"/>
        <v>46016</v>
      </c>
      <c r="I329" s="77">
        <f t="shared" si="69"/>
        <v>46023</v>
      </c>
      <c r="J329" s="77">
        <v>46036</v>
      </c>
      <c r="K329" s="78">
        <f t="shared" si="62"/>
        <v>28</v>
      </c>
      <c r="L329" s="84">
        <v>10.06</v>
      </c>
      <c r="M329" s="82">
        <v>4.72</v>
      </c>
      <c r="N329" s="25">
        <f t="shared" si="63"/>
        <v>5.3400000000000007</v>
      </c>
      <c r="O329" s="82" t="s">
        <v>592</v>
      </c>
    </row>
    <row r="330" spans="1:15" x14ac:dyDescent="0.25">
      <c r="A330" s="77">
        <v>46008</v>
      </c>
      <c r="B330" s="25" t="s">
        <v>529</v>
      </c>
      <c r="C330" s="25"/>
      <c r="D330" s="77">
        <f t="shared" si="64"/>
        <v>46031</v>
      </c>
      <c r="E330" s="77">
        <f t="shared" si="65"/>
        <v>46015</v>
      </c>
      <c r="F330" s="77">
        <f t="shared" si="66"/>
        <v>46022</v>
      </c>
      <c r="G330" s="77">
        <f t="shared" si="67"/>
        <v>46028</v>
      </c>
      <c r="H330" s="77">
        <f t="shared" si="68"/>
        <v>46016</v>
      </c>
      <c r="I330" s="77">
        <f t="shared" si="69"/>
        <v>46023</v>
      </c>
      <c r="J330" s="77">
        <v>46036</v>
      </c>
      <c r="K330" s="78">
        <f t="shared" si="62"/>
        <v>28</v>
      </c>
      <c r="L330" s="84">
        <v>11.81</v>
      </c>
      <c r="M330" s="82">
        <v>10.51</v>
      </c>
      <c r="N330" s="25">
        <f t="shared" si="63"/>
        <v>1.3000000000000007</v>
      </c>
      <c r="O330" s="82" t="s">
        <v>593</v>
      </c>
    </row>
    <row r="331" spans="1:15" x14ac:dyDescent="0.25">
      <c r="A331" s="77">
        <v>46008</v>
      </c>
      <c r="B331" s="25" t="s">
        <v>530</v>
      </c>
      <c r="C331" s="25"/>
      <c r="D331" s="77">
        <f t="shared" si="64"/>
        <v>46031</v>
      </c>
      <c r="E331" s="77">
        <f t="shared" si="65"/>
        <v>46015</v>
      </c>
      <c r="F331" s="77">
        <f t="shared" si="66"/>
        <v>46022</v>
      </c>
      <c r="G331" s="77">
        <f t="shared" si="67"/>
        <v>46028</v>
      </c>
      <c r="H331" s="77">
        <f t="shared" si="68"/>
        <v>46016</v>
      </c>
      <c r="I331" s="77">
        <f t="shared" si="69"/>
        <v>46023</v>
      </c>
      <c r="J331" s="77">
        <v>46036</v>
      </c>
      <c r="K331" s="78">
        <f t="shared" si="62"/>
        <v>28</v>
      </c>
      <c r="L331" s="84">
        <v>12.75</v>
      </c>
      <c r="M331" s="82">
        <v>11.27</v>
      </c>
      <c r="N331" s="25">
        <f t="shared" si="63"/>
        <v>1.4800000000000004</v>
      </c>
      <c r="O331" s="82" t="s">
        <v>593</v>
      </c>
    </row>
    <row r="332" spans="1:15" x14ac:dyDescent="0.25">
      <c r="A332" s="77">
        <v>46008</v>
      </c>
      <c r="B332" s="25" t="s">
        <v>531</v>
      </c>
      <c r="C332" s="25"/>
      <c r="D332" s="77">
        <f t="shared" si="64"/>
        <v>46031</v>
      </c>
      <c r="E332" s="77">
        <f t="shared" si="65"/>
        <v>46015</v>
      </c>
      <c r="F332" s="77">
        <f t="shared" si="66"/>
        <v>46022</v>
      </c>
      <c r="G332" s="77">
        <f t="shared" si="67"/>
        <v>46028</v>
      </c>
      <c r="H332" s="77">
        <f t="shared" si="68"/>
        <v>46016</v>
      </c>
      <c r="I332" s="77">
        <f t="shared" si="69"/>
        <v>46023</v>
      </c>
      <c r="J332" s="77">
        <v>46036</v>
      </c>
      <c r="K332" s="78">
        <f t="shared" si="62"/>
        <v>28</v>
      </c>
      <c r="L332" s="84">
        <v>12.11</v>
      </c>
      <c r="M332" s="82">
        <v>10.73</v>
      </c>
      <c r="N332" s="25">
        <f t="shared" si="63"/>
        <v>1.379999999999999</v>
      </c>
      <c r="O332" s="82" t="s">
        <v>593</v>
      </c>
    </row>
    <row r="333" spans="1:15" x14ac:dyDescent="0.25">
      <c r="A333" s="77">
        <v>46008</v>
      </c>
      <c r="B333" s="25" t="s">
        <v>532</v>
      </c>
      <c r="C333" s="25"/>
      <c r="D333" s="77">
        <f t="shared" si="64"/>
        <v>46031</v>
      </c>
      <c r="E333" s="77">
        <f t="shared" si="65"/>
        <v>46015</v>
      </c>
      <c r="F333" s="77">
        <f t="shared" si="66"/>
        <v>46022</v>
      </c>
      <c r="G333" s="77">
        <f t="shared" si="67"/>
        <v>46028</v>
      </c>
      <c r="H333" s="77">
        <f t="shared" si="68"/>
        <v>46016</v>
      </c>
      <c r="I333" s="77">
        <f t="shared" si="69"/>
        <v>46023</v>
      </c>
      <c r="J333" s="77">
        <v>46036</v>
      </c>
      <c r="K333" s="78">
        <f t="shared" si="62"/>
        <v>28</v>
      </c>
      <c r="L333" s="84">
        <v>13.59</v>
      </c>
      <c r="M333" s="82">
        <v>12.54</v>
      </c>
      <c r="N333" s="25">
        <f t="shared" si="63"/>
        <v>1.0500000000000007</v>
      </c>
      <c r="O333" s="82" t="s">
        <v>593</v>
      </c>
    </row>
    <row r="334" spans="1:15" x14ac:dyDescent="0.25">
      <c r="A334" s="77">
        <v>46008</v>
      </c>
      <c r="B334" s="25" t="s">
        <v>533</v>
      </c>
      <c r="C334" s="25"/>
      <c r="D334" s="77">
        <f t="shared" si="64"/>
        <v>46031</v>
      </c>
      <c r="E334" s="77">
        <f t="shared" si="65"/>
        <v>46015</v>
      </c>
      <c r="F334" s="77">
        <f t="shared" si="66"/>
        <v>46022</v>
      </c>
      <c r="G334" s="77">
        <f t="shared" si="67"/>
        <v>46028</v>
      </c>
      <c r="H334" s="77">
        <f t="shared" si="68"/>
        <v>46016</v>
      </c>
      <c r="I334" s="77">
        <f t="shared" si="69"/>
        <v>46023</v>
      </c>
      <c r="J334" s="77">
        <v>46036</v>
      </c>
      <c r="K334" s="78">
        <f t="shared" si="62"/>
        <v>28</v>
      </c>
      <c r="L334" s="84">
        <v>11.42</v>
      </c>
      <c r="M334" s="82">
        <v>10.25</v>
      </c>
      <c r="N334" s="25">
        <f t="shared" si="63"/>
        <v>1.17</v>
      </c>
      <c r="O334" s="82" t="s">
        <v>593</v>
      </c>
    </row>
    <row r="335" spans="1:15" x14ac:dyDescent="0.25">
      <c r="A335" s="77">
        <v>46009</v>
      </c>
      <c r="B335" s="25" t="s">
        <v>359</v>
      </c>
      <c r="C335" s="25"/>
      <c r="D335" s="77">
        <f t="shared" ref="D335:D348" si="70">A335+23</f>
        <v>46032</v>
      </c>
      <c r="E335" s="77">
        <f t="shared" ref="E335:E348" si="71">A335+7</f>
        <v>46016</v>
      </c>
      <c r="F335" s="77">
        <f t="shared" ref="F335:F348" si="72">A335+14</f>
        <v>46023</v>
      </c>
      <c r="G335" s="77">
        <f t="shared" ref="G335:G348" si="73">A335+20</f>
        <v>46029</v>
      </c>
      <c r="H335" s="77">
        <f t="shared" ref="H335:H348" si="74">A335+8</f>
        <v>46017</v>
      </c>
      <c r="I335" s="77">
        <f t="shared" ref="I335:I348" si="75">A335+15</f>
        <v>46024</v>
      </c>
      <c r="J335" s="77">
        <v>46036</v>
      </c>
      <c r="K335" s="78">
        <f t="shared" si="62"/>
        <v>27</v>
      </c>
      <c r="L335" s="84">
        <v>14.66</v>
      </c>
      <c r="M335" s="82">
        <v>13.86</v>
      </c>
      <c r="N335" s="25">
        <f t="shared" si="63"/>
        <v>0.80000000000000071</v>
      </c>
      <c r="O335" s="82" t="s">
        <v>593</v>
      </c>
    </row>
    <row r="336" spans="1:15" x14ac:dyDescent="0.25">
      <c r="A336" s="77">
        <v>46009</v>
      </c>
      <c r="B336" s="25" t="s">
        <v>360</v>
      </c>
      <c r="C336" s="25"/>
      <c r="D336" s="77">
        <f t="shared" si="70"/>
        <v>46032</v>
      </c>
      <c r="E336" s="77">
        <f t="shared" si="71"/>
        <v>46016</v>
      </c>
      <c r="F336" s="77">
        <f t="shared" si="72"/>
        <v>46023</v>
      </c>
      <c r="G336" s="77">
        <f t="shared" si="73"/>
        <v>46029</v>
      </c>
      <c r="H336" s="77">
        <f t="shared" si="74"/>
        <v>46017</v>
      </c>
      <c r="I336" s="77">
        <f t="shared" si="75"/>
        <v>46024</v>
      </c>
      <c r="J336" s="77">
        <v>46037</v>
      </c>
      <c r="K336" s="78">
        <f t="shared" si="62"/>
        <v>28</v>
      </c>
      <c r="L336" s="84">
        <v>15.24</v>
      </c>
      <c r="M336" s="82">
        <v>7.38</v>
      </c>
      <c r="N336" s="25">
        <f t="shared" si="63"/>
        <v>7.86</v>
      </c>
      <c r="O336" s="82" t="s">
        <v>592</v>
      </c>
    </row>
    <row r="337" spans="1:15" x14ac:dyDescent="0.25">
      <c r="A337" s="77">
        <v>46009</v>
      </c>
      <c r="B337" s="25" t="s">
        <v>361</v>
      </c>
      <c r="C337" s="25"/>
      <c r="D337" s="77">
        <f t="shared" si="70"/>
        <v>46032</v>
      </c>
      <c r="E337" s="77">
        <f t="shared" si="71"/>
        <v>46016</v>
      </c>
      <c r="F337" s="77">
        <f t="shared" si="72"/>
        <v>46023</v>
      </c>
      <c r="G337" s="77">
        <f t="shared" si="73"/>
        <v>46029</v>
      </c>
      <c r="H337" s="77">
        <f t="shared" si="74"/>
        <v>46017</v>
      </c>
      <c r="I337" s="77">
        <f t="shared" si="75"/>
        <v>46024</v>
      </c>
      <c r="J337" s="77">
        <v>46037</v>
      </c>
      <c r="K337" s="78">
        <f t="shared" si="62"/>
        <v>28</v>
      </c>
      <c r="L337" s="84">
        <v>16.59</v>
      </c>
      <c r="M337" s="82">
        <v>8.86</v>
      </c>
      <c r="N337" s="25">
        <f t="shared" si="63"/>
        <v>7.73</v>
      </c>
      <c r="O337" s="82" t="s">
        <v>592</v>
      </c>
    </row>
    <row r="338" spans="1:15" x14ac:dyDescent="0.25">
      <c r="A338" s="77">
        <v>46009</v>
      </c>
      <c r="B338" s="25" t="s">
        <v>362</v>
      </c>
      <c r="C338" s="25"/>
      <c r="D338" s="77">
        <f t="shared" si="70"/>
        <v>46032</v>
      </c>
      <c r="E338" s="77">
        <f t="shared" si="71"/>
        <v>46016</v>
      </c>
      <c r="F338" s="77">
        <f t="shared" si="72"/>
        <v>46023</v>
      </c>
      <c r="G338" s="77">
        <f t="shared" si="73"/>
        <v>46029</v>
      </c>
      <c r="H338" s="77">
        <f t="shared" si="74"/>
        <v>46017</v>
      </c>
      <c r="I338" s="77">
        <f t="shared" si="75"/>
        <v>46024</v>
      </c>
      <c r="J338" s="77">
        <v>46037</v>
      </c>
      <c r="K338" s="78">
        <f t="shared" si="62"/>
        <v>28</v>
      </c>
      <c r="L338" s="84">
        <v>15.82</v>
      </c>
      <c r="M338" s="82">
        <v>14.96</v>
      </c>
      <c r="N338" s="25">
        <f t="shared" si="63"/>
        <v>0.85999999999999943</v>
      </c>
      <c r="O338" s="82" t="s">
        <v>593</v>
      </c>
    </row>
    <row r="339" spans="1:15" x14ac:dyDescent="0.25">
      <c r="A339" s="77">
        <v>46009</v>
      </c>
      <c r="B339" s="25" t="s">
        <v>363</v>
      </c>
      <c r="C339" s="25"/>
      <c r="D339" s="77">
        <f t="shared" si="70"/>
        <v>46032</v>
      </c>
      <c r="E339" s="77">
        <f t="shared" si="71"/>
        <v>46016</v>
      </c>
      <c r="F339" s="77">
        <f t="shared" si="72"/>
        <v>46023</v>
      </c>
      <c r="G339" s="77">
        <f t="shared" si="73"/>
        <v>46029</v>
      </c>
      <c r="H339" s="77">
        <f t="shared" si="74"/>
        <v>46017</v>
      </c>
      <c r="I339" s="77">
        <f t="shared" si="75"/>
        <v>46024</v>
      </c>
      <c r="J339" s="77">
        <v>46037</v>
      </c>
      <c r="K339" s="78">
        <f t="shared" si="62"/>
        <v>28</v>
      </c>
      <c r="L339" s="84">
        <v>18.16</v>
      </c>
      <c r="M339" s="82">
        <v>16.579999999999998</v>
      </c>
      <c r="N339" s="25">
        <f t="shared" si="63"/>
        <v>1.5800000000000018</v>
      </c>
      <c r="O339" s="82" t="s">
        <v>593</v>
      </c>
    </row>
    <row r="340" spans="1:15" x14ac:dyDescent="0.25">
      <c r="A340" s="77">
        <v>46009</v>
      </c>
      <c r="B340" s="25" t="s">
        <v>364</v>
      </c>
      <c r="C340" s="25"/>
      <c r="D340" s="77">
        <f t="shared" si="70"/>
        <v>46032</v>
      </c>
      <c r="E340" s="77">
        <f t="shared" si="71"/>
        <v>46016</v>
      </c>
      <c r="F340" s="77">
        <f t="shared" si="72"/>
        <v>46023</v>
      </c>
      <c r="G340" s="77">
        <f t="shared" si="73"/>
        <v>46029</v>
      </c>
      <c r="H340" s="77">
        <f t="shared" si="74"/>
        <v>46017</v>
      </c>
      <c r="I340" s="77">
        <f t="shared" si="75"/>
        <v>46024</v>
      </c>
      <c r="J340" s="77">
        <v>46037</v>
      </c>
      <c r="K340" s="78">
        <f t="shared" si="62"/>
        <v>28</v>
      </c>
      <c r="L340" s="84">
        <v>16.37</v>
      </c>
      <c r="M340" s="82">
        <v>15.49</v>
      </c>
      <c r="N340" s="25">
        <f t="shared" si="63"/>
        <v>0.88000000000000078</v>
      </c>
      <c r="O340" s="82" t="s">
        <v>593</v>
      </c>
    </row>
    <row r="341" spans="1:15" x14ac:dyDescent="0.25">
      <c r="A341" s="77">
        <v>46009</v>
      </c>
      <c r="B341" s="25" t="s">
        <v>365</v>
      </c>
      <c r="C341" s="25"/>
      <c r="D341" s="77">
        <f t="shared" si="70"/>
        <v>46032</v>
      </c>
      <c r="E341" s="77">
        <f t="shared" si="71"/>
        <v>46016</v>
      </c>
      <c r="F341" s="77">
        <f t="shared" si="72"/>
        <v>46023</v>
      </c>
      <c r="G341" s="77">
        <f t="shared" si="73"/>
        <v>46029</v>
      </c>
      <c r="H341" s="77">
        <f t="shared" si="74"/>
        <v>46017</v>
      </c>
      <c r="I341" s="77">
        <f t="shared" si="75"/>
        <v>46024</v>
      </c>
      <c r="J341" s="77">
        <v>46038</v>
      </c>
      <c r="K341" s="78">
        <f t="shared" si="62"/>
        <v>29</v>
      </c>
      <c r="L341" s="84">
        <v>13.71</v>
      </c>
      <c r="M341" s="82">
        <v>6.26</v>
      </c>
      <c r="N341" s="25">
        <f t="shared" si="63"/>
        <v>7.4500000000000011</v>
      </c>
      <c r="O341" s="82" t="s">
        <v>592</v>
      </c>
    </row>
    <row r="342" spans="1:15" x14ac:dyDescent="0.25">
      <c r="A342" s="77">
        <v>46010</v>
      </c>
      <c r="B342" s="25" t="s">
        <v>379</v>
      </c>
      <c r="C342" s="25"/>
      <c r="D342" s="77">
        <f t="shared" si="70"/>
        <v>46033</v>
      </c>
      <c r="E342" s="77">
        <f t="shared" si="71"/>
        <v>46017</v>
      </c>
      <c r="F342" s="77">
        <f t="shared" si="72"/>
        <v>46024</v>
      </c>
      <c r="G342" s="77">
        <f t="shared" si="73"/>
        <v>46030</v>
      </c>
      <c r="H342" s="77">
        <f t="shared" si="74"/>
        <v>46018</v>
      </c>
      <c r="I342" s="77">
        <f t="shared" si="75"/>
        <v>46025</v>
      </c>
      <c r="J342" s="77">
        <v>46038</v>
      </c>
      <c r="K342" s="78">
        <f t="shared" ref="K342:K349" si="76">J342-A342</f>
        <v>28</v>
      </c>
      <c r="L342" s="84">
        <v>13.68</v>
      </c>
      <c r="M342" s="82">
        <v>6.21</v>
      </c>
      <c r="N342" s="25">
        <f t="shared" si="63"/>
        <v>7.47</v>
      </c>
      <c r="O342" s="82" t="s">
        <v>592</v>
      </c>
    </row>
    <row r="343" spans="1:15" x14ac:dyDescent="0.25">
      <c r="A343" s="77">
        <v>46010</v>
      </c>
      <c r="B343" s="25" t="s">
        <v>380</v>
      </c>
      <c r="C343" s="25"/>
      <c r="D343" s="77">
        <f t="shared" si="70"/>
        <v>46033</v>
      </c>
      <c r="E343" s="77">
        <f t="shared" si="71"/>
        <v>46017</v>
      </c>
      <c r="F343" s="77">
        <f t="shared" si="72"/>
        <v>46024</v>
      </c>
      <c r="G343" s="77">
        <f t="shared" si="73"/>
        <v>46030</v>
      </c>
      <c r="H343" s="77">
        <f t="shared" si="74"/>
        <v>46018</v>
      </c>
      <c r="I343" s="77">
        <f t="shared" si="75"/>
        <v>46025</v>
      </c>
      <c r="J343" s="77">
        <v>46038</v>
      </c>
      <c r="K343" s="78">
        <f t="shared" si="76"/>
        <v>28</v>
      </c>
      <c r="L343" s="84">
        <v>15.26</v>
      </c>
      <c r="M343" s="82">
        <v>7.1</v>
      </c>
      <c r="N343" s="25">
        <f t="shared" si="63"/>
        <v>8.16</v>
      </c>
      <c r="O343" s="82" t="s">
        <v>592</v>
      </c>
    </row>
    <row r="344" spans="1:15" x14ac:dyDescent="0.25">
      <c r="A344" s="77">
        <v>46010</v>
      </c>
      <c r="B344" s="25" t="s">
        <v>381</v>
      </c>
      <c r="C344" s="25"/>
      <c r="D344" s="77">
        <f t="shared" si="70"/>
        <v>46033</v>
      </c>
      <c r="E344" s="77">
        <f t="shared" si="71"/>
        <v>46017</v>
      </c>
      <c r="F344" s="77">
        <f t="shared" si="72"/>
        <v>46024</v>
      </c>
      <c r="G344" s="77">
        <f t="shared" si="73"/>
        <v>46030</v>
      </c>
      <c r="H344" s="77">
        <f t="shared" si="74"/>
        <v>46018</v>
      </c>
      <c r="I344" s="77">
        <f t="shared" si="75"/>
        <v>46025</v>
      </c>
      <c r="J344" s="77">
        <v>46038</v>
      </c>
      <c r="K344" s="78">
        <f t="shared" si="76"/>
        <v>28</v>
      </c>
      <c r="L344" s="84">
        <v>15.34</v>
      </c>
      <c r="M344" s="82">
        <v>7.13</v>
      </c>
      <c r="N344" s="25">
        <f t="shared" si="63"/>
        <v>8.2100000000000009</v>
      </c>
      <c r="O344" s="82" t="s">
        <v>592</v>
      </c>
    </row>
    <row r="345" spans="1:15" x14ac:dyDescent="0.25">
      <c r="A345" s="77">
        <v>46010</v>
      </c>
      <c r="B345" s="25" t="s">
        <v>382</v>
      </c>
      <c r="C345" s="25"/>
      <c r="D345" s="77">
        <f t="shared" si="70"/>
        <v>46033</v>
      </c>
      <c r="E345" s="77">
        <f t="shared" si="71"/>
        <v>46017</v>
      </c>
      <c r="F345" s="77">
        <f t="shared" si="72"/>
        <v>46024</v>
      </c>
      <c r="G345" s="77">
        <f t="shared" si="73"/>
        <v>46030</v>
      </c>
      <c r="H345" s="77">
        <f t="shared" si="74"/>
        <v>46018</v>
      </c>
      <c r="I345" s="77">
        <f t="shared" si="75"/>
        <v>46025</v>
      </c>
      <c r="J345" s="77">
        <v>46038</v>
      </c>
      <c r="K345" s="78">
        <f t="shared" si="76"/>
        <v>28</v>
      </c>
      <c r="L345" s="84">
        <v>15.67</v>
      </c>
      <c r="M345" s="82">
        <v>14.32</v>
      </c>
      <c r="N345" s="25">
        <f t="shared" si="63"/>
        <v>1.3499999999999996</v>
      </c>
      <c r="O345" s="82" t="s">
        <v>593</v>
      </c>
    </row>
    <row r="346" spans="1:15" x14ac:dyDescent="0.25">
      <c r="A346" s="77">
        <v>46010</v>
      </c>
      <c r="B346" s="25" t="s">
        <v>383</v>
      </c>
      <c r="C346" s="25"/>
      <c r="D346" s="77">
        <f t="shared" si="70"/>
        <v>46033</v>
      </c>
      <c r="E346" s="77">
        <f t="shared" si="71"/>
        <v>46017</v>
      </c>
      <c r="F346" s="77">
        <f t="shared" si="72"/>
        <v>46024</v>
      </c>
      <c r="G346" s="77">
        <f t="shared" si="73"/>
        <v>46030</v>
      </c>
      <c r="H346" s="77">
        <f t="shared" si="74"/>
        <v>46018</v>
      </c>
      <c r="I346" s="77">
        <f t="shared" si="75"/>
        <v>46025</v>
      </c>
      <c r="J346" s="77">
        <v>46038</v>
      </c>
      <c r="K346" s="78">
        <f t="shared" si="76"/>
        <v>28</v>
      </c>
      <c r="L346" s="84">
        <v>16.12</v>
      </c>
      <c r="M346" s="82">
        <v>14.78</v>
      </c>
      <c r="N346" s="25">
        <f t="shared" si="63"/>
        <v>1.3400000000000016</v>
      </c>
      <c r="O346" s="82" t="s">
        <v>593</v>
      </c>
    </row>
    <row r="347" spans="1:15" x14ac:dyDescent="0.25">
      <c r="A347" s="77">
        <v>46010</v>
      </c>
      <c r="B347" s="25" t="s">
        <v>384</v>
      </c>
      <c r="C347" s="25"/>
      <c r="D347" s="77">
        <f t="shared" si="70"/>
        <v>46033</v>
      </c>
      <c r="E347" s="77">
        <f t="shared" si="71"/>
        <v>46017</v>
      </c>
      <c r="F347" s="77">
        <f t="shared" si="72"/>
        <v>46024</v>
      </c>
      <c r="G347" s="77">
        <f t="shared" si="73"/>
        <v>46030</v>
      </c>
      <c r="H347" s="77">
        <f t="shared" si="74"/>
        <v>46018</v>
      </c>
      <c r="I347" s="77">
        <f t="shared" si="75"/>
        <v>46025</v>
      </c>
      <c r="J347" s="77">
        <v>46038</v>
      </c>
      <c r="K347" s="78">
        <f t="shared" si="76"/>
        <v>28</v>
      </c>
      <c r="L347" s="84">
        <v>16.18</v>
      </c>
      <c r="M347" s="82">
        <v>15.03</v>
      </c>
      <c r="N347" s="25">
        <f t="shared" si="63"/>
        <v>1.1500000000000004</v>
      </c>
      <c r="O347" s="82" t="s">
        <v>593</v>
      </c>
    </row>
    <row r="348" spans="1:15" x14ac:dyDescent="0.25">
      <c r="A348" s="77">
        <v>46010</v>
      </c>
      <c r="B348" s="25" t="s">
        <v>385</v>
      </c>
      <c r="C348" s="25"/>
      <c r="D348" s="77">
        <f t="shared" si="70"/>
        <v>46033</v>
      </c>
      <c r="E348" s="77">
        <f t="shared" si="71"/>
        <v>46017</v>
      </c>
      <c r="F348" s="77">
        <f t="shared" si="72"/>
        <v>46024</v>
      </c>
      <c r="G348" s="77">
        <f t="shared" si="73"/>
        <v>46030</v>
      </c>
      <c r="H348" s="77">
        <f t="shared" si="74"/>
        <v>46018</v>
      </c>
      <c r="I348" s="77">
        <f t="shared" si="75"/>
        <v>46025</v>
      </c>
      <c r="J348" s="77">
        <v>46038</v>
      </c>
      <c r="K348" s="78">
        <f t="shared" si="76"/>
        <v>28</v>
      </c>
      <c r="L348" s="84">
        <v>17.059999999999999</v>
      </c>
      <c r="M348" s="82">
        <v>15.27</v>
      </c>
      <c r="N348" s="25">
        <f t="shared" si="63"/>
        <v>1.7899999999999991</v>
      </c>
      <c r="O348" s="82" t="s">
        <v>593</v>
      </c>
    </row>
    <row r="349" spans="1:15" x14ac:dyDescent="0.25">
      <c r="A349" s="77">
        <v>46011</v>
      </c>
      <c r="B349" s="25" t="s">
        <v>366</v>
      </c>
      <c r="C349" s="25"/>
      <c r="D349" s="77">
        <f t="shared" ref="D349:D362" si="77">A349+23</f>
        <v>46034</v>
      </c>
      <c r="E349" s="77">
        <f t="shared" ref="E349:E362" si="78">A349+7</f>
        <v>46018</v>
      </c>
      <c r="F349" s="77">
        <f t="shared" ref="F349:F362" si="79">A349+14</f>
        <v>46025</v>
      </c>
      <c r="G349" s="77">
        <f t="shared" ref="G349:G362" si="80">A349+20</f>
        <v>46031</v>
      </c>
      <c r="H349" s="77">
        <f t="shared" ref="H349:H362" si="81">A349+8</f>
        <v>46019</v>
      </c>
      <c r="I349" s="77">
        <f t="shared" ref="I349:I362" si="82">A349+15</f>
        <v>46026</v>
      </c>
      <c r="J349" s="77">
        <v>46039</v>
      </c>
      <c r="K349" s="78">
        <f t="shared" si="76"/>
        <v>28</v>
      </c>
      <c r="L349" s="84">
        <v>14.3</v>
      </c>
      <c r="M349" s="82">
        <v>7.58</v>
      </c>
      <c r="N349" s="25">
        <f t="shared" si="63"/>
        <v>6.7200000000000006</v>
      </c>
      <c r="O349" s="82" t="s">
        <v>592</v>
      </c>
    </row>
    <row r="350" spans="1:15" x14ac:dyDescent="0.25">
      <c r="A350" s="77">
        <v>46011</v>
      </c>
      <c r="B350" s="25" t="s">
        <v>367</v>
      </c>
      <c r="C350" s="25"/>
      <c r="D350" s="77">
        <f t="shared" si="77"/>
        <v>46034</v>
      </c>
      <c r="E350" s="77">
        <f t="shared" si="78"/>
        <v>46018</v>
      </c>
      <c r="F350" s="77">
        <f t="shared" si="79"/>
        <v>46025</v>
      </c>
      <c r="G350" s="77">
        <f t="shared" si="80"/>
        <v>46031</v>
      </c>
      <c r="H350" s="77">
        <f t="shared" si="81"/>
        <v>46019</v>
      </c>
      <c r="I350" s="77">
        <f t="shared" si="82"/>
        <v>46026</v>
      </c>
      <c r="J350" s="77">
        <v>46039</v>
      </c>
      <c r="K350" s="78">
        <f>J350-A350</f>
        <v>28</v>
      </c>
      <c r="L350" s="84">
        <v>15.28</v>
      </c>
      <c r="M350" s="82">
        <v>8.69</v>
      </c>
      <c r="N350" s="25">
        <f t="shared" si="63"/>
        <v>6.59</v>
      </c>
      <c r="O350" s="82" t="s">
        <v>592</v>
      </c>
    </row>
    <row r="351" spans="1:15" x14ac:dyDescent="0.25">
      <c r="A351" s="77">
        <v>46011</v>
      </c>
      <c r="B351" s="25" t="s">
        <v>368</v>
      </c>
      <c r="C351" s="25"/>
      <c r="D351" s="77">
        <f t="shared" si="77"/>
        <v>46034</v>
      </c>
      <c r="E351" s="77">
        <f t="shared" si="78"/>
        <v>46018</v>
      </c>
      <c r="F351" s="77">
        <f t="shared" si="79"/>
        <v>46025</v>
      </c>
      <c r="G351" s="77">
        <f t="shared" si="80"/>
        <v>46031</v>
      </c>
      <c r="H351" s="77">
        <f t="shared" si="81"/>
        <v>46019</v>
      </c>
      <c r="I351" s="77">
        <f t="shared" si="82"/>
        <v>46026</v>
      </c>
      <c r="J351" s="77">
        <v>46039</v>
      </c>
      <c r="K351" s="78">
        <f>J351-A351</f>
        <v>28</v>
      </c>
      <c r="L351" s="84">
        <v>15.45</v>
      </c>
      <c r="M351" s="82">
        <v>8.7100000000000009</v>
      </c>
      <c r="N351" s="25">
        <f t="shared" si="63"/>
        <v>6.7399999999999984</v>
      </c>
      <c r="O351" s="82" t="s">
        <v>592</v>
      </c>
    </row>
    <row r="352" spans="1:15" x14ac:dyDescent="0.25">
      <c r="A352" s="77">
        <v>46011</v>
      </c>
      <c r="B352" s="25" t="s">
        <v>369</v>
      </c>
      <c r="C352" s="25"/>
      <c r="D352" s="77">
        <f t="shared" si="77"/>
        <v>46034</v>
      </c>
      <c r="E352" s="77">
        <f t="shared" si="78"/>
        <v>46018</v>
      </c>
      <c r="F352" s="77">
        <f t="shared" si="79"/>
        <v>46025</v>
      </c>
      <c r="G352" s="77">
        <f t="shared" si="80"/>
        <v>46031</v>
      </c>
      <c r="H352" s="77">
        <f t="shared" si="81"/>
        <v>46019</v>
      </c>
      <c r="I352" s="77">
        <f t="shared" si="82"/>
        <v>46026</v>
      </c>
      <c r="J352" s="77">
        <v>46039</v>
      </c>
      <c r="K352" s="78">
        <f>J352-A352</f>
        <v>28</v>
      </c>
      <c r="L352" s="84">
        <v>16.89</v>
      </c>
      <c r="M352" s="82">
        <v>15.32</v>
      </c>
      <c r="N352" s="25">
        <f t="shared" si="63"/>
        <v>1.5700000000000003</v>
      </c>
      <c r="O352" s="82" t="s">
        <v>593</v>
      </c>
    </row>
    <row r="353" spans="1:17" x14ac:dyDescent="0.25">
      <c r="A353" s="77">
        <v>46011</v>
      </c>
      <c r="B353" s="25" t="s">
        <v>370</v>
      </c>
      <c r="C353" s="25"/>
      <c r="D353" s="77">
        <f t="shared" si="77"/>
        <v>46034</v>
      </c>
      <c r="E353" s="77">
        <f t="shared" si="78"/>
        <v>46018</v>
      </c>
      <c r="F353" s="77">
        <f t="shared" si="79"/>
        <v>46025</v>
      </c>
      <c r="G353" s="77">
        <f t="shared" si="80"/>
        <v>46031</v>
      </c>
      <c r="H353" s="77">
        <f t="shared" si="81"/>
        <v>46019</v>
      </c>
      <c r="I353" s="77">
        <f t="shared" si="82"/>
        <v>46026</v>
      </c>
      <c r="J353" s="77">
        <v>46039</v>
      </c>
      <c r="K353" s="78">
        <f>J353-A353</f>
        <v>28</v>
      </c>
      <c r="L353" s="84">
        <v>15.63</v>
      </c>
      <c r="M353" s="82">
        <v>14.76</v>
      </c>
      <c r="N353" s="25">
        <f t="shared" si="63"/>
        <v>0.87000000000000099</v>
      </c>
      <c r="O353" s="82" t="s">
        <v>593</v>
      </c>
    </row>
    <row r="354" spans="1:17" x14ac:dyDescent="0.25">
      <c r="A354" s="77">
        <v>46011</v>
      </c>
      <c r="B354" s="25" t="s">
        <v>371</v>
      </c>
      <c r="C354" s="25"/>
      <c r="D354" s="77">
        <f t="shared" si="77"/>
        <v>46034</v>
      </c>
      <c r="E354" s="77">
        <f t="shared" si="78"/>
        <v>46018</v>
      </c>
      <c r="F354" s="77">
        <f t="shared" si="79"/>
        <v>46025</v>
      </c>
      <c r="G354" s="77">
        <f t="shared" si="80"/>
        <v>46031</v>
      </c>
      <c r="H354" s="77">
        <f t="shared" si="81"/>
        <v>46019</v>
      </c>
      <c r="I354" s="77">
        <f t="shared" si="82"/>
        <v>46026</v>
      </c>
      <c r="J354" s="77">
        <v>46039</v>
      </c>
      <c r="K354" s="78">
        <f>J354-A354</f>
        <v>28</v>
      </c>
      <c r="L354" s="84">
        <v>16.91</v>
      </c>
      <c r="M354" s="82">
        <v>15.89</v>
      </c>
      <c r="N354" s="25">
        <f t="shared" si="63"/>
        <v>1.0199999999999996</v>
      </c>
      <c r="O354" s="82" t="s">
        <v>593</v>
      </c>
    </row>
    <row r="355" spans="1:17" x14ac:dyDescent="0.25">
      <c r="A355" s="77">
        <v>46011</v>
      </c>
      <c r="B355" s="25" t="s">
        <v>372</v>
      </c>
      <c r="C355" s="25"/>
      <c r="D355" s="77">
        <f t="shared" si="77"/>
        <v>46034</v>
      </c>
      <c r="E355" s="77">
        <f t="shared" si="78"/>
        <v>46018</v>
      </c>
      <c r="F355" s="77">
        <f t="shared" si="79"/>
        <v>46025</v>
      </c>
      <c r="G355" s="77">
        <f t="shared" si="80"/>
        <v>46031</v>
      </c>
      <c r="H355" s="77">
        <f t="shared" si="81"/>
        <v>46019</v>
      </c>
      <c r="I355" s="77">
        <f t="shared" si="82"/>
        <v>46026</v>
      </c>
      <c r="J355" s="77">
        <v>46040</v>
      </c>
      <c r="K355" s="78">
        <f t="shared" ref="K355:K366" si="83">J355-A355</f>
        <v>29</v>
      </c>
      <c r="L355" s="84">
        <v>16.52</v>
      </c>
      <c r="M355" s="82">
        <v>9.2100000000000009</v>
      </c>
      <c r="N355" s="25">
        <f t="shared" si="63"/>
        <v>7.3099999999999987</v>
      </c>
      <c r="O355" s="82" t="s">
        <v>592</v>
      </c>
    </row>
    <row r="356" spans="1:17" x14ac:dyDescent="0.25">
      <c r="A356" s="77">
        <v>46012</v>
      </c>
      <c r="B356" s="25" t="s">
        <v>386</v>
      </c>
      <c r="C356" s="25"/>
      <c r="D356" s="77">
        <f t="shared" si="77"/>
        <v>46035</v>
      </c>
      <c r="E356" s="77">
        <f t="shared" si="78"/>
        <v>46019</v>
      </c>
      <c r="F356" s="77">
        <f t="shared" si="79"/>
        <v>46026</v>
      </c>
      <c r="G356" s="77">
        <f t="shared" si="80"/>
        <v>46032</v>
      </c>
      <c r="H356" s="77">
        <f t="shared" si="81"/>
        <v>46020</v>
      </c>
      <c r="I356" s="77">
        <f t="shared" si="82"/>
        <v>46027</v>
      </c>
      <c r="J356" s="77">
        <v>46040</v>
      </c>
      <c r="K356" s="78">
        <f t="shared" si="83"/>
        <v>28</v>
      </c>
      <c r="L356" s="84">
        <v>17.34</v>
      </c>
      <c r="M356" s="82">
        <v>10.32</v>
      </c>
      <c r="N356" s="25">
        <f t="shared" si="63"/>
        <v>7.02</v>
      </c>
      <c r="O356" s="82" t="s">
        <v>592</v>
      </c>
    </row>
    <row r="357" spans="1:17" x14ac:dyDescent="0.25">
      <c r="A357" s="77">
        <v>46012</v>
      </c>
      <c r="B357" s="25" t="s">
        <v>387</v>
      </c>
      <c r="C357" s="25"/>
      <c r="D357" s="77">
        <f t="shared" si="77"/>
        <v>46035</v>
      </c>
      <c r="E357" s="77">
        <f t="shared" si="78"/>
        <v>46019</v>
      </c>
      <c r="F357" s="77">
        <f t="shared" si="79"/>
        <v>46026</v>
      </c>
      <c r="G357" s="77">
        <f t="shared" si="80"/>
        <v>46032</v>
      </c>
      <c r="H357" s="77">
        <f t="shared" si="81"/>
        <v>46020</v>
      </c>
      <c r="I357" s="77">
        <f t="shared" si="82"/>
        <v>46027</v>
      </c>
      <c r="J357" s="77">
        <v>46040</v>
      </c>
      <c r="K357" s="78">
        <f t="shared" si="83"/>
        <v>28</v>
      </c>
      <c r="L357" s="84">
        <v>17.850000000000001</v>
      </c>
      <c r="M357" s="82">
        <v>11.7</v>
      </c>
      <c r="N357" s="25">
        <f t="shared" si="63"/>
        <v>6.1500000000000021</v>
      </c>
      <c r="O357" s="82" t="s">
        <v>592</v>
      </c>
    </row>
    <row r="358" spans="1:17" x14ac:dyDescent="0.25">
      <c r="A358" s="77">
        <v>46012</v>
      </c>
      <c r="B358" s="25" t="s">
        <v>388</v>
      </c>
      <c r="C358" s="25"/>
      <c r="D358" s="77">
        <f t="shared" si="77"/>
        <v>46035</v>
      </c>
      <c r="E358" s="77">
        <f t="shared" si="78"/>
        <v>46019</v>
      </c>
      <c r="F358" s="77">
        <f t="shared" si="79"/>
        <v>46026</v>
      </c>
      <c r="G358" s="77">
        <f t="shared" si="80"/>
        <v>46032</v>
      </c>
      <c r="H358" s="77">
        <f t="shared" si="81"/>
        <v>46020</v>
      </c>
      <c r="I358" s="77">
        <f t="shared" si="82"/>
        <v>46027</v>
      </c>
      <c r="J358" s="77">
        <v>46040</v>
      </c>
      <c r="K358" s="78">
        <f t="shared" si="83"/>
        <v>28</v>
      </c>
      <c r="L358" s="84">
        <v>18.190000000000001</v>
      </c>
      <c r="M358" s="82">
        <v>10.18</v>
      </c>
      <c r="N358" s="25">
        <f t="shared" si="63"/>
        <v>8.0100000000000016</v>
      </c>
      <c r="O358" s="82" t="s">
        <v>592</v>
      </c>
    </row>
    <row r="359" spans="1:17" x14ac:dyDescent="0.25">
      <c r="A359" s="77">
        <v>46012</v>
      </c>
      <c r="B359" s="25" t="s">
        <v>389</v>
      </c>
      <c r="C359" s="25"/>
      <c r="D359" s="77">
        <f t="shared" si="77"/>
        <v>46035</v>
      </c>
      <c r="E359" s="77">
        <f t="shared" si="78"/>
        <v>46019</v>
      </c>
      <c r="F359" s="77">
        <f t="shared" si="79"/>
        <v>46026</v>
      </c>
      <c r="G359" s="77">
        <f t="shared" si="80"/>
        <v>46032</v>
      </c>
      <c r="H359" s="77">
        <f t="shared" si="81"/>
        <v>46020</v>
      </c>
      <c r="I359" s="77">
        <f t="shared" si="82"/>
        <v>46027</v>
      </c>
      <c r="J359" s="77">
        <v>46040</v>
      </c>
      <c r="K359" s="78">
        <f t="shared" si="83"/>
        <v>28</v>
      </c>
      <c r="L359" s="84">
        <v>18.03</v>
      </c>
      <c r="M359" s="82">
        <v>9.99</v>
      </c>
      <c r="N359" s="25">
        <f t="shared" si="63"/>
        <v>8.0400000000000009</v>
      </c>
      <c r="O359" s="82" t="s">
        <v>592</v>
      </c>
    </row>
    <row r="360" spans="1:17" x14ac:dyDescent="0.25">
      <c r="A360" s="77">
        <v>46012</v>
      </c>
      <c r="B360" s="25" t="s">
        <v>390</v>
      </c>
      <c r="C360" s="25"/>
      <c r="D360" s="77">
        <f t="shared" si="77"/>
        <v>46035</v>
      </c>
      <c r="E360" s="77">
        <f t="shared" si="78"/>
        <v>46019</v>
      </c>
      <c r="F360" s="77">
        <f t="shared" si="79"/>
        <v>46026</v>
      </c>
      <c r="G360" s="77">
        <f t="shared" si="80"/>
        <v>46032</v>
      </c>
      <c r="H360" s="77">
        <f t="shared" si="81"/>
        <v>46020</v>
      </c>
      <c r="I360" s="77">
        <f t="shared" si="82"/>
        <v>46027</v>
      </c>
      <c r="J360" s="77">
        <v>46040</v>
      </c>
      <c r="K360" s="78">
        <f t="shared" si="83"/>
        <v>28</v>
      </c>
      <c r="L360" s="84">
        <v>17.16</v>
      </c>
      <c r="M360" s="82">
        <v>9.89</v>
      </c>
      <c r="N360" s="25">
        <f t="shared" si="63"/>
        <v>7.27</v>
      </c>
      <c r="O360" s="82" t="s">
        <v>592</v>
      </c>
    </row>
    <row r="361" spans="1:17" x14ac:dyDescent="0.25">
      <c r="A361" s="77">
        <v>46012</v>
      </c>
      <c r="B361" s="25" t="s">
        <v>391</v>
      </c>
      <c r="C361" s="25"/>
      <c r="D361" s="77">
        <f t="shared" si="77"/>
        <v>46035</v>
      </c>
      <c r="E361" s="77">
        <f t="shared" si="78"/>
        <v>46019</v>
      </c>
      <c r="F361" s="77">
        <f t="shared" si="79"/>
        <v>46026</v>
      </c>
      <c r="G361" s="77">
        <f t="shared" si="80"/>
        <v>46032</v>
      </c>
      <c r="H361" s="77">
        <f t="shared" si="81"/>
        <v>46020</v>
      </c>
      <c r="I361" s="77">
        <f t="shared" si="82"/>
        <v>46027</v>
      </c>
      <c r="J361" s="77">
        <v>46040</v>
      </c>
      <c r="K361" s="78">
        <f t="shared" si="83"/>
        <v>28</v>
      </c>
      <c r="L361" s="84">
        <v>19.82</v>
      </c>
      <c r="M361" s="82">
        <v>18.54</v>
      </c>
      <c r="N361" s="25">
        <f t="shared" si="63"/>
        <v>1.2800000000000011</v>
      </c>
      <c r="O361" s="82" t="s">
        <v>593</v>
      </c>
    </row>
    <row r="362" spans="1:17" x14ac:dyDescent="0.25">
      <c r="A362" s="77">
        <v>46012</v>
      </c>
      <c r="B362" s="25" t="s">
        <v>392</v>
      </c>
      <c r="C362" s="25"/>
      <c r="D362" s="77">
        <f t="shared" si="77"/>
        <v>46035</v>
      </c>
      <c r="E362" s="77">
        <f t="shared" si="78"/>
        <v>46019</v>
      </c>
      <c r="F362" s="77">
        <f t="shared" si="79"/>
        <v>46026</v>
      </c>
      <c r="G362" s="77">
        <f t="shared" si="80"/>
        <v>46032</v>
      </c>
      <c r="H362" s="77">
        <f t="shared" si="81"/>
        <v>46020</v>
      </c>
      <c r="I362" s="77">
        <f t="shared" si="82"/>
        <v>46027</v>
      </c>
      <c r="J362" s="77">
        <v>46040</v>
      </c>
      <c r="K362" s="78">
        <f t="shared" si="83"/>
        <v>28</v>
      </c>
      <c r="L362" s="84">
        <v>18.91</v>
      </c>
      <c r="M362" s="82">
        <v>17.32</v>
      </c>
      <c r="N362" s="25">
        <f t="shared" si="63"/>
        <v>1.5899999999999999</v>
      </c>
      <c r="O362" s="82" t="s">
        <v>593</v>
      </c>
    </row>
    <row r="363" spans="1:17" x14ac:dyDescent="0.25">
      <c r="A363" s="77">
        <v>46013</v>
      </c>
      <c r="B363" s="25" t="s">
        <v>393</v>
      </c>
      <c r="C363" s="25"/>
      <c r="D363" s="77">
        <f t="shared" ref="D363:D373" si="84">A363+23</f>
        <v>46036</v>
      </c>
      <c r="E363" s="77">
        <f t="shared" ref="E363:E373" si="85">A363+7</f>
        <v>46020</v>
      </c>
      <c r="F363" s="77">
        <f t="shared" ref="F363:F373" si="86">A363+14</f>
        <v>46027</v>
      </c>
      <c r="G363" s="77">
        <f t="shared" ref="G363:G373" si="87">A363+20</f>
        <v>46033</v>
      </c>
      <c r="H363" s="77">
        <f t="shared" ref="H363:H373" si="88">A363+8</f>
        <v>46021</v>
      </c>
      <c r="I363" s="77">
        <f t="shared" ref="I363:I373" si="89">A363+15</f>
        <v>46028</v>
      </c>
      <c r="J363" s="77">
        <v>46040</v>
      </c>
      <c r="K363" s="78">
        <f t="shared" si="83"/>
        <v>27</v>
      </c>
      <c r="L363" s="84">
        <v>18.670000000000002</v>
      </c>
      <c r="M363" s="82">
        <v>17.18</v>
      </c>
      <c r="N363" s="25">
        <f t="shared" si="63"/>
        <v>1.490000000000002</v>
      </c>
      <c r="O363" s="82" t="s">
        <v>593</v>
      </c>
    </row>
    <row r="364" spans="1:17" x14ac:dyDescent="0.25">
      <c r="A364" s="77">
        <v>46013</v>
      </c>
      <c r="B364" s="25" t="s">
        <v>394</v>
      </c>
      <c r="C364" s="25"/>
      <c r="D364" s="77">
        <f t="shared" si="84"/>
        <v>46036</v>
      </c>
      <c r="E364" s="77">
        <f t="shared" si="85"/>
        <v>46020</v>
      </c>
      <c r="F364" s="77">
        <f t="shared" si="86"/>
        <v>46027</v>
      </c>
      <c r="G364" s="77">
        <f t="shared" si="87"/>
        <v>46033</v>
      </c>
      <c r="H364" s="77">
        <f t="shared" si="88"/>
        <v>46021</v>
      </c>
      <c r="I364" s="77">
        <f t="shared" si="89"/>
        <v>46028</v>
      </c>
      <c r="J364" s="77">
        <v>46040</v>
      </c>
      <c r="K364" s="78">
        <f t="shared" si="83"/>
        <v>27</v>
      </c>
      <c r="L364" s="84">
        <v>19.78</v>
      </c>
      <c r="M364" s="82">
        <v>18.100000000000001</v>
      </c>
      <c r="N364" s="25">
        <f t="shared" si="63"/>
        <v>1.6799999999999997</v>
      </c>
      <c r="O364" s="82" t="s">
        <v>593</v>
      </c>
    </row>
    <row r="365" spans="1:17" x14ac:dyDescent="0.25">
      <c r="A365" s="77">
        <v>46013</v>
      </c>
      <c r="B365" s="25" t="s">
        <v>373</v>
      </c>
      <c r="C365" s="25"/>
      <c r="D365" s="77">
        <f t="shared" si="84"/>
        <v>46036</v>
      </c>
      <c r="E365" s="77">
        <f t="shared" si="85"/>
        <v>46020</v>
      </c>
      <c r="F365" s="77">
        <f t="shared" si="86"/>
        <v>46027</v>
      </c>
      <c r="G365" s="77">
        <f t="shared" si="87"/>
        <v>46033</v>
      </c>
      <c r="H365" s="77">
        <f t="shared" si="88"/>
        <v>46021</v>
      </c>
      <c r="I365" s="77">
        <f t="shared" si="89"/>
        <v>46028</v>
      </c>
      <c r="J365" s="77">
        <v>46042</v>
      </c>
      <c r="K365" s="78">
        <f t="shared" si="83"/>
        <v>29</v>
      </c>
      <c r="L365" s="84">
        <v>16.73</v>
      </c>
      <c r="M365" s="82">
        <v>8.5399999999999991</v>
      </c>
      <c r="N365" s="25">
        <f t="shared" si="63"/>
        <v>8.1900000000000013</v>
      </c>
      <c r="O365" s="25" t="s">
        <v>592</v>
      </c>
      <c r="Q365" s="85"/>
    </row>
    <row r="366" spans="1:17" x14ac:dyDescent="0.25">
      <c r="A366" s="77">
        <v>46013</v>
      </c>
      <c r="B366" s="25" t="s">
        <v>374</v>
      </c>
      <c r="C366" s="25"/>
      <c r="D366" s="77">
        <f t="shared" si="84"/>
        <v>46036</v>
      </c>
      <c r="E366" s="77">
        <f t="shared" si="85"/>
        <v>46020</v>
      </c>
      <c r="F366" s="77">
        <f t="shared" si="86"/>
        <v>46027</v>
      </c>
      <c r="G366" s="77">
        <f t="shared" si="87"/>
        <v>46033</v>
      </c>
      <c r="H366" s="77">
        <f t="shared" si="88"/>
        <v>46021</v>
      </c>
      <c r="I366" s="77">
        <f t="shared" si="89"/>
        <v>46028</v>
      </c>
      <c r="J366" s="77">
        <v>46042</v>
      </c>
      <c r="K366" s="78">
        <f t="shared" si="83"/>
        <v>29</v>
      </c>
      <c r="L366" s="84">
        <v>17.059999999999999</v>
      </c>
      <c r="M366" s="82">
        <v>8.9700000000000006</v>
      </c>
      <c r="N366" s="25">
        <f t="shared" si="63"/>
        <v>8.0899999999999981</v>
      </c>
      <c r="O366" s="25" t="s">
        <v>592</v>
      </c>
      <c r="Q366" s="85"/>
    </row>
    <row r="367" spans="1:17" x14ac:dyDescent="0.25">
      <c r="A367" s="77">
        <v>46013</v>
      </c>
      <c r="B367" s="25" t="s">
        <v>375</v>
      </c>
      <c r="C367" s="25"/>
      <c r="D367" s="77">
        <f t="shared" si="84"/>
        <v>46036</v>
      </c>
      <c r="E367" s="77">
        <f t="shared" si="85"/>
        <v>46020</v>
      </c>
      <c r="F367" s="77">
        <f t="shared" si="86"/>
        <v>46027</v>
      </c>
      <c r="G367" s="77">
        <f t="shared" si="87"/>
        <v>46033</v>
      </c>
      <c r="H367" s="77">
        <f t="shared" si="88"/>
        <v>46021</v>
      </c>
      <c r="I367" s="77">
        <f t="shared" si="89"/>
        <v>46028</v>
      </c>
      <c r="J367" s="77">
        <v>46041</v>
      </c>
      <c r="K367" s="78">
        <f t="shared" ref="K367:K381" si="90">J367-A367</f>
        <v>28</v>
      </c>
      <c r="L367" s="84">
        <v>18.54</v>
      </c>
      <c r="M367" s="82">
        <v>17.21</v>
      </c>
      <c r="N367" s="25">
        <f t="shared" ref="N367:N376" si="91">L367-M367</f>
        <v>1.3299999999999983</v>
      </c>
      <c r="O367" s="82" t="s">
        <v>593</v>
      </c>
      <c r="Q367" s="85"/>
    </row>
    <row r="368" spans="1:17" x14ac:dyDescent="0.25">
      <c r="A368" s="77">
        <v>46013</v>
      </c>
      <c r="B368" s="25" t="s">
        <v>376</v>
      </c>
      <c r="C368" s="25"/>
      <c r="D368" s="77">
        <f t="shared" si="84"/>
        <v>46036</v>
      </c>
      <c r="E368" s="77">
        <f t="shared" si="85"/>
        <v>46020</v>
      </c>
      <c r="F368" s="77">
        <f t="shared" si="86"/>
        <v>46027</v>
      </c>
      <c r="G368" s="77">
        <f t="shared" si="87"/>
        <v>46033</v>
      </c>
      <c r="H368" s="77">
        <f t="shared" si="88"/>
        <v>46021</v>
      </c>
      <c r="I368" s="77">
        <f t="shared" si="89"/>
        <v>46028</v>
      </c>
      <c r="J368" s="77">
        <v>46041</v>
      </c>
      <c r="K368" s="78">
        <f t="shared" si="90"/>
        <v>28</v>
      </c>
      <c r="L368" s="84">
        <v>19.78</v>
      </c>
      <c r="M368" s="82">
        <v>18.829999999999998</v>
      </c>
      <c r="N368" s="25">
        <f t="shared" si="91"/>
        <v>0.95000000000000284</v>
      </c>
      <c r="O368" s="82" t="s">
        <v>593</v>
      </c>
      <c r="Q368" s="85"/>
    </row>
    <row r="369" spans="1:17" x14ac:dyDescent="0.25">
      <c r="A369" s="77">
        <v>46013</v>
      </c>
      <c r="B369" s="25" t="s">
        <v>377</v>
      </c>
      <c r="C369" s="25"/>
      <c r="D369" s="77">
        <f t="shared" si="84"/>
        <v>46036</v>
      </c>
      <c r="E369" s="77">
        <f t="shared" si="85"/>
        <v>46020</v>
      </c>
      <c r="F369" s="77">
        <f t="shared" si="86"/>
        <v>46027</v>
      </c>
      <c r="G369" s="77">
        <f t="shared" si="87"/>
        <v>46033</v>
      </c>
      <c r="H369" s="77">
        <f t="shared" si="88"/>
        <v>46021</v>
      </c>
      <c r="I369" s="77">
        <f t="shared" si="89"/>
        <v>46028</v>
      </c>
      <c r="J369" s="77">
        <v>46041</v>
      </c>
      <c r="K369" s="78">
        <f t="shared" si="90"/>
        <v>28</v>
      </c>
      <c r="L369" s="84">
        <v>18.059999999999999</v>
      </c>
      <c r="M369" s="82">
        <v>16.98</v>
      </c>
      <c r="N369" s="25">
        <f t="shared" si="91"/>
        <v>1.0799999999999983</v>
      </c>
      <c r="O369" s="82" t="s">
        <v>593</v>
      </c>
      <c r="Q369" s="85"/>
    </row>
    <row r="370" spans="1:17" x14ac:dyDescent="0.25">
      <c r="A370" s="77">
        <v>46014</v>
      </c>
      <c r="B370" s="25" t="s">
        <v>395</v>
      </c>
      <c r="C370" s="25"/>
      <c r="D370" s="77">
        <f t="shared" si="84"/>
        <v>46037</v>
      </c>
      <c r="E370" s="77">
        <f t="shared" si="85"/>
        <v>46021</v>
      </c>
      <c r="F370" s="77">
        <f t="shared" si="86"/>
        <v>46028</v>
      </c>
      <c r="G370" s="77">
        <f t="shared" si="87"/>
        <v>46034</v>
      </c>
      <c r="H370" s="77">
        <f t="shared" si="88"/>
        <v>46022</v>
      </c>
      <c r="I370" s="77">
        <f t="shared" si="89"/>
        <v>46029</v>
      </c>
      <c r="J370" s="77">
        <v>46042</v>
      </c>
      <c r="K370" s="78">
        <f t="shared" si="90"/>
        <v>28</v>
      </c>
      <c r="L370" s="84">
        <v>16.25</v>
      </c>
      <c r="M370" s="82">
        <v>7.81</v>
      </c>
      <c r="N370" s="25">
        <f t="shared" si="91"/>
        <v>8.4400000000000013</v>
      </c>
      <c r="O370" s="82" t="s">
        <v>592</v>
      </c>
      <c r="Q370" s="85"/>
    </row>
    <row r="371" spans="1:17" x14ac:dyDescent="0.25">
      <c r="A371" s="77">
        <v>46014</v>
      </c>
      <c r="B371" s="25" t="s">
        <v>396</v>
      </c>
      <c r="C371" s="25"/>
      <c r="D371" s="77">
        <f t="shared" si="84"/>
        <v>46037</v>
      </c>
      <c r="E371" s="77">
        <f t="shared" si="85"/>
        <v>46021</v>
      </c>
      <c r="F371" s="77">
        <f t="shared" si="86"/>
        <v>46028</v>
      </c>
      <c r="G371" s="77">
        <f t="shared" si="87"/>
        <v>46034</v>
      </c>
      <c r="H371" s="77">
        <f t="shared" si="88"/>
        <v>46022</v>
      </c>
      <c r="I371" s="77">
        <f t="shared" si="89"/>
        <v>46029</v>
      </c>
      <c r="J371" s="77">
        <v>46043</v>
      </c>
      <c r="K371" s="78">
        <f t="shared" si="90"/>
        <v>29</v>
      </c>
      <c r="L371" s="84">
        <v>14.52</v>
      </c>
      <c r="M371" s="82">
        <v>7.81</v>
      </c>
      <c r="N371" s="25">
        <f t="shared" si="91"/>
        <v>6.71</v>
      </c>
      <c r="O371" s="82" t="s">
        <v>592</v>
      </c>
    </row>
    <row r="372" spans="1:17" x14ac:dyDescent="0.25">
      <c r="A372" s="77">
        <v>46014</v>
      </c>
      <c r="B372" s="25" t="s">
        <v>397</v>
      </c>
      <c r="C372" s="25"/>
      <c r="D372" s="77">
        <f t="shared" si="84"/>
        <v>46037</v>
      </c>
      <c r="E372" s="77">
        <f t="shared" si="85"/>
        <v>46021</v>
      </c>
      <c r="F372" s="77">
        <f t="shared" si="86"/>
        <v>46028</v>
      </c>
      <c r="G372" s="77">
        <f t="shared" si="87"/>
        <v>46034</v>
      </c>
      <c r="H372" s="77">
        <f t="shared" si="88"/>
        <v>46022</v>
      </c>
      <c r="I372" s="77">
        <f t="shared" si="89"/>
        <v>46029</v>
      </c>
      <c r="J372" s="77">
        <v>46043</v>
      </c>
      <c r="K372" s="78">
        <f t="shared" si="90"/>
        <v>29</v>
      </c>
      <c r="L372" s="84">
        <v>16.170000000000002</v>
      </c>
      <c r="M372" s="82">
        <v>8.66</v>
      </c>
      <c r="N372" s="25">
        <f t="shared" si="91"/>
        <v>7.5100000000000016</v>
      </c>
      <c r="O372" s="82" t="s">
        <v>592</v>
      </c>
    </row>
    <row r="373" spans="1:17" x14ac:dyDescent="0.25">
      <c r="A373" s="77">
        <v>46014</v>
      </c>
      <c r="B373" s="25" t="s">
        <v>404</v>
      </c>
      <c r="C373" s="25"/>
      <c r="D373" s="77">
        <f t="shared" si="84"/>
        <v>46037</v>
      </c>
      <c r="E373" s="77">
        <f t="shared" si="85"/>
        <v>46021</v>
      </c>
      <c r="F373" s="77">
        <f t="shared" si="86"/>
        <v>46028</v>
      </c>
      <c r="G373" s="77">
        <f t="shared" si="87"/>
        <v>46034</v>
      </c>
      <c r="H373" s="77">
        <f t="shared" si="88"/>
        <v>46022</v>
      </c>
      <c r="I373" s="77">
        <f t="shared" si="89"/>
        <v>46029</v>
      </c>
      <c r="J373" s="77">
        <v>46044</v>
      </c>
      <c r="K373" s="78">
        <f t="shared" si="90"/>
        <v>30</v>
      </c>
      <c r="L373" s="84">
        <v>15.37</v>
      </c>
      <c r="M373" s="82">
        <v>7.59</v>
      </c>
      <c r="N373" s="25">
        <f t="shared" si="91"/>
        <v>7.7799999999999994</v>
      </c>
      <c r="O373" s="82" t="s">
        <v>592</v>
      </c>
    </row>
    <row r="374" spans="1:17" x14ac:dyDescent="0.25">
      <c r="A374" s="77">
        <v>46014</v>
      </c>
      <c r="B374" s="25" t="s">
        <v>405</v>
      </c>
      <c r="C374" s="25"/>
      <c r="D374" s="77">
        <f t="shared" ref="D374:D380" si="92">A374+23</f>
        <v>46037</v>
      </c>
      <c r="E374" s="77">
        <f t="shared" ref="E374:E380" si="93">A374+7</f>
        <v>46021</v>
      </c>
      <c r="F374" s="77">
        <f t="shared" ref="F374:F380" si="94">A374+14</f>
        <v>46028</v>
      </c>
      <c r="G374" s="77">
        <f t="shared" ref="G374:G380" si="95">A374+20</f>
        <v>46034</v>
      </c>
      <c r="H374" s="77">
        <f t="shared" ref="H374:H380" si="96">A374+8</f>
        <v>46022</v>
      </c>
      <c r="I374" s="77">
        <f t="shared" ref="I374:I380" si="97">A374+15</f>
        <v>46029</v>
      </c>
      <c r="J374" s="77">
        <v>46044</v>
      </c>
      <c r="K374" s="78">
        <f t="shared" si="90"/>
        <v>30</v>
      </c>
      <c r="L374" s="84">
        <v>16.84</v>
      </c>
      <c r="M374" s="82">
        <v>8.31</v>
      </c>
      <c r="N374" s="25">
        <f t="shared" si="91"/>
        <v>8.5299999999999994</v>
      </c>
      <c r="O374" s="82" t="s">
        <v>592</v>
      </c>
    </row>
    <row r="375" spans="1:17" x14ac:dyDescent="0.25">
      <c r="A375" s="77">
        <v>46014</v>
      </c>
      <c r="B375" s="25" t="s">
        <v>406</v>
      </c>
      <c r="C375" s="25"/>
      <c r="D375" s="77">
        <f t="shared" si="92"/>
        <v>46037</v>
      </c>
      <c r="E375" s="77">
        <f t="shared" si="93"/>
        <v>46021</v>
      </c>
      <c r="F375" s="77">
        <f t="shared" si="94"/>
        <v>46028</v>
      </c>
      <c r="G375" s="77">
        <f t="shared" si="95"/>
        <v>46034</v>
      </c>
      <c r="H375" s="77">
        <f t="shared" si="96"/>
        <v>46022</v>
      </c>
      <c r="I375" s="77">
        <f t="shared" si="97"/>
        <v>46029</v>
      </c>
      <c r="J375" s="77">
        <v>46044</v>
      </c>
      <c r="K375" s="78">
        <f t="shared" si="90"/>
        <v>30</v>
      </c>
      <c r="L375" s="84">
        <v>19.11</v>
      </c>
      <c r="M375" s="82">
        <v>17.87</v>
      </c>
      <c r="N375" s="25">
        <f t="shared" si="91"/>
        <v>1.2399999999999984</v>
      </c>
      <c r="O375" s="82" t="s">
        <v>593</v>
      </c>
    </row>
    <row r="376" spans="1:17" x14ac:dyDescent="0.25">
      <c r="A376" s="77">
        <v>46014</v>
      </c>
      <c r="B376" s="25" t="s">
        <v>407</v>
      </c>
      <c r="C376" s="25"/>
      <c r="D376" s="77">
        <f t="shared" si="92"/>
        <v>46037</v>
      </c>
      <c r="E376" s="77">
        <f t="shared" si="93"/>
        <v>46021</v>
      </c>
      <c r="F376" s="77">
        <f t="shared" si="94"/>
        <v>46028</v>
      </c>
      <c r="G376" s="77">
        <f t="shared" si="95"/>
        <v>46034</v>
      </c>
      <c r="H376" s="77">
        <f t="shared" si="96"/>
        <v>46022</v>
      </c>
      <c r="I376" s="77">
        <f t="shared" si="97"/>
        <v>46029</v>
      </c>
      <c r="J376" s="77">
        <v>46044</v>
      </c>
      <c r="K376" s="78">
        <f t="shared" si="90"/>
        <v>30</v>
      </c>
      <c r="L376" s="84">
        <v>19.93</v>
      </c>
      <c r="M376" s="82">
        <v>18.059999999999999</v>
      </c>
      <c r="N376" s="25">
        <f t="shared" si="91"/>
        <v>1.870000000000001</v>
      </c>
      <c r="O376" s="82" t="s">
        <v>593</v>
      </c>
    </row>
    <row r="377" spans="1:17" x14ac:dyDescent="0.25">
      <c r="A377" s="77">
        <v>46014</v>
      </c>
      <c r="B377" s="25" t="s">
        <v>408</v>
      </c>
      <c r="C377" s="25"/>
      <c r="D377" s="77">
        <f t="shared" si="92"/>
        <v>46037</v>
      </c>
      <c r="E377" s="77">
        <f t="shared" si="93"/>
        <v>46021</v>
      </c>
      <c r="F377" s="77">
        <f t="shared" si="94"/>
        <v>46028</v>
      </c>
      <c r="G377" s="77">
        <f t="shared" si="95"/>
        <v>46034</v>
      </c>
      <c r="H377" s="77">
        <f t="shared" si="96"/>
        <v>46022</v>
      </c>
      <c r="I377" s="77">
        <f t="shared" si="97"/>
        <v>46029</v>
      </c>
      <c r="J377" s="77">
        <v>46043</v>
      </c>
      <c r="K377" s="78">
        <f t="shared" si="90"/>
        <v>29</v>
      </c>
      <c r="L377" s="84">
        <v>19.86</v>
      </c>
      <c r="M377" s="82">
        <v>18.559999999999999</v>
      </c>
      <c r="N377" s="25">
        <f t="shared" ref="N377:N440" si="98">L377-M377</f>
        <v>1.3000000000000007</v>
      </c>
      <c r="O377" s="82" t="s">
        <v>593</v>
      </c>
    </row>
    <row r="378" spans="1:17" x14ac:dyDescent="0.25">
      <c r="A378" s="77">
        <v>46014</v>
      </c>
      <c r="B378" s="25" t="s">
        <v>409</v>
      </c>
      <c r="C378" s="25"/>
      <c r="D378" s="77">
        <f t="shared" si="92"/>
        <v>46037</v>
      </c>
      <c r="E378" s="77">
        <f t="shared" si="93"/>
        <v>46021</v>
      </c>
      <c r="F378" s="77">
        <f t="shared" si="94"/>
        <v>46028</v>
      </c>
      <c r="G378" s="77">
        <f t="shared" si="95"/>
        <v>46034</v>
      </c>
      <c r="H378" s="77">
        <f t="shared" si="96"/>
        <v>46022</v>
      </c>
      <c r="I378" s="77">
        <f t="shared" si="97"/>
        <v>46029</v>
      </c>
      <c r="J378" s="77">
        <v>46043</v>
      </c>
      <c r="K378" s="78">
        <f t="shared" si="90"/>
        <v>29</v>
      </c>
      <c r="L378" s="84">
        <v>18.93</v>
      </c>
      <c r="M378" s="82">
        <v>17.91</v>
      </c>
      <c r="N378" s="25">
        <f t="shared" si="98"/>
        <v>1.0199999999999996</v>
      </c>
      <c r="O378" s="82" t="s">
        <v>593</v>
      </c>
    </row>
    <row r="379" spans="1:17" x14ac:dyDescent="0.25">
      <c r="A379" s="77">
        <v>46014</v>
      </c>
      <c r="B379" s="25" t="s">
        <v>410</v>
      </c>
      <c r="C379" s="25"/>
      <c r="D379" s="77">
        <f t="shared" si="92"/>
        <v>46037</v>
      </c>
      <c r="E379" s="77">
        <f t="shared" si="93"/>
        <v>46021</v>
      </c>
      <c r="F379" s="77">
        <f t="shared" si="94"/>
        <v>46028</v>
      </c>
      <c r="G379" s="77">
        <f t="shared" si="95"/>
        <v>46034</v>
      </c>
      <c r="H379" s="77">
        <f t="shared" si="96"/>
        <v>46022</v>
      </c>
      <c r="I379" s="77">
        <f t="shared" si="97"/>
        <v>46029</v>
      </c>
      <c r="J379" s="77">
        <v>46043</v>
      </c>
      <c r="K379" s="78">
        <f t="shared" si="90"/>
        <v>29</v>
      </c>
      <c r="L379" s="84">
        <v>19.75</v>
      </c>
      <c r="M379" s="82">
        <v>18.34</v>
      </c>
      <c r="N379" s="25">
        <f t="shared" si="98"/>
        <v>1.4100000000000001</v>
      </c>
      <c r="O379" s="82" t="s">
        <v>593</v>
      </c>
    </row>
    <row r="380" spans="1:17" x14ac:dyDescent="0.25">
      <c r="A380" s="77">
        <v>46014</v>
      </c>
      <c r="B380" s="25" t="s">
        <v>411</v>
      </c>
      <c r="C380" s="25"/>
      <c r="D380" s="77">
        <f t="shared" si="92"/>
        <v>46037</v>
      </c>
      <c r="E380" s="77">
        <f t="shared" si="93"/>
        <v>46021</v>
      </c>
      <c r="F380" s="77">
        <f t="shared" si="94"/>
        <v>46028</v>
      </c>
      <c r="G380" s="77">
        <f t="shared" si="95"/>
        <v>46034</v>
      </c>
      <c r="H380" s="77">
        <f t="shared" si="96"/>
        <v>46022</v>
      </c>
      <c r="I380" s="77">
        <f t="shared" si="97"/>
        <v>46029</v>
      </c>
      <c r="J380" s="77">
        <v>46043</v>
      </c>
      <c r="K380" s="78">
        <f t="shared" si="90"/>
        <v>29</v>
      </c>
      <c r="L380" s="84">
        <v>13.38</v>
      </c>
      <c r="M380" s="82">
        <v>7.3</v>
      </c>
      <c r="N380" s="25">
        <f t="shared" si="98"/>
        <v>6.080000000000001</v>
      </c>
      <c r="O380" s="82" t="s">
        <v>593</v>
      </c>
    </row>
    <row r="381" spans="1:17" x14ac:dyDescent="0.25">
      <c r="A381" s="77">
        <v>46015</v>
      </c>
      <c r="B381" s="25" t="s">
        <v>435</v>
      </c>
      <c r="C381" s="25"/>
      <c r="D381" s="77">
        <f t="shared" ref="D381:D394" si="99">A381+23</f>
        <v>46038</v>
      </c>
      <c r="E381" s="77">
        <f t="shared" ref="E381:E394" si="100">A381+7</f>
        <v>46022</v>
      </c>
      <c r="F381" s="77">
        <f t="shared" ref="F381:F394" si="101">A381+14</f>
        <v>46029</v>
      </c>
      <c r="G381" s="77">
        <f t="shared" ref="G381:G387" si="102">A381+20</f>
        <v>46035</v>
      </c>
      <c r="H381" s="77">
        <f t="shared" ref="H381:H387" si="103">A381+8</f>
        <v>46023</v>
      </c>
      <c r="I381" s="77">
        <f t="shared" ref="I381:I387" si="104">A381+15</f>
        <v>46030</v>
      </c>
      <c r="J381" s="77">
        <v>46045</v>
      </c>
      <c r="K381" s="78">
        <f t="shared" si="90"/>
        <v>30</v>
      </c>
      <c r="L381" s="84">
        <v>12.56</v>
      </c>
      <c r="M381" s="82">
        <v>6.7</v>
      </c>
      <c r="N381" s="25">
        <f t="shared" si="98"/>
        <v>5.86</v>
      </c>
      <c r="O381" s="82" t="s">
        <v>592</v>
      </c>
    </row>
    <row r="382" spans="1:17" x14ac:dyDescent="0.25">
      <c r="A382" s="77">
        <v>46015</v>
      </c>
      <c r="B382" s="25" t="s">
        <v>436</v>
      </c>
      <c r="C382" s="25"/>
      <c r="D382" s="77">
        <f t="shared" si="99"/>
        <v>46038</v>
      </c>
      <c r="E382" s="77">
        <f t="shared" si="100"/>
        <v>46022</v>
      </c>
      <c r="F382" s="77">
        <f t="shared" si="101"/>
        <v>46029</v>
      </c>
      <c r="G382" s="77">
        <f t="shared" si="102"/>
        <v>46035</v>
      </c>
      <c r="H382" s="77">
        <f t="shared" si="103"/>
        <v>46023</v>
      </c>
      <c r="I382" s="77">
        <f t="shared" si="104"/>
        <v>46030</v>
      </c>
      <c r="J382" s="77">
        <v>46045</v>
      </c>
      <c r="K382" s="78">
        <f t="shared" ref="K382:K416" si="105">J382-A382</f>
        <v>30</v>
      </c>
      <c r="L382" s="84">
        <v>13.18</v>
      </c>
      <c r="M382" s="82">
        <v>7.03</v>
      </c>
      <c r="N382" s="25">
        <f t="shared" si="98"/>
        <v>6.1499999999999995</v>
      </c>
      <c r="O382" s="82" t="s">
        <v>592</v>
      </c>
    </row>
    <row r="383" spans="1:17" x14ac:dyDescent="0.25">
      <c r="A383" s="77">
        <v>46015</v>
      </c>
      <c r="B383" s="25" t="s">
        <v>437</v>
      </c>
      <c r="C383" s="25"/>
      <c r="D383" s="77">
        <f t="shared" si="99"/>
        <v>46038</v>
      </c>
      <c r="E383" s="77">
        <f t="shared" si="100"/>
        <v>46022</v>
      </c>
      <c r="F383" s="77">
        <f t="shared" si="101"/>
        <v>46029</v>
      </c>
      <c r="G383" s="77">
        <f t="shared" si="102"/>
        <v>46035</v>
      </c>
      <c r="H383" s="77">
        <f t="shared" si="103"/>
        <v>46023</v>
      </c>
      <c r="I383" s="77">
        <f t="shared" si="104"/>
        <v>46030</v>
      </c>
      <c r="J383" s="77">
        <v>46045</v>
      </c>
      <c r="K383" s="78">
        <f t="shared" si="105"/>
        <v>30</v>
      </c>
      <c r="L383" s="84">
        <v>12.83</v>
      </c>
      <c r="M383" s="82">
        <v>6.21</v>
      </c>
      <c r="N383" s="25">
        <f t="shared" si="98"/>
        <v>6.62</v>
      </c>
      <c r="O383" s="82" t="s">
        <v>592</v>
      </c>
    </row>
    <row r="384" spans="1:17" x14ac:dyDescent="0.25">
      <c r="A384" s="77">
        <v>46015</v>
      </c>
      <c r="B384" s="25" t="s">
        <v>438</v>
      </c>
      <c r="C384" s="25"/>
      <c r="D384" s="77">
        <f t="shared" si="99"/>
        <v>46038</v>
      </c>
      <c r="E384" s="77">
        <f t="shared" si="100"/>
        <v>46022</v>
      </c>
      <c r="F384" s="77">
        <f t="shared" si="101"/>
        <v>46029</v>
      </c>
      <c r="G384" s="77">
        <f t="shared" si="102"/>
        <v>46035</v>
      </c>
      <c r="H384" s="77">
        <f t="shared" si="103"/>
        <v>46023</v>
      </c>
      <c r="I384" s="77">
        <f t="shared" si="104"/>
        <v>46030</v>
      </c>
      <c r="J384" s="77">
        <v>46045</v>
      </c>
      <c r="K384" s="78">
        <f t="shared" si="105"/>
        <v>30</v>
      </c>
      <c r="L384" s="84">
        <v>13.16</v>
      </c>
      <c r="M384" s="82">
        <v>11.73</v>
      </c>
      <c r="N384" s="25">
        <f t="shared" si="98"/>
        <v>1.4299999999999997</v>
      </c>
      <c r="O384" s="82" t="s">
        <v>593</v>
      </c>
    </row>
    <row r="385" spans="1:15" x14ac:dyDescent="0.25">
      <c r="A385" s="77">
        <v>46015</v>
      </c>
      <c r="B385" s="25" t="s">
        <v>439</v>
      </c>
      <c r="C385" s="25"/>
      <c r="D385" s="77">
        <f t="shared" si="99"/>
        <v>46038</v>
      </c>
      <c r="E385" s="77">
        <f t="shared" si="100"/>
        <v>46022</v>
      </c>
      <c r="F385" s="77">
        <f t="shared" si="101"/>
        <v>46029</v>
      </c>
      <c r="G385" s="77">
        <f t="shared" si="102"/>
        <v>46035</v>
      </c>
      <c r="H385" s="77">
        <f t="shared" si="103"/>
        <v>46023</v>
      </c>
      <c r="I385" s="77">
        <f t="shared" si="104"/>
        <v>46030</v>
      </c>
      <c r="J385" s="77">
        <v>46045</v>
      </c>
      <c r="K385" s="78">
        <f t="shared" si="105"/>
        <v>30</v>
      </c>
      <c r="L385" s="84">
        <v>13.95</v>
      </c>
      <c r="M385" s="82">
        <v>12.54</v>
      </c>
      <c r="N385" s="25">
        <f t="shared" si="98"/>
        <v>1.4100000000000001</v>
      </c>
      <c r="O385" s="82" t="s">
        <v>593</v>
      </c>
    </row>
    <row r="386" spans="1:15" x14ac:dyDescent="0.25">
      <c r="A386" s="77">
        <v>46015</v>
      </c>
      <c r="B386" s="25" t="s">
        <v>440</v>
      </c>
      <c r="C386" s="25"/>
      <c r="D386" s="77">
        <f t="shared" si="99"/>
        <v>46038</v>
      </c>
      <c r="E386" s="77">
        <f t="shared" si="100"/>
        <v>46022</v>
      </c>
      <c r="F386" s="77">
        <f t="shared" si="101"/>
        <v>46029</v>
      </c>
      <c r="G386" s="77">
        <f t="shared" si="102"/>
        <v>46035</v>
      </c>
      <c r="H386" s="77">
        <f t="shared" si="103"/>
        <v>46023</v>
      </c>
      <c r="I386" s="77">
        <f t="shared" si="104"/>
        <v>46030</v>
      </c>
      <c r="J386" s="77">
        <v>46045</v>
      </c>
      <c r="K386" s="78">
        <f t="shared" si="105"/>
        <v>30</v>
      </c>
      <c r="L386" s="84">
        <v>14.15</v>
      </c>
      <c r="M386" s="82">
        <v>12.61</v>
      </c>
      <c r="N386" s="25">
        <f t="shared" si="98"/>
        <v>1.5400000000000009</v>
      </c>
      <c r="O386" s="82" t="s">
        <v>593</v>
      </c>
    </row>
    <row r="387" spans="1:15" x14ac:dyDescent="0.25">
      <c r="A387" s="77">
        <v>46015</v>
      </c>
      <c r="B387" s="25" t="s">
        <v>441</v>
      </c>
      <c r="C387" s="25"/>
      <c r="D387" s="77">
        <f t="shared" si="99"/>
        <v>46038</v>
      </c>
      <c r="E387" s="77">
        <f t="shared" si="100"/>
        <v>46022</v>
      </c>
      <c r="F387" s="77">
        <f t="shared" si="101"/>
        <v>46029</v>
      </c>
      <c r="G387" s="77">
        <f t="shared" si="102"/>
        <v>46035</v>
      </c>
      <c r="H387" s="77">
        <f t="shared" si="103"/>
        <v>46023</v>
      </c>
      <c r="I387" s="77">
        <f t="shared" si="104"/>
        <v>46030</v>
      </c>
      <c r="J387" s="77">
        <v>46045</v>
      </c>
      <c r="K387" s="78">
        <f t="shared" si="105"/>
        <v>30</v>
      </c>
      <c r="L387" s="84">
        <v>14.87</v>
      </c>
      <c r="M387" s="82">
        <v>13.1</v>
      </c>
      <c r="N387" s="25">
        <f t="shared" si="98"/>
        <v>1.7699999999999996</v>
      </c>
      <c r="O387" s="82" t="s">
        <v>593</v>
      </c>
    </row>
    <row r="388" spans="1:15" x14ac:dyDescent="0.25">
      <c r="A388" s="77">
        <v>46016</v>
      </c>
      <c r="B388" s="25" t="s">
        <v>428</v>
      </c>
      <c r="C388" s="25"/>
      <c r="D388" s="77">
        <f t="shared" si="99"/>
        <v>46039</v>
      </c>
      <c r="E388" s="77">
        <f t="shared" si="100"/>
        <v>46023</v>
      </c>
      <c r="F388" s="77">
        <f t="shared" si="101"/>
        <v>46030</v>
      </c>
      <c r="G388" s="77">
        <f t="shared" ref="G388:G394" si="106">A388+20</f>
        <v>46036</v>
      </c>
      <c r="H388" s="77">
        <f t="shared" ref="H388:H394" si="107">A388+8</f>
        <v>46024</v>
      </c>
      <c r="I388" s="77">
        <f t="shared" ref="I388:I394" si="108">A388+15</f>
        <v>46031</v>
      </c>
      <c r="J388" s="77">
        <v>46046</v>
      </c>
      <c r="K388" s="78">
        <f t="shared" si="105"/>
        <v>30</v>
      </c>
      <c r="L388" s="84">
        <v>12.69</v>
      </c>
      <c r="M388" s="82">
        <v>6.51</v>
      </c>
      <c r="N388" s="25">
        <f t="shared" si="98"/>
        <v>6.18</v>
      </c>
      <c r="O388" s="82" t="s">
        <v>592</v>
      </c>
    </row>
    <row r="389" spans="1:15" x14ac:dyDescent="0.25">
      <c r="A389" s="77">
        <v>46016</v>
      </c>
      <c r="B389" s="25" t="s">
        <v>429</v>
      </c>
      <c r="C389" s="25"/>
      <c r="D389" s="77">
        <f t="shared" si="99"/>
        <v>46039</v>
      </c>
      <c r="E389" s="77">
        <f t="shared" si="100"/>
        <v>46023</v>
      </c>
      <c r="F389" s="77">
        <f t="shared" si="101"/>
        <v>46030</v>
      </c>
      <c r="G389" s="77">
        <f t="shared" si="106"/>
        <v>46036</v>
      </c>
      <c r="H389" s="77">
        <f t="shared" si="107"/>
        <v>46024</v>
      </c>
      <c r="I389" s="77">
        <f t="shared" si="108"/>
        <v>46031</v>
      </c>
      <c r="J389" s="77">
        <v>46046</v>
      </c>
      <c r="K389" s="78">
        <f t="shared" si="105"/>
        <v>30</v>
      </c>
      <c r="L389" s="84">
        <v>11.15</v>
      </c>
      <c r="M389" s="82">
        <v>5.74</v>
      </c>
      <c r="N389" s="25">
        <f t="shared" si="98"/>
        <v>5.41</v>
      </c>
      <c r="O389" s="82" t="s">
        <v>592</v>
      </c>
    </row>
    <row r="390" spans="1:15" x14ac:dyDescent="0.25">
      <c r="A390" s="77">
        <v>46016</v>
      </c>
      <c r="B390" s="25" t="s">
        <v>430</v>
      </c>
      <c r="C390" s="25"/>
      <c r="D390" s="77">
        <f t="shared" si="99"/>
        <v>46039</v>
      </c>
      <c r="E390" s="77">
        <f t="shared" si="100"/>
        <v>46023</v>
      </c>
      <c r="F390" s="77">
        <f t="shared" si="101"/>
        <v>46030</v>
      </c>
      <c r="G390" s="77">
        <f t="shared" si="106"/>
        <v>46036</v>
      </c>
      <c r="H390" s="77">
        <f t="shared" si="107"/>
        <v>46024</v>
      </c>
      <c r="I390" s="77">
        <f t="shared" si="108"/>
        <v>46031</v>
      </c>
      <c r="J390" s="77">
        <v>46046</v>
      </c>
      <c r="K390" s="78">
        <f t="shared" si="105"/>
        <v>30</v>
      </c>
      <c r="L390" s="84">
        <v>10.44</v>
      </c>
      <c r="M390" s="82">
        <v>4.7300000000000004</v>
      </c>
      <c r="N390" s="25">
        <f t="shared" si="98"/>
        <v>5.7099999999999991</v>
      </c>
      <c r="O390" s="82" t="s">
        <v>592</v>
      </c>
    </row>
    <row r="391" spans="1:15" x14ac:dyDescent="0.25">
      <c r="A391" s="77">
        <v>46016</v>
      </c>
      <c r="B391" s="25" t="s">
        <v>431</v>
      </c>
      <c r="C391" s="25"/>
      <c r="D391" s="77">
        <f t="shared" si="99"/>
        <v>46039</v>
      </c>
      <c r="E391" s="77">
        <f t="shared" si="100"/>
        <v>46023</v>
      </c>
      <c r="F391" s="77">
        <f t="shared" si="101"/>
        <v>46030</v>
      </c>
      <c r="G391" s="77">
        <f t="shared" si="106"/>
        <v>46036</v>
      </c>
      <c r="H391" s="77">
        <f t="shared" si="107"/>
        <v>46024</v>
      </c>
      <c r="I391" s="77">
        <f t="shared" si="108"/>
        <v>46031</v>
      </c>
      <c r="J391" s="77">
        <v>46046</v>
      </c>
      <c r="K391" s="78">
        <f t="shared" si="105"/>
        <v>30</v>
      </c>
      <c r="L391" s="84">
        <v>10.119999999999999</v>
      </c>
      <c r="M391" s="82">
        <v>4.26</v>
      </c>
      <c r="N391" s="25">
        <f t="shared" si="98"/>
        <v>5.8599999999999994</v>
      </c>
      <c r="O391" s="82" t="s">
        <v>592</v>
      </c>
    </row>
    <row r="392" spans="1:15" x14ac:dyDescent="0.25">
      <c r="A392" s="77">
        <v>46016</v>
      </c>
      <c r="B392" s="25" t="s">
        <v>432</v>
      </c>
      <c r="C392" s="25"/>
      <c r="D392" s="77">
        <f t="shared" si="99"/>
        <v>46039</v>
      </c>
      <c r="E392" s="77">
        <f t="shared" si="100"/>
        <v>46023</v>
      </c>
      <c r="F392" s="77">
        <f t="shared" si="101"/>
        <v>46030</v>
      </c>
      <c r="G392" s="77">
        <f t="shared" si="106"/>
        <v>46036</v>
      </c>
      <c r="H392" s="77">
        <f t="shared" si="107"/>
        <v>46024</v>
      </c>
      <c r="I392" s="77">
        <f t="shared" si="108"/>
        <v>46031</v>
      </c>
      <c r="J392" s="77">
        <v>46046</v>
      </c>
      <c r="K392" s="78">
        <f t="shared" si="105"/>
        <v>30</v>
      </c>
      <c r="L392" s="84">
        <v>12.17</v>
      </c>
      <c r="M392" s="82">
        <v>10.23</v>
      </c>
      <c r="N392" s="25">
        <f t="shared" si="98"/>
        <v>1.9399999999999995</v>
      </c>
      <c r="O392" s="82" t="s">
        <v>593</v>
      </c>
    </row>
    <row r="393" spans="1:15" x14ac:dyDescent="0.25">
      <c r="A393" s="77">
        <v>46016</v>
      </c>
      <c r="B393" s="25" t="s">
        <v>433</v>
      </c>
      <c r="C393" s="25"/>
      <c r="D393" s="77">
        <f t="shared" si="99"/>
        <v>46039</v>
      </c>
      <c r="E393" s="77">
        <f t="shared" si="100"/>
        <v>46023</v>
      </c>
      <c r="F393" s="77">
        <f t="shared" si="101"/>
        <v>46030</v>
      </c>
      <c r="G393" s="77">
        <f t="shared" si="106"/>
        <v>46036</v>
      </c>
      <c r="H393" s="77">
        <f t="shared" si="107"/>
        <v>46024</v>
      </c>
      <c r="I393" s="77">
        <f t="shared" si="108"/>
        <v>46031</v>
      </c>
      <c r="J393" s="77">
        <v>46046</v>
      </c>
      <c r="K393" s="78">
        <f t="shared" si="105"/>
        <v>30</v>
      </c>
      <c r="L393" s="84">
        <v>13.06</v>
      </c>
      <c r="M393" s="82">
        <v>11.15</v>
      </c>
      <c r="N393" s="25">
        <f t="shared" si="98"/>
        <v>1.9100000000000001</v>
      </c>
      <c r="O393" s="82" t="s">
        <v>593</v>
      </c>
    </row>
    <row r="394" spans="1:15" x14ac:dyDescent="0.25">
      <c r="A394" s="77">
        <v>46016</v>
      </c>
      <c r="B394" s="25" t="s">
        <v>434</v>
      </c>
      <c r="C394" s="25"/>
      <c r="D394" s="77">
        <f t="shared" si="99"/>
        <v>46039</v>
      </c>
      <c r="E394" s="77">
        <f t="shared" si="100"/>
        <v>46023</v>
      </c>
      <c r="F394" s="77">
        <f t="shared" si="101"/>
        <v>46030</v>
      </c>
      <c r="G394" s="77">
        <f t="shared" si="106"/>
        <v>46036</v>
      </c>
      <c r="H394" s="77">
        <f t="shared" si="107"/>
        <v>46024</v>
      </c>
      <c r="I394" s="77">
        <f t="shared" si="108"/>
        <v>46031</v>
      </c>
      <c r="J394" s="77">
        <v>46046</v>
      </c>
      <c r="K394" s="78">
        <f t="shared" si="105"/>
        <v>30</v>
      </c>
      <c r="L394" s="84">
        <v>13.89</v>
      </c>
      <c r="M394" s="82">
        <v>12.01</v>
      </c>
      <c r="N394" s="25">
        <f t="shared" si="98"/>
        <v>1.8800000000000008</v>
      </c>
      <c r="O394" s="82" t="s">
        <v>593</v>
      </c>
    </row>
    <row r="395" spans="1:15" x14ac:dyDescent="0.25">
      <c r="A395" s="77">
        <v>46017</v>
      </c>
      <c r="B395" s="25" t="s">
        <v>559</v>
      </c>
      <c r="C395" s="25"/>
      <c r="D395" s="77">
        <f t="shared" ref="D395:D401" si="109">A395+23</f>
        <v>46040</v>
      </c>
      <c r="E395" s="77">
        <f t="shared" ref="E395:E401" si="110">A395+7</f>
        <v>46024</v>
      </c>
      <c r="F395" s="77">
        <f t="shared" ref="F395:F401" si="111">A395+14</f>
        <v>46031</v>
      </c>
      <c r="G395" s="77">
        <f t="shared" ref="G395:G401" si="112">A395+20</f>
        <v>46037</v>
      </c>
      <c r="H395" s="77">
        <f t="shared" ref="H395:H401" si="113">A395+8</f>
        <v>46025</v>
      </c>
      <c r="I395" s="77">
        <f t="shared" ref="I395:I401" si="114">A395+15</f>
        <v>46032</v>
      </c>
      <c r="J395" s="77">
        <v>46046</v>
      </c>
      <c r="K395" s="78">
        <f t="shared" si="105"/>
        <v>29</v>
      </c>
      <c r="L395" s="84">
        <v>14.19</v>
      </c>
      <c r="M395" s="82">
        <v>12.19</v>
      </c>
      <c r="N395" s="25">
        <f t="shared" si="98"/>
        <v>2</v>
      </c>
      <c r="O395" s="82" t="s">
        <v>593</v>
      </c>
    </row>
    <row r="396" spans="1:15" x14ac:dyDescent="0.25">
      <c r="A396" s="77">
        <v>46017</v>
      </c>
      <c r="B396" s="25" t="s">
        <v>560</v>
      </c>
      <c r="C396" s="25"/>
      <c r="D396" s="77">
        <f t="shared" si="109"/>
        <v>46040</v>
      </c>
      <c r="E396" s="77">
        <f t="shared" si="110"/>
        <v>46024</v>
      </c>
      <c r="F396" s="77">
        <f t="shared" si="111"/>
        <v>46031</v>
      </c>
      <c r="G396" s="77">
        <f t="shared" si="112"/>
        <v>46037</v>
      </c>
      <c r="H396" s="77">
        <f t="shared" si="113"/>
        <v>46025</v>
      </c>
      <c r="I396" s="77">
        <f t="shared" si="114"/>
        <v>46032</v>
      </c>
      <c r="J396" s="77">
        <v>46046</v>
      </c>
      <c r="K396" s="78">
        <f t="shared" si="105"/>
        <v>29</v>
      </c>
      <c r="L396" s="84">
        <v>11.73</v>
      </c>
      <c r="M396" s="82">
        <v>10.58</v>
      </c>
      <c r="N396" s="25">
        <f t="shared" si="98"/>
        <v>1.1500000000000004</v>
      </c>
      <c r="O396" s="82" t="s">
        <v>593</v>
      </c>
    </row>
    <row r="397" spans="1:15" x14ac:dyDescent="0.25">
      <c r="A397" s="77">
        <v>46017</v>
      </c>
      <c r="B397" s="25" t="s">
        <v>561</v>
      </c>
      <c r="C397" s="25"/>
      <c r="D397" s="77">
        <f t="shared" si="109"/>
        <v>46040</v>
      </c>
      <c r="E397" s="77">
        <f t="shared" si="110"/>
        <v>46024</v>
      </c>
      <c r="F397" s="77">
        <f t="shared" si="111"/>
        <v>46031</v>
      </c>
      <c r="G397" s="77">
        <f t="shared" si="112"/>
        <v>46037</v>
      </c>
      <c r="H397" s="77">
        <f t="shared" si="113"/>
        <v>46025</v>
      </c>
      <c r="I397" s="77">
        <f t="shared" si="114"/>
        <v>46032</v>
      </c>
      <c r="J397" s="77">
        <v>46046</v>
      </c>
      <c r="K397" s="78">
        <f t="shared" si="105"/>
        <v>29</v>
      </c>
      <c r="L397" s="84">
        <v>12.58</v>
      </c>
      <c r="M397" s="82">
        <v>11.2</v>
      </c>
      <c r="N397" s="25">
        <f t="shared" si="98"/>
        <v>1.3800000000000008</v>
      </c>
      <c r="O397" s="82" t="s">
        <v>593</v>
      </c>
    </row>
    <row r="398" spans="1:15" x14ac:dyDescent="0.25">
      <c r="A398" s="77">
        <v>46017</v>
      </c>
      <c r="B398" s="25" t="s">
        <v>562</v>
      </c>
      <c r="C398" s="25"/>
      <c r="D398" s="77">
        <f t="shared" si="109"/>
        <v>46040</v>
      </c>
      <c r="E398" s="77">
        <f t="shared" si="110"/>
        <v>46024</v>
      </c>
      <c r="F398" s="77">
        <f t="shared" si="111"/>
        <v>46031</v>
      </c>
      <c r="G398" s="77">
        <f t="shared" si="112"/>
        <v>46037</v>
      </c>
      <c r="H398" s="77">
        <f t="shared" si="113"/>
        <v>46025</v>
      </c>
      <c r="I398" s="77">
        <f t="shared" si="114"/>
        <v>46032</v>
      </c>
      <c r="J398" s="77">
        <v>46047</v>
      </c>
      <c r="K398" s="78">
        <f t="shared" si="105"/>
        <v>30</v>
      </c>
      <c r="L398" s="25">
        <v>7.12</v>
      </c>
      <c r="M398" s="25">
        <v>4.9800000000000004</v>
      </c>
      <c r="N398" s="25">
        <f t="shared" si="98"/>
        <v>2.1399999999999997</v>
      </c>
      <c r="O398" s="25" t="s">
        <v>592</v>
      </c>
    </row>
    <row r="399" spans="1:15" x14ac:dyDescent="0.25">
      <c r="A399" s="77">
        <v>46017</v>
      </c>
      <c r="B399" s="25" t="s">
        <v>563</v>
      </c>
      <c r="C399" s="25"/>
      <c r="D399" s="77">
        <f t="shared" si="109"/>
        <v>46040</v>
      </c>
      <c r="E399" s="77">
        <f t="shared" si="110"/>
        <v>46024</v>
      </c>
      <c r="F399" s="77">
        <f t="shared" si="111"/>
        <v>46031</v>
      </c>
      <c r="G399" s="77">
        <f t="shared" si="112"/>
        <v>46037</v>
      </c>
      <c r="H399" s="77">
        <f t="shared" si="113"/>
        <v>46025</v>
      </c>
      <c r="I399" s="77">
        <f t="shared" si="114"/>
        <v>46032</v>
      </c>
      <c r="J399" s="77">
        <v>46047</v>
      </c>
      <c r="K399" s="78">
        <f t="shared" si="105"/>
        <v>30</v>
      </c>
      <c r="L399" s="25">
        <v>8.19</v>
      </c>
      <c r="M399" s="25">
        <v>4.72</v>
      </c>
      <c r="N399" s="25">
        <f t="shared" si="98"/>
        <v>3.4699999999999998</v>
      </c>
      <c r="O399" s="25" t="s">
        <v>592</v>
      </c>
    </row>
    <row r="400" spans="1:15" x14ac:dyDescent="0.25">
      <c r="A400" s="77">
        <v>46017</v>
      </c>
      <c r="B400" s="25" t="s">
        <v>564</v>
      </c>
      <c r="C400" s="25"/>
      <c r="D400" s="77">
        <f t="shared" si="109"/>
        <v>46040</v>
      </c>
      <c r="E400" s="77">
        <f t="shared" si="110"/>
        <v>46024</v>
      </c>
      <c r="F400" s="77">
        <f t="shared" si="111"/>
        <v>46031</v>
      </c>
      <c r="G400" s="77">
        <f t="shared" si="112"/>
        <v>46037</v>
      </c>
      <c r="H400" s="77">
        <f t="shared" si="113"/>
        <v>46025</v>
      </c>
      <c r="I400" s="77">
        <f t="shared" si="114"/>
        <v>46032</v>
      </c>
      <c r="J400" s="77">
        <v>46047</v>
      </c>
      <c r="K400" s="78">
        <f t="shared" si="105"/>
        <v>30</v>
      </c>
      <c r="L400" s="25">
        <v>8.23</v>
      </c>
      <c r="M400" s="25">
        <v>4.1900000000000004</v>
      </c>
      <c r="N400" s="25">
        <f t="shared" si="98"/>
        <v>4.04</v>
      </c>
      <c r="O400" s="25" t="s">
        <v>592</v>
      </c>
    </row>
    <row r="401" spans="1:17" x14ac:dyDescent="0.25">
      <c r="A401" s="77">
        <v>46017</v>
      </c>
      <c r="B401" s="25" t="s">
        <v>565</v>
      </c>
      <c r="C401" s="25"/>
      <c r="D401" s="77">
        <f t="shared" si="109"/>
        <v>46040</v>
      </c>
      <c r="E401" s="77">
        <f t="shared" si="110"/>
        <v>46024</v>
      </c>
      <c r="F401" s="77">
        <f t="shared" si="111"/>
        <v>46031</v>
      </c>
      <c r="G401" s="77">
        <f t="shared" si="112"/>
        <v>46037</v>
      </c>
      <c r="H401" s="77">
        <f t="shared" si="113"/>
        <v>46025</v>
      </c>
      <c r="I401" s="77">
        <f t="shared" si="114"/>
        <v>46032</v>
      </c>
      <c r="J401" s="77">
        <v>46047</v>
      </c>
      <c r="K401" s="78">
        <f t="shared" si="105"/>
        <v>30</v>
      </c>
      <c r="L401" s="25">
        <v>6.15</v>
      </c>
      <c r="M401" s="25">
        <v>3.71</v>
      </c>
      <c r="N401" s="25">
        <f t="shared" si="98"/>
        <v>2.4400000000000004</v>
      </c>
      <c r="O401" s="25" t="s">
        <v>592</v>
      </c>
    </row>
    <row r="402" spans="1:17" x14ac:dyDescent="0.25">
      <c r="A402" s="77">
        <v>46018</v>
      </c>
      <c r="B402" s="25" t="s">
        <v>566</v>
      </c>
      <c r="C402" s="25"/>
      <c r="D402" s="77">
        <f t="shared" ref="D402:D408" si="115">A402+23</f>
        <v>46041</v>
      </c>
      <c r="E402" s="77">
        <f t="shared" ref="E402:E408" si="116">A402+7</f>
        <v>46025</v>
      </c>
      <c r="F402" s="77">
        <f t="shared" ref="F402:F408" si="117">A402+14</f>
        <v>46032</v>
      </c>
      <c r="G402" s="77">
        <f t="shared" ref="G402:G408" si="118">A402+20</f>
        <v>46038</v>
      </c>
      <c r="H402" s="77">
        <f t="shared" ref="H402:H408" si="119">A402+8</f>
        <v>46026</v>
      </c>
      <c r="I402" s="77">
        <f t="shared" ref="I402:I408" si="120">A402+15</f>
        <v>46033</v>
      </c>
      <c r="J402" s="77">
        <v>46047</v>
      </c>
      <c r="K402" s="78">
        <f t="shared" si="105"/>
        <v>29</v>
      </c>
      <c r="L402" s="25">
        <v>8.19</v>
      </c>
      <c r="M402" s="25">
        <v>4.2699999999999996</v>
      </c>
      <c r="N402" s="25">
        <f t="shared" si="98"/>
        <v>3.92</v>
      </c>
      <c r="O402" s="25" t="s">
        <v>592</v>
      </c>
    </row>
    <row r="403" spans="1:17" x14ac:dyDescent="0.25">
      <c r="A403" s="77">
        <v>46018</v>
      </c>
      <c r="B403" s="25" t="s">
        <v>567</v>
      </c>
      <c r="C403" s="25"/>
      <c r="D403" s="77">
        <f t="shared" si="115"/>
        <v>46041</v>
      </c>
      <c r="E403" s="77">
        <f t="shared" si="116"/>
        <v>46025</v>
      </c>
      <c r="F403" s="77">
        <f t="shared" si="117"/>
        <v>46032</v>
      </c>
      <c r="G403" s="77">
        <f t="shared" si="118"/>
        <v>46038</v>
      </c>
      <c r="H403" s="77">
        <f t="shared" si="119"/>
        <v>46026</v>
      </c>
      <c r="I403" s="77">
        <f t="shared" si="120"/>
        <v>46033</v>
      </c>
      <c r="J403" s="77">
        <v>46047</v>
      </c>
      <c r="K403" s="78">
        <f t="shared" si="105"/>
        <v>29</v>
      </c>
      <c r="L403" s="25">
        <v>8.23</v>
      </c>
      <c r="M403" s="25">
        <v>4.29</v>
      </c>
      <c r="N403" s="25">
        <f t="shared" si="98"/>
        <v>3.9400000000000004</v>
      </c>
      <c r="O403" s="25" t="s">
        <v>592</v>
      </c>
    </row>
    <row r="404" spans="1:17" x14ac:dyDescent="0.25">
      <c r="A404" s="77">
        <v>46018</v>
      </c>
      <c r="B404" s="25" t="s">
        <v>568</v>
      </c>
      <c r="C404" s="25"/>
      <c r="D404" s="77">
        <f t="shared" si="115"/>
        <v>46041</v>
      </c>
      <c r="E404" s="77">
        <f t="shared" si="116"/>
        <v>46025</v>
      </c>
      <c r="F404" s="77">
        <f t="shared" si="117"/>
        <v>46032</v>
      </c>
      <c r="G404" s="77">
        <f t="shared" si="118"/>
        <v>46038</v>
      </c>
      <c r="H404" s="77">
        <f t="shared" si="119"/>
        <v>46026</v>
      </c>
      <c r="I404" s="77">
        <f t="shared" si="120"/>
        <v>46033</v>
      </c>
      <c r="J404" s="77">
        <v>46047</v>
      </c>
      <c r="K404" s="78">
        <f t="shared" si="105"/>
        <v>29</v>
      </c>
      <c r="L404" s="25">
        <v>10.74</v>
      </c>
      <c r="M404" s="25">
        <v>5.63</v>
      </c>
      <c r="N404" s="25">
        <f t="shared" si="98"/>
        <v>5.1100000000000003</v>
      </c>
      <c r="O404" s="25" t="s">
        <v>592</v>
      </c>
    </row>
    <row r="405" spans="1:17" x14ac:dyDescent="0.25">
      <c r="A405" s="77">
        <v>46018</v>
      </c>
      <c r="B405" s="25" t="s">
        <v>569</v>
      </c>
      <c r="C405" s="25"/>
      <c r="D405" s="77">
        <f t="shared" si="115"/>
        <v>46041</v>
      </c>
      <c r="E405" s="77">
        <f t="shared" si="116"/>
        <v>46025</v>
      </c>
      <c r="F405" s="77">
        <f t="shared" si="117"/>
        <v>46032</v>
      </c>
      <c r="G405" s="77">
        <f t="shared" si="118"/>
        <v>46038</v>
      </c>
      <c r="H405" s="77">
        <f t="shared" si="119"/>
        <v>46026</v>
      </c>
      <c r="I405" s="77">
        <f t="shared" si="120"/>
        <v>46033</v>
      </c>
      <c r="J405" s="77">
        <v>46047</v>
      </c>
      <c r="K405" s="78">
        <f t="shared" si="105"/>
        <v>29</v>
      </c>
      <c r="L405" s="25">
        <v>11.16</v>
      </c>
      <c r="M405" s="25">
        <v>5.84</v>
      </c>
      <c r="N405" s="25">
        <f t="shared" si="98"/>
        <v>5.32</v>
      </c>
      <c r="O405" s="25" t="s">
        <v>592</v>
      </c>
    </row>
    <row r="406" spans="1:17" x14ac:dyDescent="0.25">
      <c r="A406" s="77">
        <v>46018</v>
      </c>
      <c r="B406" s="25" t="s">
        <v>570</v>
      </c>
      <c r="C406" s="25"/>
      <c r="D406" s="77">
        <f t="shared" si="115"/>
        <v>46041</v>
      </c>
      <c r="E406" s="77">
        <f t="shared" si="116"/>
        <v>46025</v>
      </c>
      <c r="F406" s="77">
        <f t="shared" si="117"/>
        <v>46032</v>
      </c>
      <c r="G406" s="77">
        <f t="shared" si="118"/>
        <v>46038</v>
      </c>
      <c r="H406" s="77">
        <f t="shared" si="119"/>
        <v>46026</v>
      </c>
      <c r="I406" s="77">
        <f t="shared" si="120"/>
        <v>46033</v>
      </c>
      <c r="J406" s="77">
        <v>46047</v>
      </c>
      <c r="K406" s="78">
        <f t="shared" si="105"/>
        <v>29</v>
      </c>
      <c r="L406" s="25">
        <v>10.08</v>
      </c>
      <c r="M406" s="25">
        <v>8.19</v>
      </c>
      <c r="N406" s="25">
        <f t="shared" si="98"/>
        <v>1.8900000000000006</v>
      </c>
      <c r="O406" s="25" t="s">
        <v>593</v>
      </c>
    </row>
    <row r="407" spans="1:17" x14ac:dyDescent="0.25">
      <c r="A407" s="77">
        <v>46018</v>
      </c>
      <c r="B407" s="25" t="s">
        <v>571</v>
      </c>
      <c r="C407" s="25"/>
      <c r="D407" s="77">
        <f t="shared" si="115"/>
        <v>46041</v>
      </c>
      <c r="E407" s="77">
        <f t="shared" si="116"/>
        <v>46025</v>
      </c>
      <c r="F407" s="77">
        <f t="shared" si="117"/>
        <v>46032</v>
      </c>
      <c r="G407" s="77">
        <f t="shared" si="118"/>
        <v>46038</v>
      </c>
      <c r="H407" s="77">
        <f t="shared" si="119"/>
        <v>46026</v>
      </c>
      <c r="I407" s="77">
        <f t="shared" si="120"/>
        <v>46033</v>
      </c>
      <c r="J407" s="77">
        <v>46047</v>
      </c>
      <c r="K407" s="78">
        <f t="shared" si="105"/>
        <v>29</v>
      </c>
      <c r="L407" s="25">
        <v>10.92</v>
      </c>
      <c r="M407" s="25">
        <v>9.43</v>
      </c>
      <c r="N407" s="25">
        <f t="shared" si="98"/>
        <v>1.4900000000000002</v>
      </c>
      <c r="O407" s="25" t="s">
        <v>593</v>
      </c>
    </row>
    <row r="408" spans="1:17" x14ac:dyDescent="0.25">
      <c r="A408" s="77">
        <v>46018</v>
      </c>
      <c r="B408" s="25" t="s">
        <v>572</v>
      </c>
      <c r="C408" s="25"/>
      <c r="D408" s="77">
        <f t="shared" si="115"/>
        <v>46041</v>
      </c>
      <c r="E408" s="77">
        <f t="shared" si="116"/>
        <v>46025</v>
      </c>
      <c r="F408" s="77">
        <f t="shared" si="117"/>
        <v>46032</v>
      </c>
      <c r="G408" s="77">
        <f t="shared" si="118"/>
        <v>46038</v>
      </c>
      <c r="H408" s="77">
        <f t="shared" si="119"/>
        <v>46026</v>
      </c>
      <c r="I408" s="77">
        <f t="shared" si="120"/>
        <v>46033</v>
      </c>
      <c r="J408" s="77">
        <v>46047</v>
      </c>
      <c r="K408" s="78">
        <f t="shared" si="105"/>
        <v>29</v>
      </c>
      <c r="L408" s="25">
        <v>10.27</v>
      </c>
      <c r="M408" s="25">
        <v>8.76</v>
      </c>
      <c r="N408" s="25">
        <f t="shared" si="98"/>
        <v>1.5099999999999998</v>
      </c>
      <c r="O408" s="25" t="s">
        <v>593</v>
      </c>
    </row>
    <row r="409" spans="1:17" x14ac:dyDescent="0.25">
      <c r="A409" s="77">
        <v>46019</v>
      </c>
      <c r="B409" s="25" t="s">
        <v>573</v>
      </c>
      <c r="C409" s="25"/>
      <c r="D409" s="77">
        <f t="shared" ref="D409:D415" si="121">A409+23</f>
        <v>46042</v>
      </c>
      <c r="E409" s="77">
        <f t="shared" ref="E409:E415" si="122">A409+7</f>
        <v>46026</v>
      </c>
      <c r="F409" s="77">
        <f t="shared" ref="F409:F415" si="123">A409+14</f>
        <v>46033</v>
      </c>
      <c r="G409" s="77">
        <f t="shared" ref="G409:G415" si="124">A409+20</f>
        <v>46039</v>
      </c>
      <c r="H409" s="77">
        <f t="shared" ref="H409:H415" si="125">A409+8</f>
        <v>46027</v>
      </c>
      <c r="I409" s="77">
        <f t="shared" ref="I409:I415" si="126">A409+15</f>
        <v>46034</v>
      </c>
      <c r="J409" s="77">
        <v>46047</v>
      </c>
      <c r="K409" s="78">
        <f t="shared" si="105"/>
        <v>28</v>
      </c>
      <c r="L409" s="25">
        <v>9.76</v>
      </c>
      <c r="M409" s="25">
        <v>7.83</v>
      </c>
      <c r="N409" s="25">
        <f t="shared" si="98"/>
        <v>1.9299999999999997</v>
      </c>
      <c r="O409" s="25" t="s">
        <v>593</v>
      </c>
    </row>
    <row r="410" spans="1:17" x14ac:dyDescent="0.25">
      <c r="A410" s="77">
        <v>46019</v>
      </c>
      <c r="B410" s="25" t="s">
        <v>574</v>
      </c>
      <c r="C410" s="25"/>
      <c r="D410" s="77">
        <f t="shared" si="121"/>
        <v>46042</v>
      </c>
      <c r="E410" s="77">
        <f t="shared" si="122"/>
        <v>46026</v>
      </c>
      <c r="F410" s="77">
        <f t="shared" si="123"/>
        <v>46033</v>
      </c>
      <c r="G410" s="77">
        <f t="shared" si="124"/>
        <v>46039</v>
      </c>
      <c r="H410" s="77">
        <f t="shared" si="125"/>
        <v>46027</v>
      </c>
      <c r="I410" s="77">
        <f t="shared" si="126"/>
        <v>46034</v>
      </c>
      <c r="J410" s="77">
        <v>46047</v>
      </c>
      <c r="K410" s="78">
        <f t="shared" si="105"/>
        <v>28</v>
      </c>
      <c r="L410" s="25">
        <v>9.92</v>
      </c>
      <c r="M410" s="25">
        <v>8.1199999999999992</v>
      </c>
      <c r="N410" s="25">
        <f t="shared" si="98"/>
        <v>1.8000000000000007</v>
      </c>
      <c r="O410" s="25" t="s">
        <v>593</v>
      </c>
    </row>
    <row r="411" spans="1:17" x14ac:dyDescent="0.25">
      <c r="A411" s="77">
        <v>46019</v>
      </c>
      <c r="B411" s="25" t="s">
        <v>575</v>
      </c>
      <c r="C411" s="25"/>
      <c r="D411" s="77">
        <f t="shared" si="121"/>
        <v>46042</v>
      </c>
      <c r="E411" s="77">
        <f t="shared" si="122"/>
        <v>46026</v>
      </c>
      <c r="F411" s="77">
        <f t="shared" si="123"/>
        <v>46033</v>
      </c>
      <c r="G411" s="77">
        <f t="shared" si="124"/>
        <v>46039</v>
      </c>
      <c r="H411" s="77">
        <f t="shared" si="125"/>
        <v>46027</v>
      </c>
      <c r="I411" s="77">
        <f t="shared" si="126"/>
        <v>46034</v>
      </c>
      <c r="J411" s="77">
        <v>46047</v>
      </c>
      <c r="K411" s="78">
        <f t="shared" si="105"/>
        <v>28</v>
      </c>
      <c r="L411" s="25">
        <v>8.33</v>
      </c>
      <c r="M411" s="25">
        <v>7.24</v>
      </c>
      <c r="N411" s="25">
        <f t="shared" si="98"/>
        <v>1.0899999999999999</v>
      </c>
      <c r="O411" s="25" t="s">
        <v>593</v>
      </c>
    </row>
    <row r="412" spans="1:17" x14ac:dyDescent="0.25">
      <c r="A412" s="77">
        <v>46019</v>
      </c>
      <c r="B412" s="25" t="s">
        <v>576</v>
      </c>
      <c r="C412" s="25"/>
      <c r="D412" s="77">
        <f t="shared" si="121"/>
        <v>46042</v>
      </c>
      <c r="E412" s="77">
        <f t="shared" si="122"/>
        <v>46026</v>
      </c>
      <c r="F412" s="77">
        <f t="shared" si="123"/>
        <v>46033</v>
      </c>
      <c r="G412" s="77">
        <f t="shared" si="124"/>
        <v>46039</v>
      </c>
      <c r="H412" s="77">
        <f t="shared" si="125"/>
        <v>46027</v>
      </c>
      <c r="I412" s="77">
        <f t="shared" si="126"/>
        <v>46034</v>
      </c>
      <c r="J412" s="77">
        <v>46047</v>
      </c>
      <c r="K412" s="78">
        <f t="shared" si="105"/>
        <v>28</v>
      </c>
      <c r="L412" s="25">
        <v>7.68</v>
      </c>
      <c r="M412" s="25">
        <v>6.27</v>
      </c>
      <c r="N412" s="25">
        <f t="shared" si="98"/>
        <v>1.4100000000000001</v>
      </c>
      <c r="O412" s="25" t="s">
        <v>593</v>
      </c>
    </row>
    <row r="413" spans="1:17" x14ac:dyDescent="0.25">
      <c r="A413" s="77">
        <v>46019</v>
      </c>
      <c r="B413" s="25" t="s">
        <v>577</v>
      </c>
      <c r="C413" s="25"/>
      <c r="D413" s="77">
        <f t="shared" si="121"/>
        <v>46042</v>
      </c>
      <c r="E413" s="77">
        <f t="shared" si="122"/>
        <v>46026</v>
      </c>
      <c r="F413" s="77">
        <f t="shared" si="123"/>
        <v>46033</v>
      </c>
      <c r="G413" s="77">
        <f t="shared" si="124"/>
        <v>46039</v>
      </c>
      <c r="H413" s="77">
        <f t="shared" si="125"/>
        <v>46027</v>
      </c>
      <c r="I413" s="77">
        <f t="shared" si="126"/>
        <v>46034</v>
      </c>
      <c r="J413" s="77">
        <v>46047</v>
      </c>
      <c r="K413" s="78">
        <f t="shared" si="105"/>
        <v>28</v>
      </c>
      <c r="L413" s="25">
        <v>6.19</v>
      </c>
      <c r="M413" s="25">
        <v>4.51</v>
      </c>
      <c r="N413" s="25">
        <f t="shared" si="98"/>
        <v>1.6800000000000006</v>
      </c>
      <c r="O413" s="25" t="s">
        <v>593</v>
      </c>
    </row>
    <row r="414" spans="1:17" x14ac:dyDescent="0.25">
      <c r="A414" s="77">
        <v>46019</v>
      </c>
      <c r="B414" s="25" t="s">
        <v>578</v>
      </c>
      <c r="C414" s="25"/>
      <c r="D414" s="77">
        <f t="shared" si="121"/>
        <v>46042</v>
      </c>
      <c r="E414" s="77">
        <f t="shared" si="122"/>
        <v>46026</v>
      </c>
      <c r="F414" s="77">
        <f t="shared" si="123"/>
        <v>46033</v>
      </c>
      <c r="G414" s="77">
        <f t="shared" si="124"/>
        <v>46039</v>
      </c>
      <c r="H414" s="77">
        <f t="shared" si="125"/>
        <v>46027</v>
      </c>
      <c r="I414" s="77">
        <f t="shared" si="126"/>
        <v>46034</v>
      </c>
      <c r="J414" s="77">
        <v>46047</v>
      </c>
      <c r="K414" s="78">
        <f t="shared" si="105"/>
        <v>28</v>
      </c>
      <c r="L414" s="25">
        <v>6.83</v>
      </c>
      <c r="M414" s="25">
        <v>4.8600000000000003</v>
      </c>
      <c r="N414" s="25">
        <f t="shared" si="98"/>
        <v>1.9699999999999998</v>
      </c>
      <c r="O414" s="25" t="s">
        <v>593</v>
      </c>
    </row>
    <row r="415" spans="1:17" x14ac:dyDescent="0.25">
      <c r="A415" s="77">
        <v>46019</v>
      </c>
      <c r="B415" s="25" t="s">
        <v>1144</v>
      </c>
      <c r="C415" s="25"/>
      <c r="D415" s="77">
        <f t="shared" si="121"/>
        <v>46042</v>
      </c>
      <c r="E415" s="77">
        <f t="shared" si="122"/>
        <v>46026</v>
      </c>
      <c r="F415" s="77">
        <f t="shared" si="123"/>
        <v>46033</v>
      </c>
      <c r="G415" s="77">
        <f t="shared" si="124"/>
        <v>46039</v>
      </c>
      <c r="H415" s="77">
        <f t="shared" si="125"/>
        <v>46027</v>
      </c>
      <c r="I415" s="77">
        <f t="shared" si="126"/>
        <v>46034</v>
      </c>
      <c r="J415" s="77">
        <v>46048</v>
      </c>
      <c r="K415" s="78">
        <f t="shared" si="105"/>
        <v>29</v>
      </c>
      <c r="L415" s="25">
        <v>14.53</v>
      </c>
      <c r="M415" s="25">
        <v>7.64</v>
      </c>
      <c r="N415" s="25">
        <f t="shared" si="98"/>
        <v>6.89</v>
      </c>
      <c r="O415" s="25" t="s">
        <v>592</v>
      </c>
    </row>
    <row r="416" spans="1:17" x14ac:dyDescent="0.25">
      <c r="A416" s="77">
        <v>46020</v>
      </c>
      <c r="B416" s="25" t="s">
        <v>465</v>
      </c>
      <c r="C416" s="25"/>
      <c r="D416" s="77">
        <f>A416+23</f>
        <v>46043</v>
      </c>
      <c r="E416" s="77">
        <f>A416+7</f>
        <v>46027</v>
      </c>
      <c r="F416" s="77">
        <f>A416+14</f>
        <v>46034</v>
      </c>
      <c r="G416" s="77">
        <f>A416+20</f>
        <v>46040</v>
      </c>
      <c r="H416" s="77">
        <f>A416+8</f>
        <v>46028</v>
      </c>
      <c r="I416" s="77">
        <f>A416+15</f>
        <v>46035</v>
      </c>
      <c r="J416" s="77">
        <v>46049</v>
      </c>
      <c r="K416" s="78">
        <f t="shared" si="105"/>
        <v>29</v>
      </c>
      <c r="L416" s="25">
        <v>0</v>
      </c>
      <c r="M416" s="25">
        <v>0</v>
      </c>
      <c r="N416" s="25">
        <f t="shared" si="98"/>
        <v>0</v>
      </c>
      <c r="O416" s="25"/>
      <c r="Q416" s="85"/>
    </row>
    <row r="417" spans="1:17" x14ac:dyDescent="0.25">
      <c r="A417" s="77">
        <v>46020</v>
      </c>
      <c r="B417" s="25" t="s">
        <v>466</v>
      </c>
      <c r="C417" s="25"/>
      <c r="D417" s="77">
        <f t="shared" ref="D417:D422" si="127">A417+23</f>
        <v>46043</v>
      </c>
      <c r="E417" s="77">
        <f t="shared" ref="E417:E422" si="128">A417+7</f>
        <v>46027</v>
      </c>
      <c r="F417" s="77">
        <f t="shared" ref="F417:F422" si="129">A417+14</f>
        <v>46034</v>
      </c>
      <c r="G417" s="77">
        <f t="shared" ref="G417:G422" si="130">A417+20</f>
        <v>46040</v>
      </c>
      <c r="H417" s="77">
        <f t="shared" ref="H417:H422" si="131">A417+8</f>
        <v>46028</v>
      </c>
      <c r="I417" s="77">
        <f t="shared" ref="I417:I422" si="132">A417+15</f>
        <v>46035</v>
      </c>
      <c r="J417" s="77">
        <v>46049</v>
      </c>
      <c r="K417" s="78">
        <f t="shared" ref="K417:K422" si="133">J417-A417</f>
        <v>29</v>
      </c>
      <c r="L417" s="25">
        <v>0</v>
      </c>
      <c r="M417" s="25">
        <v>0</v>
      </c>
      <c r="N417" s="25">
        <f t="shared" ref="N417:N422" si="134">L417-M417</f>
        <v>0</v>
      </c>
      <c r="O417" s="25"/>
      <c r="Q417" s="85"/>
    </row>
    <row r="418" spans="1:17" x14ac:dyDescent="0.25">
      <c r="A418" s="77">
        <v>46020</v>
      </c>
      <c r="B418" s="25" t="s">
        <v>467</v>
      </c>
      <c r="C418" s="25"/>
      <c r="D418" s="77">
        <f t="shared" si="127"/>
        <v>46043</v>
      </c>
      <c r="E418" s="77">
        <f t="shared" si="128"/>
        <v>46027</v>
      </c>
      <c r="F418" s="77">
        <f t="shared" si="129"/>
        <v>46034</v>
      </c>
      <c r="G418" s="77">
        <f t="shared" si="130"/>
        <v>46040</v>
      </c>
      <c r="H418" s="77">
        <f t="shared" si="131"/>
        <v>46028</v>
      </c>
      <c r="I418" s="77">
        <f t="shared" si="132"/>
        <v>46035</v>
      </c>
      <c r="J418" s="77">
        <v>46049</v>
      </c>
      <c r="K418" s="78">
        <f t="shared" si="133"/>
        <v>29</v>
      </c>
      <c r="L418" s="25">
        <v>0</v>
      </c>
      <c r="M418" s="25">
        <v>0</v>
      </c>
      <c r="N418" s="25">
        <f t="shared" si="134"/>
        <v>0</v>
      </c>
      <c r="O418" s="25"/>
      <c r="Q418" s="85"/>
    </row>
    <row r="419" spans="1:17" x14ac:dyDescent="0.25">
      <c r="A419" s="77">
        <v>46020</v>
      </c>
      <c r="B419" s="25" t="s">
        <v>468</v>
      </c>
      <c r="C419" s="25"/>
      <c r="D419" s="77">
        <f t="shared" si="127"/>
        <v>46043</v>
      </c>
      <c r="E419" s="77">
        <f t="shared" si="128"/>
        <v>46027</v>
      </c>
      <c r="F419" s="77">
        <f t="shared" si="129"/>
        <v>46034</v>
      </c>
      <c r="G419" s="77">
        <f t="shared" si="130"/>
        <v>46040</v>
      </c>
      <c r="H419" s="77">
        <f t="shared" si="131"/>
        <v>46028</v>
      </c>
      <c r="I419" s="77">
        <f t="shared" si="132"/>
        <v>46035</v>
      </c>
      <c r="J419" s="77">
        <v>46049</v>
      </c>
      <c r="K419" s="78">
        <f t="shared" si="133"/>
        <v>29</v>
      </c>
      <c r="L419" s="25">
        <v>0</v>
      </c>
      <c r="M419" s="25">
        <v>0</v>
      </c>
      <c r="N419" s="25">
        <f t="shared" si="134"/>
        <v>0</v>
      </c>
      <c r="O419" s="25"/>
      <c r="Q419" s="85"/>
    </row>
    <row r="420" spans="1:17" x14ac:dyDescent="0.25">
      <c r="A420" s="77">
        <v>46020</v>
      </c>
      <c r="B420" s="25" t="s">
        <v>469</v>
      </c>
      <c r="C420" s="25"/>
      <c r="D420" s="77">
        <f t="shared" si="127"/>
        <v>46043</v>
      </c>
      <c r="E420" s="77">
        <f t="shared" si="128"/>
        <v>46027</v>
      </c>
      <c r="F420" s="77">
        <f t="shared" si="129"/>
        <v>46034</v>
      </c>
      <c r="G420" s="77">
        <f t="shared" si="130"/>
        <v>46040</v>
      </c>
      <c r="H420" s="77">
        <f t="shared" si="131"/>
        <v>46028</v>
      </c>
      <c r="I420" s="77">
        <f t="shared" si="132"/>
        <v>46035</v>
      </c>
      <c r="J420" s="77">
        <v>46049</v>
      </c>
      <c r="K420" s="78">
        <f t="shared" si="133"/>
        <v>29</v>
      </c>
      <c r="L420" s="25">
        <v>0</v>
      </c>
      <c r="M420" s="25">
        <v>0</v>
      </c>
      <c r="N420" s="25">
        <f t="shared" si="134"/>
        <v>0</v>
      </c>
      <c r="O420" s="25"/>
      <c r="Q420" s="85"/>
    </row>
    <row r="421" spans="1:17" x14ac:dyDescent="0.25">
      <c r="A421" s="77">
        <v>46020</v>
      </c>
      <c r="B421" s="25" t="s">
        <v>470</v>
      </c>
      <c r="C421" s="25"/>
      <c r="D421" s="77">
        <f t="shared" si="127"/>
        <v>46043</v>
      </c>
      <c r="E421" s="77">
        <f t="shared" si="128"/>
        <v>46027</v>
      </c>
      <c r="F421" s="77">
        <f t="shared" si="129"/>
        <v>46034</v>
      </c>
      <c r="G421" s="77">
        <f t="shared" si="130"/>
        <v>46040</v>
      </c>
      <c r="H421" s="77">
        <f t="shared" si="131"/>
        <v>46028</v>
      </c>
      <c r="I421" s="77">
        <f t="shared" si="132"/>
        <v>46035</v>
      </c>
      <c r="J421" s="77">
        <v>46049</v>
      </c>
      <c r="K421" s="78">
        <f t="shared" si="133"/>
        <v>29</v>
      </c>
      <c r="L421" s="25">
        <v>0</v>
      </c>
      <c r="M421" s="25">
        <v>0</v>
      </c>
      <c r="N421" s="25">
        <f t="shared" si="134"/>
        <v>0</v>
      </c>
      <c r="O421" s="25"/>
    </row>
    <row r="422" spans="1:17" x14ac:dyDescent="0.25">
      <c r="A422" s="77">
        <v>46020</v>
      </c>
      <c r="B422" s="25" t="s">
        <v>471</v>
      </c>
      <c r="C422" s="25"/>
      <c r="D422" s="77">
        <f t="shared" si="127"/>
        <v>46043</v>
      </c>
      <c r="E422" s="77">
        <f t="shared" si="128"/>
        <v>46027</v>
      </c>
      <c r="F422" s="77">
        <f t="shared" si="129"/>
        <v>46034</v>
      </c>
      <c r="G422" s="77">
        <f t="shared" si="130"/>
        <v>46040</v>
      </c>
      <c r="H422" s="77">
        <f t="shared" si="131"/>
        <v>46028</v>
      </c>
      <c r="I422" s="77">
        <f t="shared" si="132"/>
        <v>46035</v>
      </c>
      <c r="J422" s="77">
        <v>46049</v>
      </c>
      <c r="K422" s="78">
        <f t="shared" si="133"/>
        <v>29</v>
      </c>
      <c r="L422" s="25">
        <v>0</v>
      </c>
      <c r="M422" s="25">
        <v>0</v>
      </c>
      <c r="N422" s="25">
        <f t="shared" si="134"/>
        <v>0</v>
      </c>
      <c r="O422" s="25"/>
    </row>
    <row r="423" spans="1:17" x14ac:dyDescent="0.25">
      <c r="A423" s="77">
        <v>46021</v>
      </c>
      <c r="B423" s="25" t="s">
        <v>458</v>
      </c>
      <c r="C423" s="25"/>
      <c r="D423" s="77">
        <f t="shared" ref="D423:D429" si="135">A423+23</f>
        <v>46044</v>
      </c>
      <c r="E423" s="77">
        <f t="shared" ref="E423:E429" si="136">A423+7</f>
        <v>46028</v>
      </c>
      <c r="F423" s="77">
        <f t="shared" ref="F423:F429" si="137">A423+14</f>
        <v>46035</v>
      </c>
      <c r="G423" s="77">
        <f t="shared" ref="G423:G429" si="138">A423+20</f>
        <v>46041</v>
      </c>
      <c r="H423" s="77">
        <f t="shared" ref="H423:H429" si="139">A423+8</f>
        <v>46029</v>
      </c>
      <c r="I423" s="77">
        <f t="shared" ref="I423:I429" si="140">A423+15</f>
        <v>46036</v>
      </c>
      <c r="J423" s="77">
        <v>46048</v>
      </c>
      <c r="K423" s="78">
        <f t="shared" ref="K423:K430" si="141">J423-A423</f>
        <v>27</v>
      </c>
      <c r="L423" s="25">
        <v>12.87</v>
      </c>
      <c r="M423" s="25">
        <v>6.17</v>
      </c>
      <c r="N423" s="25">
        <f t="shared" si="98"/>
        <v>6.6999999999999993</v>
      </c>
      <c r="O423" s="25" t="s">
        <v>592</v>
      </c>
    </row>
    <row r="424" spans="1:17" x14ac:dyDescent="0.25">
      <c r="A424" s="77">
        <v>46021</v>
      </c>
      <c r="B424" s="25" t="s">
        <v>459</v>
      </c>
      <c r="C424" s="25"/>
      <c r="D424" s="77">
        <f t="shared" si="135"/>
        <v>46044</v>
      </c>
      <c r="E424" s="77">
        <f t="shared" si="136"/>
        <v>46028</v>
      </c>
      <c r="F424" s="77">
        <f t="shared" si="137"/>
        <v>46035</v>
      </c>
      <c r="G424" s="77">
        <f t="shared" si="138"/>
        <v>46041</v>
      </c>
      <c r="H424" s="77">
        <f t="shared" si="139"/>
        <v>46029</v>
      </c>
      <c r="I424" s="77">
        <f t="shared" si="140"/>
        <v>46036</v>
      </c>
      <c r="J424" s="77">
        <v>46048</v>
      </c>
      <c r="K424" s="78">
        <f t="shared" si="141"/>
        <v>27</v>
      </c>
      <c r="L424" s="25">
        <v>13.89</v>
      </c>
      <c r="M424" s="25">
        <v>7.28</v>
      </c>
      <c r="N424" s="25">
        <f t="shared" si="98"/>
        <v>6.61</v>
      </c>
      <c r="O424" s="25" t="s">
        <v>592</v>
      </c>
    </row>
    <row r="425" spans="1:17" x14ac:dyDescent="0.25">
      <c r="A425" s="77">
        <v>46021</v>
      </c>
      <c r="B425" s="25" t="s">
        <v>460</v>
      </c>
      <c r="C425" s="25"/>
      <c r="D425" s="77">
        <f t="shared" si="135"/>
        <v>46044</v>
      </c>
      <c r="E425" s="77">
        <f t="shared" si="136"/>
        <v>46028</v>
      </c>
      <c r="F425" s="77">
        <f t="shared" si="137"/>
        <v>46035</v>
      </c>
      <c r="G425" s="77">
        <f t="shared" si="138"/>
        <v>46041</v>
      </c>
      <c r="H425" s="77">
        <f t="shared" si="139"/>
        <v>46029</v>
      </c>
      <c r="I425" s="77">
        <f t="shared" si="140"/>
        <v>46036</v>
      </c>
      <c r="J425" s="77">
        <v>46048</v>
      </c>
      <c r="K425" s="78">
        <f t="shared" si="141"/>
        <v>27</v>
      </c>
      <c r="L425" s="25">
        <v>13.74</v>
      </c>
      <c r="M425" s="25">
        <v>12.06</v>
      </c>
      <c r="N425" s="25">
        <f t="shared" si="98"/>
        <v>1.6799999999999997</v>
      </c>
      <c r="O425" s="25" t="s">
        <v>593</v>
      </c>
    </row>
    <row r="426" spans="1:17" x14ac:dyDescent="0.25">
      <c r="A426" s="77">
        <v>46021</v>
      </c>
      <c r="B426" s="25" t="s">
        <v>461</v>
      </c>
      <c r="C426" s="25"/>
      <c r="D426" s="77">
        <f t="shared" si="135"/>
        <v>46044</v>
      </c>
      <c r="E426" s="77">
        <f t="shared" si="136"/>
        <v>46028</v>
      </c>
      <c r="F426" s="77">
        <f t="shared" si="137"/>
        <v>46035</v>
      </c>
      <c r="G426" s="77">
        <f t="shared" si="138"/>
        <v>46041</v>
      </c>
      <c r="H426" s="77">
        <f t="shared" si="139"/>
        <v>46029</v>
      </c>
      <c r="I426" s="77">
        <f t="shared" si="140"/>
        <v>46036</v>
      </c>
      <c r="J426" s="77">
        <v>46048</v>
      </c>
      <c r="K426" s="78">
        <f t="shared" si="141"/>
        <v>27</v>
      </c>
      <c r="L426" s="25">
        <v>12.68</v>
      </c>
      <c r="M426" s="25">
        <v>11.54</v>
      </c>
      <c r="N426" s="25">
        <f t="shared" si="98"/>
        <v>1.1400000000000006</v>
      </c>
      <c r="O426" s="25" t="s">
        <v>593</v>
      </c>
    </row>
    <row r="427" spans="1:17" x14ac:dyDescent="0.25">
      <c r="A427" s="77">
        <v>46021</v>
      </c>
      <c r="B427" s="25" t="s">
        <v>462</v>
      </c>
      <c r="C427" s="25"/>
      <c r="D427" s="77">
        <f t="shared" si="135"/>
        <v>46044</v>
      </c>
      <c r="E427" s="77">
        <f t="shared" si="136"/>
        <v>46028</v>
      </c>
      <c r="F427" s="77">
        <f t="shared" si="137"/>
        <v>46035</v>
      </c>
      <c r="G427" s="77">
        <f t="shared" si="138"/>
        <v>46041</v>
      </c>
      <c r="H427" s="77">
        <f t="shared" si="139"/>
        <v>46029</v>
      </c>
      <c r="I427" s="77">
        <f t="shared" si="140"/>
        <v>46036</v>
      </c>
      <c r="J427" s="77">
        <v>46048</v>
      </c>
      <c r="K427" s="78">
        <f t="shared" si="141"/>
        <v>27</v>
      </c>
      <c r="L427" s="25">
        <v>12.23</v>
      </c>
      <c r="M427" s="25">
        <v>11.31</v>
      </c>
      <c r="N427" s="25">
        <f t="shared" si="98"/>
        <v>0.91999999999999993</v>
      </c>
      <c r="O427" s="25" t="s">
        <v>593</v>
      </c>
    </row>
    <row r="428" spans="1:17" x14ac:dyDescent="0.25">
      <c r="A428" s="77">
        <v>46021</v>
      </c>
      <c r="B428" s="25" t="s">
        <v>463</v>
      </c>
      <c r="C428" s="25"/>
      <c r="D428" s="77">
        <f t="shared" si="135"/>
        <v>46044</v>
      </c>
      <c r="E428" s="77">
        <f t="shared" si="136"/>
        <v>46028</v>
      </c>
      <c r="F428" s="77">
        <f t="shared" si="137"/>
        <v>46035</v>
      </c>
      <c r="G428" s="77">
        <f t="shared" si="138"/>
        <v>46041</v>
      </c>
      <c r="H428" s="77">
        <f t="shared" si="139"/>
        <v>46029</v>
      </c>
      <c r="I428" s="77">
        <f t="shared" si="140"/>
        <v>46036</v>
      </c>
      <c r="J428" s="77">
        <v>46048</v>
      </c>
      <c r="K428" s="78">
        <f t="shared" si="141"/>
        <v>27</v>
      </c>
      <c r="L428" s="25">
        <v>14.19</v>
      </c>
      <c r="M428" s="25">
        <v>12.51</v>
      </c>
      <c r="N428" s="25">
        <f t="shared" si="98"/>
        <v>1.6799999999999997</v>
      </c>
      <c r="O428" s="25" t="s">
        <v>593</v>
      </c>
    </row>
    <row r="429" spans="1:17" x14ac:dyDescent="0.25">
      <c r="A429" s="77">
        <v>46021</v>
      </c>
      <c r="B429" s="25" t="s">
        <v>464</v>
      </c>
      <c r="C429" s="25"/>
      <c r="D429" s="77">
        <f t="shared" si="135"/>
        <v>46044</v>
      </c>
      <c r="E429" s="77">
        <f t="shared" si="136"/>
        <v>46028</v>
      </c>
      <c r="F429" s="77">
        <f t="shared" si="137"/>
        <v>46035</v>
      </c>
      <c r="G429" s="77">
        <f t="shared" si="138"/>
        <v>46041</v>
      </c>
      <c r="H429" s="77">
        <f t="shared" si="139"/>
        <v>46029</v>
      </c>
      <c r="I429" s="77">
        <f t="shared" si="140"/>
        <v>46036</v>
      </c>
      <c r="J429" s="77">
        <v>46048</v>
      </c>
      <c r="K429" s="78">
        <f t="shared" si="141"/>
        <v>27</v>
      </c>
      <c r="L429" s="25">
        <v>14.35</v>
      </c>
      <c r="M429" s="25">
        <v>12.73</v>
      </c>
      <c r="N429" s="25">
        <f t="shared" si="98"/>
        <v>1.6199999999999992</v>
      </c>
      <c r="O429" s="25" t="s">
        <v>593</v>
      </c>
    </row>
    <row r="430" spans="1:17" x14ac:dyDescent="0.25">
      <c r="A430" s="77">
        <v>46022</v>
      </c>
      <c r="B430" s="25" t="s">
        <v>421</v>
      </c>
      <c r="C430" s="25"/>
      <c r="D430" s="77">
        <f t="shared" ref="D430:D459" si="142">A430+23</f>
        <v>46045</v>
      </c>
      <c r="E430" s="77">
        <f t="shared" ref="E430:E459" si="143">A430+7</f>
        <v>46029</v>
      </c>
      <c r="F430" s="77">
        <f t="shared" ref="F430:F459" si="144">A430+14</f>
        <v>46036</v>
      </c>
      <c r="G430" s="77">
        <f t="shared" ref="G430:G453" si="145">A430+20</f>
        <v>46042</v>
      </c>
      <c r="H430" s="77">
        <f t="shared" ref="H430:H453" si="146">A430+8</f>
        <v>46030</v>
      </c>
      <c r="I430" s="77">
        <f t="shared" ref="I430:I453" si="147">A430+15</f>
        <v>46037</v>
      </c>
      <c r="J430" s="77">
        <v>46049</v>
      </c>
      <c r="K430" s="78">
        <f t="shared" si="141"/>
        <v>27</v>
      </c>
      <c r="L430" s="84">
        <v>14.75</v>
      </c>
      <c r="M430" s="82">
        <v>12.53</v>
      </c>
      <c r="N430" s="25">
        <f t="shared" si="98"/>
        <v>2.2200000000000006</v>
      </c>
      <c r="O430" s="82" t="s">
        <v>593</v>
      </c>
    </row>
    <row r="431" spans="1:17" x14ac:dyDescent="0.25">
      <c r="A431" s="77">
        <v>46022</v>
      </c>
      <c r="B431" s="25" t="s">
        <v>422</v>
      </c>
      <c r="C431" s="25"/>
      <c r="D431" s="77">
        <f t="shared" si="142"/>
        <v>46045</v>
      </c>
      <c r="E431" s="77">
        <f t="shared" si="143"/>
        <v>46029</v>
      </c>
      <c r="F431" s="77">
        <f t="shared" si="144"/>
        <v>46036</v>
      </c>
      <c r="G431" s="77">
        <f t="shared" si="145"/>
        <v>46042</v>
      </c>
      <c r="H431" s="77">
        <f t="shared" si="146"/>
        <v>46030</v>
      </c>
      <c r="I431" s="77">
        <f t="shared" si="147"/>
        <v>46037</v>
      </c>
      <c r="J431" s="77">
        <v>46049</v>
      </c>
      <c r="K431" s="78">
        <f t="shared" ref="K431:K437" si="148">J431-A431</f>
        <v>27</v>
      </c>
      <c r="L431" s="84">
        <v>13.06</v>
      </c>
      <c r="M431" s="82">
        <v>6.33</v>
      </c>
      <c r="N431" s="25">
        <f t="shared" si="98"/>
        <v>6.73</v>
      </c>
      <c r="O431" s="82" t="s">
        <v>592</v>
      </c>
    </row>
    <row r="432" spans="1:17" x14ac:dyDescent="0.25">
      <c r="A432" s="77">
        <v>46022</v>
      </c>
      <c r="B432" s="25" t="s">
        <v>423</v>
      </c>
      <c r="C432" s="25"/>
      <c r="D432" s="77">
        <f t="shared" si="142"/>
        <v>46045</v>
      </c>
      <c r="E432" s="77">
        <f t="shared" si="143"/>
        <v>46029</v>
      </c>
      <c r="F432" s="77">
        <f t="shared" si="144"/>
        <v>46036</v>
      </c>
      <c r="G432" s="77">
        <f t="shared" si="145"/>
        <v>46042</v>
      </c>
      <c r="H432" s="77">
        <f t="shared" si="146"/>
        <v>46030</v>
      </c>
      <c r="I432" s="77">
        <f t="shared" si="147"/>
        <v>46037</v>
      </c>
      <c r="J432" s="77">
        <v>46049</v>
      </c>
      <c r="K432" s="78">
        <f t="shared" si="148"/>
        <v>27</v>
      </c>
      <c r="L432" s="84">
        <v>12.42</v>
      </c>
      <c r="M432" s="82">
        <v>6.1</v>
      </c>
      <c r="N432" s="25">
        <f t="shared" si="98"/>
        <v>6.32</v>
      </c>
      <c r="O432" s="82" t="s">
        <v>592</v>
      </c>
    </row>
    <row r="433" spans="1:17" x14ac:dyDescent="0.25">
      <c r="A433" s="77">
        <v>46022</v>
      </c>
      <c r="B433" s="25" t="s">
        <v>424</v>
      </c>
      <c r="C433" s="25"/>
      <c r="D433" s="77">
        <f t="shared" si="142"/>
        <v>46045</v>
      </c>
      <c r="E433" s="77">
        <f t="shared" si="143"/>
        <v>46029</v>
      </c>
      <c r="F433" s="77">
        <f t="shared" si="144"/>
        <v>46036</v>
      </c>
      <c r="G433" s="77">
        <f t="shared" si="145"/>
        <v>46042</v>
      </c>
      <c r="H433" s="77">
        <f t="shared" si="146"/>
        <v>46030</v>
      </c>
      <c r="I433" s="77">
        <f t="shared" si="147"/>
        <v>46037</v>
      </c>
      <c r="J433" s="77">
        <v>46049</v>
      </c>
      <c r="K433" s="78">
        <f t="shared" si="148"/>
        <v>27</v>
      </c>
      <c r="L433" s="84">
        <v>13.86</v>
      </c>
      <c r="M433" s="82">
        <v>7.11</v>
      </c>
      <c r="N433" s="25">
        <f t="shared" si="98"/>
        <v>6.7499999999999991</v>
      </c>
      <c r="O433" s="82" t="s">
        <v>592</v>
      </c>
    </row>
    <row r="434" spans="1:17" x14ac:dyDescent="0.25">
      <c r="A434" s="77">
        <v>46022</v>
      </c>
      <c r="B434" s="25" t="s">
        <v>425</v>
      </c>
      <c r="C434" s="25"/>
      <c r="D434" s="77">
        <f t="shared" si="142"/>
        <v>46045</v>
      </c>
      <c r="E434" s="77">
        <f t="shared" si="143"/>
        <v>46029</v>
      </c>
      <c r="F434" s="77">
        <f t="shared" si="144"/>
        <v>46036</v>
      </c>
      <c r="G434" s="77">
        <f t="shared" si="145"/>
        <v>46042</v>
      </c>
      <c r="H434" s="77">
        <f t="shared" si="146"/>
        <v>46030</v>
      </c>
      <c r="I434" s="77">
        <f t="shared" si="147"/>
        <v>46037</v>
      </c>
      <c r="J434" s="77">
        <v>46049</v>
      </c>
      <c r="K434" s="78">
        <f t="shared" si="148"/>
        <v>27</v>
      </c>
      <c r="L434" s="84">
        <v>12.51</v>
      </c>
      <c r="M434" s="82">
        <v>6.25</v>
      </c>
      <c r="N434" s="25">
        <f t="shared" si="98"/>
        <v>6.26</v>
      </c>
      <c r="O434" s="82" t="s">
        <v>592</v>
      </c>
    </row>
    <row r="435" spans="1:17" x14ac:dyDescent="0.25">
      <c r="A435" s="77">
        <v>46022</v>
      </c>
      <c r="B435" s="25" t="s">
        <v>426</v>
      </c>
      <c r="C435" s="25"/>
      <c r="D435" s="77">
        <f t="shared" si="142"/>
        <v>46045</v>
      </c>
      <c r="E435" s="77">
        <f t="shared" si="143"/>
        <v>46029</v>
      </c>
      <c r="F435" s="77">
        <f t="shared" si="144"/>
        <v>46036</v>
      </c>
      <c r="G435" s="77">
        <f t="shared" si="145"/>
        <v>46042</v>
      </c>
      <c r="H435" s="77">
        <f t="shared" si="146"/>
        <v>46030</v>
      </c>
      <c r="I435" s="77">
        <f t="shared" si="147"/>
        <v>46037</v>
      </c>
      <c r="J435" s="77">
        <v>46048</v>
      </c>
      <c r="K435" s="78">
        <f t="shared" si="148"/>
        <v>26</v>
      </c>
      <c r="L435" s="25">
        <v>12.22</v>
      </c>
      <c r="M435" s="25">
        <v>10.48</v>
      </c>
      <c r="N435" s="25">
        <f t="shared" si="98"/>
        <v>1.7400000000000002</v>
      </c>
      <c r="O435" s="25" t="s">
        <v>593</v>
      </c>
    </row>
    <row r="436" spans="1:17" x14ac:dyDescent="0.25">
      <c r="A436" s="77">
        <v>46022</v>
      </c>
      <c r="B436" s="25" t="s">
        <v>427</v>
      </c>
      <c r="C436" s="25"/>
      <c r="D436" s="77">
        <f t="shared" si="142"/>
        <v>46045</v>
      </c>
      <c r="E436" s="77">
        <f t="shared" si="143"/>
        <v>46029</v>
      </c>
      <c r="F436" s="77">
        <f t="shared" si="144"/>
        <v>46036</v>
      </c>
      <c r="G436" s="77">
        <f t="shared" si="145"/>
        <v>46042</v>
      </c>
      <c r="H436" s="77">
        <f t="shared" si="146"/>
        <v>46030</v>
      </c>
      <c r="I436" s="77">
        <f t="shared" si="147"/>
        <v>46037</v>
      </c>
      <c r="J436" s="77">
        <v>46048</v>
      </c>
      <c r="K436" s="78">
        <f t="shared" si="148"/>
        <v>26</v>
      </c>
      <c r="L436" s="25">
        <v>12.04</v>
      </c>
      <c r="M436" s="25">
        <v>10.210000000000001</v>
      </c>
      <c r="N436" s="25">
        <f t="shared" si="98"/>
        <v>1.8299999999999983</v>
      </c>
      <c r="O436" s="25" t="s">
        <v>593</v>
      </c>
    </row>
    <row r="437" spans="1:17" x14ac:dyDescent="0.25">
      <c r="A437" s="77">
        <v>46023</v>
      </c>
      <c r="B437" s="25" t="s">
        <v>451</v>
      </c>
      <c r="C437" s="25"/>
      <c r="D437" s="77">
        <f t="shared" si="142"/>
        <v>46046</v>
      </c>
      <c r="E437" s="77">
        <f t="shared" si="143"/>
        <v>46030</v>
      </c>
      <c r="F437" s="77">
        <f t="shared" si="144"/>
        <v>46037</v>
      </c>
      <c r="G437" s="77">
        <f t="shared" si="145"/>
        <v>46043</v>
      </c>
      <c r="H437" s="77">
        <f t="shared" si="146"/>
        <v>46031</v>
      </c>
      <c r="I437" s="77">
        <f t="shared" si="147"/>
        <v>46038</v>
      </c>
      <c r="J437" s="77">
        <v>46050</v>
      </c>
      <c r="K437" s="78">
        <f t="shared" si="148"/>
        <v>27</v>
      </c>
      <c r="L437" s="84">
        <v>6.91</v>
      </c>
      <c r="M437" s="82">
        <v>5.24</v>
      </c>
      <c r="N437" s="25">
        <f t="shared" si="98"/>
        <v>1.67</v>
      </c>
      <c r="O437" s="82" t="s">
        <v>592</v>
      </c>
      <c r="Q437" s="85"/>
    </row>
    <row r="438" spans="1:17" x14ac:dyDescent="0.25">
      <c r="A438" s="77">
        <v>46023</v>
      </c>
      <c r="B438" s="25" t="s">
        <v>452</v>
      </c>
      <c r="C438" s="25"/>
      <c r="D438" s="77">
        <f t="shared" si="142"/>
        <v>46046</v>
      </c>
      <c r="E438" s="77">
        <f t="shared" si="143"/>
        <v>46030</v>
      </c>
      <c r="F438" s="77">
        <f t="shared" si="144"/>
        <v>46037</v>
      </c>
      <c r="G438" s="77">
        <f t="shared" si="145"/>
        <v>46043</v>
      </c>
      <c r="H438" s="77">
        <f t="shared" si="146"/>
        <v>46031</v>
      </c>
      <c r="I438" s="77">
        <f t="shared" si="147"/>
        <v>46038</v>
      </c>
      <c r="J438" s="77">
        <v>46050</v>
      </c>
      <c r="K438" s="78">
        <f t="shared" ref="K438:K443" si="149">J438-A438</f>
        <v>27</v>
      </c>
      <c r="L438" s="84">
        <v>7.86</v>
      </c>
      <c r="M438" s="82">
        <v>6.58</v>
      </c>
      <c r="N438" s="25">
        <f t="shared" si="98"/>
        <v>1.2800000000000002</v>
      </c>
      <c r="O438" s="82" t="s">
        <v>592</v>
      </c>
      <c r="Q438" s="85"/>
    </row>
    <row r="439" spans="1:17" x14ac:dyDescent="0.25">
      <c r="A439" s="77">
        <v>46023</v>
      </c>
      <c r="B439" s="25" t="s">
        <v>453</v>
      </c>
      <c r="C439" s="25"/>
      <c r="D439" s="77">
        <f t="shared" si="142"/>
        <v>46046</v>
      </c>
      <c r="E439" s="77">
        <f t="shared" si="143"/>
        <v>46030</v>
      </c>
      <c r="F439" s="77">
        <f t="shared" si="144"/>
        <v>46037</v>
      </c>
      <c r="G439" s="77">
        <f t="shared" si="145"/>
        <v>46043</v>
      </c>
      <c r="H439" s="77">
        <f t="shared" si="146"/>
        <v>46031</v>
      </c>
      <c r="I439" s="77">
        <f t="shared" si="147"/>
        <v>46038</v>
      </c>
      <c r="J439" s="77">
        <v>46050</v>
      </c>
      <c r="K439" s="78">
        <f t="shared" si="149"/>
        <v>27</v>
      </c>
      <c r="L439" s="84">
        <v>8.94</v>
      </c>
      <c r="M439" s="82">
        <v>7.12</v>
      </c>
      <c r="N439" s="25">
        <f t="shared" si="98"/>
        <v>1.8199999999999994</v>
      </c>
      <c r="O439" s="82" t="s">
        <v>592</v>
      </c>
      <c r="Q439" s="85"/>
    </row>
    <row r="440" spans="1:17" x14ac:dyDescent="0.25">
      <c r="A440" s="77">
        <v>46023</v>
      </c>
      <c r="B440" s="25" t="s">
        <v>454</v>
      </c>
      <c r="C440" s="25"/>
      <c r="D440" s="77">
        <f t="shared" si="142"/>
        <v>46046</v>
      </c>
      <c r="E440" s="77">
        <f t="shared" si="143"/>
        <v>46030</v>
      </c>
      <c r="F440" s="77">
        <f t="shared" si="144"/>
        <v>46037</v>
      </c>
      <c r="G440" s="77">
        <f t="shared" si="145"/>
        <v>46043</v>
      </c>
      <c r="H440" s="77">
        <f t="shared" si="146"/>
        <v>46031</v>
      </c>
      <c r="I440" s="77">
        <f t="shared" si="147"/>
        <v>46038</v>
      </c>
      <c r="J440" s="77">
        <v>46050</v>
      </c>
      <c r="K440" s="78">
        <f t="shared" si="149"/>
        <v>27</v>
      </c>
      <c r="L440" s="84">
        <v>11.07</v>
      </c>
      <c r="M440" s="82">
        <v>9.6</v>
      </c>
      <c r="N440" s="25">
        <f t="shared" si="98"/>
        <v>1.4700000000000006</v>
      </c>
      <c r="O440" s="82" t="s">
        <v>592</v>
      </c>
      <c r="Q440" s="85"/>
    </row>
    <row r="441" spans="1:17" x14ac:dyDescent="0.25">
      <c r="A441" s="77">
        <v>46023</v>
      </c>
      <c r="B441" s="25" t="s">
        <v>455</v>
      </c>
      <c r="C441" s="25"/>
      <c r="D441" s="77">
        <f t="shared" si="142"/>
        <v>46046</v>
      </c>
      <c r="E441" s="77">
        <f t="shared" si="143"/>
        <v>46030</v>
      </c>
      <c r="F441" s="77">
        <f t="shared" si="144"/>
        <v>46037</v>
      </c>
      <c r="G441" s="77">
        <f t="shared" si="145"/>
        <v>46043</v>
      </c>
      <c r="H441" s="77">
        <f t="shared" si="146"/>
        <v>46031</v>
      </c>
      <c r="I441" s="77">
        <f t="shared" si="147"/>
        <v>46038</v>
      </c>
      <c r="J441" s="77">
        <v>46050</v>
      </c>
      <c r="K441" s="78">
        <f t="shared" si="149"/>
        <v>27</v>
      </c>
      <c r="L441" s="84">
        <v>11.84</v>
      </c>
      <c r="M441" s="82">
        <v>10.71</v>
      </c>
      <c r="N441" s="25">
        <f t="shared" ref="N441:N493" si="150">L441-M441</f>
        <v>1.129999999999999</v>
      </c>
      <c r="O441" s="82" t="s">
        <v>593</v>
      </c>
      <c r="Q441" s="85"/>
    </row>
    <row r="442" spans="1:17" x14ac:dyDescent="0.25">
      <c r="A442" s="77">
        <v>46023</v>
      </c>
      <c r="B442" s="25" t="s">
        <v>456</v>
      </c>
      <c r="C442" s="25"/>
      <c r="D442" s="77">
        <f t="shared" si="142"/>
        <v>46046</v>
      </c>
      <c r="E442" s="77">
        <f t="shared" si="143"/>
        <v>46030</v>
      </c>
      <c r="F442" s="77">
        <f t="shared" si="144"/>
        <v>46037</v>
      </c>
      <c r="G442" s="77">
        <f t="shared" si="145"/>
        <v>46043</v>
      </c>
      <c r="H442" s="77">
        <f t="shared" si="146"/>
        <v>46031</v>
      </c>
      <c r="I442" s="77">
        <f t="shared" si="147"/>
        <v>46038</v>
      </c>
      <c r="J442" s="77">
        <v>46050</v>
      </c>
      <c r="K442" s="78">
        <f t="shared" si="149"/>
        <v>27</v>
      </c>
      <c r="L442" s="84">
        <v>15.71</v>
      </c>
      <c r="M442" s="82">
        <v>11.33</v>
      </c>
      <c r="N442" s="25">
        <f t="shared" si="150"/>
        <v>4.3800000000000008</v>
      </c>
      <c r="O442" s="82" t="s">
        <v>593</v>
      </c>
      <c r="Q442" s="85"/>
    </row>
    <row r="443" spans="1:17" x14ac:dyDescent="0.25">
      <c r="A443" s="77">
        <v>46023</v>
      </c>
      <c r="B443" s="25" t="s">
        <v>457</v>
      </c>
      <c r="C443" s="25"/>
      <c r="D443" s="77">
        <f t="shared" si="142"/>
        <v>46046</v>
      </c>
      <c r="E443" s="77">
        <f t="shared" si="143"/>
        <v>46030</v>
      </c>
      <c r="F443" s="77">
        <f t="shared" si="144"/>
        <v>46037</v>
      </c>
      <c r="G443" s="77">
        <f t="shared" si="145"/>
        <v>46043</v>
      </c>
      <c r="H443" s="77">
        <f t="shared" si="146"/>
        <v>46031</v>
      </c>
      <c r="I443" s="77">
        <f t="shared" si="147"/>
        <v>46038</v>
      </c>
      <c r="J443" s="77">
        <v>46050</v>
      </c>
      <c r="K443" s="78">
        <f t="shared" si="149"/>
        <v>27</v>
      </c>
      <c r="L443" s="84">
        <v>13.16</v>
      </c>
      <c r="M443" s="82">
        <v>11.27</v>
      </c>
      <c r="N443" s="25">
        <f t="shared" si="150"/>
        <v>1.8900000000000006</v>
      </c>
      <c r="O443" s="82" t="s">
        <v>593</v>
      </c>
      <c r="Q443" s="85"/>
    </row>
    <row r="444" spans="1:17" x14ac:dyDescent="0.25">
      <c r="A444" s="77">
        <v>46024</v>
      </c>
      <c r="B444" s="25" t="s">
        <v>414</v>
      </c>
      <c r="C444" s="25"/>
      <c r="D444" s="77">
        <f t="shared" si="142"/>
        <v>46047</v>
      </c>
      <c r="E444" s="77">
        <f t="shared" si="143"/>
        <v>46031</v>
      </c>
      <c r="F444" s="77">
        <f t="shared" si="144"/>
        <v>46038</v>
      </c>
      <c r="G444" s="77">
        <f t="shared" si="145"/>
        <v>46044</v>
      </c>
      <c r="H444" s="77">
        <f t="shared" si="146"/>
        <v>46032</v>
      </c>
      <c r="I444" s="77">
        <f t="shared" si="147"/>
        <v>46039</v>
      </c>
      <c r="J444" s="77">
        <v>46051</v>
      </c>
      <c r="K444" s="78">
        <f t="shared" ref="K444:K449" si="151">J444-A444</f>
        <v>27</v>
      </c>
      <c r="L444" s="84">
        <v>11.37</v>
      </c>
      <c r="M444" s="82">
        <v>10.59</v>
      </c>
      <c r="N444" s="25">
        <f t="shared" si="150"/>
        <v>0.77999999999999936</v>
      </c>
      <c r="O444" s="82" t="s">
        <v>593</v>
      </c>
      <c r="Q444" s="85"/>
    </row>
    <row r="445" spans="1:17" x14ac:dyDescent="0.25">
      <c r="A445" s="77">
        <v>46024</v>
      </c>
      <c r="B445" s="25" t="s">
        <v>415</v>
      </c>
      <c r="C445" s="25"/>
      <c r="D445" s="77">
        <f t="shared" si="142"/>
        <v>46047</v>
      </c>
      <c r="E445" s="77">
        <f t="shared" si="143"/>
        <v>46031</v>
      </c>
      <c r="F445" s="77">
        <f t="shared" si="144"/>
        <v>46038</v>
      </c>
      <c r="G445" s="77">
        <f t="shared" si="145"/>
        <v>46044</v>
      </c>
      <c r="H445" s="77">
        <f t="shared" si="146"/>
        <v>46032</v>
      </c>
      <c r="I445" s="77">
        <f t="shared" si="147"/>
        <v>46039</v>
      </c>
      <c r="J445" s="77">
        <v>46051</v>
      </c>
      <c r="K445" s="78">
        <f t="shared" si="151"/>
        <v>27</v>
      </c>
      <c r="L445" s="84">
        <v>12.74</v>
      </c>
      <c r="M445" s="82">
        <v>11.2</v>
      </c>
      <c r="N445" s="25">
        <f t="shared" si="150"/>
        <v>1.5400000000000009</v>
      </c>
      <c r="O445" s="82" t="s">
        <v>593</v>
      </c>
      <c r="Q445" s="85"/>
    </row>
    <row r="446" spans="1:17" x14ac:dyDescent="0.25">
      <c r="A446" s="77">
        <v>46024</v>
      </c>
      <c r="B446" s="25" t="s">
        <v>416</v>
      </c>
      <c r="C446" s="25"/>
      <c r="D446" s="77">
        <f t="shared" si="142"/>
        <v>46047</v>
      </c>
      <c r="E446" s="77">
        <f t="shared" si="143"/>
        <v>46031</v>
      </c>
      <c r="F446" s="77">
        <f t="shared" si="144"/>
        <v>46038</v>
      </c>
      <c r="G446" s="77">
        <f t="shared" si="145"/>
        <v>46044</v>
      </c>
      <c r="H446" s="77">
        <f t="shared" si="146"/>
        <v>46032</v>
      </c>
      <c r="I446" s="77">
        <f t="shared" si="147"/>
        <v>46039</v>
      </c>
      <c r="J446" s="77">
        <v>46051</v>
      </c>
      <c r="K446" s="78">
        <f t="shared" si="151"/>
        <v>27</v>
      </c>
      <c r="L446" s="84">
        <v>11.86</v>
      </c>
      <c r="M446" s="82">
        <v>5.61</v>
      </c>
      <c r="N446" s="25">
        <f t="shared" si="150"/>
        <v>6.2499999999999991</v>
      </c>
      <c r="O446" s="82" t="s">
        <v>592</v>
      </c>
      <c r="Q446" s="85"/>
    </row>
    <row r="447" spans="1:17" x14ac:dyDescent="0.25">
      <c r="A447" s="77">
        <v>46024</v>
      </c>
      <c r="B447" s="25" t="s">
        <v>417</v>
      </c>
      <c r="C447" s="25"/>
      <c r="D447" s="77">
        <f t="shared" si="142"/>
        <v>46047</v>
      </c>
      <c r="E447" s="77">
        <f t="shared" si="143"/>
        <v>46031</v>
      </c>
      <c r="F447" s="77">
        <f t="shared" si="144"/>
        <v>46038</v>
      </c>
      <c r="G447" s="77">
        <f t="shared" si="145"/>
        <v>46044</v>
      </c>
      <c r="H447" s="77">
        <f t="shared" si="146"/>
        <v>46032</v>
      </c>
      <c r="I447" s="77">
        <f t="shared" si="147"/>
        <v>46039</v>
      </c>
      <c r="J447" s="77">
        <v>46051</v>
      </c>
      <c r="K447" s="78">
        <f t="shared" si="151"/>
        <v>27</v>
      </c>
      <c r="L447" s="84">
        <v>10.41</v>
      </c>
      <c r="M447" s="82">
        <v>4.58</v>
      </c>
      <c r="N447" s="25">
        <f t="shared" si="150"/>
        <v>5.83</v>
      </c>
      <c r="O447" s="82" t="s">
        <v>592</v>
      </c>
      <c r="Q447" s="85"/>
    </row>
    <row r="448" spans="1:17" x14ac:dyDescent="0.25">
      <c r="A448" s="77">
        <v>46024</v>
      </c>
      <c r="B448" s="25" t="s">
        <v>418</v>
      </c>
      <c r="C448" s="25"/>
      <c r="D448" s="77">
        <f t="shared" si="142"/>
        <v>46047</v>
      </c>
      <c r="E448" s="77">
        <f t="shared" si="143"/>
        <v>46031</v>
      </c>
      <c r="F448" s="77">
        <f t="shared" si="144"/>
        <v>46038</v>
      </c>
      <c r="G448" s="77">
        <f t="shared" si="145"/>
        <v>46044</v>
      </c>
      <c r="H448" s="77">
        <f t="shared" si="146"/>
        <v>46032</v>
      </c>
      <c r="I448" s="77">
        <f t="shared" si="147"/>
        <v>46039</v>
      </c>
      <c r="J448" s="77">
        <v>46051</v>
      </c>
      <c r="K448" s="78">
        <f t="shared" si="151"/>
        <v>27</v>
      </c>
      <c r="L448" s="84">
        <v>11.17</v>
      </c>
      <c r="M448" s="82">
        <v>5.12</v>
      </c>
      <c r="N448" s="25">
        <f t="shared" si="150"/>
        <v>6.05</v>
      </c>
      <c r="O448" s="82" t="s">
        <v>592</v>
      </c>
      <c r="Q448" s="85"/>
    </row>
    <row r="449" spans="1:17" x14ac:dyDescent="0.25">
      <c r="A449" s="77">
        <v>46024</v>
      </c>
      <c r="B449" s="25" t="s">
        <v>419</v>
      </c>
      <c r="C449" s="25"/>
      <c r="D449" s="77">
        <f t="shared" si="142"/>
        <v>46047</v>
      </c>
      <c r="E449" s="77">
        <f t="shared" si="143"/>
        <v>46031</v>
      </c>
      <c r="F449" s="77">
        <f t="shared" si="144"/>
        <v>46038</v>
      </c>
      <c r="G449" s="77">
        <f t="shared" si="145"/>
        <v>46044</v>
      </c>
      <c r="H449" s="77">
        <f t="shared" si="146"/>
        <v>46032</v>
      </c>
      <c r="I449" s="77">
        <f t="shared" si="147"/>
        <v>46039</v>
      </c>
      <c r="J449" s="77">
        <v>46051</v>
      </c>
      <c r="K449" s="78">
        <f t="shared" si="151"/>
        <v>27</v>
      </c>
      <c r="L449" s="84">
        <v>11.68</v>
      </c>
      <c r="M449" s="82">
        <v>5.73</v>
      </c>
      <c r="N449" s="25">
        <f t="shared" si="150"/>
        <v>5.9499999999999993</v>
      </c>
      <c r="O449" s="82" t="s">
        <v>592</v>
      </c>
      <c r="Q449" s="85"/>
    </row>
    <row r="450" spans="1:17" x14ac:dyDescent="0.25">
      <c r="A450" s="77">
        <v>46024</v>
      </c>
      <c r="B450" s="25" t="s">
        <v>420</v>
      </c>
      <c r="C450" s="25"/>
      <c r="D450" s="77">
        <f t="shared" si="142"/>
        <v>46047</v>
      </c>
      <c r="E450" s="77">
        <f t="shared" si="143"/>
        <v>46031</v>
      </c>
      <c r="F450" s="77">
        <f t="shared" si="144"/>
        <v>46038</v>
      </c>
      <c r="G450" s="77">
        <f t="shared" si="145"/>
        <v>46044</v>
      </c>
      <c r="H450" s="77">
        <f t="shared" si="146"/>
        <v>46032</v>
      </c>
      <c r="I450" s="77">
        <f t="shared" si="147"/>
        <v>46039</v>
      </c>
      <c r="J450" s="77">
        <v>46050</v>
      </c>
      <c r="K450" s="78">
        <f t="shared" ref="K450:K456" si="152">J450-A450</f>
        <v>26</v>
      </c>
      <c r="L450" s="84">
        <v>10.27</v>
      </c>
      <c r="M450" s="82">
        <v>8.41</v>
      </c>
      <c r="N450" s="25">
        <f t="shared" si="150"/>
        <v>1.8599999999999994</v>
      </c>
      <c r="O450" s="82" t="s">
        <v>593</v>
      </c>
      <c r="Q450" s="85"/>
    </row>
    <row r="451" spans="1:17" x14ac:dyDescent="0.25">
      <c r="A451" s="77">
        <v>46025</v>
      </c>
      <c r="B451" s="25" t="s">
        <v>444</v>
      </c>
      <c r="C451" s="25"/>
      <c r="D451" s="77">
        <f t="shared" si="142"/>
        <v>46048</v>
      </c>
      <c r="E451" s="77">
        <f t="shared" si="143"/>
        <v>46032</v>
      </c>
      <c r="F451" s="77">
        <f t="shared" si="144"/>
        <v>46039</v>
      </c>
      <c r="G451" s="77">
        <f t="shared" si="145"/>
        <v>46045</v>
      </c>
      <c r="H451" s="77">
        <f t="shared" si="146"/>
        <v>46033</v>
      </c>
      <c r="I451" s="77">
        <f t="shared" si="147"/>
        <v>46040</v>
      </c>
      <c r="J451" s="77">
        <v>46052</v>
      </c>
      <c r="K451" s="78">
        <f t="shared" si="152"/>
        <v>27</v>
      </c>
      <c r="L451" s="84">
        <v>13.02</v>
      </c>
      <c r="M451" s="82">
        <v>11.73</v>
      </c>
      <c r="N451" s="25">
        <f t="shared" si="150"/>
        <v>1.2899999999999991</v>
      </c>
      <c r="O451" s="82" t="s">
        <v>593</v>
      </c>
      <c r="Q451" s="85"/>
    </row>
    <row r="452" spans="1:17" x14ac:dyDescent="0.25">
      <c r="A452" s="77">
        <v>46025</v>
      </c>
      <c r="B452" s="25" t="s">
        <v>445</v>
      </c>
      <c r="C452" s="25"/>
      <c r="D452" s="77">
        <f t="shared" si="142"/>
        <v>46048</v>
      </c>
      <c r="E452" s="77">
        <f t="shared" si="143"/>
        <v>46032</v>
      </c>
      <c r="F452" s="77">
        <f t="shared" si="144"/>
        <v>46039</v>
      </c>
      <c r="G452" s="77">
        <f t="shared" si="145"/>
        <v>46045</v>
      </c>
      <c r="H452" s="77">
        <f t="shared" si="146"/>
        <v>46033</v>
      </c>
      <c r="I452" s="77">
        <f t="shared" si="147"/>
        <v>46040</v>
      </c>
      <c r="J452" s="77">
        <v>46052</v>
      </c>
      <c r="K452" s="78">
        <f t="shared" si="152"/>
        <v>27</v>
      </c>
      <c r="L452" s="84">
        <v>13.81</v>
      </c>
      <c r="M452" s="82">
        <v>12.54</v>
      </c>
      <c r="N452" s="25">
        <f t="shared" si="150"/>
        <v>1.2700000000000014</v>
      </c>
      <c r="O452" s="82" t="s">
        <v>593</v>
      </c>
      <c r="Q452" s="85"/>
    </row>
    <row r="453" spans="1:17" x14ac:dyDescent="0.25">
      <c r="A453" s="77">
        <v>46025</v>
      </c>
      <c r="B453" s="25" t="s">
        <v>446</v>
      </c>
      <c r="C453" s="25"/>
      <c r="D453" s="77">
        <f t="shared" si="142"/>
        <v>46048</v>
      </c>
      <c r="E453" s="77">
        <f t="shared" si="143"/>
        <v>46032</v>
      </c>
      <c r="F453" s="77">
        <f t="shared" si="144"/>
        <v>46039</v>
      </c>
      <c r="G453" s="77">
        <f t="shared" si="145"/>
        <v>46045</v>
      </c>
      <c r="H453" s="77">
        <f t="shared" si="146"/>
        <v>46033</v>
      </c>
      <c r="I453" s="77">
        <f t="shared" si="147"/>
        <v>46040</v>
      </c>
      <c r="J453" s="77">
        <v>46052</v>
      </c>
      <c r="K453" s="78">
        <f t="shared" si="152"/>
        <v>27</v>
      </c>
      <c r="L453" s="84">
        <v>12.85</v>
      </c>
      <c r="M453" s="82">
        <v>6.93</v>
      </c>
      <c r="N453" s="25">
        <f t="shared" si="150"/>
        <v>5.92</v>
      </c>
      <c r="O453" s="82" t="s">
        <v>592</v>
      </c>
      <c r="Q453" s="85"/>
    </row>
    <row r="454" spans="1:17" x14ac:dyDescent="0.25">
      <c r="A454" s="77">
        <v>46025</v>
      </c>
      <c r="B454" s="25" t="s">
        <v>447</v>
      </c>
      <c r="C454" s="25"/>
      <c r="D454" s="77">
        <f t="shared" si="142"/>
        <v>46048</v>
      </c>
      <c r="E454" s="77">
        <f t="shared" si="143"/>
        <v>46032</v>
      </c>
      <c r="F454" s="77">
        <f t="shared" si="144"/>
        <v>46039</v>
      </c>
      <c r="G454" s="77">
        <f t="shared" ref="G454:G465" si="153">A454+20</f>
        <v>46045</v>
      </c>
      <c r="H454" s="77">
        <f t="shared" ref="H454:H465" si="154">A454+8</f>
        <v>46033</v>
      </c>
      <c r="I454" s="77">
        <f t="shared" ref="I454:I465" si="155">A454+15</f>
        <v>46040</v>
      </c>
      <c r="J454" s="77">
        <v>46052</v>
      </c>
      <c r="K454" s="78">
        <f t="shared" si="152"/>
        <v>27</v>
      </c>
      <c r="L454" s="84">
        <v>13.36</v>
      </c>
      <c r="M454" s="82">
        <v>7.51</v>
      </c>
      <c r="N454" s="25">
        <f t="shared" si="150"/>
        <v>5.85</v>
      </c>
      <c r="O454" s="82" t="s">
        <v>592</v>
      </c>
      <c r="Q454" s="85"/>
    </row>
    <row r="455" spans="1:17" x14ac:dyDescent="0.25">
      <c r="A455" s="77">
        <v>46025</v>
      </c>
      <c r="B455" s="25" t="s">
        <v>448</v>
      </c>
      <c r="C455" s="25"/>
      <c r="D455" s="77">
        <f t="shared" si="142"/>
        <v>46048</v>
      </c>
      <c r="E455" s="77">
        <f t="shared" si="143"/>
        <v>46032</v>
      </c>
      <c r="F455" s="77">
        <f t="shared" si="144"/>
        <v>46039</v>
      </c>
      <c r="G455" s="77">
        <f t="shared" si="153"/>
        <v>46045</v>
      </c>
      <c r="H455" s="77">
        <f t="shared" si="154"/>
        <v>46033</v>
      </c>
      <c r="I455" s="77">
        <f t="shared" si="155"/>
        <v>46040</v>
      </c>
      <c r="J455" s="77">
        <v>46052</v>
      </c>
      <c r="K455" s="78">
        <f t="shared" si="152"/>
        <v>27</v>
      </c>
      <c r="L455" s="84">
        <v>12.62</v>
      </c>
      <c r="M455" s="82">
        <v>7.78</v>
      </c>
      <c r="N455" s="25">
        <f t="shared" si="150"/>
        <v>4.839999999999999</v>
      </c>
      <c r="O455" s="82" t="s">
        <v>592</v>
      </c>
      <c r="Q455" s="85"/>
    </row>
    <row r="456" spans="1:17" x14ac:dyDescent="0.25">
      <c r="A456" s="77">
        <v>46025</v>
      </c>
      <c r="B456" s="25" t="s">
        <v>449</v>
      </c>
      <c r="C456" s="25"/>
      <c r="D456" s="77">
        <f t="shared" si="142"/>
        <v>46048</v>
      </c>
      <c r="E456" s="77">
        <f t="shared" si="143"/>
        <v>46032</v>
      </c>
      <c r="F456" s="77">
        <f t="shared" si="144"/>
        <v>46039</v>
      </c>
      <c r="G456" s="77">
        <f t="shared" si="153"/>
        <v>46045</v>
      </c>
      <c r="H456" s="77">
        <f t="shared" si="154"/>
        <v>46033</v>
      </c>
      <c r="I456" s="77">
        <f t="shared" si="155"/>
        <v>46040</v>
      </c>
      <c r="J456" s="77">
        <v>46051</v>
      </c>
      <c r="K456" s="78">
        <f t="shared" si="152"/>
        <v>26</v>
      </c>
      <c r="L456" s="84">
        <v>13.53</v>
      </c>
      <c r="M456" s="82">
        <v>12.08</v>
      </c>
      <c r="N456" s="25">
        <f t="shared" si="150"/>
        <v>1.4499999999999993</v>
      </c>
      <c r="O456" s="82" t="s">
        <v>593</v>
      </c>
      <c r="Q456" s="85"/>
    </row>
    <row r="457" spans="1:17" x14ac:dyDescent="0.25">
      <c r="A457" s="77">
        <v>46025</v>
      </c>
      <c r="B457" s="25" t="s">
        <v>450</v>
      </c>
      <c r="C457" s="25"/>
      <c r="D457" s="77">
        <f t="shared" si="142"/>
        <v>46048</v>
      </c>
      <c r="E457" s="77">
        <f t="shared" si="143"/>
        <v>46032</v>
      </c>
      <c r="F457" s="77">
        <f t="shared" si="144"/>
        <v>46039</v>
      </c>
      <c r="G457" s="77">
        <f t="shared" si="153"/>
        <v>46045</v>
      </c>
      <c r="H457" s="77">
        <f t="shared" si="154"/>
        <v>46033</v>
      </c>
      <c r="I457" s="77">
        <f t="shared" si="155"/>
        <v>46040</v>
      </c>
      <c r="J457" s="77">
        <v>46051</v>
      </c>
      <c r="K457" s="78">
        <f t="shared" ref="K457:K464" si="156">J457-A457</f>
        <v>26</v>
      </c>
      <c r="L457" s="84">
        <v>12.05</v>
      </c>
      <c r="M457" s="82">
        <v>10.74</v>
      </c>
      <c r="N457" s="25">
        <f t="shared" si="150"/>
        <v>1.3100000000000005</v>
      </c>
      <c r="O457" s="82" t="s">
        <v>593</v>
      </c>
      <c r="Q457" s="85"/>
    </row>
    <row r="458" spans="1:17" x14ac:dyDescent="0.25">
      <c r="A458" s="77">
        <v>46026</v>
      </c>
      <c r="B458" s="25" t="s">
        <v>412</v>
      </c>
      <c r="C458" s="25"/>
      <c r="D458" s="77">
        <f t="shared" si="142"/>
        <v>46049</v>
      </c>
      <c r="E458" s="77">
        <f t="shared" si="143"/>
        <v>46033</v>
      </c>
      <c r="F458" s="77">
        <f t="shared" si="144"/>
        <v>46040</v>
      </c>
      <c r="G458" s="77">
        <f t="shared" si="153"/>
        <v>46046</v>
      </c>
      <c r="H458" s="77">
        <f t="shared" si="154"/>
        <v>46034</v>
      </c>
      <c r="I458" s="77">
        <f t="shared" si="155"/>
        <v>46041</v>
      </c>
      <c r="J458" s="77">
        <v>46052</v>
      </c>
      <c r="K458" s="78">
        <f t="shared" si="156"/>
        <v>26</v>
      </c>
      <c r="L458" s="84">
        <v>11.89</v>
      </c>
      <c r="M458" s="82">
        <v>10.119999999999999</v>
      </c>
      <c r="N458" s="25">
        <f t="shared" si="150"/>
        <v>1.7700000000000014</v>
      </c>
      <c r="O458" s="82" t="s">
        <v>593</v>
      </c>
      <c r="Q458" s="85"/>
    </row>
    <row r="459" spans="1:17" x14ac:dyDescent="0.25">
      <c r="A459" s="77">
        <v>46026</v>
      </c>
      <c r="B459" s="25" t="s">
        <v>413</v>
      </c>
      <c r="C459" s="25"/>
      <c r="D459" s="77">
        <f t="shared" si="142"/>
        <v>46049</v>
      </c>
      <c r="E459" s="77">
        <f t="shared" si="143"/>
        <v>46033</v>
      </c>
      <c r="F459" s="77">
        <f t="shared" si="144"/>
        <v>46040</v>
      </c>
      <c r="G459" s="77">
        <f t="shared" si="153"/>
        <v>46046</v>
      </c>
      <c r="H459" s="77">
        <f t="shared" si="154"/>
        <v>46034</v>
      </c>
      <c r="I459" s="77">
        <f t="shared" si="155"/>
        <v>46041</v>
      </c>
      <c r="J459" s="77">
        <v>46052</v>
      </c>
      <c r="K459" s="78">
        <f t="shared" si="156"/>
        <v>26</v>
      </c>
      <c r="L459" s="84">
        <v>12.17</v>
      </c>
      <c r="M459" s="82">
        <v>10.54</v>
      </c>
      <c r="N459" s="25">
        <f t="shared" si="150"/>
        <v>1.6300000000000008</v>
      </c>
      <c r="O459" s="82" t="s">
        <v>593</v>
      </c>
      <c r="Q459" s="85"/>
    </row>
    <row r="460" spans="1:17" x14ac:dyDescent="0.25">
      <c r="A460" s="77">
        <v>46026</v>
      </c>
      <c r="B460" s="25" t="s">
        <v>442</v>
      </c>
      <c r="C460" s="25"/>
      <c r="D460" s="77">
        <f t="shared" ref="D460:D465" si="157">A460+23</f>
        <v>46049</v>
      </c>
      <c r="E460" s="77">
        <f t="shared" ref="E460:E465" si="158">A460+7</f>
        <v>46033</v>
      </c>
      <c r="F460" s="77">
        <f t="shared" ref="F460:F465" si="159">A460+14</f>
        <v>46040</v>
      </c>
      <c r="G460" s="77">
        <f t="shared" si="153"/>
        <v>46046</v>
      </c>
      <c r="H460" s="77">
        <f t="shared" si="154"/>
        <v>46034</v>
      </c>
      <c r="I460" s="77">
        <f t="shared" si="155"/>
        <v>46041</v>
      </c>
      <c r="J460" s="77">
        <v>46052</v>
      </c>
      <c r="K460" s="78">
        <f t="shared" si="156"/>
        <v>26</v>
      </c>
      <c r="L460" s="84">
        <v>12.91</v>
      </c>
      <c r="M460" s="82">
        <v>11.06</v>
      </c>
      <c r="N460" s="25">
        <f t="shared" si="150"/>
        <v>1.8499999999999996</v>
      </c>
      <c r="O460" s="82" t="s">
        <v>593</v>
      </c>
      <c r="Q460" s="85"/>
    </row>
    <row r="461" spans="1:17" x14ac:dyDescent="0.25">
      <c r="A461" s="77">
        <v>46026</v>
      </c>
      <c r="B461" s="25" t="s">
        <v>443</v>
      </c>
      <c r="C461" s="25"/>
      <c r="D461" s="77">
        <f t="shared" si="157"/>
        <v>46049</v>
      </c>
      <c r="E461" s="77">
        <f t="shared" si="158"/>
        <v>46033</v>
      </c>
      <c r="F461" s="77">
        <f t="shared" si="159"/>
        <v>46040</v>
      </c>
      <c r="G461" s="77">
        <f t="shared" si="153"/>
        <v>46046</v>
      </c>
      <c r="H461" s="77">
        <f t="shared" si="154"/>
        <v>46034</v>
      </c>
      <c r="I461" s="77">
        <f t="shared" si="155"/>
        <v>46041</v>
      </c>
      <c r="J461" s="77">
        <v>46052</v>
      </c>
      <c r="K461" s="78">
        <f t="shared" si="156"/>
        <v>26</v>
      </c>
      <c r="L461" s="84">
        <v>11.78</v>
      </c>
      <c r="M461" s="82">
        <v>10.24</v>
      </c>
      <c r="N461" s="25">
        <f t="shared" si="150"/>
        <v>1.5399999999999991</v>
      </c>
      <c r="O461" s="82" t="s">
        <v>593</v>
      </c>
    </row>
    <row r="462" spans="1:17" x14ac:dyDescent="0.25">
      <c r="A462" s="77">
        <v>46026</v>
      </c>
      <c r="B462" s="25" t="s">
        <v>1145</v>
      </c>
      <c r="C462" s="25"/>
      <c r="D462" s="77">
        <f t="shared" si="157"/>
        <v>46049</v>
      </c>
      <c r="E462" s="77">
        <f t="shared" si="158"/>
        <v>46033</v>
      </c>
      <c r="F462" s="77">
        <f t="shared" si="159"/>
        <v>46040</v>
      </c>
      <c r="G462" s="77">
        <f t="shared" si="153"/>
        <v>46046</v>
      </c>
      <c r="H462" s="77">
        <f t="shared" si="154"/>
        <v>46034</v>
      </c>
      <c r="I462" s="77">
        <f t="shared" si="155"/>
        <v>46041</v>
      </c>
      <c r="J462" s="77">
        <v>46052</v>
      </c>
      <c r="K462" s="78">
        <f t="shared" si="156"/>
        <v>26</v>
      </c>
      <c r="L462" s="84">
        <v>10.66</v>
      </c>
      <c r="M462" s="82">
        <v>9.81</v>
      </c>
      <c r="N462" s="25">
        <f t="shared" si="150"/>
        <v>0.84999999999999964</v>
      </c>
      <c r="O462" s="82" t="s">
        <v>593</v>
      </c>
    </row>
    <row r="463" spans="1:17" x14ac:dyDescent="0.25">
      <c r="A463" s="77">
        <v>46026</v>
      </c>
      <c r="B463" s="25" t="s">
        <v>1146</v>
      </c>
      <c r="C463" s="25"/>
      <c r="D463" s="77">
        <f t="shared" si="157"/>
        <v>46049</v>
      </c>
      <c r="E463" s="77">
        <f t="shared" si="158"/>
        <v>46033</v>
      </c>
      <c r="F463" s="77">
        <f t="shared" si="159"/>
        <v>46040</v>
      </c>
      <c r="G463" s="77">
        <f t="shared" si="153"/>
        <v>46046</v>
      </c>
      <c r="H463" s="77">
        <f t="shared" si="154"/>
        <v>46034</v>
      </c>
      <c r="I463" s="77">
        <f t="shared" si="155"/>
        <v>46041</v>
      </c>
      <c r="J463" s="77">
        <v>46052</v>
      </c>
      <c r="K463" s="78">
        <f t="shared" si="156"/>
        <v>26</v>
      </c>
      <c r="L463" s="25">
        <v>0</v>
      </c>
      <c r="M463" s="25">
        <v>0</v>
      </c>
      <c r="N463" s="25">
        <v>0</v>
      </c>
      <c r="O463" s="25"/>
      <c r="Q463" s="85"/>
    </row>
    <row r="464" spans="1:17" x14ac:dyDescent="0.25">
      <c r="A464" s="77">
        <v>46026</v>
      </c>
      <c r="B464" s="25" t="s">
        <v>474</v>
      </c>
      <c r="C464" s="25"/>
      <c r="D464" s="77">
        <f t="shared" si="157"/>
        <v>46049</v>
      </c>
      <c r="E464" s="77">
        <f t="shared" si="158"/>
        <v>46033</v>
      </c>
      <c r="F464" s="77">
        <f t="shared" si="159"/>
        <v>46040</v>
      </c>
      <c r="G464" s="77">
        <f t="shared" si="153"/>
        <v>46046</v>
      </c>
      <c r="H464" s="77">
        <f t="shared" si="154"/>
        <v>46034</v>
      </c>
      <c r="I464" s="77">
        <f t="shared" si="155"/>
        <v>46041</v>
      </c>
      <c r="J464" s="77">
        <v>46053</v>
      </c>
      <c r="K464" s="78">
        <f t="shared" si="156"/>
        <v>27</v>
      </c>
      <c r="L464" s="84">
        <v>11.54</v>
      </c>
      <c r="M464" s="82">
        <v>6.24</v>
      </c>
      <c r="N464" s="25">
        <f t="shared" si="150"/>
        <v>5.2999999999999989</v>
      </c>
      <c r="O464" s="82" t="s">
        <v>592</v>
      </c>
      <c r="Q464" s="85"/>
    </row>
    <row r="465" spans="1:17" x14ac:dyDescent="0.25">
      <c r="A465" s="77">
        <v>46026</v>
      </c>
      <c r="B465" s="25" t="s">
        <v>475</v>
      </c>
      <c r="C465" s="25"/>
      <c r="D465" s="77">
        <f t="shared" si="157"/>
        <v>46049</v>
      </c>
      <c r="E465" s="77">
        <f t="shared" si="158"/>
        <v>46033</v>
      </c>
      <c r="F465" s="77">
        <f t="shared" si="159"/>
        <v>46040</v>
      </c>
      <c r="G465" s="77">
        <f t="shared" si="153"/>
        <v>46046</v>
      </c>
      <c r="H465" s="77">
        <f t="shared" si="154"/>
        <v>46034</v>
      </c>
      <c r="I465" s="77">
        <f t="shared" si="155"/>
        <v>46041</v>
      </c>
      <c r="J465" s="77">
        <v>46053</v>
      </c>
      <c r="K465" s="78">
        <f t="shared" ref="K465:K472" si="160">J465-A465</f>
        <v>27</v>
      </c>
      <c r="L465" s="84">
        <v>11.27</v>
      </c>
      <c r="M465" s="82">
        <v>5.68</v>
      </c>
      <c r="N465" s="25">
        <f t="shared" si="150"/>
        <v>5.59</v>
      </c>
      <c r="O465" s="82" t="s">
        <v>592</v>
      </c>
      <c r="Q465" s="85"/>
    </row>
    <row r="466" spans="1:17" x14ac:dyDescent="0.25">
      <c r="A466" s="77">
        <v>46027</v>
      </c>
      <c r="B466" s="25" t="s">
        <v>476</v>
      </c>
      <c r="C466" s="25"/>
      <c r="D466" s="77">
        <f>A466+23</f>
        <v>46050</v>
      </c>
      <c r="E466" s="77">
        <f>A466+7</f>
        <v>46034</v>
      </c>
      <c r="F466" s="77">
        <f>A466+14</f>
        <v>46041</v>
      </c>
      <c r="G466" s="77">
        <f>A466+20</f>
        <v>46047</v>
      </c>
      <c r="H466" s="77">
        <f>A466+8</f>
        <v>46035</v>
      </c>
      <c r="I466" s="77">
        <f>A466+15</f>
        <v>46042</v>
      </c>
      <c r="J466" s="77">
        <v>46053</v>
      </c>
      <c r="K466" s="78">
        <f t="shared" si="160"/>
        <v>26</v>
      </c>
      <c r="L466" s="84">
        <v>12.92</v>
      </c>
      <c r="M466" s="82">
        <v>6.73</v>
      </c>
      <c r="N466" s="25">
        <f t="shared" si="150"/>
        <v>6.1899999999999995</v>
      </c>
      <c r="O466" s="82" t="s">
        <v>592</v>
      </c>
      <c r="Q466" s="85"/>
    </row>
    <row r="467" spans="1:17" x14ac:dyDescent="0.25">
      <c r="A467" s="77">
        <v>46027</v>
      </c>
      <c r="B467" s="25" t="s">
        <v>477</v>
      </c>
      <c r="C467" s="25"/>
      <c r="D467" s="77">
        <f t="shared" ref="D467:D472" si="161">A467+23</f>
        <v>46050</v>
      </c>
      <c r="E467" s="77">
        <f t="shared" ref="E467:E472" si="162">A467+7</f>
        <v>46034</v>
      </c>
      <c r="F467" s="77">
        <f t="shared" ref="F467:F472" si="163">A467+14</f>
        <v>46041</v>
      </c>
      <c r="G467" s="77">
        <f t="shared" ref="G467:G472" si="164">A467+20</f>
        <v>46047</v>
      </c>
      <c r="H467" s="77">
        <f t="shared" ref="H467:H472" si="165">A467+8</f>
        <v>46035</v>
      </c>
      <c r="I467" s="77">
        <f t="shared" ref="I467:I472" si="166">A467+15</f>
        <v>46042</v>
      </c>
      <c r="J467" s="77">
        <v>46053</v>
      </c>
      <c r="K467" s="78">
        <f t="shared" si="160"/>
        <v>26</v>
      </c>
      <c r="L467" s="84">
        <v>12.99</v>
      </c>
      <c r="M467" s="82">
        <v>6.81</v>
      </c>
      <c r="N467" s="25">
        <f t="shared" si="150"/>
        <v>6.1800000000000006</v>
      </c>
      <c r="O467" s="82" t="s">
        <v>592</v>
      </c>
      <c r="Q467" s="85"/>
    </row>
    <row r="468" spans="1:17" x14ac:dyDescent="0.25">
      <c r="A468" s="77">
        <v>46027</v>
      </c>
      <c r="B468" s="25" t="s">
        <v>478</v>
      </c>
      <c r="C468" s="25"/>
      <c r="D468" s="77">
        <f t="shared" si="161"/>
        <v>46050</v>
      </c>
      <c r="E468" s="77">
        <f t="shared" si="162"/>
        <v>46034</v>
      </c>
      <c r="F468" s="77">
        <f t="shared" si="163"/>
        <v>46041</v>
      </c>
      <c r="G468" s="77">
        <f t="shared" si="164"/>
        <v>46047</v>
      </c>
      <c r="H468" s="77">
        <f t="shared" si="165"/>
        <v>46035</v>
      </c>
      <c r="I468" s="77">
        <f t="shared" si="166"/>
        <v>46042</v>
      </c>
      <c r="J468" s="77">
        <v>46053</v>
      </c>
      <c r="K468" s="78">
        <f t="shared" si="160"/>
        <v>26</v>
      </c>
      <c r="L468" s="84">
        <v>14.15</v>
      </c>
      <c r="M468" s="82">
        <v>7.33</v>
      </c>
      <c r="N468" s="25">
        <f t="shared" si="150"/>
        <v>6.82</v>
      </c>
      <c r="O468" s="82" t="s">
        <v>592</v>
      </c>
      <c r="Q468" s="85"/>
    </row>
    <row r="469" spans="1:17" x14ac:dyDescent="0.25">
      <c r="A469" s="77">
        <v>46027</v>
      </c>
      <c r="B469" s="25" t="s">
        <v>479</v>
      </c>
      <c r="C469" s="25"/>
      <c r="D469" s="77">
        <f t="shared" si="161"/>
        <v>46050</v>
      </c>
      <c r="E469" s="77">
        <f t="shared" si="162"/>
        <v>46034</v>
      </c>
      <c r="F469" s="77">
        <f t="shared" si="163"/>
        <v>46041</v>
      </c>
      <c r="G469" s="77">
        <f t="shared" si="164"/>
        <v>46047</v>
      </c>
      <c r="H469" s="77">
        <f t="shared" si="165"/>
        <v>46035</v>
      </c>
      <c r="I469" s="77">
        <f t="shared" si="166"/>
        <v>46042</v>
      </c>
      <c r="J469" s="77">
        <v>46053</v>
      </c>
      <c r="K469" s="78">
        <f t="shared" si="160"/>
        <v>26</v>
      </c>
      <c r="L469" s="84">
        <v>15.22</v>
      </c>
      <c r="M469" s="82">
        <v>13.95</v>
      </c>
      <c r="N469" s="25">
        <f t="shared" si="150"/>
        <v>1.2700000000000014</v>
      </c>
      <c r="O469" s="82" t="s">
        <v>593</v>
      </c>
      <c r="Q469" s="85"/>
    </row>
    <row r="470" spans="1:17" x14ac:dyDescent="0.25">
      <c r="A470" s="77">
        <v>46027</v>
      </c>
      <c r="B470" s="25" t="s">
        <v>480</v>
      </c>
      <c r="C470" s="25"/>
      <c r="D470" s="77">
        <f t="shared" si="161"/>
        <v>46050</v>
      </c>
      <c r="E470" s="77">
        <f t="shared" si="162"/>
        <v>46034</v>
      </c>
      <c r="F470" s="77">
        <f t="shared" si="163"/>
        <v>46041</v>
      </c>
      <c r="G470" s="77">
        <f t="shared" si="164"/>
        <v>46047</v>
      </c>
      <c r="H470" s="77">
        <f t="shared" si="165"/>
        <v>46035</v>
      </c>
      <c r="I470" s="77">
        <f t="shared" si="166"/>
        <v>46042</v>
      </c>
      <c r="J470" s="77">
        <v>46053</v>
      </c>
      <c r="K470" s="78">
        <f t="shared" si="160"/>
        <v>26</v>
      </c>
      <c r="L470" s="84">
        <v>15.67</v>
      </c>
      <c r="M470" s="82">
        <v>13.69</v>
      </c>
      <c r="N470" s="25">
        <f t="shared" si="150"/>
        <v>1.9800000000000004</v>
      </c>
      <c r="O470" s="82" t="s">
        <v>593</v>
      </c>
      <c r="Q470" s="85"/>
    </row>
    <row r="471" spans="1:17" x14ac:dyDescent="0.25">
      <c r="A471" s="77">
        <v>46027</v>
      </c>
      <c r="B471" s="25" t="s">
        <v>481</v>
      </c>
      <c r="C471" s="25"/>
      <c r="D471" s="77">
        <f t="shared" si="161"/>
        <v>46050</v>
      </c>
      <c r="E471" s="77">
        <f t="shared" si="162"/>
        <v>46034</v>
      </c>
      <c r="F471" s="77">
        <f t="shared" si="163"/>
        <v>46041</v>
      </c>
      <c r="G471" s="77">
        <f t="shared" si="164"/>
        <v>46047</v>
      </c>
      <c r="H471" s="77">
        <f t="shared" si="165"/>
        <v>46035</v>
      </c>
      <c r="I471" s="77">
        <f t="shared" si="166"/>
        <v>46042</v>
      </c>
      <c r="J471" s="77">
        <v>46053</v>
      </c>
      <c r="K471" s="78">
        <f t="shared" si="160"/>
        <v>26</v>
      </c>
      <c r="L471" s="84">
        <v>15.9</v>
      </c>
      <c r="M471" s="82">
        <v>14.87</v>
      </c>
      <c r="N471" s="25">
        <f t="shared" si="150"/>
        <v>1.0300000000000011</v>
      </c>
      <c r="O471" s="82" t="s">
        <v>593</v>
      </c>
    </row>
    <row r="472" spans="1:17" x14ac:dyDescent="0.25">
      <c r="A472" s="77">
        <v>46027</v>
      </c>
      <c r="B472" s="25" t="s">
        <v>482</v>
      </c>
      <c r="C472" s="25"/>
      <c r="D472" s="77">
        <f t="shared" si="161"/>
        <v>46050</v>
      </c>
      <c r="E472" s="77">
        <f t="shared" si="162"/>
        <v>46034</v>
      </c>
      <c r="F472" s="77">
        <f t="shared" si="163"/>
        <v>46041</v>
      </c>
      <c r="G472" s="77">
        <f t="shared" si="164"/>
        <v>46047</v>
      </c>
      <c r="H472" s="77">
        <f t="shared" si="165"/>
        <v>46035</v>
      </c>
      <c r="I472" s="77">
        <f t="shared" si="166"/>
        <v>46042</v>
      </c>
      <c r="J472" s="77">
        <v>46054</v>
      </c>
      <c r="K472" s="78">
        <f t="shared" si="160"/>
        <v>27</v>
      </c>
      <c r="L472" s="84">
        <v>14.3</v>
      </c>
      <c r="M472" s="82">
        <v>7.51</v>
      </c>
      <c r="N472" s="25">
        <f t="shared" si="150"/>
        <v>6.7900000000000009</v>
      </c>
      <c r="O472" s="82" t="s">
        <v>592</v>
      </c>
      <c r="Q472" s="85"/>
    </row>
    <row r="473" spans="1:17" x14ac:dyDescent="0.25">
      <c r="A473" s="77">
        <v>46028</v>
      </c>
      <c r="B473" s="25" t="s">
        <v>483</v>
      </c>
      <c r="C473" s="25"/>
      <c r="D473" s="77">
        <f t="shared" ref="D473:D479" si="167">A473+23</f>
        <v>46051</v>
      </c>
      <c r="E473" s="77">
        <f t="shared" ref="E473:E479" si="168">A473+7</f>
        <v>46035</v>
      </c>
      <c r="F473" s="77">
        <f t="shared" ref="F473:F479" si="169">A473+14</f>
        <v>46042</v>
      </c>
      <c r="G473" s="77">
        <f t="shared" ref="G473:G479" si="170">A473+20</f>
        <v>46048</v>
      </c>
      <c r="H473" s="77">
        <f t="shared" ref="H473:H479" si="171">A473+8</f>
        <v>46036</v>
      </c>
      <c r="I473" s="77">
        <f t="shared" ref="I473:I479" si="172">A473+15</f>
        <v>46043</v>
      </c>
      <c r="J473" s="77">
        <v>46054</v>
      </c>
      <c r="K473" s="78">
        <f t="shared" ref="K473:K483" si="173">J473-A473</f>
        <v>26</v>
      </c>
      <c r="L473" s="84">
        <v>13.91</v>
      </c>
      <c r="M473" s="82">
        <v>7.18</v>
      </c>
      <c r="N473" s="25">
        <f t="shared" si="150"/>
        <v>6.73</v>
      </c>
      <c r="O473" s="82" t="s">
        <v>592</v>
      </c>
      <c r="Q473" s="85"/>
    </row>
    <row r="474" spans="1:17" x14ac:dyDescent="0.25">
      <c r="A474" s="77">
        <v>46028</v>
      </c>
      <c r="B474" s="25" t="s">
        <v>484</v>
      </c>
      <c r="C474" s="25"/>
      <c r="D474" s="77">
        <f t="shared" si="167"/>
        <v>46051</v>
      </c>
      <c r="E474" s="77">
        <f t="shared" si="168"/>
        <v>46035</v>
      </c>
      <c r="F474" s="77">
        <f t="shared" si="169"/>
        <v>46042</v>
      </c>
      <c r="G474" s="77">
        <f t="shared" si="170"/>
        <v>46048</v>
      </c>
      <c r="H474" s="77">
        <f t="shared" si="171"/>
        <v>46036</v>
      </c>
      <c r="I474" s="77">
        <f t="shared" si="172"/>
        <v>46043</v>
      </c>
      <c r="J474" s="77">
        <v>46054</v>
      </c>
      <c r="K474" s="78">
        <f t="shared" si="173"/>
        <v>26</v>
      </c>
      <c r="L474" s="84">
        <v>13.07</v>
      </c>
      <c r="M474" s="82">
        <v>6.91</v>
      </c>
      <c r="N474" s="25">
        <f t="shared" si="150"/>
        <v>6.16</v>
      </c>
      <c r="O474" s="82" t="s">
        <v>592</v>
      </c>
      <c r="Q474" s="85"/>
    </row>
    <row r="475" spans="1:17" x14ac:dyDescent="0.25">
      <c r="A475" s="77">
        <v>46028</v>
      </c>
      <c r="B475" s="25" t="s">
        <v>485</v>
      </c>
      <c r="C475" s="25"/>
      <c r="D475" s="77">
        <f t="shared" si="167"/>
        <v>46051</v>
      </c>
      <c r="E475" s="77">
        <f t="shared" si="168"/>
        <v>46035</v>
      </c>
      <c r="F475" s="77">
        <f t="shared" si="169"/>
        <v>46042</v>
      </c>
      <c r="G475" s="77">
        <f t="shared" si="170"/>
        <v>46048</v>
      </c>
      <c r="H475" s="77">
        <f t="shared" si="171"/>
        <v>46036</v>
      </c>
      <c r="I475" s="77">
        <f t="shared" si="172"/>
        <v>46043</v>
      </c>
      <c r="J475" s="77">
        <v>46054</v>
      </c>
      <c r="K475" s="78">
        <f t="shared" si="173"/>
        <v>26</v>
      </c>
      <c r="L475" s="84">
        <v>14.43</v>
      </c>
      <c r="M475" s="82">
        <v>7.55</v>
      </c>
      <c r="N475" s="25">
        <f t="shared" si="150"/>
        <v>6.88</v>
      </c>
      <c r="O475" s="82" t="s">
        <v>592</v>
      </c>
      <c r="Q475" s="85"/>
    </row>
    <row r="476" spans="1:17" x14ac:dyDescent="0.25">
      <c r="A476" s="77">
        <v>46028</v>
      </c>
      <c r="B476" s="25" t="s">
        <v>486</v>
      </c>
      <c r="C476" s="25"/>
      <c r="D476" s="77">
        <f t="shared" si="167"/>
        <v>46051</v>
      </c>
      <c r="E476" s="77">
        <f t="shared" si="168"/>
        <v>46035</v>
      </c>
      <c r="F476" s="77">
        <f t="shared" si="169"/>
        <v>46042</v>
      </c>
      <c r="G476" s="77">
        <f t="shared" si="170"/>
        <v>46048</v>
      </c>
      <c r="H476" s="77">
        <f t="shared" si="171"/>
        <v>46036</v>
      </c>
      <c r="I476" s="77">
        <f t="shared" si="172"/>
        <v>46043</v>
      </c>
      <c r="J476" s="77">
        <v>46054</v>
      </c>
      <c r="K476" s="78">
        <f t="shared" si="173"/>
        <v>26</v>
      </c>
      <c r="L476" s="84">
        <v>14.15</v>
      </c>
      <c r="M476" s="82">
        <v>7.38</v>
      </c>
      <c r="N476" s="25">
        <f t="shared" si="150"/>
        <v>6.7700000000000005</v>
      </c>
      <c r="O476" s="82" t="s">
        <v>592</v>
      </c>
      <c r="Q476" s="85"/>
    </row>
    <row r="477" spans="1:17" x14ac:dyDescent="0.25">
      <c r="A477" s="77">
        <v>46028</v>
      </c>
      <c r="B477" s="25" t="s">
        <v>487</v>
      </c>
      <c r="C477" s="25"/>
      <c r="D477" s="77">
        <f t="shared" si="167"/>
        <v>46051</v>
      </c>
      <c r="E477" s="77">
        <f t="shared" si="168"/>
        <v>46035</v>
      </c>
      <c r="F477" s="77">
        <f t="shared" si="169"/>
        <v>46042</v>
      </c>
      <c r="G477" s="77">
        <f t="shared" si="170"/>
        <v>46048</v>
      </c>
      <c r="H477" s="77">
        <f t="shared" si="171"/>
        <v>46036</v>
      </c>
      <c r="I477" s="77">
        <f t="shared" si="172"/>
        <v>46043</v>
      </c>
      <c r="J477" s="77">
        <v>46054</v>
      </c>
      <c r="K477" s="78">
        <f t="shared" si="173"/>
        <v>26</v>
      </c>
      <c r="L477" s="84">
        <v>11.86</v>
      </c>
      <c r="M477" s="82">
        <v>10.56</v>
      </c>
      <c r="N477" s="25">
        <f t="shared" si="150"/>
        <v>1.2999999999999989</v>
      </c>
      <c r="O477" s="82" t="s">
        <v>593</v>
      </c>
      <c r="Q477" s="85"/>
    </row>
    <row r="478" spans="1:17" x14ac:dyDescent="0.25">
      <c r="A478" s="77">
        <v>46028</v>
      </c>
      <c r="B478" s="25" t="s">
        <v>488</v>
      </c>
      <c r="C478" s="25"/>
      <c r="D478" s="77">
        <f t="shared" si="167"/>
        <v>46051</v>
      </c>
      <c r="E478" s="77">
        <f t="shared" si="168"/>
        <v>46035</v>
      </c>
      <c r="F478" s="77">
        <f t="shared" si="169"/>
        <v>46042</v>
      </c>
      <c r="G478" s="77">
        <f t="shared" si="170"/>
        <v>46048</v>
      </c>
      <c r="H478" s="77">
        <f t="shared" si="171"/>
        <v>46036</v>
      </c>
      <c r="I478" s="77">
        <f t="shared" si="172"/>
        <v>46043</v>
      </c>
      <c r="J478" s="77">
        <v>46054</v>
      </c>
      <c r="K478" s="78">
        <f t="shared" si="173"/>
        <v>26</v>
      </c>
      <c r="L478" s="84">
        <v>13.92</v>
      </c>
      <c r="M478" s="82">
        <v>12.74</v>
      </c>
      <c r="N478" s="25">
        <f t="shared" si="150"/>
        <v>1.1799999999999997</v>
      </c>
      <c r="O478" s="82" t="s">
        <v>593</v>
      </c>
      <c r="Q478" s="85"/>
    </row>
    <row r="479" spans="1:17" x14ac:dyDescent="0.25">
      <c r="A479" s="77">
        <v>46028</v>
      </c>
      <c r="B479" s="25" t="s">
        <v>489</v>
      </c>
      <c r="C479" s="25"/>
      <c r="D479" s="77">
        <f t="shared" si="167"/>
        <v>46051</v>
      </c>
      <c r="E479" s="77">
        <f t="shared" si="168"/>
        <v>46035</v>
      </c>
      <c r="F479" s="77">
        <f t="shared" si="169"/>
        <v>46042</v>
      </c>
      <c r="G479" s="77">
        <f t="shared" si="170"/>
        <v>46048</v>
      </c>
      <c r="H479" s="77">
        <f t="shared" si="171"/>
        <v>46036</v>
      </c>
      <c r="I479" s="77">
        <f t="shared" si="172"/>
        <v>46043</v>
      </c>
      <c r="J479" s="77">
        <v>46054</v>
      </c>
      <c r="K479" s="78">
        <f t="shared" si="173"/>
        <v>26</v>
      </c>
      <c r="L479" s="84">
        <v>14.77</v>
      </c>
      <c r="M479" s="82">
        <v>13.52</v>
      </c>
      <c r="N479" s="25">
        <f t="shared" si="150"/>
        <v>1.25</v>
      </c>
      <c r="O479" s="82" t="s">
        <v>593</v>
      </c>
      <c r="Q479" s="85"/>
    </row>
    <row r="480" spans="1:17" x14ac:dyDescent="0.25">
      <c r="A480" s="77">
        <v>46029</v>
      </c>
      <c r="B480" s="25" t="s">
        <v>490</v>
      </c>
      <c r="C480" s="25"/>
      <c r="D480" s="77">
        <f t="shared" ref="D480:D486" si="174">A480+23</f>
        <v>46052</v>
      </c>
      <c r="E480" s="77">
        <f t="shared" ref="E480:E486" si="175">A480+7</f>
        <v>46036</v>
      </c>
      <c r="F480" s="77">
        <f t="shared" ref="F480:F486" si="176">A480+14</f>
        <v>46043</v>
      </c>
      <c r="G480" s="77">
        <f t="shared" ref="G480:G486" si="177">A480+20</f>
        <v>46049</v>
      </c>
      <c r="H480" s="77">
        <f t="shared" ref="H480:H486" si="178">A480+8</f>
        <v>46037</v>
      </c>
      <c r="I480" s="77">
        <f t="shared" ref="I480:I486" si="179">A480+15</f>
        <v>46044</v>
      </c>
      <c r="J480" s="77">
        <v>46054</v>
      </c>
      <c r="K480" s="78">
        <f t="shared" si="173"/>
        <v>25</v>
      </c>
      <c r="L480" s="84">
        <v>15.09</v>
      </c>
      <c r="M480" s="82">
        <v>13.71</v>
      </c>
      <c r="N480" s="25">
        <f t="shared" si="150"/>
        <v>1.379999999999999</v>
      </c>
      <c r="O480" s="82" t="s">
        <v>593</v>
      </c>
      <c r="Q480" s="85"/>
    </row>
    <row r="481" spans="1:20" x14ac:dyDescent="0.25">
      <c r="A481" s="77">
        <v>46029</v>
      </c>
      <c r="B481" s="25" t="s">
        <v>491</v>
      </c>
      <c r="C481" s="25"/>
      <c r="D481" s="77">
        <f t="shared" si="174"/>
        <v>46052</v>
      </c>
      <c r="E481" s="77">
        <f t="shared" si="175"/>
        <v>46036</v>
      </c>
      <c r="F481" s="77">
        <f t="shared" si="176"/>
        <v>46043</v>
      </c>
      <c r="G481" s="77">
        <f t="shared" si="177"/>
        <v>46049</v>
      </c>
      <c r="H481" s="77">
        <f t="shared" si="178"/>
        <v>46037</v>
      </c>
      <c r="I481" s="77">
        <f t="shared" si="179"/>
        <v>46044</v>
      </c>
      <c r="J481" s="77">
        <v>46054</v>
      </c>
      <c r="K481" s="78">
        <f t="shared" si="173"/>
        <v>25</v>
      </c>
      <c r="L481" s="84">
        <v>13.21</v>
      </c>
      <c r="M481" s="82">
        <v>12.1</v>
      </c>
      <c r="N481" s="25">
        <f t="shared" si="150"/>
        <v>1.1100000000000012</v>
      </c>
      <c r="O481" s="82" t="s">
        <v>593</v>
      </c>
      <c r="Q481" s="85"/>
    </row>
    <row r="482" spans="1:20" x14ac:dyDescent="0.25">
      <c r="A482" s="77">
        <v>46029</v>
      </c>
      <c r="B482" s="25" t="s">
        <v>492</v>
      </c>
      <c r="C482" s="25"/>
      <c r="D482" s="77">
        <f t="shared" si="174"/>
        <v>46052</v>
      </c>
      <c r="E482" s="77">
        <f t="shared" si="175"/>
        <v>46036</v>
      </c>
      <c r="F482" s="77">
        <f t="shared" si="176"/>
        <v>46043</v>
      </c>
      <c r="G482" s="77">
        <f t="shared" si="177"/>
        <v>46049</v>
      </c>
      <c r="H482" s="77">
        <f t="shared" si="178"/>
        <v>46037</v>
      </c>
      <c r="I482" s="77">
        <f t="shared" si="179"/>
        <v>46044</v>
      </c>
      <c r="J482" s="77">
        <v>46054</v>
      </c>
      <c r="K482" s="78">
        <f t="shared" si="173"/>
        <v>25</v>
      </c>
      <c r="L482" s="84">
        <v>13.02</v>
      </c>
      <c r="M482" s="82">
        <v>11.87</v>
      </c>
      <c r="N482" s="25">
        <f t="shared" si="150"/>
        <v>1.1500000000000004</v>
      </c>
      <c r="O482" s="82" t="s">
        <v>593</v>
      </c>
      <c r="Q482" s="85"/>
    </row>
    <row r="483" spans="1:20" x14ac:dyDescent="0.25">
      <c r="A483" s="77">
        <v>46029</v>
      </c>
      <c r="B483" s="25" t="s">
        <v>493</v>
      </c>
      <c r="C483" s="25"/>
      <c r="D483" s="77">
        <f t="shared" si="174"/>
        <v>46052</v>
      </c>
      <c r="E483" s="77">
        <f t="shared" si="175"/>
        <v>46036</v>
      </c>
      <c r="F483" s="77">
        <f t="shared" si="176"/>
        <v>46043</v>
      </c>
      <c r="G483" s="77">
        <f t="shared" si="177"/>
        <v>46049</v>
      </c>
      <c r="H483" s="77">
        <f t="shared" si="178"/>
        <v>46037</v>
      </c>
      <c r="I483" s="77">
        <f t="shared" si="179"/>
        <v>46044</v>
      </c>
      <c r="J483" s="77">
        <v>46055</v>
      </c>
      <c r="K483" s="78">
        <f t="shared" si="173"/>
        <v>26</v>
      </c>
      <c r="L483" s="84">
        <v>11.58</v>
      </c>
      <c r="M483" s="82">
        <v>5.73</v>
      </c>
      <c r="N483" s="25">
        <f t="shared" si="150"/>
        <v>5.85</v>
      </c>
      <c r="O483" s="82" t="s">
        <v>592</v>
      </c>
      <c r="Q483" s="85"/>
      <c r="R483" s="86"/>
      <c r="S483" s="87"/>
      <c r="T483" s="87"/>
    </row>
    <row r="484" spans="1:20" x14ac:dyDescent="0.25">
      <c r="A484" s="77">
        <v>46029</v>
      </c>
      <c r="B484" s="25" t="s">
        <v>494</v>
      </c>
      <c r="C484" s="25"/>
      <c r="D484" s="77">
        <f t="shared" si="174"/>
        <v>46052</v>
      </c>
      <c r="E484" s="77">
        <f t="shared" si="175"/>
        <v>46036</v>
      </c>
      <c r="F484" s="77">
        <f t="shared" si="176"/>
        <v>46043</v>
      </c>
      <c r="G484" s="77">
        <f t="shared" si="177"/>
        <v>46049</v>
      </c>
      <c r="H484" s="77">
        <f t="shared" si="178"/>
        <v>46037</v>
      </c>
      <c r="I484" s="77">
        <f t="shared" si="179"/>
        <v>46044</v>
      </c>
      <c r="J484" s="77">
        <v>46055</v>
      </c>
      <c r="K484" s="78">
        <f t="shared" ref="K484:K494" si="180">J484-A484</f>
        <v>26</v>
      </c>
      <c r="L484" s="84">
        <v>15.9</v>
      </c>
      <c r="M484" s="82">
        <v>13.21</v>
      </c>
      <c r="N484" s="25">
        <f t="shared" si="150"/>
        <v>2.6899999999999995</v>
      </c>
      <c r="O484" s="82" t="s">
        <v>593</v>
      </c>
      <c r="Q484" s="85"/>
      <c r="R484" s="86"/>
      <c r="S484" s="87"/>
      <c r="T484" s="87"/>
    </row>
    <row r="485" spans="1:20" x14ac:dyDescent="0.25">
      <c r="A485" s="77">
        <v>46029</v>
      </c>
      <c r="B485" s="25" t="s">
        <v>495</v>
      </c>
      <c r="C485" s="25"/>
      <c r="D485" s="77">
        <f t="shared" si="174"/>
        <v>46052</v>
      </c>
      <c r="E485" s="77">
        <f t="shared" si="175"/>
        <v>46036</v>
      </c>
      <c r="F485" s="77">
        <f t="shared" si="176"/>
        <v>46043</v>
      </c>
      <c r="G485" s="77">
        <f t="shared" si="177"/>
        <v>46049</v>
      </c>
      <c r="H485" s="77">
        <f t="shared" si="178"/>
        <v>46037</v>
      </c>
      <c r="I485" s="77">
        <f t="shared" si="179"/>
        <v>46044</v>
      </c>
      <c r="J485" s="77">
        <v>46055</v>
      </c>
      <c r="K485" s="78">
        <f t="shared" si="180"/>
        <v>26</v>
      </c>
      <c r="L485" s="84">
        <v>14.83</v>
      </c>
      <c r="M485" s="82">
        <v>13.65</v>
      </c>
      <c r="N485" s="25">
        <f t="shared" si="150"/>
        <v>1.1799999999999997</v>
      </c>
      <c r="O485" s="82" t="s">
        <v>593</v>
      </c>
      <c r="Q485" s="85"/>
      <c r="R485" s="86"/>
      <c r="S485" s="87"/>
      <c r="T485" s="87"/>
    </row>
    <row r="486" spans="1:20" x14ac:dyDescent="0.25">
      <c r="A486" s="77">
        <v>46029</v>
      </c>
      <c r="B486" s="25" t="s">
        <v>496</v>
      </c>
      <c r="C486" s="25"/>
      <c r="D486" s="77">
        <f t="shared" si="174"/>
        <v>46052</v>
      </c>
      <c r="E486" s="77">
        <f t="shared" si="175"/>
        <v>46036</v>
      </c>
      <c r="F486" s="77">
        <f t="shared" si="176"/>
        <v>46043</v>
      </c>
      <c r="G486" s="77">
        <f t="shared" si="177"/>
        <v>46049</v>
      </c>
      <c r="H486" s="77">
        <f t="shared" si="178"/>
        <v>46037</v>
      </c>
      <c r="I486" s="77">
        <f t="shared" si="179"/>
        <v>46044</v>
      </c>
      <c r="J486" s="77">
        <v>46055</v>
      </c>
      <c r="K486" s="78">
        <f t="shared" si="180"/>
        <v>26</v>
      </c>
      <c r="L486" s="84">
        <v>14.52</v>
      </c>
      <c r="M486" s="82">
        <v>13.49</v>
      </c>
      <c r="N486" s="25">
        <f t="shared" si="150"/>
        <v>1.0299999999999994</v>
      </c>
      <c r="O486" s="82" t="s">
        <v>593</v>
      </c>
      <c r="Q486" s="85"/>
      <c r="R486" s="86"/>
      <c r="S486" s="87"/>
      <c r="T486" s="87"/>
    </row>
    <row r="487" spans="1:20" x14ac:dyDescent="0.25">
      <c r="A487" s="77">
        <v>46030</v>
      </c>
      <c r="B487" s="25" t="s">
        <v>497</v>
      </c>
      <c r="C487" s="25"/>
      <c r="D487" s="77">
        <f t="shared" ref="D487:D502" si="181">A487+23</f>
        <v>46053</v>
      </c>
      <c r="E487" s="77">
        <f t="shared" ref="E487:E502" si="182">A487+7</f>
        <v>46037</v>
      </c>
      <c r="F487" s="77">
        <f t="shared" ref="F487:F502" si="183">A487+14</f>
        <v>46044</v>
      </c>
      <c r="G487" s="77">
        <f t="shared" ref="G487:G502" si="184">A487+20</f>
        <v>46050</v>
      </c>
      <c r="H487" s="77">
        <f t="shared" ref="H487:H502" si="185">A487+8</f>
        <v>46038</v>
      </c>
      <c r="I487" s="77">
        <f t="shared" ref="I487:I502" si="186">A487+15</f>
        <v>46045</v>
      </c>
      <c r="J487" s="77">
        <v>46055</v>
      </c>
      <c r="K487" s="78">
        <f t="shared" si="180"/>
        <v>25</v>
      </c>
      <c r="L487" s="84">
        <v>13.66</v>
      </c>
      <c r="M487" s="82">
        <v>12.21</v>
      </c>
      <c r="N487" s="25">
        <f t="shared" si="150"/>
        <v>1.4499999999999993</v>
      </c>
      <c r="O487" s="82" t="s">
        <v>593</v>
      </c>
      <c r="Q487" s="85"/>
      <c r="R487" s="86"/>
      <c r="S487" s="87"/>
      <c r="T487" s="87"/>
    </row>
    <row r="488" spans="1:20" x14ac:dyDescent="0.25">
      <c r="A488" s="77">
        <v>46030</v>
      </c>
      <c r="B488" s="25" t="s">
        <v>498</v>
      </c>
      <c r="C488" s="25"/>
      <c r="D488" s="77">
        <f t="shared" si="181"/>
        <v>46053</v>
      </c>
      <c r="E488" s="77">
        <f t="shared" si="182"/>
        <v>46037</v>
      </c>
      <c r="F488" s="77">
        <f t="shared" si="183"/>
        <v>46044</v>
      </c>
      <c r="G488" s="77">
        <f t="shared" si="184"/>
        <v>46050</v>
      </c>
      <c r="H488" s="77">
        <f t="shared" si="185"/>
        <v>46038</v>
      </c>
      <c r="I488" s="77">
        <f t="shared" si="186"/>
        <v>46045</v>
      </c>
      <c r="J488" s="77">
        <v>46055</v>
      </c>
      <c r="K488" s="78">
        <f t="shared" si="180"/>
        <v>25</v>
      </c>
      <c r="L488" s="84">
        <v>12.81</v>
      </c>
      <c r="M488" s="82">
        <v>11.76</v>
      </c>
      <c r="N488" s="25">
        <f t="shared" si="150"/>
        <v>1.0500000000000007</v>
      </c>
      <c r="O488" s="82" t="s">
        <v>593</v>
      </c>
      <c r="Q488" s="85"/>
      <c r="R488" s="86"/>
      <c r="S488" s="87"/>
      <c r="T488" s="87"/>
    </row>
    <row r="489" spans="1:20" x14ac:dyDescent="0.25">
      <c r="A489" s="77">
        <v>46030</v>
      </c>
      <c r="B489" s="25" t="s">
        <v>499</v>
      </c>
      <c r="C489" s="25"/>
      <c r="D489" s="77">
        <f t="shared" si="181"/>
        <v>46053</v>
      </c>
      <c r="E489" s="77">
        <f t="shared" si="182"/>
        <v>46037</v>
      </c>
      <c r="F489" s="77">
        <f t="shared" si="183"/>
        <v>46044</v>
      </c>
      <c r="G489" s="77">
        <f t="shared" si="184"/>
        <v>46050</v>
      </c>
      <c r="H489" s="77">
        <f t="shared" si="185"/>
        <v>46038</v>
      </c>
      <c r="I489" s="77">
        <f t="shared" si="186"/>
        <v>46045</v>
      </c>
      <c r="J489" s="77">
        <v>46059</v>
      </c>
      <c r="K489" s="78">
        <f t="shared" si="180"/>
        <v>29</v>
      </c>
      <c r="L489" s="25">
        <v>6</v>
      </c>
      <c r="M489" s="25">
        <v>3</v>
      </c>
      <c r="N489" s="25">
        <f t="shared" si="150"/>
        <v>3</v>
      </c>
      <c r="O489" s="25" t="s">
        <v>592</v>
      </c>
    </row>
    <row r="490" spans="1:20" x14ac:dyDescent="0.25">
      <c r="A490" s="77">
        <v>46030</v>
      </c>
      <c r="B490" s="25" t="s">
        <v>500</v>
      </c>
      <c r="C490" s="25"/>
      <c r="D490" s="77">
        <f t="shared" si="181"/>
        <v>46053</v>
      </c>
      <c r="E490" s="77">
        <f t="shared" si="182"/>
        <v>46037</v>
      </c>
      <c r="F490" s="77">
        <f t="shared" si="183"/>
        <v>46044</v>
      </c>
      <c r="G490" s="77">
        <f t="shared" si="184"/>
        <v>46050</v>
      </c>
      <c r="H490" s="77">
        <f t="shared" si="185"/>
        <v>46038</v>
      </c>
      <c r="I490" s="77">
        <f t="shared" si="186"/>
        <v>46045</v>
      </c>
      <c r="J490" s="77">
        <v>46060</v>
      </c>
      <c r="K490" s="78">
        <f t="shared" si="180"/>
        <v>30</v>
      </c>
      <c r="L490" s="25">
        <v>5.2</v>
      </c>
      <c r="M490" s="25">
        <v>5</v>
      </c>
      <c r="N490" s="25">
        <f t="shared" si="150"/>
        <v>0.20000000000000018</v>
      </c>
      <c r="O490" s="25" t="s">
        <v>593</v>
      </c>
    </row>
    <row r="491" spans="1:20" x14ac:dyDescent="0.25">
      <c r="A491" s="77">
        <v>46030</v>
      </c>
      <c r="B491" s="25" t="s">
        <v>501</v>
      </c>
      <c r="C491" s="25"/>
      <c r="D491" s="77">
        <f t="shared" si="181"/>
        <v>46053</v>
      </c>
      <c r="E491" s="77">
        <f t="shared" si="182"/>
        <v>46037</v>
      </c>
      <c r="F491" s="77">
        <f t="shared" si="183"/>
        <v>46044</v>
      </c>
      <c r="G491" s="77">
        <f t="shared" si="184"/>
        <v>46050</v>
      </c>
      <c r="H491" s="77">
        <f t="shared" si="185"/>
        <v>46038</v>
      </c>
      <c r="I491" s="77">
        <f t="shared" si="186"/>
        <v>46045</v>
      </c>
      <c r="J491" s="77">
        <v>46060</v>
      </c>
      <c r="K491" s="78">
        <f t="shared" si="180"/>
        <v>30</v>
      </c>
      <c r="L491" s="25">
        <v>4.92</v>
      </c>
      <c r="M491" s="25">
        <v>2.8</v>
      </c>
      <c r="N491" s="25">
        <f t="shared" si="150"/>
        <v>2.12</v>
      </c>
      <c r="O491" s="25" t="s">
        <v>592</v>
      </c>
    </row>
    <row r="492" spans="1:20" x14ac:dyDescent="0.25">
      <c r="A492" s="77">
        <v>46030</v>
      </c>
      <c r="B492" s="25" t="s">
        <v>502</v>
      </c>
      <c r="C492" s="25"/>
      <c r="D492" s="77">
        <f t="shared" si="181"/>
        <v>46053</v>
      </c>
      <c r="E492" s="77">
        <f t="shared" si="182"/>
        <v>46037</v>
      </c>
      <c r="F492" s="77">
        <f t="shared" si="183"/>
        <v>46044</v>
      </c>
      <c r="G492" s="77">
        <f t="shared" si="184"/>
        <v>46050</v>
      </c>
      <c r="H492" s="77">
        <f t="shared" si="185"/>
        <v>46038</v>
      </c>
      <c r="I492" s="77">
        <f t="shared" si="186"/>
        <v>46045</v>
      </c>
      <c r="J492" s="77">
        <v>46060</v>
      </c>
      <c r="K492" s="78">
        <f t="shared" si="180"/>
        <v>30</v>
      </c>
      <c r="L492" s="25">
        <v>8.99</v>
      </c>
      <c r="M492" s="25">
        <v>4.7</v>
      </c>
      <c r="N492" s="25">
        <f t="shared" si="150"/>
        <v>4.29</v>
      </c>
      <c r="O492" s="25" t="s">
        <v>592</v>
      </c>
    </row>
    <row r="493" spans="1:20" x14ac:dyDescent="0.25">
      <c r="A493" s="77">
        <v>46030</v>
      </c>
      <c r="B493" s="25" t="s">
        <v>503</v>
      </c>
      <c r="C493" s="25"/>
      <c r="D493" s="77">
        <f t="shared" si="181"/>
        <v>46053</v>
      </c>
      <c r="E493" s="77">
        <f t="shared" si="182"/>
        <v>46037</v>
      </c>
      <c r="F493" s="77">
        <f t="shared" si="183"/>
        <v>46044</v>
      </c>
      <c r="G493" s="77">
        <f t="shared" si="184"/>
        <v>46050</v>
      </c>
      <c r="H493" s="77">
        <f t="shared" si="185"/>
        <v>46038</v>
      </c>
      <c r="I493" s="77">
        <f t="shared" si="186"/>
        <v>46045</v>
      </c>
      <c r="J493" s="77">
        <v>46060</v>
      </c>
      <c r="K493" s="78">
        <f t="shared" si="180"/>
        <v>30</v>
      </c>
      <c r="L493" s="25">
        <v>4.82</v>
      </c>
      <c r="M493" s="25">
        <v>3</v>
      </c>
      <c r="N493" s="25">
        <f t="shared" si="150"/>
        <v>1.8200000000000003</v>
      </c>
      <c r="O493" s="25" t="s">
        <v>592</v>
      </c>
    </row>
    <row r="494" spans="1:20" x14ac:dyDescent="0.25">
      <c r="A494" s="77">
        <v>46031</v>
      </c>
      <c r="B494" s="25" t="s">
        <v>504</v>
      </c>
      <c r="C494" s="25"/>
      <c r="D494" s="77">
        <f t="shared" si="181"/>
        <v>46054</v>
      </c>
      <c r="E494" s="77">
        <f t="shared" si="182"/>
        <v>46038</v>
      </c>
      <c r="F494" s="77">
        <f t="shared" si="183"/>
        <v>46045</v>
      </c>
      <c r="G494" s="77">
        <f t="shared" si="184"/>
        <v>46051</v>
      </c>
      <c r="H494" s="77">
        <f t="shared" si="185"/>
        <v>46039</v>
      </c>
      <c r="I494" s="77">
        <f t="shared" si="186"/>
        <v>46046</v>
      </c>
      <c r="J494" s="77">
        <v>46060</v>
      </c>
      <c r="K494" s="78">
        <f t="shared" si="180"/>
        <v>29</v>
      </c>
      <c r="L494" s="25">
        <v>0</v>
      </c>
      <c r="M494" s="25">
        <v>0</v>
      </c>
      <c r="N494" s="25">
        <v>0</v>
      </c>
      <c r="O494" s="25"/>
    </row>
    <row r="495" spans="1:20" x14ac:dyDescent="0.25">
      <c r="A495" s="77">
        <v>46031</v>
      </c>
      <c r="B495" s="25" t="s">
        <v>505</v>
      </c>
      <c r="C495" s="25"/>
      <c r="D495" s="77">
        <f t="shared" si="181"/>
        <v>46054</v>
      </c>
      <c r="E495" s="77">
        <f t="shared" si="182"/>
        <v>46038</v>
      </c>
      <c r="F495" s="77">
        <f t="shared" si="183"/>
        <v>46045</v>
      </c>
      <c r="G495" s="77">
        <f t="shared" si="184"/>
        <v>46051</v>
      </c>
      <c r="H495" s="77">
        <f t="shared" si="185"/>
        <v>46039</v>
      </c>
      <c r="I495" s="77">
        <f t="shared" si="186"/>
        <v>46046</v>
      </c>
      <c r="J495" s="77">
        <v>46060</v>
      </c>
      <c r="K495" s="78">
        <f t="shared" ref="K495:K504" si="187">J495-A495</f>
        <v>29</v>
      </c>
      <c r="L495" s="25">
        <v>0</v>
      </c>
      <c r="M495" s="25">
        <v>0</v>
      </c>
      <c r="N495" s="25">
        <v>0</v>
      </c>
      <c r="O495" s="25"/>
    </row>
    <row r="496" spans="1:20" x14ac:dyDescent="0.25">
      <c r="A496" s="77">
        <v>46031</v>
      </c>
      <c r="B496" s="25" t="s">
        <v>506</v>
      </c>
      <c r="C496" s="25"/>
      <c r="D496" s="77">
        <f t="shared" si="181"/>
        <v>46054</v>
      </c>
      <c r="E496" s="77">
        <f t="shared" si="182"/>
        <v>46038</v>
      </c>
      <c r="F496" s="77">
        <f t="shared" si="183"/>
        <v>46045</v>
      </c>
      <c r="G496" s="77">
        <f t="shared" si="184"/>
        <v>46051</v>
      </c>
      <c r="H496" s="77">
        <f t="shared" si="185"/>
        <v>46039</v>
      </c>
      <c r="I496" s="77">
        <f t="shared" si="186"/>
        <v>46046</v>
      </c>
      <c r="J496" s="77">
        <v>46060</v>
      </c>
      <c r="K496" s="78">
        <f t="shared" si="187"/>
        <v>29</v>
      </c>
      <c r="L496" s="25">
        <v>0</v>
      </c>
      <c r="M496" s="25">
        <v>0</v>
      </c>
      <c r="N496" s="25">
        <v>0</v>
      </c>
      <c r="O496" s="25"/>
    </row>
    <row r="497" spans="1:15" x14ac:dyDescent="0.25">
      <c r="A497" s="77">
        <v>46031</v>
      </c>
      <c r="B497" s="25" t="s">
        <v>507</v>
      </c>
      <c r="C497" s="25"/>
      <c r="D497" s="77">
        <f t="shared" si="181"/>
        <v>46054</v>
      </c>
      <c r="E497" s="77">
        <f t="shared" si="182"/>
        <v>46038</v>
      </c>
      <c r="F497" s="77">
        <f t="shared" si="183"/>
        <v>46045</v>
      </c>
      <c r="G497" s="77">
        <f t="shared" si="184"/>
        <v>46051</v>
      </c>
      <c r="H497" s="77">
        <f t="shared" si="185"/>
        <v>46039</v>
      </c>
      <c r="I497" s="77">
        <f t="shared" si="186"/>
        <v>46046</v>
      </c>
      <c r="J497" s="77">
        <v>46060</v>
      </c>
      <c r="K497" s="78">
        <f t="shared" si="187"/>
        <v>29</v>
      </c>
      <c r="L497" s="25">
        <v>0</v>
      </c>
      <c r="M497" s="25">
        <v>0</v>
      </c>
      <c r="N497" s="25">
        <v>0</v>
      </c>
      <c r="O497" s="25"/>
    </row>
    <row r="498" spans="1:15" x14ac:dyDescent="0.25">
      <c r="A498" s="77">
        <v>46031</v>
      </c>
      <c r="B498" s="25" t="s">
        <v>508</v>
      </c>
      <c r="C498" s="25"/>
      <c r="D498" s="77">
        <f t="shared" si="181"/>
        <v>46054</v>
      </c>
      <c r="E498" s="77">
        <f t="shared" si="182"/>
        <v>46038</v>
      </c>
      <c r="F498" s="77">
        <f t="shared" si="183"/>
        <v>46045</v>
      </c>
      <c r="G498" s="77">
        <f t="shared" si="184"/>
        <v>46051</v>
      </c>
      <c r="H498" s="77">
        <f t="shared" si="185"/>
        <v>46039</v>
      </c>
      <c r="I498" s="77">
        <f t="shared" si="186"/>
        <v>46046</v>
      </c>
      <c r="J498" s="77">
        <v>46060</v>
      </c>
      <c r="K498" s="78">
        <f t="shared" si="187"/>
        <v>29</v>
      </c>
      <c r="L498" s="25">
        <v>0</v>
      </c>
      <c r="M498" s="25">
        <v>0</v>
      </c>
      <c r="N498" s="25">
        <v>0</v>
      </c>
      <c r="O498" s="25"/>
    </row>
    <row r="499" spans="1:15" x14ac:dyDescent="0.25">
      <c r="A499" s="77">
        <v>46031</v>
      </c>
      <c r="B499" s="25" t="s">
        <v>509</v>
      </c>
      <c r="C499" s="25"/>
      <c r="D499" s="77">
        <f t="shared" si="181"/>
        <v>46054</v>
      </c>
      <c r="E499" s="77">
        <f t="shared" si="182"/>
        <v>46038</v>
      </c>
      <c r="F499" s="77">
        <f t="shared" si="183"/>
        <v>46045</v>
      </c>
      <c r="G499" s="77">
        <f t="shared" si="184"/>
        <v>46051</v>
      </c>
      <c r="H499" s="77">
        <f t="shared" si="185"/>
        <v>46039</v>
      </c>
      <c r="I499" s="77">
        <f t="shared" si="186"/>
        <v>46046</v>
      </c>
      <c r="J499" s="77">
        <v>46060</v>
      </c>
      <c r="K499" s="78">
        <f t="shared" si="187"/>
        <v>29</v>
      </c>
      <c r="L499" s="25">
        <v>0</v>
      </c>
      <c r="M499" s="25">
        <v>0</v>
      </c>
      <c r="N499" s="25">
        <v>0</v>
      </c>
      <c r="O499" s="25"/>
    </row>
    <row r="500" spans="1:15" x14ac:dyDescent="0.25">
      <c r="A500" s="77">
        <v>46031</v>
      </c>
      <c r="B500" s="25" t="s">
        <v>510</v>
      </c>
      <c r="C500" s="25"/>
      <c r="D500" s="77">
        <f t="shared" si="181"/>
        <v>46054</v>
      </c>
      <c r="E500" s="77">
        <f t="shared" si="182"/>
        <v>46038</v>
      </c>
      <c r="F500" s="77">
        <f t="shared" si="183"/>
        <v>46045</v>
      </c>
      <c r="G500" s="77">
        <f t="shared" si="184"/>
        <v>46051</v>
      </c>
      <c r="H500" s="77">
        <f t="shared" si="185"/>
        <v>46039</v>
      </c>
      <c r="I500" s="77">
        <f t="shared" si="186"/>
        <v>46046</v>
      </c>
      <c r="J500" s="77">
        <v>46060</v>
      </c>
      <c r="K500" s="78">
        <f t="shared" si="187"/>
        <v>29</v>
      </c>
      <c r="L500" s="25">
        <v>0</v>
      </c>
      <c r="M500" s="25">
        <v>0</v>
      </c>
      <c r="N500" s="25">
        <v>0</v>
      </c>
      <c r="O500" s="25"/>
    </row>
    <row r="501" spans="1:15" x14ac:dyDescent="0.25">
      <c r="A501" s="77">
        <v>46032</v>
      </c>
      <c r="B501" s="25" t="s">
        <v>552</v>
      </c>
      <c r="C501" s="25"/>
      <c r="D501" s="77">
        <f t="shared" si="181"/>
        <v>46055</v>
      </c>
      <c r="E501" s="77">
        <f t="shared" si="182"/>
        <v>46039</v>
      </c>
      <c r="F501" s="77">
        <f t="shared" si="183"/>
        <v>46046</v>
      </c>
      <c r="G501" s="77">
        <f t="shared" si="184"/>
        <v>46052</v>
      </c>
      <c r="H501" s="77">
        <f t="shared" si="185"/>
        <v>46040</v>
      </c>
      <c r="I501" s="77">
        <f t="shared" si="186"/>
        <v>46047</v>
      </c>
      <c r="J501" s="77">
        <v>46062</v>
      </c>
      <c r="K501" s="78">
        <f t="shared" si="187"/>
        <v>30</v>
      </c>
      <c r="L501" s="25">
        <v>12.9</v>
      </c>
      <c r="M501" s="25">
        <v>11.52</v>
      </c>
      <c r="N501" s="25">
        <f>L501-M501</f>
        <v>1.3800000000000008</v>
      </c>
      <c r="O501" s="25" t="s">
        <v>593</v>
      </c>
    </row>
    <row r="502" spans="1:15" x14ac:dyDescent="0.25">
      <c r="A502" s="77">
        <v>46032</v>
      </c>
      <c r="B502" s="25" t="s">
        <v>553</v>
      </c>
      <c r="C502" s="25"/>
      <c r="D502" s="77">
        <f t="shared" si="181"/>
        <v>46055</v>
      </c>
      <c r="E502" s="77">
        <f t="shared" si="182"/>
        <v>46039</v>
      </c>
      <c r="F502" s="77">
        <f t="shared" si="183"/>
        <v>46046</v>
      </c>
      <c r="G502" s="77">
        <f t="shared" si="184"/>
        <v>46052</v>
      </c>
      <c r="H502" s="77">
        <f t="shared" si="185"/>
        <v>46040</v>
      </c>
      <c r="I502" s="77">
        <f t="shared" si="186"/>
        <v>46047</v>
      </c>
      <c r="J502" s="77">
        <v>46062</v>
      </c>
      <c r="K502" s="78">
        <f t="shared" si="187"/>
        <v>30</v>
      </c>
      <c r="L502" s="25">
        <v>11.73</v>
      </c>
      <c r="M502" s="25">
        <v>10.26</v>
      </c>
      <c r="N502" s="25">
        <f>L502-M502</f>
        <v>1.4700000000000006</v>
      </c>
      <c r="O502" s="25" t="s">
        <v>593</v>
      </c>
    </row>
    <row r="503" spans="1:15" x14ac:dyDescent="0.25">
      <c r="A503" s="77">
        <v>46032</v>
      </c>
      <c r="B503" s="25" t="s">
        <v>554</v>
      </c>
      <c r="C503" s="25"/>
      <c r="D503" s="77">
        <f t="shared" ref="D503:D514" si="188">A503+23</f>
        <v>46055</v>
      </c>
      <c r="E503" s="77">
        <f t="shared" ref="E503:E514" si="189">A503+7</f>
        <v>46039</v>
      </c>
      <c r="F503" s="77">
        <f t="shared" ref="F503:F514" si="190">A503+14</f>
        <v>46046</v>
      </c>
      <c r="G503" s="77">
        <f t="shared" ref="G503:G514" si="191">A503+20</f>
        <v>46052</v>
      </c>
      <c r="H503" s="77">
        <f t="shared" ref="H503:H514" si="192">A503+8</f>
        <v>46040</v>
      </c>
      <c r="I503" s="77">
        <f t="shared" ref="I503:I514" si="193">A503+15</f>
        <v>46047</v>
      </c>
      <c r="J503" s="77">
        <v>46062</v>
      </c>
      <c r="K503" s="78">
        <f t="shared" si="187"/>
        <v>30</v>
      </c>
      <c r="L503" s="25">
        <v>10.210000000000001</v>
      </c>
      <c r="M503" s="25">
        <v>8.58</v>
      </c>
      <c r="N503" s="25">
        <f>L503-M503</f>
        <v>1.6300000000000008</v>
      </c>
      <c r="O503" s="25" t="s">
        <v>593</v>
      </c>
    </row>
    <row r="504" spans="1:15" x14ac:dyDescent="0.25">
      <c r="A504" s="77">
        <v>46032</v>
      </c>
      <c r="B504" s="25" t="s">
        <v>555</v>
      </c>
      <c r="C504" s="25"/>
      <c r="D504" s="77">
        <f t="shared" si="188"/>
        <v>46055</v>
      </c>
      <c r="E504" s="77">
        <f t="shared" si="189"/>
        <v>46039</v>
      </c>
      <c r="F504" s="77">
        <f t="shared" si="190"/>
        <v>46046</v>
      </c>
      <c r="G504" s="77">
        <f t="shared" si="191"/>
        <v>46052</v>
      </c>
      <c r="H504" s="77">
        <f t="shared" si="192"/>
        <v>46040</v>
      </c>
      <c r="I504" s="77">
        <f t="shared" si="193"/>
        <v>46047</v>
      </c>
      <c r="J504" s="77">
        <v>46062</v>
      </c>
      <c r="K504" s="78">
        <f t="shared" si="187"/>
        <v>30</v>
      </c>
      <c r="L504" s="25">
        <v>9.1</v>
      </c>
      <c r="M504" s="25">
        <v>7.21</v>
      </c>
      <c r="N504" s="25">
        <f>L504-M504</f>
        <v>1.8899999999999997</v>
      </c>
      <c r="O504" s="25" t="s">
        <v>593</v>
      </c>
    </row>
    <row r="505" spans="1:15" x14ac:dyDescent="0.25">
      <c r="A505" s="77">
        <v>46032</v>
      </c>
      <c r="B505" s="25" t="s">
        <v>556</v>
      </c>
      <c r="C505" s="25"/>
      <c r="D505" s="77">
        <f t="shared" si="188"/>
        <v>46055</v>
      </c>
      <c r="E505" s="77">
        <f t="shared" si="189"/>
        <v>46039</v>
      </c>
      <c r="F505" s="77">
        <f t="shared" si="190"/>
        <v>46046</v>
      </c>
      <c r="G505" s="77">
        <f t="shared" si="191"/>
        <v>46052</v>
      </c>
      <c r="H505" s="77">
        <f t="shared" si="192"/>
        <v>46040</v>
      </c>
      <c r="I505" s="77">
        <f t="shared" si="193"/>
        <v>46047</v>
      </c>
      <c r="J505" s="77">
        <v>46061</v>
      </c>
      <c r="K505" s="78">
        <f t="shared" ref="K505:K515" si="194">J505-A505</f>
        <v>29</v>
      </c>
      <c r="L505" s="25">
        <v>6.93</v>
      </c>
      <c r="M505" s="25">
        <v>3.35</v>
      </c>
      <c r="N505" s="25">
        <f t="shared" ref="N505:N511" si="195">L505-M505</f>
        <v>3.5799999999999996</v>
      </c>
      <c r="O505" s="25" t="s">
        <v>592</v>
      </c>
    </row>
    <row r="506" spans="1:15" x14ac:dyDescent="0.25">
      <c r="A506" s="77">
        <v>46032</v>
      </c>
      <c r="B506" s="25" t="s">
        <v>557</v>
      </c>
      <c r="C506" s="25"/>
      <c r="D506" s="77">
        <f t="shared" si="188"/>
        <v>46055</v>
      </c>
      <c r="E506" s="77">
        <f t="shared" si="189"/>
        <v>46039</v>
      </c>
      <c r="F506" s="77">
        <f t="shared" si="190"/>
        <v>46046</v>
      </c>
      <c r="G506" s="77">
        <f t="shared" si="191"/>
        <v>46052</v>
      </c>
      <c r="H506" s="77">
        <f t="shared" si="192"/>
        <v>46040</v>
      </c>
      <c r="I506" s="77">
        <f t="shared" si="193"/>
        <v>46047</v>
      </c>
      <c r="J506" s="77">
        <v>46061</v>
      </c>
      <c r="K506" s="78">
        <f t="shared" si="194"/>
        <v>29</v>
      </c>
      <c r="L506" s="25">
        <v>6.99</v>
      </c>
      <c r="M506" s="25">
        <v>3.64</v>
      </c>
      <c r="N506" s="25">
        <f t="shared" si="195"/>
        <v>3.35</v>
      </c>
      <c r="O506" s="25" t="s">
        <v>592</v>
      </c>
    </row>
    <row r="507" spans="1:15" x14ac:dyDescent="0.25">
      <c r="A507" s="77">
        <v>46032</v>
      </c>
      <c r="B507" s="25" t="s">
        <v>558</v>
      </c>
      <c r="C507" s="25"/>
      <c r="D507" s="77">
        <f t="shared" si="188"/>
        <v>46055</v>
      </c>
      <c r="E507" s="77">
        <f t="shared" si="189"/>
        <v>46039</v>
      </c>
      <c r="F507" s="77">
        <f t="shared" si="190"/>
        <v>46046</v>
      </c>
      <c r="G507" s="77">
        <f t="shared" si="191"/>
        <v>46052</v>
      </c>
      <c r="H507" s="77">
        <f t="shared" si="192"/>
        <v>46040</v>
      </c>
      <c r="I507" s="77">
        <f t="shared" si="193"/>
        <v>46047</v>
      </c>
      <c r="J507" s="77">
        <v>46061</v>
      </c>
      <c r="K507" s="78">
        <f t="shared" si="194"/>
        <v>29</v>
      </c>
      <c r="L507" s="25">
        <v>4.8099999999999996</v>
      </c>
      <c r="M507" s="25">
        <v>2.11</v>
      </c>
      <c r="N507" s="25">
        <f t="shared" si="195"/>
        <v>2.6999999999999997</v>
      </c>
      <c r="O507" s="25" t="s">
        <v>592</v>
      </c>
    </row>
    <row r="508" spans="1:15" x14ac:dyDescent="0.25">
      <c r="A508" s="77">
        <v>46033</v>
      </c>
      <c r="B508" s="25" t="s">
        <v>545</v>
      </c>
      <c r="C508" s="25"/>
      <c r="D508" s="77">
        <f t="shared" si="188"/>
        <v>46056</v>
      </c>
      <c r="E508" s="77">
        <f t="shared" si="189"/>
        <v>46040</v>
      </c>
      <c r="F508" s="77">
        <f t="shared" si="190"/>
        <v>46047</v>
      </c>
      <c r="G508" s="77">
        <f t="shared" si="191"/>
        <v>46053</v>
      </c>
      <c r="H508" s="77">
        <f t="shared" si="192"/>
        <v>46041</v>
      </c>
      <c r="I508" s="77">
        <f t="shared" si="193"/>
        <v>46048</v>
      </c>
      <c r="J508" s="77">
        <v>46063</v>
      </c>
      <c r="K508" s="78">
        <f t="shared" si="194"/>
        <v>30</v>
      </c>
      <c r="L508" s="25">
        <v>10.19</v>
      </c>
      <c r="M508" s="25">
        <v>4.2300000000000004</v>
      </c>
      <c r="N508" s="25">
        <f t="shared" si="195"/>
        <v>5.9599999999999991</v>
      </c>
      <c r="O508" s="25" t="s">
        <v>592</v>
      </c>
    </row>
    <row r="509" spans="1:15" x14ac:dyDescent="0.25">
      <c r="A509" s="77">
        <v>46033</v>
      </c>
      <c r="B509" s="25" t="s">
        <v>546</v>
      </c>
      <c r="C509" s="25"/>
      <c r="D509" s="77">
        <f t="shared" si="188"/>
        <v>46056</v>
      </c>
      <c r="E509" s="77">
        <f t="shared" si="189"/>
        <v>46040</v>
      </c>
      <c r="F509" s="77">
        <f t="shared" si="190"/>
        <v>46047</v>
      </c>
      <c r="G509" s="77">
        <f t="shared" si="191"/>
        <v>46053</v>
      </c>
      <c r="H509" s="77">
        <f t="shared" si="192"/>
        <v>46041</v>
      </c>
      <c r="I509" s="77">
        <f t="shared" si="193"/>
        <v>46048</v>
      </c>
      <c r="J509" s="77">
        <v>46063</v>
      </c>
      <c r="K509" s="78">
        <f t="shared" si="194"/>
        <v>30</v>
      </c>
      <c r="L509" s="25">
        <v>10.17</v>
      </c>
      <c r="M509" s="25">
        <v>4.82</v>
      </c>
      <c r="N509" s="25">
        <f t="shared" si="195"/>
        <v>5.35</v>
      </c>
      <c r="O509" s="25" t="s">
        <v>592</v>
      </c>
    </row>
    <row r="510" spans="1:15" x14ac:dyDescent="0.25">
      <c r="A510" s="77">
        <v>46033</v>
      </c>
      <c r="B510" s="25" t="s">
        <v>547</v>
      </c>
      <c r="C510" s="25"/>
      <c r="D510" s="77">
        <f t="shared" si="188"/>
        <v>46056</v>
      </c>
      <c r="E510" s="77">
        <f t="shared" si="189"/>
        <v>46040</v>
      </c>
      <c r="F510" s="77">
        <f t="shared" si="190"/>
        <v>46047</v>
      </c>
      <c r="G510" s="77">
        <f t="shared" si="191"/>
        <v>46053</v>
      </c>
      <c r="H510" s="77">
        <f t="shared" si="192"/>
        <v>46041</v>
      </c>
      <c r="I510" s="77">
        <f t="shared" si="193"/>
        <v>46048</v>
      </c>
      <c r="J510" s="77">
        <v>46063</v>
      </c>
      <c r="K510" s="78">
        <f t="shared" si="194"/>
        <v>30</v>
      </c>
      <c r="L510" s="25">
        <v>9.36</v>
      </c>
      <c r="M510" s="25">
        <v>7.54</v>
      </c>
      <c r="N510" s="25">
        <f t="shared" si="195"/>
        <v>1.8199999999999994</v>
      </c>
      <c r="O510" s="25" t="s">
        <v>593</v>
      </c>
    </row>
    <row r="511" spans="1:15" x14ac:dyDescent="0.25">
      <c r="A511" s="77">
        <v>46033</v>
      </c>
      <c r="B511" s="25" t="s">
        <v>548</v>
      </c>
      <c r="C511" s="25"/>
      <c r="D511" s="77">
        <f t="shared" si="188"/>
        <v>46056</v>
      </c>
      <c r="E511" s="77">
        <f t="shared" si="189"/>
        <v>46040</v>
      </c>
      <c r="F511" s="77">
        <f t="shared" si="190"/>
        <v>46047</v>
      </c>
      <c r="G511" s="77">
        <f t="shared" si="191"/>
        <v>46053</v>
      </c>
      <c r="H511" s="77">
        <f t="shared" si="192"/>
        <v>46041</v>
      </c>
      <c r="I511" s="77">
        <f t="shared" si="193"/>
        <v>46048</v>
      </c>
      <c r="J511" s="77">
        <v>46063</v>
      </c>
      <c r="K511" s="78">
        <f t="shared" si="194"/>
        <v>30</v>
      </c>
      <c r="L511" s="25">
        <v>9.02</v>
      </c>
      <c r="M511" s="25">
        <v>7.31</v>
      </c>
      <c r="N511" s="25">
        <f t="shared" si="195"/>
        <v>1.71</v>
      </c>
      <c r="O511" s="25" t="s">
        <v>593</v>
      </c>
    </row>
    <row r="512" spans="1:15" x14ac:dyDescent="0.25">
      <c r="A512" s="77">
        <v>46033</v>
      </c>
      <c r="B512" s="25" t="s">
        <v>549</v>
      </c>
      <c r="C512" s="25"/>
      <c r="D512" s="77">
        <f t="shared" si="188"/>
        <v>46056</v>
      </c>
      <c r="E512" s="77">
        <f t="shared" si="189"/>
        <v>46040</v>
      </c>
      <c r="F512" s="77">
        <f t="shared" si="190"/>
        <v>46047</v>
      </c>
      <c r="G512" s="77">
        <f t="shared" si="191"/>
        <v>46053</v>
      </c>
      <c r="H512" s="77">
        <f t="shared" si="192"/>
        <v>46041</v>
      </c>
      <c r="I512" s="77">
        <f t="shared" si="193"/>
        <v>46048</v>
      </c>
      <c r="J512" s="77">
        <v>46061</v>
      </c>
      <c r="K512" s="78">
        <f t="shared" si="194"/>
        <v>28</v>
      </c>
      <c r="L512" s="25">
        <v>10.35</v>
      </c>
      <c r="M512" s="25">
        <v>8.6300000000000008</v>
      </c>
      <c r="N512" s="25">
        <f t="shared" ref="N512:N522" si="196">L512-M512</f>
        <v>1.7199999999999989</v>
      </c>
      <c r="O512" s="25" t="s">
        <v>593</v>
      </c>
    </row>
    <row r="513" spans="1:15" x14ac:dyDescent="0.25">
      <c r="A513" s="77">
        <v>46033</v>
      </c>
      <c r="B513" s="25" t="s">
        <v>550</v>
      </c>
      <c r="C513" s="25"/>
      <c r="D513" s="77">
        <f t="shared" si="188"/>
        <v>46056</v>
      </c>
      <c r="E513" s="77">
        <f t="shared" si="189"/>
        <v>46040</v>
      </c>
      <c r="F513" s="77">
        <f t="shared" si="190"/>
        <v>46047</v>
      </c>
      <c r="G513" s="77">
        <f t="shared" si="191"/>
        <v>46053</v>
      </c>
      <c r="H513" s="77">
        <f t="shared" si="192"/>
        <v>46041</v>
      </c>
      <c r="I513" s="77">
        <f t="shared" si="193"/>
        <v>46048</v>
      </c>
      <c r="J513" s="77">
        <v>46061</v>
      </c>
      <c r="K513" s="78">
        <f t="shared" si="194"/>
        <v>28</v>
      </c>
      <c r="L513" s="25">
        <v>10.09</v>
      </c>
      <c r="M513" s="25">
        <v>8.4700000000000006</v>
      </c>
      <c r="N513" s="25">
        <f t="shared" si="196"/>
        <v>1.6199999999999992</v>
      </c>
      <c r="O513" s="25" t="s">
        <v>593</v>
      </c>
    </row>
    <row r="514" spans="1:15" x14ac:dyDescent="0.25">
      <c r="A514" s="77">
        <v>46033</v>
      </c>
      <c r="B514" s="25" t="s">
        <v>551</v>
      </c>
      <c r="C514" s="25"/>
      <c r="D514" s="77">
        <f t="shared" si="188"/>
        <v>46056</v>
      </c>
      <c r="E514" s="77">
        <f t="shared" si="189"/>
        <v>46040</v>
      </c>
      <c r="F514" s="77">
        <f t="shared" si="190"/>
        <v>46047</v>
      </c>
      <c r="G514" s="77">
        <f t="shared" si="191"/>
        <v>46053</v>
      </c>
      <c r="H514" s="77">
        <f t="shared" si="192"/>
        <v>46041</v>
      </c>
      <c r="I514" s="77">
        <f t="shared" si="193"/>
        <v>46048</v>
      </c>
      <c r="J514" s="77">
        <v>46062</v>
      </c>
      <c r="K514" s="78">
        <f t="shared" si="194"/>
        <v>29</v>
      </c>
      <c r="L514" s="25">
        <v>11.84</v>
      </c>
      <c r="M514" s="25">
        <v>10.3</v>
      </c>
      <c r="N514" s="25">
        <f t="shared" si="196"/>
        <v>1.5399999999999991</v>
      </c>
      <c r="O514" s="25" t="s">
        <v>593</v>
      </c>
    </row>
    <row r="515" spans="1:15" x14ac:dyDescent="0.25">
      <c r="A515" s="77">
        <v>46034</v>
      </c>
      <c r="B515" s="25" t="s">
        <v>538</v>
      </c>
      <c r="C515" s="25"/>
      <c r="D515" s="77">
        <f t="shared" ref="D515:D521" si="197">A515+23</f>
        <v>46057</v>
      </c>
      <c r="E515" s="77">
        <f t="shared" ref="E515:E521" si="198">A515+7</f>
        <v>46041</v>
      </c>
      <c r="F515" s="77">
        <f t="shared" ref="F515:F521" si="199">A515+14</f>
        <v>46048</v>
      </c>
      <c r="G515" s="77">
        <f t="shared" ref="G515:G521" si="200">A515+20</f>
        <v>46054</v>
      </c>
      <c r="H515" s="77">
        <f t="shared" ref="H515:H521" si="201">A515+8</f>
        <v>46042</v>
      </c>
      <c r="I515" s="77">
        <f t="shared" ref="I515:I521" si="202">A515+15</f>
        <v>46049</v>
      </c>
      <c r="J515" s="77">
        <v>46064</v>
      </c>
      <c r="K515" s="78">
        <f t="shared" si="194"/>
        <v>30</v>
      </c>
      <c r="L515" s="25">
        <v>12.9</v>
      </c>
      <c r="M515" s="25">
        <v>12.01</v>
      </c>
      <c r="N515" s="25">
        <f t="shared" si="196"/>
        <v>0.89000000000000057</v>
      </c>
      <c r="O515" s="25" t="s">
        <v>593</v>
      </c>
    </row>
    <row r="516" spans="1:15" x14ac:dyDescent="0.25">
      <c r="A516" s="77">
        <v>46034</v>
      </c>
      <c r="B516" s="25" t="s">
        <v>539</v>
      </c>
      <c r="C516" s="25"/>
      <c r="D516" s="77">
        <f t="shared" si="197"/>
        <v>46057</v>
      </c>
      <c r="E516" s="77">
        <f t="shared" si="198"/>
        <v>46041</v>
      </c>
      <c r="F516" s="77">
        <f t="shared" si="199"/>
        <v>46048</v>
      </c>
      <c r="G516" s="77">
        <f t="shared" si="200"/>
        <v>46054</v>
      </c>
      <c r="H516" s="77">
        <f t="shared" si="201"/>
        <v>46042</v>
      </c>
      <c r="I516" s="77">
        <f t="shared" si="202"/>
        <v>46049</v>
      </c>
      <c r="J516" s="77">
        <v>46064</v>
      </c>
      <c r="K516" s="78">
        <f t="shared" ref="K516:K523" si="203">J516-A516</f>
        <v>30</v>
      </c>
      <c r="L516" s="25">
        <v>12.06</v>
      </c>
      <c r="M516" s="25">
        <v>10.74</v>
      </c>
      <c r="N516" s="25">
        <f t="shared" si="196"/>
        <v>1.3200000000000003</v>
      </c>
      <c r="O516" s="25" t="s">
        <v>593</v>
      </c>
    </row>
    <row r="517" spans="1:15" x14ac:dyDescent="0.25">
      <c r="A517" s="77">
        <v>46034</v>
      </c>
      <c r="B517" s="25" t="s">
        <v>540</v>
      </c>
      <c r="C517" s="25"/>
      <c r="D517" s="77">
        <f t="shared" si="197"/>
        <v>46057</v>
      </c>
      <c r="E517" s="77">
        <f t="shared" si="198"/>
        <v>46041</v>
      </c>
      <c r="F517" s="77">
        <f t="shared" si="199"/>
        <v>46048</v>
      </c>
      <c r="G517" s="77">
        <f t="shared" si="200"/>
        <v>46054</v>
      </c>
      <c r="H517" s="77">
        <f t="shared" si="201"/>
        <v>46042</v>
      </c>
      <c r="I517" s="77">
        <f t="shared" si="202"/>
        <v>46049</v>
      </c>
      <c r="J517" s="77">
        <v>46064</v>
      </c>
      <c r="K517" s="78">
        <f t="shared" si="203"/>
        <v>30</v>
      </c>
      <c r="L517" s="25">
        <v>12.71</v>
      </c>
      <c r="M517" s="25">
        <v>11.15</v>
      </c>
      <c r="N517" s="25">
        <f t="shared" si="196"/>
        <v>1.5600000000000005</v>
      </c>
      <c r="O517" s="25" t="s">
        <v>593</v>
      </c>
    </row>
    <row r="518" spans="1:15" x14ac:dyDescent="0.25">
      <c r="A518" s="77">
        <v>46034</v>
      </c>
      <c r="B518" s="25" t="s">
        <v>541</v>
      </c>
      <c r="C518" s="25"/>
      <c r="D518" s="77">
        <f t="shared" si="197"/>
        <v>46057</v>
      </c>
      <c r="E518" s="77">
        <f t="shared" si="198"/>
        <v>46041</v>
      </c>
      <c r="F518" s="77">
        <f t="shared" si="199"/>
        <v>46048</v>
      </c>
      <c r="G518" s="77">
        <f t="shared" si="200"/>
        <v>46054</v>
      </c>
      <c r="H518" s="77">
        <f t="shared" si="201"/>
        <v>46042</v>
      </c>
      <c r="I518" s="77">
        <f t="shared" si="202"/>
        <v>46049</v>
      </c>
      <c r="J518" s="77">
        <v>46064</v>
      </c>
      <c r="K518" s="78">
        <f t="shared" si="203"/>
        <v>30</v>
      </c>
      <c r="L518" s="25">
        <v>13.38</v>
      </c>
      <c r="M518" s="25">
        <v>12.71</v>
      </c>
      <c r="N518" s="25">
        <f t="shared" si="196"/>
        <v>0.66999999999999993</v>
      </c>
      <c r="O518" s="25" t="s">
        <v>593</v>
      </c>
    </row>
    <row r="519" spans="1:15" x14ac:dyDescent="0.25">
      <c r="A519" s="77">
        <v>46034</v>
      </c>
      <c r="B519" s="25" t="s">
        <v>542</v>
      </c>
      <c r="C519" s="25"/>
      <c r="D519" s="77">
        <f t="shared" si="197"/>
        <v>46057</v>
      </c>
      <c r="E519" s="77">
        <f t="shared" si="198"/>
        <v>46041</v>
      </c>
      <c r="F519" s="77">
        <f t="shared" si="199"/>
        <v>46048</v>
      </c>
      <c r="G519" s="77">
        <f t="shared" si="200"/>
        <v>46054</v>
      </c>
      <c r="H519" s="77">
        <f t="shared" si="201"/>
        <v>46042</v>
      </c>
      <c r="I519" s="77">
        <f t="shared" si="202"/>
        <v>46049</v>
      </c>
      <c r="J519" s="77">
        <v>46064</v>
      </c>
      <c r="K519" s="78">
        <f t="shared" si="203"/>
        <v>30</v>
      </c>
      <c r="L519" s="25">
        <v>11.96</v>
      </c>
      <c r="M519" s="25">
        <v>10.54</v>
      </c>
      <c r="N519" s="25">
        <f t="shared" si="196"/>
        <v>1.4200000000000017</v>
      </c>
      <c r="O519" s="25" t="s">
        <v>593</v>
      </c>
    </row>
    <row r="520" spans="1:15" x14ac:dyDescent="0.25">
      <c r="A520" s="77">
        <v>46034</v>
      </c>
      <c r="B520" s="25" t="s">
        <v>543</v>
      </c>
      <c r="C520" s="25"/>
      <c r="D520" s="77">
        <f t="shared" si="197"/>
        <v>46057</v>
      </c>
      <c r="E520" s="77">
        <f t="shared" si="198"/>
        <v>46041</v>
      </c>
      <c r="F520" s="77">
        <f t="shared" si="199"/>
        <v>46048</v>
      </c>
      <c r="G520" s="77">
        <f t="shared" si="200"/>
        <v>46054</v>
      </c>
      <c r="H520" s="77">
        <f t="shared" si="201"/>
        <v>46042</v>
      </c>
      <c r="I520" s="77">
        <f t="shared" si="202"/>
        <v>46049</v>
      </c>
      <c r="J520" s="77">
        <v>46064</v>
      </c>
      <c r="K520" s="78">
        <f t="shared" si="203"/>
        <v>30</v>
      </c>
      <c r="L520" s="25">
        <v>11.73</v>
      </c>
      <c r="M520" s="25">
        <v>10.119999999999999</v>
      </c>
      <c r="N520" s="25">
        <f t="shared" si="196"/>
        <v>1.6100000000000012</v>
      </c>
      <c r="O520" s="25" t="s">
        <v>593</v>
      </c>
    </row>
    <row r="521" spans="1:15" x14ac:dyDescent="0.25">
      <c r="A521" s="77">
        <v>46034</v>
      </c>
      <c r="B521" s="25" t="s">
        <v>544</v>
      </c>
      <c r="C521" s="25"/>
      <c r="D521" s="77">
        <f t="shared" si="197"/>
        <v>46057</v>
      </c>
      <c r="E521" s="77">
        <f t="shared" si="198"/>
        <v>46041</v>
      </c>
      <c r="F521" s="77">
        <f t="shared" si="199"/>
        <v>46048</v>
      </c>
      <c r="G521" s="77">
        <f t="shared" si="200"/>
        <v>46054</v>
      </c>
      <c r="H521" s="77">
        <f t="shared" si="201"/>
        <v>46042</v>
      </c>
      <c r="I521" s="77">
        <f t="shared" si="202"/>
        <v>46049</v>
      </c>
      <c r="J521" s="77">
        <v>46064</v>
      </c>
      <c r="K521" s="78">
        <f t="shared" si="203"/>
        <v>30</v>
      </c>
      <c r="L521" s="25">
        <v>13.45</v>
      </c>
      <c r="M521" s="25">
        <v>12.17</v>
      </c>
      <c r="N521" s="25">
        <f t="shared" si="196"/>
        <v>1.2799999999999994</v>
      </c>
      <c r="O521" s="25" t="s">
        <v>593</v>
      </c>
    </row>
    <row r="522" spans="1:15" x14ac:dyDescent="0.25">
      <c r="A522" s="77">
        <v>46035</v>
      </c>
      <c r="B522" s="25" t="s">
        <v>537</v>
      </c>
      <c r="C522" s="25"/>
      <c r="D522" s="77">
        <f t="shared" ref="D522:D529" si="204">A522+23</f>
        <v>46058</v>
      </c>
      <c r="E522" s="77">
        <f t="shared" ref="E522:E529" si="205">A522+7</f>
        <v>46042</v>
      </c>
      <c r="F522" s="77">
        <f t="shared" ref="F522:F529" si="206">A522+14</f>
        <v>46049</v>
      </c>
      <c r="G522" s="77">
        <f t="shared" ref="G522:G529" si="207">A522+20</f>
        <v>46055</v>
      </c>
      <c r="H522" s="77">
        <f t="shared" ref="H522:H529" si="208">A522+8</f>
        <v>46043</v>
      </c>
      <c r="I522" s="77">
        <f t="shared" ref="I522:I529" si="209">A522+15</f>
        <v>46050</v>
      </c>
      <c r="J522" s="77">
        <v>46064</v>
      </c>
      <c r="K522" s="78">
        <f t="shared" si="203"/>
        <v>29</v>
      </c>
      <c r="L522" s="25">
        <v>12.65</v>
      </c>
      <c r="M522" s="25">
        <v>11.38</v>
      </c>
      <c r="N522" s="25">
        <f t="shared" si="196"/>
        <v>1.2699999999999996</v>
      </c>
      <c r="O522" s="25" t="s">
        <v>593</v>
      </c>
    </row>
    <row r="523" spans="1:15" x14ac:dyDescent="0.25">
      <c r="A523" s="77">
        <v>46035</v>
      </c>
      <c r="B523" s="25" t="s">
        <v>513</v>
      </c>
      <c r="C523" s="25"/>
      <c r="D523" s="77">
        <f t="shared" si="204"/>
        <v>46058</v>
      </c>
      <c r="E523" s="77">
        <f t="shared" si="205"/>
        <v>46042</v>
      </c>
      <c r="F523" s="77">
        <f t="shared" si="206"/>
        <v>46049</v>
      </c>
      <c r="G523" s="77">
        <f t="shared" si="207"/>
        <v>46055</v>
      </c>
      <c r="H523" s="77">
        <f t="shared" si="208"/>
        <v>46043</v>
      </c>
      <c r="I523" s="77">
        <f t="shared" si="209"/>
        <v>46050</v>
      </c>
      <c r="J523" s="77">
        <v>46065</v>
      </c>
      <c r="K523" s="78">
        <f t="shared" si="203"/>
        <v>30</v>
      </c>
      <c r="L523" s="84">
        <v>13.65</v>
      </c>
      <c r="M523" s="82">
        <v>12.36</v>
      </c>
      <c r="N523" s="25">
        <f t="shared" ref="N523:N529" si="210">L523-M523</f>
        <v>1.2900000000000009</v>
      </c>
      <c r="O523" s="25" t="s">
        <v>593</v>
      </c>
    </row>
    <row r="524" spans="1:15" x14ac:dyDescent="0.25">
      <c r="A524" s="77">
        <v>46035</v>
      </c>
      <c r="B524" s="25" t="s">
        <v>514</v>
      </c>
      <c r="C524" s="25"/>
      <c r="D524" s="77">
        <f t="shared" si="204"/>
        <v>46058</v>
      </c>
      <c r="E524" s="77">
        <f t="shared" si="205"/>
        <v>46042</v>
      </c>
      <c r="F524" s="77">
        <f t="shared" si="206"/>
        <v>46049</v>
      </c>
      <c r="G524" s="77">
        <f t="shared" si="207"/>
        <v>46055</v>
      </c>
      <c r="H524" s="77">
        <f t="shared" si="208"/>
        <v>46043</v>
      </c>
      <c r="I524" s="77">
        <f t="shared" si="209"/>
        <v>46050</v>
      </c>
      <c r="J524" s="77">
        <v>46065</v>
      </c>
      <c r="K524" s="78">
        <f t="shared" ref="K524:K530" si="211">J524-A524</f>
        <v>30</v>
      </c>
      <c r="L524" s="84">
        <v>12.74</v>
      </c>
      <c r="M524" s="82">
        <v>11.58</v>
      </c>
      <c r="N524" s="25">
        <f t="shared" si="210"/>
        <v>1.1600000000000001</v>
      </c>
      <c r="O524" s="25" t="s">
        <v>593</v>
      </c>
    </row>
    <row r="525" spans="1:15" x14ac:dyDescent="0.25">
      <c r="A525" s="77">
        <v>46035</v>
      </c>
      <c r="B525" s="25" t="s">
        <v>515</v>
      </c>
      <c r="C525" s="25"/>
      <c r="D525" s="77">
        <f t="shared" si="204"/>
        <v>46058</v>
      </c>
      <c r="E525" s="77">
        <f t="shared" si="205"/>
        <v>46042</v>
      </c>
      <c r="F525" s="77">
        <f t="shared" si="206"/>
        <v>46049</v>
      </c>
      <c r="G525" s="77">
        <f t="shared" si="207"/>
        <v>46055</v>
      </c>
      <c r="H525" s="77">
        <f t="shared" si="208"/>
        <v>46043</v>
      </c>
      <c r="I525" s="77">
        <f t="shared" si="209"/>
        <v>46050</v>
      </c>
      <c r="J525" s="77">
        <v>46065</v>
      </c>
      <c r="K525" s="78">
        <f t="shared" si="211"/>
        <v>30</v>
      </c>
      <c r="L525" s="84">
        <v>13.04</v>
      </c>
      <c r="M525" s="82">
        <v>11.82</v>
      </c>
      <c r="N525" s="25">
        <f t="shared" si="210"/>
        <v>1.2199999999999989</v>
      </c>
      <c r="O525" s="25" t="s">
        <v>593</v>
      </c>
    </row>
    <row r="526" spans="1:15" x14ac:dyDescent="0.25">
      <c r="A526" s="77">
        <v>46035</v>
      </c>
      <c r="B526" s="25" t="s">
        <v>516</v>
      </c>
      <c r="C526" s="25"/>
      <c r="D526" s="77">
        <f t="shared" si="204"/>
        <v>46058</v>
      </c>
      <c r="E526" s="77">
        <f t="shared" si="205"/>
        <v>46042</v>
      </c>
      <c r="F526" s="77">
        <f t="shared" si="206"/>
        <v>46049</v>
      </c>
      <c r="G526" s="77">
        <f t="shared" si="207"/>
        <v>46055</v>
      </c>
      <c r="H526" s="77">
        <f t="shared" si="208"/>
        <v>46043</v>
      </c>
      <c r="I526" s="77">
        <f t="shared" si="209"/>
        <v>46050</v>
      </c>
      <c r="J526" s="77">
        <v>46065</v>
      </c>
      <c r="K526" s="78">
        <f t="shared" si="211"/>
        <v>30</v>
      </c>
      <c r="L526" s="84">
        <v>13.93</v>
      </c>
      <c r="M526" s="82">
        <v>13.1</v>
      </c>
      <c r="N526" s="25">
        <f t="shared" si="210"/>
        <v>0.83000000000000007</v>
      </c>
      <c r="O526" s="25" t="s">
        <v>593</v>
      </c>
    </row>
    <row r="527" spans="1:15" x14ac:dyDescent="0.25">
      <c r="A527" s="77">
        <v>46035</v>
      </c>
      <c r="B527" s="25" t="s">
        <v>517</v>
      </c>
      <c r="C527" s="25"/>
      <c r="D527" s="77">
        <f t="shared" si="204"/>
        <v>46058</v>
      </c>
      <c r="E527" s="77">
        <f t="shared" si="205"/>
        <v>46042</v>
      </c>
      <c r="F527" s="77">
        <f t="shared" si="206"/>
        <v>46049</v>
      </c>
      <c r="G527" s="77">
        <f t="shared" si="207"/>
        <v>46055</v>
      </c>
      <c r="H527" s="77">
        <f t="shared" si="208"/>
        <v>46043</v>
      </c>
      <c r="I527" s="77">
        <f t="shared" si="209"/>
        <v>46050</v>
      </c>
      <c r="J527" s="77">
        <v>46065</v>
      </c>
      <c r="K527" s="78">
        <f t="shared" si="211"/>
        <v>30</v>
      </c>
      <c r="L527" s="84">
        <v>12.87</v>
      </c>
      <c r="M527" s="82">
        <v>12.18</v>
      </c>
      <c r="N527" s="25">
        <f t="shared" si="210"/>
        <v>0.6899999999999995</v>
      </c>
      <c r="O527" s="25" t="s">
        <v>593</v>
      </c>
    </row>
    <row r="528" spans="1:15" x14ac:dyDescent="0.25">
      <c r="A528" s="77">
        <v>46035</v>
      </c>
      <c r="B528" s="25" t="s">
        <v>518</v>
      </c>
      <c r="C528" s="25"/>
      <c r="D528" s="77">
        <f t="shared" si="204"/>
        <v>46058</v>
      </c>
      <c r="E528" s="77">
        <f t="shared" si="205"/>
        <v>46042</v>
      </c>
      <c r="F528" s="77">
        <f t="shared" si="206"/>
        <v>46049</v>
      </c>
      <c r="G528" s="77">
        <f t="shared" si="207"/>
        <v>46055</v>
      </c>
      <c r="H528" s="77">
        <f t="shared" si="208"/>
        <v>46043</v>
      </c>
      <c r="I528" s="77">
        <f t="shared" si="209"/>
        <v>46050</v>
      </c>
      <c r="J528" s="77">
        <v>46065</v>
      </c>
      <c r="K528" s="78">
        <f t="shared" si="211"/>
        <v>30</v>
      </c>
      <c r="L528" s="84">
        <v>13.61</v>
      </c>
      <c r="M528" s="82">
        <v>12.67</v>
      </c>
      <c r="N528" s="25">
        <f t="shared" si="210"/>
        <v>0.9399999999999995</v>
      </c>
      <c r="O528" s="25" t="s">
        <v>593</v>
      </c>
    </row>
    <row r="529" spans="1:15" x14ac:dyDescent="0.25">
      <c r="A529" s="77">
        <v>46035</v>
      </c>
      <c r="B529" s="25" t="s">
        <v>519</v>
      </c>
      <c r="C529" s="25"/>
      <c r="D529" s="77">
        <f t="shared" si="204"/>
        <v>46058</v>
      </c>
      <c r="E529" s="77">
        <f t="shared" si="205"/>
        <v>46042</v>
      </c>
      <c r="F529" s="77">
        <f t="shared" si="206"/>
        <v>46049</v>
      </c>
      <c r="G529" s="77">
        <f t="shared" si="207"/>
        <v>46055</v>
      </c>
      <c r="H529" s="77">
        <f t="shared" si="208"/>
        <v>46043</v>
      </c>
      <c r="I529" s="77">
        <f t="shared" si="209"/>
        <v>46050</v>
      </c>
      <c r="J529" s="77">
        <v>46065</v>
      </c>
      <c r="K529" s="78">
        <f t="shared" si="211"/>
        <v>30</v>
      </c>
      <c r="L529" s="84">
        <v>14.18</v>
      </c>
      <c r="M529" s="82">
        <v>13.25</v>
      </c>
      <c r="N529" s="25">
        <f t="shared" si="210"/>
        <v>0.92999999999999972</v>
      </c>
      <c r="O529" s="25" t="s">
        <v>593</v>
      </c>
    </row>
    <row r="530" spans="1:15" x14ac:dyDescent="0.25">
      <c r="A530" s="77">
        <v>46036</v>
      </c>
      <c r="B530" s="25" t="s">
        <v>520</v>
      </c>
      <c r="C530" s="25"/>
      <c r="D530" s="77">
        <f>A530+23</f>
        <v>46059</v>
      </c>
      <c r="E530" s="77">
        <f>A530+7</f>
        <v>46043</v>
      </c>
      <c r="F530" s="77">
        <f>A530+14</f>
        <v>46050</v>
      </c>
      <c r="G530" s="77">
        <f>A530+20</f>
        <v>46056</v>
      </c>
      <c r="H530" s="77">
        <f>A530+8</f>
        <v>46044</v>
      </c>
      <c r="I530" s="77">
        <f>A530+15</f>
        <v>46051</v>
      </c>
      <c r="J530" s="77">
        <v>46066</v>
      </c>
      <c r="K530" s="78">
        <f t="shared" si="211"/>
        <v>30</v>
      </c>
      <c r="L530" s="84">
        <v>12.41</v>
      </c>
      <c r="M530" s="82">
        <v>11.73</v>
      </c>
      <c r="N530" s="25">
        <f t="shared" ref="N530:N538" si="212">L530-M530</f>
        <v>0.67999999999999972</v>
      </c>
      <c r="O530" s="25" t="s">
        <v>593</v>
      </c>
    </row>
    <row r="531" spans="1:15" x14ac:dyDescent="0.25">
      <c r="A531" s="77">
        <v>46036</v>
      </c>
      <c r="B531" s="25" t="s">
        <v>521</v>
      </c>
      <c r="C531" s="25"/>
      <c r="D531" s="77">
        <f t="shared" ref="D531:D537" si="213">A531+23</f>
        <v>46059</v>
      </c>
      <c r="E531" s="77">
        <f t="shared" ref="E531:E537" si="214">A531+7</f>
        <v>46043</v>
      </c>
      <c r="F531" s="77">
        <f t="shared" ref="F531:F537" si="215">A531+14</f>
        <v>46050</v>
      </c>
      <c r="G531" s="77">
        <f t="shared" ref="G531:G537" si="216">A531+20</f>
        <v>46056</v>
      </c>
      <c r="H531" s="77">
        <f t="shared" ref="H531:H537" si="217">A531+8</f>
        <v>46044</v>
      </c>
      <c r="I531" s="77">
        <f t="shared" ref="I531:I537" si="218">A531+15</f>
        <v>46051</v>
      </c>
      <c r="J531" s="77">
        <v>46066</v>
      </c>
      <c r="K531" s="78">
        <f t="shared" ref="K531:K539" si="219">J531-A531</f>
        <v>30</v>
      </c>
      <c r="L531" s="84">
        <v>11.75</v>
      </c>
      <c r="M531" s="82">
        <v>10.58</v>
      </c>
      <c r="N531" s="25">
        <f t="shared" si="212"/>
        <v>1.17</v>
      </c>
      <c r="O531" s="25" t="s">
        <v>593</v>
      </c>
    </row>
    <row r="532" spans="1:15" x14ac:dyDescent="0.25">
      <c r="A532" s="77">
        <v>46036</v>
      </c>
      <c r="B532" s="25" t="s">
        <v>522</v>
      </c>
      <c r="C532" s="25"/>
      <c r="D532" s="77">
        <f t="shared" si="213"/>
        <v>46059</v>
      </c>
      <c r="E532" s="77">
        <f t="shared" si="214"/>
        <v>46043</v>
      </c>
      <c r="F532" s="77">
        <f t="shared" si="215"/>
        <v>46050</v>
      </c>
      <c r="G532" s="77">
        <f t="shared" si="216"/>
        <v>46056</v>
      </c>
      <c r="H532" s="77">
        <f t="shared" si="217"/>
        <v>46044</v>
      </c>
      <c r="I532" s="77">
        <f t="shared" si="218"/>
        <v>46051</v>
      </c>
      <c r="J532" s="77">
        <v>46066</v>
      </c>
      <c r="K532" s="78">
        <f t="shared" si="219"/>
        <v>30</v>
      </c>
      <c r="L532" s="84">
        <v>13.84</v>
      </c>
      <c r="M532" s="82">
        <v>12.24</v>
      </c>
      <c r="N532" s="25">
        <f t="shared" si="212"/>
        <v>1.5999999999999996</v>
      </c>
      <c r="O532" s="25" t="s">
        <v>593</v>
      </c>
    </row>
    <row r="533" spans="1:15" x14ac:dyDescent="0.25">
      <c r="A533" s="77">
        <v>46036</v>
      </c>
      <c r="B533" s="25" t="s">
        <v>523</v>
      </c>
      <c r="C533" s="25"/>
      <c r="D533" s="77">
        <f t="shared" si="213"/>
        <v>46059</v>
      </c>
      <c r="E533" s="77">
        <f t="shared" si="214"/>
        <v>46043</v>
      </c>
      <c r="F533" s="77">
        <f t="shared" si="215"/>
        <v>46050</v>
      </c>
      <c r="G533" s="77">
        <f t="shared" si="216"/>
        <v>46056</v>
      </c>
      <c r="H533" s="77">
        <f t="shared" si="217"/>
        <v>46044</v>
      </c>
      <c r="I533" s="77">
        <f t="shared" si="218"/>
        <v>46051</v>
      </c>
      <c r="J533" s="77">
        <v>46066</v>
      </c>
      <c r="K533" s="78">
        <f t="shared" si="219"/>
        <v>30</v>
      </c>
      <c r="L533" s="84">
        <v>13.97</v>
      </c>
      <c r="M533" s="82">
        <v>12.52</v>
      </c>
      <c r="N533" s="25">
        <f t="shared" si="212"/>
        <v>1.4500000000000011</v>
      </c>
      <c r="O533" s="25" t="s">
        <v>593</v>
      </c>
    </row>
    <row r="534" spans="1:15" x14ac:dyDescent="0.25">
      <c r="A534" s="77">
        <v>46036</v>
      </c>
      <c r="B534" s="25" t="s">
        <v>524</v>
      </c>
      <c r="C534" s="25"/>
      <c r="D534" s="77">
        <f t="shared" si="213"/>
        <v>46059</v>
      </c>
      <c r="E534" s="77">
        <f t="shared" si="214"/>
        <v>46043</v>
      </c>
      <c r="F534" s="77">
        <f t="shared" si="215"/>
        <v>46050</v>
      </c>
      <c r="G534" s="77">
        <f t="shared" si="216"/>
        <v>46056</v>
      </c>
      <c r="H534" s="77">
        <f t="shared" si="217"/>
        <v>46044</v>
      </c>
      <c r="I534" s="77">
        <f t="shared" si="218"/>
        <v>46051</v>
      </c>
      <c r="J534" s="77">
        <v>46066</v>
      </c>
      <c r="K534" s="78">
        <f t="shared" si="219"/>
        <v>30</v>
      </c>
      <c r="L534" s="84">
        <v>12.33</v>
      </c>
      <c r="M534" s="82">
        <v>11.47</v>
      </c>
      <c r="N534" s="25">
        <f t="shared" si="212"/>
        <v>0.85999999999999943</v>
      </c>
      <c r="O534" s="25" t="s">
        <v>593</v>
      </c>
    </row>
    <row r="535" spans="1:15" x14ac:dyDescent="0.25">
      <c r="A535" s="77">
        <v>46036</v>
      </c>
      <c r="B535" s="25" t="s">
        <v>525</v>
      </c>
      <c r="C535" s="25"/>
      <c r="D535" s="77">
        <f t="shared" si="213"/>
        <v>46059</v>
      </c>
      <c r="E535" s="77">
        <f t="shared" si="214"/>
        <v>46043</v>
      </c>
      <c r="F535" s="77">
        <f t="shared" si="215"/>
        <v>46050</v>
      </c>
      <c r="G535" s="77">
        <f t="shared" si="216"/>
        <v>46056</v>
      </c>
      <c r="H535" s="77">
        <f t="shared" si="217"/>
        <v>46044</v>
      </c>
      <c r="I535" s="77">
        <f t="shared" si="218"/>
        <v>46051</v>
      </c>
      <c r="J535" s="77">
        <v>46066</v>
      </c>
      <c r="K535" s="78">
        <f t="shared" si="219"/>
        <v>30</v>
      </c>
      <c r="L535" s="84">
        <v>10.11</v>
      </c>
      <c r="M535" s="82">
        <v>8.6300000000000008</v>
      </c>
      <c r="N535" s="25">
        <f t="shared" si="212"/>
        <v>1.4799999999999986</v>
      </c>
      <c r="O535" s="25" t="s">
        <v>593</v>
      </c>
    </row>
    <row r="536" spans="1:15" x14ac:dyDescent="0.25">
      <c r="A536" s="77">
        <v>46036</v>
      </c>
      <c r="B536" s="25" t="s">
        <v>526</v>
      </c>
      <c r="C536" s="25"/>
      <c r="D536" s="77">
        <f t="shared" si="213"/>
        <v>46059</v>
      </c>
      <c r="E536" s="77">
        <f t="shared" si="214"/>
        <v>46043</v>
      </c>
      <c r="F536" s="77">
        <f t="shared" si="215"/>
        <v>46050</v>
      </c>
      <c r="G536" s="77">
        <f t="shared" si="216"/>
        <v>46056</v>
      </c>
      <c r="H536" s="77">
        <f t="shared" si="217"/>
        <v>46044</v>
      </c>
      <c r="I536" s="77">
        <f t="shared" si="218"/>
        <v>46051</v>
      </c>
      <c r="J536" s="77">
        <v>46066</v>
      </c>
      <c r="K536" s="78">
        <f t="shared" si="219"/>
        <v>30</v>
      </c>
      <c r="L536" s="84">
        <v>10.72</v>
      </c>
      <c r="M536" s="82">
        <v>9.35</v>
      </c>
      <c r="N536" s="25">
        <f t="shared" si="212"/>
        <v>1.370000000000001</v>
      </c>
      <c r="O536" s="25" t="s">
        <v>593</v>
      </c>
    </row>
    <row r="537" spans="1:15" x14ac:dyDescent="0.25">
      <c r="A537" s="77">
        <v>46037</v>
      </c>
      <c r="B537" s="25" t="s">
        <v>527</v>
      </c>
      <c r="C537" s="25"/>
      <c r="D537" s="77">
        <f t="shared" si="213"/>
        <v>46060</v>
      </c>
      <c r="E537" s="77">
        <f t="shared" si="214"/>
        <v>46044</v>
      </c>
      <c r="F537" s="77">
        <f t="shared" si="215"/>
        <v>46051</v>
      </c>
      <c r="G537" s="77">
        <f t="shared" si="216"/>
        <v>46057</v>
      </c>
      <c r="H537" s="77">
        <f t="shared" si="217"/>
        <v>46045</v>
      </c>
      <c r="I537" s="77">
        <f t="shared" si="218"/>
        <v>46052</v>
      </c>
      <c r="J537" s="77">
        <v>46066</v>
      </c>
      <c r="K537" s="78">
        <f t="shared" si="219"/>
        <v>29</v>
      </c>
      <c r="L537" s="84">
        <v>10.66</v>
      </c>
      <c r="M537" s="82">
        <v>9.2100000000000009</v>
      </c>
      <c r="N537" s="25">
        <f t="shared" si="212"/>
        <v>1.4499999999999993</v>
      </c>
      <c r="O537" s="25" t="s">
        <v>593</v>
      </c>
    </row>
    <row r="538" spans="1:15" x14ac:dyDescent="0.25">
      <c r="A538" s="77">
        <v>46037</v>
      </c>
      <c r="B538" s="25" t="s">
        <v>528</v>
      </c>
      <c r="C538" s="25"/>
      <c r="D538" s="77">
        <f t="shared" ref="D538:D545" si="220">A538+23</f>
        <v>46060</v>
      </c>
      <c r="E538" s="77">
        <f t="shared" ref="E538:E545" si="221">A538+7</f>
        <v>46044</v>
      </c>
      <c r="F538" s="77">
        <f t="shared" ref="F538:F545" si="222">A538+14</f>
        <v>46051</v>
      </c>
      <c r="G538" s="77">
        <f t="shared" ref="G538:G545" si="223">A538+20</f>
        <v>46057</v>
      </c>
      <c r="H538" s="77">
        <f t="shared" ref="H538:H545" si="224">A538+8</f>
        <v>46045</v>
      </c>
      <c r="I538" s="77">
        <f t="shared" ref="I538:I545" si="225">A538+15</f>
        <v>46052</v>
      </c>
      <c r="J538" s="77">
        <v>46066</v>
      </c>
      <c r="K538" s="78">
        <f t="shared" si="219"/>
        <v>29</v>
      </c>
      <c r="L538" s="84">
        <v>13.19</v>
      </c>
      <c r="M538" s="82">
        <v>11.68</v>
      </c>
      <c r="N538" s="25">
        <f t="shared" si="212"/>
        <v>1.5099999999999998</v>
      </c>
      <c r="O538" s="25" t="s">
        <v>593</v>
      </c>
    </row>
    <row r="539" spans="1:15" x14ac:dyDescent="0.25">
      <c r="A539" s="77">
        <v>46037</v>
      </c>
      <c r="B539" s="25" t="s">
        <v>529</v>
      </c>
      <c r="C539" s="25"/>
      <c r="D539" s="77">
        <f t="shared" si="220"/>
        <v>46060</v>
      </c>
      <c r="E539" s="77">
        <f t="shared" si="221"/>
        <v>46044</v>
      </c>
      <c r="F539" s="77">
        <f t="shared" si="222"/>
        <v>46051</v>
      </c>
      <c r="G539" s="77">
        <f t="shared" si="223"/>
        <v>46057</v>
      </c>
      <c r="H539" s="77">
        <f t="shared" si="224"/>
        <v>46045</v>
      </c>
      <c r="I539" s="77">
        <f t="shared" si="225"/>
        <v>46052</v>
      </c>
      <c r="J539" s="77">
        <v>46067</v>
      </c>
      <c r="K539" s="78">
        <f t="shared" si="219"/>
        <v>30</v>
      </c>
      <c r="L539" s="84">
        <v>10.18</v>
      </c>
      <c r="M539" s="82">
        <v>8.24</v>
      </c>
      <c r="N539" s="25">
        <f t="shared" ref="N539:N549" si="226">L539-M539</f>
        <v>1.9399999999999995</v>
      </c>
      <c r="O539" s="25" t="s">
        <v>593</v>
      </c>
    </row>
    <row r="540" spans="1:15" x14ac:dyDescent="0.25">
      <c r="A540" s="77">
        <v>46037</v>
      </c>
      <c r="B540" s="25" t="s">
        <v>530</v>
      </c>
      <c r="C540" s="25"/>
      <c r="D540" s="77">
        <f t="shared" si="220"/>
        <v>46060</v>
      </c>
      <c r="E540" s="77">
        <f t="shared" si="221"/>
        <v>46044</v>
      </c>
      <c r="F540" s="77">
        <f t="shared" si="222"/>
        <v>46051</v>
      </c>
      <c r="G540" s="77">
        <f t="shared" si="223"/>
        <v>46057</v>
      </c>
      <c r="H540" s="77">
        <f t="shared" si="224"/>
        <v>46045</v>
      </c>
      <c r="I540" s="77">
        <f t="shared" si="225"/>
        <v>46052</v>
      </c>
      <c r="J540" s="77">
        <v>46067</v>
      </c>
      <c r="K540" s="78">
        <f t="shared" ref="K540:K550" si="227">J540-A540</f>
        <v>30</v>
      </c>
      <c r="L540" s="84">
        <v>10.36</v>
      </c>
      <c r="M540" s="82">
        <v>8.73</v>
      </c>
      <c r="N540" s="25">
        <f t="shared" si="226"/>
        <v>1.629999999999999</v>
      </c>
      <c r="O540" s="25" t="s">
        <v>593</v>
      </c>
    </row>
    <row r="541" spans="1:15" x14ac:dyDescent="0.25">
      <c r="A541" s="77">
        <v>46037</v>
      </c>
      <c r="B541" s="25" t="s">
        <v>531</v>
      </c>
      <c r="C541" s="25"/>
      <c r="D541" s="77">
        <f t="shared" si="220"/>
        <v>46060</v>
      </c>
      <c r="E541" s="77">
        <f t="shared" si="221"/>
        <v>46044</v>
      </c>
      <c r="F541" s="77">
        <f t="shared" si="222"/>
        <v>46051</v>
      </c>
      <c r="G541" s="77">
        <f t="shared" si="223"/>
        <v>46057</v>
      </c>
      <c r="H541" s="77">
        <f t="shared" si="224"/>
        <v>46045</v>
      </c>
      <c r="I541" s="77">
        <f t="shared" si="225"/>
        <v>46052</v>
      </c>
      <c r="J541" s="77">
        <v>46067</v>
      </c>
      <c r="K541" s="78">
        <f t="shared" si="227"/>
        <v>30</v>
      </c>
      <c r="L541" s="84">
        <v>11.83</v>
      </c>
      <c r="M541" s="82">
        <v>10.29</v>
      </c>
      <c r="N541" s="25">
        <f t="shared" si="226"/>
        <v>1.5400000000000009</v>
      </c>
      <c r="O541" s="25" t="s">
        <v>593</v>
      </c>
    </row>
    <row r="542" spans="1:15" x14ac:dyDescent="0.25">
      <c r="A542" s="77">
        <v>46037</v>
      </c>
      <c r="B542" s="25" t="s">
        <v>532</v>
      </c>
      <c r="C542" s="25"/>
      <c r="D542" s="77">
        <f t="shared" si="220"/>
        <v>46060</v>
      </c>
      <c r="E542" s="77">
        <f t="shared" si="221"/>
        <v>46044</v>
      </c>
      <c r="F542" s="77">
        <f t="shared" si="222"/>
        <v>46051</v>
      </c>
      <c r="G542" s="77">
        <f t="shared" si="223"/>
        <v>46057</v>
      </c>
      <c r="H542" s="77">
        <f t="shared" si="224"/>
        <v>46045</v>
      </c>
      <c r="I542" s="77">
        <f t="shared" si="225"/>
        <v>46052</v>
      </c>
      <c r="J542" s="77">
        <v>46067</v>
      </c>
      <c r="K542" s="78">
        <f t="shared" si="227"/>
        <v>30</v>
      </c>
      <c r="L542" s="84">
        <v>11.57</v>
      </c>
      <c r="M542" s="82">
        <v>10.119999999999999</v>
      </c>
      <c r="N542" s="25">
        <f t="shared" si="226"/>
        <v>1.4500000000000011</v>
      </c>
      <c r="O542" s="25" t="s">
        <v>593</v>
      </c>
    </row>
    <row r="543" spans="1:15" x14ac:dyDescent="0.25">
      <c r="A543" s="77">
        <v>46037</v>
      </c>
      <c r="B543" s="25" t="s">
        <v>533</v>
      </c>
      <c r="C543" s="25"/>
      <c r="D543" s="77">
        <f t="shared" si="220"/>
        <v>46060</v>
      </c>
      <c r="E543" s="77">
        <f t="shared" si="221"/>
        <v>46044</v>
      </c>
      <c r="F543" s="77">
        <f t="shared" si="222"/>
        <v>46051</v>
      </c>
      <c r="G543" s="77">
        <f t="shared" si="223"/>
        <v>46057</v>
      </c>
      <c r="H543" s="77">
        <f t="shared" si="224"/>
        <v>46045</v>
      </c>
      <c r="I543" s="77">
        <f t="shared" si="225"/>
        <v>46052</v>
      </c>
      <c r="J543" s="77">
        <v>46067</v>
      </c>
      <c r="K543" s="78">
        <f t="shared" si="227"/>
        <v>30</v>
      </c>
      <c r="L543" s="84">
        <v>10.68</v>
      </c>
      <c r="M543" s="82">
        <v>9.33</v>
      </c>
      <c r="N543" s="25">
        <f t="shared" si="226"/>
        <v>1.3499999999999996</v>
      </c>
      <c r="O543" s="25" t="s">
        <v>593</v>
      </c>
    </row>
    <row r="544" spans="1:15" x14ac:dyDescent="0.25">
      <c r="A544" s="77">
        <v>46038</v>
      </c>
      <c r="B544" s="25" t="s">
        <v>359</v>
      </c>
      <c r="C544" s="25"/>
      <c r="D544" s="77">
        <f t="shared" si="220"/>
        <v>46061</v>
      </c>
      <c r="E544" s="77">
        <f t="shared" si="221"/>
        <v>46045</v>
      </c>
      <c r="F544" s="77">
        <f t="shared" si="222"/>
        <v>46052</v>
      </c>
      <c r="G544" s="77">
        <f t="shared" si="223"/>
        <v>46058</v>
      </c>
      <c r="H544" s="77">
        <f t="shared" si="224"/>
        <v>46046</v>
      </c>
      <c r="I544" s="77">
        <f t="shared" si="225"/>
        <v>46053</v>
      </c>
      <c r="J544" s="77">
        <v>46067</v>
      </c>
      <c r="K544" s="78">
        <f t="shared" si="227"/>
        <v>29</v>
      </c>
      <c r="L544" s="84">
        <v>12.02</v>
      </c>
      <c r="M544" s="82">
        <v>10.73</v>
      </c>
      <c r="N544" s="25">
        <f t="shared" si="226"/>
        <v>1.2899999999999991</v>
      </c>
      <c r="O544" s="25" t="s">
        <v>593</v>
      </c>
    </row>
    <row r="545" spans="1:15" x14ac:dyDescent="0.25">
      <c r="A545" s="77">
        <v>46038</v>
      </c>
      <c r="B545" s="25" t="s">
        <v>360</v>
      </c>
      <c r="C545" s="25"/>
      <c r="D545" s="77">
        <f t="shared" si="220"/>
        <v>46061</v>
      </c>
      <c r="E545" s="77">
        <f t="shared" si="221"/>
        <v>46045</v>
      </c>
      <c r="F545" s="77">
        <f t="shared" si="222"/>
        <v>46052</v>
      </c>
      <c r="G545" s="77">
        <f t="shared" si="223"/>
        <v>46058</v>
      </c>
      <c r="H545" s="77">
        <f t="shared" si="224"/>
        <v>46046</v>
      </c>
      <c r="I545" s="77">
        <f t="shared" si="225"/>
        <v>46053</v>
      </c>
      <c r="J545" s="77">
        <v>46067</v>
      </c>
      <c r="K545" s="78">
        <f t="shared" si="227"/>
        <v>29</v>
      </c>
      <c r="L545" s="84">
        <v>12.43</v>
      </c>
      <c r="M545" s="82">
        <v>11.15</v>
      </c>
      <c r="N545" s="25">
        <f t="shared" si="226"/>
        <v>1.2799999999999994</v>
      </c>
      <c r="O545" s="25" t="s">
        <v>593</v>
      </c>
    </row>
    <row r="546" spans="1:15" x14ac:dyDescent="0.25">
      <c r="A546" s="77">
        <v>46038</v>
      </c>
      <c r="B546" s="25" t="s">
        <v>361</v>
      </c>
      <c r="C546" s="25"/>
      <c r="D546" s="77">
        <f t="shared" ref="D546:D553" si="228">A546+23</f>
        <v>46061</v>
      </c>
      <c r="E546" s="77">
        <f t="shared" ref="E546:E553" si="229">A546+7</f>
        <v>46045</v>
      </c>
      <c r="F546" s="77">
        <f t="shared" ref="F546:F553" si="230">A546+14</f>
        <v>46052</v>
      </c>
      <c r="G546" s="77">
        <f t="shared" ref="G546:G553" si="231">A546+20</f>
        <v>46058</v>
      </c>
      <c r="H546" s="77">
        <f t="shared" ref="H546:H553" si="232">A546+8</f>
        <v>46046</v>
      </c>
      <c r="I546" s="77">
        <f t="shared" ref="I546:I553" si="233">A546+15</f>
        <v>46053</v>
      </c>
      <c r="J546" s="77">
        <v>46067</v>
      </c>
      <c r="K546" s="78">
        <f t="shared" si="227"/>
        <v>29</v>
      </c>
      <c r="L546" s="84">
        <v>12.91</v>
      </c>
      <c r="M546" s="82">
        <v>11.51</v>
      </c>
      <c r="N546" s="25">
        <f t="shared" si="226"/>
        <v>1.4000000000000004</v>
      </c>
      <c r="O546" s="25" t="s">
        <v>593</v>
      </c>
    </row>
    <row r="547" spans="1:15" x14ac:dyDescent="0.25">
      <c r="A547" s="77">
        <v>46038</v>
      </c>
      <c r="B547" s="25" t="s">
        <v>362</v>
      </c>
      <c r="C547" s="25"/>
      <c r="D547" s="77">
        <f t="shared" si="228"/>
        <v>46061</v>
      </c>
      <c r="E547" s="77">
        <f t="shared" si="229"/>
        <v>46045</v>
      </c>
      <c r="F547" s="77">
        <f t="shared" si="230"/>
        <v>46052</v>
      </c>
      <c r="G547" s="77">
        <f t="shared" si="231"/>
        <v>46058</v>
      </c>
      <c r="H547" s="77">
        <f t="shared" si="232"/>
        <v>46046</v>
      </c>
      <c r="I547" s="77">
        <f t="shared" si="233"/>
        <v>46053</v>
      </c>
      <c r="J547" s="77">
        <v>46067</v>
      </c>
      <c r="K547" s="78">
        <f t="shared" si="227"/>
        <v>29</v>
      </c>
      <c r="L547" s="84">
        <v>11.85</v>
      </c>
      <c r="M547" s="82">
        <v>10.82</v>
      </c>
      <c r="N547" s="25">
        <f t="shared" si="226"/>
        <v>1.0299999999999994</v>
      </c>
      <c r="O547" s="25" t="s">
        <v>593</v>
      </c>
    </row>
    <row r="548" spans="1:15" x14ac:dyDescent="0.25">
      <c r="A548" s="77">
        <v>46038</v>
      </c>
      <c r="B548" s="25" t="s">
        <v>363</v>
      </c>
      <c r="C548" s="25"/>
      <c r="D548" s="77">
        <f t="shared" si="228"/>
        <v>46061</v>
      </c>
      <c r="E548" s="77">
        <f t="shared" si="229"/>
        <v>46045</v>
      </c>
      <c r="F548" s="77">
        <f t="shared" si="230"/>
        <v>46052</v>
      </c>
      <c r="G548" s="77">
        <f t="shared" si="231"/>
        <v>46058</v>
      </c>
      <c r="H548" s="77">
        <f t="shared" si="232"/>
        <v>46046</v>
      </c>
      <c r="I548" s="77">
        <f t="shared" si="233"/>
        <v>46053</v>
      </c>
      <c r="J548" s="77">
        <v>46067</v>
      </c>
      <c r="K548" s="78">
        <f t="shared" si="227"/>
        <v>29</v>
      </c>
      <c r="L548" s="84">
        <v>11.57</v>
      </c>
      <c r="M548" s="82">
        <v>10.34</v>
      </c>
      <c r="N548" s="25">
        <f t="shared" si="226"/>
        <v>1.2300000000000004</v>
      </c>
      <c r="O548" s="25" t="s">
        <v>593</v>
      </c>
    </row>
    <row r="549" spans="1:15" x14ac:dyDescent="0.25">
      <c r="A549" s="77">
        <v>46038</v>
      </c>
      <c r="B549" s="25" t="s">
        <v>364</v>
      </c>
      <c r="C549" s="25"/>
      <c r="D549" s="77">
        <f t="shared" si="228"/>
        <v>46061</v>
      </c>
      <c r="E549" s="77">
        <f t="shared" si="229"/>
        <v>46045</v>
      </c>
      <c r="F549" s="77">
        <f t="shared" si="230"/>
        <v>46052</v>
      </c>
      <c r="G549" s="77">
        <f t="shared" si="231"/>
        <v>46058</v>
      </c>
      <c r="H549" s="77">
        <f t="shared" si="232"/>
        <v>46046</v>
      </c>
      <c r="I549" s="77">
        <f t="shared" si="233"/>
        <v>46053</v>
      </c>
      <c r="J549" s="77">
        <v>46067</v>
      </c>
      <c r="K549" s="78">
        <f t="shared" si="227"/>
        <v>29</v>
      </c>
      <c r="L549" s="84">
        <v>12.49</v>
      </c>
      <c r="M549" s="82">
        <v>11.22</v>
      </c>
      <c r="N549" s="25">
        <f t="shared" si="226"/>
        <v>1.2699999999999996</v>
      </c>
      <c r="O549" s="25" t="s">
        <v>593</v>
      </c>
    </row>
    <row r="550" spans="1:15" x14ac:dyDescent="0.25">
      <c r="A550" s="77">
        <v>46038</v>
      </c>
      <c r="B550" s="25" t="s">
        <v>365</v>
      </c>
      <c r="C550" s="25"/>
      <c r="D550" s="77">
        <f t="shared" si="228"/>
        <v>46061</v>
      </c>
      <c r="E550" s="77">
        <f t="shared" si="229"/>
        <v>46045</v>
      </c>
      <c r="F550" s="77">
        <f t="shared" si="230"/>
        <v>46052</v>
      </c>
      <c r="G550" s="77">
        <f t="shared" si="231"/>
        <v>46058</v>
      </c>
      <c r="H550" s="77">
        <f t="shared" si="232"/>
        <v>46046</v>
      </c>
      <c r="I550" s="77">
        <f t="shared" si="233"/>
        <v>46053</v>
      </c>
      <c r="J550" s="77">
        <v>46068</v>
      </c>
      <c r="K550" s="78">
        <f t="shared" si="227"/>
        <v>30</v>
      </c>
      <c r="L550" s="84">
        <v>15.87</v>
      </c>
      <c r="M550" s="82">
        <v>14.43</v>
      </c>
      <c r="N550" s="25">
        <f t="shared" ref="N550:N557" si="234">L550-M550</f>
        <v>1.4399999999999995</v>
      </c>
      <c r="O550" s="25" t="s">
        <v>593</v>
      </c>
    </row>
    <row r="551" spans="1:15" x14ac:dyDescent="0.25">
      <c r="A551" s="77">
        <v>46039</v>
      </c>
      <c r="B551" s="25" t="s">
        <v>379</v>
      </c>
      <c r="C551" s="25"/>
      <c r="D551" s="77">
        <f t="shared" si="228"/>
        <v>46062</v>
      </c>
      <c r="E551" s="77">
        <f t="shared" si="229"/>
        <v>46046</v>
      </c>
      <c r="F551" s="77">
        <f t="shared" si="230"/>
        <v>46053</v>
      </c>
      <c r="G551" s="77">
        <f t="shared" si="231"/>
        <v>46059</v>
      </c>
      <c r="H551" s="77">
        <f t="shared" si="232"/>
        <v>46047</v>
      </c>
      <c r="I551" s="77">
        <f t="shared" si="233"/>
        <v>46054</v>
      </c>
      <c r="J551" s="77">
        <v>46068</v>
      </c>
      <c r="K551" s="78">
        <f t="shared" ref="K551:K558" si="235">J551-A551</f>
        <v>29</v>
      </c>
      <c r="L551" s="84">
        <v>15.49</v>
      </c>
      <c r="M551" s="82">
        <v>14.92</v>
      </c>
      <c r="N551" s="25">
        <f t="shared" si="234"/>
        <v>0.57000000000000028</v>
      </c>
      <c r="O551" s="25" t="s">
        <v>593</v>
      </c>
    </row>
    <row r="552" spans="1:15" x14ac:dyDescent="0.25">
      <c r="A552" s="77">
        <v>46039</v>
      </c>
      <c r="B552" s="25" t="s">
        <v>380</v>
      </c>
      <c r="C552" s="25"/>
      <c r="D552" s="77">
        <f t="shared" si="228"/>
        <v>46062</v>
      </c>
      <c r="E552" s="77">
        <f t="shared" si="229"/>
        <v>46046</v>
      </c>
      <c r="F552" s="77">
        <f t="shared" si="230"/>
        <v>46053</v>
      </c>
      <c r="G552" s="77">
        <f t="shared" si="231"/>
        <v>46059</v>
      </c>
      <c r="H552" s="77">
        <f t="shared" si="232"/>
        <v>46047</v>
      </c>
      <c r="I552" s="77">
        <f t="shared" si="233"/>
        <v>46054</v>
      </c>
      <c r="J552" s="77">
        <v>46068</v>
      </c>
      <c r="K552" s="78">
        <f t="shared" si="235"/>
        <v>29</v>
      </c>
      <c r="L552" s="84">
        <v>16.36</v>
      </c>
      <c r="M552" s="82">
        <v>15.23</v>
      </c>
      <c r="N552" s="25">
        <f t="shared" si="234"/>
        <v>1.129999999999999</v>
      </c>
      <c r="O552" s="25" t="s">
        <v>593</v>
      </c>
    </row>
    <row r="553" spans="1:15" x14ac:dyDescent="0.25">
      <c r="A553" s="77">
        <v>46039</v>
      </c>
      <c r="B553" s="25" t="s">
        <v>381</v>
      </c>
      <c r="C553" s="25"/>
      <c r="D553" s="77">
        <f t="shared" si="228"/>
        <v>46062</v>
      </c>
      <c r="E553" s="77">
        <f t="shared" si="229"/>
        <v>46046</v>
      </c>
      <c r="F553" s="77">
        <f t="shared" si="230"/>
        <v>46053</v>
      </c>
      <c r="G553" s="77">
        <f t="shared" si="231"/>
        <v>46059</v>
      </c>
      <c r="H553" s="77">
        <f t="shared" si="232"/>
        <v>46047</v>
      </c>
      <c r="I553" s="77">
        <f t="shared" si="233"/>
        <v>46054</v>
      </c>
      <c r="J553" s="77">
        <v>46068</v>
      </c>
      <c r="K553" s="78">
        <f t="shared" si="235"/>
        <v>29</v>
      </c>
      <c r="L553" s="84">
        <v>15.31</v>
      </c>
      <c r="M553" s="82">
        <v>14.73</v>
      </c>
      <c r="N553" s="25">
        <f t="shared" si="234"/>
        <v>0.58000000000000007</v>
      </c>
      <c r="O553" s="25" t="s">
        <v>593</v>
      </c>
    </row>
    <row r="554" spans="1:15" x14ac:dyDescent="0.25">
      <c r="A554" s="77">
        <v>46039</v>
      </c>
      <c r="B554" s="25" t="s">
        <v>382</v>
      </c>
      <c r="C554" s="25"/>
      <c r="D554" s="77">
        <f>A554+23</f>
        <v>46062</v>
      </c>
      <c r="E554" s="77">
        <f>A554+7</f>
        <v>46046</v>
      </c>
      <c r="F554" s="77">
        <f>A554+14</f>
        <v>46053</v>
      </c>
      <c r="G554" s="77">
        <f>A554+20</f>
        <v>46059</v>
      </c>
      <c r="H554" s="77">
        <f>A554+8</f>
        <v>46047</v>
      </c>
      <c r="I554" s="77">
        <f>A554+15</f>
        <v>46054</v>
      </c>
      <c r="J554" s="77">
        <v>46068</v>
      </c>
      <c r="K554" s="78">
        <f t="shared" si="235"/>
        <v>29</v>
      </c>
      <c r="L554" s="84">
        <v>15.1</v>
      </c>
      <c r="M554" s="82">
        <v>14.1</v>
      </c>
      <c r="N554" s="25">
        <f t="shared" si="234"/>
        <v>1</v>
      </c>
      <c r="O554" s="25" t="s">
        <v>593</v>
      </c>
    </row>
    <row r="555" spans="1:15" x14ac:dyDescent="0.25">
      <c r="A555" s="77">
        <v>46039</v>
      </c>
      <c r="B555" s="25" t="s">
        <v>383</v>
      </c>
      <c r="C555" s="25"/>
      <c r="D555" s="77">
        <f>A555+23</f>
        <v>46062</v>
      </c>
      <c r="E555" s="77">
        <f>A555+7</f>
        <v>46046</v>
      </c>
      <c r="F555" s="77">
        <f>A555+14</f>
        <v>46053</v>
      </c>
      <c r="G555" s="77">
        <f>A555+20</f>
        <v>46059</v>
      </c>
      <c r="H555" s="77">
        <f>A555+8</f>
        <v>46047</v>
      </c>
      <c r="I555" s="77">
        <f>A555+15</f>
        <v>46054</v>
      </c>
      <c r="J555" s="77">
        <v>46068</v>
      </c>
      <c r="K555" s="78">
        <f t="shared" si="235"/>
        <v>29</v>
      </c>
      <c r="L555" s="84">
        <v>16.87</v>
      </c>
      <c r="M555" s="82">
        <v>15.74</v>
      </c>
      <c r="N555" s="25">
        <f t="shared" si="234"/>
        <v>1.1300000000000008</v>
      </c>
      <c r="O555" s="25" t="s">
        <v>593</v>
      </c>
    </row>
    <row r="556" spans="1:15" x14ac:dyDescent="0.25">
      <c r="A556" s="77">
        <v>46039</v>
      </c>
      <c r="B556" s="25" t="s">
        <v>384</v>
      </c>
      <c r="C556" s="25"/>
      <c r="D556" s="77">
        <f>A556+23</f>
        <v>46062</v>
      </c>
      <c r="E556" s="77">
        <f>A556+7</f>
        <v>46046</v>
      </c>
      <c r="F556" s="77">
        <f>A556+14</f>
        <v>46053</v>
      </c>
      <c r="G556" s="77">
        <f>A556+20</f>
        <v>46059</v>
      </c>
      <c r="H556" s="77">
        <f>A556+8</f>
        <v>46047</v>
      </c>
      <c r="I556" s="77">
        <f>A556+15</f>
        <v>46054</v>
      </c>
      <c r="J556" s="77">
        <v>46068</v>
      </c>
      <c r="K556" s="78">
        <f t="shared" si="235"/>
        <v>29</v>
      </c>
      <c r="L556" s="84">
        <v>15.35</v>
      </c>
      <c r="M556" s="82">
        <v>14.81</v>
      </c>
      <c r="N556" s="25">
        <f t="shared" si="234"/>
        <v>0.53999999999999915</v>
      </c>
      <c r="O556" s="25" t="s">
        <v>593</v>
      </c>
    </row>
    <row r="557" spans="1:15" x14ac:dyDescent="0.25">
      <c r="A557" s="77">
        <v>46039</v>
      </c>
      <c r="B557" s="25" t="s">
        <v>385</v>
      </c>
      <c r="C557" s="25"/>
      <c r="D557" s="77">
        <f>A557+23</f>
        <v>46062</v>
      </c>
      <c r="E557" s="77">
        <f>A557+7</f>
        <v>46046</v>
      </c>
      <c r="F557" s="77">
        <f>A557+14</f>
        <v>46053</v>
      </c>
      <c r="G557" s="77">
        <f>A557+20</f>
        <v>46059</v>
      </c>
      <c r="H557" s="77">
        <f>A557+8</f>
        <v>46047</v>
      </c>
      <c r="I557" s="77">
        <f>A557+15</f>
        <v>46054</v>
      </c>
      <c r="J557" s="77">
        <v>46068</v>
      </c>
      <c r="K557" s="78">
        <f t="shared" si="235"/>
        <v>29</v>
      </c>
      <c r="L557" s="84">
        <v>16.98</v>
      </c>
      <c r="M557" s="82">
        <v>15.93</v>
      </c>
      <c r="N557" s="25">
        <f t="shared" si="234"/>
        <v>1.0500000000000007</v>
      </c>
      <c r="O557" s="25" t="s">
        <v>593</v>
      </c>
    </row>
    <row r="558" spans="1:15" x14ac:dyDescent="0.25">
      <c r="A558" s="77">
        <v>46040</v>
      </c>
      <c r="B558" s="25" t="s">
        <v>366</v>
      </c>
      <c r="C558" s="25"/>
      <c r="D558" s="77">
        <f>A558+23</f>
        <v>46063</v>
      </c>
      <c r="E558" s="77">
        <f>A558+7</f>
        <v>46047</v>
      </c>
      <c r="F558" s="77">
        <f>A558+14</f>
        <v>46054</v>
      </c>
      <c r="G558" s="77">
        <f>A558+20</f>
        <v>46060</v>
      </c>
      <c r="H558" s="77">
        <f>A558+8</f>
        <v>46048</v>
      </c>
      <c r="I558" s="77">
        <f>A558+15</f>
        <v>46055</v>
      </c>
      <c r="J558" s="77">
        <v>46069</v>
      </c>
      <c r="K558" s="78">
        <f t="shared" si="235"/>
        <v>29</v>
      </c>
      <c r="L558" s="84">
        <v>11.84</v>
      </c>
      <c r="M558" s="82">
        <v>10.73</v>
      </c>
      <c r="N558" s="25">
        <f t="shared" ref="N558:N571" si="236">L558-M558</f>
        <v>1.1099999999999994</v>
      </c>
      <c r="O558" s="25" t="s">
        <v>593</v>
      </c>
    </row>
    <row r="559" spans="1:15" x14ac:dyDescent="0.25">
      <c r="A559" s="77">
        <v>46040</v>
      </c>
      <c r="B559" s="25" t="s">
        <v>367</v>
      </c>
      <c r="C559" s="25"/>
      <c r="D559" s="77">
        <f t="shared" ref="D559:D566" si="237">A559+23</f>
        <v>46063</v>
      </c>
      <c r="E559" s="77">
        <f t="shared" ref="E559:E566" si="238">A559+7</f>
        <v>46047</v>
      </c>
      <c r="F559" s="77">
        <f t="shared" ref="F559:F566" si="239">A559+14</f>
        <v>46054</v>
      </c>
      <c r="G559" s="77">
        <f t="shared" ref="G559:G566" si="240">A559+20</f>
        <v>46060</v>
      </c>
      <c r="H559" s="77">
        <f t="shared" ref="H559:H566" si="241">A559+8</f>
        <v>46048</v>
      </c>
      <c r="I559" s="77">
        <f t="shared" ref="I559:I566" si="242">A559+15</f>
        <v>46055</v>
      </c>
      <c r="J559" s="77">
        <v>46069</v>
      </c>
      <c r="K559" s="78">
        <f t="shared" ref="K559:K616" si="243">J559-A559</f>
        <v>29</v>
      </c>
      <c r="L559" s="84">
        <v>12.51</v>
      </c>
      <c r="M559" s="82">
        <v>11.28</v>
      </c>
      <c r="N559" s="25">
        <f t="shared" si="236"/>
        <v>1.2300000000000004</v>
      </c>
      <c r="O559" s="25" t="s">
        <v>593</v>
      </c>
    </row>
    <row r="560" spans="1:15" x14ac:dyDescent="0.25">
      <c r="A560" s="77">
        <v>46040</v>
      </c>
      <c r="B560" s="25" t="s">
        <v>368</v>
      </c>
      <c r="C560" s="25"/>
      <c r="D560" s="77">
        <f t="shared" si="237"/>
        <v>46063</v>
      </c>
      <c r="E560" s="77">
        <f t="shared" si="238"/>
        <v>46047</v>
      </c>
      <c r="F560" s="77">
        <f t="shared" si="239"/>
        <v>46054</v>
      </c>
      <c r="G560" s="77">
        <f t="shared" si="240"/>
        <v>46060</v>
      </c>
      <c r="H560" s="77">
        <f t="shared" si="241"/>
        <v>46048</v>
      </c>
      <c r="I560" s="77">
        <f t="shared" si="242"/>
        <v>46055</v>
      </c>
      <c r="J560" s="77">
        <v>46069</v>
      </c>
      <c r="K560" s="78">
        <f t="shared" si="243"/>
        <v>29</v>
      </c>
      <c r="L560" s="84">
        <v>12.73</v>
      </c>
      <c r="M560" s="82">
        <v>11.54</v>
      </c>
      <c r="N560" s="25">
        <f t="shared" si="236"/>
        <v>1.1900000000000013</v>
      </c>
      <c r="O560" s="25" t="s">
        <v>593</v>
      </c>
    </row>
    <row r="561" spans="1:15" x14ac:dyDescent="0.25">
      <c r="A561" s="77">
        <v>46040</v>
      </c>
      <c r="B561" s="25" t="s">
        <v>369</v>
      </c>
      <c r="C561" s="25"/>
      <c r="D561" s="77">
        <f t="shared" si="237"/>
        <v>46063</v>
      </c>
      <c r="E561" s="77">
        <f t="shared" si="238"/>
        <v>46047</v>
      </c>
      <c r="F561" s="77">
        <f t="shared" si="239"/>
        <v>46054</v>
      </c>
      <c r="G561" s="77">
        <f t="shared" si="240"/>
        <v>46060</v>
      </c>
      <c r="H561" s="77">
        <f t="shared" si="241"/>
        <v>46048</v>
      </c>
      <c r="I561" s="77">
        <f t="shared" si="242"/>
        <v>46055</v>
      </c>
      <c r="J561" s="77">
        <v>46069</v>
      </c>
      <c r="K561" s="78">
        <f t="shared" si="243"/>
        <v>29</v>
      </c>
      <c r="L561" s="84">
        <v>11.68</v>
      </c>
      <c r="M561" s="82">
        <v>10.7</v>
      </c>
      <c r="N561" s="25">
        <f t="shared" si="236"/>
        <v>0.98000000000000043</v>
      </c>
      <c r="O561" s="25" t="s">
        <v>593</v>
      </c>
    </row>
    <row r="562" spans="1:15" x14ac:dyDescent="0.25">
      <c r="A562" s="77">
        <v>46040</v>
      </c>
      <c r="B562" s="25" t="s">
        <v>370</v>
      </c>
      <c r="C562" s="25"/>
      <c r="D562" s="77">
        <f t="shared" si="237"/>
        <v>46063</v>
      </c>
      <c r="E562" s="77">
        <f t="shared" si="238"/>
        <v>46047</v>
      </c>
      <c r="F562" s="77">
        <f t="shared" si="239"/>
        <v>46054</v>
      </c>
      <c r="G562" s="77">
        <f t="shared" si="240"/>
        <v>46060</v>
      </c>
      <c r="H562" s="77">
        <f t="shared" si="241"/>
        <v>46048</v>
      </c>
      <c r="I562" s="77">
        <f t="shared" si="242"/>
        <v>46055</v>
      </c>
      <c r="J562" s="77">
        <v>46069</v>
      </c>
      <c r="K562" s="78">
        <f t="shared" si="243"/>
        <v>29</v>
      </c>
      <c r="L562" s="84">
        <v>13.39</v>
      </c>
      <c r="M562" s="82">
        <v>12.1</v>
      </c>
      <c r="N562" s="25">
        <f t="shared" si="236"/>
        <v>1.2900000000000009</v>
      </c>
      <c r="O562" s="25" t="s">
        <v>593</v>
      </c>
    </row>
    <row r="563" spans="1:15" x14ac:dyDescent="0.25">
      <c r="A563" s="77">
        <v>46040</v>
      </c>
      <c r="B563" s="25" t="s">
        <v>371</v>
      </c>
      <c r="C563" s="25"/>
      <c r="D563" s="77">
        <f t="shared" si="237"/>
        <v>46063</v>
      </c>
      <c r="E563" s="77">
        <f t="shared" si="238"/>
        <v>46047</v>
      </c>
      <c r="F563" s="77">
        <f t="shared" si="239"/>
        <v>46054</v>
      </c>
      <c r="G563" s="77">
        <f t="shared" si="240"/>
        <v>46060</v>
      </c>
      <c r="H563" s="77">
        <f t="shared" si="241"/>
        <v>46048</v>
      </c>
      <c r="I563" s="77">
        <f t="shared" si="242"/>
        <v>46055</v>
      </c>
      <c r="J563" s="77">
        <v>46069</v>
      </c>
      <c r="K563" s="78">
        <f t="shared" si="243"/>
        <v>29</v>
      </c>
      <c r="L563" s="84">
        <v>13.46</v>
      </c>
      <c r="M563" s="82">
        <v>12.15</v>
      </c>
      <c r="N563" s="25">
        <f t="shared" si="236"/>
        <v>1.3100000000000005</v>
      </c>
      <c r="O563" s="25" t="s">
        <v>593</v>
      </c>
    </row>
    <row r="564" spans="1:15" x14ac:dyDescent="0.25">
      <c r="A564" s="77">
        <v>46040</v>
      </c>
      <c r="B564" s="25" t="s">
        <v>372</v>
      </c>
      <c r="C564" s="25"/>
      <c r="D564" s="77">
        <f t="shared" si="237"/>
        <v>46063</v>
      </c>
      <c r="E564" s="77">
        <f t="shared" si="238"/>
        <v>46047</v>
      </c>
      <c r="F564" s="77">
        <f t="shared" si="239"/>
        <v>46054</v>
      </c>
      <c r="G564" s="77">
        <f t="shared" si="240"/>
        <v>46060</v>
      </c>
      <c r="H564" s="77">
        <f t="shared" si="241"/>
        <v>46048</v>
      </c>
      <c r="I564" s="77">
        <f t="shared" si="242"/>
        <v>46055</v>
      </c>
      <c r="J564" s="77">
        <v>46069</v>
      </c>
      <c r="K564" s="78">
        <f t="shared" si="243"/>
        <v>29</v>
      </c>
      <c r="L564" s="84">
        <v>11.53</v>
      </c>
      <c r="M564" s="82">
        <v>10.84</v>
      </c>
      <c r="N564" s="25">
        <f t="shared" si="236"/>
        <v>0.6899999999999995</v>
      </c>
      <c r="O564" s="25" t="s">
        <v>593</v>
      </c>
    </row>
    <row r="565" spans="1:15" x14ac:dyDescent="0.25">
      <c r="A565" s="77">
        <v>46041</v>
      </c>
      <c r="B565" s="25" t="s">
        <v>386</v>
      </c>
      <c r="C565" s="25"/>
      <c r="D565" s="77">
        <f t="shared" si="237"/>
        <v>46064</v>
      </c>
      <c r="E565" s="77">
        <f t="shared" si="238"/>
        <v>46048</v>
      </c>
      <c r="F565" s="77">
        <f t="shared" si="239"/>
        <v>46055</v>
      </c>
      <c r="G565" s="77">
        <f t="shared" si="240"/>
        <v>46061</v>
      </c>
      <c r="H565" s="77">
        <f t="shared" si="241"/>
        <v>46049</v>
      </c>
      <c r="I565" s="77">
        <f t="shared" si="242"/>
        <v>46056</v>
      </c>
      <c r="J565" s="77">
        <v>46070</v>
      </c>
      <c r="K565" s="78">
        <f t="shared" si="243"/>
        <v>29</v>
      </c>
      <c r="L565" s="84">
        <v>15.87</v>
      </c>
      <c r="M565" s="82">
        <v>14.56</v>
      </c>
      <c r="N565" s="25">
        <f t="shared" si="236"/>
        <v>1.3099999999999987</v>
      </c>
      <c r="O565" s="25" t="s">
        <v>593</v>
      </c>
    </row>
    <row r="566" spans="1:15" x14ac:dyDescent="0.25">
      <c r="A566" s="77">
        <v>46041</v>
      </c>
      <c r="B566" s="25" t="s">
        <v>387</v>
      </c>
      <c r="C566" s="25"/>
      <c r="D566" s="77">
        <f t="shared" si="237"/>
        <v>46064</v>
      </c>
      <c r="E566" s="77">
        <f t="shared" si="238"/>
        <v>46048</v>
      </c>
      <c r="F566" s="77">
        <f t="shared" si="239"/>
        <v>46055</v>
      </c>
      <c r="G566" s="77">
        <f t="shared" si="240"/>
        <v>46061</v>
      </c>
      <c r="H566" s="77">
        <f t="shared" si="241"/>
        <v>46049</v>
      </c>
      <c r="I566" s="77">
        <f t="shared" si="242"/>
        <v>46056</v>
      </c>
      <c r="J566" s="77">
        <v>46070</v>
      </c>
      <c r="K566" s="78">
        <f t="shared" si="243"/>
        <v>29</v>
      </c>
      <c r="L566" s="84">
        <v>14.31</v>
      </c>
      <c r="M566" s="82">
        <v>13.28</v>
      </c>
      <c r="N566" s="25">
        <f t="shared" si="236"/>
        <v>1.0300000000000011</v>
      </c>
      <c r="O566" s="25" t="s">
        <v>593</v>
      </c>
    </row>
    <row r="567" spans="1:15" x14ac:dyDescent="0.25">
      <c r="A567" s="77">
        <v>46041</v>
      </c>
      <c r="B567" s="25" t="s">
        <v>388</v>
      </c>
      <c r="C567" s="25"/>
      <c r="D567" s="77">
        <f t="shared" ref="D567:D574" si="244">A567+23</f>
        <v>46064</v>
      </c>
      <c r="E567" s="77">
        <f t="shared" ref="E567:E574" si="245">A567+7</f>
        <v>46048</v>
      </c>
      <c r="F567" s="77">
        <f t="shared" ref="F567:F574" si="246">A567+14</f>
        <v>46055</v>
      </c>
      <c r="G567" s="77">
        <f t="shared" ref="G567:G574" si="247">A567+20</f>
        <v>46061</v>
      </c>
      <c r="H567" s="77">
        <f t="shared" ref="H567:H574" si="248">A567+8</f>
        <v>46049</v>
      </c>
      <c r="I567" s="77">
        <f t="shared" ref="I567:I574" si="249">A567+15</f>
        <v>46056</v>
      </c>
      <c r="J567" s="77">
        <v>46070</v>
      </c>
      <c r="K567" s="78">
        <f t="shared" si="243"/>
        <v>29</v>
      </c>
      <c r="L567" s="84">
        <v>15.29</v>
      </c>
      <c r="M567" s="82">
        <v>14.1</v>
      </c>
      <c r="N567" s="25">
        <f t="shared" si="236"/>
        <v>1.1899999999999995</v>
      </c>
      <c r="O567" s="25" t="s">
        <v>593</v>
      </c>
    </row>
    <row r="568" spans="1:15" x14ac:dyDescent="0.25">
      <c r="A568" s="77">
        <v>46041</v>
      </c>
      <c r="B568" s="25" t="s">
        <v>389</v>
      </c>
      <c r="C568" s="25"/>
      <c r="D568" s="77">
        <f t="shared" si="244"/>
        <v>46064</v>
      </c>
      <c r="E568" s="77">
        <f t="shared" si="245"/>
        <v>46048</v>
      </c>
      <c r="F568" s="77">
        <f t="shared" si="246"/>
        <v>46055</v>
      </c>
      <c r="G568" s="77">
        <f t="shared" si="247"/>
        <v>46061</v>
      </c>
      <c r="H568" s="77">
        <f t="shared" si="248"/>
        <v>46049</v>
      </c>
      <c r="I568" s="77">
        <f t="shared" si="249"/>
        <v>46056</v>
      </c>
      <c r="J568" s="77">
        <v>46070</v>
      </c>
      <c r="K568" s="78">
        <f t="shared" si="243"/>
        <v>29</v>
      </c>
      <c r="L568" s="84">
        <v>14.73</v>
      </c>
      <c r="M568" s="82">
        <v>13.66</v>
      </c>
      <c r="N568" s="25">
        <f t="shared" si="236"/>
        <v>1.0700000000000003</v>
      </c>
      <c r="O568" s="25" t="s">
        <v>593</v>
      </c>
    </row>
    <row r="569" spans="1:15" x14ac:dyDescent="0.25">
      <c r="A569" s="77">
        <v>46041</v>
      </c>
      <c r="B569" s="25" t="s">
        <v>390</v>
      </c>
      <c r="C569" s="25"/>
      <c r="D569" s="77">
        <f t="shared" si="244"/>
        <v>46064</v>
      </c>
      <c r="E569" s="77">
        <f t="shared" si="245"/>
        <v>46048</v>
      </c>
      <c r="F569" s="77">
        <f t="shared" si="246"/>
        <v>46055</v>
      </c>
      <c r="G569" s="77">
        <f t="shared" si="247"/>
        <v>46061</v>
      </c>
      <c r="H569" s="77">
        <f t="shared" si="248"/>
        <v>46049</v>
      </c>
      <c r="I569" s="77">
        <f t="shared" si="249"/>
        <v>46056</v>
      </c>
      <c r="J569" s="77">
        <v>46070</v>
      </c>
      <c r="K569" s="78">
        <f t="shared" si="243"/>
        <v>29</v>
      </c>
      <c r="L569" s="84">
        <v>14.95</v>
      </c>
      <c r="M569" s="82">
        <v>13.78</v>
      </c>
      <c r="N569" s="25">
        <f t="shared" si="236"/>
        <v>1.17</v>
      </c>
      <c r="O569" s="25" t="s">
        <v>593</v>
      </c>
    </row>
    <row r="570" spans="1:15" x14ac:dyDescent="0.25">
      <c r="A570" s="77">
        <v>46041</v>
      </c>
      <c r="B570" s="25" t="s">
        <v>391</v>
      </c>
      <c r="C570" s="25"/>
      <c r="D570" s="77">
        <f t="shared" si="244"/>
        <v>46064</v>
      </c>
      <c r="E570" s="77">
        <f t="shared" si="245"/>
        <v>46048</v>
      </c>
      <c r="F570" s="77">
        <f t="shared" si="246"/>
        <v>46055</v>
      </c>
      <c r="G570" s="77">
        <f t="shared" si="247"/>
        <v>46061</v>
      </c>
      <c r="H570" s="77">
        <f t="shared" si="248"/>
        <v>46049</v>
      </c>
      <c r="I570" s="77">
        <f t="shared" si="249"/>
        <v>46056</v>
      </c>
      <c r="J570" s="77">
        <v>46070</v>
      </c>
      <c r="K570" s="78">
        <f t="shared" si="243"/>
        <v>29</v>
      </c>
      <c r="L570" s="84">
        <v>16.559999999999999</v>
      </c>
      <c r="M570" s="82">
        <v>15.22</v>
      </c>
      <c r="N570" s="25">
        <f t="shared" si="236"/>
        <v>1.3399999999999981</v>
      </c>
      <c r="O570" s="25" t="s">
        <v>593</v>
      </c>
    </row>
    <row r="571" spans="1:15" x14ac:dyDescent="0.25">
      <c r="A571" s="77">
        <v>46041</v>
      </c>
      <c r="B571" s="25" t="s">
        <v>392</v>
      </c>
      <c r="C571" s="25"/>
      <c r="D571" s="77">
        <f t="shared" si="244"/>
        <v>46064</v>
      </c>
      <c r="E571" s="77">
        <f t="shared" si="245"/>
        <v>46048</v>
      </c>
      <c r="F571" s="77">
        <f t="shared" si="246"/>
        <v>46055</v>
      </c>
      <c r="G571" s="77">
        <f t="shared" si="247"/>
        <v>46061</v>
      </c>
      <c r="H571" s="77">
        <f t="shared" si="248"/>
        <v>46049</v>
      </c>
      <c r="I571" s="77">
        <f t="shared" si="249"/>
        <v>46056</v>
      </c>
      <c r="J571" s="77">
        <v>46069</v>
      </c>
      <c r="K571" s="78">
        <f t="shared" si="243"/>
        <v>28</v>
      </c>
      <c r="L571" s="84">
        <v>13.77</v>
      </c>
      <c r="M571" s="82">
        <v>12.37</v>
      </c>
      <c r="N571" s="25">
        <f t="shared" si="236"/>
        <v>1.4000000000000004</v>
      </c>
      <c r="O571" s="25" t="s">
        <v>593</v>
      </c>
    </row>
    <row r="572" spans="1:15" x14ac:dyDescent="0.25">
      <c r="A572" s="77">
        <v>46042</v>
      </c>
      <c r="B572" s="25" t="s">
        <v>373</v>
      </c>
      <c r="C572" s="25"/>
      <c r="D572" s="77">
        <f t="shared" si="244"/>
        <v>46065</v>
      </c>
      <c r="E572" s="77">
        <f t="shared" si="245"/>
        <v>46049</v>
      </c>
      <c r="F572" s="77">
        <f t="shared" si="246"/>
        <v>46056</v>
      </c>
      <c r="G572" s="77">
        <f t="shared" si="247"/>
        <v>46062</v>
      </c>
      <c r="H572" s="77">
        <f t="shared" si="248"/>
        <v>46050</v>
      </c>
      <c r="I572" s="77">
        <f t="shared" si="249"/>
        <v>46057</v>
      </c>
      <c r="J572" s="77">
        <v>46071</v>
      </c>
      <c r="K572" s="78">
        <f t="shared" si="243"/>
        <v>29</v>
      </c>
      <c r="L572" s="84">
        <v>16.28</v>
      </c>
      <c r="M572" s="82">
        <v>14.81</v>
      </c>
      <c r="N572" s="25">
        <f t="shared" ref="N572:N616" si="250">L572-M572</f>
        <v>1.4700000000000006</v>
      </c>
      <c r="O572" s="25" t="s">
        <v>593</v>
      </c>
    </row>
    <row r="573" spans="1:15" x14ac:dyDescent="0.25">
      <c r="A573" s="77">
        <v>46042</v>
      </c>
      <c r="B573" s="25" t="s">
        <v>374</v>
      </c>
      <c r="C573" s="25"/>
      <c r="D573" s="77">
        <f t="shared" si="244"/>
        <v>46065</v>
      </c>
      <c r="E573" s="77">
        <f t="shared" si="245"/>
        <v>46049</v>
      </c>
      <c r="F573" s="77">
        <f t="shared" si="246"/>
        <v>46056</v>
      </c>
      <c r="G573" s="77">
        <f t="shared" si="247"/>
        <v>46062</v>
      </c>
      <c r="H573" s="77">
        <f t="shared" si="248"/>
        <v>46050</v>
      </c>
      <c r="I573" s="77">
        <f t="shared" si="249"/>
        <v>46057</v>
      </c>
      <c r="J573" s="77">
        <v>46071</v>
      </c>
      <c r="K573" s="78">
        <f t="shared" si="243"/>
        <v>29</v>
      </c>
      <c r="L573" s="84">
        <v>16.100000000000001</v>
      </c>
      <c r="M573" s="82">
        <v>15.24</v>
      </c>
      <c r="N573" s="25">
        <f t="shared" si="250"/>
        <v>0.86000000000000121</v>
      </c>
      <c r="O573" s="25" t="s">
        <v>593</v>
      </c>
    </row>
    <row r="574" spans="1:15" x14ac:dyDescent="0.25">
      <c r="A574" s="77">
        <v>46042</v>
      </c>
      <c r="B574" s="25" t="s">
        <v>375</v>
      </c>
      <c r="C574" s="25"/>
      <c r="D574" s="77">
        <f t="shared" si="244"/>
        <v>46065</v>
      </c>
      <c r="E574" s="77">
        <f t="shared" si="245"/>
        <v>46049</v>
      </c>
      <c r="F574" s="77">
        <f t="shared" si="246"/>
        <v>46056</v>
      </c>
      <c r="G574" s="77">
        <f t="shared" si="247"/>
        <v>46062</v>
      </c>
      <c r="H574" s="77">
        <f t="shared" si="248"/>
        <v>46050</v>
      </c>
      <c r="I574" s="77">
        <f t="shared" si="249"/>
        <v>46057</v>
      </c>
      <c r="J574" s="77">
        <v>46071</v>
      </c>
      <c r="K574" s="78">
        <f t="shared" si="243"/>
        <v>29</v>
      </c>
      <c r="L574" s="84">
        <v>17.25</v>
      </c>
      <c r="M574" s="82">
        <v>15.63</v>
      </c>
      <c r="N574" s="25">
        <f t="shared" si="250"/>
        <v>1.6199999999999992</v>
      </c>
      <c r="O574" s="25" t="s">
        <v>593</v>
      </c>
    </row>
    <row r="575" spans="1:15" x14ac:dyDescent="0.25">
      <c r="A575" s="77">
        <v>46042</v>
      </c>
      <c r="B575" s="25" t="s">
        <v>376</v>
      </c>
      <c r="C575" s="25"/>
      <c r="D575" s="77">
        <f t="shared" ref="D575:D627" si="251">A575+23</f>
        <v>46065</v>
      </c>
      <c r="E575" s="77">
        <f t="shared" ref="E575:E627" si="252">A575+7</f>
        <v>46049</v>
      </c>
      <c r="F575" s="77">
        <f t="shared" ref="F575:F627" si="253">A575+14</f>
        <v>46056</v>
      </c>
      <c r="G575" s="77">
        <f t="shared" ref="G575:G627" si="254">A575+20</f>
        <v>46062</v>
      </c>
      <c r="H575" s="77">
        <f t="shared" ref="H575:H627" si="255">A575+8</f>
        <v>46050</v>
      </c>
      <c r="I575" s="77">
        <f t="shared" ref="I575:I627" si="256">A575+15</f>
        <v>46057</v>
      </c>
      <c r="J575" s="77">
        <v>46071</v>
      </c>
      <c r="K575" s="78">
        <f t="shared" si="243"/>
        <v>29</v>
      </c>
      <c r="L575" s="84">
        <v>15.93</v>
      </c>
      <c r="M575" s="82">
        <v>14.28</v>
      </c>
      <c r="N575" s="25">
        <f t="shared" si="250"/>
        <v>1.6500000000000004</v>
      </c>
      <c r="O575" s="25" t="s">
        <v>593</v>
      </c>
    </row>
    <row r="576" spans="1:15" x14ac:dyDescent="0.25">
      <c r="A576" s="77">
        <v>46042</v>
      </c>
      <c r="B576" s="25" t="s">
        <v>377</v>
      </c>
      <c r="C576" s="25"/>
      <c r="D576" s="77">
        <f t="shared" si="251"/>
        <v>46065</v>
      </c>
      <c r="E576" s="77">
        <f t="shared" si="252"/>
        <v>46049</v>
      </c>
      <c r="F576" s="77">
        <f t="shared" si="253"/>
        <v>46056</v>
      </c>
      <c r="G576" s="77">
        <f t="shared" si="254"/>
        <v>46062</v>
      </c>
      <c r="H576" s="77">
        <f t="shared" si="255"/>
        <v>46050</v>
      </c>
      <c r="I576" s="77">
        <f t="shared" si="256"/>
        <v>46057</v>
      </c>
      <c r="J576" s="77">
        <v>46071</v>
      </c>
      <c r="K576" s="78">
        <f t="shared" si="243"/>
        <v>29</v>
      </c>
      <c r="L576" s="84">
        <v>16.079999999999998</v>
      </c>
      <c r="M576" s="82">
        <v>14.71</v>
      </c>
      <c r="N576" s="25">
        <f t="shared" si="250"/>
        <v>1.3699999999999974</v>
      </c>
      <c r="O576" s="25" t="s">
        <v>593</v>
      </c>
    </row>
    <row r="577" spans="1:15" x14ac:dyDescent="0.25">
      <c r="A577" s="77">
        <v>46042</v>
      </c>
      <c r="B577" s="25" t="s">
        <v>393</v>
      </c>
      <c r="C577" s="25"/>
      <c r="D577" s="77">
        <f t="shared" si="251"/>
        <v>46065</v>
      </c>
      <c r="E577" s="77">
        <f t="shared" si="252"/>
        <v>46049</v>
      </c>
      <c r="F577" s="77">
        <f t="shared" si="253"/>
        <v>46056</v>
      </c>
      <c r="G577" s="77">
        <f t="shared" si="254"/>
        <v>46062</v>
      </c>
      <c r="H577" s="77">
        <f t="shared" si="255"/>
        <v>46050</v>
      </c>
      <c r="I577" s="77">
        <f t="shared" si="256"/>
        <v>46057</v>
      </c>
      <c r="J577" s="77">
        <v>46071</v>
      </c>
      <c r="K577" s="78">
        <f t="shared" si="243"/>
        <v>29</v>
      </c>
      <c r="L577" s="84">
        <v>16.32</v>
      </c>
      <c r="M577" s="82">
        <v>15.12</v>
      </c>
      <c r="N577" s="25">
        <f t="shared" si="250"/>
        <v>1.2000000000000011</v>
      </c>
      <c r="O577" s="25" t="s">
        <v>593</v>
      </c>
    </row>
    <row r="578" spans="1:15" x14ac:dyDescent="0.25">
      <c r="A578" s="77">
        <v>46042</v>
      </c>
      <c r="B578" s="25" t="s">
        <v>394</v>
      </c>
      <c r="C578" s="25"/>
      <c r="D578" s="77">
        <f t="shared" si="251"/>
        <v>46065</v>
      </c>
      <c r="E578" s="77">
        <f t="shared" si="252"/>
        <v>46049</v>
      </c>
      <c r="F578" s="77">
        <f t="shared" si="253"/>
        <v>46056</v>
      </c>
      <c r="G578" s="77">
        <f t="shared" si="254"/>
        <v>46062</v>
      </c>
      <c r="H578" s="77">
        <f t="shared" si="255"/>
        <v>46050</v>
      </c>
      <c r="I578" s="77">
        <f t="shared" si="256"/>
        <v>46057</v>
      </c>
      <c r="J578" s="77">
        <v>46071</v>
      </c>
      <c r="K578" s="78">
        <f t="shared" si="243"/>
        <v>29</v>
      </c>
      <c r="L578" s="84">
        <v>16.57</v>
      </c>
      <c r="M578" s="82">
        <v>15.22</v>
      </c>
      <c r="N578" s="25">
        <f t="shared" si="250"/>
        <v>1.3499999999999996</v>
      </c>
      <c r="O578" s="25" t="s">
        <v>593</v>
      </c>
    </row>
    <row r="579" spans="1:15" x14ac:dyDescent="0.25">
      <c r="A579" s="77">
        <v>46043</v>
      </c>
      <c r="B579" s="25" t="s">
        <v>395</v>
      </c>
      <c r="C579" s="25"/>
      <c r="D579" s="77">
        <f t="shared" si="251"/>
        <v>46066</v>
      </c>
      <c r="E579" s="77">
        <f t="shared" si="252"/>
        <v>46050</v>
      </c>
      <c r="F579" s="77">
        <f t="shared" si="253"/>
        <v>46057</v>
      </c>
      <c r="G579" s="77">
        <f t="shared" si="254"/>
        <v>46063</v>
      </c>
      <c r="H579" s="77">
        <f t="shared" si="255"/>
        <v>46051</v>
      </c>
      <c r="I579" s="77">
        <f t="shared" si="256"/>
        <v>46058</v>
      </c>
      <c r="J579" s="77">
        <v>46072</v>
      </c>
      <c r="K579" s="83">
        <f t="shared" si="243"/>
        <v>29</v>
      </c>
      <c r="L579" s="81">
        <v>14.51</v>
      </c>
      <c r="M579" s="82">
        <v>13.07</v>
      </c>
      <c r="N579" s="25">
        <f t="shared" si="250"/>
        <v>1.4399999999999995</v>
      </c>
      <c r="O579" s="25" t="s">
        <v>593</v>
      </c>
    </row>
    <row r="580" spans="1:15" x14ac:dyDescent="0.25">
      <c r="A580" s="77">
        <v>46043</v>
      </c>
      <c r="B580" s="25" t="s">
        <v>396</v>
      </c>
      <c r="C580" s="25"/>
      <c r="D580" s="77">
        <f t="shared" si="251"/>
        <v>46066</v>
      </c>
      <c r="E580" s="77">
        <f t="shared" si="252"/>
        <v>46050</v>
      </c>
      <c r="F580" s="77">
        <f t="shared" si="253"/>
        <v>46057</v>
      </c>
      <c r="G580" s="77">
        <f t="shared" si="254"/>
        <v>46063</v>
      </c>
      <c r="H580" s="77">
        <f t="shared" si="255"/>
        <v>46051</v>
      </c>
      <c r="I580" s="77">
        <f t="shared" si="256"/>
        <v>46058</v>
      </c>
      <c r="J580" s="77">
        <v>46072</v>
      </c>
      <c r="K580" s="83">
        <f t="shared" si="243"/>
        <v>29</v>
      </c>
      <c r="L580" s="81">
        <v>13.3</v>
      </c>
      <c r="M580" s="82">
        <v>12.1</v>
      </c>
      <c r="N580" s="25">
        <f t="shared" si="250"/>
        <v>1.2000000000000011</v>
      </c>
      <c r="O580" s="25" t="s">
        <v>593</v>
      </c>
    </row>
    <row r="581" spans="1:15" x14ac:dyDescent="0.25">
      <c r="A581" s="77">
        <v>46043</v>
      </c>
      <c r="B581" s="25" t="s">
        <v>397</v>
      </c>
      <c r="C581" s="25"/>
      <c r="D581" s="77">
        <f t="shared" si="251"/>
        <v>46066</v>
      </c>
      <c r="E581" s="77">
        <f t="shared" si="252"/>
        <v>46050</v>
      </c>
      <c r="F581" s="77">
        <f t="shared" si="253"/>
        <v>46057</v>
      </c>
      <c r="G581" s="77">
        <f t="shared" si="254"/>
        <v>46063</v>
      </c>
      <c r="H581" s="77">
        <f t="shared" si="255"/>
        <v>46051</v>
      </c>
      <c r="I581" s="77">
        <f t="shared" si="256"/>
        <v>46058</v>
      </c>
      <c r="J581" s="77">
        <v>46072</v>
      </c>
      <c r="K581" s="83">
        <f t="shared" si="243"/>
        <v>29</v>
      </c>
      <c r="L581" s="81">
        <v>13.54</v>
      </c>
      <c r="M581" s="82">
        <v>12.35</v>
      </c>
      <c r="N581" s="25">
        <f t="shared" si="250"/>
        <v>1.1899999999999995</v>
      </c>
      <c r="O581" s="25" t="s">
        <v>593</v>
      </c>
    </row>
    <row r="582" spans="1:15" x14ac:dyDescent="0.25">
      <c r="A582" s="77">
        <v>46043</v>
      </c>
      <c r="B582" s="25" t="s">
        <v>408</v>
      </c>
      <c r="C582" s="25"/>
      <c r="D582" s="77">
        <f t="shared" si="251"/>
        <v>46066</v>
      </c>
      <c r="E582" s="77">
        <f t="shared" si="252"/>
        <v>46050</v>
      </c>
      <c r="F582" s="77">
        <f t="shared" si="253"/>
        <v>46057</v>
      </c>
      <c r="G582" s="77">
        <f t="shared" si="254"/>
        <v>46063</v>
      </c>
      <c r="H582" s="77">
        <f t="shared" si="255"/>
        <v>46051</v>
      </c>
      <c r="I582" s="77">
        <f t="shared" si="256"/>
        <v>46058</v>
      </c>
      <c r="J582" s="77">
        <v>46073</v>
      </c>
      <c r="K582" s="83">
        <f t="shared" si="243"/>
        <v>30</v>
      </c>
      <c r="L582" s="25">
        <v>15.11</v>
      </c>
      <c r="M582" s="25">
        <v>14.15</v>
      </c>
      <c r="N582" s="25">
        <f t="shared" si="250"/>
        <v>0.95999999999999908</v>
      </c>
      <c r="O582" s="25" t="s">
        <v>593</v>
      </c>
    </row>
    <row r="583" spans="1:15" x14ac:dyDescent="0.25">
      <c r="A583" s="77">
        <v>46043</v>
      </c>
      <c r="B583" s="25" t="s">
        <v>409</v>
      </c>
      <c r="C583" s="25"/>
      <c r="D583" s="77">
        <f t="shared" si="251"/>
        <v>46066</v>
      </c>
      <c r="E583" s="77">
        <f t="shared" si="252"/>
        <v>46050</v>
      </c>
      <c r="F583" s="77">
        <f t="shared" si="253"/>
        <v>46057</v>
      </c>
      <c r="G583" s="77">
        <f t="shared" si="254"/>
        <v>46063</v>
      </c>
      <c r="H583" s="77">
        <f t="shared" si="255"/>
        <v>46051</v>
      </c>
      <c r="I583" s="77">
        <f t="shared" si="256"/>
        <v>46058</v>
      </c>
      <c r="J583" s="77">
        <v>46073</v>
      </c>
      <c r="K583" s="83">
        <f t="shared" si="243"/>
        <v>30</v>
      </c>
      <c r="L583" s="25">
        <v>14.35</v>
      </c>
      <c r="M583" s="25">
        <v>13.87</v>
      </c>
      <c r="N583" s="25">
        <f t="shared" si="250"/>
        <v>0.48000000000000043</v>
      </c>
      <c r="O583" s="25" t="s">
        <v>593</v>
      </c>
    </row>
    <row r="584" spans="1:15" x14ac:dyDescent="0.25">
      <c r="A584" s="77">
        <v>46043</v>
      </c>
      <c r="B584" s="25" t="s">
        <v>410</v>
      </c>
      <c r="C584" s="25"/>
      <c r="D584" s="77">
        <f t="shared" si="251"/>
        <v>46066</v>
      </c>
      <c r="E584" s="77">
        <f t="shared" si="252"/>
        <v>46050</v>
      </c>
      <c r="F584" s="77">
        <f t="shared" si="253"/>
        <v>46057</v>
      </c>
      <c r="G584" s="77">
        <f t="shared" si="254"/>
        <v>46063</v>
      </c>
      <c r="H584" s="77">
        <f t="shared" si="255"/>
        <v>46051</v>
      </c>
      <c r="I584" s="77">
        <f t="shared" si="256"/>
        <v>46058</v>
      </c>
      <c r="J584" s="77">
        <v>46073</v>
      </c>
      <c r="K584" s="83">
        <f t="shared" si="243"/>
        <v>30</v>
      </c>
      <c r="L584" s="25">
        <v>15.64</v>
      </c>
      <c r="M584" s="25">
        <v>14.51</v>
      </c>
      <c r="N584" s="25">
        <f t="shared" si="250"/>
        <v>1.1300000000000008</v>
      </c>
      <c r="O584" s="25" t="s">
        <v>593</v>
      </c>
    </row>
    <row r="585" spans="1:15" x14ac:dyDescent="0.25">
      <c r="A585" s="77">
        <v>46044</v>
      </c>
      <c r="B585" s="25" t="s">
        <v>401</v>
      </c>
      <c r="C585" s="25"/>
      <c r="D585" s="77">
        <f t="shared" si="251"/>
        <v>46067</v>
      </c>
      <c r="E585" s="77">
        <f t="shared" si="252"/>
        <v>46051</v>
      </c>
      <c r="F585" s="77">
        <f t="shared" si="253"/>
        <v>46058</v>
      </c>
      <c r="G585" s="77">
        <f t="shared" si="254"/>
        <v>46064</v>
      </c>
      <c r="H585" s="77">
        <f t="shared" si="255"/>
        <v>46052</v>
      </c>
      <c r="I585" s="77">
        <f t="shared" si="256"/>
        <v>46059</v>
      </c>
      <c r="J585" s="77">
        <v>46074</v>
      </c>
      <c r="K585" s="83">
        <f t="shared" si="243"/>
        <v>30</v>
      </c>
      <c r="L585" s="81">
        <v>14.58</v>
      </c>
      <c r="M585" s="82">
        <v>13.12</v>
      </c>
      <c r="N585" s="25">
        <f t="shared" si="250"/>
        <v>1.4600000000000009</v>
      </c>
      <c r="O585" s="25" t="s">
        <v>593</v>
      </c>
    </row>
    <row r="586" spans="1:15" x14ac:dyDescent="0.25">
      <c r="A586" s="77">
        <v>46044</v>
      </c>
      <c r="B586" s="25" t="s">
        <v>402</v>
      </c>
      <c r="C586" s="25"/>
      <c r="D586" s="77">
        <f t="shared" si="251"/>
        <v>46067</v>
      </c>
      <c r="E586" s="77">
        <f t="shared" si="252"/>
        <v>46051</v>
      </c>
      <c r="F586" s="77">
        <f t="shared" si="253"/>
        <v>46058</v>
      </c>
      <c r="G586" s="77">
        <f t="shared" si="254"/>
        <v>46064</v>
      </c>
      <c r="H586" s="77">
        <f t="shared" si="255"/>
        <v>46052</v>
      </c>
      <c r="I586" s="77">
        <f t="shared" si="256"/>
        <v>46059</v>
      </c>
      <c r="J586" s="77">
        <v>46074</v>
      </c>
      <c r="K586" s="83">
        <f t="shared" si="243"/>
        <v>30</v>
      </c>
      <c r="L586" s="81">
        <v>13.41</v>
      </c>
      <c r="M586" s="82">
        <v>12.1</v>
      </c>
      <c r="N586" s="25">
        <f t="shared" si="250"/>
        <v>1.3100000000000005</v>
      </c>
      <c r="O586" s="25" t="s">
        <v>593</v>
      </c>
    </row>
    <row r="587" spans="1:15" x14ac:dyDescent="0.25">
      <c r="A587" s="77">
        <v>46044</v>
      </c>
      <c r="B587" s="25" t="s">
        <v>403</v>
      </c>
      <c r="C587" s="25"/>
      <c r="D587" s="77">
        <f t="shared" si="251"/>
        <v>46067</v>
      </c>
      <c r="E587" s="77">
        <f t="shared" si="252"/>
        <v>46051</v>
      </c>
      <c r="F587" s="77">
        <f t="shared" si="253"/>
        <v>46058</v>
      </c>
      <c r="G587" s="77">
        <f t="shared" si="254"/>
        <v>46064</v>
      </c>
      <c r="H587" s="77">
        <f t="shared" si="255"/>
        <v>46052</v>
      </c>
      <c r="I587" s="77">
        <f t="shared" si="256"/>
        <v>46059</v>
      </c>
      <c r="J587" s="77">
        <v>46074</v>
      </c>
      <c r="K587" s="83">
        <f t="shared" si="243"/>
        <v>30</v>
      </c>
      <c r="L587" s="81">
        <v>12.95</v>
      </c>
      <c r="M587" s="82">
        <v>11.54</v>
      </c>
      <c r="N587" s="25">
        <f t="shared" si="250"/>
        <v>1.4100000000000001</v>
      </c>
      <c r="O587" s="25" t="s">
        <v>593</v>
      </c>
    </row>
    <row r="588" spans="1:15" x14ac:dyDescent="0.25">
      <c r="A588" s="77">
        <v>46044</v>
      </c>
      <c r="B588" s="25" t="s">
        <v>404</v>
      </c>
      <c r="C588" s="25"/>
      <c r="D588" s="77">
        <f t="shared" si="251"/>
        <v>46067</v>
      </c>
      <c r="E588" s="77">
        <f t="shared" si="252"/>
        <v>46051</v>
      </c>
      <c r="F588" s="77">
        <f t="shared" si="253"/>
        <v>46058</v>
      </c>
      <c r="G588" s="77">
        <f t="shared" si="254"/>
        <v>46064</v>
      </c>
      <c r="H588" s="77">
        <f t="shared" si="255"/>
        <v>46052</v>
      </c>
      <c r="I588" s="77">
        <f t="shared" si="256"/>
        <v>46059</v>
      </c>
      <c r="J588" s="77">
        <v>46073</v>
      </c>
      <c r="K588" s="83">
        <f t="shared" si="243"/>
        <v>29</v>
      </c>
      <c r="L588" s="81">
        <v>13.63</v>
      </c>
      <c r="M588" s="82">
        <v>12.52</v>
      </c>
      <c r="N588" s="25">
        <f t="shared" si="250"/>
        <v>1.1100000000000012</v>
      </c>
      <c r="O588" s="25" t="s">
        <v>593</v>
      </c>
    </row>
    <row r="589" spans="1:15" x14ac:dyDescent="0.25">
      <c r="A589" s="77">
        <v>46044</v>
      </c>
      <c r="B589" s="25" t="s">
        <v>405</v>
      </c>
      <c r="C589" s="25"/>
      <c r="D589" s="77">
        <f t="shared" si="251"/>
        <v>46067</v>
      </c>
      <c r="E589" s="77">
        <f t="shared" si="252"/>
        <v>46051</v>
      </c>
      <c r="F589" s="77">
        <f t="shared" si="253"/>
        <v>46058</v>
      </c>
      <c r="G589" s="77">
        <f t="shared" si="254"/>
        <v>46064</v>
      </c>
      <c r="H589" s="77">
        <f t="shared" si="255"/>
        <v>46052</v>
      </c>
      <c r="I589" s="77">
        <f t="shared" si="256"/>
        <v>46059</v>
      </c>
      <c r="J589" s="77">
        <v>46073</v>
      </c>
      <c r="K589" s="83">
        <f t="shared" si="243"/>
        <v>29</v>
      </c>
      <c r="L589" s="81">
        <v>14.21</v>
      </c>
      <c r="M589" s="82">
        <v>13.16</v>
      </c>
      <c r="N589" s="25">
        <f t="shared" si="250"/>
        <v>1.0500000000000007</v>
      </c>
      <c r="O589" s="25" t="s">
        <v>593</v>
      </c>
    </row>
    <row r="590" spans="1:15" x14ac:dyDescent="0.25">
      <c r="A590" s="77">
        <v>46044</v>
      </c>
      <c r="B590" s="25" t="s">
        <v>406</v>
      </c>
      <c r="C590" s="25"/>
      <c r="D590" s="77">
        <f t="shared" si="251"/>
        <v>46067</v>
      </c>
      <c r="E590" s="77">
        <f t="shared" si="252"/>
        <v>46051</v>
      </c>
      <c r="F590" s="77">
        <f t="shared" si="253"/>
        <v>46058</v>
      </c>
      <c r="G590" s="77">
        <f t="shared" si="254"/>
        <v>46064</v>
      </c>
      <c r="H590" s="77">
        <f t="shared" si="255"/>
        <v>46052</v>
      </c>
      <c r="I590" s="77">
        <f t="shared" si="256"/>
        <v>46059</v>
      </c>
      <c r="J590" s="77">
        <v>46073</v>
      </c>
      <c r="K590" s="83">
        <f t="shared" si="243"/>
        <v>29</v>
      </c>
      <c r="L590" s="81">
        <v>15.08</v>
      </c>
      <c r="M590" s="82">
        <v>14.12</v>
      </c>
      <c r="N590" s="25">
        <f t="shared" si="250"/>
        <v>0.96000000000000085</v>
      </c>
      <c r="O590" s="25" t="s">
        <v>593</v>
      </c>
    </row>
    <row r="591" spans="1:15" x14ac:dyDescent="0.25">
      <c r="A591" s="77">
        <v>46044</v>
      </c>
      <c r="B591" s="25" t="s">
        <v>407</v>
      </c>
      <c r="C591" s="25"/>
      <c r="D591" s="77">
        <f t="shared" si="251"/>
        <v>46067</v>
      </c>
      <c r="E591" s="77">
        <f t="shared" si="252"/>
        <v>46051</v>
      </c>
      <c r="F591" s="77">
        <f t="shared" si="253"/>
        <v>46058</v>
      </c>
      <c r="G591" s="77">
        <f t="shared" si="254"/>
        <v>46064</v>
      </c>
      <c r="H591" s="77">
        <f t="shared" si="255"/>
        <v>46052</v>
      </c>
      <c r="I591" s="77">
        <f t="shared" si="256"/>
        <v>46059</v>
      </c>
      <c r="J591" s="77">
        <v>46073</v>
      </c>
      <c r="K591" s="83">
        <f t="shared" si="243"/>
        <v>29</v>
      </c>
      <c r="L591" s="81">
        <v>14.58</v>
      </c>
      <c r="M591" s="82">
        <v>13.22</v>
      </c>
      <c r="N591" s="25">
        <f t="shared" si="250"/>
        <v>1.3599999999999994</v>
      </c>
      <c r="O591" s="25" t="s">
        <v>593</v>
      </c>
    </row>
    <row r="592" spans="1:15" x14ac:dyDescent="0.25">
      <c r="A592" s="77">
        <v>46044</v>
      </c>
      <c r="B592" s="25" t="s">
        <v>408</v>
      </c>
      <c r="C592" s="25"/>
      <c r="D592" s="77">
        <f t="shared" si="251"/>
        <v>46067</v>
      </c>
      <c r="E592" s="77">
        <f t="shared" si="252"/>
        <v>46051</v>
      </c>
      <c r="F592" s="77">
        <f t="shared" si="253"/>
        <v>46058</v>
      </c>
      <c r="G592" s="77">
        <f t="shared" si="254"/>
        <v>46064</v>
      </c>
      <c r="H592" s="77">
        <f t="shared" si="255"/>
        <v>46052</v>
      </c>
      <c r="I592" s="77">
        <f t="shared" si="256"/>
        <v>46059</v>
      </c>
      <c r="J592" s="77">
        <v>46073</v>
      </c>
      <c r="K592" s="83">
        <f t="shared" si="243"/>
        <v>29</v>
      </c>
      <c r="L592" s="81">
        <v>15.11</v>
      </c>
      <c r="M592" s="82">
        <v>14.15</v>
      </c>
      <c r="N592" s="25">
        <f t="shared" si="250"/>
        <v>0.95999999999999908</v>
      </c>
      <c r="O592" s="25" t="s">
        <v>593</v>
      </c>
    </row>
    <row r="593" spans="1:15" x14ac:dyDescent="0.25">
      <c r="A593" s="77">
        <v>46044</v>
      </c>
      <c r="B593" s="25" t="s">
        <v>409</v>
      </c>
      <c r="C593" s="25"/>
      <c r="D593" s="77">
        <f t="shared" si="251"/>
        <v>46067</v>
      </c>
      <c r="E593" s="77">
        <f t="shared" si="252"/>
        <v>46051</v>
      </c>
      <c r="F593" s="77">
        <f t="shared" si="253"/>
        <v>46058</v>
      </c>
      <c r="G593" s="77">
        <f t="shared" si="254"/>
        <v>46064</v>
      </c>
      <c r="H593" s="77">
        <f t="shared" si="255"/>
        <v>46052</v>
      </c>
      <c r="I593" s="77">
        <f t="shared" si="256"/>
        <v>46059</v>
      </c>
      <c r="J593" s="77">
        <v>46073</v>
      </c>
      <c r="K593" s="83">
        <f t="shared" si="243"/>
        <v>29</v>
      </c>
      <c r="L593" s="81">
        <v>14.35</v>
      </c>
      <c r="M593" s="82">
        <v>13.87</v>
      </c>
      <c r="N593" s="25">
        <f t="shared" si="250"/>
        <v>0.48000000000000043</v>
      </c>
      <c r="O593" s="25" t="s">
        <v>593</v>
      </c>
    </row>
    <row r="594" spans="1:15" x14ac:dyDescent="0.25">
      <c r="A594" s="77">
        <v>46044</v>
      </c>
      <c r="B594" s="25" t="s">
        <v>410</v>
      </c>
      <c r="C594" s="25"/>
      <c r="D594" s="77">
        <f t="shared" si="251"/>
        <v>46067</v>
      </c>
      <c r="E594" s="77">
        <f t="shared" si="252"/>
        <v>46051</v>
      </c>
      <c r="F594" s="77">
        <f t="shared" si="253"/>
        <v>46058</v>
      </c>
      <c r="G594" s="77">
        <f t="shared" si="254"/>
        <v>46064</v>
      </c>
      <c r="H594" s="77">
        <f t="shared" si="255"/>
        <v>46052</v>
      </c>
      <c r="I594" s="77">
        <f t="shared" si="256"/>
        <v>46059</v>
      </c>
      <c r="J594" s="77">
        <v>46073</v>
      </c>
      <c r="K594" s="83">
        <f t="shared" si="243"/>
        <v>29</v>
      </c>
      <c r="L594" s="81">
        <v>15.64</v>
      </c>
      <c r="M594" s="82">
        <v>14.51</v>
      </c>
      <c r="N594" s="25">
        <f t="shared" si="250"/>
        <v>1.1300000000000008</v>
      </c>
      <c r="O594" s="25" t="s">
        <v>593</v>
      </c>
    </row>
    <row r="595" spans="1:15" x14ac:dyDescent="0.25">
      <c r="A595" s="77">
        <v>46044</v>
      </c>
      <c r="B595" s="25" t="s">
        <v>411</v>
      </c>
      <c r="C595" s="25"/>
      <c r="D595" s="77">
        <f t="shared" si="251"/>
        <v>46067</v>
      </c>
      <c r="E595" s="77">
        <f t="shared" si="252"/>
        <v>46051</v>
      </c>
      <c r="F595" s="77">
        <f t="shared" si="253"/>
        <v>46058</v>
      </c>
      <c r="G595" s="77">
        <f t="shared" si="254"/>
        <v>46064</v>
      </c>
      <c r="H595" s="77">
        <f t="shared" si="255"/>
        <v>46052</v>
      </c>
      <c r="I595" s="77">
        <f t="shared" si="256"/>
        <v>46059</v>
      </c>
      <c r="J595" s="77">
        <v>46073</v>
      </c>
      <c r="K595" s="83">
        <f t="shared" si="243"/>
        <v>29</v>
      </c>
      <c r="L595" s="81">
        <v>15.81</v>
      </c>
      <c r="M595" s="82">
        <v>14.73</v>
      </c>
      <c r="N595" s="25">
        <f t="shared" si="250"/>
        <v>1.08</v>
      </c>
      <c r="O595" s="25" t="s">
        <v>593</v>
      </c>
    </row>
    <row r="596" spans="1:15" x14ac:dyDescent="0.25">
      <c r="A596" s="77">
        <v>46045</v>
      </c>
      <c r="B596" s="25" t="s">
        <v>435</v>
      </c>
      <c r="C596" s="25"/>
      <c r="D596" s="77">
        <f t="shared" si="251"/>
        <v>46068</v>
      </c>
      <c r="E596" s="77">
        <f t="shared" si="252"/>
        <v>46052</v>
      </c>
      <c r="F596" s="77">
        <f t="shared" si="253"/>
        <v>46059</v>
      </c>
      <c r="G596" s="77">
        <f t="shared" si="254"/>
        <v>46065</v>
      </c>
      <c r="H596" s="77">
        <f t="shared" si="255"/>
        <v>46053</v>
      </c>
      <c r="I596" s="77">
        <f t="shared" si="256"/>
        <v>46060</v>
      </c>
      <c r="J596" s="77">
        <v>46075</v>
      </c>
      <c r="K596" s="83">
        <f t="shared" si="243"/>
        <v>30</v>
      </c>
      <c r="L596" s="81">
        <v>14.05</v>
      </c>
      <c r="M596" s="82">
        <v>12.74</v>
      </c>
      <c r="N596" s="25">
        <f t="shared" si="250"/>
        <v>1.3100000000000005</v>
      </c>
      <c r="O596" s="25" t="s">
        <v>593</v>
      </c>
    </row>
    <row r="597" spans="1:15" x14ac:dyDescent="0.25">
      <c r="A597" s="77">
        <v>46045</v>
      </c>
      <c r="B597" s="25" t="s">
        <v>436</v>
      </c>
      <c r="C597" s="25"/>
      <c r="D597" s="77">
        <f t="shared" si="251"/>
        <v>46068</v>
      </c>
      <c r="E597" s="77">
        <f t="shared" si="252"/>
        <v>46052</v>
      </c>
      <c r="F597" s="77">
        <f t="shared" si="253"/>
        <v>46059</v>
      </c>
      <c r="G597" s="77">
        <f t="shared" si="254"/>
        <v>46065</v>
      </c>
      <c r="H597" s="77">
        <f t="shared" si="255"/>
        <v>46053</v>
      </c>
      <c r="I597" s="77">
        <f t="shared" si="256"/>
        <v>46060</v>
      </c>
      <c r="J597" s="77">
        <v>46075</v>
      </c>
      <c r="K597" s="83">
        <f t="shared" si="243"/>
        <v>30</v>
      </c>
      <c r="L597" s="81">
        <v>14.73</v>
      </c>
      <c r="M597" s="82">
        <v>13.51</v>
      </c>
      <c r="N597" s="25">
        <f t="shared" si="250"/>
        <v>1.2200000000000006</v>
      </c>
      <c r="O597" s="25" t="s">
        <v>593</v>
      </c>
    </row>
    <row r="598" spans="1:15" x14ac:dyDescent="0.25">
      <c r="A598" s="77">
        <v>46045</v>
      </c>
      <c r="B598" s="25" t="s">
        <v>437</v>
      </c>
      <c r="C598" s="25"/>
      <c r="D598" s="77">
        <f t="shared" si="251"/>
        <v>46068</v>
      </c>
      <c r="E598" s="77">
        <f t="shared" si="252"/>
        <v>46052</v>
      </c>
      <c r="F598" s="77">
        <f t="shared" si="253"/>
        <v>46059</v>
      </c>
      <c r="G598" s="77">
        <f t="shared" si="254"/>
        <v>46065</v>
      </c>
      <c r="H598" s="77">
        <f t="shared" si="255"/>
        <v>46053</v>
      </c>
      <c r="I598" s="77">
        <f t="shared" si="256"/>
        <v>46060</v>
      </c>
      <c r="J598" s="77">
        <v>46075</v>
      </c>
      <c r="K598" s="83">
        <f t="shared" si="243"/>
        <v>30</v>
      </c>
      <c r="L598" s="81">
        <v>15.81</v>
      </c>
      <c r="M598" s="82">
        <v>14.32</v>
      </c>
      <c r="N598" s="25">
        <f t="shared" si="250"/>
        <v>1.4900000000000002</v>
      </c>
      <c r="O598" s="25" t="s">
        <v>593</v>
      </c>
    </row>
    <row r="599" spans="1:15" x14ac:dyDescent="0.25">
      <c r="A599" s="77">
        <v>46045</v>
      </c>
      <c r="B599" s="25" t="s">
        <v>438</v>
      </c>
      <c r="C599" s="25"/>
      <c r="D599" s="77">
        <f t="shared" si="251"/>
        <v>46068</v>
      </c>
      <c r="E599" s="77">
        <f t="shared" si="252"/>
        <v>46052</v>
      </c>
      <c r="F599" s="77">
        <f t="shared" si="253"/>
        <v>46059</v>
      </c>
      <c r="G599" s="77">
        <f t="shared" si="254"/>
        <v>46065</v>
      </c>
      <c r="H599" s="77">
        <f t="shared" si="255"/>
        <v>46053</v>
      </c>
      <c r="I599" s="77">
        <f t="shared" si="256"/>
        <v>46060</v>
      </c>
      <c r="J599" s="77">
        <v>46074</v>
      </c>
      <c r="K599" s="83">
        <f t="shared" si="243"/>
        <v>29</v>
      </c>
      <c r="L599" s="81">
        <v>12.19</v>
      </c>
      <c r="M599" s="82">
        <v>11.53</v>
      </c>
      <c r="N599" s="25">
        <f t="shared" si="250"/>
        <v>0.66000000000000014</v>
      </c>
      <c r="O599" s="25" t="s">
        <v>593</v>
      </c>
    </row>
    <row r="600" spans="1:15" x14ac:dyDescent="0.25">
      <c r="A600" s="77">
        <v>46045</v>
      </c>
      <c r="B600" s="25" t="s">
        <v>439</v>
      </c>
      <c r="C600" s="25"/>
      <c r="D600" s="77">
        <f t="shared" si="251"/>
        <v>46068</v>
      </c>
      <c r="E600" s="77">
        <f t="shared" si="252"/>
        <v>46052</v>
      </c>
      <c r="F600" s="77">
        <f t="shared" si="253"/>
        <v>46059</v>
      </c>
      <c r="G600" s="77">
        <f t="shared" si="254"/>
        <v>46065</v>
      </c>
      <c r="H600" s="77">
        <f t="shared" si="255"/>
        <v>46053</v>
      </c>
      <c r="I600" s="77">
        <f t="shared" si="256"/>
        <v>46060</v>
      </c>
      <c r="J600" s="77">
        <v>46074</v>
      </c>
      <c r="K600" s="83">
        <f t="shared" si="243"/>
        <v>29</v>
      </c>
      <c r="L600" s="81">
        <v>13.87</v>
      </c>
      <c r="M600" s="82">
        <v>12.74</v>
      </c>
      <c r="N600" s="25">
        <f t="shared" si="250"/>
        <v>1.129999999999999</v>
      </c>
      <c r="O600" s="25" t="s">
        <v>593</v>
      </c>
    </row>
    <row r="601" spans="1:15" x14ac:dyDescent="0.25">
      <c r="A601" s="77">
        <v>46045</v>
      </c>
      <c r="B601" s="25" t="s">
        <v>440</v>
      </c>
      <c r="C601" s="25"/>
      <c r="D601" s="77">
        <f t="shared" si="251"/>
        <v>46068</v>
      </c>
      <c r="E601" s="77">
        <f t="shared" si="252"/>
        <v>46052</v>
      </c>
      <c r="F601" s="77">
        <f t="shared" si="253"/>
        <v>46059</v>
      </c>
      <c r="G601" s="77">
        <f t="shared" si="254"/>
        <v>46065</v>
      </c>
      <c r="H601" s="77">
        <f t="shared" si="255"/>
        <v>46053</v>
      </c>
      <c r="I601" s="77">
        <f t="shared" si="256"/>
        <v>46060</v>
      </c>
      <c r="J601" s="77">
        <v>46074</v>
      </c>
      <c r="K601" s="83">
        <f t="shared" si="243"/>
        <v>29</v>
      </c>
      <c r="L601" s="81">
        <v>13.52</v>
      </c>
      <c r="M601" s="82">
        <v>12.35</v>
      </c>
      <c r="N601" s="25">
        <f t="shared" si="250"/>
        <v>1.17</v>
      </c>
      <c r="O601" s="25" t="s">
        <v>593</v>
      </c>
    </row>
    <row r="602" spans="1:15" x14ac:dyDescent="0.25">
      <c r="A602" s="77">
        <v>46045</v>
      </c>
      <c r="B602" s="25" t="s">
        <v>441</v>
      </c>
      <c r="C602" s="25"/>
      <c r="D602" s="77">
        <f t="shared" si="251"/>
        <v>46068</v>
      </c>
      <c r="E602" s="77">
        <f t="shared" si="252"/>
        <v>46052</v>
      </c>
      <c r="F602" s="77">
        <f t="shared" si="253"/>
        <v>46059</v>
      </c>
      <c r="G602" s="77">
        <f t="shared" si="254"/>
        <v>46065</v>
      </c>
      <c r="H602" s="77">
        <f t="shared" si="255"/>
        <v>46053</v>
      </c>
      <c r="I602" s="77">
        <f t="shared" si="256"/>
        <v>46060</v>
      </c>
      <c r="J602" s="77">
        <v>46073</v>
      </c>
      <c r="K602" s="83">
        <f t="shared" si="243"/>
        <v>28</v>
      </c>
      <c r="L602" s="88">
        <v>12.7</v>
      </c>
      <c r="M602" s="87">
        <v>11.42</v>
      </c>
      <c r="N602" s="25">
        <f t="shared" si="250"/>
        <v>1.2799999999999994</v>
      </c>
      <c r="O602" s="25" t="s">
        <v>593</v>
      </c>
    </row>
    <row r="603" spans="1:15" x14ac:dyDescent="0.25">
      <c r="A603" s="77">
        <v>46046</v>
      </c>
      <c r="B603" s="25" t="s">
        <v>428</v>
      </c>
      <c r="C603" s="25"/>
      <c r="D603" s="77">
        <f t="shared" si="251"/>
        <v>46069</v>
      </c>
      <c r="E603" s="77">
        <f t="shared" si="252"/>
        <v>46053</v>
      </c>
      <c r="F603" s="77">
        <f t="shared" si="253"/>
        <v>46060</v>
      </c>
      <c r="G603" s="77">
        <f t="shared" si="254"/>
        <v>46066</v>
      </c>
      <c r="H603" s="77">
        <f t="shared" si="255"/>
        <v>46054</v>
      </c>
      <c r="I603" s="77">
        <f t="shared" si="256"/>
        <v>46061</v>
      </c>
      <c r="J603" s="77">
        <v>46076</v>
      </c>
      <c r="K603" s="83">
        <f t="shared" si="243"/>
        <v>30</v>
      </c>
      <c r="L603" s="81">
        <v>13.92</v>
      </c>
      <c r="M603" s="81">
        <v>12.78</v>
      </c>
      <c r="N603" s="25">
        <f t="shared" si="250"/>
        <v>1.1400000000000006</v>
      </c>
      <c r="O603" s="25" t="s">
        <v>593</v>
      </c>
    </row>
    <row r="604" spans="1:15" x14ac:dyDescent="0.25">
      <c r="A604" s="77">
        <v>46046</v>
      </c>
      <c r="B604" s="25" t="s">
        <v>429</v>
      </c>
      <c r="C604" s="25"/>
      <c r="D604" s="77">
        <f t="shared" si="251"/>
        <v>46069</v>
      </c>
      <c r="E604" s="77">
        <f t="shared" si="252"/>
        <v>46053</v>
      </c>
      <c r="F604" s="77">
        <f t="shared" si="253"/>
        <v>46060</v>
      </c>
      <c r="G604" s="77">
        <f t="shared" si="254"/>
        <v>46066</v>
      </c>
      <c r="H604" s="77">
        <f t="shared" si="255"/>
        <v>46054</v>
      </c>
      <c r="I604" s="77">
        <f t="shared" si="256"/>
        <v>46061</v>
      </c>
      <c r="J604" s="77">
        <v>46076</v>
      </c>
      <c r="K604" s="83">
        <f t="shared" si="243"/>
        <v>30</v>
      </c>
      <c r="L604" s="81">
        <v>13.41</v>
      </c>
      <c r="M604" s="81">
        <v>12.54</v>
      </c>
      <c r="N604" s="25">
        <f t="shared" si="250"/>
        <v>0.87000000000000099</v>
      </c>
      <c r="O604" s="25" t="s">
        <v>593</v>
      </c>
    </row>
    <row r="605" spans="1:15" x14ac:dyDescent="0.25">
      <c r="A605" s="77">
        <v>46046</v>
      </c>
      <c r="B605" s="25" t="s">
        <v>430</v>
      </c>
      <c r="C605" s="25"/>
      <c r="D605" s="77">
        <f t="shared" si="251"/>
        <v>46069</v>
      </c>
      <c r="E605" s="77">
        <f t="shared" si="252"/>
        <v>46053</v>
      </c>
      <c r="F605" s="77">
        <f t="shared" si="253"/>
        <v>46060</v>
      </c>
      <c r="G605" s="77">
        <f t="shared" si="254"/>
        <v>46066</v>
      </c>
      <c r="H605" s="77">
        <f t="shared" si="255"/>
        <v>46054</v>
      </c>
      <c r="I605" s="77">
        <f t="shared" si="256"/>
        <v>46061</v>
      </c>
      <c r="J605" s="77">
        <v>46076</v>
      </c>
      <c r="K605" s="83">
        <f t="shared" si="243"/>
        <v>30</v>
      </c>
      <c r="L605" s="81">
        <v>13.05</v>
      </c>
      <c r="M605" s="81">
        <v>11.73</v>
      </c>
      <c r="N605" s="25">
        <f t="shared" si="250"/>
        <v>1.3200000000000003</v>
      </c>
      <c r="O605" s="25" t="s">
        <v>593</v>
      </c>
    </row>
    <row r="606" spans="1:15" x14ac:dyDescent="0.25">
      <c r="A606" s="77">
        <v>46046</v>
      </c>
      <c r="B606" s="25" t="s">
        <v>431</v>
      </c>
      <c r="C606" s="25"/>
      <c r="D606" s="77">
        <f t="shared" si="251"/>
        <v>46069</v>
      </c>
      <c r="E606" s="77">
        <f t="shared" si="252"/>
        <v>46053</v>
      </c>
      <c r="F606" s="77">
        <f t="shared" si="253"/>
        <v>46060</v>
      </c>
      <c r="G606" s="77">
        <f t="shared" si="254"/>
        <v>46066</v>
      </c>
      <c r="H606" s="77">
        <f t="shared" si="255"/>
        <v>46054</v>
      </c>
      <c r="I606" s="77">
        <f t="shared" si="256"/>
        <v>46061</v>
      </c>
      <c r="J606" s="77">
        <v>46076</v>
      </c>
      <c r="K606" s="83">
        <f t="shared" si="243"/>
        <v>30</v>
      </c>
      <c r="L606" s="81">
        <v>12.36</v>
      </c>
      <c r="M606" s="81">
        <v>11.54</v>
      </c>
      <c r="N606" s="25">
        <f t="shared" si="250"/>
        <v>0.82000000000000028</v>
      </c>
      <c r="O606" s="25" t="s">
        <v>593</v>
      </c>
    </row>
    <row r="607" spans="1:15" x14ac:dyDescent="0.25">
      <c r="A607" s="77">
        <v>46046</v>
      </c>
      <c r="B607" s="25" t="s">
        <v>432</v>
      </c>
      <c r="C607" s="25"/>
      <c r="D607" s="77">
        <f t="shared" si="251"/>
        <v>46069</v>
      </c>
      <c r="E607" s="77">
        <f t="shared" si="252"/>
        <v>46053</v>
      </c>
      <c r="F607" s="77">
        <f t="shared" si="253"/>
        <v>46060</v>
      </c>
      <c r="G607" s="77">
        <f t="shared" si="254"/>
        <v>46066</v>
      </c>
      <c r="H607" s="77">
        <f t="shared" si="255"/>
        <v>46054</v>
      </c>
      <c r="I607" s="77">
        <f t="shared" si="256"/>
        <v>46061</v>
      </c>
      <c r="J607" s="77">
        <v>46075</v>
      </c>
      <c r="K607" s="83">
        <f t="shared" si="243"/>
        <v>29</v>
      </c>
      <c r="L607" s="81">
        <v>14.39</v>
      </c>
      <c r="M607" s="81">
        <v>13.24</v>
      </c>
      <c r="N607" s="25">
        <f t="shared" si="250"/>
        <v>1.1500000000000004</v>
      </c>
      <c r="O607" s="25" t="s">
        <v>593</v>
      </c>
    </row>
    <row r="608" spans="1:15" x14ac:dyDescent="0.25">
      <c r="A608" s="77">
        <v>46046</v>
      </c>
      <c r="B608" s="25" t="s">
        <v>433</v>
      </c>
      <c r="C608" s="25"/>
      <c r="D608" s="77">
        <f t="shared" si="251"/>
        <v>46069</v>
      </c>
      <c r="E608" s="77">
        <f t="shared" si="252"/>
        <v>46053</v>
      </c>
      <c r="F608" s="77">
        <f t="shared" si="253"/>
        <v>46060</v>
      </c>
      <c r="G608" s="77">
        <f t="shared" si="254"/>
        <v>46066</v>
      </c>
      <c r="H608" s="77">
        <f t="shared" si="255"/>
        <v>46054</v>
      </c>
      <c r="I608" s="77">
        <f t="shared" si="256"/>
        <v>46061</v>
      </c>
      <c r="J608" s="77">
        <v>46075</v>
      </c>
      <c r="K608" s="83">
        <f t="shared" si="243"/>
        <v>29</v>
      </c>
      <c r="L608" s="81">
        <v>14.28</v>
      </c>
      <c r="M608" s="81">
        <v>13.97</v>
      </c>
      <c r="N608" s="25">
        <f t="shared" si="250"/>
        <v>0.30999999999999872</v>
      </c>
      <c r="O608" s="25" t="s">
        <v>593</v>
      </c>
    </row>
    <row r="609" spans="1:15" x14ac:dyDescent="0.25">
      <c r="A609" s="77">
        <v>46046</v>
      </c>
      <c r="B609" s="25" t="s">
        <v>434</v>
      </c>
      <c r="C609" s="25"/>
      <c r="D609" s="77">
        <f t="shared" si="251"/>
        <v>46069</v>
      </c>
      <c r="E609" s="77">
        <f t="shared" si="252"/>
        <v>46053</v>
      </c>
      <c r="F609" s="77">
        <f t="shared" si="253"/>
        <v>46060</v>
      </c>
      <c r="G609" s="77">
        <f t="shared" si="254"/>
        <v>46066</v>
      </c>
      <c r="H609" s="77">
        <f t="shared" si="255"/>
        <v>46054</v>
      </c>
      <c r="I609" s="77">
        <f t="shared" si="256"/>
        <v>46061</v>
      </c>
      <c r="J609" s="77">
        <v>46075</v>
      </c>
      <c r="K609" s="83">
        <f t="shared" si="243"/>
        <v>29</v>
      </c>
      <c r="L609" s="81">
        <v>13.9</v>
      </c>
      <c r="M609" s="81">
        <v>12.38</v>
      </c>
      <c r="N609" s="25">
        <f t="shared" si="250"/>
        <v>1.5199999999999996</v>
      </c>
      <c r="O609" s="25" t="s">
        <v>593</v>
      </c>
    </row>
    <row r="610" spans="1:15" x14ac:dyDescent="0.25">
      <c r="A610" s="77">
        <v>46047</v>
      </c>
      <c r="B610" s="25" t="s">
        <v>465</v>
      </c>
      <c r="C610" s="25"/>
      <c r="D610" s="77">
        <f t="shared" si="251"/>
        <v>46070</v>
      </c>
      <c r="E610" s="77">
        <f t="shared" si="252"/>
        <v>46054</v>
      </c>
      <c r="F610" s="77">
        <f t="shared" si="253"/>
        <v>46061</v>
      </c>
      <c r="G610" s="77">
        <f t="shared" si="254"/>
        <v>46067</v>
      </c>
      <c r="H610" s="77">
        <f t="shared" si="255"/>
        <v>46055</v>
      </c>
      <c r="I610" s="77">
        <f t="shared" si="256"/>
        <v>46062</v>
      </c>
      <c r="J610" s="77">
        <v>46078</v>
      </c>
      <c r="K610" s="83">
        <f t="shared" si="243"/>
        <v>31</v>
      </c>
      <c r="L610" s="81">
        <v>12.59</v>
      </c>
      <c r="M610" s="81">
        <v>11.36</v>
      </c>
      <c r="N610" s="25">
        <f t="shared" si="250"/>
        <v>1.2300000000000004</v>
      </c>
      <c r="O610" s="25" t="s">
        <v>593</v>
      </c>
    </row>
    <row r="611" spans="1:15" x14ac:dyDescent="0.25">
      <c r="A611" s="77">
        <v>46047</v>
      </c>
      <c r="B611" s="25" t="s">
        <v>466</v>
      </c>
      <c r="C611" s="25"/>
      <c r="D611" s="77">
        <f t="shared" si="251"/>
        <v>46070</v>
      </c>
      <c r="E611" s="77">
        <f t="shared" si="252"/>
        <v>46054</v>
      </c>
      <c r="F611" s="77">
        <f t="shared" si="253"/>
        <v>46061</v>
      </c>
      <c r="G611" s="77">
        <f t="shared" si="254"/>
        <v>46067</v>
      </c>
      <c r="H611" s="77">
        <f t="shared" si="255"/>
        <v>46055</v>
      </c>
      <c r="I611" s="77">
        <f t="shared" si="256"/>
        <v>46062</v>
      </c>
      <c r="J611" s="77">
        <v>46078</v>
      </c>
      <c r="K611" s="83">
        <f t="shared" si="243"/>
        <v>31</v>
      </c>
      <c r="L611" s="81">
        <v>11.78</v>
      </c>
      <c r="M611" s="81">
        <v>10.65</v>
      </c>
      <c r="N611" s="25">
        <f t="shared" si="250"/>
        <v>1.129999999999999</v>
      </c>
      <c r="O611" s="25" t="s">
        <v>593</v>
      </c>
    </row>
    <row r="612" spans="1:15" x14ac:dyDescent="0.25">
      <c r="A612" s="77">
        <v>46047</v>
      </c>
      <c r="B612" s="25" t="s">
        <v>467</v>
      </c>
      <c r="C612" s="25"/>
      <c r="D612" s="77">
        <f t="shared" si="251"/>
        <v>46070</v>
      </c>
      <c r="E612" s="77">
        <f t="shared" si="252"/>
        <v>46054</v>
      </c>
      <c r="F612" s="77">
        <f t="shared" si="253"/>
        <v>46061</v>
      </c>
      <c r="G612" s="77">
        <f t="shared" si="254"/>
        <v>46067</v>
      </c>
      <c r="H612" s="77">
        <f t="shared" si="255"/>
        <v>46055</v>
      </c>
      <c r="I612" s="77">
        <f t="shared" si="256"/>
        <v>46062</v>
      </c>
      <c r="J612" s="77">
        <v>46078</v>
      </c>
      <c r="K612" s="83">
        <f t="shared" si="243"/>
        <v>31</v>
      </c>
      <c r="L612" s="81">
        <v>12.63</v>
      </c>
      <c r="M612" s="81">
        <v>11.48</v>
      </c>
      <c r="N612" s="25">
        <f t="shared" si="250"/>
        <v>1.1500000000000004</v>
      </c>
      <c r="O612" s="25" t="s">
        <v>593</v>
      </c>
    </row>
    <row r="613" spans="1:15" x14ac:dyDescent="0.25">
      <c r="A613" s="77">
        <v>46047</v>
      </c>
      <c r="B613" s="25" t="s">
        <v>468</v>
      </c>
      <c r="C613" s="25"/>
      <c r="D613" s="77">
        <f t="shared" si="251"/>
        <v>46070</v>
      </c>
      <c r="E613" s="77">
        <f t="shared" si="252"/>
        <v>46054</v>
      </c>
      <c r="F613" s="77">
        <f t="shared" si="253"/>
        <v>46061</v>
      </c>
      <c r="G613" s="77">
        <f t="shared" si="254"/>
        <v>46067</v>
      </c>
      <c r="H613" s="77">
        <f t="shared" si="255"/>
        <v>46055</v>
      </c>
      <c r="I613" s="77">
        <f t="shared" si="256"/>
        <v>46062</v>
      </c>
      <c r="J613" s="77">
        <v>46078</v>
      </c>
      <c r="K613" s="83">
        <f t="shared" si="243"/>
        <v>31</v>
      </c>
      <c r="L613" s="81">
        <v>11.48</v>
      </c>
      <c r="M613" s="81">
        <v>10.81</v>
      </c>
      <c r="N613" s="25">
        <f t="shared" si="250"/>
        <v>0.66999999999999993</v>
      </c>
      <c r="O613" s="25" t="s">
        <v>593</v>
      </c>
    </row>
    <row r="614" spans="1:15" x14ac:dyDescent="0.25">
      <c r="A614" s="77">
        <v>46047</v>
      </c>
      <c r="B614" s="25" t="s">
        <v>469</v>
      </c>
      <c r="C614" s="25"/>
      <c r="D614" s="77">
        <f t="shared" si="251"/>
        <v>46070</v>
      </c>
      <c r="E614" s="77">
        <f t="shared" si="252"/>
        <v>46054</v>
      </c>
      <c r="F614" s="77">
        <f t="shared" si="253"/>
        <v>46061</v>
      </c>
      <c r="G614" s="77">
        <f t="shared" si="254"/>
        <v>46067</v>
      </c>
      <c r="H614" s="77">
        <f t="shared" si="255"/>
        <v>46055</v>
      </c>
      <c r="I614" s="77">
        <f t="shared" si="256"/>
        <v>46062</v>
      </c>
      <c r="J614" s="77">
        <v>46079</v>
      </c>
      <c r="K614" s="83">
        <f t="shared" si="243"/>
        <v>32</v>
      </c>
      <c r="L614" s="89">
        <v>11.73</v>
      </c>
      <c r="M614" s="89">
        <v>10.58</v>
      </c>
      <c r="N614" s="90">
        <f t="shared" si="250"/>
        <v>1.1500000000000004</v>
      </c>
      <c r="O614" s="82" t="s">
        <v>593</v>
      </c>
    </row>
    <row r="615" spans="1:15" x14ac:dyDescent="0.25">
      <c r="A615" s="77">
        <v>46047</v>
      </c>
      <c r="B615" s="25" t="s">
        <v>470</v>
      </c>
      <c r="C615" s="25"/>
      <c r="D615" s="77">
        <f t="shared" si="251"/>
        <v>46070</v>
      </c>
      <c r="E615" s="77">
        <f t="shared" si="252"/>
        <v>46054</v>
      </c>
      <c r="F615" s="77">
        <f t="shared" si="253"/>
        <v>46061</v>
      </c>
      <c r="G615" s="77">
        <f t="shared" si="254"/>
        <v>46067</v>
      </c>
      <c r="H615" s="77">
        <f t="shared" si="255"/>
        <v>46055</v>
      </c>
      <c r="I615" s="77">
        <f t="shared" si="256"/>
        <v>46062</v>
      </c>
      <c r="J615" s="77">
        <v>46079</v>
      </c>
      <c r="K615" s="83">
        <f t="shared" si="243"/>
        <v>32</v>
      </c>
      <c r="L615" s="89">
        <v>12.38</v>
      </c>
      <c r="M615" s="89">
        <v>11.21</v>
      </c>
      <c r="N615" s="90">
        <f t="shared" si="250"/>
        <v>1.17</v>
      </c>
      <c r="O615" s="82" t="s">
        <v>593</v>
      </c>
    </row>
    <row r="616" spans="1:15" x14ac:dyDescent="0.25">
      <c r="A616" s="77">
        <v>46047</v>
      </c>
      <c r="B616" s="25" t="s">
        <v>471</v>
      </c>
      <c r="C616" s="25"/>
      <c r="D616" s="77">
        <f t="shared" si="251"/>
        <v>46070</v>
      </c>
      <c r="E616" s="77">
        <f t="shared" si="252"/>
        <v>46054</v>
      </c>
      <c r="F616" s="77">
        <f t="shared" si="253"/>
        <v>46061</v>
      </c>
      <c r="G616" s="77">
        <f t="shared" si="254"/>
        <v>46067</v>
      </c>
      <c r="H616" s="77">
        <f t="shared" si="255"/>
        <v>46055</v>
      </c>
      <c r="I616" s="77">
        <f t="shared" si="256"/>
        <v>46062</v>
      </c>
      <c r="J616" s="77">
        <v>46079</v>
      </c>
      <c r="K616" s="83">
        <f t="shared" si="243"/>
        <v>32</v>
      </c>
      <c r="L616" s="89">
        <v>11.84</v>
      </c>
      <c r="M616" s="89">
        <v>10.63</v>
      </c>
      <c r="N616" s="90">
        <f t="shared" si="250"/>
        <v>1.2099999999999991</v>
      </c>
      <c r="O616" s="82" t="s">
        <v>593</v>
      </c>
    </row>
    <row r="617" spans="1:15" x14ac:dyDescent="0.25">
      <c r="A617" s="77">
        <v>46048</v>
      </c>
      <c r="B617" s="25" t="s">
        <v>559</v>
      </c>
      <c r="C617" s="25"/>
      <c r="D617" s="77">
        <f t="shared" si="251"/>
        <v>46071</v>
      </c>
      <c r="E617" s="77">
        <f t="shared" si="252"/>
        <v>46055</v>
      </c>
      <c r="F617" s="77">
        <f t="shared" si="253"/>
        <v>46062</v>
      </c>
      <c r="G617" s="77">
        <f t="shared" si="254"/>
        <v>46068</v>
      </c>
      <c r="H617" s="77">
        <f t="shared" si="255"/>
        <v>46056</v>
      </c>
      <c r="I617" s="77">
        <f t="shared" si="256"/>
        <v>46063</v>
      </c>
      <c r="J617" s="77">
        <v>46079</v>
      </c>
      <c r="K617" s="83">
        <f>J617-A617</f>
        <v>31</v>
      </c>
      <c r="L617" s="89">
        <v>13.51</v>
      </c>
      <c r="M617" s="89">
        <v>12.36</v>
      </c>
      <c r="N617" s="90">
        <f>L617-M617</f>
        <v>1.1500000000000004</v>
      </c>
      <c r="O617" s="82" t="s">
        <v>593</v>
      </c>
    </row>
    <row r="618" spans="1:15" x14ac:dyDescent="0.25">
      <c r="A618" s="77">
        <v>46048</v>
      </c>
      <c r="B618" s="25" t="s">
        <v>560</v>
      </c>
      <c r="C618" s="25"/>
      <c r="D618" s="77">
        <f t="shared" si="251"/>
        <v>46071</v>
      </c>
      <c r="E618" s="77">
        <f t="shared" si="252"/>
        <v>46055</v>
      </c>
      <c r="F618" s="77">
        <f t="shared" si="253"/>
        <v>46062</v>
      </c>
      <c r="G618" s="77">
        <f t="shared" si="254"/>
        <v>46068</v>
      </c>
      <c r="H618" s="77">
        <f t="shared" si="255"/>
        <v>46056</v>
      </c>
      <c r="I618" s="77">
        <f t="shared" si="256"/>
        <v>46063</v>
      </c>
      <c r="J618" s="77">
        <v>46080</v>
      </c>
      <c r="K618" s="83">
        <f>J618-A618</f>
        <v>32</v>
      </c>
      <c r="L618" s="81">
        <v>12.41</v>
      </c>
      <c r="M618" s="81">
        <v>11.73</v>
      </c>
      <c r="N618" s="25">
        <v>0.67999999999999972</v>
      </c>
      <c r="O618" s="25" t="s">
        <v>593</v>
      </c>
    </row>
    <row r="619" spans="1:15" x14ac:dyDescent="0.25">
      <c r="A619" s="77">
        <v>46048</v>
      </c>
      <c r="B619" s="25" t="s">
        <v>561</v>
      </c>
      <c r="C619" s="25"/>
      <c r="D619" s="77">
        <f t="shared" si="251"/>
        <v>46071</v>
      </c>
      <c r="E619" s="77">
        <f t="shared" si="252"/>
        <v>46055</v>
      </c>
      <c r="F619" s="77">
        <f t="shared" si="253"/>
        <v>46062</v>
      </c>
      <c r="G619" s="77">
        <f t="shared" si="254"/>
        <v>46068</v>
      </c>
      <c r="H619" s="77">
        <f t="shared" si="255"/>
        <v>46056</v>
      </c>
      <c r="I619" s="77">
        <f t="shared" si="256"/>
        <v>46063</v>
      </c>
      <c r="J619" s="77">
        <v>46080</v>
      </c>
      <c r="K619" s="83">
        <f t="shared" ref="K619:K627" si="257">J619-A619</f>
        <v>32</v>
      </c>
      <c r="L619" s="81">
        <v>11.58</v>
      </c>
      <c r="M619" s="81">
        <v>10.24</v>
      </c>
      <c r="N619" s="25">
        <v>1.3399999999999999</v>
      </c>
      <c r="O619" s="25" t="s">
        <v>593</v>
      </c>
    </row>
    <row r="620" spans="1:15" x14ac:dyDescent="0.25">
      <c r="A620" s="77">
        <v>46048</v>
      </c>
      <c r="B620" s="25" t="s">
        <v>562</v>
      </c>
      <c r="C620" s="25"/>
      <c r="D620" s="77">
        <f t="shared" si="251"/>
        <v>46071</v>
      </c>
      <c r="E620" s="77">
        <f t="shared" si="252"/>
        <v>46055</v>
      </c>
      <c r="F620" s="77">
        <f t="shared" si="253"/>
        <v>46062</v>
      </c>
      <c r="G620" s="77">
        <f t="shared" si="254"/>
        <v>46068</v>
      </c>
      <c r="H620" s="77">
        <f t="shared" si="255"/>
        <v>46056</v>
      </c>
      <c r="I620" s="77">
        <f t="shared" si="256"/>
        <v>46063</v>
      </c>
      <c r="J620" s="77">
        <v>46080</v>
      </c>
      <c r="K620" s="83">
        <f t="shared" si="257"/>
        <v>32</v>
      </c>
      <c r="L620" s="81">
        <v>10.73</v>
      </c>
      <c r="M620" s="81">
        <v>9.31</v>
      </c>
      <c r="N620" s="25">
        <v>1.42</v>
      </c>
      <c r="O620" s="25" t="s">
        <v>593</v>
      </c>
    </row>
    <row r="621" spans="1:15" x14ac:dyDescent="0.25">
      <c r="A621" s="77">
        <v>46048</v>
      </c>
      <c r="B621" s="25" t="s">
        <v>563</v>
      </c>
      <c r="C621" s="25"/>
      <c r="D621" s="77">
        <f t="shared" si="251"/>
        <v>46071</v>
      </c>
      <c r="E621" s="77">
        <f t="shared" si="252"/>
        <v>46055</v>
      </c>
      <c r="F621" s="77">
        <f t="shared" si="253"/>
        <v>46062</v>
      </c>
      <c r="G621" s="77">
        <f t="shared" si="254"/>
        <v>46068</v>
      </c>
      <c r="H621" s="77">
        <f t="shared" si="255"/>
        <v>46056</v>
      </c>
      <c r="I621" s="77">
        <f t="shared" si="256"/>
        <v>46063</v>
      </c>
      <c r="J621" s="77">
        <v>46080</v>
      </c>
      <c r="K621" s="83">
        <f t="shared" si="257"/>
        <v>32</v>
      </c>
      <c r="L621" s="81">
        <v>9.58</v>
      </c>
      <c r="M621" s="81">
        <v>8.1999999999999993</v>
      </c>
      <c r="N621" s="25">
        <v>1.3800000000000008</v>
      </c>
      <c r="O621" s="25" t="s">
        <v>593</v>
      </c>
    </row>
    <row r="622" spans="1:15" x14ac:dyDescent="0.25">
      <c r="A622" s="77">
        <v>46048</v>
      </c>
      <c r="B622" s="25" t="s">
        <v>564</v>
      </c>
      <c r="C622" s="25"/>
      <c r="D622" s="77">
        <f t="shared" si="251"/>
        <v>46071</v>
      </c>
      <c r="E622" s="77">
        <f t="shared" si="252"/>
        <v>46055</v>
      </c>
      <c r="F622" s="77">
        <f t="shared" si="253"/>
        <v>46062</v>
      </c>
      <c r="G622" s="77">
        <f t="shared" si="254"/>
        <v>46068</v>
      </c>
      <c r="H622" s="77">
        <f t="shared" si="255"/>
        <v>46056</v>
      </c>
      <c r="I622" s="77">
        <f t="shared" si="256"/>
        <v>46063</v>
      </c>
      <c r="J622" s="77">
        <v>46080</v>
      </c>
      <c r="K622" s="83">
        <f t="shared" si="257"/>
        <v>32</v>
      </c>
      <c r="L622" s="81">
        <v>10.71</v>
      </c>
      <c r="M622" s="81">
        <v>9.11</v>
      </c>
      <c r="N622" s="25">
        <v>1.6000000000000014</v>
      </c>
      <c r="O622" s="25" t="s">
        <v>593</v>
      </c>
    </row>
    <row r="623" spans="1:15" x14ac:dyDescent="0.25">
      <c r="A623" s="77">
        <v>46048</v>
      </c>
      <c r="B623" s="25" t="s">
        <v>565</v>
      </c>
      <c r="C623" s="25"/>
      <c r="D623" s="77">
        <f t="shared" si="251"/>
        <v>46071</v>
      </c>
      <c r="E623" s="77">
        <f t="shared" si="252"/>
        <v>46055</v>
      </c>
      <c r="F623" s="77">
        <f t="shared" si="253"/>
        <v>46062</v>
      </c>
      <c r="G623" s="77">
        <f t="shared" si="254"/>
        <v>46068</v>
      </c>
      <c r="H623" s="77">
        <f t="shared" si="255"/>
        <v>46056</v>
      </c>
      <c r="I623" s="77">
        <f t="shared" si="256"/>
        <v>46063</v>
      </c>
      <c r="J623" s="77">
        <v>46080</v>
      </c>
      <c r="K623" s="83">
        <f t="shared" si="257"/>
        <v>32</v>
      </c>
      <c r="L623" s="81">
        <v>11.35</v>
      </c>
      <c r="M623" s="81">
        <v>10.56</v>
      </c>
      <c r="N623" s="25">
        <v>0.78999999999999915</v>
      </c>
      <c r="O623" s="25" t="s">
        <v>593</v>
      </c>
    </row>
    <row r="624" spans="1:15" x14ac:dyDescent="0.25">
      <c r="A624" s="77">
        <v>46049</v>
      </c>
      <c r="B624" s="25" t="s">
        <v>566</v>
      </c>
      <c r="C624" s="25"/>
      <c r="D624" s="77">
        <f t="shared" si="251"/>
        <v>46072</v>
      </c>
      <c r="E624" s="77">
        <f t="shared" si="252"/>
        <v>46056</v>
      </c>
      <c r="F624" s="77">
        <f t="shared" si="253"/>
        <v>46063</v>
      </c>
      <c r="G624" s="77">
        <f t="shared" si="254"/>
        <v>46069</v>
      </c>
      <c r="H624" s="77">
        <f t="shared" si="255"/>
        <v>46057</v>
      </c>
      <c r="I624" s="77">
        <f t="shared" si="256"/>
        <v>46064</v>
      </c>
      <c r="J624" s="77">
        <v>46080</v>
      </c>
      <c r="K624" s="83">
        <f t="shared" si="257"/>
        <v>31</v>
      </c>
      <c r="L624" s="81">
        <v>12.49</v>
      </c>
      <c r="M624" s="81">
        <v>11.81</v>
      </c>
      <c r="N624" s="25">
        <v>0.67999999999999972</v>
      </c>
      <c r="O624" s="25" t="s">
        <v>593</v>
      </c>
    </row>
    <row r="625" spans="1:15" x14ac:dyDescent="0.25">
      <c r="A625" s="77">
        <v>46049</v>
      </c>
      <c r="B625" s="25" t="s">
        <v>567</v>
      </c>
      <c r="C625" s="25"/>
      <c r="D625" s="77">
        <f t="shared" si="251"/>
        <v>46072</v>
      </c>
      <c r="E625" s="77">
        <f t="shared" si="252"/>
        <v>46056</v>
      </c>
      <c r="F625" s="77">
        <f t="shared" si="253"/>
        <v>46063</v>
      </c>
      <c r="G625" s="77">
        <f t="shared" si="254"/>
        <v>46069</v>
      </c>
      <c r="H625" s="77">
        <f t="shared" si="255"/>
        <v>46057</v>
      </c>
      <c r="I625" s="77">
        <f t="shared" si="256"/>
        <v>46064</v>
      </c>
      <c r="J625" s="77">
        <v>46080</v>
      </c>
      <c r="K625" s="83">
        <f t="shared" si="257"/>
        <v>31</v>
      </c>
      <c r="L625" s="81">
        <v>13.62</v>
      </c>
      <c r="M625" s="81">
        <v>12.24</v>
      </c>
      <c r="N625" s="25">
        <v>1.379999999999999</v>
      </c>
      <c r="O625" s="25" t="s">
        <v>593</v>
      </c>
    </row>
    <row r="626" spans="1:15" x14ac:dyDescent="0.25">
      <c r="A626" s="77">
        <v>46049</v>
      </c>
      <c r="B626" s="25" t="s">
        <v>568</v>
      </c>
      <c r="C626" s="25"/>
      <c r="D626" s="77">
        <f t="shared" si="251"/>
        <v>46072</v>
      </c>
      <c r="E626" s="77">
        <f t="shared" si="252"/>
        <v>46056</v>
      </c>
      <c r="F626" s="77">
        <f t="shared" si="253"/>
        <v>46063</v>
      </c>
      <c r="G626" s="77">
        <f t="shared" si="254"/>
        <v>46069</v>
      </c>
      <c r="H626" s="77">
        <f t="shared" si="255"/>
        <v>46057</v>
      </c>
      <c r="I626" s="77">
        <f t="shared" si="256"/>
        <v>46064</v>
      </c>
      <c r="J626" s="77">
        <v>46080</v>
      </c>
      <c r="K626" s="83">
        <f t="shared" si="257"/>
        <v>31</v>
      </c>
      <c r="L626" s="81">
        <v>13.87</v>
      </c>
      <c r="M626" s="81">
        <v>12.56</v>
      </c>
      <c r="N626" s="25">
        <v>1.3099999999999987</v>
      </c>
      <c r="O626" s="25" t="s">
        <v>593</v>
      </c>
    </row>
    <row r="627" spans="1:15" x14ac:dyDescent="0.25">
      <c r="A627" s="77">
        <v>46049</v>
      </c>
      <c r="B627" s="25" t="s">
        <v>569</v>
      </c>
      <c r="C627" s="25"/>
      <c r="D627" s="77">
        <f t="shared" si="251"/>
        <v>46072</v>
      </c>
      <c r="E627" s="77">
        <f t="shared" si="252"/>
        <v>46056</v>
      </c>
      <c r="F627" s="77">
        <f t="shared" si="253"/>
        <v>46063</v>
      </c>
      <c r="G627" s="77">
        <f t="shared" si="254"/>
        <v>46069</v>
      </c>
      <c r="H627" s="77">
        <f t="shared" si="255"/>
        <v>46057</v>
      </c>
      <c r="I627" s="77">
        <f t="shared" si="256"/>
        <v>46064</v>
      </c>
      <c r="J627" s="77">
        <v>46080</v>
      </c>
      <c r="K627" s="83">
        <f t="shared" si="257"/>
        <v>31</v>
      </c>
      <c r="L627" s="81">
        <v>14.26</v>
      </c>
      <c r="M627" s="81">
        <v>13.38</v>
      </c>
      <c r="N627" s="25">
        <v>0.87999999999999901</v>
      </c>
      <c r="O627" s="25" t="s">
        <v>593</v>
      </c>
    </row>
    <row r="628" spans="1:15" x14ac:dyDescent="0.25">
      <c r="A628" s="77">
        <v>46049</v>
      </c>
      <c r="B628" s="25" t="s">
        <v>570</v>
      </c>
      <c r="C628" s="25" t="s">
        <v>1153</v>
      </c>
      <c r="D628" s="77">
        <v>46072</v>
      </c>
      <c r="E628" s="77">
        <v>46056</v>
      </c>
      <c r="F628" s="77">
        <v>46063</v>
      </c>
      <c r="G628" s="77">
        <v>46069</v>
      </c>
      <c r="H628" s="77">
        <v>46057</v>
      </c>
      <c r="I628" s="77">
        <v>46064</v>
      </c>
      <c r="J628" s="77">
        <v>46080</v>
      </c>
      <c r="K628" s="83">
        <v>31</v>
      </c>
      <c r="L628" s="81">
        <v>14.19</v>
      </c>
      <c r="M628" s="81">
        <v>13.1</v>
      </c>
      <c r="N628" s="25">
        <v>1.0899999999999999</v>
      </c>
      <c r="O628" s="25" t="s">
        <v>593</v>
      </c>
    </row>
    <row r="629" spans="1:15" x14ac:dyDescent="0.25">
      <c r="A629" s="77">
        <v>46049</v>
      </c>
      <c r="B629" s="25" t="s">
        <v>571</v>
      </c>
      <c r="C629" s="25" t="s">
        <v>1154</v>
      </c>
      <c r="D629" s="77">
        <v>46072</v>
      </c>
      <c r="E629" s="77">
        <v>46056</v>
      </c>
      <c r="F629" s="77">
        <v>46063</v>
      </c>
      <c r="G629" s="77">
        <v>46069</v>
      </c>
      <c r="H629" s="77">
        <v>46057</v>
      </c>
      <c r="I629" s="77">
        <v>46064</v>
      </c>
      <c r="J629" s="77">
        <v>46081</v>
      </c>
      <c r="K629" s="25">
        <v>32</v>
      </c>
      <c r="L629" s="81">
        <v>12.67</v>
      </c>
      <c r="M629" s="81">
        <v>11.35</v>
      </c>
      <c r="N629" s="25">
        <v>1.3200000000000003</v>
      </c>
      <c r="O629" s="25" t="s">
        <v>593</v>
      </c>
    </row>
    <row r="630" spans="1:15" x14ac:dyDescent="0.25">
      <c r="A630" s="77">
        <v>46049</v>
      </c>
      <c r="B630" s="25" t="s">
        <v>572</v>
      </c>
      <c r="C630" s="25" t="s">
        <v>1155</v>
      </c>
      <c r="D630" s="77">
        <v>46072</v>
      </c>
      <c r="E630" s="77">
        <v>46056</v>
      </c>
      <c r="F630" s="77">
        <v>46063</v>
      </c>
      <c r="G630" s="77">
        <v>46069</v>
      </c>
      <c r="H630" s="77">
        <v>46057</v>
      </c>
      <c r="I630" s="77">
        <v>46064</v>
      </c>
      <c r="J630" s="77">
        <v>46081</v>
      </c>
      <c r="K630" s="25">
        <v>32</v>
      </c>
      <c r="L630" s="81">
        <v>13.06</v>
      </c>
      <c r="M630" s="81">
        <v>11.73</v>
      </c>
      <c r="N630" s="25">
        <v>1.33</v>
      </c>
      <c r="O630" s="25" t="s">
        <v>593</v>
      </c>
    </row>
    <row r="631" spans="1:15" x14ac:dyDescent="0.25">
      <c r="A631" s="77">
        <v>46050</v>
      </c>
      <c r="B631" s="25" t="s">
        <v>573</v>
      </c>
      <c r="C631" s="25" t="s">
        <v>1156</v>
      </c>
      <c r="D631" s="77">
        <v>46073</v>
      </c>
      <c r="E631" s="77">
        <v>46057</v>
      </c>
      <c r="F631" s="77">
        <v>46064</v>
      </c>
      <c r="G631" s="77">
        <v>46070</v>
      </c>
      <c r="H631" s="77">
        <v>46058</v>
      </c>
      <c r="I631" s="77">
        <v>46065</v>
      </c>
      <c r="J631" s="77">
        <v>46081</v>
      </c>
      <c r="K631" s="25">
        <v>31</v>
      </c>
      <c r="L631" s="81">
        <v>11.52</v>
      </c>
      <c r="M631" s="81">
        <v>10.28</v>
      </c>
      <c r="N631" s="25">
        <v>1.2400000000000002</v>
      </c>
      <c r="O631" s="25" t="s">
        <v>593</v>
      </c>
    </row>
    <row r="632" spans="1:15" x14ac:dyDescent="0.25">
      <c r="A632" s="77">
        <v>46050</v>
      </c>
      <c r="B632" s="25" t="s">
        <v>574</v>
      </c>
      <c r="C632" s="25" t="s">
        <v>1157</v>
      </c>
      <c r="D632" s="77">
        <v>46073</v>
      </c>
      <c r="E632" s="77">
        <v>46057</v>
      </c>
      <c r="F632" s="77">
        <v>46064</v>
      </c>
      <c r="G632" s="77">
        <v>46070</v>
      </c>
      <c r="H632" s="77">
        <v>46058</v>
      </c>
      <c r="I632" s="77">
        <v>46065</v>
      </c>
      <c r="J632" s="77">
        <v>46081</v>
      </c>
      <c r="K632" s="25">
        <v>31</v>
      </c>
      <c r="L632" s="81">
        <v>11.43</v>
      </c>
      <c r="M632" s="81">
        <v>10.15</v>
      </c>
      <c r="N632" s="25">
        <v>1.2799999999999994</v>
      </c>
      <c r="O632" s="25" t="s">
        <v>593</v>
      </c>
    </row>
    <row r="633" spans="1:15" x14ac:dyDescent="0.25">
      <c r="A633" s="77">
        <v>46050</v>
      </c>
      <c r="B633" s="25" t="s">
        <v>575</v>
      </c>
      <c r="C633" s="25" t="s">
        <v>1158</v>
      </c>
      <c r="D633" s="77">
        <v>46073</v>
      </c>
      <c r="E633" s="77">
        <v>46057</v>
      </c>
      <c r="F633" s="77">
        <v>46064</v>
      </c>
      <c r="G633" s="77">
        <v>46070</v>
      </c>
      <c r="H633" s="77">
        <v>46058</v>
      </c>
      <c r="I633" s="77">
        <v>46065</v>
      </c>
      <c r="J633" s="77">
        <v>46081</v>
      </c>
      <c r="K633" s="25">
        <v>31</v>
      </c>
      <c r="L633" s="81">
        <v>12.58</v>
      </c>
      <c r="M633" s="81">
        <v>11.21</v>
      </c>
      <c r="N633" s="25">
        <v>1.3699999999999992</v>
      </c>
      <c r="O633" s="25" t="s">
        <v>593</v>
      </c>
    </row>
    <row r="634" spans="1:15" x14ac:dyDescent="0.25">
      <c r="A634" s="77">
        <v>46050</v>
      </c>
      <c r="B634" s="25" t="s">
        <v>576</v>
      </c>
      <c r="C634" s="25" t="s">
        <v>1159</v>
      </c>
      <c r="D634" s="77">
        <v>46073</v>
      </c>
      <c r="E634" s="77">
        <v>46057</v>
      </c>
      <c r="F634" s="77">
        <v>46064</v>
      </c>
      <c r="G634" s="77">
        <v>46070</v>
      </c>
      <c r="H634" s="77">
        <v>46058</v>
      </c>
      <c r="I634" s="77">
        <v>46065</v>
      </c>
      <c r="J634" s="77">
        <v>46081</v>
      </c>
      <c r="K634" s="25">
        <v>31</v>
      </c>
      <c r="L634" s="81">
        <v>10.17</v>
      </c>
      <c r="M634" s="81">
        <v>9.9700000000000006</v>
      </c>
      <c r="N634" s="25">
        <v>0.19999999999999929</v>
      </c>
      <c r="O634" s="25" t="s">
        <v>593</v>
      </c>
    </row>
    <row r="635" spans="1:15" x14ac:dyDescent="0.25">
      <c r="A635" s="77">
        <v>46050</v>
      </c>
      <c r="B635" s="25" t="s">
        <v>577</v>
      </c>
      <c r="C635" s="25" t="s">
        <v>1160</v>
      </c>
      <c r="D635" s="77">
        <v>46073</v>
      </c>
      <c r="E635" s="77">
        <v>46057</v>
      </c>
      <c r="F635" s="77">
        <v>46064</v>
      </c>
      <c r="G635" s="77">
        <v>46070</v>
      </c>
      <c r="H635" s="77">
        <v>46058</v>
      </c>
      <c r="I635" s="77">
        <v>46065</v>
      </c>
      <c r="J635" s="77">
        <v>46081</v>
      </c>
      <c r="K635" s="25">
        <v>31</v>
      </c>
      <c r="L635" s="81">
        <v>10.86</v>
      </c>
      <c r="M635" s="81">
        <v>9.2799999999999994</v>
      </c>
      <c r="N635" s="25">
        <v>1.58</v>
      </c>
      <c r="O635" s="25" t="s">
        <v>593</v>
      </c>
    </row>
    <row r="636" spans="1:15" x14ac:dyDescent="0.25">
      <c r="A636" s="77">
        <v>46050</v>
      </c>
      <c r="B636" s="25" t="s">
        <v>578</v>
      </c>
      <c r="C636" s="25" t="s">
        <v>1161</v>
      </c>
      <c r="D636" s="77">
        <v>46073</v>
      </c>
      <c r="E636" s="77">
        <v>46057</v>
      </c>
      <c r="F636" s="77">
        <v>46064</v>
      </c>
      <c r="G636" s="77">
        <v>46070</v>
      </c>
      <c r="H636" s="77">
        <v>46058</v>
      </c>
      <c r="I636" s="77">
        <v>46065</v>
      </c>
      <c r="J636" s="77">
        <v>46081</v>
      </c>
      <c r="K636" s="83">
        <v>31</v>
      </c>
      <c r="L636" s="89">
        <v>11.73</v>
      </c>
      <c r="M636" s="89">
        <v>11.15</v>
      </c>
      <c r="N636" s="90">
        <v>0.58000000000000007</v>
      </c>
      <c r="O636" s="82" t="s">
        <v>593</v>
      </c>
    </row>
    <row r="637" spans="1:15" x14ac:dyDescent="0.25">
      <c r="A637" s="77">
        <v>46050</v>
      </c>
      <c r="B637" s="25" t="s">
        <v>1144</v>
      </c>
      <c r="C637" s="25" t="s">
        <v>1162</v>
      </c>
      <c r="D637" s="77">
        <v>46073</v>
      </c>
      <c r="E637" s="77">
        <v>46057</v>
      </c>
      <c r="F637" s="77">
        <v>46064</v>
      </c>
      <c r="G637" s="77">
        <v>46070</v>
      </c>
      <c r="H637" s="77">
        <v>46058</v>
      </c>
      <c r="I637" s="77">
        <v>46065</v>
      </c>
      <c r="J637" s="77">
        <v>46079</v>
      </c>
      <c r="K637" s="83">
        <v>29</v>
      </c>
      <c r="L637" s="89">
        <v>12.39</v>
      </c>
      <c r="M637" s="89">
        <v>11.1</v>
      </c>
      <c r="N637" s="90">
        <v>1.2900000000000009</v>
      </c>
      <c r="O637" s="82" t="s">
        <v>593</v>
      </c>
    </row>
    <row r="638" spans="1:15" x14ac:dyDescent="0.25">
      <c r="A638" s="77">
        <v>46051</v>
      </c>
      <c r="B638" s="25" t="s">
        <v>458</v>
      </c>
      <c r="C638" s="25" t="s">
        <v>1163</v>
      </c>
      <c r="D638" s="77">
        <v>46074</v>
      </c>
      <c r="E638" s="77">
        <v>46058</v>
      </c>
      <c r="F638" s="77">
        <v>46065</v>
      </c>
      <c r="G638" s="77">
        <v>46071</v>
      </c>
      <c r="H638" s="77">
        <v>46059</v>
      </c>
      <c r="I638" s="77">
        <v>46066</v>
      </c>
      <c r="J638" s="77">
        <v>46076</v>
      </c>
      <c r="K638" s="83">
        <v>25</v>
      </c>
      <c r="L638" s="81">
        <v>14.27</v>
      </c>
      <c r="M638" s="81">
        <v>13.11</v>
      </c>
      <c r="N638" s="25">
        <v>1.1600000000000001</v>
      </c>
      <c r="O638" s="25" t="s">
        <v>593</v>
      </c>
    </row>
    <row r="639" spans="1:15" x14ac:dyDescent="0.25">
      <c r="A639" s="77">
        <v>46051</v>
      </c>
      <c r="B639" s="25" t="s">
        <v>459</v>
      </c>
      <c r="C639" s="25" t="s">
        <v>1164</v>
      </c>
      <c r="D639" s="77">
        <v>46074</v>
      </c>
      <c r="E639" s="77">
        <v>46058</v>
      </c>
      <c r="F639" s="77">
        <v>46065</v>
      </c>
      <c r="G639" s="77">
        <v>46071</v>
      </c>
      <c r="H639" s="77">
        <v>46059</v>
      </c>
      <c r="I639" s="77">
        <v>46066</v>
      </c>
      <c r="J639" s="77">
        <v>46076</v>
      </c>
      <c r="K639" s="83">
        <v>25</v>
      </c>
      <c r="L639" s="81">
        <v>15.31</v>
      </c>
      <c r="M639" s="81">
        <v>14.19</v>
      </c>
      <c r="N639" s="25">
        <v>1.120000000000001</v>
      </c>
      <c r="O639" s="25" t="s">
        <v>593</v>
      </c>
    </row>
    <row r="640" spans="1:15" x14ac:dyDescent="0.25">
      <c r="A640" s="77">
        <v>46051</v>
      </c>
      <c r="B640" s="25" t="s">
        <v>460</v>
      </c>
      <c r="C640" s="25" t="s">
        <v>1165</v>
      </c>
      <c r="D640" s="77">
        <v>46074</v>
      </c>
      <c r="E640" s="77">
        <v>46058</v>
      </c>
      <c r="F640" s="77">
        <v>46065</v>
      </c>
      <c r="G640" s="77">
        <v>46071</v>
      </c>
      <c r="H640" s="77">
        <v>46059</v>
      </c>
      <c r="I640" s="77">
        <v>46066</v>
      </c>
      <c r="J640" s="77">
        <v>46077</v>
      </c>
      <c r="K640" s="83">
        <v>26</v>
      </c>
      <c r="L640" s="81">
        <v>14.51</v>
      </c>
      <c r="M640" s="81">
        <v>13.54</v>
      </c>
      <c r="N640" s="25">
        <v>0.97000000000000064</v>
      </c>
      <c r="O640" s="25" t="s">
        <v>593</v>
      </c>
    </row>
    <row r="641" spans="1:15" x14ac:dyDescent="0.25">
      <c r="A641" s="77">
        <v>46051</v>
      </c>
      <c r="B641" s="25" t="s">
        <v>461</v>
      </c>
      <c r="C641" s="25" t="s">
        <v>1166</v>
      </c>
      <c r="D641" s="77">
        <v>46074</v>
      </c>
      <c r="E641" s="77">
        <v>46058</v>
      </c>
      <c r="F641" s="77">
        <v>46065</v>
      </c>
      <c r="G641" s="77">
        <v>46071</v>
      </c>
      <c r="H641" s="77">
        <v>46059</v>
      </c>
      <c r="I641" s="77">
        <v>46066</v>
      </c>
      <c r="J641" s="77">
        <v>46077</v>
      </c>
      <c r="K641" s="83">
        <v>26</v>
      </c>
      <c r="L641" s="81">
        <v>13.64</v>
      </c>
      <c r="M641" s="81">
        <v>12.72</v>
      </c>
      <c r="N641" s="25">
        <v>0.91999999999999993</v>
      </c>
      <c r="O641" s="25" t="s">
        <v>593</v>
      </c>
    </row>
    <row r="642" spans="1:15" x14ac:dyDescent="0.25">
      <c r="A642" s="77">
        <v>46051</v>
      </c>
      <c r="B642" s="25" t="s">
        <v>462</v>
      </c>
      <c r="C642" s="25" t="s">
        <v>1167</v>
      </c>
      <c r="D642" s="77">
        <v>46074</v>
      </c>
      <c r="E642" s="77">
        <v>46058</v>
      </c>
      <c r="F642" s="77">
        <v>46065</v>
      </c>
      <c r="G642" s="77">
        <v>46071</v>
      </c>
      <c r="H642" s="77">
        <v>46059</v>
      </c>
      <c r="I642" s="77">
        <v>46066</v>
      </c>
      <c r="J642" s="77">
        <v>46077</v>
      </c>
      <c r="K642" s="83">
        <v>26</v>
      </c>
      <c r="L642" s="81">
        <v>15.37</v>
      </c>
      <c r="M642" s="81">
        <v>14.26</v>
      </c>
      <c r="N642" s="25">
        <v>1.1099999999999994</v>
      </c>
      <c r="O642" s="25" t="s">
        <v>593</v>
      </c>
    </row>
    <row r="643" spans="1:15" x14ac:dyDescent="0.25">
      <c r="A643" s="77">
        <v>46051</v>
      </c>
      <c r="B643" s="25" t="s">
        <v>463</v>
      </c>
      <c r="C643" s="25" t="s">
        <v>1168</v>
      </c>
      <c r="D643" s="77">
        <v>46074</v>
      </c>
      <c r="E643" s="77">
        <v>46058</v>
      </c>
      <c r="F643" s="77">
        <v>46065</v>
      </c>
      <c r="G643" s="77">
        <v>46071</v>
      </c>
      <c r="H643" s="77">
        <v>46059</v>
      </c>
      <c r="I643" s="77">
        <v>46066</v>
      </c>
      <c r="J643" s="77">
        <v>46078</v>
      </c>
      <c r="K643" s="25">
        <v>27</v>
      </c>
      <c r="L643" s="81">
        <v>13.48</v>
      </c>
      <c r="M643" s="81">
        <v>12.73</v>
      </c>
      <c r="N643" s="25">
        <v>0.75</v>
      </c>
      <c r="O643" s="25" t="s">
        <v>593</v>
      </c>
    </row>
    <row r="644" spans="1:15" x14ac:dyDescent="0.25">
      <c r="A644" s="77">
        <v>46051</v>
      </c>
      <c r="B644" s="25" t="s">
        <v>464</v>
      </c>
      <c r="C644" s="25" t="s">
        <v>1169</v>
      </c>
      <c r="D644" s="77">
        <v>46074</v>
      </c>
      <c r="E644" s="77">
        <v>46058</v>
      </c>
      <c r="F644" s="77">
        <v>46065</v>
      </c>
      <c r="G644" s="77">
        <v>46071</v>
      </c>
      <c r="H644" s="77">
        <v>46059</v>
      </c>
      <c r="I644" s="77">
        <v>46066</v>
      </c>
      <c r="J644" s="77">
        <v>46078</v>
      </c>
      <c r="K644" s="25">
        <v>27</v>
      </c>
      <c r="L644" s="81">
        <v>13.16</v>
      </c>
      <c r="M644" s="81">
        <v>12.26</v>
      </c>
      <c r="N644" s="25">
        <v>0.90000000000000036</v>
      </c>
      <c r="O644" s="25" t="s">
        <v>593</v>
      </c>
    </row>
    <row r="645" spans="1:15" x14ac:dyDescent="0.25">
      <c r="A645" s="77">
        <v>46052</v>
      </c>
      <c r="B645" s="25" t="s">
        <v>421</v>
      </c>
      <c r="C645" s="25" t="s">
        <v>1170</v>
      </c>
      <c r="D645" s="77">
        <v>46075</v>
      </c>
      <c r="E645" s="77">
        <v>46059</v>
      </c>
      <c r="F645" s="77">
        <v>46066</v>
      </c>
      <c r="G645" s="77">
        <v>46072</v>
      </c>
      <c r="H645" s="77">
        <v>46060</v>
      </c>
      <c r="I645" s="77">
        <v>46067</v>
      </c>
      <c r="J645" s="77">
        <v>46082</v>
      </c>
      <c r="K645" s="25">
        <v>30</v>
      </c>
      <c r="L645" s="81">
        <v>13.58</v>
      </c>
      <c r="M645" s="81">
        <v>12.35</v>
      </c>
      <c r="N645" s="25">
        <v>1.2300000000000004</v>
      </c>
      <c r="O645" s="25" t="s">
        <v>593</v>
      </c>
    </row>
    <row r="646" spans="1:15" x14ac:dyDescent="0.25">
      <c r="A646" s="77">
        <v>46052</v>
      </c>
      <c r="B646" s="25" t="s">
        <v>422</v>
      </c>
      <c r="C646" s="25" t="s">
        <v>1171</v>
      </c>
      <c r="D646" s="77">
        <v>46075</v>
      </c>
      <c r="E646" s="77">
        <v>46059</v>
      </c>
      <c r="F646" s="77">
        <v>46066</v>
      </c>
      <c r="G646" s="77">
        <v>46072</v>
      </c>
      <c r="H646" s="77">
        <v>46060</v>
      </c>
      <c r="I646" s="77">
        <v>46067</v>
      </c>
      <c r="J646" s="77">
        <v>46082</v>
      </c>
      <c r="K646" s="25">
        <v>30</v>
      </c>
      <c r="L646" s="81">
        <v>13.92</v>
      </c>
      <c r="M646" s="81">
        <v>12.73</v>
      </c>
      <c r="N646" s="25">
        <v>1.1899999999999995</v>
      </c>
      <c r="O646" s="25" t="s">
        <v>593</v>
      </c>
    </row>
    <row r="647" spans="1:15" x14ac:dyDescent="0.25">
      <c r="A647" s="77">
        <v>46052</v>
      </c>
      <c r="B647" s="25" t="s">
        <v>423</v>
      </c>
      <c r="C647" s="25" t="s">
        <v>1172</v>
      </c>
      <c r="D647" s="77">
        <v>46075</v>
      </c>
      <c r="E647" s="77">
        <v>46059</v>
      </c>
      <c r="F647" s="77">
        <v>46066</v>
      </c>
      <c r="G647" s="77">
        <v>46072</v>
      </c>
      <c r="H647" s="77">
        <v>46060</v>
      </c>
      <c r="I647" s="77">
        <v>46067</v>
      </c>
      <c r="J647" s="77">
        <v>46082</v>
      </c>
      <c r="K647" s="25">
        <v>30</v>
      </c>
      <c r="L647" s="81">
        <v>14.41</v>
      </c>
      <c r="M647" s="81">
        <v>13.1</v>
      </c>
      <c r="N647" s="25">
        <v>1.3100000000000005</v>
      </c>
      <c r="O647" s="25" t="s">
        <v>593</v>
      </c>
    </row>
    <row r="648" spans="1:15" x14ac:dyDescent="0.25">
      <c r="A648" s="77">
        <v>46052</v>
      </c>
      <c r="B648" s="25" t="s">
        <v>424</v>
      </c>
      <c r="C648" s="25" t="s">
        <v>1173</v>
      </c>
      <c r="D648" s="77">
        <v>46075</v>
      </c>
      <c r="E648" s="77">
        <v>46059</v>
      </c>
      <c r="F648" s="77">
        <v>46066</v>
      </c>
      <c r="G648" s="77">
        <v>46072</v>
      </c>
      <c r="H648" s="77">
        <v>46060</v>
      </c>
      <c r="I648" s="77">
        <v>46067</v>
      </c>
      <c r="J648" s="77">
        <v>46082</v>
      </c>
      <c r="K648" s="25">
        <v>30</v>
      </c>
      <c r="L648" s="81">
        <v>13.83</v>
      </c>
      <c r="M648" s="81">
        <v>12.54</v>
      </c>
      <c r="N648" s="25">
        <v>1.2900000000000009</v>
      </c>
      <c r="O648" s="25" t="s">
        <v>593</v>
      </c>
    </row>
    <row r="649" spans="1:15" x14ac:dyDescent="0.25">
      <c r="A649" s="77">
        <v>46052</v>
      </c>
      <c r="B649" s="25" t="s">
        <v>425</v>
      </c>
      <c r="C649" s="25" t="s">
        <v>1174</v>
      </c>
      <c r="D649" s="77">
        <v>46075</v>
      </c>
      <c r="E649" s="77">
        <v>46059</v>
      </c>
      <c r="F649" s="77">
        <v>46066</v>
      </c>
      <c r="G649" s="77">
        <v>46072</v>
      </c>
      <c r="H649" s="77">
        <v>46060</v>
      </c>
      <c r="I649" s="77">
        <v>46067</v>
      </c>
      <c r="J649" s="77">
        <v>46082</v>
      </c>
      <c r="K649" s="25">
        <v>30</v>
      </c>
      <c r="L649" s="81">
        <v>13.67</v>
      </c>
      <c r="M649" s="81">
        <v>12.19</v>
      </c>
      <c r="N649" s="25">
        <v>1.4800000000000004</v>
      </c>
      <c r="O649" s="25" t="s">
        <v>593</v>
      </c>
    </row>
    <row r="650" spans="1:15" x14ac:dyDescent="0.25">
      <c r="A650" s="77">
        <v>46052</v>
      </c>
      <c r="B650" s="25" t="s">
        <v>426</v>
      </c>
      <c r="C650" s="25" t="s">
        <v>1175</v>
      </c>
      <c r="D650" s="77">
        <v>46075</v>
      </c>
      <c r="E650" s="77">
        <v>46059</v>
      </c>
      <c r="F650" s="77">
        <v>46066</v>
      </c>
      <c r="G650" s="77">
        <v>46072</v>
      </c>
      <c r="H650" s="77">
        <v>46060</v>
      </c>
      <c r="I650" s="77">
        <v>46067</v>
      </c>
      <c r="J650" s="77">
        <v>46081</v>
      </c>
      <c r="K650" s="25">
        <v>29</v>
      </c>
      <c r="L650" s="81">
        <v>13.89</v>
      </c>
      <c r="M650" s="81">
        <v>12.26</v>
      </c>
      <c r="N650" s="25">
        <v>1.6300000000000008</v>
      </c>
      <c r="O650" s="25" t="s">
        <v>593</v>
      </c>
    </row>
    <row r="651" spans="1:15" x14ac:dyDescent="0.25">
      <c r="A651" s="77">
        <v>46052</v>
      </c>
      <c r="B651" s="25" t="s">
        <v>427</v>
      </c>
      <c r="C651" s="25" t="s">
        <v>1176</v>
      </c>
      <c r="D651" s="77">
        <v>46075</v>
      </c>
      <c r="E651" s="77">
        <v>46059</v>
      </c>
      <c r="F651" s="77">
        <v>46066</v>
      </c>
      <c r="G651" s="77">
        <v>46072</v>
      </c>
      <c r="H651" s="77">
        <v>46060</v>
      </c>
      <c r="I651" s="77">
        <v>46067</v>
      </c>
      <c r="J651" s="77">
        <v>46081</v>
      </c>
      <c r="K651" s="25">
        <v>29</v>
      </c>
      <c r="L651" s="81">
        <v>13.42</v>
      </c>
      <c r="M651" s="81">
        <v>12.51</v>
      </c>
      <c r="N651" s="25">
        <v>0.91000000000000014</v>
      </c>
      <c r="O651" s="25" t="s">
        <v>593</v>
      </c>
    </row>
    <row r="652" spans="1:15" x14ac:dyDescent="0.25">
      <c r="A652" s="77">
        <v>46053</v>
      </c>
      <c r="B652" s="25" t="s">
        <v>451</v>
      </c>
      <c r="C652" s="25" t="s">
        <v>1177</v>
      </c>
      <c r="D652" s="77">
        <v>46076</v>
      </c>
      <c r="E652" s="77">
        <v>46060</v>
      </c>
      <c r="F652" s="77">
        <v>46067</v>
      </c>
      <c r="G652" s="77">
        <v>46073</v>
      </c>
      <c r="H652" s="77">
        <v>46061</v>
      </c>
      <c r="I652" s="77">
        <v>46068</v>
      </c>
      <c r="J652" s="77">
        <v>46083</v>
      </c>
      <c r="K652" s="25">
        <v>30</v>
      </c>
      <c r="L652" s="81">
        <v>13.39</v>
      </c>
      <c r="M652" s="81">
        <v>12.71</v>
      </c>
      <c r="N652" s="25">
        <v>0.67999999999999972</v>
      </c>
      <c r="O652" s="25" t="s">
        <v>593</v>
      </c>
    </row>
    <row r="653" spans="1:15" x14ac:dyDescent="0.25">
      <c r="A653" s="77">
        <v>46053</v>
      </c>
      <c r="B653" s="25" t="s">
        <v>452</v>
      </c>
      <c r="C653" s="25" t="s">
        <v>1178</v>
      </c>
      <c r="D653" s="77">
        <v>46076</v>
      </c>
      <c r="E653" s="77">
        <v>46060</v>
      </c>
      <c r="F653" s="77">
        <v>46067</v>
      </c>
      <c r="G653" s="77">
        <v>46073</v>
      </c>
      <c r="H653" s="77">
        <v>46061</v>
      </c>
      <c r="I653" s="77">
        <v>46068</v>
      </c>
      <c r="J653" s="77">
        <v>46083</v>
      </c>
      <c r="K653" s="25">
        <v>30</v>
      </c>
      <c r="L653" s="81">
        <v>13.65</v>
      </c>
      <c r="M653" s="81">
        <v>12.54</v>
      </c>
      <c r="N653" s="25">
        <v>1.1100000000000012</v>
      </c>
      <c r="O653" s="25" t="s">
        <v>593</v>
      </c>
    </row>
    <row r="654" spans="1:15" x14ac:dyDescent="0.25">
      <c r="A654" s="77">
        <v>46053</v>
      </c>
      <c r="B654" s="25" t="s">
        <v>453</v>
      </c>
      <c r="C654" s="25" t="s">
        <v>1179</v>
      </c>
      <c r="D654" s="77">
        <v>46076</v>
      </c>
      <c r="E654" s="77">
        <v>46060</v>
      </c>
      <c r="F654" s="77">
        <v>46067</v>
      </c>
      <c r="G654" s="77">
        <v>46073</v>
      </c>
      <c r="H654" s="77">
        <v>46061</v>
      </c>
      <c r="I654" s="77">
        <v>46068</v>
      </c>
      <c r="J654" s="77">
        <v>46083</v>
      </c>
      <c r="K654" s="25">
        <v>30</v>
      </c>
      <c r="L654" s="81">
        <v>12.43</v>
      </c>
      <c r="M654" s="81">
        <v>11.28</v>
      </c>
      <c r="N654" s="25">
        <v>1.1500000000000004</v>
      </c>
      <c r="O654" s="25" t="s">
        <v>593</v>
      </c>
    </row>
    <row r="655" spans="1:15" x14ac:dyDescent="0.25">
      <c r="A655" s="77">
        <v>46053</v>
      </c>
      <c r="B655" s="25" t="s">
        <v>454</v>
      </c>
      <c r="C655" s="25" t="s">
        <v>1180</v>
      </c>
      <c r="D655" s="77">
        <v>46076</v>
      </c>
      <c r="E655" s="77">
        <v>46060</v>
      </c>
      <c r="F655" s="77">
        <v>46067</v>
      </c>
      <c r="G655" s="77">
        <v>46073</v>
      </c>
      <c r="H655" s="77">
        <v>46061</v>
      </c>
      <c r="I655" s="77">
        <v>46068</v>
      </c>
      <c r="J655" s="77">
        <v>46083</v>
      </c>
      <c r="K655" s="25">
        <v>30</v>
      </c>
      <c r="L655" s="81">
        <v>13.86</v>
      </c>
      <c r="M655" s="81">
        <v>12.41</v>
      </c>
      <c r="N655" s="25">
        <v>1.4499999999999993</v>
      </c>
      <c r="O655" s="25" t="s">
        <v>593</v>
      </c>
    </row>
    <row r="656" spans="1:15" x14ac:dyDescent="0.25">
      <c r="A656" s="77">
        <v>46053</v>
      </c>
      <c r="B656" s="25" t="s">
        <v>455</v>
      </c>
      <c r="C656" s="25" t="s">
        <v>1181</v>
      </c>
      <c r="D656" s="77">
        <v>46076</v>
      </c>
      <c r="E656" s="77">
        <v>46060</v>
      </c>
      <c r="F656" s="77">
        <v>46067</v>
      </c>
      <c r="G656" s="77">
        <v>46073</v>
      </c>
      <c r="H656" s="77">
        <v>46061</v>
      </c>
      <c r="I656" s="77">
        <v>46068</v>
      </c>
      <c r="J656" s="77">
        <v>46083</v>
      </c>
      <c r="K656" s="25">
        <v>30</v>
      </c>
      <c r="L656" s="81">
        <v>13.71</v>
      </c>
      <c r="M656" s="81">
        <v>12.34</v>
      </c>
      <c r="N656" s="25">
        <v>1.370000000000001</v>
      </c>
      <c r="O656" s="25" t="s">
        <v>593</v>
      </c>
    </row>
    <row r="657" spans="1:15" x14ac:dyDescent="0.25">
      <c r="A657" s="77">
        <v>46053</v>
      </c>
      <c r="B657" s="25" t="s">
        <v>456</v>
      </c>
      <c r="C657" s="25" t="s">
        <v>1182</v>
      </c>
      <c r="D657" s="77">
        <v>46076</v>
      </c>
      <c r="E657" s="77">
        <v>46060</v>
      </c>
      <c r="F657" s="77">
        <v>46067</v>
      </c>
      <c r="G657" s="77">
        <v>46073</v>
      </c>
      <c r="H657" s="77">
        <v>46061</v>
      </c>
      <c r="I657" s="77">
        <v>46068</v>
      </c>
      <c r="J657" s="77">
        <v>46082</v>
      </c>
      <c r="K657" s="25">
        <v>29</v>
      </c>
      <c r="L657" s="81">
        <v>13.54</v>
      </c>
      <c r="M657" s="81">
        <v>12.68</v>
      </c>
      <c r="N657" s="25">
        <v>0.85999999999999943</v>
      </c>
      <c r="O657" s="25" t="s">
        <v>593</v>
      </c>
    </row>
    <row r="658" spans="1:15" x14ac:dyDescent="0.25">
      <c r="A658" s="77">
        <v>46053</v>
      </c>
      <c r="B658" s="25" t="s">
        <v>457</v>
      </c>
      <c r="C658" s="25" t="s">
        <v>1183</v>
      </c>
      <c r="D658" s="77">
        <v>46076</v>
      </c>
      <c r="E658" s="77">
        <v>46060</v>
      </c>
      <c r="F658" s="77">
        <v>46067</v>
      </c>
      <c r="G658" s="77">
        <v>46073</v>
      </c>
      <c r="H658" s="77">
        <v>46061</v>
      </c>
      <c r="I658" s="77">
        <v>46068</v>
      </c>
      <c r="J658" s="77">
        <v>46082</v>
      </c>
      <c r="K658" s="25">
        <v>29</v>
      </c>
      <c r="L658" s="81">
        <v>14.72</v>
      </c>
      <c r="M658" s="81">
        <v>13.24</v>
      </c>
      <c r="N658" s="25">
        <v>1.4800000000000004</v>
      </c>
      <c r="O658" s="25" t="s">
        <v>593</v>
      </c>
    </row>
    <row r="659" spans="1:15" x14ac:dyDescent="0.25">
      <c r="A659" s="77">
        <v>46054</v>
      </c>
      <c r="B659" s="25" t="s">
        <v>414</v>
      </c>
      <c r="C659" s="25" t="s">
        <v>1184</v>
      </c>
      <c r="D659" s="77">
        <v>46077</v>
      </c>
      <c r="E659" s="77">
        <v>46061</v>
      </c>
      <c r="F659" s="77">
        <v>46068</v>
      </c>
      <c r="G659" s="77">
        <v>46074</v>
      </c>
      <c r="H659" s="77">
        <v>46062</v>
      </c>
      <c r="I659" s="77">
        <v>46069</v>
      </c>
      <c r="J659" s="77">
        <v>46084</v>
      </c>
      <c r="K659" s="25">
        <v>30</v>
      </c>
      <c r="L659" s="81">
        <v>12.67</v>
      </c>
      <c r="M659" s="81">
        <v>11.54</v>
      </c>
      <c r="N659" s="25">
        <v>1.1300000000000008</v>
      </c>
      <c r="O659" s="25" t="s">
        <v>593</v>
      </c>
    </row>
    <row r="660" spans="1:15" x14ac:dyDescent="0.25">
      <c r="A660" s="77">
        <v>46054</v>
      </c>
      <c r="B660" s="25" t="s">
        <v>415</v>
      </c>
      <c r="C660" s="25" t="s">
        <v>1185</v>
      </c>
      <c r="D660" s="77">
        <v>46077</v>
      </c>
      <c r="E660" s="77">
        <v>46061</v>
      </c>
      <c r="F660" s="77">
        <v>46068</v>
      </c>
      <c r="G660" s="77">
        <v>46074</v>
      </c>
      <c r="H660" s="77">
        <v>46062</v>
      </c>
      <c r="I660" s="77">
        <v>46069</v>
      </c>
      <c r="J660" s="77">
        <v>46084</v>
      </c>
      <c r="K660" s="25">
        <v>30</v>
      </c>
      <c r="L660" s="81">
        <v>13.46</v>
      </c>
      <c r="M660" s="81">
        <v>12.72</v>
      </c>
      <c r="N660" s="25">
        <v>0.74000000000000021</v>
      </c>
      <c r="O660" s="25" t="s">
        <v>593</v>
      </c>
    </row>
    <row r="661" spans="1:15" x14ac:dyDescent="0.25">
      <c r="A661" s="77">
        <v>46054</v>
      </c>
      <c r="B661" s="25" t="s">
        <v>416</v>
      </c>
      <c r="C661" s="25" t="s">
        <v>1186</v>
      </c>
      <c r="D661" s="77">
        <v>46077</v>
      </c>
      <c r="E661" s="77">
        <v>46061</v>
      </c>
      <c r="F661" s="77">
        <v>46068</v>
      </c>
      <c r="G661" s="77">
        <v>46074</v>
      </c>
      <c r="H661" s="77">
        <v>46062</v>
      </c>
      <c r="I661" s="77">
        <v>46069</v>
      </c>
      <c r="J661" s="77">
        <v>46084</v>
      </c>
      <c r="K661" s="25">
        <v>30</v>
      </c>
      <c r="L661" s="81">
        <v>13.58</v>
      </c>
      <c r="M661" s="81">
        <v>12.16</v>
      </c>
      <c r="N661" s="25">
        <v>1.42</v>
      </c>
      <c r="O661" s="25" t="s">
        <v>593</v>
      </c>
    </row>
    <row r="662" spans="1:15" x14ac:dyDescent="0.25">
      <c r="A662" s="77">
        <v>46054</v>
      </c>
      <c r="B662" s="25" t="s">
        <v>417</v>
      </c>
      <c r="C662" s="25" t="s">
        <v>1187</v>
      </c>
      <c r="D662" s="77">
        <v>46077</v>
      </c>
      <c r="E662" s="77">
        <v>46061</v>
      </c>
      <c r="F662" s="77">
        <v>46068</v>
      </c>
      <c r="G662" s="77">
        <v>46074</v>
      </c>
      <c r="H662" s="77">
        <v>46062</v>
      </c>
      <c r="I662" s="77">
        <v>46069</v>
      </c>
      <c r="J662" s="77">
        <v>46083</v>
      </c>
      <c r="K662" s="25">
        <v>29</v>
      </c>
      <c r="L662" s="81">
        <v>13.72</v>
      </c>
      <c r="M662" s="81">
        <v>12.63</v>
      </c>
      <c r="N662" s="25">
        <v>1.0899999999999999</v>
      </c>
      <c r="O662" s="25" t="s">
        <v>593</v>
      </c>
    </row>
    <row r="663" spans="1:15" x14ac:dyDescent="0.25">
      <c r="A663" s="77">
        <v>46054</v>
      </c>
      <c r="B663" s="25" t="s">
        <v>418</v>
      </c>
      <c r="C663" s="25" t="s">
        <v>1188</v>
      </c>
      <c r="D663" s="77">
        <v>46077</v>
      </c>
      <c r="E663" s="77">
        <v>46061</v>
      </c>
      <c r="F663" s="77">
        <v>46068</v>
      </c>
      <c r="G663" s="77">
        <v>46074</v>
      </c>
      <c r="H663" s="77">
        <v>46062</v>
      </c>
      <c r="I663" s="77">
        <v>46069</v>
      </c>
      <c r="J663" s="77">
        <v>46083</v>
      </c>
      <c r="K663" s="25">
        <v>29</v>
      </c>
      <c r="L663" s="81">
        <v>14.19</v>
      </c>
      <c r="M663" s="81">
        <v>13.16</v>
      </c>
      <c r="N663" s="25">
        <v>1.0299999999999994</v>
      </c>
      <c r="O663" s="25" t="s">
        <v>593</v>
      </c>
    </row>
    <row r="664" spans="1:15" x14ac:dyDescent="0.25">
      <c r="A664" s="77">
        <v>46054</v>
      </c>
      <c r="B664" s="25" t="s">
        <v>419</v>
      </c>
      <c r="C664" s="25" t="s">
        <v>1189</v>
      </c>
      <c r="D664" s="77">
        <v>46077</v>
      </c>
      <c r="E664" s="77">
        <v>46061</v>
      </c>
      <c r="F664" s="77">
        <v>46068</v>
      </c>
      <c r="G664" s="77">
        <v>46074</v>
      </c>
      <c r="H664" s="77">
        <v>46062</v>
      </c>
      <c r="I664" s="77">
        <v>46069</v>
      </c>
      <c r="J664" s="77">
        <v>46084</v>
      </c>
      <c r="K664" s="25">
        <v>30</v>
      </c>
      <c r="L664" s="81">
        <v>12.81</v>
      </c>
      <c r="M664" s="81">
        <v>11.27</v>
      </c>
      <c r="N664" s="25">
        <v>1.5400000000000009</v>
      </c>
      <c r="O664" s="25" t="s">
        <v>593</v>
      </c>
    </row>
    <row r="665" spans="1:15" x14ac:dyDescent="0.25">
      <c r="A665" s="77">
        <v>46054</v>
      </c>
      <c r="B665" s="25" t="s">
        <v>420</v>
      </c>
      <c r="C665" s="25" t="s">
        <v>1190</v>
      </c>
      <c r="D665" s="77">
        <v>46077</v>
      </c>
      <c r="E665" s="77">
        <v>46061</v>
      </c>
      <c r="F665" s="77">
        <v>46068</v>
      </c>
      <c r="G665" s="77">
        <v>46074</v>
      </c>
      <c r="H665" s="77">
        <v>46062</v>
      </c>
      <c r="I665" s="77">
        <v>46069</v>
      </c>
      <c r="J665" s="77">
        <v>46083</v>
      </c>
      <c r="K665" s="25">
        <v>29</v>
      </c>
      <c r="L665" s="81">
        <v>12.58</v>
      </c>
      <c r="M665" s="81">
        <v>11.83</v>
      </c>
      <c r="N665" s="25">
        <v>0.75</v>
      </c>
      <c r="O665" s="25" t="s">
        <v>593</v>
      </c>
    </row>
    <row r="666" spans="1:15" x14ac:dyDescent="0.25">
      <c r="A666" s="77">
        <v>46055</v>
      </c>
      <c r="B666" s="25" t="s">
        <v>444</v>
      </c>
      <c r="C666" s="25" t="s">
        <v>1200</v>
      </c>
      <c r="D666" s="77">
        <f t="shared" ref="D666:D713" si="258">A666+23</f>
        <v>46078</v>
      </c>
      <c r="E666" s="77">
        <f t="shared" ref="E666:E713" si="259">A666+7</f>
        <v>46062</v>
      </c>
      <c r="F666" s="77">
        <f t="shared" ref="F666:F713" si="260">A666+14</f>
        <v>46069</v>
      </c>
      <c r="G666" s="77">
        <f t="shared" ref="G666:G713" si="261">A666+20</f>
        <v>46075</v>
      </c>
      <c r="H666" s="77">
        <f t="shared" ref="H666:H713" si="262">A666+8</f>
        <v>46063</v>
      </c>
      <c r="I666" s="77">
        <f t="shared" ref="I666:I713" si="263">A666+15</f>
        <v>46070</v>
      </c>
      <c r="J666" s="77">
        <v>46085</v>
      </c>
      <c r="K666" s="25">
        <f t="shared" ref="K666:K673" si="264">J666-A666</f>
        <v>30</v>
      </c>
      <c r="L666" s="81">
        <v>13.82</v>
      </c>
      <c r="M666" s="81">
        <v>12.93</v>
      </c>
      <c r="N666" s="25">
        <f t="shared" ref="N666:N678" si="265">L666-M666</f>
        <v>0.89000000000000057</v>
      </c>
      <c r="O666" s="25" t="s">
        <v>593</v>
      </c>
    </row>
    <row r="667" spans="1:15" x14ac:dyDescent="0.25">
      <c r="A667" s="77">
        <v>46055</v>
      </c>
      <c r="B667" s="25" t="s">
        <v>445</v>
      </c>
      <c r="C667" s="25" t="s">
        <v>1201</v>
      </c>
      <c r="D667" s="77">
        <f t="shared" si="258"/>
        <v>46078</v>
      </c>
      <c r="E667" s="77">
        <f t="shared" si="259"/>
        <v>46062</v>
      </c>
      <c r="F667" s="77">
        <f t="shared" si="260"/>
        <v>46069</v>
      </c>
      <c r="G667" s="77">
        <f t="shared" si="261"/>
        <v>46075</v>
      </c>
      <c r="H667" s="77">
        <f t="shared" si="262"/>
        <v>46063</v>
      </c>
      <c r="I667" s="77">
        <f t="shared" si="263"/>
        <v>46070</v>
      </c>
      <c r="J667" s="77">
        <v>46085</v>
      </c>
      <c r="K667" s="25">
        <f t="shared" si="264"/>
        <v>30</v>
      </c>
      <c r="L667" s="81">
        <v>14.55</v>
      </c>
      <c r="M667" s="81">
        <v>13.78</v>
      </c>
      <c r="N667" s="25">
        <f t="shared" si="265"/>
        <v>0.77000000000000135</v>
      </c>
      <c r="O667" s="25" t="s">
        <v>593</v>
      </c>
    </row>
    <row r="668" spans="1:15" x14ac:dyDescent="0.25">
      <c r="A668" s="77">
        <v>46055</v>
      </c>
      <c r="B668" s="25" t="s">
        <v>446</v>
      </c>
      <c r="C668" s="25" t="s">
        <v>1202</v>
      </c>
      <c r="D668" s="77">
        <f t="shared" si="258"/>
        <v>46078</v>
      </c>
      <c r="E668" s="77">
        <f t="shared" si="259"/>
        <v>46062</v>
      </c>
      <c r="F668" s="77">
        <f t="shared" si="260"/>
        <v>46069</v>
      </c>
      <c r="G668" s="77">
        <f t="shared" si="261"/>
        <v>46075</v>
      </c>
      <c r="H668" s="77">
        <f t="shared" si="262"/>
        <v>46063</v>
      </c>
      <c r="I668" s="77">
        <f t="shared" si="263"/>
        <v>46070</v>
      </c>
      <c r="J668" s="77">
        <v>46085</v>
      </c>
      <c r="K668" s="25">
        <f t="shared" si="264"/>
        <v>30</v>
      </c>
      <c r="L668" s="81">
        <v>14.1</v>
      </c>
      <c r="M668" s="81">
        <v>13.23</v>
      </c>
      <c r="N668" s="25">
        <f t="shared" si="265"/>
        <v>0.86999999999999922</v>
      </c>
      <c r="O668" s="25" t="s">
        <v>593</v>
      </c>
    </row>
    <row r="669" spans="1:15" x14ac:dyDescent="0.25">
      <c r="A669" s="77">
        <v>46055</v>
      </c>
      <c r="B669" s="25" t="s">
        <v>447</v>
      </c>
      <c r="C669" s="25" t="s">
        <v>1203</v>
      </c>
      <c r="D669" s="77">
        <f t="shared" si="258"/>
        <v>46078</v>
      </c>
      <c r="E669" s="77">
        <f t="shared" si="259"/>
        <v>46062</v>
      </c>
      <c r="F669" s="77">
        <f t="shared" si="260"/>
        <v>46069</v>
      </c>
      <c r="G669" s="77">
        <f t="shared" si="261"/>
        <v>46075</v>
      </c>
      <c r="H669" s="77">
        <f t="shared" si="262"/>
        <v>46063</v>
      </c>
      <c r="I669" s="77">
        <f t="shared" si="263"/>
        <v>46070</v>
      </c>
      <c r="J669" s="77">
        <v>46085</v>
      </c>
      <c r="K669" s="25">
        <f t="shared" si="264"/>
        <v>30</v>
      </c>
      <c r="L669" s="81">
        <v>14.23</v>
      </c>
      <c r="M669" s="81">
        <v>13.58</v>
      </c>
      <c r="N669" s="25">
        <f t="shared" si="265"/>
        <v>0.65000000000000036</v>
      </c>
      <c r="O669" s="25" t="s">
        <v>593</v>
      </c>
    </row>
    <row r="670" spans="1:15" x14ac:dyDescent="0.25">
      <c r="A670" s="77">
        <v>46055</v>
      </c>
      <c r="B670" s="25" t="s">
        <v>448</v>
      </c>
      <c r="C670" s="25" t="s">
        <v>1204</v>
      </c>
      <c r="D670" s="77">
        <f t="shared" si="258"/>
        <v>46078</v>
      </c>
      <c r="E670" s="77">
        <f t="shared" si="259"/>
        <v>46062</v>
      </c>
      <c r="F670" s="77">
        <f t="shared" si="260"/>
        <v>46069</v>
      </c>
      <c r="G670" s="77">
        <f t="shared" si="261"/>
        <v>46075</v>
      </c>
      <c r="H670" s="77">
        <f t="shared" si="262"/>
        <v>46063</v>
      </c>
      <c r="I670" s="77">
        <f t="shared" si="263"/>
        <v>46070</v>
      </c>
      <c r="J670" s="77">
        <v>46085</v>
      </c>
      <c r="K670" s="25">
        <f t="shared" si="264"/>
        <v>30</v>
      </c>
      <c r="L670" s="81">
        <v>15.32</v>
      </c>
      <c r="M670" s="81">
        <v>14.1</v>
      </c>
      <c r="N670" s="25">
        <f t="shared" si="265"/>
        <v>1.2200000000000006</v>
      </c>
      <c r="O670" s="25" t="s">
        <v>593</v>
      </c>
    </row>
    <row r="671" spans="1:15" x14ac:dyDescent="0.25">
      <c r="A671" s="77">
        <v>46055</v>
      </c>
      <c r="B671" s="25" t="s">
        <v>449</v>
      </c>
      <c r="C671" s="25" t="s">
        <v>1205</v>
      </c>
      <c r="D671" s="77">
        <f t="shared" si="258"/>
        <v>46078</v>
      </c>
      <c r="E671" s="77">
        <f t="shared" si="259"/>
        <v>46062</v>
      </c>
      <c r="F671" s="77">
        <f t="shared" si="260"/>
        <v>46069</v>
      </c>
      <c r="G671" s="77">
        <f t="shared" si="261"/>
        <v>46075</v>
      </c>
      <c r="H671" s="77">
        <f t="shared" si="262"/>
        <v>46063</v>
      </c>
      <c r="I671" s="77">
        <f t="shared" si="263"/>
        <v>46070</v>
      </c>
      <c r="J671" s="77">
        <v>46085</v>
      </c>
      <c r="K671" s="25">
        <f t="shared" si="264"/>
        <v>30</v>
      </c>
      <c r="L671" s="81">
        <v>13.26</v>
      </c>
      <c r="M671" s="81">
        <v>12.54</v>
      </c>
      <c r="N671" s="25">
        <f t="shared" si="265"/>
        <v>0.72000000000000064</v>
      </c>
      <c r="O671" s="25" t="s">
        <v>593</v>
      </c>
    </row>
    <row r="672" spans="1:15" x14ac:dyDescent="0.25">
      <c r="A672" s="77">
        <v>46055</v>
      </c>
      <c r="B672" s="25" t="s">
        <v>450</v>
      </c>
      <c r="C672" s="25" t="s">
        <v>1206</v>
      </c>
      <c r="D672" s="77">
        <f t="shared" si="258"/>
        <v>46078</v>
      </c>
      <c r="E672" s="77">
        <f t="shared" si="259"/>
        <v>46062</v>
      </c>
      <c r="F672" s="77">
        <f t="shared" si="260"/>
        <v>46069</v>
      </c>
      <c r="G672" s="77">
        <f t="shared" si="261"/>
        <v>46075</v>
      </c>
      <c r="H672" s="77">
        <f t="shared" si="262"/>
        <v>46063</v>
      </c>
      <c r="I672" s="77">
        <f t="shared" si="263"/>
        <v>46070</v>
      </c>
      <c r="J672" s="77">
        <v>46085</v>
      </c>
      <c r="K672" s="25">
        <f t="shared" si="264"/>
        <v>30</v>
      </c>
      <c r="L672" s="81">
        <v>15.41</v>
      </c>
      <c r="M672" s="81">
        <v>14.76</v>
      </c>
      <c r="N672" s="25">
        <f t="shared" si="265"/>
        <v>0.65000000000000036</v>
      </c>
      <c r="O672" s="25" t="s">
        <v>593</v>
      </c>
    </row>
    <row r="673" spans="1:15" x14ac:dyDescent="0.25">
      <c r="A673" s="77">
        <v>46056</v>
      </c>
      <c r="B673" s="25" t="s">
        <v>412</v>
      </c>
      <c r="C673" s="25" t="s">
        <v>1207</v>
      </c>
      <c r="D673" s="77">
        <f t="shared" si="258"/>
        <v>46079</v>
      </c>
      <c r="E673" s="77">
        <f t="shared" si="259"/>
        <v>46063</v>
      </c>
      <c r="F673" s="77">
        <f t="shared" si="260"/>
        <v>46070</v>
      </c>
      <c r="G673" s="77">
        <f t="shared" si="261"/>
        <v>46076</v>
      </c>
      <c r="H673" s="77">
        <f t="shared" si="262"/>
        <v>46064</v>
      </c>
      <c r="I673" s="77">
        <f t="shared" si="263"/>
        <v>46071</v>
      </c>
      <c r="J673" s="77">
        <v>46086</v>
      </c>
      <c r="K673" s="25">
        <f t="shared" si="264"/>
        <v>30</v>
      </c>
      <c r="L673" s="81">
        <v>14.52</v>
      </c>
      <c r="M673" s="81">
        <v>13.67</v>
      </c>
      <c r="N673" s="25">
        <f t="shared" si="265"/>
        <v>0.84999999999999964</v>
      </c>
      <c r="O673" s="25" t="s">
        <v>593</v>
      </c>
    </row>
    <row r="674" spans="1:15" x14ac:dyDescent="0.25">
      <c r="A674" s="77">
        <v>46056</v>
      </c>
      <c r="B674" s="25" t="s">
        <v>413</v>
      </c>
      <c r="C674" s="25" t="s">
        <v>1208</v>
      </c>
      <c r="D674" s="77">
        <f t="shared" si="258"/>
        <v>46079</v>
      </c>
      <c r="E674" s="77">
        <f t="shared" si="259"/>
        <v>46063</v>
      </c>
      <c r="F674" s="77">
        <f t="shared" si="260"/>
        <v>46070</v>
      </c>
      <c r="G674" s="77">
        <f t="shared" si="261"/>
        <v>46076</v>
      </c>
      <c r="H674" s="77">
        <f t="shared" si="262"/>
        <v>46064</v>
      </c>
      <c r="I674" s="77">
        <f t="shared" si="263"/>
        <v>46071</v>
      </c>
      <c r="J674" s="77">
        <v>46086</v>
      </c>
      <c r="K674" s="25">
        <f>J674-A674</f>
        <v>30</v>
      </c>
      <c r="L674" s="81">
        <v>15.31</v>
      </c>
      <c r="M674" s="81">
        <v>14.28</v>
      </c>
      <c r="N674" s="25">
        <f t="shared" si="265"/>
        <v>1.0300000000000011</v>
      </c>
      <c r="O674" s="25" t="s">
        <v>593</v>
      </c>
    </row>
    <row r="675" spans="1:15" x14ac:dyDescent="0.25">
      <c r="A675" s="77">
        <v>46056</v>
      </c>
      <c r="B675" s="25" t="s">
        <v>442</v>
      </c>
      <c r="C675" s="25" t="s">
        <v>1209</v>
      </c>
      <c r="D675" s="77">
        <f t="shared" si="258"/>
        <v>46079</v>
      </c>
      <c r="E675" s="77">
        <f t="shared" si="259"/>
        <v>46063</v>
      </c>
      <c r="F675" s="77">
        <f t="shared" si="260"/>
        <v>46070</v>
      </c>
      <c r="G675" s="77">
        <f t="shared" si="261"/>
        <v>46076</v>
      </c>
      <c r="H675" s="77">
        <f t="shared" si="262"/>
        <v>46064</v>
      </c>
      <c r="I675" s="77">
        <f t="shared" si="263"/>
        <v>46071</v>
      </c>
      <c r="J675" s="77">
        <v>46086</v>
      </c>
      <c r="K675" s="25">
        <f>J675-A675</f>
        <v>30</v>
      </c>
      <c r="L675" s="81">
        <v>15.63</v>
      </c>
      <c r="M675" s="81">
        <v>14.21</v>
      </c>
      <c r="N675" s="25">
        <f t="shared" si="265"/>
        <v>1.42</v>
      </c>
      <c r="O675" s="25" t="s">
        <v>593</v>
      </c>
    </row>
    <row r="676" spans="1:15" x14ac:dyDescent="0.25">
      <c r="A676" s="77">
        <v>46056</v>
      </c>
      <c r="B676" s="25" t="s">
        <v>443</v>
      </c>
      <c r="C676" s="25" t="s">
        <v>1210</v>
      </c>
      <c r="D676" s="77">
        <f t="shared" si="258"/>
        <v>46079</v>
      </c>
      <c r="E676" s="77">
        <f t="shared" si="259"/>
        <v>46063</v>
      </c>
      <c r="F676" s="77">
        <f t="shared" si="260"/>
        <v>46070</v>
      </c>
      <c r="G676" s="77">
        <f t="shared" si="261"/>
        <v>46076</v>
      </c>
      <c r="H676" s="77">
        <f t="shared" si="262"/>
        <v>46064</v>
      </c>
      <c r="I676" s="77">
        <f t="shared" si="263"/>
        <v>46071</v>
      </c>
      <c r="J676" s="77">
        <v>46086</v>
      </c>
      <c r="K676" s="25">
        <f>J676-A676</f>
        <v>30</v>
      </c>
      <c r="L676" s="81">
        <v>14.87</v>
      </c>
      <c r="M676" s="81">
        <v>13.98</v>
      </c>
      <c r="N676" s="25">
        <f t="shared" si="265"/>
        <v>0.88999999999999879</v>
      </c>
      <c r="O676" s="25" t="s">
        <v>593</v>
      </c>
    </row>
    <row r="677" spans="1:15" x14ac:dyDescent="0.25">
      <c r="A677" s="77">
        <v>46056</v>
      </c>
      <c r="B677" s="25" t="s">
        <v>1145</v>
      </c>
      <c r="C677" s="25" t="s">
        <v>1211</v>
      </c>
      <c r="D677" s="77">
        <f t="shared" si="258"/>
        <v>46079</v>
      </c>
      <c r="E677" s="77">
        <f t="shared" si="259"/>
        <v>46063</v>
      </c>
      <c r="F677" s="77">
        <f t="shared" si="260"/>
        <v>46070</v>
      </c>
      <c r="G677" s="77">
        <f t="shared" si="261"/>
        <v>46076</v>
      </c>
      <c r="H677" s="77">
        <f t="shared" si="262"/>
        <v>46064</v>
      </c>
      <c r="I677" s="77">
        <f t="shared" si="263"/>
        <v>46071</v>
      </c>
      <c r="J677" s="77">
        <v>46086</v>
      </c>
      <c r="K677" s="25">
        <f>J677-A677</f>
        <v>30</v>
      </c>
      <c r="L677" s="81">
        <v>15.74</v>
      </c>
      <c r="M677" s="81">
        <v>14.91</v>
      </c>
      <c r="N677" s="25">
        <f t="shared" si="265"/>
        <v>0.83000000000000007</v>
      </c>
      <c r="O677" s="25" t="s">
        <v>593</v>
      </c>
    </row>
    <row r="678" spans="1:15" x14ac:dyDescent="0.25">
      <c r="A678" s="77">
        <v>46056</v>
      </c>
      <c r="B678" s="25" t="s">
        <v>1146</v>
      </c>
      <c r="C678" s="25" t="s">
        <v>1212</v>
      </c>
      <c r="D678" s="77">
        <f t="shared" si="258"/>
        <v>46079</v>
      </c>
      <c r="E678" s="77">
        <f t="shared" si="259"/>
        <v>46063</v>
      </c>
      <c r="F678" s="77">
        <f t="shared" si="260"/>
        <v>46070</v>
      </c>
      <c r="G678" s="77">
        <f t="shared" si="261"/>
        <v>46076</v>
      </c>
      <c r="H678" s="77">
        <f t="shared" si="262"/>
        <v>46064</v>
      </c>
      <c r="I678" s="77">
        <f t="shared" si="263"/>
        <v>46071</v>
      </c>
      <c r="J678" s="77">
        <v>46086</v>
      </c>
      <c r="K678" s="25">
        <f>J678-A678</f>
        <v>30</v>
      </c>
      <c r="L678" s="81">
        <v>14.29</v>
      </c>
      <c r="M678" s="81">
        <v>13.34</v>
      </c>
      <c r="N678" s="25">
        <f t="shared" si="265"/>
        <v>0.94999999999999929</v>
      </c>
      <c r="O678" s="25" t="s">
        <v>593</v>
      </c>
    </row>
    <row r="679" spans="1:15" x14ac:dyDescent="0.25">
      <c r="A679" s="77">
        <v>46056</v>
      </c>
      <c r="B679" s="25" t="s">
        <v>474</v>
      </c>
      <c r="C679" s="25" t="s">
        <v>1213</v>
      </c>
      <c r="D679" s="77">
        <f t="shared" si="258"/>
        <v>46079</v>
      </c>
      <c r="E679" s="77">
        <f t="shared" si="259"/>
        <v>46063</v>
      </c>
      <c r="F679" s="77">
        <f t="shared" si="260"/>
        <v>46070</v>
      </c>
      <c r="G679" s="77">
        <f t="shared" si="261"/>
        <v>46076</v>
      </c>
      <c r="H679" s="77">
        <f t="shared" si="262"/>
        <v>46064</v>
      </c>
      <c r="I679" s="77">
        <f t="shared" si="263"/>
        <v>46071</v>
      </c>
      <c r="J679" s="77">
        <v>46085</v>
      </c>
      <c r="K679" s="25">
        <f t="shared" ref="K679:K686" si="266">J679-A679</f>
        <v>29</v>
      </c>
      <c r="L679" s="81">
        <v>15.29</v>
      </c>
      <c r="M679" s="81">
        <v>14.51</v>
      </c>
      <c r="N679" s="25">
        <f t="shared" ref="N679:N686" si="267">L679-M679</f>
        <v>0.77999999999999936</v>
      </c>
      <c r="O679" s="25" t="s">
        <v>593</v>
      </c>
    </row>
    <row r="680" spans="1:15" x14ac:dyDescent="0.25">
      <c r="A680" s="77">
        <v>46056</v>
      </c>
      <c r="B680" s="25" t="s">
        <v>475</v>
      </c>
      <c r="C680" s="25" t="s">
        <v>1214</v>
      </c>
      <c r="D680" s="77">
        <f t="shared" si="258"/>
        <v>46079</v>
      </c>
      <c r="E680" s="77">
        <f t="shared" si="259"/>
        <v>46063</v>
      </c>
      <c r="F680" s="77">
        <f t="shared" si="260"/>
        <v>46070</v>
      </c>
      <c r="G680" s="77">
        <f t="shared" si="261"/>
        <v>46076</v>
      </c>
      <c r="H680" s="77">
        <f t="shared" si="262"/>
        <v>46064</v>
      </c>
      <c r="I680" s="77">
        <f t="shared" si="263"/>
        <v>46071</v>
      </c>
      <c r="J680" s="77">
        <v>46085</v>
      </c>
      <c r="K680" s="25">
        <f t="shared" si="266"/>
        <v>29</v>
      </c>
      <c r="L680" s="81">
        <v>14.64</v>
      </c>
      <c r="M680" s="81">
        <v>13.81</v>
      </c>
      <c r="N680" s="25">
        <f t="shared" si="267"/>
        <v>0.83000000000000007</v>
      </c>
      <c r="O680" s="25" t="s">
        <v>593</v>
      </c>
    </row>
    <row r="681" spans="1:15" x14ac:dyDescent="0.25">
      <c r="A681" s="77">
        <v>46057</v>
      </c>
      <c r="B681" s="25" t="s">
        <v>476</v>
      </c>
      <c r="C681" s="25" t="s">
        <v>1215</v>
      </c>
      <c r="D681" s="77">
        <f t="shared" si="258"/>
        <v>46080</v>
      </c>
      <c r="E681" s="77">
        <f t="shared" si="259"/>
        <v>46064</v>
      </c>
      <c r="F681" s="77">
        <f t="shared" si="260"/>
        <v>46071</v>
      </c>
      <c r="G681" s="77">
        <f t="shared" si="261"/>
        <v>46077</v>
      </c>
      <c r="H681" s="77">
        <f t="shared" si="262"/>
        <v>46065</v>
      </c>
      <c r="I681" s="77">
        <f t="shared" si="263"/>
        <v>46072</v>
      </c>
      <c r="J681" s="77">
        <v>46087</v>
      </c>
      <c r="K681" s="25">
        <f t="shared" si="266"/>
        <v>30</v>
      </c>
      <c r="L681" s="81">
        <v>16.62</v>
      </c>
      <c r="M681" s="81">
        <v>15.51</v>
      </c>
      <c r="N681" s="25">
        <f t="shared" si="267"/>
        <v>1.1100000000000012</v>
      </c>
      <c r="O681" s="25" t="s">
        <v>593</v>
      </c>
    </row>
    <row r="682" spans="1:15" x14ac:dyDescent="0.25">
      <c r="A682" s="77">
        <v>46057</v>
      </c>
      <c r="B682" s="25" t="s">
        <v>477</v>
      </c>
      <c r="C682" s="25" t="s">
        <v>1216</v>
      </c>
      <c r="D682" s="77">
        <f t="shared" si="258"/>
        <v>46080</v>
      </c>
      <c r="E682" s="77">
        <f t="shared" si="259"/>
        <v>46064</v>
      </c>
      <c r="F682" s="77">
        <f t="shared" si="260"/>
        <v>46071</v>
      </c>
      <c r="G682" s="77">
        <f t="shared" si="261"/>
        <v>46077</v>
      </c>
      <c r="H682" s="77">
        <f t="shared" si="262"/>
        <v>46065</v>
      </c>
      <c r="I682" s="77">
        <f t="shared" si="263"/>
        <v>46072</v>
      </c>
      <c r="J682" s="77">
        <v>46087</v>
      </c>
      <c r="K682" s="25">
        <f t="shared" si="266"/>
        <v>30</v>
      </c>
      <c r="L682" s="81">
        <v>15.87</v>
      </c>
      <c r="M682" s="81">
        <v>14.73</v>
      </c>
      <c r="N682" s="25">
        <f t="shared" si="267"/>
        <v>1.1399999999999988</v>
      </c>
      <c r="O682" s="25" t="s">
        <v>593</v>
      </c>
    </row>
    <row r="683" spans="1:15" x14ac:dyDescent="0.25">
      <c r="A683" s="77">
        <v>46057</v>
      </c>
      <c r="B683" s="25" t="s">
        <v>478</v>
      </c>
      <c r="C683" s="25" t="s">
        <v>1217</v>
      </c>
      <c r="D683" s="77">
        <f t="shared" si="258"/>
        <v>46080</v>
      </c>
      <c r="E683" s="77">
        <f t="shared" si="259"/>
        <v>46064</v>
      </c>
      <c r="F683" s="77">
        <f t="shared" si="260"/>
        <v>46071</v>
      </c>
      <c r="G683" s="77">
        <f t="shared" si="261"/>
        <v>46077</v>
      </c>
      <c r="H683" s="77">
        <f t="shared" si="262"/>
        <v>46065</v>
      </c>
      <c r="I683" s="77">
        <f t="shared" si="263"/>
        <v>46072</v>
      </c>
      <c r="J683" s="77">
        <v>46087</v>
      </c>
      <c r="K683" s="25">
        <f t="shared" si="266"/>
        <v>30</v>
      </c>
      <c r="L683" s="81">
        <v>14.66</v>
      </c>
      <c r="M683" s="81">
        <v>13.58</v>
      </c>
      <c r="N683" s="25">
        <f t="shared" si="267"/>
        <v>1.08</v>
      </c>
      <c r="O683" s="25" t="s">
        <v>593</v>
      </c>
    </row>
    <row r="684" spans="1:15" x14ac:dyDescent="0.25">
      <c r="A684" s="77">
        <v>46057</v>
      </c>
      <c r="B684" s="25" t="s">
        <v>479</v>
      </c>
      <c r="C684" s="25" t="s">
        <v>1218</v>
      </c>
      <c r="D684" s="77">
        <f t="shared" si="258"/>
        <v>46080</v>
      </c>
      <c r="E684" s="77">
        <f t="shared" si="259"/>
        <v>46064</v>
      </c>
      <c r="F684" s="77">
        <f t="shared" si="260"/>
        <v>46071</v>
      </c>
      <c r="G684" s="77">
        <f t="shared" si="261"/>
        <v>46077</v>
      </c>
      <c r="H684" s="77">
        <f t="shared" si="262"/>
        <v>46065</v>
      </c>
      <c r="I684" s="77">
        <f t="shared" si="263"/>
        <v>46072</v>
      </c>
      <c r="J684" s="77">
        <v>46087</v>
      </c>
      <c r="K684" s="25">
        <f t="shared" si="266"/>
        <v>30</v>
      </c>
      <c r="L684" s="81">
        <v>15.9</v>
      </c>
      <c r="M684" s="81">
        <v>14.71</v>
      </c>
      <c r="N684" s="25">
        <f t="shared" si="267"/>
        <v>1.1899999999999995</v>
      </c>
      <c r="O684" s="25" t="s">
        <v>593</v>
      </c>
    </row>
    <row r="685" spans="1:15" x14ac:dyDescent="0.25">
      <c r="A685" s="77">
        <v>46057</v>
      </c>
      <c r="B685" s="25" t="s">
        <v>480</v>
      </c>
      <c r="C685" s="25" t="s">
        <v>1219</v>
      </c>
      <c r="D685" s="77">
        <f t="shared" si="258"/>
        <v>46080</v>
      </c>
      <c r="E685" s="77">
        <f t="shared" si="259"/>
        <v>46064</v>
      </c>
      <c r="F685" s="77">
        <f t="shared" si="260"/>
        <v>46071</v>
      </c>
      <c r="G685" s="77">
        <f t="shared" si="261"/>
        <v>46077</v>
      </c>
      <c r="H685" s="77">
        <f t="shared" si="262"/>
        <v>46065</v>
      </c>
      <c r="I685" s="77">
        <f t="shared" si="263"/>
        <v>46072</v>
      </c>
      <c r="J685" s="77">
        <v>46087</v>
      </c>
      <c r="K685" s="25">
        <f t="shared" si="266"/>
        <v>30</v>
      </c>
      <c r="L685" s="81">
        <v>14.78</v>
      </c>
      <c r="M685" s="81">
        <v>13.63</v>
      </c>
      <c r="N685" s="25">
        <f t="shared" si="267"/>
        <v>1.1499999999999986</v>
      </c>
      <c r="O685" s="25" t="s">
        <v>593</v>
      </c>
    </row>
    <row r="686" spans="1:15" x14ac:dyDescent="0.25">
      <c r="A686" s="77">
        <v>46057</v>
      </c>
      <c r="B686" s="25" t="s">
        <v>481</v>
      </c>
      <c r="C686" s="25" t="s">
        <v>1220</v>
      </c>
      <c r="D686" s="77">
        <f t="shared" si="258"/>
        <v>46080</v>
      </c>
      <c r="E686" s="77">
        <f t="shared" si="259"/>
        <v>46064</v>
      </c>
      <c r="F686" s="77">
        <f t="shared" si="260"/>
        <v>46071</v>
      </c>
      <c r="G686" s="77">
        <f t="shared" si="261"/>
        <v>46077</v>
      </c>
      <c r="H686" s="77">
        <f t="shared" si="262"/>
        <v>46065</v>
      </c>
      <c r="I686" s="77">
        <f t="shared" si="263"/>
        <v>46072</v>
      </c>
      <c r="J686" s="77">
        <v>46087</v>
      </c>
      <c r="K686" s="25">
        <f t="shared" si="266"/>
        <v>30</v>
      </c>
      <c r="L686" s="81">
        <v>15.1</v>
      </c>
      <c r="M686" s="81">
        <v>14.19</v>
      </c>
      <c r="N686" s="25">
        <f t="shared" si="267"/>
        <v>0.91000000000000014</v>
      </c>
      <c r="O686" s="25" t="s">
        <v>593</v>
      </c>
    </row>
    <row r="687" spans="1:15" x14ac:dyDescent="0.25">
      <c r="A687" s="77">
        <v>46057</v>
      </c>
      <c r="B687" s="25" t="s">
        <v>482</v>
      </c>
      <c r="C687" s="25" t="s">
        <v>1221</v>
      </c>
      <c r="D687" s="77">
        <f t="shared" si="258"/>
        <v>46080</v>
      </c>
      <c r="E687" s="77">
        <f t="shared" si="259"/>
        <v>46064</v>
      </c>
      <c r="F687" s="77">
        <f t="shared" si="260"/>
        <v>46071</v>
      </c>
      <c r="G687" s="77">
        <f t="shared" si="261"/>
        <v>46077</v>
      </c>
      <c r="H687" s="77">
        <f t="shared" si="262"/>
        <v>46065</v>
      </c>
      <c r="I687" s="77">
        <f t="shared" si="263"/>
        <v>46072</v>
      </c>
      <c r="J687" s="77">
        <v>46086</v>
      </c>
      <c r="K687" s="25">
        <f t="shared" ref="K687:K713" si="268">J687-A687</f>
        <v>29</v>
      </c>
      <c r="L687" s="81">
        <v>15.16</v>
      </c>
      <c r="M687" s="81">
        <v>14.12</v>
      </c>
      <c r="N687" s="25">
        <f t="shared" ref="N687:N713" si="269">L687-M687</f>
        <v>1.0400000000000009</v>
      </c>
      <c r="O687" s="25" t="s">
        <v>593</v>
      </c>
    </row>
    <row r="688" spans="1:15" x14ac:dyDescent="0.25">
      <c r="A688" s="77">
        <v>46058</v>
      </c>
      <c r="B688" s="25" t="s">
        <v>483</v>
      </c>
      <c r="C688" s="25" t="s">
        <v>1222</v>
      </c>
      <c r="D688" s="77">
        <f t="shared" si="258"/>
        <v>46081</v>
      </c>
      <c r="E688" s="77">
        <f t="shared" si="259"/>
        <v>46065</v>
      </c>
      <c r="F688" s="77">
        <f t="shared" si="260"/>
        <v>46072</v>
      </c>
      <c r="G688" s="77">
        <f t="shared" si="261"/>
        <v>46078</v>
      </c>
      <c r="H688" s="77">
        <f t="shared" si="262"/>
        <v>46066</v>
      </c>
      <c r="I688" s="77">
        <f t="shared" si="263"/>
        <v>46073</v>
      </c>
      <c r="J688" s="77">
        <v>46087</v>
      </c>
      <c r="K688" s="25">
        <f t="shared" si="268"/>
        <v>29</v>
      </c>
      <c r="L688" s="81">
        <v>14.36</v>
      </c>
      <c r="M688" s="81">
        <v>13.24</v>
      </c>
      <c r="N688" s="25">
        <f t="shared" si="269"/>
        <v>1.1199999999999992</v>
      </c>
      <c r="O688" s="25" t="s">
        <v>593</v>
      </c>
    </row>
    <row r="689" spans="1:15" x14ac:dyDescent="0.25">
      <c r="A689" s="77">
        <v>46058</v>
      </c>
      <c r="B689" s="25" t="s">
        <v>484</v>
      </c>
      <c r="C689" s="25" t="s">
        <v>1223</v>
      </c>
      <c r="D689" s="77">
        <f t="shared" si="258"/>
        <v>46081</v>
      </c>
      <c r="E689" s="77">
        <f t="shared" si="259"/>
        <v>46065</v>
      </c>
      <c r="F689" s="77">
        <f t="shared" si="260"/>
        <v>46072</v>
      </c>
      <c r="G689" s="77">
        <f t="shared" si="261"/>
        <v>46078</v>
      </c>
      <c r="H689" s="77">
        <f t="shared" si="262"/>
        <v>46066</v>
      </c>
      <c r="I689" s="77">
        <f t="shared" si="263"/>
        <v>46073</v>
      </c>
      <c r="J689" s="77">
        <v>46087</v>
      </c>
      <c r="K689" s="25">
        <f t="shared" si="268"/>
        <v>29</v>
      </c>
      <c r="L689" s="81">
        <v>15.08</v>
      </c>
      <c r="M689" s="81">
        <v>14.1</v>
      </c>
      <c r="N689" s="25">
        <f t="shared" si="269"/>
        <v>0.98000000000000043</v>
      </c>
      <c r="O689" s="25" t="s">
        <v>593</v>
      </c>
    </row>
    <row r="690" spans="1:15" x14ac:dyDescent="0.25">
      <c r="A690" s="77">
        <v>46058</v>
      </c>
      <c r="B690" s="25" t="s">
        <v>485</v>
      </c>
      <c r="C690" s="25" t="s">
        <v>1224</v>
      </c>
      <c r="D690" s="77">
        <f t="shared" si="258"/>
        <v>46081</v>
      </c>
      <c r="E690" s="77">
        <f t="shared" si="259"/>
        <v>46065</v>
      </c>
      <c r="F690" s="77">
        <f t="shared" si="260"/>
        <v>46072</v>
      </c>
      <c r="G690" s="77">
        <f t="shared" si="261"/>
        <v>46078</v>
      </c>
      <c r="H690" s="77">
        <f t="shared" si="262"/>
        <v>46066</v>
      </c>
      <c r="I690" s="77">
        <f t="shared" si="263"/>
        <v>46073</v>
      </c>
      <c r="J690" s="77">
        <v>46087</v>
      </c>
      <c r="K690" s="25">
        <f t="shared" si="268"/>
        <v>29</v>
      </c>
      <c r="L690" s="81">
        <v>14.59</v>
      </c>
      <c r="M690" s="81">
        <v>13.24</v>
      </c>
      <c r="N690" s="25">
        <f t="shared" si="269"/>
        <v>1.3499999999999996</v>
      </c>
      <c r="O690" s="25" t="s">
        <v>593</v>
      </c>
    </row>
    <row r="691" spans="1:15" x14ac:dyDescent="0.25">
      <c r="A691" s="77">
        <v>46058</v>
      </c>
      <c r="B691" s="25" t="s">
        <v>486</v>
      </c>
      <c r="C691" s="25" t="s">
        <v>1225</v>
      </c>
      <c r="D691" s="77">
        <f t="shared" si="258"/>
        <v>46081</v>
      </c>
      <c r="E691" s="77">
        <f t="shared" si="259"/>
        <v>46065</v>
      </c>
      <c r="F691" s="77">
        <f t="shared" si="260"/>
        <v>46072</v>
      </c>
      <c r="G691" s="77">
        <f t="shared" si="261"/>
        <v>46078</v>
      </c>
      <c r="H691" s="77">
        <f t="shared" si="262"/>
        <v>46066</v>
      </c>
      <c r="I691" s="77">
        <f t="shared" si="263"/>
        <v>46073</v>
      </c>
      <c r="J691" s="77">
        <v>46088</v>
      </c>
      <c r="K691" s="25">
        <f t="shared" si="268"/>
        <v>30</v>
      </c>
      <c r="L691" s="81">
        <v>15.83</v>
      </c>
      <c r="M691" s="81">
        <v>14.26</v>
      </c>
      <c r="N691" s="25">
        <f t="shared" si="269"/>
        <v>1.5700000000000003</v>
      </c>
      <c r="O691" s="25" t="s">
        <v>593</v>
      </c>
    </row>
    <row r="692" spans="1:15" x14ac:dyDescent="0.25">
      <c r="A692" s="77">
        <v>46058</v>
      </c>
      <c r="B692" s="25" t="s">
        <v>487</v>
      </c>
      <c r="C692" s="25" t="s">
        <v>1226</v>
      </c>
      <c r="D692" s="77">
        <f t="shared" si="258"/>
        <v>46081</v>
      </c>
      <c r="E692" s="77">
        <f t="shared" si="259"/>
        <v>46065</v>
      </c>
      <c r="F692" s="77">
        <f t="shared" si="260"/>
        <v>46072</v>
      </c>
      <c r="G692" s="77">
        <f t="shared" si="261"/>
        <v>46078</v>
      </c>
      <c r="H692" s="77">
        <f t="shared" si="262"/>
        <v>46066</v>
      </c>
      <c r="I692" s="77">
        <f t="shared" si="263"/>
        <v>46073</v>
      </c>
      <c r="J692" s="77">
        <v>46088</v>
      </c>
      <c r="K692" s="25">
        <f t="shared" si="268"/>
        <v>30</v>
      </c>
      <c r="L692" s="81">
        <v>15.64</v>
      </c>
      <c r="M692" s="81">
        <v>14.91</v>
      </c>
      <c r="N692" s="25">
        <f t="shared" si="269"/>
        <v>0.73000000000000043</v>
      </c>
      <c r="O692" s="25" t="s">
        <v>593</v>
      </c>
    </row>
    <row r="693" spans="1:15" x14ac:dyDescent="0.25">
      <c r="A693" s="77">
        <v>46058</v>
      </c>
      <c r="B693" s="25" t="s">
        <v>488</v>
      </c>
      <c r="C693" s="25" t="s">
        <v>1227</v>
      </c>
      <c r="D693" s="77">
        <f t="shared" si="258"/>
        <v>46081</v>
      </c>
      <c r="E693" s="77">
        <f t="shared" si="259"/>
        <v>46065</v>
      </c>
      <c r="F693" s="77">
        <f t="shared" si="260"/>
        <v>46072</v>
      </c>
      <c r="G693" s="77">
        <f t="shared" si="261"/>
        <v>46078</v>
      </c>
      <c r="H693" s="77">
        <f t="shared" si="262"/>
        <v>46066</v>
      </c>
      <c r="I693" s="77">
        <f t="shared" si="263"/>
        <v>46073</v>
      </c>
      <c r="J693" s="77">
        <v>46088</v>
      </c>
      <c r="K693" s="25">
        <f t="shared" si="268"/>
        <v>30</v>
      </c>
      <c r="L693" s="81">
        <v>16.82</v>
      </c>
      <c r="M693" s="81">
        <v>15.74</v>
      </c>
      <c r="N693" s="25">
        <f t="shared" si="269"/>
        <v>1.08</v>
      </c>
      <c r="O693" s="25" t="s">
        <v>593</v>
      </c>
    </row>
    <row r="694" spans="1:15" x14ac:dyDescent="0.25">
      <c r="A694" s="77">
        <v>46058</v>
      </c>
      <c r="B694" s="25" t="s">
        <v>489</v>
      </c>
      <c r="C694" s="25" t="s">
        <v>1228</v>
      </c>
      <c r="D694" s="77">
        <f t="shared" si="258"/>
        <v>46081</v>
      </c>
      <c r="E694" s="77">
        <f t="shared" si="259"/>
        <v>46065</v>
      </c>
      <c r="F694" s="77">
        <f t="shared" si="260"/>
        <v>46072</v>
      </c>
      <c r="G694" s="77">
        <f t="shared" si="261"/>
        <v>46078</v>
      </c>
      <c r="H694" s="77">
        <f t="shared" si="262"/>
        <v>46066</v>
      </c>
      <c r="I694" s="77">
        <f t="shared" si="263"/>
        <v>46073</v>
      </c>
      <c r="J694" s="77">
        <v>46088</v>
      </c>
      <c r="K694" s="25">
        <f t="shared" si="268"/>
        <v>30</v>
      </c>
      <c r="L694" s="81">
        <v>16.989999999999998</v>
      </c>
      <c r="M694" s="81">
        <v>15.21</v>
      </c>
      <c r="N694" s="25">
        <f t="shared" si="269"/>
        <v>1.7799999999999976</v>
      </c>
      <c r="O694" s="25" t="s">
        <v>593</v>
      </c>
    </row>
    <row r="695" spans="1:15" x14ac:dyDescent="0.25">
      <c r="A695" s="77">
        <v>46059</v>
      </c>
      <c r="B695" s="25" t="s">
        <v>777</v>
      </c>
      <c r="C695" s="25" t="s">
        <v>1229</v>
      </c>
      <c r="D695" s="77">
        <f t="shared" si="258"/>
        <v>46082</v>
      </c>
      <c r="E695" s="77">
        <f t="shared" si="259"/>
        <v>46066</v>
      </c>
      <c r="F695" s="77">
        <f t="shared" si="260"/>
        <v>46073</v>
      </c>
      <c r="G695" s="77">
        <f t="shared" si="261"/>
        <v>46079</v>
      </c>
      <c r="H695" s="77">
        <f t="shared" si="262"/>
        <v>46067</v>
      </c>
      <c r="I695" s="77">
        <f t="shared" si="263"/>
        <v>46074</v>
      </c>
      <c r="J695" s="77">
        <v>46090</v>
      </c>
      <c r="K695" s="25">
        <f t="shared" si="268"/>
        <v>31</v>
      </c>
      <c r="L695" s="81">
        <v>15.26</v>
      </c>
      <c r="M695" s="81">
        <v>14.31</v>
      </c>
      <c r="N695" s="25">
        <f t="shared" si="269"/>
        <v>0.94999999999999929</v>
      </c>
      <c r="O695" s="25" t="s">
        <v>593</v>
      </c>
    </row>
    <row r="696" spans="1:15" x14ac:dyDescent="0.25">
      <c r="A696" s="77">
        <v>46059</v>
      </c>
      <c r="B696" s="25" t="s">
        <v>778</v>
      </c>
      <c r="C696" s="25" t="s">
        <v>1230</v>
      </c>
      <c r="D696" s="77">
        <f t="shared" si="258"/>
        <v>46082</v>
      </c>
      <c r="E696" s="77">
        <f t="shared" si="259"/>
        <v>46066</v>
      </c>
      <c r="F696" s="77">
        <f t="shared" si="260"/>
        <v>46073</v>
      </c>
      <c r="G696" s="77">
        <f t="shared" si="261"/>
        <v>46079</v>
      </c>
      <c r="H696" s="77">
        <f t="shared" si="262"/>
        <v>46067</v>
      </c>
      <c r="I696" s="77">
        <f t="shared" si="263"/>
        <v>46074</v>
      </c>
      <c r="J696" s="77">
        <v>46089</v>
      </c>
      <c r="K696" s="25">
        <f t="shared" si="268"/>
        <v>30</v>
      </c>
      <c r="L696" s="81">
        <v>15.91</v>
      </c>
      <c r="M696" s="81">
        <v>14.77</v>
      </c>
      <c r="N696" s="25">
        <f t="shared" si="269"/>
        <v>1.1400000000000006</v>
      </c>
      <c r="O696" s="25" t="s">
        <v>593</v>
      </c>
    </row>
    <row r="697" spans="1:15" x14ac:dyDescent="0.25">
      <c r="A697" s="77">
        <v>46059</v>
      </c>
      <c r="B697" s="25" t="s">
        <v>779</v>
      </c>
      <c r="C697" s="25" t="s">
        <v>1231</v>
      </c>
      <c r="D697" s="77">
        <f t="shared" si="258"/>
        <v>46082</v>
      </c>
      <c r="E697" s="77">
        <f t="shared" si="259"/>
        <v>46066</v>
      </c>
      <c r="F697" s="77">
        <f t="shared" si="260"/>
        <v>46073</v>
      </c>
      <c r="G697" s="77">
        <f t="shared" si="261"/>
        <v>46079</v>
      </c>
      <c r="H697" s="77">
        <f t="shared" si="262"/>
        <v>46067</v>
      </c>
      <c r="I697" s="77">
        <f t="shared" si="263"/>
        <v>46074</v>
      </c>
      <c r="J697" s="77">
        <v>46089</v>
      </c>
      <c r="K697" s="25">
        <f t="shared" si="268"/>
        <v>30</v>
      </c>
      <c r="L697" s="81">
        <v>16.38</v>
      </c>
      <c r="M697" s="81">
        <v>15.11</v>
      </c>
      <c r="N697" s="25">
        <f t="shared" si="269"/>
        <v>1.2699999999999996</v>
      </c>
      <c r="O697" s="25" t="s">
        <v>593</v>
      </c>
    </row>
    <row r="698" spans="1:15" x14ac:dyDescent="0.25">
      <c r="A698" s="77">
        <v>46059</v>
      </c>
      <c r="B698" s="25" t="s">
        <v>780</v>
      </c>
      <c r="C698" s="25" t="s">
        <v>1232</v>
      </c>
      <c r="D698" s="77">
        <f t="shared" si="258"/>
        <v>46082</v>
      </c>
      <c r="E698" s="77">
        <f t="shared" si="259"/>
        <v>46066</v>
      </c>
      <c r="F698" s="77">
        <f t="shared" si="260"/>
        <v>46073</v>
      </c>
      <c r="G698" s="77">
        <f t="shared" si="261"/>
        <v>46079</v>
      </c>
      <c r="H698" s="77">
        <f t="shared" si="262"/>
        <v>46067</v>
      </c>
      <c r="I698" s="77">
        <f t="shared" si="263"/>
        <v>46074</v>
      </c>
      <c r="J698" s="77">
        <v>46089</v>
      </c>
      <c r="K698" s="25">
        <f t="shared" si="268"/>
        <v>30</v>
      </c>
      <c r="L698" s="81">
        <v>16.16</v>
      </c>
      <c r="M698" s="81">
        <v>15.96</v>
      </c>
      <c r="N698" s="25">
        <f t="shared" si="269"/>
        <v>0.19999999999999929</v>
      </c>
      <c r="O698" s="25" t="s">
        <v>593</v>
      </c>
    </row>
    <row r="699" spans="1:15" x14ac:dyDescent="0.25">
      <c r="A699" s="77">
        <v>46059</v>
      </c>
      <c r="B699" s="25" t="s">
        <v>781</v>
      </c>
      <c r="C699" s="25" t="s">
        <v>1233</v>
      </c>
      <c r="D699" s="77">
        <f t="shared" si="258"/>
        <v>46082</v>
      </c>
      <c r="E699" s="77">
        <f t="shared" si="259"/>
        <v>46066</v>
      </c>
      <c r="F699" s="77">
        <f t="shared" si="260"/>
        <v>46073</v>
      </c>
      <c r="G699" s="77">
        <f t="shared" si="261"/>
        <v>46079</v>
      </c>
      <c r="H699" s="77">
        <f t="shared" si="262"/>
        <v>46067</v>
      </c>
      <c r="I699" s="77">
        <f t="shared" si="263"/>
        <v>46074</v>
      </c>
      <c r="J699" s="77">
        <v>46089</v>
      </c>
      <c r="K699" s="25">
        <f t="shared" si="268"/>
        <v>30</v>
      </c>
      <c r="L699" s="81">
        <v>15.31</v>
      </c>
      <c r="M699" s="81">
        <v>14.11</v>
      </c>
      <c r="N699" s="25">
        <f t="shared" si="269"/>
        <v>1.2000000000000011</v>
      </c>
      <c r="O699" s="25" t="s">
        <v>593</v>
      </c>
    </row>
    <row r="700" spans="1:15" x14ac:dyDescent="0.25">
      <c r="A700" s="77">
        <v>46059</v>
      </c>
      <c r="B700" s="25" t="s">
        <v>782</v>
      </c>
      <c r="C700" s="25" t="s">
        <v>1234</v>
      </c>
      <c r="D700" s="77">
        <f t="shared" si="258"/>
        <v>46082</v>
      </c>
      <c r="E700" s="77">
        <f t="shared" si="259"/>
        <v>46066</v>
      </c>
      <c r="F700" s="77">
        <f t="shared" si="260"/>
        <v>46073</v>
      </c>
      <c r="G700" s="77">
        <f t="shared" si="261"/>
        <v>46079</v>
      </c>
      <c r="H700" s="77">
        <f t="shared" si="262"/>
        <v>46067</v>
      </c>
      <c r="I700" s="77">
        <f t="shared" si="263"/>
        <v>46074</v>
      </c>
      <c r="J700" s="77">
        <v>46089</v>
      </c>
      <c r="K700" s="25">
        <f t="shared" si="268"/>
        <v>30</v>
      </c>
      <c r="L700" s="81">
        <v>16.100000000000001</v>
      </c>
      <c r="M700" s="81">
        <v>15.28</v>
      </c>
      <c r="N700" s="25">
        <f t="shared" si="269"/>
        <v>0.82000000000000206</v>
      </c>
      <c r="O700" s="25" t="s">
        <v>593</v>
      </c>
    </row>
    <row r="701" spans="1:15" x14ac:dyDescent="0.25">
      <c r="A701" s="77">
        <v>46059</v>
      </c>
      <c r="B701" s="25" t="s">
        <v>783</v>
      </c>
      <c r="C701" s="25" t="s">
        <v>1235</v>
      </c>
      <c r="D701" s="77">
        <f t="shared" si="258"/>
        <v>46082</v>
      </c>
      <c r="E701" s="77">
        <f t="shared" si="259"/>
        <v>46066</v>
      </c>
      <c r="F701" s="77">
        <f t="shared" si="260"/>
        <v>46073</v>
      </c>
      <c r="G701" s="77">
        <f t="shared" si="261"/>
        <v>46079</v>
      </c>
      <c r="H701" s="77">
        <f t="shared" si="262"/>
        <v>46067</v>
      </c>
      <c r="I701" s="77">
        <f t="shared" si="263"/>
        <v>46074</v>
      </c>
      <c r="J701" s="77">
        <v>46089</v>
      </c>
      <c r="K701" s="25">
        <f t="shared" si="268"/>
        <v>30</v>
      </c>
      <c r="L701" s="81">
        <v>15.24</v>
      </c>
      <c r="M701" s="81">
        <v>14.53</v>
      </c>
      <c r="N701" s="25">
        <f t="shared" si="269"/>
        <v>0.71000000000000085</v>
      </c>
      <c r="O701" s="25" t="s">
        <v>593</v>
      </c>
    </row>
    <row r="702" spans="1:15" x14ac:dyDescent="0.25">
      <c r="A702" s="77">
        <v>46060</v>
      </c>
      <c r="B702" s="25" t="s">
        <v>784</v>
      </c>
      <c r="C702" s="25" t="s">
        <v>1236</v>
      </c>
      <c r="D702" s="77">
        <f t="shared" si="258"/>
        <v>46083</v>
      </c>
      <c r="E702" s="77">
        <f t="shared" si="259"/>
        <v>46067</v>
      </c>
      <c r="F702" s="77">
        <f t="shared" si="260"/>
        <v>46074</v>
      </c>
      <c r="G702" s="77">
        <f t="shared" si="261"/>
        <v>46080</v>
      </c>
      <c r="H702" s="77">
        <f t="shared" si="262"/>
        <v>46068</v>
      </c>
      <c r="I702" s="77">
        <f t="shared" si="263"/>
        <v>46075</v>
      </c>
      <c r="J702" s="77">
        <v>46088</v>
      </c>
      <c r="K702" s="25">
        <f t="shared" si="268"/>
        <v>28</v>
      </c>
      <c r="L702" s="81">
        <v>17.14</v>
      </c>
      <c r="M702" s="81">
        <v>16.75</v>
      </c>
      <c r="N702" s="25">
        <f t="shared" si="269"/>
        <v>0.39000000000000057</v>
      </c>
      <c r="O702" s="25" t="s">
        <v>593</v>
      </c>
    </row>
    <row r="703" spans="1:15" x14ac:dyDescent="0.25">
      <c r="A703" s="77">
        <v>46060</v>
      </c>
      <c r="B703" s="25" t="s">
        <v>785</v>
      </c>
      <c r="C703" s="25" t="s">
        <v>1237</v>
      </c>
      <c r="D703" s="77">
        <f t="shared" si="258"/>
        <v>46083</v>
      </c>
      <c r="E703" s="77">
        <f t="shared" si="259"/>
        <v>46067</v>
      </c>
      <c r="F703" s="77">
        <f t="shared" si="260"/>
        <v>46074</v>
      </c>
      <c r="G703" s="77">
        <f t="shared" si="261"/>
        <v>46080</v>
      </c>
      <c r="H703" s="77">
        <f t="shared" si="262"/>
        <v>46068</v>
      </c>
      <c r="I703" s="77">
        <f t="shared" si="263"/>
        <v>46075</v>
      </c>
      <c r="J703" s="77">
        <v>46088</v>
      </c>
      <c r="K703" s="25">
        <f t="shared" si="268"/>
        <v>28</v>
      </c>
      <c r="L703" s="81">
        <v>16.190000000000001</v>
      </c>
      <c r="M703" s="81">
        <v>15.83</v>
      </c>
      <c r="N703" s="25">
        <f t="shared" si="269"/>
        <v>0.36000000000000121</v>
      </c>
      <c r="O703" s="25" t="s">
        <v>593</v>
      </c>
    </row>
    <row r="704" spans="1:15" x14ac:dyDescent="0.25">
      <c r="A704" s="77">
        <v>46060</v>
      </c>
      <c r="B704" s="25" t="s">
        <v>786</v>
      </c>
      <c r="C704" s="25" t="s">
        <v>1238</v>
      </c>
      <c r="D704" s="77">
        <f t="shared" si="258"/>
        <v>46083</v>
      </c>
      <c r="E704" s="77">
        <f t="shared" si="259"/>
        <v>46067</v>
      </c>
      <c r="F704" s="77">
        <f t="shared" si="260"/>
        <v>46074</v>
      </c>
      <c r="G704" s="77">
        <f t="shared" si="261"/>
        <v>46080</v>
      </c>
      <c r="H704" s="77">
        <f t="shared" si="262"/>
        <v>46068</v>
      </c>
      <c r="I704" s="77">
        <f t="shared" si="263"/>
        <v>46075</v>
      </c>
      <c r="J704" s="77">
        <v>46088</v>
      </c>
      <c r="K704" s="25">
        <f t="shared" si="268"/>
        <v>28</v>
      </c>
      <c r="L704" s="81">
        <v>17.61</v>
      </c>
      <c r="M704" s="81">
        <v>16.96</v>
      </c>
      <c r="N704" s="25">
        <f t="shared" si="269"/>
        <v>0.64999999999999858</v>
      </c>
      <c r="O704" s="25" t="s">
        <v>593</v>
      </c>
    </row>
    <row r="705" spans="1:15" x14ac:dyDescent="0.25">
      <c r="A705" s="77">
        <v>46060</v>
      </c>
      <c r="B705" s="25" t="s">
        <v>1147</v>
      </c>
      <c r="C705" s="25" t="s">
        <v>1239</v>
      </c>
      <c r="D705" s="77">
        <f t="shared" si="258"/>
        <v>46083</v>
      </c>
      <c r="E705" s="77">
        <f t="shared" si="259"/>
        <v>46067</v>
      </c>
      <c r="F705" s="77">
        <f t="shared" si="260"/>
        <v>46074</v>
      </c>
      <c r="G705" s="77">
        <f t="shared" si="261"/>
        <v>46080</v>
      </c>
      <c r="H705" s="77">
        <f t="shared" si="262"/>
        <v>46068</v>
      </c>
      <c r="I705" s="77">
        <f t="shared" si="263"/>
        <v>46075</v>
      </c>
      <c r="J705" s="77">
        <v>46090</v>
      </c>
      <c r="K705" s="25">
        <f t="shared" si="268"/>
        <v>30</v>
      </c>
      <c r="L705" s="81">
        <v>15.42</v>
      </c>
      <c r="M705" s="81">
        <v>14.74</v>
      </c>
      <c r="N705" s="25">
        <f t="shared" si="269"/>
        <v>0.67999999999999972</v>
      </c>
      <c r="O705" s="25" t="s">
        <v>593</v>
      </c>
    </row>
    <row r="706" spans="1:15" x14ac:dyDescent="0.25">
      <c r="A706" s="77">
        <v>46060</v>
      </c>
      <c r="B706" s="25" t="s">
        <v>1148</v>
      </c>
      <c r="C706" s="25" t="s">
        <v>1240</v>
      </c>
      <c r="D706" s="77">
        <f t="shared" si="258"/>
        <v>46083</v>
      </c>
      <c r="E706" s="77">
        <f t="shared" si="259"/>
        <v>46067</v>
      </c>
      <c r="F706" s="77">
        <f t="shared" si="260"/>
        <v>46074</v>
      </c>
      <c r="G706" s="77">
        <f t="shared" si="261"/>
        <v>46080</v>
      </c>
      <c r="H706" s="77">
        <f t="shared" si="262"/>
        <v>46068</v>
      </c>
      <c r="I706" s="77">
        <f t="shared" si="263"/>
        <v>46075</v>
      </c>
      <c r="J706" s="77">
        <v>46090</v>
      </c>
      <c r="K706" s="25">
        <f t="shared" si="268"/>
        <v>30</v>
      </c>
      <c r="L706" s="81">
        <v>14.74</v>
      </c>
      <c r="M706" s="81">
        <v>13.28</v>
      </c>
      <c r="N706" s="25">
        <f t="shared" si="269"/>
        <v>1.4600000000000009</v>
      </c>
      <c r="O706" s="25" t="s">
        <v>593</v>
      </c>
    </row>
    <row r="707" spans="1:15" x14ac:dyDescent="0.25">
      <c r="A707" s="77">
        <v>46060</v>
      </c>
      <c r="B707" s="25" t="s">
        <v>1149</v>
      </c>
      <c r="C707" s="25" t="s">
        <v>1241</v>
      </c>
      <c r="D707" s="77">
        <f t="shared" si="258"/>
        <v>46083</v>
      </c>
      <c r="E707" s="77">
        <f t="shared" si="259"/>
        <v>46067</v>
      </c>
      <c r="F707" s="77">
        <f t="shared" si="260"/>
        <v>46074</v>
      </c>
      <c r="G707" s="77">
        <f t="shared" si="261"/>
        <v>46080</v>
      </c>
      <c r="H707" s="77">
        <f t="shared" si="262"/>
        <v>46068</v>
      </c>
      <c r="I707" s="77">
        <f t="shared" si="263"/>
        <v>46075</v>
      </c>
      <c r="J707" s="77">
        <v>46090</v>
      </c>
      <c r="K707" s="25">
        <f t="shared" si="268"/>
        <v>30</v>
      </c>
      <c r="L707" s="81">
        <v>13.56</v>
      </c>
      <c r="M707" s="81">
        <v>12.93</v>
      </c>
      <c r="N707" s="25">
        <f t="shared" si="269"/>
        <v>0.63000000000000078</v>
      </c>
      <c r="O707" s="25" t="s">
        <v>593</v>
      </c>
    </row>
    <row r="708" spans="1:15" x14ac:dyDescent="0.25">
      <c r="A708" s="77">
        <v>46060</v>
      </c>
      <c r="B708" s="25" t="s">
        <v>1150</v>
      </c>
      <c r="C708" s="25" t="s">
        <v>1242</v>
      </c>
      <c r="D708" s="77">
        <f t="shared" si="258"/>
        <v>46083</v>
      </c>
      <c r="E708" s="77">
        <f t="shared" si="259"/>
        <v>46067</v>
      </c>
      <c r="F708" s="77">
        <f t="shared" si="260"/>
        <v>46074</v>
      </c>
      <c r="G708" s="77">
        <f t="shared" si="261"/>
        <v>46080</v>
      </c>
      <c r="H708" s="77">
        <f t="shared" si="262"/>
        <v>46068</v>
      </c>
      <c r="I708" s="77">
        <f t="shared" si="263"/>
        <v>46075</v>
      </c>
      <c r="J708" s="77">
        <v>46090</v>
      </c>
      <c r="K708" s="25">
        <f t="shared" si="268"/>
        <v>30</v>
      </c>
      <c r="L708" s="81">
        <v>14.37</v>
      </c>
      <c r="M708" s="81">
        <v>13.54</v>
      </c>
      <c r="N708" s="25">
        <f t="shared" si="269"/>
        <v>0.83000000000000007</v>
      </c>
      <c r="O708" s="25" t="s">
        <v>593</v>
      </c>
    </row>
    <row r="709" spans="1:15" x14ac:dyDescent="0.25">
      <c r="A709" s="77">
        <v>46061</v>
      </c>
      <c r="B709" s="25" t="s">
        <v>1151</v>
      </c>
      <c r="C709" s="25" t="s">
        <v>1243</v>
      </c>
      <c r="D709" s="77">
        <f t="shared" si="258"/>
        <v>46084</v>
      </c>
      <c r="E709" s="77">
        <f t="shared" si="259"/>
        <v>46068</v>
      </c>
      <c r="F709" s="77">
        <f t="shared" si="260"/>
        <v>46075</v>
      </c>
      <c r="G709" s="77">
        <f t="shared" si="261"/>
        <v>46081</v>
      </c>
      <c r="H709" s="77">
        <f t="shared" si="262"/>
        <v>46069</v>
      </c>
      <c r="I709" s="77">
        <f t="shared" si="263"/>
        <v>46076</v>
      </c>
      <c r="J709" s="77">
        <v>46090</v>
      </c>
      <c r="K709" s="25">
        <f t="shared" si="268"/>
        <v>29</v>
      </c>
      <c r="L709" s="81">
        <v>15.81</v>
      </c>
      <c r="M709" s="81">
        <v>14.21</v>
      </c>
      <c r="N709" s="25">
        <f t="shared" si="269"/>
        <v>1.5999999999999996</v>
      </c>
      <c r="O709" s="25" t="s">
        <v>593</v>
      </c>
    </row>
    <row r="710" spans="1:15" x14ac:dyDescent="0.25">
      <c r="A710" s="77">
        <v>46061</v>
      </c>
      <c r="B710" s="25" t="s">
        <v>1152</v>
      </c>
      <c r="C710" s="25" t="s">
        <v>1244</v>
      </c>
      <c r="D710" s="77">
        <f t="shared" si="258"/>
        <v>46084</v>
      </c>
      <c r="E710" s="77">
        <f t="shared" si="259"/>
        <v>46068</v>
      </c>
      <c r="F710" s="77">
        <f t="shared" si="260"/>
        <v>46075</v>
      </c>
      <c r="G710" s="77">
        <f t="shared" si="261"/>
        <v>46081</v>
      </c>
      <c r="H710" s="77">
        <f t="shared" si="262"/>
        <v>46069</v>
      </c>
      <c r="I710" s="77">
        <f t="shared" si="263"/>
        <v>46076</v>
      </c>
      <c r="J710" s="77">
        <v>46090</v>
      </c>
      <c r="K710" s="25">
        <f t="shared" si="268"/>
        <v>29</v>
      </c>
      <c r="L710" s="81">
        <v>14.73</v>
      </c>
      <c r="M710" s="81">
        <v>13.56</v>
      </c>
      <c r="N710" s="25">
        <f t="shared" si="269"/>
        <v>1.17</v>
      </c>
      <c r="O710" s="25" t="s">
        <v>593</v>
      </c>
    </row>
    <row r="711" spans="1:15" x14ac:dyDescent="0.25">
      <c r="A711" s="77">
        <v>46061</v>
      </c>
      <c r="B711" s="25" t="s">
        <v>490</v>
      </c>
      <c r="C711" s="25" t="s">
        <v>1245</v>
      </c>
      <c r="D711" s="77">
        <f t="shared" si="258"/>
        <v>46084</v>
      </c>
      <c r="E711" s="77">
        <f t="shared" si="259"/>
        <v>46068</v>
      </c>
      <c r="F711" s="77">
        <f t="shared" si="260"/>
        <v>46075</v>
      </c>
      <c r="G711" s="77">
        <f t="shared" si="261"/>
        <v>46081</v>
      </c>
      <c r="H711" s="77">
        <f t="shared" si="262"/>
        <v>46069</v>
      </c>
      <c r="I711" s="77">
        <f t="shared" si="263"/>
        <v>46076</v>
      </c>
      <c r="J711" s="77">
        <v>46091</v>
      </c>
      <c r="K711" s="25">
        <f t="shared" si="268"/>
        <v>30</v>
      </c>
      <c r="L711" s="81">
        <v>14.71</v>
      </c>
      <c r="M711" s="81">
        <v>13.58</v>
      </c>
      <c r="N711" s="25">
        <f t="shared" si="269"/>
        <v>1.1300000000000008</v>
      </c>
      <c r="O711" s="25" t="s">
        <v>593</v>
      </c>
    </row>
    <row r="712" spans="1:15" x14ac:dyDescent="0.25">
      <c r="A712" s="77">
        <v>46061</v>
      </c>
      <c r="B712" s="25" t="s">
        <v>491</v>
      </c>
      <c r="C712" s="25" t="s">
        <v>1246</v>
      </c>
      <c r="D712" s="77">
        <f t="shared" si="258"/>
        <v>46084</v>
      </c>
      <c r="E712" s="77">
        <f t="shared" si="259"/>
        <v>46068</v>
      </c>
      <c r="F712" s="77">
        <f t="shared" si="260"/>
        <v>46075</v>
      </c>
      <c r="G712" s="77">
        <f t="shared" si="261"/>
        <v>46081</v>
      </c>
      <c r="H712" s="77">
        <f t="shared" si="262"/>
        <v>46069</v>
      </c>
      <c r="I712" s="77">
        <f t="shared" si="263"/>
        <v>46076</v>
      </c>
      <c r="J712" s="77">
        <v>46091</v>
      </c>
      <c r="K712" s="25">
        <f t="shared" si="268"/>
        <v>30</v>
      </c>
      <c r="L712" s="81">
        <v>15.36</v>
      </c>
      <c r="M712" s="81">
        <v>14.12</v>
      </c>
      <c r="N712" s="25">
        <f t="shared" si="269"/>
        <v>1.2400000000000002</v>
      </c>
      <c r="O712" s="25" t="s">
        <v>593</v>
      </c>
    </row>
    <row r="713" spans="1:15" x14ac:dyDescent="0.25">
      <c r="A713" s="77">
        <v>46061</v>
      </c>
      <c r="B713" s="25" t="s">
        <v>492</v>
      </c>
      <c r="C713" s="25" t="s">
        <v>1247</v>
      </c>
      <c r="D713" s="77">
        <f t="shared" si="258"/>
        <v>46084</v>
      </c>
      <c r="E713" s="77">
        <f t="shared" si="259"/>
        <v>46068</v>
      </c>
      <c r="F713" s="77">
        <f t="shared" si="260"/>
        <v>46075</v>
      </c>
      <c r="G713" s="77">
        <f t="shared" si="261"/>
        <v>46081</v>
      </c>
      <c r="H713" s="77">
        <f t="shared" si="262"/>
        <v>46069</v>
      </c>
      <c r="I713" s="77">
        <f t="shared" si="263"/>
        <v>46076</v>
      </c>
      <c r="J713" s="77">
        <v>46091</v>
      </c>
      <c r="K713" s="25">
        <f t="shared" si="268"/>
        <v>30</v>
      </c>
      <c r="L713" s="81">
        <v>15.69</v>
      </c>
      <c r="M713" s="81">
        <v>14.73</v>
      </c>
      <c r="N713" s="25">
        <f t="shared" si="269"/>
        <v>0.95999999999999908</v>
      </c>
      <c r="O713" s="25" t="s">
        <v>593</v>
      </c>
    </row>
    <row r="714" spans="1:15" x14ac:dyDescent="0.25">
      <c r="A714" s="77">
        <v>46061</v>
      </c>
      <c r="B714" s="25" t="s">
        <v>493</v>
      </c>
      <c r="C714" s="25" t="s">
        <v>1191</v>
      </c>
      <c r="D714" s="77">
        <v>46084</v>
      </c>
      <c r="E714" s="77">
        <v>46068</v>
      </c>
      <c r="F714" s="77">
        <v>46075</v>
      </c>
      <c r="G714" s="77">
        <v>46081</v>
      </c>
      <c r="H714" s="77">
        <v>46069</v>
      </c>
      <c r="I714" s="77">
        <v>46076</v>
      </c>
      <c r="J714" s="77">
        <v>46092</v>
      </c>
      <c r="K714" s="25">
        <v>31</v>
      </c>
      <c r="L714" s="81">
        <v>16.350000000000001</v>
      </c>
      <c r="M714" s="81">
        <v>15.24</v>
      </c>
      <c r="N714" s="25">
        <v>1.1100000000000012</v>
      </c>
      <c r="O714" s="25" t="s">
        <v>593</v>
      </c>
    </row>
    <row r="715" spans="1:15" x14ac:dyDescent="0.25">
      <c r="A715" s="77">
        <v>46061</v>
      </c>
      <c r="B715" s="25" t="s">
        <v>494</v>
      </c>
      <c r="C715" s="25" t="s">
        <v>1192</v>
      </c>
      <c r="D715" s="77">
        <v>46084</v>
      </c>
      <c r="E715" s="77">
        <v>46068</v>
      </c>
      <c r="F715" s="77">
        <v>46075</v>
      </c>
      <c r="G715" s="77">
        <v>46081</v>
      </c>
      <c r="H715" s="77">
        <v>46069</v>
      </c>
      <c r="I715" s="77">
        <v>46076</v>
      </c>
      <c r="J715" s="77">
        <v>46092</v>
      </c>
      <c r="K715" s="25">
        <v>31</v>
      </c>
      <c r="L715" s="81">
        <v>16.97</v>
      </c>
      <c r="M715" s="81">
        <v>16.100000000000001</v>
      </c>
      <c r="N715" s="25">
        <v>0.86999999999999744</v>
      </c>
      <c r="O715" s="25" t="s">
        <v>593</v>
      </c>
    </row>
    <row r="716" spans="1:15" x14ac:dyDescent="0.25">
      <c r="A716" s="77">
        <v>46062</v>
      </c>
      <c r="B716" s="25" t="s">
        <v>552</v>
      </c>
      <c r="C716" s="25" t="s">
        <v>1193</v>
      </c>
      <c r="D716" s="77">
        <v>46085</v>
      </c>
      <c r="E716" s="77">
        <v>46069</v>
      </c>
      <c r="F716" s="77">
        <v>46076</v>
      </c>
      <c r="G716" s="77">
        <v>46082</v>
      </c>
      <c r="H716" s="77">
        <v>46070</v>
      </c>
      <c r="I716" s="77">
        <v>46077</v>
      </c>
      <c r="J716" s="77">
        <v>46092</v>
      </c>
      <c r="K716" s="25">
        <v>30</v>
      </c>
      <c r="L716" s="81">
        <v>15.17</v>
      </c>
      <c r="M716" s="81">
        <v>14.36</v>
      </c>
      <c r="N716" s="25">
        <v>0.8100000000000005</v>
      </c>
      <c r="O716" s="25" t="s">
        <v>593</v>
      </c>
    </row>
    <row r="717" spans="1:15" x14ac:dyDescent="0.25">
      <c r="A717" s="77">
        <v>46062</v>
      </c>
      <c r="B717" s="25" t="s">
        <v>553</v>
      </c>
      <c r="C717" s="25" t="s">
        <v>1194</v>
      </c>
      <c r="D717" s="77">
        <v>46085</v>
      </c>
      <c r="E717" s="77">
        <v>46069</v>
      </c>
      <c r="F717" s="77">
        <v>46076</v>
      </c>
      <c r="G717" s="77">
        <v>46082</v>
      </c>
      <c r="H717" s="77">
        <v>46070</v>
      </c>
      <c r="I717" s="77">
        <v>46077</v>
      </c>
      <c r="J717" s="77">
        <v>46092</v>
      </c>
      <c r="K717" s="25">
        <v>30</v>
      </c>
      <c r="L717" s="81">
        <v>15.06</v>
      </c>
      <c r="M717" s="81">
        <v>14.19</v>
      </c>
      <c r="N717" s="25">
        <v>0.87000000000000099</v>
      </c>
      <c r="O717" s="25" t="s">
        <v>593</v>
      </c>
    </row>
    <row r="718" spans="1:15" x14ac:dyDescent="0.25">
      <c r="A718" s="77">
        <v>46062</v>
      </c>
      <c r="B718" s="25" t="s">
        <v>554</v>
      </c>
      <c r="C718" s="25" t="s">
        <v>1195</v>
      </c>
      <c r="D718" s="77">
        <v>46085</v>
      </c>
      <c r="E718" s="77">
        <v>46069</v>
      </c>
      <c r="F718" s="77">
        <v>46076</v>
      </c>
      <c r="G718" s="77">
        <v>46082</v>
      </c>
      <c r="H718" s="77">
        <v>46070</v>
      </c>
      <c r="I718" s="77">
        <v>46077</v>
      </c>
      <c r="J718" s="77">
        <v>46092</v>
      </c>
      <c r="K718" s="25">
        <v>30</v>
      </c>
      <c r="L718" s="81">
        <v>16.45</v>
      </c>
      <c r="M718" s="81">
        <v>15.73</v>
      </c>
      <c r="N718" s="81">
        <v>0.71999999999999886</v>
      </c>
      <c r="O718" s="81" t="s">
        <v>593</v>
      </c>
    </row>
    <row r="719" spans="1:15" x14ac:dyDescent="0.25">
      <c r="A719" s="77">
        <v>46062</v>
      </c>
      <c r="B719" s="25" t="s">
        <v>555</v>
      </c>
      <c r="C719" s="25" t="s">
        <v>1196</v>
      </c>
      <c r="D719" s="77">
        <v>46085</v>
      </c>
      <c r="E719" s="77">
        <v>46069</v>
      </c>
      <c r="F719" s="77">
        <v>46076</v>
      </c>
      <c r="G719" s="77">
        <v>46082</v>
      </c>
      <c r="H719" s="77">
        <v>46070</v>
      </c>
      <c r="I719" s="77">
        <v>46077</v>
      </c>
      <c r="J719" s="77">
        <v>46092</v>
      </c>
      <c r="K719" s="25">
        <v>30</v>
      </c>
      <c r="L719" s="81">
        <v>14.96</v>
      </c>
      <c r="M719" s="81">
        <v>14.12</v>
      </c>
      <c r="N719" s="81">
        <v>0.84000000000000163</v>
      </c>
      <c r="O719" s="81" t="s">
        <v>593</v>
      </c>
    </row>
    <row r="720" spans="1:15" x14ac:dyDescent="0.25">
      <c r="A720" s="77">
        <v>46062</v>
      </c>
      <c r="B720" s="25" t="s">
        <v>556</v>
      </c>
      <c r="C720" s="25" t="s">
        <v>1197</v>
      </c>
      <c r="D720" s="77">
        <v>46085</v>
      </c>
      <c r="E720" s="77">
        <v>46069</v>
      </c>
      <c r="F720" s="77">
        <v>46076</v>
      </c>
      <c r="G720" s="77">
        <v>46082</v>
      </c>
      <c r="H720" s="77">
        <v>46070</v>
      </c>
      <c r="I720" s="77">
        <v>46077</v>
      </c>
      <c r="J720" s="77">
        <v>46092</v>
      </c>
      <c r="K720" s="25">
        <v>30</v>
      </c>
      <c r="L720" s="81">
        <v>16.309999999999999</v>
      </c>
      <c r="M720" s="81">
        <v>15.58</v>
      </c>
      <c r="N720" s="25">
        <v>0.72999999999999865</v>
      </c>
      <c r="O720" s="25" t="s">
        <v>593</v>
      </c>
    </row>
    <row r="721" spans="1:15" x14ac:dyDescent="0.25">
      <c r="A721" s="77">
        <v>46062</v>
      </c>
      <c r="B721" s="25" t="s">
        <v>557</v>
      </c>
      <c r="C721" s="25" t="s">
        <v>1198</v>
      </c>
      <c r="D721" s="77">
        <v>46085</v>
      </c>
      <c r="E721" s="77">
        <v>46069</v>
      </c>
      <c r="F721" s="77">
        <v>46076</v>
      </c>
      <c r="G721" s="77">
        <v>46082</v>
      </c>
      <c r="H721" s="77">
        <v>46070</v>
      </c>
      <c r="I721" s="77">
        <v>46077</v>
      </c>
      <c r="J721" s="77">
        <v>46092</v>
      </c>
      <c r="K721" s="25">
        <v>30</v>
      </c>
      <c r="L721" s="81">
        <v>15.08</v>
      </c>
      <c r="M721" s="81">
        <v>14.15</v>
      </c>
      <c r="N721" s="25">
        <v>0.92999999999999972</v>
      </c>
      <c r="O721" s="25" t="s">
        <v>593</v>
      </c>
    </row>
    <row r="722" spans="1:15" x14ac:dyDescent="0.25">
      <c r="A722" s="77">
        <v>46062</v>
      </c>
      <c r="B722" s="25" t="s">
        <v>558</v>
      </c>
      <c r="C722" s="25" t="s">
        <v>1199</v>
      </c>
      <c r="D722" s="77">
        <v>46085</v>
      </c>
      <c r="E722" s="77">
        <v>46069</v>
      </c>
      <c r="F722" s="77">
        <v>46076</v>
      </c>
      <c r="G722" s="77">
        <v>46082</v>
      </c>
      <c r="H722" s="77">
        <v>46070</v>
      </c>
      <c r="I722" s="77">
        <v>46077</v>
      </c>
      <c r="J722" s="77">
        <v>46092</v>
      </c>
      <c r="K722" s="25">
        <v>30</v>
      </c>
      <c r="L722" s="81">
        <v>15.24</v>
      </c>
      <c r="M722" s="81">
        <v>14.75</v>
      </c>
      <c r="N722" s="25">
        <v>0.49000000000000021</v>
      </c>
      <c r="O722" s="25" t="s">
        <v>593</v>
      </c>
    </row>
    <row r="723" spans="1:15" x14ac:dyDescent="0.25">
      <c r="A723" s="77">
        <v>46063</v>
      </c>
      <c r="B723" s="25" t="s">
        <v>545</v>
      </c>
      <c r="C723" s="25" t="s">
        <v>1248</v>
      </c>
      <c r="D723" s="77">
        <f t="shared" ref="D723:D786" si="270">A723+23</f>
        <v>46086</v>
      </c>
      <c r="E723" s="77">
        <f t="shared" ref="E723:E786" si="271">A723+7</f>
        <v>46070</v>
      </c>
      <c r="F723" s="77">
        <f t="shared" ref="F723:F786" si="272">A723+14</f>
        <v>46077</v>
      </c>
      <c r="G723" s="77">
        <f t="shared" ref="G723:G786" si="273">A723+20</f>
        <v>46083</v>
      </c>
      <c r="H723" s="77">
        <f t="shared" ref="H723:H786" si="274">A723+8</f>
        <v>46071</v>
      </c>
      <c r="I723" s="77">
        <f t="shared" ref="I723:I786" si="275">A723+15</f>
        <v>46078</v>
      </c>
      <c r="J723" s="77">
        <v>46093</v>
      </c>
      <c r="K723" s="25">
        <f t="shared" ref="K723:K786" si="276">J723-A723</f>
        <v>30</v>
      </c>
      <c r="L723" s="81">
        <v>17.25</v>
      </c>
      <c r="M723" s="81">
        <v>16.32</v>
      </c>
      <c r="N723" s="25">
        <f t="shared" ref="N723:N786" si="277">L723-M723</f>
        <v>0.92999999999999972</v>
      </c>
      <c r="O723" s="25" t="s">
        <v>593</v>
      </c>
    </row>
    <row r="724" spans="1:15" x14ac:dyDescent="0.25">
      <c r="A724" s="77">
        <v>46063</v>
      </c>
      <c r="B724" s="25" t="s">
        <v>546</v>
      </c>
      <c r="C724" s="25" t="s">
        <v>1249</v>
      </c>
      <c r="D724" s="77">
        <f t="shared" si="270"/>
        <v>46086</v>
      </c>
      <c r="E724" s="77">
        <f t="shared" si="271"/>
        <v>46070</v>
      </c>
      <c r="F724" s="77">
        <f t="shared" si="272"/>
        <v>46077</v>
      </c>
      <c r="G724" s="77">
        <f t="shared" si="273"/>
        <v>46083</v>
      </c>
      <c r="H724" s="77">
        <f t="shared" si="274"/>
        <v>46071</v>
      </c>
      <c r="I724" s="77">
        <f t="shared" si="275"/>
        <v>46078</v>
      </c>
      <c r="J724" s="77">
        <v>46093</v>
      </c>
      <c r="K724" s="25">
        <f t="shared" si="276"/>
        <v>30</v>
      </c>
      <c r="L724" s="81">
        <v>17.11</v>
      </c>
      <c r="M724" s="81">
        <v>16.149999999999999</v>
      </c>
      <c r="N724" s="25">
        <f t="shared" si="277"/>
        <v>0.96000000000000085</v>
      </c>
      <c r="O724" s="25" t="s">
        <v>593</v>
      </c>
    </row>
    <row r="725" spans="1:15" x14ac:dyDescent="0.25">
      <c r="A725" s="77">
        <v>46063</v>
      </c>
      <c r="B725" s="25" t="s">
        <v>547</v>
      </c>
      <c r="C725" s="25" t="s">
        <v>1250</v>
      </c>
      <c r="D725" s="77">
        <f t="shared" si="270"/>
        <v>46086</v>
      </c>
      <c r="E725" s="77">
        <f t="shared" si="271"/>
        <v>46070</v>
      </c>
      <c r="F725" s="77">
        <f t="shared" si="272"/>
        <v>46077</v>
      </c>
      <c r="G725" s="77">
        <f t="shared" si="273"/>
        <v>46083</v>
      </c>
      <c r="H725" s="77">
        <f t="shared" si="274"/>
        <v>46071</v>
      </c>
      <c r="I725" s="77">
        <f t="shared" si="275"/>
        <v>46078</v>
      </c>
      <c r="J725" s="77">
        <v>46093</v>
      </c>
      <c r="K725" s="25">
        <f t="shared" si="276"/>
        <v>30</v>
      </c>
      <c r="L725" s="81">
        <v>15.21</v>
      </c>
      <c r="M725" s="81">
        <v>14.25</v>
      </c>
      <c r="N725" s="25">
        <f t="shared" si="277"/>
        <v>0.96000000000000085</v>
      </c>
      <c r="O725" s="25" t="s">
        <v>593</v>
      </c>
    </row>
    <row r="726" spans="1:15" x14ac:dyDescent="0.25">
      <c r="A726" s="77">
        <v>46063</v>
      </c>
      <c r="B726" s="25" t="s">
        <v>548</v>
      </c>
      <c r="C726" s="25" t="s">
        <v>1251</v>
      </c>
      <c r="D726" s="77">
        <f t="shared" si="270"/>
        <v>46086</v>
      </c>
      <c r="E726" s="77">
        <f t="shared" si="271"/>
        <v>46070</v>
      </c>
      <c r="F726" s="77">
        <f t="shared" si="272"/>
        <v>46077</v>
      </c>
      <c r="G726" s="77">
        <f t="shared" si="273"/>
        <v>46083</v>
      </c>
      <c r="H726" s="77">
        <f t="shared" si="274"/>
        <v>46071</v>
      </c>
      <c r="I726" s="77">
        <f t="shared" si="275"/>
        <v>46078</v>
      </c>
      <c r="J726" s="77">
        <v>46093</v>
      </c>
      <c r="K726" s="25">
        <f t="shared" si="276"/>
        <v>30</v>
      </c>
      <c r="L726" s="81">
        <v>15.73</v>
      </c>
      <c r="M726" s="81">
        <v>14.66</v>
      </c>
      <c r="N726" s="25">
        <f t="shared" si="277"/>
        <v>1.0700000000000003</v>
      </c>
      <c r="O726" s="25" t="s">
        <v>593</v>
      </c>
    </row>
    <row r="727" spans="1:15" x14ac:dyDescent="0.25">
      <c r="A727" s="77">
        <v>46063</v>
      </c>
      <c r="B727" s="25" t="s">
        <v>549</v>
      </c>
      <c r="C727" s="25" t="s">
        <v>1252</v>
      </c>
      <c r="D727" s="77">
        <f t="shared" si="270"/>
        <v>46086</v>
      </c>
      <c r="E727" s="77">
        <f t="shared" si="271"/>
        <v>46070</v>
      </c>
      <c r="F727" s="77">
        <f t="shared" si="272"/>
        <v>46077</v>
      </c>
      <c r="G727" s="77">
        <f t="shared" si="273"/>
        <v>46083</v>
      </c>
      <c r="H727" s="77">
        <f t="shared" si="274"/>
        <v>46071</v>
      </c>
      <c r="I727" s="77">
        <f t="shared" si="275"/>
        <v>46078</v>
      </c>
      <c r="J727" s="77">
        <v>46093</v>
      </c>
      <c r="K727" s="25">
        <f t="shared" si="276"/>
        <v>30</v>
      </c>
      <c r="L727" s="81">
        <v>16.48</v>
      </c>
      <c r="M727" s="81">
        <v>15.74</v>
      </c>
      <c r="N727" s="25">
        <f t="shared" si="277"/>
        <v>0.74000000000000021</v>
      </c>
      <c r="O727" s="25" t="s">
        <v>593</v>
      </c>
    </row>
    <row r="728" spans="1:15" x14ac:dyDescent="0.25">
      <c r="A728" s="77">
        <v>46063</v>
      </c>
      <c r="B728" s="25" t="s">
        <v>550</v>
      </c>
      <c r="C728" s="25" t="s">
        <v>1253</v>
      </c>
      <c r="D728" s="77">
        <f t="shared" si="270"/>
        <v>46086</v>
      </c>
      <c r="E728" s="77">
        <f t="shared" si="271"/>
        <v>46070</v>
      </c>
      <c r="F728" s="77">
        <f t="shared" si="272"/>
        <v>46077</v>
      </c>
      <c r="G728" s="77">
        <f t="shared" si="273"/>
        <v>46083</v>
      </c>
      <c r="H728" s="77">
        <f t="shared" si="274"/>
        <v>46071</v>
      </c>
      <c r="I728" s="77">
        <f t="shared" si="275"/>
        <v>46078</v>
      </c>
      <c r="J728" s="77">
        <v>46093</v>
      </c>
      <c r="K728" s="25">
        <f t="shared" si="276"/>
        <v>30</v>
      </c>
      <c r="L728" s="81">
        <v>16.100000000000001</v>
      </c>
      <c r="M728" s="81">
        <v>15.21</v>
      </c>
      <c r="N728" s="25">
        <f t="shared" si="277"/>
        <v>0.89000000000000057</v>
      </c>
      <c r="O728" s="25" t="s">
        <v>593</v>
      </c>
    </row>
    <row r="729" spans="1:15" x14ac:dyDescent="0.25">
      <c r="A729" s="77">
        <v>46063</v>
      </c>
      <c r="B729" s="25" t="s">
        <v>551</v>
      </c>
      <c r="C729" s="25" t="s">
        <v>1254</v>
      </c>
      <c r="D729" s="77">
        <f t="shared" si="270"/>
        <v>46086</v>
      </c>
      <c r="E729" s="77">
        <f t="shared" si="271"/>
        <v>46070</v>
      </c>
      <c r="F729" s="77">
        <f t="shared" si="272"/>
        <v>46077</v>
      </c>
      <c r="G729" s="77">
        <f t="shared" si="273"/>
        <v>46083</v>
      </c>
      <c r="H729" s="77">
        <f t="shared" si="274"/>
        <v>46071</v>
      </c>
      <c r="I729" s="77">
        <f t="shared" si="275"/>
        <v>46078</v>
      </c>
      <c r="J729" s="77">
        <v>46093</v>
      </c>
      <c r="K729" s="25">
        <f t="shared" si="276"/>
        <v>30</v>
      </c>
      <c r="L729" s="81">
        <v>15.12</v>
      </c>
      <c r="M729" s="81">
        <v>14.26</v>
      </c>
      <c r="N729" s="25">
        <f t="shared" si="277"/>
        <v>0.85999999999999943</v>
      </c>
      <c r="O729" s="25" t="s">
        <v>593</v>
      </c>
    </row>
    <row r="730" spans="1:15" x14ac:dyDescent="0.25">
      <c r="A730" s="77">
        <v>46064</v>
      </c>
      <c r="B730" s="25" t="s">
        <v>537</v>
      </c>
      <c r="C730" s="25" t="s">
        <v>1255</v>
      </c>
      <c r="D730" s="77">
        <f t="shared" si="270"/>
        <v>46087</v>
      </c>
      <c r="E730" s="77">
        <f t="shared" si="271"/>
        <v>46071</v>
      </c>
      <c r="F730" s="77">
        <f t="shared" si="272"/>
        <v>46078</v>
      </c>
      <c r="G730" s="77">
        <f t="shared" si="273"/>
        <v>46084</v>
      </c>
      <c r="H730" s="77">
        <f t="shared" si="274"/>
        <v>46072</v>
      </c>
      <c r="I730" s="77">
        <f t="shared" si="275"/>
        <v>46079</v>
      </c>
      <c r="J730" s="77">
        <v>46094</v>
      </c>
      <c r="K730" s="25">
        <f t="shared" si="276"/>
        <v>30</v>
      </c>
      <c r="L730" s="81">
        <v>17.34</v>
      </c>
      <c r="M730" s="81">
        <v>16.28</v>
      </c>
      <c r="N730" s="25">
        <f t="shared" si="277"/>
        <v>1.0599999999999987</v>
      </c>
      <c r="O730" s="25" t="s">
        <v>593</v>
      </c>
    </row>
    <row r="731" spans="1:15" x14ac:dyDescent="0.25">
      <c r="A731" s="77">
        <v>46064</v>
      </c>
      <c r="B731" s="25" t="s">
        <v>538</v>
      </c>
      <c r="C731" s="25" t="s">
        <v>1256</v>
      </c>
      <c r="D731" s="77">
        <f t="shared" si="270"/>
        <v>46087</v>
      </c>
      <c r="E731" s="77">
        <f t="shared" si="271"/>
        <v>46071</v>
      </c>
      <c r="F731" s="77">
        <f t="shared" si="272"/>
        <v>46078</v>
      </c>
      <c r="G731" s="77">
        <f t="shared" si="273"/>
        <v>46084</v>
      </c>
      <c r="H731" s="77">
        <f t="shared" si="274"/>
        <v>46072</v>
      </c>
      <c r="I731" s="77">
        <f t="shared" si="275"/>
        <v>46079</v>
      </c>
      <c r="J731" s="77">
        <v>46094</v>
      </c>
      <c r="K731" s="25">
        <f t="shared" si="276"/>
        <v>30</v>
      </c>
      <c r="L731" s="81">
        <v>16.190000000000001</v>
      </c>
      <c r="M731" s="81">
        <v>15.73</v>
      </c>
      <c r="N731" s="25">
        <f t="shared" si="277"/>
        <v>0.46000000000000085</v>
      </c>
      <c r="O731" s="25" t="s">
        <v>593</v>
      </c>
    </row>
    <row r="732" spans="1:15" x14ac:dyDescent="0.25">
      <c r="A732" s="77">
        <v>46064</v>
      </c>
      <c r="B732" s="25" t="s">
        <v>539</v>
      </c>
      <c r="C732" s="25" t="s">
        <v>1257</v>
      </c>
      <c r="D732" s="77">
        <f t="shared" si="270"/>
        <v>46087</v>
      </c>
      <c r="E732" s="77">
        <f t="shared" si="271"/>
        <v>46071</v>
      </c>
      <c r="F732" s="77">
        <f t="shared" si="272"/>
        <v>46078</v>
      </c>
      <c r="G732" s="77">
        <f t="shared" si="273"/>
        <v>46084</v>
      </c>
      <c r="H732" s="77">
        <f t="shared" si="274"/>
        <v>46072</v>
      </c>
      <c r="I732" s="77">
        <f t="shared" si="275"/>
        <v>46079</v>
      </c>
      <c r="J732" s="77">
        <v>46094</v>
      </c>
      <c r="K732" s="25">
        <f t="shared" si="276"/>
        <v>30</v>
      </c>
      <c r="L732" s="81">
        <v>15.63</v>
      </c>
      <c r="M732" s="81">
        <v>14.54</v>
      </c>
      <c r="N732" s="25">
        <f t="shared" si="277"/>
        <v>1.0900000000000016</v>
      </c>
      <c r="O732" s="25" t="s">
        <v>593</v>
      </c>
    </row>
    <row r="733" spans="1:15" x14ac:dyDescent="0.25">
      <c r="A733" s="77">
        <v>46064</v>
      </c>
      <c r="B733" s="25" t="s">
        <v>540</v>
      </c>
      <c r="C733" s="25" t="s">
        <v>1258</v>
      </c>
      <c r="D733" s="77">
        <f t="shared" si="270"/>
        <v>46087</v>
      </c>
      <c r="E733" s="77">
        <f t="shared" si="271"/>
        <v>46071</v>
      </c>
      <c r="F733" s="77">
        <f t="shared" si="272"/>
        <v>46078</v>
      </c>
      <c r="G733" s="77">
        <f t="shared" si="273"/>
        <v>46084</v>
      </c>
      <c r="H733" s="77">
        <f t="shared" si="274"/>
        <v>46072</v>
      </c>
      <c r="I733" s="77">
        <f t="shared" si="275"/>
        <v>46079</v>
      </c>
      <c r="J733" s="77">
        <v>46094</v>
      </c>
      <c r="K733" s="25">
        <f t="shared" si="276"/>
        <v>30</v>
      </c>
      <c r="L733" s="25">
        <v>15.58</v>
      </c>
      <c r="M733" s="25">
        <v>14.37</v>
      </c>
      <c r="N733" s="25">
        <f t="shared" si="277"/>
        <v>1.2100000000000009</v>
      </c>
      <c r="O733" s="25" t="s">
        <v>593</v>
      </c>
    </row>
    <row r="734" spans="1:15" x14ac:dyDescent="0.25">
      <c r="A734" s="77">
        <v>46064</v>
      </c>
      <c r="B734" s="25" t="s">
        <v>541</v>
      </c>
      <c r="C734" s="25" t="s">
        <v>1259</v>
      </c>
      <c r="D734" s="77">
        <f t="shared" si="270"/>
        <v>46087</v>
      </c>
      <c r="E734" s="77">
        <f t="shared" si="271"/>
        <v>46071</v>
      </c>
      <c r="F734" s="77">
        <f t="shared" si="272"/>
        <v>46078</v>
      </c>
      <c r="G734" s="77">
        <f t="shared" si="273"/>
        <v>46084</v>
      </c>
      <c r="H734" s="77">
        <f t="shared" si="274"/>
        <v>46072</v>
      </c>
      <c r="I734" s="77">
        <f t="shared" si="275"/>
        <v>46079</v>
      </c>
      <c r="J734" s="77">
        <v>46094</v>
      </c>
      <c r="K734" s="25">
        <f t="shared" si="276"/>
        <v>30</v>
      </c>
      <c r="L734" s="25">
        <v>16.03</v>
      </c>
      <c r="M734" s="25">
        <v>15.1</v>
      </c>
      <c r="N734" s="25">
        <f t="shared" si="277"/>
        <v>0.93000000000000149</v>
      </c>
      <c r="O734" s="25" t="s">
        <v>593</v>
      </c>
    </row>
    <row r="735" spans="1:15" x14ac:dyDescent="0.25">
      <c r="A735" s="77">
        <v>46064</v>
      </c>
      <c r="B735" s="25" t="s">
        <v>542</v>
      </c>
      <c r="C735" s="25" t="s">
        <v>1260</v>
      </c>
      <c r="D735" s="77">
        <f t="shared" si="270"/>
        <v>46087</v>
      </c>
      <c r="E735" s="77">
        <f t="shared" si="271"/>
        <v>46071</v>
      </c>
      <c r="F735" s="77">
        <f t="shared" si="272"/>
        <v>46078</v>
      </c>
      <c r="G735" s="77">
        <f t="shared" si="273"/>
        <v>46084</v>
      </c>
      <c r="H735" s="77">
        <f t="shared" si="274"/>
        <v>46072</v>
      </c>
      <c r="I735" s="77">
        <f t="shared" si="275"/>
        <v>46079</v>
      </c>
      <c r="J735" s="77">
        <v>46094</v>
      </c>
      <c r="K735" s="25">
        <f t="shared" si="276"/>
        <v>30</v>
      </c>
      <c r="L735" s="25">
        <v>15.47</v>
      </c>
      <c r="M735" s="25">
        <v>14.26</v>
      </c>
      <c r="N735" s="25">
        <f t="shared" si="277"/>
        <v>1.2100000000000009</v>
      </c>
      <c r="O735" s="25" t="s">
        <v>593</v>
      </c>
    </row>
    <row r="736" spans="1:15" x14ac:dyDescent="0.25">
      <c r="A736" s="77">
        <v>46064</v>
      </c>
      <c r="B736" s="25" t="s">
        <v>543</v>
      </c>
      <c r="C736" s="25" t="s">
        <v>1261</v>
      </c>
      <c r="D736" s="77">
        <f t="shared" si="270"/>
        <v>46087</v>
      </c>
      <c r="E736" s="77">
        <f t="shared" si="271"/>
        <v>46071</v>
      </c>
      <c r="F736" s="77">
        <f t="shared" si="272"/>
        <v>46078</v>
      </c>
      <c r="G736" s="77">
        <f t="shared" si="273"/>
        <v>46084</v>
      </c>
      <c r="H736" s="77">
        <f t="shared" si="274"/>
        <v>46072</v>
      </c>
      <c r="I736" s="77">
        <f t="shared" si="275"/>
        <v>46079</v>
      </c>
      <c r="J736" s="77">
        <v>46094</v>
      </c>
      <c r="K736" s="25">
        <f t="shared" si="276"/>
        <v>30</v>
      </c>
      <c r="L736" s="25">
        <v>16.21</v>
      </c>
      <c r="M736" s="25">
        <v>15.17</v>
      </c>
      <c r="N736" s="25">
        <f t="shared" si="277"/>
        <v>1.0400000000000009</v>
      </c>
      <c r="O736" s="25" t="s">
        <v>593</v>
      </c>
    </row>
    <row r="737" spans="1:15" x14ac:dyDescent="0.25">
      <c r="A737" s="77">
        <v>46064</v>
      </c>
      <c r="B737" s="25" t="s">
        <v>544</v>
      </c>
      <c r="C737" s="25" t="s">
        <v>1262</v>
      </c>
      <c r="D737" s="77">
        <f t="shared" si="270"/>
        <v>46087</v>
      </c>
      <c r="E737" s="77">
        <f t="shared" si="271"/>
        <v>46071</v>
      </c>
      <c r="F737" s="77">
        <f t="shared" si="272"/>
        <v>46078</v>
      </c>
      <c r="G737" s="77">
        <f t="shared" si="273"/>
        <v>46084</v>
      </c>
      <c r="H737" s="77">
        <f t="shared" si="274"/>
        <v>46072</v>
      </c>
      <c r="I737" s="77">
        <f t="shared" si="275"/>
        <v>46079</v>
      </c>
      <c r="J737" s="77">
        <v>46094</v>
      </c>
      <c r="K737" s="25">
        <f t="shared" si="276"/>
        <v>30</v>
      </c>
      <c r="L737" s="25">
        <v>17.350000000000001</v>
      </c>
      <c r="M737" s="25">
        <v>16.21</v>
      </c>
      <c r="N737" s="25">
        <f t="shared" si="277"/>
        <v>1.1400000000000006</v>
      </c>
      <c r="O737" s="25" t="s">
        <v>593</v>
      </c>
    </row>
    <row r="738" spans="1:15" x14ac:dyDescent="0.25">
      <c r="A738" s="77">
        <v>46065</v>
      </c>
      <c r="B738" s="25" t="s">
        <v>513</v>
      </c>
      <c r="C738" s="25" t="s">
        <v>1263</v>
      </c>
      <c r="D738" s="77">
        <f t="shared" si="270"/>
        <v>46088</v>
      </c>
      <c r="E738" s="77">
        <f t="shared" si="271"/>
        <v>46072</v>
      </c>
      <c r="F738" s="77">
        <f t="shared" si="272"/>
        <v>46079</v>
      </c>
      <c r="G738" s="77">
        <f t="shared" si="273"/>
        <v>46085</v>
      </c>
      <c r="H738" s="77">
        <f t="shared" si="274"/>
        <v>46073</v>
      </c>
      <c r="I738" s="77">
        <f t="shared" si="275"/>
        <v>46080</v>
      </c>
      <c r="J738" s="77">
        <v>46094</v>
      </c>
      <c r="K738" s="25">
        <f t="shared" si="276"/>
        <v>29</v>
      </c>
      <c r="L738" s="25">
        <v>16.2</v>
      </c>
      <c r="M738" s="25">
        <v>15.16</v>
      </c>
      <c r="N738" s="25">
        <f t="shared" si="277"/>
        <v>1.0399999999999991</v>
      </c>
      <c r="O738" s="25" t="s">
        <v>593</v>
      </c>
    </row>
    <row r="739" spans="1:15" x14ac:dyDescent="0.25">
      <c r="A739" s="77">
        <v>46065</v>
      </c>
      <c r="B739" s="25" t="s">
        <v>514</v>
      </c>
      <c r="C739" s="25" t="s">
        <v>1264</v>
      </c>
      <c r="D739" s="77">
        <f t="shared" si="270"/>
        <v>46088</v>
      </c>
      <c r="E739" s="77">
        <f t="shared" si="271"/>
        <v>46072</v>
      </c>
      <c r="F739" s="77">
        <f t="shared" si="272"/>
        <v>46079</v>
      </c>
      <c r="G739" s="77">
        <f t="shared" si="273"/>
        <v>46085</v>
      </c>
      <c r="H739" s="77">
        <f t="shared" si="274"/>
        <v>46073</v>
      </c>
      <c r="I739" s="77">
        <f t="shared" si="275"/>
        <v>46080</v>
      </c>
      <c r="J739" s="77">
        <v>46095</v>
      </c>
      <c r="K739" s="25">
        <f t="shared" si="276"/>
        <v>30</v>
      </c>
      <c r="L739" s="25">
        <v>14.38</v>
      </c>
      <c r="M739" s="25">
        <v>12.25</v>
      </c>
      <c r="N739" s="25">
        <f t="shared" si="277"/>
        <v>2.1300000000000008</v>
      </c>
      <c r="O739" s="25" t="s">
        <v>593</v>
      </c>
    </row>
    <row r="740" spans="1:15" x14ac:dyDescent="0.25">
      <c r="A740" s="77">
        <v>46065</v>
      </c>
      <c r="B740" s="25" t="s">
        <v>515</v>
      </c>
      <c r="C740" s="25" t="s">
        <v>1265</v>
      </c>
      <c r="D740" s="77">
        <f t="shared" si="270"/>
        <v>46088</v>
      </c>
      <c r="E740" s="77">
        <f t="shared" si="271"/>
        <v>46072</v>
      </c>
      <c r="F740" s="77">
        <f t="shared" si="272"/>
        <v>46079</v>
      </c>
      <c r="G740" s="77">
        <f t="shared" si="273"/>
        <v>46085</v>
      </c>
      <c r="H740" s="77">
        <f t="shared" si="274"/>
        <v>46073</v>
      </c>
      <c r="I740" s="77">
        <f t="shared" si="275"/>
        <v>46080</v>
      </c>
      <c r="J740" s="77">
        <v>46095</v>
      </c>
      <c r="K740" s="25">
        <f t="shared" si="276"/>
        <v>30</v>
      </c>
      <c r="L740" s="25">
        <v>14.21</v>
      </c>
      <c r="M740" s="25">
        <v>12.37</v>
      </c>
      <c r="N740" s="25">
        <f t="shared" si="277"/>
        <v>1.8400000000000016</v>
      </c>
      <c r="O740" s="25" t="s">
        <v>593</v>
      </c>
    </row>
    <row r="741" spans="1:15" x14ac:dyDescent="0.25">
      <c r="A741" s="77">
        <v>46065</v>
      </c>
      <c r="B741" s="25" t="s">
        <v>516</v>
      </c>
      <c r="C741" s="25" t="s">
        <v>1266</v>
      </c>
      <c r="D741" s="77">
        <f t="shared" si="270"/>
        <v>46088</v>
      </c>
      <c r="E741" s="77">
        <f t="shared" si="271"/>
        <v>46072</v>
      </c>
      <c r="F741" s="77">
        <f t="shared" si="272"/>
        <v>46079</v>
      </c>
      <c r="G741" s="77">
        <f t="shared" si="273"/>
        <v>46085</v>
      </c>
      <c r="H741" s="77">
        <f t="shared" si="274"/>
        <v>46073</v>
      </c>
      <c r="I741" s="77">
        <f t="shared" si="275"/>
        <v>46080</v>
      </c>
      <c r="J741" s="77">
        <v>46095</v>
      </c>
      <c r="K741" s="25">
        <f t="shared" si="276"/>
        <v>30</v>
      </c>
      <c r="L741" s="25">
        <v>14.73</v>
      </c>
      <c r="M741" s="25">
        <v>12.54</v>
      </c>
      <c r="N741" s="25">
        <f t="shared" si="277"/>
        <v>2.1900000000000013</v>
      </c>
      <c r="O741" s="25" t="s">
        <v>593</v>
      </c>
    </row>
    <row r="742" spans="1:15" x14ac:dyDescent="0.25">
      <c r="A742" s="77">
        <v>46065</v>
      </c>
      <c r="B742" s="25" t="s">
        <v>517</v>
      </c>
      <c r="C742" s="25" t="s">
        <v>1267</v>
      </c>
      <c r="D742" s="77">
        <f t="shared" si="270"/>
        <v>46088</v>
      </c>
      <c r="E742" s="77">
        <f t="shared" si="271"/>
        <v>46072</v>
      </c>
      <c r="F742" s="77">
        <f t="shared" si="272"/>
        <v>46079</v>
      </c>
      <c r="G742" s="77">
        <f t="shared" si="273"/>
        <v>46085</v>
      </c>
      <c r="H742" s="77">
        <f t="shared" si="274"/>
        <v>46073</v>
      </c>
      <c r="I742" s="77">
        <f t="shared" si="275"/>
        <v>46080</v>
      </c>
      <c r="J742" s="77">
        <v>46095</v>
      </c>
      <c r="K742" s="25">
        <f t="shared" si="276"/>
        <v>30</v>
      </c>
      <c r="L742" s="25">
        <v>12.91</v>
      </c>
      <c r="M742" s="25">
        <v>11.24</v>
      </c>
      <c r="N742" s="25">
        <f t="shared" si="277"/>
        <v>1.67</v>
      </c>
      <c r="O742" s="25" t="s">
        <v>593</v>
      </c>
    </row>
    <row r="743" spans="1:15" x14ac:dyDescent="0.25">
      <c r="A743" s="77">
        <v>46065</v>
      </c>
      <c r="B743" s="25" t="s">
        <v>518</v>
      </c>
      <c r="C743" s="25" t="s">
        <v>1268</v>
      </c>
      <c r="D743" s="77">
        <f t="shared" si="270"/>
        <v>46088</v>
      </c>
      <c r="E743" s="77">
        <f t="shared" si="271"/>
        <v>46072</v>
      </c>
      <c r="F743" s="77">
        <f t="shared" si="272"/>
        <v>46079</v>
      </c>
      <c r="G743" s="77">
        <f t="shared" si="273"/>
        <v>46085</v>
      </c>
      <c r="H743" s="77">
        <f t="shared" si="274"/>
        <v>46073</v>
      </c>
      <c r="I743" s="77">
        <f t="shared" si="275"/>
        <v>46080</v>
      </c>
      <c r="J743" s="77">
        <v>46095</v>
      </c>
      <c r="K743" s="25">
        <f t="shared" si="276"/>
        <v>30</v>
      </c>
      <c r="L743" s="25">
        <v>13.54</v>
      </c>
      <c r="M743" s="25">
        <v>11.58</v>
      </c>
      <c r="N743" s="25">
        <f t="shared" si="277"/>
        <v>1.9599999999999991</v>
      </c>
      <c r="O743" s="25" t="s">
        <v>593</v>
      </c>
    </row>
    <row r="744" spans="1:15" x14ac:dyDescent="0.25">
      <c r="A744" s="77">
        <v>46065</v>
      </c>
      <c r="B744" s="25" t="s">
        <v>519</v>
      </c>
      <c r="C744" s="25" t="s">
        <v>1269</v>
      </c>
      <c r="D744" s="77">
        <f t="shared" si="270"/>
        <v>46088</v>
      </c>
      <c r="E744" s="77">
        <f t="shared" si="271"/>
        <v>46072</v>
      </c>
      <c r="F744" s="77">
        <f t="shared" si="272"/>
        <v>46079</v>
      </c>
      <c r="G744" s="77">
        <f t="shared" si="273"/>
        <v>46085</v>
      </c>
      <c r="H744" s="77">
        <f t="shared" si="274"/>
        <v>46073</v>
      </c>
      <c r="I744" s="77">
        <f t="shared" si="275"/>
        <v>46080</v>
      </c>
      <c r="J744" s="77">
        <v>46095</v>
      </c>
      <c r="K744" s="25">
        <f t="shared" si="276"/>
        <v>30</v>
      </c>
      <c r="L744" s="25">
        <v>14.56</v>
      </c>
      <c r="M744" s="25">
        <v>12.41</v>
      </c>
      <c r="N744" s="25">
        <f t="shared" si="277"/>
        <v>2.1500000000000004</v>
      </c>
      <c r="O744" s="25" t="s">
        <v>593</v>
      </c>
    </row>
    <row r="745" spans="1:15" x14ac:dyDescent="0.25">
      <c r="A745" s="77">
        <v>46066</v>
      </c>
      <c r="B745" s="25" t="s">
        <v>520</v>
      </c>
      <c r="C745" s="25" t="s">
        <v>1270</v>
      </c>
      <c r="D745" s="77">
        <f t="shared" si="270"/>
        <v>46089</v>
      </c>
      <c r="E745" s="77">
        <f t="shared" si="271"/>
        <v>46073</v>
      </c>
      <c r="F745" s="77">
        <f t="shared" si="272"/>
        <v>46080</v>
      </c>
      <c r="G745" s="77">
        <f t="shared" si="273"/>
        <v>46086</v>
      </c>
      <c r="H745" s="77">
        <f t="shared" si="274"/>
        <v>46074</v>
      </c>
      <c r="I745" s="77">
        <f t="shared" si="275"/>
        <v>46081</v>
      </c>
      <c r="J745" s="77">
        <v>46095</v>
      </c>
      <c r="K745" s="25">
        <f t="shared" si="276"/>
        <v>29</v>
      </c>
      <c r="L745" s="25">
        <v>13.1</v>
      </c>
      <c r="M745" s="25">
        <v>10.32</v>
      </c>
      <c r="N745" s="25">
        <f t="shared" si="277"/>
        <v>2.7799999999999994</v>
      </c>
      <c r="O745" s="25" t="s">
        <v>593</v>
      </c>
    </row>
    <row r="746" spans="1:15" x14ac:dyDescent="0.25">
      <c r="A746" s="77">
        <v>46066</v>
      </c>
      <c r="B746" s="25" t="s">
        <v>521</v>
      </c>
      <c r="C746" s="25" t="s">
        <v>1271</v>
      </c>
      <c r="D746" s="77">
        <f t="shared" si="270"/>
        <v>46089</v>
      </c>
      <c r="E746" s="77">
        <f t="shared" si="271"/>
        <v>46073</v>
      </c>
      <c r="F746" s="77">
        <f t="shared" si="272"/>
        <v>46080</v>
      </c>
      <c r="G746" s="77">
        <f t="shared" si="273"/>
        <v>46086</v>
      </c>
      <c r="H746" s="77">
        <f t="shared" si="274"/>
        <v>46074</v>
      </c>
      <c r="I746" s="77">
        <f t="shared" si="275"/>
        <v>46081</v>
      </c>
      <c r="J746" s="77">
        <v>46095</v>
      </c>
      <c r="K746" s="25">
        <f t="shared" si="276"/>
        <v>29</v>
      </c>
      <c r="L746" s="25">
        <v>13.86</v>
      </c>
      <c r="M746" s="25">
        <v>11.73</v>
      </c>
      <c r="N746" s="25">
        <f t="shared" si="277"/>
        <v>2.129999999999999</v>
      </c>
      <c r="O746" s="25" t="s">
        <v>593</v>
      </c>
    </row>
    <row r="747" spans="1:15" x14ac:dyDescent="0.25">
      <c r="A747" s="77">
        <v>46066</v>
      </c>
      <c r="B747" s="25" t="s">
        <v>522</v>
      </c>
      <c r="C747" s="25" t="s">
        <v>1272</v>
      </c>
      <c r="D747" s="77">
        <f t="shared" si="270"/>
        <v>46089</v>
      </c>
      <c r="E747" s="77">
        <f t="shared" si="271"/>
        <v>46073</v>
      </c>
      <c r="F747" s="77">
        <f t="shared" si="272"/>
        <v>46080</v>
      </c>
      <c r="G747" s="77">
        <f t="shared" si="273"/>
        <v>46086</v>
      </c>
      <c r="H747" s="77">
        <f t="shared" si="274"/>
        <v>46074</v>
      </c>
      <c r="I747" s="77">
        <f t="shared" si="275"/>
        <v>46081</v>
      </c>
      <c r="J747" s="77">
        <v>46095</v>
      </c>
      <c r="K747" s="25">
        <f t="shared" si="276"/>
        <v>29</v>
      </c>
      <c r="L747" s="25">
        <v>14.8</v>
      </c>
      <c r="M747" s="25">
        <v>12.64</v>
      </c>
      <c r="N747" s="25">
        <f t="shared" si="277"/>
        <v>2.16</v>
      </c>
      <c r="O747" s="25" t="s">
        <v>593</v>
      </c>
    </row>
    <row r="748" spans="1:15" x14ac:dyDescent="0.25">
      <c r="A748" s="77">
        <v>46066</v>
      </c>
      <c r="B748" s="25" t="s">
        <v>523</v>
      </c>
      <c r="C748" s="25" t="s">
        <v>1273</v>
      </c>
      <c r="D748" s="77">
        <f t="shared" si="270"/>
        <v>46089</v>
      </c>
      <c r="E748" s="77">
        <f t="shared" si="271"/>
        <v>46073</v>
      </c>
      <c r="F748" s="77">
        <f t="shared" si="272"/>
        <v>46080</v>
      </c>
      <c r="G748" s="77">
        <f t="shared" si="273"/>
        <v>46086</v>
      </c>
      <c r="H748" s="77">
        <f t="shared" si="274"/>
        <v>46074</v>
      </c>
      <c r="I748" s="77">
        <f t="shared" si="275"/>
        <v>46081</v>
      </c>
      <c r="J748" s="77">
        <v>46095</v>
      </c>
      <c r="K748" s="25">
        <f t="shared" si="276"/>
        <v>29</v>
      </c>
      <c r="L748" s="25">
        <v>14.74</v>
      </c>
      <c r="M748" s="25">
        <v>12.58</v>
      </c>
      <c r="N748" s="25">
        <f t="shared" si="277"/>
        <v>2.16</v>
      </c>
      <c r="O748" s="25" t="s">
        <v>593</v>
      </c>
    </row>
    <row r="749" spans="1:15" x14ac:dyDescent="0.25">
      <c r="A749" s="77">
        <v>46066</v>
      </c>
      <c r="B749" s="25" t="s">
        <v>524</v>
      </c>
      <c r="C749" s="25" t="s">
        <v>1274</v>
      </c>
      <c r="D749" s="77">
        <f t="shared" si="270"/>
        <v>46089</v>
      </c>
      <c r="E749" s="77">
        <f t="shared" si="271"/>
        <v>46073</v>
      </c>
      <c r="F749" s="77">
        <f t="shared" si="272"/>
        <v>46080</v>
      </c>
      <c r="G749" s="77">
        <f t="shared" si="273"/>
        <v>46086</v>
      </c>
      <c r="H749" s="77">
        <f t="shared" si="274"/>
        <v>46074</v>
      </c>
      <c r="I749" s="77">
        <f t="shared" si="275"/>
        <v>46081</v>
      </c>
      <c r="J749" s="77">
        <v>46096</v>
      </c>
      <c r="K749" s="25">
        <f t="shared" si="276"/>
        <v>30</v>
      </c>
      <c r="L749" s="25">
        <v>10.81</v>
      </c>
      <c r="M749" s="25">
        <v>8.5299999999999994</v>
      </c>
      <c r="N749" s="25">
        <f t="shared" si="277"/>
        <v>2.2800000000000011</v>
      </c>
      <c r="O749" s="25" t="s">
        <v>593</v>
      </c>
    </row>
    <row r="750" spans="1:15" x14ac:dyDescent="0.25">
      <c r="A750" s="77">
        <v>46066</v>
      </c>
      <c r="B750" s="25" t="s">
        <v>525</v>
      </c>
      <c r="C750" s="25" t="s">
        <v>1275</v>
      </c>
      <c r="D750" s="77">
        <f t="shared" si="270"/>
        <v>46089</v>
      </c>
      <c r="E750" s="77">
        <f t="shared" si="271"/>
        <v>46073</v>
      </c>
      <c r="F750" s="77">
        <f t="shared" si="272"/>
        <v>46080</v>
      </c>
      <c r="G750" s="77">
        <f t="shared" si="273"/>
        <v>46086</v>
      </c>
      <c r="H750" s="77">
        <f t="shared" si="274"/>
        <v>46074</v>
      </c>
      <c r="I750" s="77">
        <f t="shared" si="275"/>
        <v>46081</v>
      </c>
      <c r="J750" s="77">
        <v>46096</v>
      </c>
      <c r="K750" s="25">
        <f t="shared" si="276"/>
        <v>30</v>
      </c>
      <c r="L750" s="25">
        <v>11.28</v>
      </c>
      <c r="M750" s="25">
        <v>9.34</v>
      </c>
      <c r="N750" s="25">
        <f t="shared" si="277"/>
        <v>1.9399999999999995</v>
      </c>
      <c r="O750" s="25" t="s">
        <v>593</v>
      </c>
    </row>
    <row r="751" spans="1:15" x14ac:dyDescent="0.25">
      <c r="A751" s="77">
        <v>46066</v>
      </c>
      <c r="B751" s="25" t="s">
        <v>526</v>
      </c>
      <c r="C751" s="25" t="s">
        <v>1276</v>
      </c>
      <c r="D751" s="77">
        <f t="shared" si="270"/>
        <v>46089</v>
      </c>
      <c r="E751" s="77">
        <f t="shared" si="271"/>
        <v>46073</v>
      </c>
      <c r="F751" s="77">
        <f t="shared" si="272"/>
        <v>46080</v>
      </c>
      <c r="G751" s="77">
        <f t="shared" si="273"/>
        <v>46086</v>
      </c>
      <c r="H751" s="77">
        <f t="shared" si="274"/>
        <v>46074</v>
      </c>
      <c r="I751" s="77">
        <f t="shared" si="275"/>
        <v>46081</v>
      </c>
      <c r="J751" s="77">
        <v>46096</v>
      </c>
      <c r="K751" s="25">
        <f t="shared" si="276"/>
        <v>30</v>
      </c>
      <c r="L751" s="25">
        <v>10.36</v>
      </c>
      <c r="M751" s="25">
        <v>8.76</v>
      </c>
      <c r="N751" s="25">
        <f t="shared" si="277"/>
        <v>1.5999999999999996</v>
      </c>
      <c r="O751" s="25" t="s">
        <v>593</v>
      </c>
    </row>
    <row r="752" spans="1:15" x14ac:dyDescent="0.25">
      <c r="A752" s="77">
        <v>46067</v>
      </c>
      <c r="B752" s="25" t="s">
        <v>527</v>
      </c>
      <c r="C752" s="25" t="s">
        <v>1277</v>
      </c>
      <c r="D752" s="77">
        <f t="shared" si="270"/>
        <v>46090</v>
      </c>
      <c r="E752" s="77">
        <f t="shared" si="271"/>
        <v>46074</v>
      </c>
      <c r="F752" s="77">
        <f t="shared" si="272"/>
        <v>46081</v>
      </c>
      <c r="G752" s="77">
        <f t="shared" si="273"/>
        <v>46087</v>
      </c>
      <c r="H752" s="77">
        <f t="shared" si="274"/>
        <v>46075</v>
      </c>
      <c r="I752" s="77">
        <f t="shared" si="275"/>
        <v>46082</v>
      </c>
      <c r="J752" s="77">
        <v>46096</v>
      </c>
      <c r="K752" s="25">
        <f t="shared" si="276"/>
        <v>29</v>
      </c>
      <c r="L752" s="25">
        <v>12.17</v>
      </c>
      <c r="M752" s="25">
        <v>10.11</v>
      </c>
      <c r="N752" s="25">
        <f t="shared" si="277"/>
        <v>2.0600000000000005</v>
      </c>
      <c r="O752" s="25" t="s">
        <v>593</v>
      </c>
    </row>
    <row r="753" spans="1:15" x14ac:dyDescent="0.25">
      <c r="A753" s="77">
        <v>46067</v>
      </c>
      <c r="B753" s="25" t="s">
        <v>528</v>
      </c>
      <c r="C753" s="25" t="s">
        <v>1278</v>
      </c>
      <c r="D753" s="77">
        <f t="shared" si="270"/>
        <v>46090</v>
      </c>
      <c r="E753" s="77">
        <f t="shared" si="271"/>
        <v>46074</v>
      </c>
      <c r="F753" s="77">
        <f t="shared" si="272"/>
        <v>46081</v>
      </c>
      <c r="G753" s="77">
        <f t="shared" si="273"/>
        <v>46087</v>
      </c>
      <c r="H753" s="77">
        <f t="shared" si="274"/>
        <v>46075</v>
      </c>
      <c r="I753" s="77">
        <f t="shared" si="275"/>
        <v>46082</v>
      </c>
      <c r="J753" s="77">
        <v>46096</v>
      </c>
      <c r="K753" s="25">
        <f t="shared" si="276"/>
        <v>29</v>
      </c>
      <c r="L753" s="25">
        <v>12.54</v>
      </c>
      <c r="M753" s="25">
        <v>10.25</v>
      </c>
      <c r="N753" s="25">
        <f t="shared" si="277"/>
        <v>2.2899999999999991</v>
      </c>
      <c r="O753" s="25" t="s">
        <v>593</v>
      </c>
    </row>
    <row r="754" spans="1:15" x14ac:dyDescent="0.25">
      <c r="A754" s="77">
        <v>46067</v>
      </c>
      <c r="B754" s="25" t="s">
        <v>529</v>
      </c>
      <c r="C754" s="25" t="s">
        <v>1279</v>
      </c>
      <c r="D754" s="77">
        <f t="shared" si="270"/>
        <v>46090</v>
      </c>
      <c r="E754" s="77">
        <f t="shared" si="271"/>
        <v>46074</v>
      </c>
      <c r="F754" s="77">
        <f t="shared" si="272"/>
        <v>46081</v>
      </c>
      <c r="G754" s="77">
        <f t="shared" si="273"/>
        <v>46087</v>
      </c>
      <c r="H754" s="77">
        <f t="shared" si="274"/>
        <v>46075</v>
      </c>
      <c r="I754" s="77">
        <f t="shared" si="275"/>
        <v>46082</v>
      </c>
      <c r="J754" s="77">
        <v>46096</v>
      </c>
      <c r="K754" s="25">
        <f t="shared" si="276"/>
        <v>29</v>
      </c>
      <c r="L754" s="25">
        <v>11.86</v>
      </c>
      <c r="M754" s="25">
        <v>9.73</v>
      </c>
      <c r="N754" s="25">
        <f t="shared" si="277"/>
        <v>2.129999999999999</v>
      </c>
      <c r="O754" s="25" t="s">
        <v>593</v>
      </c>
    </row>
    <row r="755" spans="1:15" x14ac:dyDescent="0.25">
      <c r="A755" s="77">
        <v>46067</v>
      </c>
      <c r="B755" s="25" t="s">
        <v>530</v>
      </c>
      <c r="C755" s="25" t="s">
        <v>1280</v>
      </c>
      <c r="D755" s="77">
        <f t="shared" si="270"/>
        <v>46090</v>
      </c>
      <c r="E755" s="77">
        <f t="shared" si="271"/>
        <v>46074</v>
      </c>
      <c r="F755" s="77">
        <f t="shared" si="272"/>
        <v>46081</v>
      </c>
      <c r="G755" s="77">
        <f t="shared" si="273"/>
        <v>46087</v>
      </c>
      <c r="H755" s="77">
        <f t="shared" si="274"/>
        <v>46075</v>
      </c>
      <c r="I755" s="77">
        <f t="shared" si="275"/>
        <v>46082</v>
      </c>
      <c r="J755" s="77">
        <v>46096</v>
      </c>
      <c r="K755" s="25">
        <f t="shared" si="276"/>
        <v>29</v>
      </c>
      <c r="L755" s="25">
        <v>10.25</v>
      </c>
      <c r="M755" s="25">
        <v>8.1199999999999992</v>
      </c>
      <c r="N755" s="25">
        <f t="shared" si="277"/>
        <v>2.1300000000000008</v>
      </c>
      <c r="O755" s="25" t="s">
        <v>593</v>
      </c>
    </row>
    <row r="756" spans="1:15" x14ac:dyDescent="0.25">
      <c r="A756" s="77">
        <v>46067</v>
      </c>
      <c r="B756" s="25" t="s">
        <v>531</v>
      </c>
      <c r="C756" s="25" t="s">
        <v>1281</v>
      </c>
      <c r="D756" s="77">
        <f t="shared" si="270"/>
        <v>46090</v>
      </c>
      <c r="E756" s="77">
        <f t="shared" si="271"/>
        <v>46074</v>
      </c>
      <c r="F756" s="77">
        <f t="shared" si="272"/>
        <v>46081</v>
      </c>
      <c r="G756" s="77">
        <f t="shared" si="273"/>
        <v>46087</v>
      </c>
      <c r="H756" s="77">
        <f t="shared" si="274"/>
        <v>46075</v>
      </c>
      <c r="I756" s="77">
        <f t="shared" si="275"/>
        <v>46082</v>
      </c>
      <c r="J756" s="77">
        <v>46096</v>
      </c>
      <c r="K756" s="25">
        <f t="shared" si="276"/>
        <v>29</v>
      </c>
      <c r="L756" s="25">
        <v>10.17</v>
      </c>
      <c r="M756" s="25">
        <v>8.36</v>
      </c>
      <c r="N756" s="25">
        <f t="shared" si="277"/>
        <v>1.8100000000000005</v>
      </c>
      <c r="O756" s="25" t="s">
        <v>593</v>
      </c>
    </row>
    <row r="757" spans="1:15" x14ac:dyDescent="0.25">
      <c r="A757" s="77">
        <v>46067</v>
      </c>
      <c r="B757" s="25" t="s">
        <v>532</v>
      </c>
      <c r="C757" s="25" t="s">
        <v>1282</v>
      </c>
      <c r="D757" s="77">
        <f t="shared" si="270"/>
        <v>46090</v>
      </c>
      <c r="E757" s="77">
        <f t="shared" si="271"/>
        <v>46074</v>
      </c>
      <c r="F757" s="77">
        <f t="shared" si="272"/>
        <v>46081</v>
      </c>
      <c r="G757" s="77">
        <f t="shared" si="273"/>
        <v>46087</v>
      </c>
      <c r="H757" s="77">
        <f t="shared" si="274"/>
        <v>46075</v>
      </c>
      <c r="I757" s="77">
        <f t="shared" si="275"/>
        <v>46082</v>
      </c>
      <c r="J757" s="77">
        <v>46096</v>
      </c>
      <c r="K757" s="25">
        <f t="shared" si="276"/>
        <v>29</v>
      </c>
      <c r="L757" s="25">
        <v>11.54</v>
      </c>
      <c r="M757" s="25">
        <v>9.1999999999999993</v>
      </c>
      <c r="N757" s="25">
        <f t="shared" si="277"/>
        <v>2.34</v>
      </c>
      <c r="O757" s="25" t="s">
        <v>593</v>
      </c>
    </row>
    <row r="758" spans="1:15" x14ac:dyDescent="0.25">
      <c r="A758" s="77">
        <v>46067</v>
      </c>
      <c r="B758" s="25" t="s">
        <v>533</v>
      </c>
      <c r="C758" s="25" t="s">
        <v>1283</v>
      </c>
      <c r="D758" s="77">
        <f t="shared" si="270"/>
        <v>46090</v>
      </c>
      <c r="E758" s="77">
        <f t="shared" si="271"/>
        <v>46074</v>
      </c>
      <c r="F758" s="77">
        <f t="shared" si="272"/>
        <v>46081</v>
      </c>
      <c r="G758" s="77">
        <f t="shared" si="273"/>
        <v>46087</v>
      </c>
      <c r="H758" s="77">
        <f t="shared" si="274"/>
        <v>46075</v>
      </c>
      <c r="I758" s="77">
        <f t="shared" si="275"/>
        <v>46082</v>
      </c>
      <c r="J758" s="77">
        <v>46096</v>
      </c>
      <c r="K758" s="25">
        <f t="shared" si="276"/>
        <v>29</v>
      </c>
      <c r="L758" s="25">
        <v>10.68</v>
      </c>
      <c r="M758" s="25">
        <v>8.73</v>
      </c>
      <c r="N758" s="25">
        <f t="shared" si="277"/>
        <v>1.9499999999999993</v>
      </c>
      <c r="O758" s="25" t="s">
        <v>593</v>
      </c>
    </row>
    <row r="759" spans="1:15" x14ac:dyDescent="0.25">
      <c r="A759" s="77">
        <v>46068</v>
      </c>
      <c r="B759" s="25" t="s">
        <v>359</v>
      </c>
      <c r="C759" s="25" t="s">
        <v>1284</v>
      </c>
      <c r="D759" s="77">
        <f t="shared" si="270"/>
        <v>46091</v>
      </c>
      <c r="E759" s="77">
        <f t="shared" si="271"/>
        <v>46075</v>
      </c>
      <c r="F759" s="77">
        <f t="shared" si="272"/>
        <v>46082</v>
      </c>
      <c r="G759" s="77">
        <f t="shared" si="273"/>
        <v>46088</v>
      </c>
      <c r="H759" s="77">
        <f t="shared" si="274"/>
        <v>46076</v>
      </c>
      <c r="I759" s="77">
        <f t="shared" si="275"/>
        <v>46083</v>
      </c>
      <c r="J759" s="77">
        <v>46096</v>
      </c>
      <c r="K759" s="25">
        <f t="shared" si="276"/>
        <v>28</v>
      </c>
      <c r="L759" s="25">
        <v>12.54</v>
      </c>
      <c r="M759" s="25">
        <v>10.58</v>
      </c>
      <c r="N759" s="25">
        <f t="shared" si="277"/>
        <v>1.9599999999999991</v>
      </c>
      <c r="O759" s="25" t="s">
        <v>593</v>
      </c>
    </row>
    <row r="760" spans="1:15" x14ac:dyDescent="0.25">
      <c r="A760" s="77">
        <v>46068</v>
      </c>
      <c r="B760" s="25" t="s">
        <v>360</v>
      </c>
      <c r="C760" s="25" t="s">
        <v>1285</v>
      </c>
      <c r="D760" s="77">
        <f t="shared" si="270"/>
        <v>46091</v>
      </c>
      <c r="E760" s="77">
        <f t="shared" si="271"/>
        <v>46075</v>
      </c>
      <c r="F760" s="77">
        <f t="shared" si="272"/>
        <v>46082</v>
      </c>
      <c r="G760" s="77">
        <f t="shared" si="273"/>
        <v>46088</v>
      </c>
      <c r="H760" s="77">
        <f t="shared" si="274"/>
        <v>46076</v>
      </c>
      <c r="I760" s="77">
        <f t="shared" si="275"/>
        <v>46083</v>
      </c>
      <c r="J760" s="77">
        <v>46096</v>
      </c>
      <c r="K760" s="25">
        <f t="shared" si="276"/>
        <v>28</v>
      </c>
      <c r="L760" s="25">
        <v>13.1</v>
      </c>
      <c r="M760" s="25">
        <v>11.51</v>
      </c>
      <c r="N760" s="25">
        <f t="shared" si="277"/>
        <v>1.5899999999999999</v>
      </c>
      <c r="O760" s="25" t="s">
        <v>593</v>
      </c>
    </row>
    <row r="761" spans="1:15" x14ac:dyDescent="0.25">
      <c r="A761" s="77">
        <v>46068</v>
      </c>
      <c r="B761" s="25" t="s">
        <v>361</v>
      </c>
      <c r="C761" s="25" t="s">
        <v>1286</v>
      </c>
      <c r="D761" s="77">
        <f t="shared" si="270"/>
        <v>46091</v>
      </c>
      <c r="E761" s="77">
        <f t="shared" si="271"/>
        <v>46075</v>
      </c>
      <c r="F761" s="77">
        <f t="shared" si="272"/>
        <v>46082</v>
      </c>
      <c r="G761" s="77">
        <f t="shared" si="273"/>
        <v>46088</v>
      </c>
      <c r="H761" s="77">
        <f t="shared" si="274"/>
        <v>46076</v>
      </c>
      <c r="I761" s="77">
        <f t="shared" si="275"/>
        <v>46083</v>
      </c>
      <c r="J761" s="77">
        <v>46096</v>
      </c>
      <c r="K761" s="25">
        <f t="shared" si="276"/>
        <v>28</v>
      </c>
      <c r="L761" s="25">
        <v>11.51</v>
      </c>
      <c r="M761" s="25">
        <v>10.130000000000001</v>
      </c>
      <c r="N761" s="25">
        <f t="shared" si="277"/>
        <v>1.379999999999999</v>
      </c>
      <c r="O761" s="25" t="s">
        <v>593</v>
      </c>
    </row>
    <row r="762" spans="1:15" x14ac:dyDescent="0.25">
      <c r="A762" s="77">
        <v>46068</v>
      </c>
      <c r="B762" s="25" t="s">
        <v>362</v>
      </c>
      <c r="C762" s="25" t="s">
        <v>1287</v>
      </c>
      <c r="D762" s="77">
        <f t="shared" si="270"/>
        <v>46091</v>
      </c>
      <c r="E762" s="77">
        <f t="shared" si="271"/>
        <v>46075</v>
      </c>
      <c r="F762" s="77">
        <f t="shared" si="272"/>
        <v>46082</v>
      </c>
      <c r="G762" s="77">
        <f t="shared" si="273"/>
        <v>46088</v>
      </c>
      <c r="H762" s="77">
        <f t="shared" si="274"/>
        <v>46076</v>
      </c>
      <c r="I762" s="77">
        <f t="shared" si="275"/>
        <v>46083</v>
      </c>
      <c r="J762" s="77">
        <v>46096</v>
      </c>
      <c r="K762" s="25">
        <f t="shared" si="276"/>
        <v>28</v>
      </c>
      <c r="L762" s="25">
        <v>13.14</v>
      </c>
      <c r="M762" s="25">
        <v>11.47</v>
      </c>
      <c r="N762" s="25">
        <f t="shared" si="277"/>
        <v>1.67</v>
      </c>
      <c r="O762" s="25" t="s">
        <v>593</v>
      </c>
    </row>
    <row r="763" spans="1:15" x14ac:dyDescent="0.25">
      <c r="A763" s="77">
        <v>46068</v>
      </c>
      <c r="B763" s="25" t="s">
        <v>363</v>
      </c>
      <c r="C763" s="25" t="s">
        <v>1288</v>
      </c>
      <c r="D763" s="77">
        <f t="shared" si="270"/>
        <v>46091</v>
      </c>
      <c r="E763" s="77">
        <f t="shared" si="271"/>
        <v>46075</v>
      </c>
      <c r="F763" s="77">
        <f t="shared" si="272"/>
        <v>46082</v>
      </c>
      <c r="G763" s="77">
        <f t="shared" si="273"/>
        <v>46088</v>
      </c>
      <c r="H763" s="77">
        <f t="shared" si="274"/>
        <v>46076</v>
      </c>
      <c r="I763" s="77">
        <f t="shared" si="275"/>
        <v>46083</v>
      </c>
      <c r="J763" s="77">
        <v>46097</v>
      </c>
      <c r="K763" s="25">
        <f t="shared" si="276"/>
        <v>29</v>
      </c>
      <c r="L763" s="25">
        <v>13.07</v>
      </c>
      <c r="M763" s="25">
        <v>11.73</v>
      </c>
      <c r="N763" s="25">
        <f t="shared" si="277"/>
        <v>1.3399999999999999</v>
      </c>
      <c r="O763" s="25" t="s">
        <v>593</v>
      </c>
    </row>
    <row r="764" spans="1:15" x14ac:dyDescent="0.25">
      <c r="A764" s="77">
        <v>46068</v>
      </c>
      <c r="B764" s="25" t="s">
        <v>364</v>
      </c>
      <c r="C764" s="25" t="s">
        <v>1289</v>
      </c>
      <c r="D764" s="77">
        <f t="shared" si="270"/>
        <v>46091</v>
      </c>
      <c r="E764" s="77">
        <f t="shared" si="271"/>
        <v>46075</v>
      </c>
      <c r="F764" s="77">
        <f t="shared" si="272"/>
        <v>46082</v>
      </c>
      <c r="G764" s="77">
        <f t="shared" si="273"/>
        <v>46088</v>
      </c>
      <c r="H764" s="77">
        <f t="shared" si="274"/>
        <v>46076</v>
      </c>
      <c r="I764" s="77">
        <f t="shared" si="275"/>
        <v>46083</v>
      </c>
      <c r="J764" s="77">
        <v>46097</v>
      </c>
      <c r="K764" s="25">
        <f t="shared" si="276"/>
        <v>29</v>
      </c>
      <c r="L764" s="25">
        <v>12.16</v>
      </c>
      <c r="M764" s="25">
        <v>10.15</v>
      </c>
      <c r="N764" s="25">
        <f t="shared" si="277"/>
        <v>2.0099999999999998</v>
      </c>
      <c r="O764" s="25" t="s">
        <v>593</v>
      </c>
    </row>
    <row r="765" spans="1:15" x14ac:dyDescent="0.25">
      <c r="A765" s="77">
        <v>46068</v>
      </c>
      <c r="B765" s="25" t="s">
        <v>365</v>
      </c>
      <c r="C765" s="25" t="s">
        <v>1290</v>
      </c>
      <c r="D765" s="77">
        <f t="shared" si="270"/>
        <v>46091</v>
      </c>
      <c r="E765" s="77">
        <f t="shared" si="271"/>
        <v>46075</v>
      </c>
      <c r="F765" s="77">
        <f t="shared" si="272"/>
        <v>46082</v>
      </c>
      <c r="G765" s="77">
        <f t="shared" si="273"/>
        <v>46088</v>
      </c>
      <c r="H765" s="77">
        <f t="shared" si="274"/>
        <v>46076</v>
      </c>
      <c r="I765" s="77">
        <f t="shared" si="275"/>
        <v>46083</v>
      </c>
      <c r="J765" s="77">
        <v>46097</v>
      </c>
      <c r="K765" s="25">
        <f t="shared" si="276"/>
        <v>29</v>
      </c>
      <c r="L765" s="25">
        <v>12.33</v>
      </c>
      <c r="M765" s="25">
        <v>10.58</v>
      </c>
      <c r="N765" s="25">
        <f t="shared" si="277"/>
        <v>1.75</v>
      </c>
      <c r="O765" s="25" t="s">
        <v>593</v>
      </c>
    </row>
    <row r="766" spans="1:15" x14ac:dyDescent="0.25">
      <c r="A766" s="77">
        <v>46069</v>
      </c>
      <c r="B766" s="25" t="s">
        <v>379</v>
      </c>
      <c r="C766" s="25" t="s">
        <v>1291</v>
      </c>
      <c r="D766" s="77">
        <f t="shared" si="270"/>
        <v>46092</v>
      </c>
      <c r="E766" s="77">
        <f t="shared" si="271"/>
        <v>46076</v>
      </c>
      <c r="F766" s="77">
        <f t="shared" si="272"/>
        <v>46083</v>
      </c>
      <c r="G766" s="77">
        <f t="shared" si="273"/>
        <v>46089</v>
      </c>
      <c r="H766" s="77">
        <f t="shared" si="274"/>
        <v>46077</v>
      </c>
      <c r="I766" s="77">
        <f t="shared" si="275"/>
        <v>46084</v>
      </c>
      <c r="J766" s="77">
        <v>46097</v>
      </c>
      <c r="K766" s="25">
        <f t="shared" si="276"/>
        <v>28</v>
      </c>
      <c r="L766" s="25">
        <v>13.1</v>
      </c>
      <c r="M766" s="25">
        <v>11.31</v>
      </c>
      <c r="N766" s="25">
        <f t="shared" si="277"/>
        <v>1.7899999999999991</v>
      </c>
      <c r="O766" s="25" t="s">
        <v>593</v>
      </c>
    </row>
    <row r="767" spans="1:15" x14ac:dyDescent="0.25">
      <c r="A767" s="77">
        <v>46069</v>
      </c>
      <c r="B767" s="25" t="s">
        <v>380</v>
      </c>
      <c r="C767" s="25" t="s">
        <v>1292</v>
      </c>
      <c r="D767" s="77">
        <f t="shared" si="270"/>
        <v>46092</v>
      </c>
      <c r="E767" s="77">
        <f t="shared" si="271"/>
        <v>46076</v>
      </c>
      <c r="F767" s="77">
        <f t="shared" si="272"/>
        <v>46083</v>
      </c>
      <c r="G767" s="77">
        <f t="shared" si="273"/>
        <v>46089</v>
      </c>
      <c r="H767" s="77">
        <f t="shared" si="274"/>
        <v>46077</v>
      </c>
      <c r="I767" s="77">
        <f t="shared" si="275"/>
        <v>46084</v>
      </c>
      <c r="J767" s="77">
        <v>46097</v>
      </c>
      <c r="K767" s="25">
        <f t="shared" si="276"/>
        <v>28</v>
      </c>
      <c r="L767" s="25">
        <v>12.93</v>
      </c>
      <c r="M767" s="25">
        <v>11.74</v>
      </c>
      <c r="N767" s="25">
        <f t="shared" si="277"/>
        <v>1.1899999999999995</v>
      </c>
      <c r="O767" s="25" t="s">
        <v>593</v>
      </c>
    </row>
    <row r="768" spans="1:15" x14ac:dyDescent="0.25">
      <c r="A768" s="77">
        <v>46069</v>
      </c>
      <c r="B768" s="25" t="s">
        <v>381</v>
      </c>
      <c r="C768" s="25" t="s">
        <v>1293</v>
      </c>
      <c r="D768" s="77">
        <f t="shared" si="270"/>
        <v>46092</v>
      </c>
      <c r="E768" s="77">
        <f t="shared" si="271"/>
        <v>46076</v>
      </c>
      <c r="F768" s="77">
        <f t="shared" si="272"/>
        <v>46083</v>
      </c>
      <c r="G768" s="77">
        <f t="shared" si="273"/>
        <v>46089</v>
      </c>
      <c r="H768" s="77">
        <f t="shared" si="274"/>
        <v>46077</v>
      </c>
      <c r="I768" s="77">
        <f t="shared" si="275"/>
        <v>46084</v>
      </c>
      <c r="J768" s="77">
        <v>46097</v>
      </c>
      <c r="K768" s="25">
        <f t="shared" si="276"/>
        <v>28</v>
      </c>
      <c r="L768" s="25">
        <v>14.11</v>
      </c>
      <c r="M768" s="25">
        <v>12.31</v>
      </c>
      <c r="N768" s="25">
        <f t="shared" si="277"/>
        <v>1.7999999999999989</v>
      </c>
      <c r="O768" s="25" t="s">
        <v>593</v>
      </c>
    </row>
    <row r="769" spans="1:15" x14ac:dyDescent="0.25">
      <c r="A769" s="77">
        <v>46069</v>
      </c>
      <c r="B769" s="25" t="s">
        <v>382</v>
      </c>
      <c r="C769" s="25" t="s">
        <v>1294</v>
      </c>
      <c r="D769" s="77">
        <f t="shared" si="270"/>
        <v>46092</v>
      </c>
      <c r="E769" s="77">
        <f t="shared" si="271"/>
        <v>46076</v>
      </c>
      <c r="F769" s="77">
        <f t="shared" si="272"/>
        <v>46083</v>
      </c>
      <c r="G769" s="77">
        <f t="shared" si="273"/>
        <v>46089</v>
      </c>
      <c r="H769" s="77">
        <f t="shared" si="274"/>
        <v>46077</v>
      </c>
      <c r="I769" s="77">
        <f t="shared" si="275"/>
        <v>46084</v>
      </c>
      <c r="J769" s="77">
        <v>46098</v>
      </c>
      <c r="K769" s="25">
        <f t="shared" si="276"/>
        <v>29</v>
      </c>
      <c r="L769" s="25">
        <v>13.52</v>
      </c>
      <c r="M769" s="25">
        <v>11.23</v>
      </c>
      <c r="N769" s="25">
        <f t="shared" si="277"/>
        <v>2.2899999999999991</v>
      </c>
      <c r="O769" s="25" t="s">
        <v>593</v>
      </c>
    </row>
    <row r="770" spans="1:15" x14ac:dyDescent="0.25">
      <c r="A770" s="77">
        <v>46069</v>
      </c>
      <c r="B770" s="25" t="s">
        <v>383</v>
      </c>
      <c r="C770" s="25" t="s">
        <v>1295</v>
      </c>
      <c r="D770" s="77">
        <f t="shared" si="270"/>
        <v>46092</v>
      </c>
      <c r="E770" s="77">
        <f t="shared" si="271"/>
        <v>46076</v>
      </c>
      <c r="F770" s="77">
        <f t="shared" si="272"/>
        <v>46083</v>
      </c>
      <c r="G770" s="77">
        <f t="shared" si="273"/>
        <v>46089</v>
      </c>
      <c r="H770" s="77">
        <f t="shared" si="274"/>
        <v>46077</v>
      </c>
      <c r="I770" s="77">
        <f t="shared" si="275"/>
        <v>46084</v>
      </c>
      <c r="J770" s="77">
        <v>46098</v>
      </c>
      <c r="K770" s="25">
        <f t="shared" si="276"/>
        <v>29</v>
      </c>
      <c r="L770" s="25">
        <v>14.17</v>
      </c>
      <c r="M770" s="25">
        <v>12.16</v>
      </c>
      <c r="N770" s="25">
        <f t="shared" si="277"/>
        <v>2.0099999999999998</v>
      </c>
      <c r="O770" s="25" t="s">
        <v>593</v>
      </c>
    </row>
    <row r="771" spans="1:15" x14ac:dyDescent="0.25">
      <c r="A771" s="77">
        <v>46069</v>
      </c>
      <c r="B771" s="25" t="s">
        <v>384</v>
      </c>
      <c r="C771" s="25" t="s">
        <v>1296</v>
      </c>
      <c r="D771" s="77">
        <f t="shared" si="270"/>
        <v>46092</v>
      </c>
      <c r="E771" s="77">
        <f t="shared" si="271"/>
        <v>46076</v>
      </c>
      <c r="F771" s="77">
        <f t="shared" si="272"/>
        <v>46083</v>
      </c>
      <c r="G771" s="77">
        <f t="shared" si="273"/>
        <v>46089</v>
      </c>
      <c r="H771" s="77">
        <f t="shared" si="274"/>
        <v>46077</v>
      </c>
      <c r="I771" s="77">
        <f t="shared" si="275"/>
        <v>46084</v>
      </c>
      <c r="J771" s="77">
        <v>46098</v>
      </c>
      <c r="K771" s="25">
        <f t="shared" si="276"/>
        <v>29</v>
      </c>
      <c r="L771" s="25">
        <v>14.26</v>
      </c>
      <c r="M771" s="25">
        <v>12.33</v>
      </c>
      <c r="N771" s="25">
        <f t="shared" si="277"/>
        <v>1.9299999999999997</v>
      </c>
      <c r="O771" s="25" t="s">
        <v>593</v>
      </c>
    </row>
    <row r="772" spans="1:15" x14ac:dyDescent="0.25">
      <c r="A772" s="77">
        <v>46069</v>
      </c>
      <c r="B772" s="25" t="s">
        <v>385</v>
      </c>
      <c r="C772" s="25" t="s">
        <v>1297</v>
      </c>
      <c r="D772" s="77">
        <f t="shared" si="270"/>
        <v>46092</v>
      </c>
      <c r="E772" s="77">
        <f t="shared" si="271"/>
        <v>46076</v>
      </c>
      <c r="F772" s="77">
        <f t="shared" si="272"/>
        <v>46083</v>
      </c>
      <c r="G772" s="77">
        <f t="shared" si="273"/>
        <v>46089</v>
      </c>
      <c r="H772" s="77">
        <f t="shared" si="274"/>
        <v>46077</v>
      </c>
      <c r="I772" s="77">
        <f t="shared" si="275"/>
        <v>46084</v>
      </c>
      <c r="J772" s="77">
        <v>46098</v>
      </c>
      <c r="K772" s="25">
        <f t="shared" si="276"/>
        <v>29</v>
      </c>
      <c r="L772" s="25">
        <v>12.97</v>
      </c>
      <c r="M772" s="25">
        <v>11.58</v>
      </c>
      <c r="N772" s="25">
        <f t="shared" si="277"/>
        <v>1.3900000000000006</v>
      </c>
      <c r="O772" s="25" t="s">
        <v>593</v>
      </c>
    </row>
    <row r="773" spans="1:15" x14ac:dyDescent="0.25">
      <c r="A773" s="77">
        <v>46070</v>
      </c>
      <c r="B773" s="25" t="s">
        <v>366</v>
      </c>
      <c r="C773" s="25" t="s">
        <v>1298</v>
      </c>
      <c r="D773" s="77">
        <f t="shared" si="270"/>
        <v>46093</v>
      </c>
      <c r="E773" s="77">
        <f t="shared" si="271"/>
        <v>46077</v>
      </c>
      <c r="F773" s="77">
        <f t="shared" si="272"/>
        <v>46084</v>
      </c>
      <c r="G773" s="77">
        <f t="shared" si="273"/>
        <v>46090</v>
      </c>
      <c r="H773" s="77">
        <f t="shared" si="274"/>
        <v>46078</v>
      </c>
      <c r="I773" s="77">
        <f t="shared" si="275"/>
        <v>46085</v>
      </c>
      <c r="J773" s="77">
        <v>46098</v>
      </c>
      <c r="K773" s="25">
        <f t="shared" si="276"/>
        <v>28</v>
      </c>
      <c r="L773" s="25">
        <v>14.1</v>
      </c>
      <c r="M773" s="25">
        <v>12.93</v>
      </c>
      <c r="N773" s="25">
        <f t="shared" si="277"/>
        <v>1.17</v>
      </c>
      <c r="O773" s="25" t="s">
        <v>593</v>
      </c>
    </row>
    <row r="774" spans="1:15" x14ac:dyDescent="0.25">
      <c r="A774" s="77">
        <v>46070</v>
      </c>
      <c r="B774" s="25" t="s">
        <v>367</v>
      </c>
      <c r="C774" s="25" t="s">
        <v>1299</v>
      </c>
      <c r="D774" s="77">
        <f t="shared" si="270"/>
        <v>46093</v>
      </c>
      <c r="E774" s="77">
        <f t="shared" si="271"/>
        <v>46077</v>
      </c>
      <c r="F774" s="77">
        <f t="shared" si="272"/>
        <v>46084</v>
      </c>
      <c r="G774" s="77">
        <f t="shared" si="273"/>
        <v>46090</v>
      </c>
      <c r="H774" s="77">
        <f t="shared" si="274"/>
        <v>46078</v>
      </c>
      <c r="I774" s="77">
        <f t="shared" si="275"/>
        <v>46085</v>
      </c>
      <c r="J774" s="77">
        <v>46098</v>
      </c>
      <c r="K774" s="25">
        <f t="shared" si="276"/>
        <v>28</v>
      </c>
      <c r="L774" s="25">
        <v>13.88</v>
      </c>
      <c r="M774" s="25">
        <v>12.11</v>
      </c>
      <c r="N774" s="25">
        <f t="shared" si="277"/>
        <v>1.7700000000000014</v>
      </c>
      <c r="O774" s="25" t="s">
        <v>593</v>
      </c>
    </row>
    <row r="775" spans="1:15" x14ac:dyDescent="0.25">
      <c r="A775" s="77">
        <v>46070</v>
      </c>
      <c r="B775" s="25" t="s">
        <v>368</v>
      </c>
      <c r="C775" s="25" t="s">
        <v>1300</v>
      </c>
      <c r="D775" s="77">
        <f t="shared" si="270"/>
        <v>46093</v>
      </c>
      <c r="E775" s="77">
        <f t="shared" si="271"/>
        <v>46077</v>
      </c>
      <c r="F775" s="77">
        <f t="shared" si="272"/>
        <v>46084</v>
      </c>
      <c r="G775" s="77">
        <f t="shared" si="273"/>
        <v>46090</v>
      </c>
      <c r="H775" s="77">
        <f t="shared" si="274"/>
        <v>46078</v>
      </c>
      <c r="I775" s="77">
        <f t="shared" si="275"/>
        <v>46085</v>
      </c>
      <c r="J775" s="77">
        <v>46099</v>
      </c>
      <c r="K775" s="25">
        <f t="shared" si="276"/>
        <v>29</v>
      </c>
      <c r="L775" s="25">
        <v>13.26</v>
      </c>
      <c r="M775" s="25">
        <v>11.53</v>
      </c>
      <c r="N775" s="25">
        <f t="shared" si="277"/>
        <v>1.7300000000000004</v>
      </c>
      <c r="O775" s="25" t="s">
        <v>593</v>
      </c>
    </row>
    <row r="776" spans="1:15" x14ac:dyDescent="0.25">
      <c r="A776" s="77">
        <v>46070</v>
      </c>
      <c r="B776" s="25" t="s">
        <v>369</v>
      </c>
      <c r="C776" s="25" t="s">
        <v>1301</v>
      </c>
      <c r="D776" s="77">
        <f t="shared" si="270"/>
        <v>46093</v>
      </c>
      <c r="E776" s="77">
        <f t="shared" si="271"/>
        <v>46077</v>
      </c>
      <c r="F776" s="77">
        <f t="shared" si="272"/>
        <v>46084</v>
      </c>
      <c r="G776" s="77">
        <f t="shared" si="273"/>
        <v>46090</v>
      </c>
      <c r="H776" s="77">
        <f t="shared" si="274"/>
        <v>46078</v>
      </c>
      <c r="I776" s="77">
        <f t="shared" si="275"/>
        <v>46085</v>
      </c>
      <c r="J776" s="77">
        <v>46099</v>
      </c>
      <c r="K776" s="25">
        <f t="shared" si="276"/>
        <v>29</v>
      </c>
      <c r="L776" s="25">
        <v>11.73</v>
      </c>
      <c r="M776" s="25">
        <v>10.15</v>
      </c>
      <c r="N776" s="25">
        <f t="shared" si="277"/>
        <v>1.58</v>
      </c>
      <c r="O776" s="25" t="s">
        <v>593</v>
      </c>
    </row>
    <row r="777" spans="1:15" x14ac:dyDescent="0.25">
      <c r="A777" s="77">
        <v>46070</v>
      </c>
      <c r="B777" s="25" t="s">
        <v>370</v>
      </c>
      <c r="C777" s="25" t="s">
        <v>1302</v>
      </c>
      <c r="D777" s="77">
        <f t="shared" si="270"/>
        <v>46093</v>
      </c>
      <c r="E777" s="77">
        <f t="shared" si="271"/>
        <v>46077</v>
      </c>
      <c r="F777" s="77">
        <f t="shared" si="272"/>
        <v>46084</v>
      </c>
      <c r="G777" s="77">
        <f t="shared" si="273"/>
        <v>46090</v>
      </c>
      <c r="H777" s="77">
        <f t="shared" si="274"/>
        <v>46078</v>
      </c>
      <c r="I777" s="77">
        <f t="shared" si="275"/>
        <v>46085</v>
      </c>
      <c r="J777" s="77">
        <v>46099</v>
      </c>
      <c r="K777" s="25">
        <f t="shared" si="276"/>
        <v>29</v>
      </c>
      <c r="L777" s="25">
        <v>11.89</v>
      </c>
      <c r="M777" s="25">
        <v>10.34</v>
      </c>
      <c r="N777" s="25">
        <f t="shared" si="277"/>
        <v>1.5500000000000007</v>
      </c>
      <c r="O777" s="25" t="s">
        <v>593</v>
      </c>
    </row>
    <row r="778" spans="1:15" x14ac:dyDescent="0.25">
      <c r="A778" s="77">
        <v>46070</v>
      </c>
      <c r="B778" s="25" t="s">
        <v>371</v>
      </c>
      <c r="C778" s="25" t="s">
        <v>1303</v>
      </c>
      <c r="D778" s="77">
        <f t="shared" si="270"/>
        <v>46093</v>
      </c>
      <c r="E778" s="77">
        <f t="shared" si="271"/>
        <v>46077</v>
      </c>
      <c r="F778" s="77">
        <f t="shared" si="272"/>
        <v>46084</v>
      </c>
      <c r="G778" s="77">
        <f t="shared" si="273"/>
        <v>46090</v>
      </c>
      <c r="H778" s="77">
        <f t="shared" si="274"/>
        <v>46078</v>
      </c>
      <c r="I778" s="77">
        <f t="shared" si="275"/>
        <v>46085</v>
      </c>
      <c r="J778" s="77">
        <v>46099</v>
      </c>
      <c r="K778" s="25">
        <f t="shared" si="276"/>
        <v>29</v>
      </c>
      <c r="L778" s="25">
        <v>13.34</v>
      </c>
      <c r="M778" s="25">
        <v>11.73</v>
      </c>
      <c r="N778" s="25">
        <f t="shared" si="277"/>
        <v>1.6099999999999994</v>
      </c>
      <c r="O778" s="25" t="s">
        <v>593</v>
      </c>
    </row>
    <row r="779" spans="1:15" x14ac:dyDescent="0.25">
      <c r="A779" s="77">
        <v>46070</v>
      </c>
      <c r="B779" s="25" t="s">
        <v>372</v>
      </c>
      <c r="C779" s="25" t="s">
        <v>1304</v>
      </c>
      <c r="D779" s="77">
        <f t="shared" si="270"/>
        <v>46093</v>
      </c>
      <c r="E779" s="77">
        <f t="shared" si="271"/>
        <v>46077</v>
      </c>
      <c r="F779" s="77">
        <f t="shared" si="272"/>
        <v>46084</v>
      </c>
      <c r="G779" s="77">
        <f t="shared" si="273"/>
        <v>46090</v>
      </c>
      <c r="H779" s="77">
        <f t="shared" si="274"/>
        <v>46078</v>
      </c>
      <c r="I779" s="77">
        <f t="shared" si="275"/>
        <v>46085</v>
      </c>
      <c r="J779" s="77">
        <v>46099</v>
      </c>
      <c r="K779" s="25">
        <f t="shared" si="276"/>
        <v>29</v>
      </c>
      <c r="L779" s="25">
        <v>12.1</v>
      </c>
      <c r="M779" s="25">
        <v>10.58</v>
      </c>
      <c r="N779" s="25">
        <f t="shared" si="277"/>
        <v>1.5199999999999996</v>
      </c>
      <c r="O779" s="25" t="s">
        <v>593</v>
      </c>
    </row>
    <row r="780" spans="1:15" x14ac:dyDescent="0.25">
      <c r="A780" s="77">
        <v>46071</v>
      </c>
      <c r="B780" s="25" t="s">
        <v>386</v>
      </c>
      <c r="C780" s="25" t="s">
        <v>1305</v>
      </c>
      <c r="D780" s="77">
        <f t="shared" si="270"/>
        <v>46094</v>
      </c>
      <c r="E780" s="77">
        <f t="shared" si="271"/>
        <v>46078</v>
      </c>
      <c r="F780" s="77">
        <f t="shared" si="272"/>
        <v>46085</v>
      </c>
      <c r="G780" s="77">
        <f t="shared" si="273"/>
        <v>46091</v>
      </c>
      <c r="H780" s="77">
        <f t="shared" si="274"/>
        <v>46079</v>
      </c>
      <c r="I780" s="77">
        <f t="shared" si="275"/>
        <v>46086</v>
      </c>
      <c r="J780" s="77">
        <v>46099</v>
      </c>
      <c r="K780" s="25">
        <f t="shared" si="276"/>
        <v>28</v>
      </c>
      <c r="L780" s="25">
        <v>11.81</v>
      </c>
      <c r="M780" s="25">
        <v>10.210000000000001</v>
      </c>
      <c r="N780" s="25">
        <f t="shared" si="277"/>
        <v>1.5999999999999996</v>
      </c>
      <c r="O780" s="25" t="s">
        <v>593</v>
      </c>
    </row>
    <row r="781" spans="1:15" x14ac:dyDescent="0.25">
      <c r="A781" s="77">
        <v>46071</v>
      </c>
      <c r="B781" s="25" t="s">
        <v>387</v>
      </c>
      <c r="C781" s="25" t="s">
        <v>1306</v>
      </c>
      <c r="D781" s="77">
        <f t="shared" si="270"/>
        <v>46094</v>
      </c>
      <c r="E781" s="77">
        <f t="shared" si="271"/>
        <v>46078</v>
      </c>
      <c r="F781" s="77">
        <f t="shared" si="272"/>
        <v>46085</v>
      </c>
      <c r="G781" s="77">
        <f t="shared" si="273"/>
        <v>46091</v>
      </c>
      <c r="H781" s="77">
        <f t="shared" si="274"/>
        <v>46079</v>
      </c>
      <c r="I781" s="77">
        <f t="shared" si="275"/>
        <v>46086</v>
      </c>
      <c r="J781" s="77">
        <v>46099</v>
      </c>
      <c r="K781" s="25">
        <f t="shared" si="276"/>
        <v>28</v>
      </c>
      <c r="L781" s="25">
        <v>13.45</v>
      </c>
      <c r="M781" s="25">
        <v>11.56</v>
      </c>
      <c r="N781" s="25">
        <f t="shared" si="277"/>
        <v>1.8899999999999988</v>
      </c>
      <c r="O781" s="25" t="s">
        <v>593</v>
      </c>
    </row>
    <row r="782" spans="1:15" x14ac:dyDescent="0.25">
      <c r="A782" s="77">
        <v>46071</v>
      </c>
      <c r="B782" s="25" t="s">
        <v>388</v>
      </c>
      <c r="C782" s="25" t="s">
        <v>1307</v>
      </c>
      <c r="D782" s="77">
        <f t="shared" si="270"/>
        <v>46094</v>
      </c>
      <c r="E782" s="77">
        <f t="shared" si="271"/>
        <v>46078</v>
      </c>
      <c r="F782" s="77">
        <f t="shared" si="272"/>
        <v>46085</v>
      </c>
      <c r="G782" s="77">
        <f t="shared" si="273"/>
        <v>46091</v>
      </c>
      <c r="H782" s="77">
        <f t="shared" si="274"/>
        <v>46079</v>
      </c>
      <c r="I782" s="77">
        <f t="shared" si="275"/>
        <v>46086</v>
      </c>
      <c r="J782" s="77">
        <v>46099</v>
      </c>
      <c r="K782" s="25">
        <f t="shared" si="276"/>
        <v>28</v>
      </c>
      <c r="L782" s="25">
        <v>12.26</v>
      </c>
      <c r="M782" s="25">
        <v>10.74</v>
      </c>
      <c r="N782" s="25">
        <f t="shared" si="277"/>
        <v>1.5199999999999996</v>
      </c>
      <c r="O782" s="25" t="s">
        <v>593</v>
      </c>
    </row>
    <row r="783" spans="1:15" x14ac:dyDescent="0.25">
      <c r="A783" s="77">
        <v>46071</v>
      </c>
      <c r="B783" s="25" t="s">
        <v>389</v>
      </c>
      <c r="C783" s="25" t="s">
        <v>1308</v>
      </c>
      <c r="D783" s="77">
        <f t="shared" si="270"/>
        <v>46094</v>
      </c>
      <c r="E783" s="77">
        <f t="shared" si="271"/>
        <v>46078</v>
      </c>
      <c r="F783" s="77">
        <f t="shared" si="272"/>
        <v>46085</v>
      </c>
      <c r="G783" s="77">
        <f t="shared" si="273"/>
        <v>46091</v>
      </c>
      <c r="H783" s="77">
        <f t="shared" si="274"/>
        <v>46079</v>
      </c>
      <c r="I783" s="77">
        <f t="shared" si="275"/>
        <v>46086</v>
      </c>
      <c r="J783" s="77">
        <v>46099</v>
      </c>
      <c r="K783" s="25">
        <f t="shared" si="276"/>
        <v>28</v>
      </c>
      <c r="L783" s="25">
        <v>11.91</v>
      </c>
      <c r="M783" s="25">
        <v>10.58</v>
      </c>
      <c r="N783" s="25">
        <f t="shared" si="277"/>
        <v>1.33</v>
      </c>
      <c r="O783" s="25" t="s">
        <v>593</v>
      </c>
    </row>
    <row r="784" spans="1:15" x14ac:dyDescent="0.25">
      <c r="A784" s="77">
        <v>46071</v>
      </c>
      <c r="B784" s="25" t="s">
        <v>390</v>
      </c>
      <c r="C784" s="25" t="s">
        <v>1309</v>
      </c>
      <c r="D784" s="77">
        <f t="shared" si="270"/>
        <v>46094</v>
      </c>
      <c r="E784" s="77">
        <f t="shared" si="271"/>
        <v>46078</v>
      </c>
      <c r="F784" s="77">
        <f t="shared" si="272"/>
        <v>46085</v>
      </c>
      <c r="G784" s="77">
        <f t="shared" si="273"/>
        <v>46091</v>
      </c>
      <c r="H784" s="77">
        <f t="shared" si="274"/>
        <v>46079</v>
      </c>
      <c r="I784" s="77">
        <f t="shared" si="275"/>
        <v>46086</v>
      </c>
      <c r="J784" s="77">
        <v>46099</v>
      </c>
      <c r="K784" s="25">
        <f t="shared" si="276"/>
        <v>28</v>
      </c>
      <c r="L784" s="25">
        <v>13.16</v>
      </c>
      <c r="M784" s="25">
        <v>11.31</v>
      </c>
      <c r="N784" s="25">
        <f t="shared" si="277"/>
        <v>1.8499999999999996</v>
      </c>
      <c r="O784" s="25" t="s">
        <v>593</v>
      </c>
    </row>
    <row r="785" spans="1:15" x14ac:dyDescent="0.25">
      <c r="A785" s="77">
        <v>46071</v>
      </c>
      <c r="B785" s="25" t="s">
        <v>391</v>
      </c>
      <c r="C785" s="25" t="s">
        <v>1310</v>
      </c>
      <c r="D785" s="77">
        <f t="shared" si="270"/>
        <v>46094</v>
      </c>
      <c r="E785" s="77">
        <f t="shared" si="271"/>
        <v>46078</v>
      </c>
      <c r="F785" s="77">
        <f t="shared" si="272"/>
        <v>46085</v>
      </c>
      <c r="G785" s="77">
        <f t="shared" si="273"/>
        <v>46091</v>
      </c>
      <c r="H785" s="77">
        <f t="shared" si="274"/>
        <v>46079</v>
      </c>
      <c r="I785" s="77">
        <f t="shared" si="275"/>
        <v>46086</v>
      </c>
      <c r="J785" s="77">
        <v>46099</v>
      </c>
      <c r="K785" s="25">
        <f t="shared" si="276"/>
        <v>28</v>
      </c>
      <c r="L785" s="25">
        <v>14.08</v>
      </c>
      <c r="M785" s="25">
        <v>12.17</v>
      </c>
      <c r="N785" s="25">
        <f t="shared" si="277"/>
        <v>1.9100000000000001</v>
      </c>
      <c r="O785" s="25" t="s">
        <v>593</v>
      </c>
    </row>
    <row r="786" spans="1:15" x14ac:dyDescent="0.25">
      <c r="A786" s="77">
        <v>46071</v>
      </c>
      <c r="B786" s="25" t="s">
        <v>392</v>
      </c>
      <c r="C786" s="25" t="s">
        <v>1311</v>
      </c>
      <c r="D786" s="77">
        <f t="shared" si="270"/>
        <v>46094</v>
      </c>
      <c r="E786" s="77">
        <f t="shared" si="271"/>
        <v>46078</v>
      </c>
      <c r="F786" s="77">
        <f t="shared" si="272"/>
        <v>46085</v>
      </c>
      <c r="G786" s="77">
        <f t="shared" si="273"/>
        <v>46091</v>
      </c>
      <c r="H786" s="77">
        <f t="shared" si="274"/>
        <v>46079</v>
      </c>
      <c r="I786" s="77">
        <f t="shared" si="275"/>
        <v>46086</v>
      </c>
      <c r="J786" s="77">
        <v>46100</v>
      </c>
      <c r="K786" s="25">
        <f t="shared" si="276"/>
        <v>29</v>
      </c>
      <c r="L786" s="25">
        <v>14.74</v>
      </c>
      <c r="M786" s="25">
        <v>13.21</v>
      </c>
      <c r="N786" s="25">
        <f t="shared" si="277"/>
        <v>1.5299999999999994</v>
      </c>
      <c r="O786" s="25" t="s">
        <v>593</v>
      </c>
    </row>
    <row r="787" spans="1:15" x14ac:dyDescent="0.25">
      <c r="A787" s="77">
        <v>46072</v>
      </c>
      <c r="B787" s="25" t="s">
        <v>373</v>
      </c>
      <c r="C787" s="25" t="s">
        <v>1312</v>
      </c>
      <c r="D787" s="77">
        <f t="shared" ref="D787:D850" si="278">A787+23</f>
        <v>46095</v>
      </c>
      <c r="E787" s="77">
        <f t="shared" ref="E787:E850" si="279">A787+7</f>
        <v>46079</v>
      </c>
      <c r="F787" s="77">
        <f t="shared" ref="F787:F850" si="280">A787+14</f>
        <v>46086</v>
      </c>
      <c r="G787" s="77">
        <f t="shared" ref="G787:G850" si="281">A787+20</f>
        <v>46092</v>
      </c>
      <c r="H787" s="77">
        <f t="shared" ref="H787:H850" si="282">A787+8</f>
        <v>46080</v>
      </c>
      <c r="I787" s="77">
        <f t="shared" ref="I787:I850" si="283">A787+15</f>
        <v>46087</v>
      </c>
      <c r="J787" s="77">
        <v>46100</v>
      </c>
      <c r="K787" s="25">
        <f t="shared" ref="K787:K850" si="284">J787-A787</f>
        <v>28</v>
      </c>
      <c r="L787" s="25">
        <v>13.16</v>
      </c>
      <c r="M787" s="25">
        <v>11.13</v>
      </c>
      <c r="N787" s="25">
        <f t="shared" ref="N787:N850" si="285">L787-M787</f>
        <v>2.0299999999999994</v>
      </c>
      <c r="O787" s="25" t="s">
        <v>593</v>
      </c>
    </row>
    <row r="788" spans="1:15" x14ac:dyDescent="0.25">
      <c r="A788" s="77">
        <v>46072</v>
      </c>
      <c r="B788" s="25" t="s">
        <v>374</v>
      </c>
      <c r="C788" s="25" t="s">
        <v>1313</v>
      </c>
      <c r="D788" s="77">
        <f t="shared" si="278"/>
        <v>46095</v>
      </c>
      <c r="E788" s="77">
        <f t="shared" si="279"/>
        <v>46079</v>
      </c>
      <c r="F788" s="77">
        <f t="shared" si="280"/>
        <v>46086</v>
      </c>
      <c r="G788" s="77">
        <f t="shared" si="281"/>
        <v>46092</v>
      </c>
      <c r="H788" s="77">
        <f t="shared" si="282"/>
        <v>46080</v>
      </c>
      <c r="I788" s="77">
        <f t="shared" si="283"/>
        <v>46087</v>
      </c>
      <c r="J788" s="77">
        <v>46100</v>
      </c>
      <c r="K788" s="25">
        <f t="shared" si="284"/>
        <v>28</v>
      </c>
      <c r="L788" s="25">
        <v>13.47</v>
      </c>
      <c r="M788" s="25">
        <v>11.76</v>
      </c>
      <c r="N788" s="25">
        <f t="shared" si="285"/>
        <v>1.7100000000000009</v>
      </c>
      <c r="O788" s="25" t="s">
        <v>593</v>
      </c>
    </row>
    <row r="789" spans="1:15" x14ac:dyDescent="0.25">
      <c r="A789" s="77">
        <v>46072</v>
      </c>
      <c r="B789" s="25" t="s">
        <v>375</v>
      </c>
      <c r="C789" s="25" t="s">
        <v>1314</v>
      </c>
      <c r="D789" s="77">
        <f t="shared" si="278"/>
        <v>46095</v>
      </c>
      <c r="E789" s="77">
        <f t="shared" si="279"/>
        <v>46079</v>
      </c>
      <c r="F789" s="77">
        <f t="shared" si="280"/>
        <v>46086</v>
      </c>
      <c r="G789" s="77">
        <f t="shared" si="281"/>
        <v>46092</v>
      </c>
      <c r="H789" s="77">
        <f t="shared" si="282"/>
        <v>46080</v>
      </c>
      <c r="I789" s="77">
        <f t="shared" si="283"/>
        <v>46087</v>
      </c>
      <c r="J789" s="77">
        <v>46100</v>
      </c>
      <c r="K789" s="25">
        <f t="shared" si="284"/>
        <v>28</v>
      </c>
      <c r="L789" s="25">
        <v>14.87</v>
      </c>
      <c r="M789" s="25">
        <v>13.11</v>
      </c>
      <c r="N789" s="25">
        <f t="shared" si="285"/>
        <v>1.7599999999999998</v>
      </c>
      <c r="O789" s="25" t="s">
        <v>593</v>
      </c>
    </row>
    <row r="790" spans="1:15" x14ac:dyDescent="0.25">
      <c r="A790" s="77">
        <v>46072</v>
      </c>
      <c r="B790" s="25" t="s">
        <v>376</v>
      </c>
      <c r="C790" s="25" t="s">
        <v>1315</v>
      </c>
      <c r="D790" s="77">
        <f t="shared" si="278"/>
        <v>46095</v>
      </c>
      <c r="E790" s="77">
        <f t="shared" si="279"/>
        <v>46079</v>
      </c>
      <c r="F790" s="77">
        <f t="shared" si="280"/>
        <v>46086</v>
      </c>
      <c r="G790" s="77">
        <f t="shared" si="281"/>
        <v>46092</v>
      </c>
      <c r="H790" s="77">
        <f t="shared" si="282"/>
        <v>46080</v>
      </c>
      <c r="I790" s="77">
        <f t="shared" si="283"/>
        <v>46087</v>
      </c>
      <c r="J790" s="77">
        <v>46100</v>
      </c>
      <c r="K790" s="25">
        <f t="shared" si="284"/>
        <v>28</v>
      </c>
      <c r="L790" s="25">
        <v>13.17</v>
      </c>
      <c r="M790" s="25">
        <v>11.62</v>
      </c>
      <c r="N790" s="25">
        <f t="shared" si="285"/>
        <v>1.5500000000000007</v>
      </c>
      <c r="O790" s="25" t="s">
        <v>593</v>
      </c>
    </row>
    <row r="791" spans="1:15" x14ac:dyDescent="0.25">
      <c r="A791" s="77">
        <v>46072</v>
      </c>
      <c r="B791" s="25" t="s">
        <v>377</v>
      </c>
      <c r="C791" s="25" t="s">
        <v>1316</v>
      </c>
      <c r="D791" s="77">
        <f t="shared" si="278"/>
        <v>46095</v>
      </c>
      <c r="E791" s="77">
        <f t="shared" si="279"/>
        <v>46079</v>
      </c>
      <c r="F791" s="77">
        <f t="shared" si="280"/>
        <v>46086</v>
      </c>
      <c r="G791" s="77">
        <f t="shared" si="281"/>
        <v>46092</v>
      </c>
      <c r="H791" s="77">
        <f t="shared" si="282"/>
        <v>46080</v>
      </c>
      <c r="I791" s="77">
        <f t="shared" si="283"/>
        <v>46087</v>
      </c>
      <c r="J791" s="77">
        <v>46100</v>
      </c>
      <c r="K791" s="25">
        <f t="shared" si="284"/>
        <v>28</v>
      </c>
      <c r="L791" s="25">
        <v>14.67</v>
      </c>
      <c r="M791" s="25">
        <v>13.92</v>
      </c>
      <c r="N791" s="25">
        <f t="shared" si="285"/>
        <v>0.75</v>
      </c>
      <c r="O791" s="25" t="s">
        <v>593</v>
      </c>
    </row>
    <row r="792" spans="1:15" x14ac:dyDescent="0.25">
      <c r="A792" s="77">
        <v>46072</v>
      </c>
      <c r="B792" s="25" t="s">
        <v>393</v>
      </c>
      <c r="C792" s="25" t="s">
        <v>1317</v>
      </c>
      <c r="D792" s="77">
        <f t="shared" si="278"/>
        <v>46095</v>
      </c>
      <c r="E792" s="77">
        <f t="shared" si="279"/>
        <v>46079</v>
      </c>
      <c r="F792" s="77">
        <f t="shared" si="280"/>
        <v>46086</v>
      </c>
      <c r="G792" s="77">
        <f t="shared" si="281"/>
        <v>46092</v>
      </c>
      <c r="H792" s="77">
        <f t="shared" si="282"/>
        <v>46080</v>
      </c>
      <c r="I792" s="77">
        <f t="shared" si="283"/>
        <v>46087</v>
      </c>
      <c r="J792" s="77">
        <v>46100</v>
      </c>
      <c r="K792" s="25">
        <f t="shared" si="284"/>
        <v>28</v>
      </c>
      <c r="L792" s="25">
        <v>15.74</v>
      </c>
      <c r="M792" s="25">
        <v>14.62</v>
      </c>
      <c r="N792" s="25">
        <f t="shared" si="285"/>
        <v>1.120000000000001</v>
      </c>
      <c r="O792" s="25" t="s">
        <v>593</v>
      </c>
    </row>
    <row r="793" spans="1:15" x14ac:dyDescent="0.25">
      <c r="A793" s="77">
        <v>46072</v>
      </c>
      <c r="B793" s="25" t="s">
        <v>394</v>
      </c>
      <c r="C793" s="25" t="s">
        <v>1318</v>
      </c>
      <c r="D793" s="77">
        <f t="shared" si="278"/>
        <v>46095</v>
      </c>
      <c r="E793" s="77">
        <f t="shared" si="279"/>
        <v>46079</v>
      </c>
      <c r="F793" s="77">
        <f t="shared" si="280"/>
        <v>46086</v>
      </c>
      <c r="G793" s="77">
        <f t="shared" si="281"/>
        <v>46092</v>
      </c>
      <c r="H793" s="77">
        <f t="shared" si="282"/>
        <v>46080</v>
      </c>
      <c r="I793" s="77">
        <f t="shared" si="283"/>
        <v>46087</v>
      </c>
      <c r="J793" s="77">
        <v>46100</v>
      </c>
      <c r="K793" s="25">
        <f t="shared" si="284"/>
        <v>28</v>
      </c>
      <c r="L793" s="25">
        <v>15.24</v>
      </c>
      <c r="M793" s="25">
        <v>14.25</v>
      </c>
      <c r="N793" s="25">
        <f t="shared" si="285"/>
        <v>0.99000000000000021</v>
      </c>
      <c r="O793" s="25" t="s">
        <v>593</v>
      </c>
    </row>
    <row r="794" spans="1:15" x14ac:dyDescent="0.25">
      <c r="A794" s="77">
        <v>46073</v>
      </c>
      <c r="B794" s="25" t="s">
        <v>404</v>
      </c>
      <c r="C794" s="25" t="s">
        <v>1319</v>
      </c>
      <c r="D794" s="77">
        <f t="shared" si="278"/>
        <v>46096</v>
      </c>
      <c r="E794" s="77">
        <f t="shared" si="279"/>
        <v>46080</v>
      </c>
      <c r="F794" s="77">
        <f t="shared" si="280"/>
        <v>46087</v>
      </c>
      <c r="G794" s="77">
        <f t="shared" si="281"/>
        <v>46093</v>
      </c>
      <c r="H794" s="77">
        <f t="shared" si="282"/>
        <v>46081</v>
      </c>
      <c r="I794" s="77">
        <f t="shared" si="283"/>
        <v>46088</v>
      </c>
      <c r="J794" s="77">
        <v>46101</v>
      </c>
      <c r="K794" s="25">
        <f t="shared" si="284"/>
        <v>28</v>
      </c>
      <c r="L794" s="25">
        <v>13.21</v>
      </c>
      <c r="M794" s="25">
        <v>10.24</v>
      </c>
      <c r="N794" s="25">
        <f t="shared" si="285"/>
        <v>2.9700000000000006</v>
      </c>
      <c r="O794" s="25" t="s">
        <v>593</v>
      </c>
    </row>
    <row r="795" spans="1:15" x14ac:dyDescent="0.25">
      <c r="A795" s="77">
        <v>46073</v>
      </c>
      <c r="B795" s="25" t="s">
        <v>405</v>
      </c>
      <c r="C795" s="25" t="s">
        <v>1320</v>
      </c>
      <c r="D795" s="77">
        <f t="shared" si="278"/>
        <v>46096</v>
      </c>
      <c r="E795" s="77">
        <f t="shared" si="279"/>
        <v>46080</v>
      </c>
      <c r="F795" s="77">
        <f t="shared" si="280"/>
        <v>46087</v>
      </c>
      <c r="G795" s="77">
        <f t="shared" si="281"/>
        <v>46093</v>
      </c>
      <c r="H795" s="77">
        <f t="shared" si="282"/>
        <v>46081</v>
      </c>
      <c r="I795" s="77">
        <f t="shared" si="283"/>
        <v>46088</v>
      </c>
      <c r="J795" s="77">
        <v>46101</v>
      </c>
      <c r="K795" s="25">
        <f t="shared" si="284"/>
        <v>28</v>
      </c>
      <c r="L795" s="25">
        <v>12.47</v>
      </c>
      <c r="M795" s="25">
        <v>9.68</v>
      </c>
      <c r="N795" s="25">
        <f t="shared" si="285"/>
        <v>2.7900000000000009</v>
      </c>
      <c r="O795" s="25" t="s">
        <v>593</v>
      </c>
    </row>
    <row r="796" spans="1:15" x14ac:dyDescent="0.25">
      <c r="A796" s="77">
        <v>46073</v>
      </c>
      <c r="B796" s="25" t="s">
        <v>406</v>
      </c>
      <c r="C796" s="25" t="s">
        <v>1321</v>
      </c>
      <c r="D796" s="77">
        <f t="shared" si="278"/>
        <v>46096</v>
      </c>
      <c r="E796" s="77">
        <f t="shared" si="279"/>
        <v>46080</v>
      </c>
      <c r="F796" s="77">
        <f t="shared" si="280"/>
        <v>46087</v>
      </c>
      <c r="G796" s="77">
        <f t="shared" si="281"/>
        <v>46093</v>
      </c>
      <c r="H796" s="77">
        <f t="shared" si="282"/>
        <v>46081</v>
      </c>
      <c r="I796" s="77">
        <f t="shared" si="283"/>
        <v>46088</v>
      </c>
      <c r="J796" s="77">
        <v>46101</v>
      </c>
      <c r="K796" s="25">
        <f t="shared" si="284"/>
        <v>28</v>
      </c>
      <c r="L796" s="25">
        <v>11.38</v>
      </c>
      <c r="M796" s="25">
        <v>9.2100000000000009</v>
      </c>
      <c r="N796" s="25">
        <f t="shared" si="285"/>
        <v>2.17</v>
      </c>
      <c r="O796" s="25" t="s">
        <v>593</v>
      </c>
    </row>
    <row r="797" spans="1:15" x14ac:dyDescent="0.25">
      <c r="A797" s="77">
        <v>46073</v>
      </c>
      <c r="B797" s="25" t="s">
        <v>407</v>
      </c>
      <c r="C797" s="25" t="s">
        <v>1322</v>
      </c>
      <c r="D797" s="77">
        <f t="shared" si="278"/>
        <v>46096</v>
      </c>
      <c r="E797" s="77">
        <f t="shared" si="279"/>
        <v>46080</v>
      </c>
      <c r="F797" s="77">
        <f t="shared" si="280"/>
        <v>46087</v>
      </c>
      <c r="G797" s="77">
        <f t="shared" si="281"/>
        <v>46093</v>
      </c>
      <c r="H797" s="77">
        <f t="shared" si="282"/>
        <v>46081</v>
      </c>
      <c r="I797" s="77">
        <f t="shared" si="283"/>
        <v>46088</v>
      </c>
      <c r="J797" s="77">
        <v>46103</v>
      </c>
      <c r="K797" s="25">
        <f t="shared" si="284"/>
        <v>30</v>
      </c>
      <c r="L797" s="25">
        <v>12.54</v>
      </c>
      <c r="M797" s="25">
        <v>11.23</v>
      </c>
      <c r="N797" s="25">
        <f t="shared" si="285"/>
        <v>1.3099999999999987</v>
      </c>
      <c r="O797" s="25" t="s">
        <v>593</v>
      </c>
    </row>
    <row r="798" spans="1:15" x14ac:dyDescent="0.25">
      <c r="A798" s="77">
        <v>46073</v>
      </c>
      <c r="B798" s="25" t="s">
        <v>408</v>
      </c>
      <c r="C798" s="25" t="s">
        <v>1323</v>
      </c>
      <c r="D798" s="77">
        <f t="shared" si="278"/>
        <v>46096</v>
      </c>
      <c r="E798" s="77">
        <f t="shared" si="279"/>
        <v>46080</v>
      </c>
      <c r="F798" s="77">
        <f t="shared" si="280"/>
        <v>46087</v>
      </c>
      <c r="G798" s="77">
        <f t="shared" si="281"/>
        <v>46093</v>
      </c>
      <c r="H798" s="77">
        <f t="shared" si="282"/>
        <v>46081</v>
      </c>
      <c r="I798" s="77">
        <f t="shared" si="283"/>
        <v>46088</v>
      </c>
      <c r="J798" s="77">
        <v>46103</v>
      </c>
      <c r="K798" s="25">
        <f t="shared" si="284"/>
        <v>30</v>
      </c>
      <c r="L798" s="25">
        <v>12.01</v>
      </c>
      <c r="M798" s="25">
        <v>10.57</v>
      </c>
      <c r="N798" s="25">
        <f t="shared" si="285"/>
        <v>1.4399999999999995</v>
      </c>
      <c r="O798" s="25" t="s">
        <v>593</v>
      </c>
    </row>
    <row r="799" spans="1:15" x14ac:dyDescent="0.25">
      <c r="A799" s="77">
        <v>46073</v>
      </c>
      <c r="B799" s="25" t="s">
        <v>409</v>
      </c>
      <c r="C799" s="25" t="s">
        <v>1324</v>
      </c>
      <c r="D799" s="77">
        <f t="shared" si="278"/>
        <v>46096</v>
      </c>
      <c r="E799" s="77">
        <f t="shared" si="279"/>
        <v>46080</v>
      </c>
      <c r="F799" s="77">
        <f t="shared" si="280"/>
        <v>46087</v>
      </c>
      <c r="G799" s="77">
        <f t="shared" si="281"/>
        <v>46093</v>
      </c>
      <c r="H799" s="77">
        <f t="shared" si="282"/>
        <v>46081</v>
      </c>
      <c r="I799" s="77">
        <f t="shared" si="283"/>
        <v>46088</v>
      </c>
      <c r="J799" s="77">
        <v>46103</v>
      </c>
      <c r="K799" s="25">
        <f t="shared" si="284"/>
        <v>30</v>
      </c>
      <c r="L799" s="25">
        <v>13.11</v>
      </c>
      <c r="M799" s="25">
        <v>11.31</v>
      </c>
      <c r="N799" s="25">
        <f t="shared" si="285"/>
        <v>1.7999999999999989</v>
      </c>
      <c r="O799" s="25" t="s">
        <v>593</v>
      </c>
    </row>
    <row r="800" spans="1:15" x14ac:dyDescent="0.25">
      <c r="A800" s="77">
        <v>46073</v>
      </c>
      <c r="B800" s="25" t="s">
        <v>410</v>
      </c>
      <c r="C800" s="25" t="s">
        <v>1325</v>
      </c>
      <c r="D800" s="77">
        <f t="shared" si="278"/>
        <v>46096</v>
      </c>
      <c r="E800" s="77">
        <f t="shared" si="279"/>
        <v>46080</v>
      </c>
      <c r="F800" s="77">
        <f t="shared" si="280"/>
        <v>46087</v>
      </c>
      <c r="G800" s="77">
        <f t="shared" si="281"/>
        <v>46093</v>
      </c>
      <c r="H800" s="77">
        <f t="shared" si="282"/>
        <v>46081</v>
      </c>
      <c r="I800" s="77">
        <f t="shared" si="283"/>
        <v>46088</v>
      </c>
      <c r="J800" s="77">
        <v>46103</v>
      </c>
      <c r="K800" s="25">
        <f t="shared" si="284"/>
        <v>30</v>
      </c>
      <c r="L800" s="25">
        <v>13.17</v>
      </c>
      <c r="M800" s="25">
        <v>11.33</v>
      </c>
      <c r="N800" s="25">
        <f t="shared" si="285"/>
        <v>1.8399999999999999</v>
      </c>
      <c r="O800" s="25" t="s">
        <v>593</v>
      </c>
    </row>
    <row r="801" spans="1:15" x14ac:dyDescent="0.25">
      <c r="A801" s="77">
        <v>46073</v>
      </c>
      <c r="B801" s="25" t="s">
        <v>411</v>
      </c>
      <c r="C801" s="25" t="s">
        <v>1326</v>
      </c>
      <c r="D801" s="77">
        <f t="shared" si="278"/>
        <v>46096</v>
      </c>
      <c r="E801" s="77">
        <f t="shared" si="279"/>
        <v>46080</v>
      </c>
      <c r="F801" s="77">
        <f t="shared" si="280"/>
        <v>46087</v>
      </c>
      <c r="G801" s="77">
        <f t="shared" si="281"/>
        <v>46093</v>
      </c>
      <c r="H801" s="77">
        <f t="shared" si="282"/>
        <v>46081</v>
      </c>
      <c r="I801" s="77">
        <f t="shared" si="283"/>
        <v>46088</v>
      </c>
      <c r="J801" s="77">
        <v>46103</v>
      </c>
      <c r="K801" s="25">
        <f t="shared" si="284"/>
        <v>30</v>
      </c>
      <c r="L801" s="25">
        <v>12.46</v>
      </c>
      <c r="M801" s="25">
        <v>10.81</v>
      </c>
      <c r="N801" s="25">
        <f t="shared" si="285"/>
        <v>1.6500000000000004</v>
      </c>
      <c r="O801" s="25" t="s">
        <v>593</v>
      </c>
    </row>
    <row r="802" spans="1:15" x14ac:dyDescent="0.25">
      <c r="A802" s="77">
        <v>46074</v>
      </c>
      <c r="B802" s="25" t="s">
        <v>395</v>
      </c>
      <c r="C802" s="25" t="s">
        <v>1327</v>
      </c>
      <c r="D802" s="77">
        <f t="shared" si="278"/>
        <v>46097</v>
      </c>
      <c r="E802" s="77">
        <f t="shared" si="279"/>
        <v>46081</v>
      </c>
      <c r="F802" s="77">
        <f t="shared" si="280"/>
        <v>46088</v>
      </c>
      <c r="G802" s="77">
        <f t="shared" si="281"/>
        <v>46094</v>
      </c>
      <c r="H802" s="77">
        <f t="shared" si="282"/>
        <v>46082</v>
      </c>
      <c r="I802" s="77">
        <f t="shared" si="283"/>
        <v>46089</v>
      </c>
      <c r="J802" s="77">
        <v>46100</v>
      </c>
      <c r="K802" s="25">
        <f t="shared" si="284"/>
        <v>26</v>
      </c>
      <c r="L802" s="25">
        <v>14.56</v>
      </c>
      <c r="M802" s="25">
        <v>12.78</v>
      </c>
      <c r="N802" s="25">
        <f t="shared" si="285"/>
        <v>1.7800000000000011</v>
      </c>
      <c r="O802" s="25" t="s">
        <v>593</v>
      </c>
    </row>
    <row r="803" spans="1:15" x14ac:dyDescent="0.25">
      <c r="A803" s="77">
        <v>46074</v>
      </c>
      <c r="B803" s="25" t="s">
        <v>396</v>
      </c>
      <c r="C803" s="25" t="s">
        <v>1328</v>
      </c>
      <c r="D803" s="77">
        <f t="shared" si="278"/>
        <v>46097</v>
      </c>
      <c r="E803" s="77">
        <f t="shared" si="279"/>
        <v>46081</v>
      </c>
      <c r="F803" s="77">
        <f t="shared" si="280"/>
        <v>46088</v>
      </c>
      <c r="G803" s="77">
        <f t="shared" si="281"/>
        <v>46094</v>
      </c>
      <c r="H803" s="77">
        <f t="shared" si="282"/>
        <v>46082</v>
      </c>
      <c r="I803" s="77">
        <f t="shared" si="283"/>
        <v>46089</v>
      </c>
      <c r="J803" s="77">
        <v>46100</v>
      </c>
      <c r="K803" s="25">
        <f t="shared" si="284"/>
        <v>26</v>
      </c>
      <c r="L803" s="25">
        <v>13.06</v>
      </c>
      <c r="M803" s="25">
        <v>11.87</v>
      </c>
      <c r="N803" s="25">
        <f t="shared" si="285"/>
        <v>1.1900000000000013</v>
      </c>
      <c r="O803" s="25" t="s">
        <v>593</v>
      </c>
    </row>
    <row r="804" spans="1:15" x14ac:dyDescent="0.25">
      <c r="A804" s="77">
        <v>46074</v>
      </c>
      <c r="B804" s="25" t="s">
        <v>397</v>
      </c>
      <c r="C804" s="25" t="s">
        <v>1329</v>
      </c>
      <c r="D804" s="77">
        <f t="shared" si="278"/>
        <v>46097</v>
      </c>
      <c r="E804" s="77">
        <f t="shared" si="279"/>
        <v>46081</v>
      </c>
      <c r="F804" s="77">
        <f t="shared" si="280"/>
        <v>46088</v>
      </c>
      <c r="G804" s="77">
        <f t="shared" si="281"/>
        <v>46094</v>
      </c>
      <c r="H804" s="77">
        <f t="shared" si="282"/>
        <v>46082</v>
      </c>
      <c r="I804" s="77">
        <f t="shared" si="283"/>
        <v>46089</v>
      </c>
      <c r="J804" s="77">
        <v>46100</v>
      </c>
      <c r="K804" s="25">
        <f t="shared" si="284"/>
        <v>26</v>
      </c>
      <c r="L804" s="25">
        <v>12.66</v>
      </c>
      <c r="M804" s="25">
        <v>10.31</v>
      </c>
      <c r="N804" s="25">
        <f t="shared" si="285"/>
        <v>2.3499999999999996</v>
      </c>
      <c r="O804" s="25" t="s">
        <v>593</v>
      </c>
    </row>
    <row r="805" spans="1:15" x14ac:dyDescent="0.25">
      <c r="A805" s="77">
        <v>46074</v>
      </c>
      <c r="B805" s="25" t="s">
        <v>401</v>
      </c>
      <c r="C805" s="25" t="s">
        <v>1330</v>
      </c>
      <c r="D805" s="77">
        <f t="shared" si="278"/>
        <v>46097</v>
      </c>
      <c r="E805" s="77">
        <f t="shared" si="279"/>
        <v>46081</v>
      </c>
      <c r="F805" s="77">
        <f t="shared" si="280"/>
        <v>46088</v>
      </c>
      <c r="G805" s="77">
        <f t="shared" si="281"/>
        <v>46094</v>
      </c>
      <c r="H805" s="77">
        <f t="shared" si="282"/>
        <v>46082</v>
      </c>
      <c r="I805" s="77">
        <f t="shared" si="283"/>
        <v>46089</v>
      </c>
      <c r="J805" s="77">
        <v>46103</v>
      </c>
      <c r="K805" s="25">
        <f t="shared" si="284"/>
        <v>29</v>
      </c>
      <c r="L805" s="25">
        <v>9.24</v>
      </c>
      <c r="M805" s="25">
        <v>7.61</v>
      </c>
      <c r="N805" s="25">
        <f t="shared" si="285"/>
        <v>1.63</v>
      </c>
      <c r="O805" s="25" t="s">
        <v>593</v>
      </c>
    </row>
    <row r="806" spans="1:15" x14ac:dyDescent="0.25">
      <c r="A806" s="77">
        <v>46074</v>
      </c>
      <c r="B806" s="25" t="s">
        <v>402</v>
      </c>
      <c r="C806" s="25" t="s">
        <v>1331</v>
      </c>
      <c r="D806" s="77">
        <f t="shared" si="278"/>
        <v>46097</v>
      </c>
      <c r="E806" s="77">
        <f t="shared" si="279"/>
        <v>46081</v>
      </c>
      <c r="F806" s="77">
        <f t="shared" si="280"/>
        <v>46088</v>
      </c>
      <c r="G806" s="77">
        <f t="shared" si="281"/>
        <v>46094</v>
      </c>
      <c r="H806" s="77">
        <f t="shared" si="282"/>
        <v>46082</v>
      </c>
      <c r="I806" s="77">
        <f t="shared" si="283"/>
        <v>46089</v>
      </c>
      <c r="J806" s="77">
        <v>46103</v>
      </c>
      <c r="K806" s="25">
        <f t="shared" si="284"/>
        <v>29</v>
      </c>
      <c r="L806" s="25">
        <v>10.51</v>
      </c>
      <c r="M806" s="25">
        <v>8.24</v>
      </c>
      <c r="N806" s="25">
        <f t="shared" si="285"/>
        <v>2.2699999999999996</v>
      </c>
      <c r="O806" s="25" t="s">
        <v>593</v>
      </c>
    </row>
    <row r="807" spans="1:15" x14ac:dyDescent="0.25">
      <c r="A807" s="77">
        <v>46074</v>
      </c>
      <c r="B807" s="25" t="s">
        <v>403</v>
      </c>
      <c r="C807" s="25" t="s">
        <v>1332</v>
      </c>
      <c r="D807" s="77">
        <f t="shared" si="278"/>
        <v>46097</v>
      </c>
      <c r="E807" s="77">
        <f t="shared" si="279"/>
        <v>46081</v>
      </c>
      <c r="F807" s="77">
        <f t="shared" si="280"/>
        <v>46088</v>
      </c>
      <c r="G807" s="77">
        <f t="shared" si="281"/>
        <v>46094</v>
      </c>
      <c r="H807" s="77">
        <f t="shared" si="282"/>
        <v>46082</v>
      </c>
      <c r="I807" s="77">
        <f t="shared" si="283"/>
        <v>46089</v>
      </c>
      <c r="J807" s="77">
        <v>46103</v>
      </c>
      <c r="K807" s="25">
        <f t="shared" si="284"/>
        <v>29</v>
      </c>
      <c r="L807" s="25">
        <v>9.16</v>
      </c>
      <c r="M807" s="25">
        <v>7.59</v>
      </c>
      <c r="N807" s="25">
        <f t="shared" si="285"/>
        <v>1.5700000000000003</v>
      </c>
      <c r="O807" s="25" t="s">
        <v>593</v>
      </c>
    </row>
    <row r="808" spans="1:15" x14ac:dyDescent="0.25">
      <c r="A808" s="77">
        <v>46075</v>
      </c>
      <c r="B808" s="25" t="s">
        <v>435</v>
      </c>
      <c r="C808" s="25" t="s">
        <v>1333</v>
      </c>
      <c r="D808" s="77">
        <f t="shared" si="278"/>
        <v>46098</v>
      </c>
      <c r="E808" s="77">
        <f t="shared" si="279"/>
        <v>46082</v>
      </c>
      <c r="F808" s="77">
        <f t="shared" si="280"/>
        <v>46089</v>
      </c>
      <c r="G808" s="77">
        <f t="shared" si="281"/>
        <v>46095</v>
      </c>
      <c r="H808" s="77">
        <f t="shared" si="282"/>
        <v>46083</v>
      </c>
      <c r="I808" s="77">
        <f t="shared" si="283"/>
        <v>46090</v>
      </c>
      <c r="J808" s="77">
        <v>46103</v>
      </c>
      <c r="K808" s="25">
        <f t="shared" si="284"/>
        <v>28</v>
      </c>
      <c r="L808" s="25">
        <v>14.25</v>
      </c>
      <c r="M808" s="25">
        <v>12.94</v>
      </c>
      <c r="N808" s="25">
        <f t="shared" si="285"/>
        <v>1.3100000000000005</v>
      </c>
      <c r="O808" s="25" t="s">
        <v>593</v>
      </c>
    </row>
    <row r="809" spans="1:15" x14ac:dyDescent="0.25">
      <c r="A809" s="77">
        <v>46075</v>
      </c>
      <c r="B809" s="25" t="s">
        <v>436</v>
      </c>
      <c r="C809" s="25" t="s">
        <v>1334</v>
      </c>
      <c r="D809" s="77">
        <f t="shared" si="278"/>
        <v>46098</v>
      </c>
      <c r="E809" s="77">
        <f t="shared" si="279"/>
        <v>46082</v>
      </c>
      <c r="F809" s="77">
        <f t="shared" si="280"/>
        <v>46089</v>
      </c>
      <c r="G809" s="77">
        <f t="shared" si="281"/>
        <v>46095</v>
      </c>
      <c r="H809" s="77">
        <f t="shared" si="282"/>
        <v>46083</v>
      </c>
      <c r="I809" s="77">
        <f t="shared" si="283"/>
        <v>46090</v>
      </c>
      <c r="J809" s="77">
        <v>46103</v>
      </c>
      <c r="K809" s="25">
        <f t="shared" si="284"/>
        <v>28</v>
      </c>
      <c r="L809" s="25">
        <v>13.78</v>
      </c>
      <c r="M809" s="25">
        <v>11.73</v>
      </c>
      <c r="N809" s="25">
        <f t="shared" si="285"/>
        <v>2.0499999999999989</v>
      </c>
      <c r="O809" s="25" t="s">
        <v>593</v>
      </c>
    </row>
    <row r="810" spans="1:15" x14ac:dyDescent="0.25">
      <c r="A810" s="77">
        <v>46075</v>
      </c>
      <c r="B810" s="25" t="s">
        <v>437</v>
      </c>
      <c r="C810" s="25" t="s">
        <v>1335</v>
      </c>
      <c r="D810" s="77">
        <f t="shared" si="278"/>
        <v>46098</v>
      </c>
      <c r="E810" s="77">
        <f t="shared" si="279"/>
        <v>46082</v>
      </c>
      <c r="F810" s="77">
        <f t="shared" si="280"/>
        <v>46089</v>
      </c>
      <c r="G810" s="77">
        <f t="shared" si="281"/>
        <v>46095</v>
      </c>
      <c r="H810" s="77">
        <f t="shared" si="282"/>
        <v>46083</v>
      </c>
      <c r="I810" s="77">
        <f t="shared" si="283"/>
        <v>46090</v>
      </c>
      <c r="J810" s="77">
        <v>46103</v>
      </c>
      <c r="K810" s="25">
        <f t="shared" si="284"/>
        <v>28</v>
      </c>
      <c r="L810" s="25">
        <v>12.92</v>
      </c>
      <c r="M810" s="25">
        <v>12.01</v>
      </c>
      <c r="N810" s="25">
        <f t="shared" si="285"/>
        <v>0.91000000000000014</v>
      </c>
      <c r="O810" s="25" t="s">
        <v>593</v>
      </c>
    </row>
    <row r="811" spans="1:15" x14ac:dyDescent="0.25">
      <c r="A811" s="77">
        <v>46075</v>
      </c>
      <c r="B811" s="25" t="s">
        <v>438</v>
      </c>
      <c r="C811" s="25" t="s">
        <v>1336</v>
      </c>
      <c r="D811" s="77">
        <f t="shared" si="278"/>
        <v>46098</v>
      </c>
      <c r="E811" s="77">
        <f t="shared" si="279"/>
        <v>46082</v>
      </c>
      <c r="F811" s="77">
        <f t="shared" si="280"/>
        <v>46089</v>
      </c>
      <c r="G811" s="77">
        <f t="shared" si="281"/>
        <v>46095</v>
      </c>
      <c r="H811" s="77">
        <f t="shared" si="282"/>
        <v>46083</v>
      </c>
      <c r="I811" s="77">
        <f t="shared" si="283"/>
        <v>46090</v>
      </c>
      <c r="J811" s="77">
        <v>46103</v>
      </c>
      <c r="K811" s="25">
        <f t="shared" si="284"/>
        <v>28</v>
      </c>
      <c r="L811" s="25">
        <v>13.42</v>
      </c>
      <c r="M811" s="25">
        <v>9.2100000000000009</v>
      </c>
      <c r="N811" s="25">
        <f t="shared" si="285"/>
        <v>4.2099999999999991</v>
      </c>
      <c r="O811" s="25" t="s">
        <v>593</v>
      </c>
    </row>
    <row r="812" spans="1:15" x14ac:dyDescent="0.25">
      <c r="A812" s="77">
        <v>46075</v>
      </c>
      <c r="B812" s="25" t="s">
        <v>439</v>
      </c>
      <c r="C812" s="25" t="s">
        <v>1337</v>
      </c>
      <c r="D812" s="77">
        <f t="shared" si="278"/>
        <v>46098</v>
      </c>
      <c r="E812" s="77">
        <f t="shared" si="279"/>
        <v>46082</v>
      </c>
      <c r="F812" s="77">
        <f t="shared" si="280"/>
        <v>46089</v>
      </c>
      <c r="G812" s="77">
        <f t="shared" si="281"/>
        <v>46095</v>
      </c>
      <c r="H812" s="77">
        <f t="shared" si="282"/>
        <v>46083</v>
      </c>
      <c r="I812" s="77">
        <f t="shared" si="283"/>
        <v>46090</v>
      </c>
      <c r="J812" s="77">
        <v>46103</v>
      </c>
      <c r="K812" s="25">
        <f t="shared" si="284"/>
        <v>28</v>
      </c>
      <c r="L812" s="25">
        <v>15.72</v>
      </c>
      <c r="M812" s="25">
        <v>13.66</v>
      </c>
      <c r="N812" s="25">
        <f t="shared" si="285"/>
        <v>2.0600000000000005</v>
      </c>
      <c r="O812" s="25" t="s">
        <v>593</v>
      </c>
    </row>
    <row r="813" spans="1:15" x14ac:dyDescent="0.25">
      <c r="A813" s="77">
        <v>46075</v>
      </c>
      <c r="B813" s="25" t="s">
        <v>440</v>
      </c>
      <c r="C813" s="25" t="s">
        <v>1338</v>
      </c>
      <c r="D813" s="77">
        <f t="shared" si="278"/>
        <v>46098</v>
      </c>
      <c r="E813" s="77">
        <f t="shared" si="279"/>
        <v>46082</v>
      </c>
      <c r="F813" s="77">
        <f t="shared" si="280"/>
        <v>46089</v>
      </c>
      <c r="G813" s="77">
        <f t="shared" si="281"/>
        <v>46095</v>
      </c>
      <c r="H813" s="77">
        <f t="shared" si="282"/>
        <v>46083</v>
      </c>
      <c r="I813" s="77">
        <f t="shared" si="283"/>
        <v>46090</v>
      </c>
      <c r="J813" s="77">
        <v>46103</v>
      </c>
      <c r="K813" s="25">
        <f t="shared" si="284"/>
        <v>28</v>
      </c>
      <c r="L813" s="25">
        <v>14.23</v>
      </c>
      <c r="M813" s="25">
        <v>12.73</v>
      </c>
      <c r="N813" s="25">
        <f t="shared" si="285"/>
        <v>1.5</v>
      </c>
      <c r="O813" s="25" t="s">
        <v>593</v>
      </c>
    </row>
    <row r="814" spans="1:15" x14ac:dyDescent="0.25">
      <c r="A814" s="77">
        <v>46075</v>
      </c>
      <c r="B814" s="25" t="s">
        <v>441</v>
      </c>
      <c r="C814" s="25" t="s">
        <v>1339</v>
      </c>
      <c r="D814" s="77">
        <f t="shared" si="278"/>
        <v>46098</v>
      </c>
      <c r="E814" s="77">
        <f t="shared" si="279"/>
        <v>46082</v>
      </c>
      <c r="F814" s="77">
        <f t="shared" si="280"/>
        <v>46089</v>
      </c>
      <c r="G814" s="77">
        <f t="shared" si="281"/>
        <v>46095</v>
      </c>
      <c r="H814" s="77">
        <f t="shared" si="282"/>
        <v>46083</v>
      </c>
      <c r="I814" s="77">
        <f t="shared" si="283"/>
        <v>46090</v>
      </c>
      <c r="J814" s="77">
        <v>46104</v>
      </c>
      <c r="K814" s="25">
        <f t="shared" si="284"/>
        <v>29</v>
      </c>
      <c r="L814" s="25">
        <v>12.42</v>
      </c>
      <c r="M814" s="25">
        <v>11.32</v>
      </c>
      <c r="N814" s="25">
        <f t="shared" si="285"/>
        <v>1.0999999999999996</v>
      </c>
      <c r="O814" s="25" t="s">
        <v>593</v>
      </c>
    </row>
    <row r="815" spans="1:15" x14ac:dyDescent="0.25">
      <c r="A815" s="77">
        <v>46076</v>
      </c>
      <c r="B815" s="25" t="s">
        <v>428</v>
      </c>
      <c r="C815" s="25" t="s">
        <v>1340</v>
      </c>
      <c r="D815" s="77">
        <f t="shared" si="278"/>
        <v>46099</v>
      </c>
      <c r="E815" s="77">
        <f t="shared" si="279"/>
        <v>46083</v>
      </c>
      <c r="F815" s="77">
        <f t="shared" si="280"/>
        <v>46090</v>
      </c>
      <c r="G815" s="77">
        <f t="shared" si="281"/>
        <v>46096</v>
      </c>
      <c r="H815" s="77">
        <f t="shared" si="282"/>
        <v>46084</v>
      </c>
      <c r="I815" s="77">
        <f t="shared" si="283"/>
        <v>46091</v>
      </c>
      <c r="J815" s="77">
        <v>46104</v>
      </c>
      <c r="K815" s="25">
        <f t="shared" si="284"/>
        <v>28</v>
      </c>
      <c r="L815" s="25">
        <v>11.85</v>
      </c>
      <c r="M815" s="25">
        <v>10.31</v>
      </c>
      <c r="N815" s="25">
        <f t="shared" si="285"/>
        <v>1.5399999999999991</v>
      </c>
      <c r="O815" s="25" t="s">
        <v>593</v>
      </c>
    </row>
    <row r="816" spans="1:15" x14ac:dyDescent="0.25">
      <c r="A816" s="77">
        <v>46076</v>
      </c>
      <c r="B816" s="25" t="s">
        <v>429</v>
      </c>
      <c r="C816" s="25" t="s">
        <v>1341</v>
      </c>
      <c r="D816" s="77">
        <f t="shared" si="278"/>
        <v>46099</v>
      </c>
      <c r="E816" s="77">
        <f t="shared" si="279"/>
        <v>46083</v>
      </c>
      <c r="F816" s="77">
        <f t="shared" si="280"/>
        <v>46090</v>
      </c>
      <c r="G816" s="77">
        <f t="shared" si="281"/>
        <v>46096</v>
      </c>
      <c r="H816" s="77">
        <f t="shared" si="282"/>
        <v>46084</v>
      </c>
      <c r="I816" s="77">
        <f t="shared" si="283"/>
        <v>46091</v>
      </c>
      <c r="J816" s="77">
        <v>46104</v>
      </c>
      <c r="K816" s="25">
        <f t="shared" si="284"/>
        <v>28</v>
      </c>
      <c r="L816" s="25">
        <v>11.57</v>
      </c>
      <c r="M816" s="25">
        <v>10.210000000000001</v>
      </c>
      <c r="N816" s="25">
        <f t="shared" si="285"/>
        <v>1.3599999999999994</v>
      </c>
      <c r="O816" s="25" t="s">
        <v>593</v>
      </c>
    </row>
    <row r="817" spans="1:15" x14ac:dyDescent="0.25">
      <c r="A817" s="77">
        <v>46076</v>
      </c>
      <c r="B817" s="25" t="s">
        <v>430</v>
      </c>
      <c r="C817" s="25" t="s">
        <v>1342</v>
      </c>
      <c r="D817" s="77">
        <f t="shared" si="278"/>
        <v>46099</v>
      </c>
      <c r="E817" s="77">
        <f t="shared" si="279"/>
        <v>46083</v>
      </c>
      <c r="F817" s="77">
        <f t="shared" si="280"/>
        <v>46090</v>
      </c>
      <c r="G817" s="77">
        <f t="shared" si="281"/>
        <v>46096</v>
      </c>
      <c r="H817" s="77">
        <f t="shared" si="282"/>
        <v>46084</v>
      </c>
      <c r="I817" s="77">
        <f t="shared" si="283"/>
        <v>46091</v>
      </c>
      <c r="J817" s="77">
        <v>46104</v>
      </c>
      <c r="K817" s="25">
        <f t="shared" si="284"/>
        <v>28</v>
      </c>
      <c r="L817" s="25">
        <v>12.45</v>
      </c>
      <c r="M817" s="25">
        <v>11.78</v>
      </c>
      <c r="N817" s="25">
        <f t="shared" si="285"/>
        <v>0.66999999999999993</v>
      </c>
      <c r="O817" s="25" t="s">
        <v>593</v>
      </c>
    </row>
    <row r="818" spans="1:15" x14ac:dyDescent="0.25">
      <c r="A818" s="77">
        <v>46076</v>
      </c>
      <c r="B818" s="25" t="s">
        <v>431</v>
      </c>
      <c r="C818" s="25" t="s">
        <v>1343</v>
      </c>
      <c r="D818" s="77">
        <f t="shared" si="278"/>
        <v>46099</v>
      </c>
      <c r="E818" s="77">
        <f t="shared" si="279"/>
        <v>46083</v>
      </c>
      <c r="F818" s="77">
        <f t="shared" si="280"/>
        <v>46090</v>
      </c>
      <c r="G818" s="77">
        <f t="shared" si="281"/>
        <v>46096</v>
      </c>
      <c r="H818" s="77">
        <f t="shared" si="282"/>
        <v>46084</v>
      </c>
      <c r="I818" s="77">
        <f t="shared" si="283"/>
        <v>46091</v>
      </c>
      <c r="J818" s="77">
        <v>46104</v>
      </c>
      <c r="K818" s="25">
        <f t="shared" si="284"/>
        <v>28</v>
      </c>
      <c r="L818" s="25">
        <v>14.58</v>
      </c>
      <c r="M818" s="25">
        <v>13.23</v>
      </c>
      <c r="N818" s="25">
        <f t="shared" si="285"/>
        <v>1.3499999999999996</v>
      </c>
      <c r="O818" s="25" t="s">
        <v>593</v>
      </c>
    </row>
    <row r="819" spans="1:15" x14ac:dyDescent="0.25">
      <c r="A819" s="77">
        <v>46076</v>
      </c>
      <c r="B819" s="25" t="s">
        <v>432</v>
      </c>
      <c r="C819" s="25" t="s">
        <v>1344</v>
      </c>
      <c r="D819" s="77">
        <f t="shared" si="278"/>
        <v>46099</v>
      </c>
      <c r="E819" s="77">
        <f t="shared" si="279"/>
        <v>46083</v>
      </c>
      <c r="F819" s="77">
        <f t="shared" si="280"/>
        <v>46090</v>
      </c>
      <c r="G819" s="77">
        <f t="shared" si="281"/>
        <v>46096</v>
      </c>
      <c r="H819" s="77">
        <f t="shared" si="282"/>
        <v>46084</v>
      </c>
      <c r="I819" s="77">
        <f t="shared" si="283"/>
        <v>46091</v>
      </c>
      <c r="J819" s="77">
        <v>46104</v>
      </c>
      <c r="K819" s="25">
        <f t="shared" si="284"/>
        <v>28</v>
      </c>
      <c r="L819" s="25">
        <v>13.19</v>
      </c>
      <c r="M819" s="25">
        <v>12.32</v>
      </c>
      <c r="N819" s="25">
        <f t="shared" si="285"/>
        <v>0.86999999999999922</v>
      </c>
      <c r="O819" s="25" t="s">
        <v>593</v>
      </c>
    </row>
    <row r="820" spans="1:15" x14ac:dyDescent="0.25">
      <c r="A820" s="77">
        <v>46076</v>
      </c>
      <c r="B820" s="25" t="s">
        <v>433</v>
      </c>
      <c r="C820" s="25" t="s">
        <v>1345</v>
      </c>
      <c r="D820" s="77">
        <f t="shared" si="278"/>
        <v>46099</v>
      </c>
      <c r="E820" s="77">
        <f t="shared" si="279"/>
        <v>46083</v>
      </c>
      <c r="F820" s="77">
        <f t="shared" si="280"/>
        <v>46090</v>
      </c>
      <c r="G820" s="77">
        <f t="shared" si="281"/>
        <v>46096</v>
      </c>
      <c r="H820" s="77">
        <f t="shared" si="282"/>
        <v>46084</v>
      </c>
      <c r="I820" s="77">
        <f t="shared" si="283"/>
        <v>46091</v>
      </c>
      <c r="J820" s="77">
        <v>46104</v>
      </c>
      <c r="K820" s="25">
        <f t="shared" si="284"/>
        <v>28</v>
      </c>
      <c r="L820" s="25">
        <v>11.77</v>
      </c>
      <c r="M820" s="25">
        <v>10.56</v>
      </c>
      <c r="N820" s="25">
        <f t="shared" si="285"/>
        <v>1.2099999999999991</v>
      </c>
      <c r="O820" s="25" t="s">
        <v>593</v>
      </c>
    </row>
    <row r="821" spans="1:15" x14ac:dyDescent="0.25">
      <c r="A821" s="77">
        <v>46076</v>
      </c>
      <c r="B821" s="25" t="s">
        <v>434</v>
      </c>
      <c r="C821" s="25" t="s">
        <v>1346</v>
      </c>
      <c r="D821" s="77">
        <f t="shared" si="278"/>
        <v>46099</v>
      </c>
      <c r="E821" s="77">
        <f t="shared" si="279"/>
        <v>46083</v>
      </c>
      <c r="F821" s="77">
        <f t="shared" si="280"/>
        <v>46090</v>
      </c>
      <c r="G821" s="77">
        <f t="shared" si="281"/>
        <v>46096</v>
      </c>
      <c r="H821" s="77">
        <f t="shared" si="282"/>
        <v>46084</v>
      </c>
      <c r="I821" s="77">
        <f t="shared" si="283"/>
        <v>46091</v>
      </c>
      <c r="J821" s="77">
        <v>46104</v>
      </c>
      <c r="K821" s="25">
        <f t="shared" si="284"/>
        <v>28</v>
      </c>
      <c r="L821" s="25">
        <v>14.32</v>
      </c>
      <c r="M821" s="25">
        <v>12.21</v>
      </c>
      <c r="N821" s="25">
        <f t="shared" si="285"/>
        <v>2.1099999999999994</v>
      </c>
      <c r="O821" s="25" t="s">
        <v>593</v>
      </c>
    </row>
    <row r="822" spans="1:15" x14ac:dyDescent="0.25">
      <c r="A822" s="77">
        <v>46077</v>
      </c>
      <c r="B822" s="25" t="s">
        <v>495</v>
      </c>
      <c r="C822" s="25" t="s">
        <v>1347</v>
      </c>
      <c r="D822" s="77">
        <f t="shared" si="278"/>
        <v>46100</v>
      </c>
      <c r="E822" s="77">
        <f t="shared" si="279"/>
        <v>46084</v>
      </c>
      <c r="F822" s="77">
        <f t="shared" si="280"/>
        <v>46091</v>
      </c>
      <c r="G822" s="77">
        <f t="shared" si="281"/>
        <v>46097</v>
      </c>
      <c r="H822" s="77">
        <f t="shared" si="282"/>
        <v>46085</v>
      </c>
      <c r="I822" s="77">
        <f t="shared" si="283"/>
        <v>46092</v>
      </c>
      <c r="J822" s="77">
        <v>46104</v>
      </c>
      <c r="K822" s="25">
        <f t="shared" si="284"/>
        <v>27</v>
      </c>
      <c r="L822" s="25">
        <v>9.33</v>
      </c>
      <c r="M822" s="25">
        <v>7.83</v>
      </c>
      <c r="N822" s="25">
        <f t="shared" si="285"/>
        <v>1.5</v>
      </c>
      <c r="O822" s="25" t="s">
        <v>593</v>
      </c>
    </row>
    <row r="823" spans="1:15" x14ac:dyDescent="0.25">
      <c r="A823" s="77">
        <v>46077</v>
      </c>
      <c r="B823" s="25" t="s">
        <v>496</v>
      </c>
      <c r="C823" s="25" t="s">
        <v>1348</v>
      </c>
      <c r="D823" s="77">
        <f t="shared" si="278"/>
        <v>46100</v>
      </c>
      <c r="E823" s="77">
        <f t="shared" si="279"/>
        <v>46084</v>
      </c>
      <c r="F823" s="77">
        <f t="shared" si="280"/>
        <v>46091</v>
      </c>
      <c r="G823" s="77">
        <f t="shared" si="281"/>
        <v>46097</v>
      </c>
      <c r="H823" s="77">
        <f t="shared" si="282"/>
        <v>46085</v>
      </c>
      <c r="I823" s="77">
        <f t="shared" si="283"/>
        <v>46092</v>
      </c>
      <c r="J823" s="77">
        <v>46104</v>
      </c>
      <c r="K823" s="25">
        <f t="shared" si="284"/>
        <v>27</v>
      </c>
      <c r="L823" s="25">
        <v>10.87</v>
      </c>
      <c r="M823" s="25">
        <v>8.52</v>
      </c>
      <c r="N823" s="25">
        <f t="shared" si="285"/>
        <v>2.3499999999999996</v>
      </c>
      <c r="O823" s="25" t="s">
        <v>593</v>
      </c>
    </row>
    <row r="824" spans="1:15" x14ac:dyDescent="0.25">
      <c r="A824" s="77">
        <v>46077</v>
      </c>
      <c r="B824" s="25" t="s">
        <v>497</v>
      </c>
      <c r="C824" s="25" t="s">
        <v>1349</v>
      </c>
      <c r="D824" s="77">
        <f t="shared" si="278"/>
        <v>46100</v>
      </c>
      <c r="E824" s="77">
        <f t="shared" si="279"/>
        <v>46084</v>
      </c>
      <c r="F824" s="77">
        <f t="shared" si="280"/>
        <v>46091</v>
      </c>
      <c r="G824" s="77">
        <f t="shared" si="281"/>
        <v>46097</v>
      </c>
      <c r="H824" s="77">
        <f t="shared" si="282"/>
        <v>46085</v>
      </c>
      <c r="I824" s="77">
        <f t="shared" si="283"/>
        <v>46092</v>
      </c>
      <c r="J824" s="77">
        <v>46104</v>
      </c>
      <c r="K824" s="25">
        <f t="shared" si="284"/>
        <v>27</v>
      </c>
      <c r="L824" s="25">
        <v>8.17</v>
      </c>
      <c r="M824" s="25">
        <v>6.32</v>
      </c>
      <c r="N824" s="25">
        <f t="shared" si="285"/>
        <v>1.8499999999999996</v>
      </c>
      <c r="O824" s="25" t="s">
        <v>593</v>
      </c>
    </row>
    <row r="825" spans="1:15" x14ac:dyDescent="0.25">
      <c r="A825" s="77">
        <v>46077</v>
      </c>
      <c r="B825" s="25" t="s">
        <v>498</v>
      </c>
      <c r="C825" s="25" t="s">
        <v>1350</v>
      </c>
      <c r="D825" s="77">
        <f t="shared" si="278"/>
        <v>46100</v>
      </c>
      <c r="E825" s="77">
        <f t="shared" si="279"/>
        <v>46084</v>
      </c>
      <c r="F825" s="77">
        <f t="shared" si="280"/>
        <v>46091</v>
      </c>
      <c r="G825" s="77">
        <f t="shared" si="281"/>
        <v>46097</v>
      </c>
      <c r="H825" s="77">
        <f t="shared" si="282"/>
        <v>46085</v>
      </c>
      <c r="I825" s="77">
        <f t="shared" si="283"/>
        <v>46092</v>
      </c>
      <c r="J825" s="77">
        <v>46104</v>
      </c>
      <c r="K825" s="25">
        <f t="shared" si="284"/>
        <v>27</v>
      </c>
      <c r="L825" s="25">
        <v>9.56</v>
      </c>
      <c r="M825" s="25">
        <v>7.24</v>
      </c>
      <c r="N825" s="25">
        <f t="shared" si="285"/>
        <v>2.3200000000000003</v>
      </c>
      <c r="O825" s="25" t="s">
        <v>593</v>
      </c>
    </row>
    <row r="826" spans="1:15" x14ac:dyDescent="0.25">
      <c r="A826" s="77">
        <v>46077</v>
      </c>
      <c r="B826" s="25" t="s">
        <v>499</v>
      </c>
      <c r="C826" s="25" t="s">
        <v>1351</v>
      </c>
      <c r="D826" s="77">
        <f t="shared" si="278"/>
        <v>46100</v>
      </c>
      <c r="E826" s="77">
        <f t="shared" si="279"/>
        <v>46084</v>
      </c>
      <c r="F826" s="77">
        <f t="shared" si="280"/>
        <v>46091</v>
      </c>
      <c r="G826" s="77">
        <f t="shared" si="281"/>
        <v>46097</v>
      </c>
      <c r="H826" s="77">
        <f t="shared" si="282"/>
        <v>46085</v>
      </c>
      <c r="I826" s="77">
        <f t="shared" si="283"/>
        <v>46092</v>
      </c>
      <c r="J826" s="77">
        <v>46104</v>
      </c>
      <c r="K826" s="25">
        <f t="shared" si="284"/>
        <v>27</v>
      </c>
      <c r="L826" s="25">
        <v>8.36</v>
      </c>
      <c r="M826" s="25">
        <v>6.79</v>
      </c>
      <c r="N826" s="25">
        <f t="shared" si="285"/>
        <v>1.5699999999999994</v>
      </c>
      <c r="O826" s="25" t="s">
        <v>593</v>
      </c>
    </row>
    <row r="827" spans="1:15" x14ac:dyDescent="0.25">
      <c r="A827" s="77">
        <v>46077</v>
      </c>
      <c r="B827" s="25" t="s">
        <v>500</v>
      </c>
      <c r="C827" s="25" t="s">
        <v>1352</v>
      </c>
      <c r="D827" s="77">
        <f t="shared" si="278"/>
        <v>46100</v>
      </c>
      <c r="E827" s="77">
        <f t="shared" si="279"/>
        <v>46084</v>
      </c>
      <c r="F827" s="77">
        <f t="shared" si="280"/>
        <v>46091</v>
      </c>
      <c r="G827" s="77">
        <f t="shared" si="281"/>
        <v>46097</v>
      </c>
      <c r="H827" s="77">
        <f t="shared" si="282"/>
        <v>46085</v>
      </c>
      <c r="I827" s="77">
        <f t="shared" si="283"/>
        <v>46092</v>
      </c>
      <c r="J827" s="77">
        <v>46104</v>
      </c>
      <c r="K827" s="25">
        <f t="shared" si="284"/>
        <v>27</v>
      </c>
      <c r="L827" s="25">
        <v>8.09</v>
      </c>
      <c r="M827" s="25">
        <v>7.24</v>
      </c>
      <c r="N827" s="25">
        <f t="shared" si="285"/>
        <v>0.84999999999999964</v>
      </c>
      <c r="O827" s="25" t="s">
        <v>593</v>
      </c>
    </row>
    <row r="828" spans="1:15" x14ac:dyDescent="0.25">
      <c r="A828" s="77">
        <v>46077</v>
      </c>
      <c r="B828" s="25" t="s">
        <v>501</v>
      </c>
      <c r="C828" s="25" t="s">
        <v>1353</v>
      </c>
      <c r="D828" s="77">
        <f t="shared" si="278"/>
        <v>46100</v>
      </c>
      <c r="E828" s="77">
        <f t="shared" si="279"/>
        <v>46084</v>
      </c>
      <c r="F828" s="77">
        <f t="shared" si="280"/>
        <v>46091</v>
      </c>
      <c r="G828" s="77">
        <f t="shared" si="281"/>
        <v>46097</v>
      </c>
      <c r="H828" s="77">
        <f t="shared" si="282"/>
        <v>46085</v>
      </c>
      <c r="I828" s="77">
        <f t="shared" si="283"/>
        <v>46092</v>
      </c>
      <c r="J828" s="77">
        <v>46104</v>
      </c>
      <c r="K828" s="25">
        <f t="shared" si="284"/>
        <v>27</v>
      </c>
      <c r="L828" s="25">
        <v>7.43</v>
      </c>
      <c r="M828" s="25">
        <v>6.93</v>
      </c>
      <c r="N828" s="25">
        <f t="shared" si="285"/>
        <v>0.5</v>
      </c>
      <c r="O828" s="25" t="s">
        <v>593</v>
      </c>
    </row>
    <row r="829" spans="1:15" x14ac:dyDescent="0.25">
      <c r="A829" s="77">
        <v>46078</v>
      </c>
      <c r="B829" s="25" t="s">
        <v>458</v>
      </c>
      <c r="C829" s="25" t="s">
        <v>1163</v>
      </c>
      <c r="D829" s="77">
        <f t="shared" si="278"/>
        <v>46101</v>
      </c>
      <c r="E829" s="77">
        <f t="shared" si="279"/>
        <v>46085</v>
      </c>
      <c r="F829" s="77">
        <f t="shared" si="280"/>
        <v>46092</v>
      </c>
      <c r="G829" s="77">
        <f t="shared" si="281"/>
        <v>46098</v>
      </c>
      <c r="H829" s="77">
        <f t="shared" si="282"/>
        <v>46086</v>
      </c>
      <c r="I829" s="77">
        <f t="shared" si="283"/>
        <v>46093</v>
      </c>
      <c r="J829" s="77">
        <v>46105</v>
      </c>
      <c r="K829" s="25">
        <f t="shared" si="284"/>
        <v>27</v>
      </c>
      <c r="L829" s="25">
        <v>12.45</v>
      </c>
      <c r="M829" s="25">
        <v>11.43</v>
      </c>
      <c r="N829" s="25">
        <f t="shared" si="285"/>
        <v>1.0199999999999996</v>
      </c>
      <c r="O829" s="25" t="s">
        <v>593</v>
      </c>
    </row>
    <row r="830" spans="1:15" x14ac:dyDescent="0.25">
      <c r="A830" s="77">
        <v>46078</v>
      </c>
      <c r="B830" s="25" t="s">
        <v>459</v>
      </c>
      <c r="C830" s="25" t="s">
        <v>1164</v>
      </c>
      <c r="D830" s="77">
        <f t="shared" si="278"/>
        <v>46101</v>
      </c>
      <c r="E830" s="77">
        <f t="shared" si="279"/>
        <v>46085</v>
      </c>
      <c r="F830" s="77">
        <f t="shared" si="280"/>
        <v>46092</v>
      </c>
      <c r="G830" s="77">
        <f t="shared" si="281"/>
        <v>46098</v>
      </c>
      <c r="H830" s="77">
        <f t="shared" si="282"/>
        <v>46086</v>
      </c>
      <c r="I830" s="77">
        <f t="shared" si="283"/>
        <v>46093</v>
      </c>
      <c r="J830" s="77">
        <v>46105</v>
      </c>
      <c r="K830" s="25">
        <f t="shared" si="284"/>
        <v>27</v>
      </c>
      <c r="L830" s="25">
        <v>11.98</v>
      </c>
      <c r="M830" s="25">
        <v>10.92</v>
      </c>
      <c r="N830" s="25">
        <f t="shared" si="285"/>
        <v>1.0600000000000005</v>
      </c>
      <c r="O830" s="25" t="s">
        <v>593</v>
      </c>
    </row>
    <row r="831" spans="1:15" x14ac:dyDescent="0.25">
      <c r="A831" s="77">
        <v>46078</v>
      </c>
      <c r="B831" s="25" t="s">
        <v>460</v>
      </c>
      <c r="C831" s="25" t="s">
        <v>1165</v>
      </c>
      <c r="D831" s="77">
        <f t="shared" si="278"/>
        <v>46101</v>
      </c>
      <c r="E831" s="77">
        <f t="shared" si="279"/>
        <v>46085</v>
      </c>
      <c r="F831" s="77">
        <f t="shared" si="280"/>
        <v>46092</v>
      </c>
      <c r="G831" s="77">
        <f t="shared" si="281"/>
        <v>46098</v>
      </c>
      <c r="H831" s="77">
        <f t="shared" si="282"/>
        <v>46086</v>
      </c>
      <c r="I831" s="77">
        <f t="shared" si="283"/>
        <v>46093</v>
      </c>
      <c r="J831" s="77">
        <v>46105</v>
      </c>
      <c r="K831" s="25">
        <f t="shared" si="284"/>
        <v>27</v>
      </c>
      <c r="L831" s="25">
        <v>12.42</v>
      </c>
      <c r="M831" s="25">
        <v>10.73</v>
      </c>
      <c r="N831" s="25">
        <f t="shared" si="285"/>
        <v>1.6899999999999995</v>
      </c>
      <c r="O831" s="25" t="s">
        <v>593</v>
      </c>
    </row>
    <row r="832" spans="1:15" x14ac:dyDescent="0.25">
      <c r="A832" s="77">
        <v>46078</v>
      </c>
      <c r="B832" s="25" t="s">
        <v>461</v>
      </c>
      <c r="C832" s="25" t="s">
        <v>1166</v>
      </c>
      <c r="D832" s="77">
        <f t="shared" si="278"/>
        <v>46101</v>
      </c>
      <c r="E832" s="77">
        <f t="shared" si="279"/>
        <v>46085</v>
      </c>
      <c r="F832" s="77">
        <f t="shared" si="280"/>
        <v>46092</v>
      </c>
      <c r="G832" s="77">
        <f t="shared" si="281"/>
        <v>46098</v>
      </c>
      <c r="H832" s="77">
        <f t="shared" si="282"/>
        <v>46086</v>
      </c>
      <c r="I832" s="77">
        <f t="shared" si="283"/>
        <v>46093</v>
      </c>
      <c r="J832" s="77">
        <v>46105</v>
      </c>
      <c r="K832" s="25">
        <f t="shared" si="284"/>
        <v>27</v>
      </c>
      <c r="L832" s="25">
        <v>14.78</v>
      </c>
      <c r="M832" s="25">
        <v>11.34</v>
      </c>
      <c r="N832" s="25">
        <f t="shared" si="285"/>
        <v>3.4399999999999995</v>
      </c>
      <c r="O832" s="25" t="s">
        <v>593</v>
      </c>
    </row>
    <row r="833" spans="1:15" x14ac:dyDescent="0.25">
      <c r="A833" s="77">
        <v>46078</v>
      </c>
      <c r="B833" s="25" t="s">
        <v>462</v>
      </c>
      <c r="C833" s="25" t="s">
        <v>1167</v>
      </c>
      <c r="D833" s="77">
        <f t="shared" si="278"/>
        <v>46101</v>
      </c>
      <c r="E833" s="77">
        <f t="shared" si="279"/>
        <v>46085</v>
      </c>
      <c r="F833" s="77">
        <f t="shared" si="280"/>
        <v>46092</v>
      </c>
      <c r="G833" s="77">
        <f t="shared" si="281"/>
        <v>46098</v>
      </c>
      <c r="H833" s="77">
        <f t="shared" si="282"/>
        <v>46086</v>
      </c>
      <c r="I833" s="77">
        <f t="shared" si="283"/>
        <v>46093</v>
      </c>
      <c r="J833" s="77">
        <v>46105</v>
      </c>
      <c r="K833" s="25">
        <f t="shared" si="284"/>
        <v>27</v>
      </c>
      <c r="L833" s="25">
        <v>14.19</v>
      </c>
      <c r="M833" s="25">
        <v>13.27</v>
      </c>
      <c r="N833" s="25">
        <f t="shared" si="285"/>
        <v>0.91999999999999993</v>
      </c>
      <c r="O833" s="25" t="s">
        <v>593</v>
      </c>
    </row>
    <row r="834" spans="1:15" x14ac:dyDescent="0.25">
      <c r="A834" s="77">
        <v>46078</v>
      </c>
      <c r="B834" s="25" t="s">
        <v>463</v>
      </c>
      <c r="C834" s="25" t="s">
        <v>1168</v>
      </c>
      <c r="D834" s="77">
        <f t="shared" si="278"/>
        <v>46101</v>
      </c>
      <c r="E834" s="77">
        <f t="shared" si="279"/>
        <v>46085</v>
      </c>
      <c r="F834" s="77">
        <f t="shared" si="280"/>
        <v>46092</v>
      </c>
      <c r="G834" s="77">
        <f t="shared" si="281"/>
        <v>46098</v>
      </c>
      <c r="H834" s="77">
        <f t="shared" si="282"/>
        <v>46086</v>
      </c>
      <c r="I834" s="77">
        <f t="shared" si="283"/>
        <v>46093</v>
      </c>
      <c r="J834" s="77">
        <v>46105</v>
      </c>
      <c r="K834" s="25">
        <f t="shared" si="284"/>
        <v>27</v>
      </c>
      <c r="L834" s="25">
        <v>14.98</v>
      </c>
      <c r="M834" s="25">
        <v>13.11</v>
      </c>
      <c r="N834" s="25">
        <f t="shared" si="285"/>
        <v>1.870000000000001</v>
      </c>
      <c r="O834" s="25" t="s">
        <v>593</v>
      </c>
    </row>
    <row r="835" spans="1:15" x14ac:dyDescent="0.25">
      <c r="A835" s="77">
        <v>46078</v>
      </c>
      <c r="B835" s="25" t="s">
        <v>464</v>
      </c>
      <c r="C835" s="25" t="s">
        <v>1169</v>
      </c>
      <c r="D835" s="77">
        <f t="shared" si="278"/>
        <v>46101</v>
      </c>
      <c r="E835" s="77">
        <f t="shared" si="279"/>
        <v>46085</v>
      </c>
      <c r="F835" s="77">
        <f t="shared" si="280"/>
        <v>46092</v>
      </c>
      <c r="G835" s="77">
        <f t="shared" si="281"/>
        <v>46098</v>
      </c>
      <c r="H835" s="77">
        <f t="shared" si="282"/>
        <v>46086</v>
      </c>
      <c r="I835" s="77">
        <f t="shared" si="283"/>
        <v>46093</v>
      </c>
      <c r="J835" s="77">
        <v>46105</v>
      </c>
      <c r="K835" s="25">
        <f t="shared" si="284"/>
        <v>27</v>
      </c>
      <c r="L835" s="25">
        <v>13.21</v>
      </c>
      <c r="M835" s="25">
        <v>11.31</v>
      </c>
      <c r="N835" s="25">
        <f t="shared" si="285"/>
        <v>1.9000000000000004</v>
      </c>
      <c r="O835" s="25" t="s">
        <v>593</v>
      </c>
    </row>
    <row r="836" spans="1:15" x14ac:dyDescent="0.25">
      <c r="A836" s="77">
        <v>46079</v>
      </c>
      <c r="B836" s="25" t="s">
        <v>502</v>
      </c>
      <c r="C836" s="25" t="s">
        <v>1354</v>
      </c>
      <c r="D836" s="77">
        <f t="shared" si="278"/>
        <v>46102</v>
      </c>
      <c r="E836" s="77">
        <f t="shared" si="279"/>
        <v>46086</v>
      </c>
      <c r="F836" s="77">
        <f t="shared" si="280"/>
        <v>46093</v>
      </c>
      <c r="G836" s="77">
        <f t="shared" si="281"/>
        <v>46099</v>
      </c>
      <c r="H836" s="77">
        <f t="shared" si="282"/>
        <v>46087</v>
      </c>
      <c r="I836" s="77">
        <f t="shared" si="283"/>
        <v>46094</v>
      </c>
      <c r="J836" s="77">
        <v>46105</v>
      </c>
      <c r="K836" s="25">
        <f t="shared" si="284"/>
        <v>26</v>
      </c>
      <c r="L836" s="25">
        <v>9.73</v>
      </c>
      <c r="M836" s="25">
        <v>6.94</v>
      </c>
      <c r="N836" s="25">
        <f t="shared" si="285"/>
        <v>2.79</v>
      </c>
      <c r="O836" s="25" t="s">
        <v>593</v>
      </c>
    </row>
    <row r="837" spans="1:15" x14ac:dyDescent="0.25">
      <c r="A837" s="77">
        <v>46079</v>
      </c>
      <c r="B837" s="25" t="s">
        <v>503</v>
      </c>
      <c r="C837" s="25" t="s">
        <v>1355</v>
      </c>
      <c r="D837" s="77">
        <f t="shared" si="278"/>
        <v>46102</v>
      </c>
      <c r="E837" s="77">
        <f t="shared" si="279"/>
        <v>46086</v>
      </c>
      <c r="F837" s="77">
        <f t="shared" si="280"/>
        <v>46093</v>
      </c>
      <c r="G837" s="77">
        <f t="shared" si="281"/>
        <v>46099</v>
      </c>
      <c r="H837" s="77">
        <f t="shared" si="282"/>
        <v>46087</v>
      </c>
      <c r="I837" s="77">
        <f t="shared" si="283"/>
        <v>46094</v>
      </c>
      <c r="J837" s="77">
        <v>46105</v>
      </c>
      <c r="K837" s="25">
        <f t="shared" si="284"/>
        <v>26</v>
      </c>
      <c r="L837" s="25">
        <v>9.8699999999999992</v>
      </c>
      <c r="M837" s="25">
        <v>5.43</v>
      </c>
      <c r="N837" s="25">
        <f t="shared" si="285"/>
        <v>4.4399999999999995</v>
      </c>
      <c r="O837" s="25" t="s">
        <v>593</v>
      </c>
    </row>
    <row r="838" spans="1:15" x14ac:dyDescent="0.25">
      <c r="A838" s="77">
        <v>46079</v>
      </c>
      <c r="B838" s="25" t="s">
        <v>504</v>
      </c>
      <c r="C838" s="25" t="s">
        <v>1356</v>
      </c>
      <c r="D838" s="77">
        <f t="shared" si="278"/>
        <v>46102</v>
      </c>
      <c r="E838" s="77">
        <f t="shared" si="279"/>
        <v>46086</v>
      </c>
      <c r="F838" s="77">
        <f t="shared" si="280"/>
        <v>46093</v>
      </c>
      <c r="G838" s="77">
        <f t="shared" si="281"/>
        <v>46099</v>
      </c>
      <c r="H838" s="77">
        <f t="shared" si="282"/>
        <v>46087</v>
      </c>
      <c r="I838" s="77">
        <f t="shared" si="283"/>
        <v>46094</v>
      </c>
      <c r="J838" s="77">
        <v>46105</v>
      </c>
      <c r="K838" s="25">
        <f t="shared" si="284"/>
        <v>26</v>
      </c>
      <c r="L838" s="25">
        <v>10.210000000000001</v>
      </c>
      <c r="M838" s="25">
        <v>6.83</v>
      </c>
      <c r="N838" s="25">
        <f t="shared" si="285"/>
        <v>3.3800000000000008</v>
      </c>
      <c r="O838" s="25" t="s">
        <v>593</v>
      </c>
    </row>
    <row r="839" spans="1:15" x14ac:dyDescent="0.25">
      <c r="A839" s="77">
        <v>46079</v>
      </c>
      <c r="B839" s="25" t="s">
        <v>505</v>
      </c>
      <c r="C839" s="25" t="s">
        <v>1357</v>
      </c>
      <c r="D839" s="77">
        <f t="shared" si="278"/>
        <v>46102</v>
      </c>
      <c r="E839" s="77">
        <f t="shared" si="279"/>
        <v>46086</v>
      </c>
      <c r="F839" s="77">
        <f t="shared" si="280"/>
        <v>46093</v>
      </c>
      <c r="G839" s="77">
        <f t="shared" si="281"/>
        <v>46099</v>
      </c>
      <c r="H839" s="77">
        <f t="shared" si="282"/>
        <v>46087</v>
      </c>
      <c r="I839" s="77">
        <f t="shared" si="283"/>
        <v>46094</v>
      </c>
      <c r="J839" s="77">
        <v>46105</v>
      </c>
      <c r="K839" s="25">
        <f t="shared" si="284"/>
        <v>26</v>
      </c>
      <c r="L839" s="25">
        <v>8.52</v>
      </c>
      <c r="M839" s="25">
        <v>7.43</v>
      </c>
      <c r="N839" s="25">
        <f t="shared" si="285"/>
        <v>1.0899999999999999</v>
      </c>
      <c r="O839" s="25" t="s">
        <v>593</v>
      </c>
    </row>
    <row r="840" spans="1:15" x14ac:dyDescent="0.25">
      <c r="A840" s="77">
        <v>46079</v>
      </c>
      <c r="B840" s="25" t="s">
        <v>506</v>
      </c>
      <c r="C840" s="25" t="s">
        <v>1358</v>
      </c>
      <c r="D840" s="77">
        <f t="shared" si="278"/>
        <v>46102</v>
      </c>
      <c r="E840" s="77">
        <f t="shared" si="279"/>
        <v>46086</v>
      </c>
      <c r="F840" s="77">
        <f t="shared" si="280"/>
        <v>46093</v>
      </c>
      <c r="G840" s="77">
        <f t="shared" si="281"/>
        <v>46099</v>
      </c>
      <c r="H840" s="77">
        <f t="shared" si="282"/>
        <v>46087</v>
      </c>
      <c r="I840" s="77">
        <f t="shared" si="283"/>
        <v>46094</v>
      </c>
      <c r="J840" s="77">
        <v>46105</v>
      </c>
      <c r="K840" s="25">
        <f t="shared" si="284"/>
        <v>26</v>
      </c>
      <c r="L840" s="25">
        <v>10.78</v>
      </c>
      <c r="M840" s="25">
        <v>6.26</v>
      </c>
      <c r="N840" s="25">
        <f t="shared" si="285"/>
        <v>4.5199999999999996</v>
      </c>
      <c r="O840" s="25" t="s">
        <v>593</v>
      </c>
    </row>
    <row r="841" spans="1:15" x14ac:dyDescent="0.25">
      <c r="A841" s="77">
        <v>46079</v>
      </c>
      <c r="B841" s="25" t="s">
        <v>507</v>
      </c>
      <c r="C841" s="25" t="s">
        <v>1359</v>
      </c>
      <c r="D841" s="77">
        <f t="shared" si="278"/>
        <v>46102</v>
      </c>
      <c r="E841" s="77">
        <f t="shared" si="279"/>
        <v>46086</v>
      </c>
      <c r="F841" s="77">
        <f t="shared" si="280"/>
        <v>46093</v>
      </c>
      <c r="G841" s="77">
        <f t="shared" si="281"/>
        <v>46099</v>
      </c>
      <c r="H841" s="77">
        <f t="shared" si="282"/>
        <v>46087</v>
      </c>
      <c r="I841" s="77">
        <f t="shared" si="283"/>
        <v>46094</v>
      </c>
      <c r="J841" s="77">
        <v>46105</v>
      </c>
      <c r="K841" s="25">
        <f t="shared" si="284"/>
        <v>26</v>
      </c>
      <c r="L841" s="25">
        <v>9.89</v>
      </c>
      <c r="M841" s="25">
        <v>6.18</v>
      </c>
      <c r="N841" s="25">
        <f t="shared" si="285"/>
        <v>3.7100000000000009</v>
      </c>
      <c r="O841" s="25" t="s">
        <v>593</v>
      </c>
    </row>
    <row r="842" spans="1:15" x14ac:dyDescent="0.25">
      <c r="A842" s="77">
        <v>46079</v>
      </c>
      <c r="B842" s="25" t="s">
        <v>508</v>
      </c>
      <c r="C842" s="25" t="s">
        <v>1360</v>
      </c>
      <c r="D842" s="77">
        <f t="shared" si="278"/>
        <v>46102</v>
      </c>
      <c r="E842" s="77">
        <f t="shared" si="279"/>
        <v>46086</v>
      </c>
      <c r="F842" s="77">
        <f t="shared" si="280"/>
        <v>46093</v>
      </c>
      <c r="G842" s="77">
        <f t="shared" si="281"/>
        <v>46099</v>
      </c>
      <c r="H842" s="77">
        <f t="shared" si="282"/>
        <v>46087</v>
      </c>
      <c r="I842" s="77">
        <f t="shared" si="283"/>
        <v>46094</v>
      </c>
      <c r="J842" s="77">
        <v>46105</v>
      </c>
      <c r="K842" s="25">
        <f t="shared" si="284"/>
        <v>26</v>
      </c>
      <c r="L842" s="25">
        <v>9.4700000000000006</v>
      </c>
      <c r="M842" s="25">
        <v>6.14</v>
      </c>
      <c r="N842" s="25">
        <f t="shared" si="285"/>
        <v>3.330000000000001</v>
      </c>
      <c r="O842" s="25" t="s">
        <v>593</v>
      </c>
    </row>
    <row r="843" spans="1:15" x14ac:dyDescent="0.25">
      <c r="A843" s="77">
        <v>46080</v>
      </c>
      <c r="B843" s="25" t="s">
        <v>465</v>
      </c>
      <c r="C843" s="25" t="s">
        <v>1361</v>
      </c>
      <c r="D843" s="77">
        <f t="shared" si="278"/>
        <v>46103</v>
      </c>
      <c r="E843" s="77">
        <f t="shared" si="279"/>
        <v>46087</v>
      </c>
      <c r="F843" s="77">
        <f t="shared" si="280"/>
        <v>46094</v>
      </c>
      <c r="G843" s="77">
        <f t="shared" si="281"/>
        <v>46100</v>
      </c>
      <c r="H843" s="77">
        <f t="shared" si="282"/>
        <v>46088</v>
      </c>
      <c r="I843" s="77">
        <f t="shared" si="283"/>
        <v>46095</v>
      </c>
      <c r="J843" s="77">
        <v>46105</v>
      </c>
      <c r="K843" s="25">
        <f t="shared" si="284"/>
        <v>25</v>
      </c>
      <c r="L843" s="25">
        <v>12.57</v>
      </c>
      <c r="M843" s="25">
        <v>10.75</v>
      </c>
      <c r="N843" s="25">
        <f t="shared" si="285"/>
        <v>1.8200000000000003</v>
      </c>
      <c r="O843" s="25" t="s">
        <v>593</v>
      </c>
    </row>
    <row r="844" spans="1:15" x14ac:dyDescent="0.25">
      <c r="A844" s="77">
        <v>46080</v>
      </c>
      <c r="B844" s="25" t="s">
        <v>466</v>
      </c>
      <c r="C844" s="25" t="s">
        <v>1362</v>
      </c>
      <c r="D844" s="77">
        <f t="shared" si="278"/>
        <v>46103</v>
      </c>
      <c r="E844" s="77">
        <f t="shared" si="279"/>
        <v>46087</v>
      </c>
      <c r="F844" s="77">
        <f t="shared" si="280"/>
        <v>46094</v>
      </c>
      <c r="G844" s="77">
        <f t="shared" si="281"/>
        <v>46100</v>
      </c>
      <c r="H844" s="77">
        <f t="shared" si="282"/>
        <v>46088</v>
      </c>
      <c r="I844" s="77">
        <f t="shared" si="283"/>
        <v>46095</v>
      </c>
      <c r="J844" s="77">
        <v>46105</v>
      </c>
      <c r="K844" s="25">
        <f t="shared" si="284"/>
        <v>25</v>
      </c>
      <c r="L844" s="25">
        <v>11.99</v>
      </c>
      <c r="M844" s="25">
        <v>10.32</v>
      </c>
      <c r="N844" s="25">
        <f t="shared" si="285"/>
        <v>1.67</v>
      </c>
      <c r="O844" s="25" t="s">
        <v>593</v>
      </c>
    </row>
    <row r="845" spans="1:15" x14ac:dyDescent="0.25">
      <c r="A845" s="77">
        <v>46080</v>
      </c>
      <c r="B845" s="25" t="s">
        <v>467</v>
      </c>
      <c r="C845" s="25" t="s">
        <v>1363</v>
      </c>
      <c r="D845" s="77">
        <f t="shared" si="278"/>
        <v>46103</v>
      </c>
      <c r="E845" s="77">
        <f t="shared" si="279"/>
        <v>46087</v>
      </c>
      <c r="F845" s="77">
        <f t="shared" si="280"/>
        <v>46094</v>
      </c>
      <c r="G845" s="77">
        <f t="shared" si="281"/>
        <v>46100</v>
      </c>
      <c r="H845" s="77">
        <f t="shared" si="282"/>
        <v>46088</v>
      </c>
      <c r="I845" s="77">
        <f t="shared" si="283"/>
        <v>46095</v>
      </c>
      <c r="J845" s="77">
        <v>46106</v>
      </c>
      <c r="K845" s="25">
        <f t="shared" si="284"/>
        <v>26</v>
      </c>
      <c r="L845" s="25">
        <v>7.31</v>
      </c>
      <c r="M845" s="25">
        <v>5.8</v>
      </c>
      <c r="N845" s="25">
        <f t="shared" si="285"/>
        <v>1.5099999999999998</v>
      </c>
      <c r="O845" s="25" t="s">
        <v>593</v>
      </c>
    </row>
    <row r="846" spans="1:15" x14ac:dyDescent="0.25">
      <c r="A846" s="77">
        <v>46080</v>
      </c>
      <c r="B846" s="25" t="s">
        <v>468</v>
      </c>
      <c r="C846" s="25" t="s">
        <v>1364</v>
      </c>
      <c r="D846" s="77">
        <f t="shared" si="278"/>
        <v>46103</v>
      </c>
      <c r="E846" s="77">
        <f t="shared" si="279"/>
        <v>46087</v>
      </c>
      <c r="F846" s="77">
        <f t="shared" si="280"/>
        <v>46094</v>
      </c>
      <c r="G846" s="77">
        <f t="shared" si="281"/>
        <v>46100</v>
      </c>
      <c r="H846" s="77">
        <f t="shared" si="282"/>
        <v>46088</v>
      </c>
      <c r="I846" s="77">
        <f t="shared" si="283"/>
        <v>46095</v>
      </c>
      <c r="J846" s="77">
        <v>46106</v>
      </c>
      <c r="K846" s="25">
        <f t="shared" si="284"/>
        <v>26</v>
      </c>
      <c r="L846" s="25">
        <v>7.58</v>
      </c>
      <c r="M846" s="25">
        <v>5.9</v>
      </c>
      <c r="N846" s="25">
        <f t="shared" si="285"/>
        <v>1.6799999999999997</v>
      </c>
      <c r="O846" s="25" t="s">
        <v>593</v>
      </c>
    </row>
    <row r="847" spans="1:15" x14ac:dyDescent="0.25">
      <c r="A847" s="77">
        <v>46080</v>
      </c>
      <c r="B847" s="25" t="s">
        <v>469</v>
      </c>
      <c r="C847" s="25" t="s">
        <v>1365</v>
      </c>
      <c r="D847" s="77">
        <f t="shared" si="278"/>
        <v>46103</v>
      </c>
      <c r="E847" s="77">
        <f t="shared" si="279"/>
        <v>46087</v>
      </c>
      <c r="F847" s="77">
        <f t="shared" si="280"/>
        <v>46094</v>
      </c>
      <c r="G847" s="77">
        <f t="shared" si="281"/>
        <v>46100</v>
      </c>
      <c r="H847" s="77">
        <f t="shared" si="282"/>
        <v>46088</v>
      </c>
      <c r="I847" s="77">
        <f t="shared" si="283"/>
        <v>46095</v>
      </c>
      <c r="J847" s="77">
        <v>46106</v>
      </c>
      <c r="K847" s="25">
        <f t="shared" si="284"/>
        <v>26</v>
      </c>
      <c r="L847" s="25">
        <v>6.71</v>
      </c>
      <c r="M847" s="25">
        <v>4.1900000000000004</v>
      </c>
      <c r="N847" s="25">
        <f t="shared" si="285"/>
        <v>2.5199999999999996</v>
      </c>
      <c r="O847" s="25" t="s">
        <v>593</v>
      </c>
    </row>
    <row r="848" spans="1:15" x14ac:dyDescent="0.25">
      <c r="A848" s="77">
        <v>46080</v>
      </c>
      <c r="B848" s="25" t="s">
        <v>470</v>
      </c>
      <c r="C848" s="25" t="s">
        <v>1366</v>
      </c>
      <c r="D848" s="77">
        <f t="shared" si="278"/>
        <v>46103</v>
      </c>
      <c r="E848" s="77">
        <f t="shared" si="279"/>
        <v>46087</v>
      </c>
      <c r="F848" s="77">
        <f t="shared" si="280"/>
        <v>46094</v>
      </c>
      <c r="G848" s="77">
        <f t="shared" si="281"/>
        <v>46100</v>
      </c>
      <c r="H848" s="77">
        <f t="shared" si="282"/>
        <v>46088</v>
      </c>
      <c r="I848" s="77">
        <f t="shared" si="283"/>
        <v>46095</v>
      </c>
      <c r="J848" s="77">
        <v>46106</v>
      </c>
      <c r="K848" s="25">
        <f t="shared" si="284"/>
        <v>26</v>
      </c>
      <c r="L848" s="25">
        <v>8.6300000000000008</v>
      </c>
      <c r="M848" s="25">
        <v>6.28</v>
      </c>
      <c r="N848" s="25">
        <f t="shared" si="285"/>
        <v>2.3500000000000005</v>
      </c>
      <c r="O848" s="25" t="s">
        <v>593</v>
      </c>
    </row>
    <row r="849" spans="1:15" x14ac:dyDescent="0.25">
      <c r="A849" s="77">
        <v>46080</v>
      </c>
      <c r="B849" s="25" t="s">
        <v>471</v>
      </c>
      <c r="C849" s="25" t="s">
        <v>1367</v>
      </c>
      <c r="D849" s="77">
        <f t="shared" si="278"/>
        <v>46103</v>
      </c>
      <c r="E849" s="77">
        <f t="shared" si="279"/>
        <v>46087</v>
      </c>
      <c r="F849" s="77">
        <f t="shared" si="280"/>
        <v>46094</v>
      </c>
      <c r="G849" s="77">
        <f t="shared" si="281"/>
        <v>46100</v>
      </c>
      <c r="H849" s="77">
        <f t="shared" si="282"/>
        <v>46088</v>
      </c>
      <c r="I849" s="77">
        <f t="shared" si="283"/>
        <v>46095</v>
      </c>
      <c r="J849" s="77">
        <v>46106</v>
      </c>
      <c r="K849" s="25">
        <f t="shared" si="284"/>
        <v>26</v>
      </c>
      <c r="L849" s="25">
        <v>8.77</v>
      </c>
      <c r="M849" s="25">
        <v>6.42</v>
      </c>
      <c r="N849" s="25">
        <f t="shared" si="285"/>
        <v>2.3499999999999996</v>
      </c>
      <c r="O849" s="25" t="s">
        <v>593</v>
      </c>
    </row>
    <row r="850" spans="1:15" x14ac:dyDescent="0.25">
      <c r="A850" s="77">
        <v>46081</v>
      </c>
      <c r="B850" s="25" t="s">
        <v>559</v>
      </c>
      <c r="C850" s="25" t="s">
        <v>1368</v>
      </c>
      <c r="D850" s="77">
        <f t="shared" si="278"/>
        <v>46104</v>
      </c>
      <c r="E850" s="77">
        <f t="shared" si="279"/>
        <v>46088</v>
      </c>
      <c r="F850" s="77">
        <f t="shared" si="280"/>
        <v>46095</v>
      </c>
      <c r="G850" s="77">
        <f t="shared" si="281"/>
        <v>46101</v>
      </c>
      <c r="H850" s="77">
        <f t="shared" si="282"/>
        <v>46089</v>
      </c>
      <c r="I850" s="77">
        <f t="shared" si="283"/>
        <v>46096</v>
      </c>
      <c r="J850" s="77">
        <v>46106</v>
      </c>
      <c r="K850" s="25">
        <f t="shared" si="284"/>
        <v>25</v>
      </c>
      <c r="L850" s="25">
        <v>9.16</v>
      </c>
      <c r="M850" s="25">
        <v>7.19</v>
      </c>
      <c r="N850" s="25">
        <f t="shared" si="285"/>
        <v>1.9699999999999998</v>
      </c>
      <c r="O850" s="25" t="s">
        <v>593</v>
      </c>
    </row>
    <row r="851" spans="1:15" x14ac:dyDescent="0.25">
      <c r="A851" s="77">
        <v>46081</v>
      </c>
      <c r="B851" s="25" t="s">
        <v>560</v>
      </c>
      <c r="C851" s="25" t="s">
        <v>1369</v>
      </c>
      <c r="D851" s="77">
        <f t="shared" ref="D851:D914" si="286">A851+23</f>
        <v>46104</v>
      </c>
      <c r="E851" s="77">
        <f t="shared" ref="E851:E914" si="287">A851+7</f>
        <v>46088</v>
      </c>
      <c r="F851" s="77">
        <f t="shared" ref="F851:F914" si="288">A851+14</f>
        <v>46095</v>
      </c>
      <c r="G851" s="77">
        <f t="shared" ref="G851:G914" si="289">A851+20</f>
        <v>46101</v>
      </c>
      <c r="H851" s="77">
        <f t="shared" ref="H851:H914" si="290">A851+8</f>
        <v>46089</v>
      </c>
      <c r="I851" s="77">
        <f t="shared" ref="I851:I914" si="291">A851+15</f>
        <v>46096</v>
      </c>
      <c r="J851" s="77">
        <v>46106</v>
      </c>
      <c r="K851" s="25">
        <f t="shared" ref="K851:K908" si="292">J851-A851</f>
        <v>25</v>
      </c>
      <c r="L851" s="25">
        <v>9.4499999999999993</v>
      </c>
      <c r="M851" s="25">
        <v>7.52</v>
      </c>
      <c r="N851" s="25">
        <f t="shared" ref="N851:N908" si="293">L851-M851</f>
        <v>1.9299999999999997</v>
      </c>
      <c r="O851" s="25" t="s">
        <v>593</v>
      </c>
    </row>
    <row r="852" spans="1:15" x14ac:dyDescent="0.25">
      <c r="A852" s="77">
        <v>46081</v>
      </c>
      <c r="B852" s="25" t="s">
        <v>561</v>
      </c>
      <c r="C852" s="25" t="s">
        <v>1370</v>
      </c>
      <c r="D852" s="77">
        <f t="shared" si="286"/>
        <v>46104</v>
      </c>
      <c r="E852" s="77">
        <f t="shared" si="287"/>
        <v>46088</v>
      </c>
      <c r="F852" s="77">
        <f t="shared" si="288"/>
        <v>46095</v>
      </c>
      <c r="G852" s="77">
        <f t="shared" si="289"/>
        <v>46101</v>
      </c>
      <c r="H852" s="77">
        <f t="shared" si="290"/>
        <v>46089</v>
      </c>
      <c r="I852" s="77">
        <f t="shared" si="291"/>
        <v>46096</v>
      </c>
      <c r="J852" s="77">
        <v>46106</v>
      </c>
      <c r="K852" s="25">
        <f t="shared" si="292"/>
        <v>25</v>
      </c>
      <c r="L852" s="25">
        <v>10.210000000000001</v>
      </c>
      <c r="M852" s="25">
        <v>8.19</v>
      </c>
      <c r="N852" s="25">
        <f t="shared" si="293"/>
        <v>2.0200000000000014</v>
      </c>
      <c r="O852" s="25" t="s">
        <v>593</v>
      </c>
    </row>
    <row r="853" spans="1:15" x14ac:dyDescent="0.25">
      <c r="A853" s="77">
        <v>46081</v>
      </c>
      <c r="B853" s="25" t="s">
        <v>562</v>
      </c>
      <c r="C853" s="25" t="s">
        <v>1371</v>
      </c>
      <c r="D853" s="77">
        <f t="shared" si="286"/>
        <v>46104</v>
      </c>
      <c r="E853" s="77">
        <f t="shared" si="287"/>
        <v>46088</v>
      </c>
      <c r="F853" s="77">
        <f t="shared" si="288"/>
        <v>46095</v>
      </c>
      <c r="G853" s="77">
        <f t="shared" si="289"/>
        <v>46101</v>
      </c>
      <c r="H853" s="77">
        <f t="shared" si="290"/>
        <v>46089</v>
      </c>
      <c r="I853" s="77">
        <f t="shared" si="291"/>
        <v>46096</v>
      </c>
      <c r="J853" s="77">
        <v>46106</v>
      </c>
      <c r="K853" s="25">
        <f t="shared" si="292"/>
        <v>25</v>
      </c>
      <c r="L853" s="25">
        <v>9.58</v>
      </c>
      <c r="M853" s="25">
        <v>7.23</v>
      </c>
      <c r="N853" s="25">
        <f t="shared" si="293"/>
        <v>2.3499999999999996</v>
      </c>
      <c r="O853" s="25" t="s">
        <v>593</v>
      </c>
    </row>
    <row r="854" spans="1:15" x14ac:dyDescent="0.25">
      <c r="A854" s="77">
        <v>46081</v>
      </c>
      <c r="B854" s="25" t="s">
        <v>563</v>
      </c>
      <c r="C854" s="25" t="s">
        <v>1372</v>
      </c>
      <c r="D854" s="77">
        <f t="shared" si="286"/>
        <v>46104</v>
      </c>
      <c r="E854" s="77">
        <f t="shared" si="287"/>
        <v>46088</v>
      </c>
      <c r="F854" s="77">
        <f t="shared" si="288"/>
        <v>46095</v>
      </c>
      <c r="G854" s="77">
        <f t="shared" si="289"/>
        <v>46101</v>
      </c>
      <c r="H854" s="77">
        <f t="shared" si="290"/>
        <v>46089</v>
      </c>
      <c r="I854" s="77">
        <f t="shared" si="291"/>
        <v>46096</v>
      </c>
      <c r="J854" s="77">
        <v>46106</v>
      </c>
      <c r="K854" s="25">
        <f t="shared" si="292"/>
        <v>25</v>
      </c>
      <c r="L854" s="25">
        <v>8.64</v>
      </c>
      <c r="M854" s="25">
        <v>6.49</v>
      </c>
      <c r="N854" s="25">
        <f t="shared" si="293"/>
        <v>2.1500000000000004</v>
      </c>
      <c r="O854" s="25" t="s">
        <v>593</v>
      </c>
    </row>
    <row r="855" spans="1:15" x14ac:dyDescent="0.25">
      <c r="A855" s="77">
        <v>46081</v>
      </c>
      <c r="B855" s="25" t="s">
        <v>564</v>
      </c>
      <c r="C855" s="25" t="s">
        <v>1373</v>
      </c>
      <c r="D855" s="77">
        <f t="shared" si="286"/>
        <v>46104</v>
      </c>
      <c r="E855" s="77">
        <f t="shared" si="287"/>
        <v>46088</v>
      </c>
      <c r="F855" s="77">
        <f t="shared" si="288"/>
        <v>46095</v>
      </c>
      <c r="G855" s="77">
        <f t="shared" si="289"/>
        <v>46101</v>
      </c>
      <c r="H855" s="77">
        <f t="shared" si="290"/>
        <v>46089</v>
      </c>
      <c r="I855" s="77">
        <f t="shared" si="291"/>
        <v>46096</v>
      </c>
      <c r="J855" s="77">
        <v>46112</v>
      </c>
      <c r="K855" s="25">
        <f t="shared" si="292"/>
        <v>31</v>
      </c>
      <c r="L855" s="25">
        <v>9.41</v>
      </c>
      <c r="M855" s="25">
        <v>7.25</v>
      </c>
      <c r="N855" s="25">
        <f t="shared" si="293"/>
        <v>2.16</v>
      </c>
      <c r="O855" s="25" t="s">
        <v>593</v>
      </c>
    </row>
    <row r="856" spans="1:15" x14ac:dyDescent="0.25">
      <c r="A856" s="77">
        <v>46081</v>
      </c>
      <c r="B856" s="25" t="s">
        <v>565</v>
      </c>
      <c r="C856" s="25" t="s">
        <v>1374</v>
      </c>
      <c r="D856" s="77">
        <f t="shared" si="286"/>
        <v>46104</v>
      </c>
      <c r="E856" s="77">
        <f t="shared" si="287"/>
        <v>46088</v>
      </c>
      <c r="F856" s="77">
        <f t="shared" si="288"/>
        <v>46095</v>
      </c>
      <c r="G856" s="77">
        <f t="shared" si="289"/>
        <v>46101</v>
      </c>
      <c r="H856" s="77">
        <f t="shared" si="290"/>
        <v>46089</v>
      </c>
      <c r="I856" s="77">
        <f t="shared" si="291"/>
        <v>46096</v>
      </c>
      <c r="J856" s="77">
        <v>46112</v>
      </c>
      <c r="K856" s="25">
        <f t="shared" si="292"/>
        <v>31</v>
      </c>
      <c r="L856" s="25">
        <v>8.36</v>
      </c>
      <c r="M856" s="25">
        <v>6.94</v>
      </c>
      <c r="N856" s="25">
        <f t="shared" si="293"/>
        <v>1.419999999999999</v>
      </c>
      <c r="O856" s="25" t="s">
        <v>593</v>
      </c>
    </row>
    <row r="857" spans="1:15" x14ac:dyDescent="0.25">
      <c r="A857" s="77">
        <v>46082</v>
      </c>
      <c r="B857" s="25" t="s">
        <v>566</v>
      </c>
      <c r="C857" s="25" t="s">
        <v>1375</v>
      </c>
      <c r="D857" s="77">
        <f t="shared" si="286"/>
        <v>46105</v>
      </c>
      <c r="E857" s="77">
        <f t="shared" si="287"/>
        <v>46089</v>
      </c>
      <c r="F857" s="77">
        <f t="shared" si="288"/>
        <v>46096</v>
      </c>
      <c r="G857" s="77">
        <f t="shared" si="289"/>
        <v>46102</v>
      </c>
      <c r="H857" s="77">
        <f t="shared" si="290"/>
        <v>46090</v>
      </c>
      <c r="I857" s="77">
        <f t="shared" si="291"/>
        <v>46097</v>
      </c>
      <c r="J857" s="77">
        <v>46112</v>
      </c>
      <c r="K857" s="25">
        <f t="shared" si="292"/>
        <v>30</v>
      </c>
      <c r="L857" s="25">
        <v>10.57</v>
      </c>
      <c r="M857" s="25">
        <v>8.1199999999999992</v>
      </c>
      <c r="N857" s="25">
        <f t="shared" si="293"/>
        <v>2.4500000000000011</v>
      </c>
      <c r="O857" s="25" t="s">
        <v>593</v>
      </c>
    </row>
    <row r="858" spans="1:15" x14ac:dyDescent="0.25">
      <c r="A858" s="77">
        <v>46082</v>
      </c>
      <c r="B858" s="25" t="s">
        <v>567</v>
      </c>
      <c r="C858" s="25" t="s">
        <v>1376</v>
      </c>
      <c r="D858" s="77">
        <f t="shared" si="286"/>
        <v>46105</v>
      </c>
      <c r="E858" s="77">
        <f t="shared" si="287"/>
        <v>46089</v>
      </c>
      <c r="F858" s="77">
        <f t="shared" si="288"/>
        <v>46096</v>
      </c>
      <c r="G858" s="77">
        <f t="shared" si="289"/>
        <v>46102</v>
      </c>
      <c r="H858" s="77">
        <f t="shared" si="290"/>
        <v>46090</v>
      </c>
      <c r="I858" s="77">
        <f t="shared" si="291"/>
        <v>46097</v>
      </c>
      <c r="J858" s="77">
        <v>46112</v>
      </c>
      <c r="K858" s="25">
        <f t="shared" si="292"/>
        <v>30</v>
      </c>
      <c r="L858" s="25">
        <v>10.63</v>
      </c>
      <c r="M858" s="25">
        <v>8.17</v>
      </c>
      <c r="N858" s="25">
        <f t="shared" si="293"/>
        <v>2.4600000000000009</v>
      </c>
      <c r="O858" s="25" t="s">
        <v>593</v>
      </c>
    </row>
    <row r="859" spans="1:15" x14ac:dyDescent="0.25">
      <c r="A859" s="77">
        <v>46082</v>
      </c>
      <c r="B859" s="25" t="s">
        <v>568</v>
      </c>
      <c r="C859" s="25" t="s">
        <v>1377</v>
      </c>
      <c r="D859" s="77">
        <f t="shared" si="286"/>
        <v>46105</v>
      </c>
      <c r="E859" s="77">
        <f t="shared" si="287"/>
        <v>46089</v>
      </c>
      <c r="F859" s="77">
        <f t="shared" si="288"/>
        <v>46096</v>
      </c>
      <c r="G859" s="77">
        <f t="shared" si="289"/>
        <v>46102</v>
      </c>
      <c r="H859" s="77">
        <f t="shared" si="290"/>
        <v>46090</v>
      </c>
      <c r="I859" s="77">
        <f t="shared" si="291"/>
        <v>46097</v>
      </c>
      <c r="J859" s="77">
        <v>46112</v>
      </c>
      <c r="K859" s="25">
        <f t="shared" si="292"/>
        <v>30</v>
      </c>
      <c r="L859" s="25">
        <v>8.4499999999999993</v>
      </c>
      <c r="M859" s="25">
        <v>6.54</v>
      </c>
      <c r="N859" s="25">
        <f t="shared" si="293"/>
        <v>1.9099999999999993</v>
      </c>
      <c r="O859" s="25" t="s">
        <v>593</v>
      </c>
    </row>
    <row r="860" spans="1:15" x14ac:dyDescent="0.25">
      <c r="A860" s="77">
        <v>46082</v>
      </c>
      <c r="B860" s="25" t="s">
        <v>569</v>
      </c>
      <c r="C860" s="25" t="s">
        <v>1378</v>
      </c>
      <c r="D860" s="77">
        <f t="shared" si="286"/>
        <v>46105</v>
      </c>
      <c r="E860" s="77">
        <f t="shared" si="287"/>
        <v>46089</v>
      </c>
      <c r="F860" s="77">
        <f t="shared" si="288"/>
        <v>46096</v>
      </c>
      <c r="G860" s="77">
        <f t="shared" si="289"/>
        <v>46102</v>
      </c>
      <c r="H860" s="77">
        <f t="shared" si="290"/>
        <v>46090</v>
      </c>
      <c r="I860" s="77">
        <f t="shared" si="291"/>
        <v>46097</v>
      </c>
      <c r="J860" s="77">
        <v>46113</v>
      </c>
      <c r="K860" s="25">
        <f t="shared" si="292"/>
        <v>31</v>
      </c>
      <c r="L860" s="25">
        <v>10.35</v>
      </c>
      <c r="M860" s="25">
        <v>8.11</v>
      </c>
      <c r="N860" s="25">
        <f t="shared" si="293"/>
        <v>2.2400000000000002</v>
      </c>
      <c r="O860" s="25" t="s">
        <v>593</v>
      </c>
    </row>
    <row r="861" spans="1:15" x14ac:dyDescent="0.25">
      <c r="A861" s="77">
        <v>46082</v>
      </c>
      <c r="B861" s="25" t="s">
        <v>570</v>
      </c>
      <c r="C861" s="25" t="s">
        <v>1153</v>
      </c>
      <c r="D861" s="77">
        <f t="shared" si="286"/>
        <v>46105</v>
      </c>
      <c r="E861" s="77">
        <f t="shared" si="287"/>
        <v>46089</v>
      </c>
      <c r="F861" s="77">
        <f t="shared" si="288"/>
        <v>46096</v>
      </c>
      <c r="G861" s="77">
        <f t="shared" si="289"/>
        <v>46102</v>
      </c>
      <c r="H861" s="77">
        <f t="shared" si="290"/>
        <v>46090</v>
      </c>
      <c r="I861" s="77">
        <f t="shared" si="291"/>
        <v>46097</v>
      </c>
      <c r="J861" s="77">
        <v>46113</v>
      </c>
      <c r="K861" s="25">
        <f t="shared" si="292"/>
        <v>31</v>
      </c>
      <c r="L861" s="25">
        <v>10.59</v>
      </c>
      <c r="M861" s="25">
        <v>8.2799999999999994</v>
      </c>
      <c r="N861" s="25">
        <f t="shared" si="293"/>
        <v>2.3100000000000005</v>
      </c>
      <c r="O861" s="25" t="s">
        <v>593</v>
      </c>
    </row>
    <row r="862" spans="1:15" x14ac:dyDescent="0.25">
      <c r="A862" s="77">
        <v>46082</v>
      </c>
      <c r="B862" s="25" t="s">
        <v>571</v>
      </c>
      <c r="C862" s="25" t="s">
        <v>1154</v>
      </c>
      <c r="D862" s="77">
        <f t="shared" si="286"/>
        <v>46105</v>
      </c>
      <c r="E862" s="77">
        <f t="shared" si="287"/>
        <v>46089</v>
      </c>
      <c r="F862" s="77">
        <f t="shared" si="288"/>
        <v>46096</v>
      </c>
      <c r="G862" s="77">
        <f t="shared" si="289"/>
        <v>46102</v>
      </c>
      <c r="H862" s="77">
        <f t="shared" si="290"/>
        <v>46090</v>
      </c>
      <c r="I862" s="77">
        <f t="shared" si="291"/>
        <v>46097</v>
      </c>
      <c r="J862" s="77">
        <v>46113</v>
      </c>
      <c r="K862" s="25">
        <f t="shared" si="292"/>
        <v>31</v>
      </c>
      <c r="L862" s="25">
        <v>9.41</v>
      </c>
      <c r="M862" s="25">
        <v>7.36</v>
      </c>
      <c r="N862" s="25">
        <f t="shared" si="293"/>
        <v>2.0499999999999998</v>
      </c>
      <c r="O862" s="25" t="s">
        <v>593</v>
      </c>
    </row>
    <row r="863" spans="1:15" x14ac:dyDescent="0.25">
      <c r="A863" s="77">
        <v>46082</v>
      </c>
      <c r="B863" s="25" t="s">
        <v>572</v>
      </c>
      <c r="C863" s="25" t="s">
        <v>1155</v>
      </c>
      <c r="D863" s="77">
        <f t="shared" si="286"/>
        <v>46105</v>
      </c>
      <c r="E863" s="77">
        <f t="shared" si="287"/>
        <v>46089</v>
      </c>
      <c r="F863" s="77">
        <f t="shared" si="288"/>
        <v>46096</v>
      </c>
      <c r="G863" s="77">
        <f t="shared" si="289"/>
        <v>46102</v>
      </c>
      <c r="H863" s="77">
        <f t="shared" si="290"/>
        <v>46090</v>
      </c>
      <c r="I863" s="77">
        <f t="shared" si="291"/>
        <v>46097</v>
      </c>
      <c r="J863" s="77">
        <v>46113</v>
      </c>
      <c r="K863" s="25">
        <f t="shared" si="292"/>
        <v>31</v>
      </c>
      <c r="L863" s="25">
        <v>9.26</v>
      </c>
      <c r="M863" s="25">
        <v>7.12</v>
      </c>
      <c r="N863" s="25">
        <f t="shared" si="293"/>
        <v>2.1399999999999997</v>
      </c>
      <c r="O863" s="25" t="s">
        <v>593</v>
      </c>
    </row>
    <row r="864" spans="1:15" x14ac:dyDescent="0.25">
      <c r="A864" s="77">
        <v>46083</v>
      </c>
      <c r="B864" s="25" t="s">
        <v>573</v>
      </c>
      <c r="C864" s="25" t="s">
        <v>1156</v>
      </c>
      <c r="D864" s="77">
        <f t="shared" si="286"/>
        <v>46106</v>
      </c>
      <c r="E864" s="77">
        <f t="shared" si="287"/>
        <v>46090</v>
      </c>
      <c r="F864" s="77">
        <f t="shared" si="288"/>
        <v>46097</v>
      </c>
      <c r="G864" s="77">
        <f t="shared" si="289"/>
        <v>46103</v>
      </c>
      <c r="H864" s="77">
        <f t="shared" si="290"/>
        <v>46091</v>
      </c>
      <c r="I864" s="77">
        <f t="shared" si="291"/>
        <v>46098</v>
      </c>
      <c r="J864" s="77">
        <v>46113</v>
      </c>
      <c r="K864" s="25">
        <f t="shared" si="292"/>
        <v>30</v>
      </c>
      <c r="L864" s="25">
        <v>10.19</v>
      </c>
      <c r="M864" s="25">
        <v>8.1</v>
      </c>
      <c r="N864" s="25">
        <f t="shared" si="293"/>
        <v>2.09</v>
      </c>
      <c r="O864" s="25" t="s">
        <v>593</v>
      </c>
    </row>
    <row r="865" spans="1:15" x14ac:dyDescent="0.25">
      <c r="A865" s="77">
        <v>46083</v>
      </c>
      <c r="B865" s="25" t="s">
        <v>574</v>
      </c>
      <c r="C865" s="25" t="s">
        <v>1157</v>
      </c>
      <c r="D865" s="77">
        <f t="shared" si="286"/>
        <v>46106</v>
      </c>
      <c r="E865" s="77">
        <f t="shared" si="287"/>
        <v>46090</v>
      </c>
      <c r="F865" s="77">
        <f t="shared" si="288"/>
        <v>46097</v>
      </c>
      <c r="G865" s="77">
        <f t="shared" si="289"/>
        <v>46103</v>
      </c>
      <c r="H865" s="77">
        <f t="shared" si="290"/>
        <v>46091</v>
      </c>
      <c r="I865" s="77">
        <f t="shared" si="291"/>
        <v>46098</v>
      </c>
      <c r="J865" s="77">
        <v>46113</v>
      </c>
      <c r="K865" s="25">
        <f t="shared" si="292"/>
        <v>30</v>
      </c>
      <c r="L865" s="25">
        <v>9.7200000000000006</v>
      </c>
      <c r="M865" s="25">
        <v>7.56</v>
      </c>
      <c r="N865" s="25">
        <f t="shared" si="293"/>
        <v>2.160000000000001</v>
      </c>
      <c r="O865" s="25" t="s">
        <v>593</v>
      </c>
    </row>
    <row r="866" spans="1:15" x14ac:dyDescent="0.25">
      <c r="A866" s="77">
        <v>46083</v>
      </c>
      <c r="B866" s="25" t="s">
        <v>575</v>
      </c>
      <c r="C866" s="25" t="s">
        <v>1158</v>
      </c>
      <c r="D866" s="77">
        <f t="shared" si="286"/>
        <v>46106</v>
      </c>
      <c r="E866" s="77">
        <f t="shared" si="287"/>
        <v>46090</v>
      </c>
      <c r="F866" s="77">
        <f t="shared" si="288"/>
        <v>46097</v>
      </c>
      <c r="G866" s="77">
        <f t="shared" si="289"/>
        <v>46103</v>
      </c>
      <c r="H866" s="77">
        <f t="shared" si="290"/>
        <v>46091</v>
      </c>
      <c r="I866" s="77">
        <f t="shared" si="291"/>
        <v>46098</v>
      </c>
      <c r="J866" s="77">
        <v>46113</v>
      </c>
      <c r="K866" s="25">
        <f t="shared" si="292"/>
        <v>30</v>
      </c>
      <c r="L866" s="25">
        <v>10.54</v>
      </c>
      <c r="M866" s="25">
        <v>8.2100000000000009</v>
      </c>
      <c r="N866" s="25">
        <f t="shared" si="293"/>
        <v>2.3299999999999983</v>
      </c>
      <c r="O866" s="25" t="s">
        <v>593</v>
      </c>
    </row>
    <row r="867" spans="1:15" x14ac:dyDescent="0.25">
      <c r="A867" s="77">
        <v>46083</v>
      </c>
      <c r="B867" s="25" t="s">
        <v>576</v>
      </c>
      <c r="C867" s="25" t="s">
        <v>1159</v>
      </c>
      <c r="D867" s="77">
        <f t="shared" si="286"/>
        <v>46106</v>
      </c>
      <c r="E867" s="77">
        <f t="shared" si="287"/>
        <v>46090</v>
      </c>
      <c r="F867" s="77">
        <f t="shared" si="288"/>
        <v>46097</v>
      </c>
      <c r="G867" s="77">
        <f t="shared" si="289"/>
        <v>46103</v>
      </c>
      <c r="H867" s="77">
        <f t="shared" si="290"/>
        <v>46091</v>
      </c>
      <c r="I867" s="77">
        <f t="shared" si="291"/>
        <v>46098</v>
      </c>
      <c r="J867" s="77">
        <v>46113</v>
      </c>
      <c r="K867" s="25">
        <f t="shared" si="292"/>
        <v>30</v>
      </c>
      <c r="L867" s="25">
        <v>9.15</v>
      </c>
      <c r="M867" s="25">
        <v>7.54</v>
      </c>
      <c r="N867" s="25">
        <f t="shared" si="293"/>
        <v>1.6100000000000003</v>
      </c>
      <c r="O867" s="25" t="s">
        <v>593</v>
      </c>
    </row>
    <row r="868" spans="1:15" x14ac:dyDescent="0.25">
      <c r="A868" s="77">
        <v>46083</v>
      </c>
      <c r="B868" s="25" t="s">
        <v>577</v>
      </c>
      <c r="C868" s="25" t="s">
        <v>1160</v>
      </c>
      <c r="D868" s="77">
        <f t="shared" si="286"/>
        <v>46106</v>
      </c>
      <c r="E868" s="77">
        <f t="shared" si="287"/>
        <v>46090</v>
      </c>
      <c r="F868" s="77">
        <f t="shared" si="288"/>
        <v>46097</v>
      </c>
      <c r="G868" s="77">
        <f t="shared" si="289"/>
        <v>46103</v>
      </c>
      <c r="H868" s="77">
        <f t="shared" si="290"/>
        <v>46091</v>
      </c>
      <c r="I868" s="77">
        <f t="shared" si="291"/>
        <v>46098</v>
      </c>
      <c r="J868" s="77">
        <v>46113</v>
      </c>
      <c r="K868" s="25">
        <f t="shared" si="292"/>
        <v>30</v>
      </c>
      <c r="L868" s="25">
        <v>9.07</v>
      </c>
      <c r="M868" s="25">
        <v>7.35</v>
      </c>
      <c r="N868" s="25">
        <f t="shared" si="293"/>
        <v>1.7200000000000006</v>
      </c>
      <c r="O868" s="25" t="s">
        <v>593</v>
      </c>
    </row>
    <row r="869" spans="1:15" x14ac:dyDescent="0.25">
      <c r="A869" s="77">
        <v>46083</v>
      </c>
      <c r="B869" s="25" t="s">
        <v>578</v>
      </c>
      <c r="C869" s="25" t="s">
        <v>1161</v>
      </c>
      <c r="D869" s="77">
        <f t="shared" si="286"/>
        <v>46106</v>
      </c>
      <c r="E869" s="77">
        <f t="shared" si="287"/>
        <v>46090</v>
      </c>
      <c r="F869" s="77">
        <f t="shared" si="288"/>
        <v>46097</v>
      </c>
      <c r="G869" s="77">
        <f t="shared" si="289"/>
        <v>46103</v>
      </c>
      <c r="H869" s="77">
        <f t="shared" si="290"/>
        <v>46091</v>
      </c>
      <c r="I869" s="77">
        <f t="shared" si="291"/>
        <v>46098</v>
      </c>
      <c r="J869" s="77">
        <v>46113</v>
      </c>
      <c r="K869" s="25">
        <f t="shared" si="292"/>
        <v>30</v>
      </c>
      <c r="L869" s="25">
        <v>8.3699999999999992</v>
      </c>
      <c r="M869" s="25">
        <v>6.21</v>
      </c>
      <c r="N869" s="25">
        <f t="shared" si="293"/>
        <v>2.1599999999999993</v>
      </c>
      <c r="O869" s="25" t="s">
        <v>593</v>
      </c>
    </row>
    <row r="870" spans="1:15" x14ac:dyDescent="0.25">
      <c r="A870" s="77">
        <v>46083</v>
      </c>
      <c r="B870" s="25" t="s">
        <v>1144</v>
      </c>
      <c r="C870" s="25" t="s">
        <v>1162</v>
      </c>
      <c r="D870" s="77">
        <f t="shared" si="286"/>
        <v>46106</v>
      </c>
      <c r="E870" s="77">
        <f t="shared" si="287"/>
        <v>46090</v>
      </c>
      <c r="F870" s="77">
        <f t="shared" si="288"/>
        <v>46097</v>
      </c>
      <c r="G870" s="77">
        <f t="shared" si="289"/>
        <v>46103</v>
      </c>
      <c r="H870" s="77">
        <f t="shared" si="290"/>
        <v>46091</v>
      </c>
      <c r="I870" s="77">
        <f t="shared" si="291"/>
        <v>46098</v>
      </c>
      <c r="J870" s="77">
        <v>46113</v>
      </c>
      <c r="K870" s="25">
        <f t="shared" si="292"/>
        <v>30</v>
      </c>
      <c r="L870" s="25">
        <v>8.65</v>
      </c>
      <c r="M870" s="25">
        <v>6.55</v>
      </c>
      <c r="N870" s="25">
        <f t="shared" si="293"/>
        <v>2.1000000000000005</v>
      </c>
      <c r="O870" s="25" t="s">
        <v>593</v>
      </c>
    </row>
    <row r="871" spans="1:15" x14ac:dyDescent="0.25">
      <c r="A871" s="77">
        <v>46084</v>
      </c>
      <c r="B871" s="25" t="s">
        <v>421</v>
      </c>
      <c r="C871" s="25" t="s">
        <v>1170</v>
      </c>
      <c r="D871" s="77">
        <f t="shared" si="286"/>
        <v>46107</v>
      </c>
      <c r="E871" s="77">
        <f t="shared" si="287"/>
        <v>46091</v>
      </c>
      <c r="F871" s="77">
        <f t="shared" si="288"/>
        <v>46098</v>
      </c>
      <c r="G871" s="77">
        <f t="shared" si="289"/>
        <v>46104</v>
      </c>
      <c r="H871" s="77">
        <f t="shared" si="290"/>
        <v>46092</v>
      </c>
      <c r="I871" s="77">
        <f t="shared" si="291"/>
        <v>46099</v>
      </c>
      <c r="J871" s="77">
        <v>46114</v>
      </c>
      <c r="K871" s="25">
        <f t="shared" si="292"/>
        <v>30</v>
      </c>
      <c r="L871" s="25">
        <v>12.73</v>
      </c>
      <c r="M871" s="25">
        <v>10.210000000000001</v>
      </c>
      <c r="N871" s="25">
        <f t="shared" si="293"/>
        <v>2.5199999999999996</v>
      </c>
      <c r="O871" s="25" t="s">
        <v>593</v>
      </c>
    </row>
    <row r="872" spans="1:15" x14ac:dyDescent="0.25">
      <c r="A872" s="77">
        <v>46084</v>
      </c>
      <c r="B872" s="25" t="s">
        <v>422</v>
      </c>
      <c r="C872" s="25" t="s">
        <v>1171</v>
      </c>
      <c r="D872" s="77">
        <f t="shared" si="286"/>
        <v>46107</v>
      </c>
      <c r="E872" s="77">
        <f t="shared" si="287"/>
        <v>46091</v>
      </c>
      <c r="F872" s="77">
        <f t="shared" si="288"/>
        <v>46098</v>
      </c>
      <c r="G872" s="77">
        <f t="shared" si="289"/>
        <v>46104</v>
      </c>
      <c r="H872" s="77">
        <f t="shared" si="290"/>
        <v>46092</v>
      </c>
      <c r="I872" s="77">
        <f t="shared" si="291"/>
        <v>46099</v>
      </c>
      <c r="J872" s="77">
        <v>46114</v>
      </c>
      <c r="K872" s="25">
        <f t="shared" si="292"/>
        <v>30</v>
      </c>
      <c r="L872" s="25">
        <v>12.86</v>
      </c>
      <c r="M872" s="25">
        <v>10.67</v>
      </c>
      <c r="N872" s="25">
        <f t="shared" si="293"/>
        <v>2.1899999999999995</v>
      </c>
      <c r="O872" s="25" t="s">
        <v>593</v>
      </c>
    </row>
    <row r="873" spans="1:15" x14ac:dyDescent="0.25">
      <c r="A873" s="77">
        <v>46084</v>
      </c>
      <c r="B873" s="25" t="s">
        <v>423</v>
      </c>
      <c r="C873" s="25" t="s">
        <v>1172</v>
      </c>
      <c r="D873" s="77">
        <f t="shared" si="286"/>
        <v>46107</v>
      </c>
      <c r="E873" s="77">
        <f t="shared" si="287"/>
        <v>46091</v>
      </c>
      <c r="F873" s="77">
        <f t="shared" si="288"/>
        <v>46098</v>
      </c>
      <c r="G873" s="77">
        <f t="shared" si="289"/>
        <v>46104</v>
      </c>
      <c r="H873" s="77">
        <f t="shared" si="290"/>
        <v>46092</v>
      </c>
      <c r="I873" s="77">
        <f t="shared" si="291"/>
        <v>46099</v>
      </c>
      <c r="J873" s="77">
        <v>46114</v>
      </c>
      <c r="K873" s="25">
        <f t="shared" si="292"/>
        <v>30</v>
      </c>
      <c r="L873" s="25">
        <v>14.25</v>
      </c>
      <c r="M873" s="25">
        <v>12.32</v>
      </c>
      <c r="N873" s="25">
        <f t="shared" si="293"/>
        <v>1.9299999999999997</v>
      </c>
      <c r="O873" s="25" t="s">
        <v>593</v>
      </c>
    </row>
    <row r="874" spans="1:15" x14ac:dyDescent="0.25">
      <c r="A874" s="77">
        <v>46084</v>
      </c>
      <c r="B874" s="25" t="s">
        <v>424</v>
      </c>
      <c r="C874" s="25" t="s">
        <v>1173</v>
      </c>
      <c r="D874" s="77">
        <f t="shared" si="286"/>
        <v>46107</v>
      </c>
      <c r="E874" s="77">
        <f t="shared" si="287"/>
        <v>46091</v>
      </c>
      <c r="F874" s="77">
        <f t="shared" si="288"/>
        <v>46098</v>
      </c>
      <c r="G874" s="77">
        <f t="shared" si="289"/>
        <v>46104</v>
      </c>
      <c r="H874" s="77">
        <f t="shared" si="290"/>
        <v>46092</v>
      </c>
      <c r="I874" s="77">
        <f t="shared" si="291"/>
        <v>46099</v>
      </c>
      <c r="J874" s="77">
        <v>46114</v>
      </c>
      <c r="K874" s="25">
        <f t="shared" si="292"/>
        <v>30</v>
      </c>
      <c r="L874" s="25">
        <v>12.07</v>
      </c>
      <c r="M874" s="25">
        <v>10.18</v>
      </c>
      <c r="N874" s="25">
        <f t="shared" si="293"/>
        <v>1.8900000000000006</v>
      </c>
      <c r="O874" s="25" t="s">
        <v>593</v>
      </c>
    </row>
    <row r="875" spans="1:15" x14ac:dyDescent="0.25">
      <c r="A875" s="77">
        <v>46084</v>
      </c>
      <c r="B875" s="25" t="s">
        <v>425</v>
      </c>
      <c r="C875" s="25" t="s">
        <v>1174</v>
      </c>
      <c r="D875" s="77">
        <f t="shared" si="286"/>
        <v>46107</v>
      </c>
      <c r="E875" s="77">
        <f t="shared" si="287"/>
        <v>46091</v>
      </c>
      <c r="F875" s="77">
        <f t="shared" si="288"/>
        <v>46098</v>
      </c>
      <c r="G875" s="77">
        <f t="shared" si="289"/>
        <v>46104</v>
      </c>
      <c r="H875" s="77">
        <f t="shared" si="290"/>
        <v>46092</v>
      </c>
      <c r="I875" s="77">
        <f t="shared" si="291"/>
        <v>46099</v>
      </c>
      <c r="J875" s="77">
        <v>46114</v>
      </c>
      <c r="K875" s="25">
        <f t="shared" si="292"/>
        <v>30</v>
      </c>
      <c r="L875" s="25">
        <v>13.1</v>
      </c>
      <c r="M875" s="25">
        <v>11.35</v>
      </c>
      <c r="N875" s="25">
        <f t="shared" si="293"/>
        <v>1.75</v>
      </c>
      <c r="O875" s="25" t="s">
        <v>593</v>
      </c>
    </row>
    <row r="876" spans="1:15" x14ac:dyDescent="0.25">
      <c r="A876" s="77">
        <v>46084</v>
      </c>
      <c r="B876" s="25" t="s">
        <v>426</v>
      </c>
      <c r="C876" s="25" t="s">
        <v>1175</v>
      </c>
      <c r="D876" s="77">
        <f t="shared" si="286"/>
        <v>46107</v>
      </c>
      <c r="E876" s="77">
        <f t="shared" si="287"/>
        <v>46091</v>
      </c>
      <c r="F876" s="77">
        <f t="shared" si="288"/>
        <v>46098</v>
      </c>
      <c r="G876" s="77">
        <f t="shared" si="289"/>
        <v>46104</v>
      </c>
      <c r="H876" s="77">
        <f t="shared" si="290"/>
        <v>46092</v>
      </c>
      <c r="I876" s="77">
        <f t="shared" si="291"/>
        <v>46099</v>
      </c>
      <c r="J876" s="77">
        <v>46114</v>
      </c>
      <c r="K876" s="25">
        <f t="shared" si="292"/>
        <v>30</v>
      </c>
      <c r="L876" s="25">
        <v>13.39</v>
      </c>
      <c r="M876" s="25">
        <v>11.62</v>
      </c>
      <c r="N876" s="25">
        <f t="shared" si="293"/>
        <v>1.7700000000000014</v>
      </c>
      <c r="O876" s="25" t="s">
        <v>593</v>
      </c>
    </row>
    <row r="877" spans="1:15" x14ac:dyDescent="0.25">
      <c r="A877" s="77">
        <v>46084</v>
      </c>
      <c r="B877" s="25" t="s">
        <v>427</v>
      </c>
      <c r="C877" s="25" t="s">
        <v>1176</v>
      </c>
      <c r="D877" s="77">
        <f t="shared" si="286"/>
        <v>46107</v>
      </c>
      <c r="E877" s="77">
        <f t="shared" si="287"/>
        <v>46091</v>
      </c>
      <c r="F877" s="77">
        <f t="shared" si="288"/>
        <v>46098</v>
      </c>
      <c r="G877" s="77">
        <f t="shared" si="289"/>
        <v>46104</v>
      </c>
      <c r="H877" s="77">
        <f t="shared" si="290"/>
        <v>46092</v>
      </c>
      <c r="I877" s="77">
        <f t="shared" si="291"/>
        <v>46099</v>
      </c>
      <c r="J877" s="77">
        <v>46114</v>
      </c>
      <c r="K877" s="25">
        <f t="shared" si="292"/>
        <v>30</v>
      </c>
      <c r="L877" s="25">
        <v>14.32</v>
      </c>
      <c r="M877" s="25">
        <v>12.41</v>
      </c>
      <c r="N877" s="25">
        <f t="shared" si="293"/>
        <v>1.9100000000000001</v>
      </c>
      <c r="O877" s="25" t="s">
        <v>593</v>
      </c>
    </row>
    <row r="878" spans="1:15" x14ac:dyDescent="0.25">
      <c r="A878" s="77">
        <v>46085</v>
      </c>
      <c r="B878" s="25" t="s">
        <v>451</v>
      </c>
      <c r="C878" s="25" t="s">
        <v>1177</v>
      </c>
      <c r="D878" s="77">
        <f t="shared" si="286"/>
        <v>46108</v>
      </c>
      <c r="E878" s="77">
        <f t="shared" si="287"/>
        <v>46092</v>
      </c>
      <c r="F878" s="77">
        <f t="shared" si="288"/>
        <v>46099</v>
      </c>
      <c r="G878" s="77">
        <f t="shared" si="289"/>
        <v>46105</v>
      </c>
      <c r="H878" s="77">
        <f t="shared" si="290"/>
        <v>46093</v>
      </c>
      <c r="I878" s="77">
        <f t="shared" si="291"/>
        <v>46100</v>
      </c>
      <c r="J878" s="77">
        <v>46115</v>
      </c>
      <c r="K878" s="25">
        <f t="shared" si="292"/>
        <v>30</v>
      </c>
      <c r="L878" s="25">
        <v>12.35</v>
      </c>
      <c r="M878" s="25">
        <v>10.27</v>
      </c>
      <c r="N878" s="25">
        <f t="shared" si="293"/>
        <v>2.08</v>
      </c>
      <c r="O878" s="25" t="s">
        <v>593</v>
      </c>
    </row>
    <row r="879" spans="1:15" x14ac:dyDescent="0.25">
      <c r="A879" s="77">
        <v>46085</v>
      </c>
      <c r="B879" s="25" t="s">
        <v>452</v>
      </c>
      <c r="C879" s="25" t="s">
        <v>1178</v>
      </c>
      <c r="D879" s="77">
        <f t="shared" si="286"/>
        <v>46108</v>
      </c>
      <c r="E879" s="77">
        <f t="shared" si="287"/>
        <v>46092</v>
      </c>
      <c r="F879" s="77">
        <f t="shared" si="288"/>
        <v>46099</v>
      </c>
      <c r="G879" s="77">
        <f t="shared" si="289"/>
        <v>46105</v>
      </c>
      <c r="H879" s="77">
        <f t="shared" si="290"/>
        <v>46093</v>
      </c>
      <c r="I879" s="77">
        <f t="shared" si="291"/>
        <v>46100</v>
      </c>
      <c r="J879" s="77">
        <v>46115</v>
      </c>
      <c r="K879" s="25">
        <f t="shared" si="292"/>
        <v>30</v>
      </c>
      <c r="L879" s="25">
        <v>14.11</v>
      </c>
      <c r="M879" s="25">
        <v>12.05</v>
      </c>
      <c r="N879" s="25">
        <f t="shared" si="293"/>
        <v>2.0599999999999987</v>
      </c>
      <c r="O879" s="25" t="s">
        <v>593</v>
      </c>
    </row>
    <row r="880" spans="1:15" x14ac:dyDescent="0.25">
      <c r="A880" s="77">
        <v>46085</v>
      </c>
      <c r="B880" s="25" t="s">
        <v>453</v>
      </c>
      <c r="C880" s="25" t="s">
        <v>1179</v>
      </c>
      <c r="D880" s="77">
        <f t="shared" si="286"/>
        <v>46108</v>
      </c>
      <c r="E880" s="77">
        <f t="shared" si="287"/>
        <v>46092</v>
      </c>
      <c r="F880" s="77">
        <f t="shared" si="288"/>
        <v>46099</v>
      </c>
      <c r="G880" s="77">
        <f t="shared" si="289"/>
        <v>46105</v>
      </c>
      <c r="H880" s="77">
        <f t="shared" si="290"/>
        <v>46093</v>
      </c>
      <c r="I880" s="77">
        <f t="shared" si="291"/>
        <v>46100</v>
      </c>
      <c r="J880" s="77">
        <v>46115</v>
      </c>
      <c r="K880" s="25">
        <f t="shared" si="292"/>
        <v>30</v>
      </c>
      <c r="L880" s="25">
        <v>13.08</v>
      </c>
      <c r="M880" s="25">
        <v>11.15</v>
      </c>
      <c r="N880" s="25">
        <f t="shared" si="293"/>
        <v>1.9299999999999997</v>
      </c>
      <c r="O880" s="25" t="s">
        <v>593</v>
      </c>
    </row>
    <row r="881" spans="1:15" x14ac:dyDescent="0.25">
      <c r="A881" s="77">
        <v>46085</v>
      </c>
      <c r="B881" s="25" t="s">
        <v>454</v>
      </c>
      <c r="C881" s="25" t="s">
        <v>1180</v>
      </c>
      <c r="D881" s="77">
        <f t="shared" si="286"/>
        <v>46108</v>
      </c>
      <c r="E881" s="77">
        <f t="shared" si="287"/>
        <v>46092</v>
      </c>
      <c r="F881" s="77">
        <f t="shared" si="288"/>
        <v>46099</v>
      </c>
      <c r="G881" s="77">
        <f t="shared" si="289"/>
        <v>46105</v>
      </c>
      <c r="H881" s="77">
        <f t="shared" si="290"/>
        <v>46093</v>
      </c>
      <c r="I881" s="77">
        <f t="shared" si="291"/>
        <v>46100</v>
      </c>
      <c r="J881" s="77">
        <v>46115</v>
      </c>
      <c r="K881" s="25">
        <f t="shared" si="292"/>
        <v>30</v>
      </c>
      <c r="L881" s="25">
        <v>14.1</v>
      </c>
      <c r="M881" s="25">
        <v>12.21</v>
      </c>
      <c r="N881" s="25">
        <f t="shared" si="293"/>
        <v>1.8899999999999988</v>
      </c>
      <c r="O881" s="25" t="s">
        <v>593</v>
      </c>
    </row>
    <row r="882" spans="1:15" x14ac:dyDescent="0.25">
      <c r="A882" s="77">
        <v>46085</v>
      </c>
      <c r="B882" s="25" t="s">
        <v>455</v>
      </c>
      <c r="C882" s="25" t="s">
        <v>1181</v>
      </c>
      <c r="D882" s="77">
        <f t="shared" si="286"/>
        <v>46108</v>
      </c>
      <c r="E882" s="77">
        <f t="shared" si="287"/>
        <v>46092</v>
      </c>
      <c r="F882" s="77">
        <f t="shared" si="288"/>
        <v>46099</v>
      </c>
      <c r="G882" s="77">
        <f t="shared" si="289"/>
        <v>46105</v>
      </c>
      <c r="H882" s="77">
        <f t="shared" si="290"/>
        <v>46093</v>
      </c>
      <c r="I882" s="77">
        <f t="shared" si="291"/>
        <v>46100</v>
      </c>
      <c r="J882" s="77">
        <v>46115</v>
      </c>
      <c r="K882" s="25">
        <f t="shared" si="292"/>
        <v>30</v>
      </c>
      <c r="L882" s="25">
        <v>11.97</v>
      </c>
      <c r="M882" s="25">
        <v>10.58</v>
      </c>
      <c r="N882" s="25">
        <f t="shared" si="293"/>
        <v>1.3900000000000006</v>
      </c>
      <c r="O882" s="25" t="s">
        <v>593</v>
      </c>
    </row>
    <row r="883" spans="1:15" x14ac:dyDescent="0.25">
      <c r="A883" s="77">
        <v>46085</v>
      </c>
      <c r="B883" s="25" t="s">
        <v>456</v>
      </c>
      <c r="C883" s="25" t="s">
        <v>1182</v>
      </c>
      <c r="D883" s="77">
        <f t="shared" si="286"/>
        <v>46108</v>
      </c>
      <c r="E883" s="77">
        <f t="shared" si="287"/>
        <v>46092</v>
      </c>
      <c r="F883" s="77">
        <f t="shared" si="288"/>
        <v>46099</v>
      </c>
      <c r="G883" s="77">
        <f t="shared" si="289"/>
        <v>46105</v>
      </c>
      <c r="H883" s="77">
        <f t="shared" si="290"/>
        <v>46093</v>
      </c>
      <c r="I883" s="77">
        <f t="shared" si="291"/>
        <v>46100</v>
      </c>
      <c r="J883" s="77">
        <v>46115</v>
      </c>
      <c r="K883" s="25">
        <f t="shared" si="292"/>
        <v>30</v>
      </c>
      <c r="L883" s="25">
        <v>13.15</v>
      </c>
      <c r="M883" s="25">
        <v>11.36</v>
      </c>
      <c r="N883" s="25">
        <f t="shared" si="293"/>
        <v>1.7900000000000009</v>
      </c>
      <c r="O883" s="25" t="s">
        <v>593</v>
      </c>
    </row>
    <row r="884" spans="1:15" x14ac:dyDescent="0.25">
      <c r="A884" s="77">
        <v>46085</v>
      </c>
      <c r="B884" s="25" t="s">
        <v>457</v>
      </c>
      <c r="C884" s="25" t="s">
        <v>1183</v>
      </c>
      <c r="D884" s="77">
        <f t="shared" si="286"/>
        <v>46108</v>
      </c>
      <c r="E884" s="77">
        <f t="shared" si="287"/>
        <v>46092</v>
      </c>
      <c r="F884" s="77">
        <f t="shared" si="288"/>
        <v>46099</v>
      </c>
      <c r="G884" s="77">
        <f t="shared" si="289"/>
        <v>46105</v>
      </c>
      <c r="H884" s="77">
        <f t="shared" si="290"/>
        <v>46093</v>
      </c>
      <c r="I884" s="77">
        <f t="shared" si="291"/>
        <v>46100</v>
      </c>
      <c r="J884" s="77">
        <v>46115</v>
      </c>
      <c r="K884" s="25">
        <f t="shared" si="292"/>
        <v>30</v>
      </c>
      <c r="L884" s="25">
        <v>12.27</v>
      </c>
      <c r="M884" s="25">
        <v>10.17</v>
      </c>
      <c r="N884" s="25">
        <f t="shared" si="293"/>
        <v>2.0999999999999996</v>
      </c>
      <c r="O884" s="25" t="s">
        <v>593</v>
      </c>
    </row>
    <row r="885" spans="1:15" x14ac:dyDescent="0.25">
      <c r="A885" s="77">
        <v>46086</v>
      </c>
      <c r="B885" s="25" t="s">
        <v>414</v>
      </c>
      <c r="C885" s="25" t="s">
        <v>1184</v>
      </c>
      <c r="D885" s="77">
        <f t="shared" si="286"/>
        <v>46109</v>
      </c>
      <c r="E885" s="77">
        <f t="shared" si="287"/>
        <v>46093</v>
      </c>
      <c r="F885" s="77">
        <f t="shared" si="288"/>
        <v>46100</v>
      </c>
      <c r="G885" s="77">
        <f t="shared" si="289"/>
        <v>46106</v>
      </c>
      <c r="H885" s="77">
        <f t="shared" si="290"/>
        <v>46094</v>
      </c>
      <c r="I885" s="77">
        <f t="shared" si="291"/>
        <v>46101</v>
      </c>
      <c r="J885" s="77">
        <v>46115</v>
      </c>
      <c r="K885" s="25">
        <f t="shared" si="292"/>
        <v>29</v>
      </c>
      <c r="L885" s="25">
        <v>13.81</v>
      </c>
      <c r="M885" s="25">
        <v>11.52</v>
      </c>
      <c r="N885" s="25">
        <f t="shared" si="293"/>
        <v>2.2900000000000009</v>
      </c>
      <c r="O885" s="25" t="s">
        <v>593</v>
      </c>
    </row>
    <row r="886" spans="1:15" x14ac:dyDescent="0.25">
      <c r="A886" s="77">
        <v>46086</v>
      </c>
      <c r="B886" s="25" t="s">
        <v>415</v>
      </c>
      <c r="C886" s="25" t="s">
        <v>1185</v>
      </c>
      <c r="D886" s="77">
        <f t="shared" si="286"/>
        <v>46109</v>
      </c>
      <c r="E886" s="77">
        <f t="shared" si="287"/>
        <v>46093</v>
      </c>
      <c r="F886" s="77">
        <f t="shared" si="288"/>
        <v>46100</v>
      </c>
      <c r="G886" s="77">
        <f t="shared" si="289"/>
        <v>46106</v>
      </c>
      <c r="H886" s="77">
        <f t="shared" si="290"/>
        <v>46094</v>
      </c>
      <c r="I886" s="77">
        <f t="shared" si="291"/>
        <v>46101</v>
      </c>
      <c r="J886" s="77">
        <v>46115</v>
      </c>
      <c r="K886" s="25">
        <f t="shared" si="292"/>
        <v>29</v>
      </c>
      <c r="L886" s="25">
        <v>13.56</v>
      </c>
      <c r="M886" s="25">
        <v>11.29</v>
      </c>
      <c r="N886" s="25">
        <f t="shared" si="293"/>
        <v>2.2700000000000014</v>
      </c>
      <c r="O886" s="25" t="s">
        <v>593</v>
      </c>
    </row>
    <row r="887" spans="1:15" x14ac:dyDescent="0.25">
      <c r="A887" s="77">
        <v>46086</v>
      </c>
      <c r="B887" s="25" t="s">
        <v>416</v>
      </c>
      <c r="C887" s="25" t="s">
        <v>1186</v>
      </c>
      <c r="D887" s="77">
        <f t="shared" si="286"/>
        <v>46109</v>
      </c>
      <c r="E887" s="77">
        <f t="shared" si="287"/>
        <v>46093</v>
      </c>
      <c r="F887" s="77">
        <f t="shared" si="288"/>
        <v>46100</v>
      </c>
      <c r="G887" s="77">
        <f t="shared" si="289"/>
        <v>46106</v>
      </c>
      <c r="H887" s="77">
        <f t="shared" si="290"/>
        <v>46094</v>
      </c>
      <c r="I887" s="77">
        <f t="shared" si="291"/>
        <v>46101</v>
      </c>
      <c r="J887" s="77">
        <v>46115</v>
      </c>
      <c r="K887" s="25">
        <f t="shared" si="292"/>
        <v>29</v>
      </c>
      <c r="L887" s="25">
        <v>12.43</v>
      </c>
      <c r="M887" s="25">
        <v>10.119999999999999</v>
      </c>
      <c r="N887" s="25">
        <f t="shared" si="293"/>
        <v>2.3100000000000005</v>
      </c>
      <c r="O887" s="25" t="s">
        <v>593</v>
      </c>
    </row>
    <row r="888" spans="1:15" x14ac:dyDescent="0.25">
      <c r="A888" s="77">
        <v>46086</v>
      </c>
      <c r="B888" s="25" t="s">
        <v>417</v>
      </c>
      <c r="C888" s="25" t="s">
        <v>1187</v>
      </c>
      <c r="D888" s="77">
        <f t="shared" si="286"/>
        <v>46109</v>
      </c>
      <c r="E888" s="77">
        <f t="shared" si="287"/>
        <v>46093</v>
      </c>
      <c r="F888" s="77">
        <f t="shared" si="288"/>
        <v>46100</v>
      </c>
      <c r="G888" s="77">
        <f t="shared" si="289"/>
        <v>46106</v>
      </c>
      <c r="H888" s="77">
        <f t="shared" si="290"/>
        <v>46094</v>
      </c>
      <c r="I888" s="77">
        <f t="shared" si="291"/>
        <v>46101</v>
      </c>
      <c r="J888" s="77">
        <v>46115</v>
      </c>
      <c r="K888" s="25">
        <f t="shared" si="292"/>
        <v>29</v>
      </c>
      <c r="L888" s="25">
        <v>14.28</v>
      </c>
      <c r="M888" s="25">
        <v>12.54</v>
      </c>
      <c r="N888" s="25">
        <f t="shared" si="293"/>
        <v>1.7400000000000002</v>
      </c>
      <c r="O888" s="25" t="s">
        <v>593</v>
      </c>
    </row>
    <row r="889" spans="1:15" x14ac:dyDescent="0.25">
      <c r="A889" s="77">
        <v>46086</v>
      </c>
      <c r="B889" s="25" t="s">
        <v>418</v>
      </c>
      <c r="C889" s="25" t="s">
        <v>1188</v>
      </c>
      <c r="D889" s="77">
        <f t="shared" si="286"/>
        <v>46109</v>
      </c>
      <c r="E889" s="77">
        <f t="shared" si="287"/>
        <v>46093</v>
      </c>
      <c r="F889" s="77">
        <f t="shared" si="288"/>
        <v>46100</v>
      </c>
      <c r="G889" s="77">
        <f t="shared" si="289"/>
        <v>46106</v>
      </c>
      <c r="H889" s="77">
        <f t="shared" si="290"/>
        <v>46094</v>
      </c>
      <c r="I889" s="77">
        <f t="shared" si="291"/>
        <v>46101</v>
      </c>
      <c r="J889" s="77">
        <v>46115</v>
      </c>
      <c r="K889" s="25">
        <f t="shared" si="292"/>
        <v>29</v>
      </c>
      <c r="L889" s="25">
        <v>13.58</v>
      </c>
      <c r="M889" s="25">
        <v>11.78</v>
      </c>
      <c r="N889" s="25">
        <f t="shared" si="293"/>
        <v>1.8000000000000007</v>
      </c>
      <c r="O889" s="25" t="s">
        <v>593</v>
      </c>
    </row>
    <row r="890" spans="1:15" x14ac:dyDescent="0.25">
      <c r="A890" s="77">
        <v>46086</v>
      </c>
      <c r="B890" s="25" t="s">
        <v>419</v>
      </c>
      <c r="C890" s="25" t="s">
        <v>1189</v>
      </c>
      <c r="D890" s="77">
        <f t="shared" si="286"/>
        <v>46109</v>
      </c>
      <c r="E890" s="77">
        <f t="shared" si="287"/>
        <v>46093</v>
      </c>
      <c r="F890" s="77">
        <f t="shared" si="288"/>
        <v>46100</v>
      </c>
      <c r="G890" s="77">
        <f t="shared" si="289"/>
        <v>46106</v>
      </c>
      <c r="H890" s="77">
        <f t="shared" si="290"/>
        <v>46094</v>
      </c>
      <c r="I890" s="77">
        <f t="shared" si="291"/>
        <v>46101</v>
      </c>
      <c r="J890" s="77">
        <v>46116</v>
      </c>
      <c r="K890" s="25">
        <f t="shared" si="292"/>
        <v>30</v>
      </c>
      <c r="L890" s="25">
        <v>12.37</v>
      </c>
      <c r="M890" s="25">
        <v>10.56</v>
      </c>
      <c r="N890" s="25">
        <f t="shared" si="293"/>
        <v>1.8099999999999987</v>
      </c>
      <c r="O890" s="25" t="s">
        <v>593</v>
      </c>
    </row>
    <row r="891" spans="1:15" x14ac:dyDescent="0.25">
      <c r="A891" s="77">
        <v>46086</v>
      </c>
      <c r="B891" s="25" t="s">
        <v>420</v>
      </c>
      <c r="C891" s="25" t="s">
        <v>1190</v>
      </c>
      <c r="D891" s="77">
        <f t="shared" si="286"/>
        <v>46109</v>
      </c>
      <c r="E891" s="77">
        <f t="shared" si="287"/>
        <v>46093</v>
      </c>
      <c r="F891" s="77">
        <f t="shared" si="288"/>
        <v>46100</v>
      </c>
      <c r="G891" s="77">
        <f t="shared" si="289"/>
        <v>46106</v>
      </c>
      <c r="H891" s="77">
        <f t="shared" si="290"/>
        <v>46094</v>
      </c>
      <c r="I891" s="77">
        <f t="shared" si="291"/>
        <v>46101</v>
      </c>
      <c r="J891" s="77">
        <v>46116</v>
      </c>
      <c r="K891" s="25">
        <f t="shared" si="292"/>
        <v>30</v>
      </c>
      <c r="L891" s="25">
        <v>12.19</v>
      </c>
      <c r="M891" s="25">
        <v>10.31</v>
      </c>
      <c r="N891" s="25">
        <f t="shared" si="293"/>
        <v>1.879999999999999</v>
      </c>
      <c r="O891" s="25" t="s">
        <v>593</v>
      </c>
    </row>
    <row r="892" spans="1:15" x14ac:dyDescent="0.25">
      <c r="A892" s="77">
        <v>46087</v>
      </c>
      <c r="B892" s="25" t="s">
        <v>444</v>
      </c>
      <c r="C892" s="25" t="s">
        <v>1200</v>
      </c>
      <c r="D892" s="77">
        <f t="shared" si="286"/>
        <v>46110</v>
      </c>
      <c r="E892" s="77">
        <f t="shared" si="287"/>
        <v>46094</v>
      </c>
      <c r="F892" s="77">
        <f t="shared" si="288"/>
        <v>46101</v>
      </c>
      <c r="G892" s="77">
        <f t="shared" si="289"/>
        <v>46107</v>
      </c>
      <c r="H892" s="77">
        <f t="shared" si="290"/>
        <v>46095</v>
      </c>
      <c r="I892" s="77">
        <f t="shared" si="291"/>
        <v>46102</v>
      </c>
      <c r="J892" s="77">
        <v>46116</v>
      </c>
      <c r="K892" s="25">
        <f t="shared" si="292"/>
        <v>29</v>
      </c>
      <c r="L892" s="25">
        <v>14.35</v>
      </c>
      <c r="M892" s="25">
        <v>12.78</v>
      </c>
      <c r="N892" s="25">
        <f t="shared" si="293"/>
        <v>1.5700000000000003</v>
      </c>
      <c r="O892" s="25" t="s">
        <v>593</v>
      </c>
    </row>
    <row r="893" spans="1:15" x14ac:dyDescent="0.25">
      <c r="A893" s="77">
        <v>46087</v>
      </c>
      <c r="B893" s="25" t="s">
        <v>445</v>
      </c>
      <c r="C893" s="25" t="s">
        <v>1201</v>
      </c>
      <c r="D893" s="77">
        <f t="shared" si="286"/>
        <v>46110</v>
      </c>
      <c r="E893" s="77">
        <f t="shared" si="287"/>
        <v>46094</v>
      </c>
      <c r="F893" s="77">
        <f t="shared" si="288"/>
        <v>46101</v>
      </c>
      <c r="G893" s="77">
        <f t="shared" si="289"/>
        <v>46107</v>
      </c>
      <c r="H893" s="77">
        <f t="shared" si="290"/>
        <v>46095</v>
      </c>
      <c r="I893" s="77">
        <f t="shared" si="291"/>
        <v>46102</v>
      </c>
      <c r="J893" s="77">
        <v>46116</v>
      </c>
      <c r="K893" s="25">
        <f t="shared" si="292"/>
        <v>29</v>
      </c>
      <c r="L893" s="25">
        <v>12.97</v>
      </c>
      <c r="M893" s="25">
        <v>11.1</v>
      </c>
      <c r="N893" s="25">
        <f t="shared" si="293"/>
        <v>1.870000000000001</v>
      </c>
      <c r="O893" s="25" t="s">
        <v>593</v>
      </c>
    </row>
    <row r="894" spans="1:15" x14ac:dyDescent="0.25">
      <c r="A894" s="77">
        <v>46087</v>
      </c>
      <c r="B894" s="25" t="s">
        <v>446</v>
      </c>
      <c r="C894" s="25" t="s">
        <v>1202</v>
      </c>
      <c r="D894" s="77">
        <f t="shared" si="286"/>
        <v>46110</v>
      </c>
      <c r="E894" s="77">
        <f t="shared" si="287"/>
        <v>46094</v>
      </c>
      <c r="F894" s="77">
        <f t="shared" si="288"/>
        <v>46101</v>
      </c>
      <c r="G894" s="77">
        <f t="shared" si="289"/>
        <v>46107</v>
      </c>
      <c r="H894" s="77">
        <f t="shared" si="290"/>
        <v>46095</v>
      </c>
      <c r="I894" s="77">
        <f t="shared" si="291"/>
        <v>46102</v>
      </c>
      <c r="J894" s="77">
        <v>46116</v>
      </c>
      <c r="K894" s="25">
        <f t="shared" si="292"/>
        <v>29</v>
      </c>
      <c r="L894" s="25">
        <v>14.05</v>
      </c>
      <c r="M894" s="25">
        <v>12.08</v>
      </c>
      <c r="N894" s="25">
        <f t="shared" si="293"/>
        <v>1.9700000000000006</v>
      </c>
      <c r="O894" s="25" t="s">
        <v>593</v>
      </c>
    </row>
    <row r="895" spans="1:15" x14ac:dyDescent="0.25">
      <c r="A895" s="77">
        <v>46087</v>
      </c>
      <c r="B895" s="25" t="s">
        <v>447</v>
      </c>
      <c r="C895" s="25" t="s">
        <v>1203</v>
      </c>
      <c r="D895" s="77">
        <f t="shared" si="286"/>
        <v>46110</v>
      </c>
      <c r="E895" s="77">
        <f t="shared" si="287"/>
        <v>46094</v>
      </c>
      <c r="F895" s="77">
        <f t="shared" si="288"/>
        <v>46101</v>
      </c>
      <c r="G895" s="77">
        <f t="shared" si="289"/>
        <v>46107</v>
      </c>
      <c r="H895" s="77">
        <f t="shared" si="290"/>
        <v>46095</v>
      </c>
      <c r="I895" s="77">
        <f t="shared" si="291"/>
        <v>46102</v>
      </c>
      <c r="J895" s="77">
        <v>46116</v>
      </c>
      <c r="K895" s="25">
        <f t="shared" si="292"/>
        <v>29</v>
      </c>
      <c r="L895" s="25">
        <v>13.06</v>
      </c>
      <c r="M895" s="25">
        <v>10.35</v>
      </c>
      <c r="N895" s="25">
        <f t="shared" si="293"/>
        <v>2.7100000000000009</v>
      </c>
      <c r="O895" s="25" t="s">
        <v>593</v>
      </c>
    </row>
    <row r="896" spans="1:15" x14ac:dyDescent="0.25">
      <c r="A896" s="77">
        <v>46087</v>
      </c>
      <c r="B896" s="25" t="s">
        <v>448</v>
      </c>
      <c r="C896" s="25" t="s">
        <v>1204</v>
      </c>
      <c r="D896" s="77">
        <f t="shared" si="286"/>
        <v>46110</v>
      </c>
      <c r="E896" s="77">
        <f t="shared" si="287"/>
        <v>46094</v>
      </c>
      <c r="F896" s="77">
        <f t="shared" si="288"/>
        <v>46101</v>
      </c>
      <c r="G896" s="77">
        <f t="shared" si="289"/>
        <v>46107</v>
      </c>
      <c r="H896" s="77">
        <f t="shared" si="290"/>
        <v>46095</v>
      </c>
      <c r="I896" s="77">
        <f t="shared" si="291"/>
        <v>46102</v>
      </c>
      <c r="J896" s="77">
        <v>46116</v>
      </c>
      <c r="K896" s="25">
        <f t="shared" si="292"/>
        <v>29</v>
      </c>
      <c r="L896" s="25">
        <v>12.47</v>
      </c>
      <c r="M896" s="25">
        <v>10.84</v>
      </c>
      <c r="N896" s="25">
        <f t="shared" si="293"/>
        <v>1.6300000000000008</v>
      </c>
      <c r="O896" s="25" t="s">
        <v>593</v>
      </c>
    </row>
    <row r="897" spans="1:15" x14ac:dyDescent="0.25">
      <c r="A897" s="77">
        <v>46087</v>
      </c>
      <c r="B897" s="25" t="s">
        <v>449</v>
      </c>
      <c r="C897" s="25" t="s">
        <v>1205</v>
      </c>
      <c r="D897" s="77">
        <f t="shared" si="286"/>
        <v>46110</v>
      </c>
      <c r="E897" s="77">
        <f t="shared" si="287"/>
        <v>46094</v>
      </c>
      <c r="F897" s="77">
        <f t="shared" si="288"/>
        <v>46101</v>
      </c>
      <c r="G897" s="77">
        <f t="shared" si="289"/>
        <v>46107</v>
      </c>
      <c r="H897" s="77">
        <f t="shared" si="290"/>
        <v>46095</v>
      </c>
      <c r="I897" s="77">
        <f t="shared" si="291"/>
        <v>46102</v>
      </c>
      <c r="J897" s="77">
        <v>46116</v>
      </c>
      <c r="K897" s="25">
        <f t="shared" si="292"/>
        <v>29</v>
      </c>
      <c r="L897" s="25">
        <v>13.64</v>
      </c>
      <c r="M897" s="25">
        <v>11.51</v>
      </c>
      <c r="N897" s="25">
        <f t="shared" si="293"/>
        <v>2.1300000000000008</v>
      </c>
      <c r="O897" s="25" t="s">
        <v>593</v>
      </c>
    </row>
    <row r="898" spans="1:15" x14ac:dyDescent="0.25">
      <c r="A898" s="77">
        <v>46087</v>
      </c>
      <c r="B898" s="25" t="s">
        <v>450</v>
      </c>
      <c r="C898" s="25" t="s">
        <v>1206</v>
      </c>
      <c r="D898" s="77">
        <f t="shared" si="286"/>
        <v>46110</v>
      </c>
      <c r="E898" s="77">
        <f t="shared" si="287"/>
        <v>46094</v>
      </c>
      <c r="F898" s="77">
        <f t="shared" si="288"/>
        <v>46101</v>
      </c>
      <c r="G898" s="77">
        <f t="shared" si="289"/>
        <v>46107</v>
      </c>
      <c r="H898" s="77">
        <f t="shared" si="290"/>
        <v>46095</v>
      </c>
      <c r="I898" s="77">
        <f t="shared" si="291"/>
        <v>46102</v>
      </c>
      <c r="J898" s="77">
        <v>46116</v>
      </c>
      <c r="K898" s="25">
        <f t="shared" si="292"/>
        <v>29</v>
      </c>
      <c r="L898" s="25">
        <v>13.38</v>
      </c>
      <c r="M898" s="25">
        <v>11.43</v>
      </c>
      <c r="N898" s="25">
        <f t="shared" si="293"/>
        <v>1.9500000000000011</v>
      </c>
      <c r="O898" s="25" t="s">
        <v>593</v>
      </c>
    </row>
    <row r="899" spans="1:15" x14ac:dyDescent="0.25">
      <c r="A899" s="77">
        <v>46088</v>
      </c>
      <c r="B899" s="25" t="s">
        <v>412</v>
      </c>
      <c r="C899" s="25" t="s">
        <v>1207</v>
      </c>
      <c r="D899" s="77">
        <f t="shared" si="286"/>
        <v>46111</v>
      </c>
      <c r="E899" s="77">
        <f t="shared" si="287"/>
        <v>46095</v>
      </c>
      <c r="F899" s="77">
        <f t="shared" si="288"/>
        <v>46102</v>
      </c>
      <c r="G899" s="77">
        <f t="shared" si="289"/>
        <v>46108</v>
      </c>
      <c r="H899" s="77">
        <f t="shared" si="290"/>
        <v>46096</v>
      </c>
      <c r="I899" s="77">
        <f t="shared" si="291"/>
        <v>46103</v>
      </c>
      <c r="J899" s="77">
        <v>46116</v>
      </c>
      <c r="K899" s="25">
        <f t="shared" si="292"/>
        <v>28</v>
      </c>
      <c r="L899" s="25">
        <v>13.71</v>
      </c>
      <c r="M899" s="25">
        <v>11.83</v>
      </c>
      <c r="N899" s="25">
        <f t="shared" si="293"/>
        <v>1.8800000000000008</v>
      </c>
      <c r="O899" s="25" t="s">
        <v>593</v>
      </c>
    </row>
    <row r="900" spans="1:15" x14ac:dyDescent="0.25">
      <c r="A900" s="77">
        <v>46088</v>
      </c>
      <c r="B900" s="25" t="s">
        <v>413</v>
      </c>
      <c r="C900" s="25" t="s">
        <v>1208</v>
      </c>
      <c r="D900" s="77">
        <f t="shared" si="286"/>
        <v>46111</v>
      </c>
      <c r="E900" s="77">
        <f t="shared" si="287"/>
        <v>46095</v>
      </c>
      <c r="F900" s="77">
        <f t="shared" si="288"/>
        <v>46102</v>
      </c>
      <c r="G900" s="77">
        <f t="shared" si="289"/>
        <v>46108</v>
      </c>
      <c r="H900" s="77">
        <f t="shared" si="290"/>
        <v>46096</v>
      </c>
      <c r="I900" s="77">
        <f t="shared" si="291"/>
        <v>46103</v>
      </c>
      <c r="J900" s="77">
        <v>46117</v>
      </c>
      <c r="K900" s="25">
        <f t="shared" si="292"/>
        <v>29</v>
      </c>
      <c r="L900" s="25">
        <v>12.51</v>
      </c>
      <c r="M900" s="25">
        <v>10.73</v>
      </c>
      <c r="N900" s="25">
        <f t="shared" si="293"/>
        <v>1.7799999999999994</v>
      </c>
      <c r="O900" s="25" t="s">
        <v>593</v>
      </c>
    </row>
    <row r="901" spans="1:15" x14ac:dyDescent="0.25">
      <c r="A901" s="77">
        <v>46088</v>
      </c>
      <c r="B901" s="25" t="s">
        <v>442</v>
      </c>
      <c r="C901" s="25" t="s">
        <v>1209</v>
      </c>
      <c r="D901" s="77">
        <f t="shared" si="286"/>
        <v>46111</v>
      </c>
      <c r="E901" s="77">
        <f t="shared" si="287"/>
        <v>46095</v>
      </c>
      <c r="F901" s="77">
        <f t="shared" si="288"/>
        <v>46102</v>
      </c>
      <c r="G901" s="77">
        <f t="shared" si="289"/>
        <v>46108</v>
      </c>
      <c r="H901" s="77">
        <f t="shared" si="290"/>
        <v>46096</v>
      </c>
      <c r="I901" s="77">
        <f t="shared" si="291"/>
        <v>46103</v>
      </c>
      <c r="J901" s="77">
        <v>46117</v>
      </c>
      <c r="K901" s="25">
        <f t="shared" si="292"/>
        <v>29</v>
      </c>
      <c r="L901" s="25">
        <v>13.37</v>
      </c>
      <c r="M901" s="25">
        <v>11.25</v>
      </c>
      <c r="N901" s="25">
        <f t="shared" si="293"/>
        <v>2.1199999999999992</v>
      </c>
      <c r="O901" s="25" t="s">
        <v>593</v>
      </c>
    </row>
    <row r="902" spans="1:15" x14ac:dyDescent="0.25">
      <c r="A902" s="77">
        <v>46088</v>
      </c>
      <c r="B902" s="25" t="s">
        <v>443</v>
      </c>
      <c r="C902" s="25" t="s">
        <v>1210</v>
      </c>
      <c r="D902" s="77">
        <f t="shared" si="286"/>
        <v>46111</v>
      </c>
      <c r="E902" s="77">
        <f t="shared" si="287"/>
        <v>46095</v>
      </c>
      <c r="F902" s="77">
        <f t="shared" si="288"/>
        <v>46102</v>
      </c>
      <c r="G902" s="77">
        <f t="shared" si="289"/>
        <v>46108</v>
      </c>
      <c r="H902" s="77">
        <f t="shared" si="290"/>
        <v>46096</v>
      </c>
      <c r="I902" s="77">
        <f t="shared" si="291"/>
        <v>46103</v>
      </c>
      <c r="J902" s="77">
        <v>46117</v>
      </c>
      <c r="K902" s="25">
        <f t="shared" si="292"/>
        <v>29</v>
      </c>
      <c r="L902" s="25">
        <v>12.46</v>
      </c>
      <c r="M902" s="25">
        <v>10.54</v>
      </c>
      <c r="N902" s="25">
        <f t="shared" si="293"/>
        <v>1.9200000000000017</v>
      </c>
      <c r="O902" s="25" t="s">
        <v>593</v>
      </c>
    </row>
    <row r="903" spans="1:15" x14ac:dyDescent="0.25">
      <c r="A903" s="77">
        <v>46088</v>
      </c>
      <c r="B903" s="25" t="s">
        <v>472</v>
      </c>
      <c r="C903" s="25" t="s">
        <v>1379</v>
      </c>
      <c r="D903" s="77">
        <f t="shared" si="286"/>
        <v>46111</v>
      </c>
      <c r="E903" s="77">
        <f t="shared" si="287"/>
        <v>46095</v>
      </c>
      <c r="F903" s="77">
        <f t="shared" si="288"/>
        <v>46102</v>
      </c>
      <c r="G903" s="77">
        <f t="shared" si="289"/>
        <v>46108</v>
      </c>
      <c r="H903" s="77">
        <f t="shared" si="290"/>
        <v>46096</v>
      </c>
      <c r="I903" s="77">
        <f t="shared" si="291"/>
        <v>46103</v>
      </c>
      <c r="J903" s="77">
        <v>46117</v>
      </c>
      <c r="K903" s="25">
        <f t="shared" si="292"/>
        <v>29</v>
      </c>
      <c r="L903" s="25">
        <v>12.63</v>
      </c>
      <c r="M903" s="25">
        <v>10.56</v>
      </c>
      <c r="N903" s="25">
        <f t="shared" si="293"/>
        <v>2.0700000000000003</v>
      </c>
      <c r="O903" s="25" t="s">
        <v>593</v>
      </c>
    </row>
    <row r="904" spans="1:15" x14ac:dyDescent="0.25">
      <c r="A904" s="77">
        <v>46088</v>
      </c>
      <c r="B904" s="25" t="s">
        <v>473</v>
      </c>
      <c r="C904" s="25" t="s">
        <v>1380</v>
      </c>
      <c r="D904" s="77">
        <f t="shared" si="286"/>
        <v>46111</v>
      </c>
      <c r="E904" s="77">
        <f t="shared" si="287"/>
        <v>46095</v>
      </c>
      <c r="F904" s="77">
        <f t="shared" si="288"/>
        <v>46102</v>
      </c>
      <c r="G904" s="77">
        <f t="shared" si="289"/>
        <v>46108</v>
      </c>
      <c r="H904" s="77">
        <f t="shared" si="290"/>
        <v>46096</v>
      </c>
      <c r="I904" s="77">
        <f t="shared" si="291"/>
        <v>46103</v>
      </c>
      <c r="J904" s="77">
        <v>46117</v>
      </c>
      <c r="K904" s="25">
        <f t="shared" si="292"/>
        <v>29</v>
      </c>
      <c r="L904" s="25">
        <v>12.09</v>
      </c>
      <c r="M904" s="25">
        <v>10.119999999999999</v>
      </c>
      <c r="N904" s="25">
        <f t="shared" si="293"/>
        <v>1.9700000000000006</v>
      </c>
      <c r="O904" s="25" t="s">
        <v>593</v>
      </c>
    </row>
    <row r="905" spans="1:15" x14ac:dyDescent="0.25">
      <c r="A905" s="77">
        <v>46088</v>
      </c>
      <c r="B905" s="25" t="s">
        <v>474</v>
      </c>
      <c r="C905" s="25" t="s">
        <v>1213</v>
      </c>
      <c r="D905" s="77">
        <f t="shared" si="286"/>
        <v>46111</v>
      </c>
      <c r="E905" s="77">
        <f t="shared" si="287"/>
        <v>46095</v>
      </c>
      <c r="F905" s="77">
        <f t="shared" si="288"/>
        <v>46102</v>
      </c>
      <c r="G905" s="77">
        <f t="shared" si="289"/>
        <v>46108</v>
      </c>
      <c r="H905" s="77">
        <f t="shared" si="290"/>
        <v>46096</v>
      </c>
      <c r="I905" s="77">
        <f t="shared" si="291"/>
        <v>46103</v>
      </c>
      <c r="J905" s="77">
        <v>46117</v>
      </c>
      <c r="K905" s="25">
        <f t="shared" si="292"/>
        <v>29</v>
      </c>
      <c r="L905" s="25">
        <v>13.58</v>
      </c>
      <c r="M905" s="25">
        <v>11.54</v>
      </c>
      <c r="N905" s="25">
        <f t="shared" si="293"/>
        <v>2.0400000000000009</v>
      </c>
      <c r="O905" s="25" t="s">
        <v>593</v>
      </c>
    </row>
    <row r="906" spans="1:15" x14ac:dyDescent="0.25">
      <c r="A906" s="77">
        <v>46088</v>
      </c>
      <c r="B906" s="25" t="s">
        <v>475</v>
      </c>
      <c r="C906" s="25" t="s">
        <v>1214</v>
      </c>
      <c r="D906" s="77">
        <f t="shared" si="286"/>
        <v>46111</v>
      </c>
      <c r="E906" s="77">
        <f t="shared" si="287"/>
        <v>46095</v>
      </c>
      <c r="F906" s="77">
        <f t="shared" si="288"/>
        <v>46102</v>
      </c>
      <c r="G906" s="77">
        <f t="shared" si="289"/>
        <v>46108</v>
      </c>
      <c r="H906" s="77">
        <f t="shared" si="290"/>
        <v>46096</v>
      </c>
      <c r="I906" s="77">
        <f t="shared" si="291"/>
        <v>46103</v>
      </c>
      <c r="J906" s="77">
        <v>46117</v>
      </c>
      <c r="K906" s="25">
        <f t="shared" si="292"/>
        <v>29</v>
      </c>
      <c r="L906" s="25">
        <v>12.47</v>
      </c>
      <c r="M906" s="25">
        <v>10.73</v>
      </c>
      <c r="N906" s="25">
        <f t="shared" si="293"/>
        <v>1.7400000000000002</v>
      </c>
      <c r="O906" s="25" t="s">
        <v>593</v>
      </c>
    </row>
    <row r="907" spans="1:15" x14ac:dyDescent="0.25">
      <c r="A907" s="77">
        <v>46089</v>
      </c>
      <c r="B907" s="25" t="s">
        <v>476</v>
      </c>
      <c r="C907" s="25" t="s">
        <v>1215</v>
      </c>
      <c r="D907" s="77">
        <f t="shared" si="286"/>
        <v>46112</v>
      </c>
      <c r="E907" s="77">
        <f t="shared" si="287"/>
        <v>46096</v>
      </c>
      <c r="F907" s="77">
        <f t="shared" si="288"/>
        <v>46103</v>
      </c>
      <c r="G907" s="77">
        <f t="shared" si="289"/>
        <v>46109</v>
      </c>
      <c r="H907" s="77">
        <f t="shared" si="290"/>
        <v>46097</v>
      </c>
      <c r="I907" s="77">
        <f t="shared" si="291"/>
        <v>46104</v>
      </c>
      <c r="J907" s="77">
        <v>46117</v>
      </c>
      <c r="K907" s="25">
        <f t="shared" si="292"/>
        <v>28</v>
      </c>
      <c r="L907" s="25">
        <v>12.31</v>
      </c>
      <c r="M907" s="25">
        <v>10.210000000000001</v>
      </c>
      <c r="N907" s="25">
        <f t="shared" si="293"/>
        <v>2.0999999999999996</v>
      </c>
      <c r="O907" s="25" t="s">
        <v>593</v>
      </c>
    </row>
    <row r="908" spans="1:15" x14ac:dyDescent="0.25">
      <c r="A908" s="77">
        <v>46089</v>
      </c>
      <c r="B908" s="25" t="s">
        <v>477</v>
      </c>
      <c r="C908" s="25" t="s">
        <v>1216</v>
      </c>
      <c r="D908" s="77">
        <f t="shared" si="286"/>
        <v>46112</v>
      </c>
      <c r="E908" s="77">
        <f t="shared" si="287"/>
        <v>46096</v>
      </c>
      <c r="F908" s="77">
        <f t="shared" si="288"/>
        <v>46103</v>
      </c>
      <c r="G908" s="77">
        <f t="shared" si="289"/>
        <v>46109</v>
      </c>
      <c r="H908" s="77">
        <f t="shared" si="290"/>
        <v>46097</v>
      </c>
      <c r="I908" s="77">
        <f t="shared" si="291"/>
        <v>46104</v>
      </c>
      <c r="J908" s="77">
        <v>46117</v>
      </c>
      <c r="K908" s="25">
        <f t="shared" si="292"/>
        <v>28</v>
      </c>
      <c r="L908" s="25">
        <v>13.65</v>
      </c>
      <c r="M908" s="25">
        <v>11.26</v>
      </c>
      <c r="N908" s="25">
        <f t="shared" si="293"/>
        <v>2.3900000000000006</v>
      </c>
      <c r="O908" s="25" t="s">
        <v>593</v>
      </c>
    </row>
    <row r="909" spans="1:15" x14ac:dyDescent="0.25">
      <c r="A909" s="77">
        <v>46089</v>
      </c>
      <c r="B909" s="25" t="s">
        <v>478</v>
      </c>
      <c r="C909" s="25" t="s">
        <v>1217</v>
      </c>
      <c r="D909" s="77">
        <f t="shared" si="286"/>
        <v>46112</v>
      </c>
      <c r="E909" s="77">
        <f t="shared" si="287"/>
        <v>46096</v>
      </c>
      <c r="F909" s="77">
        <f t="shared" si="288"/>
        <v>46103</v>
      </c>
      <c r="G909" s="77">
        <f t="shared" si="289"/>
        <v>46109</v>
      </c>
      <c r="H909" s="77">
        <f t="shared" si="290"/>
        <v>46097</v>
      </c>
      <c r="I909" s="77">
        <f t="shared" si="291"/>
        <v>46104</v>
      </c>
      <c r="J909" s="25"/>
      <c r="K909" s="25"/>
      <c r="L909" s="25"/>
      <c r="M909" s="25"/>
      <c r="N909" s="25"/>
      <c r="O909" s="25"/>
    </row>
    <row r="910" spans="1:15" x14ac:dyDescent="0.25">
      <c r="A910" s="77">
        <v>46089</v>
      </c>
      <c r="B910" s="25" t="s">
        <v>479</v>
      </c>
      <c r="C910" s="25" t="s">
        <v>1218</v>
      </c>
      <c r="D910" s="77">
        <f t="shared" si="286"/>
        <v>46112</v>
      </c>
      <c r="E910" s="77">
        <f t="shared" si="287"/>
        <v>46096</v>
      </c>
      <c r="F910" s="77">
        <f t="shared" si="288"/>
        <v>46103</v>
      </c>
      <c r="G910" s="77">
        <f t="shared" si="289"/>
        <v>46109</v>
      </c>
      <c r="H910" s="77">
        <f t="shared" si="290"/>
        <v>46097</v>
      </c>
      <c r="I910" s="77">
        <f t="shared" si="291"/>
        <v>46104</v>
      </c>
      <c r="J910" s="25"/>
      <c r="K910" s="25"/>
      <c r="L910" s="25"/>
      <c r="M910" s="25"/>
      <c r="N910" s="25"/>
      <c r="O910" s="25"/>
    </row>
    <row r="911" spans="1:15" x14ac:dyDescent="0.25">
      <c r="A911" s="77">
        <v>46089</v>
      </c>
      <c r="B911" s="25" t="s">
        <v>480</v>
      </c>
      <c r="C911" s="25" t="s">
        <v>1219</v>
      </c>
      <c r="D911" s="77">
        <f t="shared" si="286"/>
        <v>46112</v>
      </c>
      <c r="E911" s="77">
        <f t="shared" si="287"/>
        <v>46096</v>
      </c>
      <c r="F911" s="77">
        <f t="shared" si="288"/>
        <v>46103</v>
      </c>
      <c r="G911" s="77">
        <f t="shared" si="289"/>
        <v>46109</v>
      </c>
      <c r="H911" s="77">
        <f t="shared" si="290"/>
        <v>46097</v>
      </c>
      <c r="I911" s="77">
        <f t="shared" si="291"/>
        <v>46104</v>
      </c>
      <c r="J911" s="25"/>
      <c r="K911" s="25"/>
      <c r="L911" s="25"/>
      <c r="M911" s="25"/>
      <c r="N911" s="25"/>
      <c r="O911" s="25"/>
    </row>
    <row r="912" spans="1:15" x14ac:dyDescent="0.25">
      <c r="A912" s="77">
        <v>46089</v>
      </c>
      <c r="B912" s="25" t="s">
        <v>481</v>
      </c>
      <c r="C912" s="25" t="s">
        <v>1220</v>
      </c>
      <c r="D912" s="77">
        <f t="shared" si="286"/>
        <v>46112</v>
      </c>
      <c r="E912" s="77">
        <f t="shared" si="287"/>
        <v>46096</v>
      </c>
      <c r="F912" s="77">
        <f t="shared" si="288"/>
        <v>46103</v>
      </c>
      <c r="G912" s="77">
        <f t="shared" si="289"/>
        <v>46109</v>
      </c>
      <c r="H912" s="77">
        <f t="shared" si="290"/>
        <v>46097</v>
      </c>
      <c r="I912" s="77">
        <f t="shared" si="291"/>
        <v>46104</v>
      </c>
      <c r="J912" s="25"/>
      <c r="K912" s="25"/>
      <c r="L912" s="25"/>
      <c r="M912" s="25"/>
      <c r="N912" s="25"/>
      <c r="O912" s="25"/>
    </row>
    <row r="913" spans="1:15" x14ac:dyDescent="0.25">
      <c r="A913" s="77">
        <v>46089</v>
      </c>
      <c r="B913" s="25" t="s">
        <v>482</v>
      </c>
      <c r="C913" s="25" t="s">
        <v>1221</v>
      </c>
      <c r="D913" s="77">
        <f t="shared" si="286"/>
        <v>46112</v>
      </c>
      <c r="E913" s="77">
        <f t="shared" si="287"/>
        <v>46096</v>
      </c>
      <c r="F913" s="77">
        <f t="shared" si="288"/>
        <v>46103</v>
      </c>
      <c r="G913" s="77">
        <f t="shared" si="289"/>
        <v>46109</v>
      </c>
      <c r="H913" s="77">
        <f t="shared" si="290"/>
        <v>46097</v>
      </c>
      <c r="I913" s="77">
        <f t="shared" si="291"/>
        <v>46104</v>
      </c>
      <c r="J913" s="25"/>
      <c r="K913" s="25"/>
      <c r="L913" s="25"/>
      <c r="M913" s="25"/>
      <c r="N913" s="25"/>
      <c r="O913" s="25"/>
    </row>
    <row r="914" spans="1:15" x14ac:dyDescent="0.25">
      <c r="A914" s="77">
        <v>46090</v>
      </c>
      <c r="B914" s="25" t="s">
        <v>483</v>
      </c>
      <c r="C914" s="25" t="s">
        <v>1222</v>
      </c>
      <c r="D914" s="77">
        <f t="shared" si="286"/>
        <v>46113</v>
      </c>
      <c r="E914" s="77">
        <f t="shared" si="287"/>
        <v>46097</v>
      </c>
      <c r="F914" s="77">
        <f t="shared" si="288"/>
        <v>46104</v>
      </c>
      <c r="G914" s="77">
        <f t="shared" si="289"/>
        <v>46110</v>
      </c>
      <c r="H914" s="77">
        <f t="shared" si="290"/>
        <v>46098</v>
      </c>
      <c r="I914" s="77">
        <f t="shared" si="291"/>
        <v>46105</v>
      </c>
      <c r="J914" s="25"/>
      <c r="K914" s="25"/>
      <c r="L914" s="25"/>
      <c r="M914" s="25"/>
      <c r="N914" s="25"/>
      <c r="O914" s="25"/>
    </row>
    <row r="915" spans="1:15" x14ac:dyDescent="0.25">
      <c r="A915" s="77">
        <v>46090</v>
      </c>
      <c r="B915" s="25" t="s">
        <v>484</v>
      </c>
      <c r="C915" s="25" t="s">
        <v>1223</v>
      </c>
      <c r="D915" s="77">
        <f t="shared" ref="D915:D978" si="294">A915+23</f>
        <v>46113</v>
      </c>
      <c r="E915" s="77">
        <f t="shared" ref="E915:E978" si="295">A915+7</f>
        <v>46097</v>
      </c>
      <c r="F915" s="77">
        <f t="shared" ref="F915:F978" si="296">A915+14</f>
        <v>46104</v>
      </c>
      <c r="G915" s="77">
        <f t="shared" ref="G915:G978" si="297">A915+20</f>
        <v>46110</v>
      </c>
      <c r="H915" s="77">
        <f t="shared" ref="H915:H978" si="298">A915+8</f>
        <v>46098</v>
      </c>
      <c r="I915" s="77">
        <f t="shared" ref="I915:I978" si="299">A915+15</f>
        <v>46105</v>
      </c>
      <c r="J915" s="25"/>
      <c r="K915" s="25"/>
      <c r="L915" s="25"/>
      <c r="M915" s="25"/>
      <c r="N915" s="25"/>
      <c r="O915" s="25"/>
    </row>
    <row r="916" spans="1:15" x14ac:dyDescent="0.25">
      <c r="A916" s="77">
        <v>46090</v>
      </c>
      <c r="B916" s="25" t="s">
        <v>485</v>
      </c>
      <c r="C916" s="25" t="s">
        <v>1224</v>
      </c>
      <c r="D916" s="77">
        <f t="shared" si="294"/>
        <v>46113</v>
      </c>
      <c r="E916" s="77">
        <f t="shared" si="295"/>
        <v>46097</v>
      </c>
      <c r="F916" s="77">
        <f t="shared" si="296"/>
        <v>46104</v>
      </c>
      <c r="G916" s="77">
        <f t="shared" si="297"/>
        <v>46110</v>
      </c>
      <c r="H916" s="77">
        <f t="shared" si="298"/>
        <v>46098</v>
      </c>
      <c r="I916" s="77">
        <f t="shared" si="299"/>
        <v>46105</v>
      </c>
      <c r="J916" s="25"/>
      <c r="K916" s="25"/>
      <c r="L916" s="25"/>
      <c r="M916" s="25"/>
      <c r="N916" s="25"/>
      <c r="O916" s="25"/>
    </row>
    <row r="917" spans="1:15" x14ac:dyDescent="0.25">
      <c r="A917" s="77">
        <v>46090</v>
      </c>
      <c r="B917" s="25" t="s">
        <v>486</v>
      </c>
      <c r="C917" s="25" t="s">
        <v>1225</v>
      </c>
      <c r="D917" s="77">
        <f t="shared" si="294"/>
        <v>46113</v>
      </c>
      <c r="E917" s="77">
        <f t="shared" si="295"/>
        <v>46097</v>
      </c>
      <c r="F917" s="77">
        <f t="shared" si="296"/>
        <v>46104</v>
      </c>
      <c r="G917" s="77">
        <f t="shared" si="297"/>
        <v>46110</v>
      </c>
      <c r="H917" s="77">
        <f t="shared" si="298"/>
        <v>46098</v>
      </c>
      <c r="I917" s="77">
        <f t="shared" si="299"/>
        <v>46105</v>
      </c>
      <c r="J917" s="25"/>
      <c r="K917" s="25"/>
      <c r="L917" s="25"/>
      <c r="M917" s="25"/>
      <c r="N917" s="25"/>
      <c r="O917" s="25"/>
    </row>
    <row r="918" spans="1:15" x14ac:dyDescent="0.25">
      <c r="A918" s="77">
        <v>46090</v>
      </c>
      <c r="B918" s="25" t="s">
        <v>487</v>
      </c>
      <c r="C918" s="25" t="s">
        <v>1226</v>
      </c>
      <c r="D918" s="77">
        <f t="shared" si="294"/>
        <v>46113</v>
      </c>
      <c r="E918" s="77">
        <f t="shared" si="295"/>
        <v>46097</v>
      </c>
      <c r="F918" s="77">
        <f t="shared" si="296"/>
        <v>46104</v>
      </c>
      <c r="G918" s="77">
        <f t="shared" si="297"/>
        <v>46110</v>
      </c>
      <c r="H918" s="77">
        <f t="shared" si="298"/>
        <v>46098</v>
      </c>
      <c r="I918" s="77">
        <f t="shared" si="299"/>
        <v>46105</v>
      </c>
      <c r="J918" s="25"/>
      <c r="K918" s="25"/>
      <c r="L918" s="25"/>
      <c r="M918" s="25"/>
      <c r="N918" s="25"/>
      <c r="O918" s="25"/>
    </row>
    <row r="919" spans="1:15" x14ac:dyDescent="0.25">
      <c r="A919" s="77">
        <v>46090</v>
      </c>
      <c r="B919" s="25" t="s">
        <v>488</v>
      </c>
      <c r="C919" s="25" t="s">
        <v>1227</v>
      </c>
      <c r="D919" s="77">
        <f t="shared" si="294"/>
        <v>46113</v>
      </c>
      <c r="E919" s="77">
        <f t="shared" si="295"/>
        <v>46097</v>
      </c>
      <c r="F919" s="77">
        <f t="shared" si="296"/>
        <v>46104</v>
      </c>
      <c r="G919" s="77">
        <f t="shared" si="297"/>
        <v>46110</v>
      </c>
      <c r="H919" s="77">
        <f t="shared" si="298"/>
        <v>46098</v>
      </c>
      <c r="I919" s="77">
        <f t="shared" si="299"/>
        <v>46105</v>
      </c>
      <c r="J919" s="25"/>
      <c r="K919" s="25"/>
      <c r="L919" s="25"/>
      <c r="M919" s="25"/>
      <c r="N919" s="25"/>
      <c r="O919" s="25"/>
    </row>
    <row r="920" spans="1:15" x14ac:dyDescent="0.25">
      <c r="A920" s="77">
        <v>46090</v>
      </c>
      <c r="B920" s="25" t="s">
        <v>489</v>
      </c>
      <c r="C920" s="25" t="s">
        <v>1228</v>
      </c>
      <c r="D920" s="77">
        <f t="shared" si="294"/>
        <v>46113</v>
      </c>
      <c r="E920" s="77">
        <f t="shared" si="295"/>
        <v>46097</v>
      </c>
      <c r="F920" s="77">
        <f t="shared" si="296"/>
        <v>46104</v>
      </c>
      <c r="G920" s="77">
        <f t="shared" si="297"/>
        <v>46110</v>
      </c>
      <c r="H920" s="77">
        <f t="shared" si="298"/>
        <v>46098</v>
      </c>
      <c r="I920" s="77">
        <f t="shared" si="299"/>
        <v>46105</v>
      </c>
      <c r="J920" s="25"/>
      <c r="K920" s="25"/>
      <c r="L920" s="25"/>
      <c r="M920" s="25"/>
      <c r="N920" s="25"/>
      <c r="O920" s="25"/>
    </row>
    <row r="921" spans="1:15" x14ac:dyDescent="0.25">
      <c r="A921" s="77">
        <v>46091</v>
      </c>
      <c r="B921" s="25" t="s">
        <v>780</v>
      </c>
      <c r="C921" s="25" t="s">
        <v>1232</v>
      </c>
      <c r="D921" s="77">
        <f t="shared" si="294"/>
        <v>46114</v>
      </c>
      <c r="E921" s="77">
        <f t="shared" si="295"/>
        <v>46098</v>
      </c>
      <c r="F921" s="77">
        <f t="shared" si="296"/>
        <v>46105</v>
      </c>
      <c r="G921" s="77">
        <f t="shared" si="297"/>
        <v>46111</v>
      </c>
      <c r="H921" s="77">
        <f t="shared" si="298"/>
        <v>46099</v>
      </c>
      <c r="I921" s="77">
        <f t="shared" si="299"/>
        <v>46106</v>
      </c>
      <c r="J921" s="25"/>
      <c r="K921" s="25"/>
      <c r="L921" s="25"/>
      <c r="M921" s="25"/>
      <c r="N921" s="25"/>
      <c r="O921" s="25"/>
    </row>
    <row r="922" spans="1:15" x14ac:dyDescent="0.25">
      <c r="A922" s="77">
        <v>46091</v>
      </c>
      <c r="B922" s="25" t="s">
        <v>781</v>
      </c>
      <c r="C922" s="25" t="s">
        <v>1233</v>
      </c>
      <c r="D922" s="77">
        <f t="shared" si="294"/>
        <v>46114</v>
      </c>
      <c r="E922" s="77">
        <f t="shared" si="295"/>
        <v>46098</v>
      </c>
      <c r="F922" s="77">
        <f t="shared" si="296"/>
        <v>46105</v>
      </c>
      <c r="G922" s="77">
        <f t="shared" si="297"/>
        <v>46111</v>
      </c>
      <c r="H922" s="77">
        <f t="shared" si="298"/>
        <v>46099</v>
      </c>
      <c r="I922" s="77">
        <f t="shared" si="299"/>
        <v>46106</v>
      </c>
      <c r="J922" s="25"/>
      <c r="K922" s="25"/>
      <c r="L922" s="25"/>
      <c r="M922" s="25"/>
      <c r="N922" s="25"/>
      <c r="O922" s="25"/>
    </row>
    <row r="923" spans="1:15" x14ac:dyDescent="0.25">
      <c r="A923" s="77">
        <v>46091</v>
      </c>
      <c r="B923" s="25" t="s">
        <v>782</v>
      </c>
      <c r="C923" s="25" t="s">
        <v>1234</v>
      </c>
      <c r="D923" s="77">
        <f t="shared" si="294"/>
        <v>46114</v>
      </c>
      <c r="E923" s="77">
        <f t="shared" si="295"/>
        <v>46098</v>
      </c>
      <c r="F923" s="77">
        <f t="shared" si="296"/>
        <v>46105</v>
      </c>
      <c r="G923" s="77">
        <f t="shared" si="297"/>
        <v>46111</v>
      </c>
      <c r="H923" s="77">
        <f t="shared" si="298"/>
        <v>46099</v>
      </c>
      <c r="I923" s="77">
        <f t="shared" si="299"/>
        <v>46106</v>
      </c>
      <c r="J923" s="25"/>
      <c r="K923" s="25"/>
      <c r="L923" s="25"/>
      <c r="M923" s="25"/>
      <c r="N923" s="25"/>
      <c r="O923" s="25"/>
    </row>
    <row r="924" spans="1:15" x14ac:dyDescent="0.25">
      <c r="A924" s="77">
        <v>46091</v>
      </c>
      <c r="B924" s="25" t="s">
        <v>783</v>
      </c>
      <c r="C924" s="25" t="s">
        <v>1235</v>
      </c>
      <c r="D924" s="77">
        <f t="shared" si="294"/>
        <v>46114</v>
      </c>
      <c r="E924" s="77">
        <f t="shared" si="295"/>
        <v>46098</v>
      </c>
      <c r="F924" s="77">
        <f t="shared" si="296"/>
        <v>46105</v>
      </c>
      <c r="G924" s="77">
        <f t="shared" si="297"/>
        <v>46111</v>
      </c>
      <c r="H924" s="77">
        <f t="shared" si="298"/>
        <v>46099</v>
      </c>
      <c r="I924" s="77">
        <f t="shared" si="299"/>
        <v>46106</v>
      </c>
      <c r="J924" s="25"/>
      <c r="K924" s="25"/>
      <c r="L924" s="25"/>
      <c r="M924" s="25"/>
      <c r="N924" s="25"/>
      <c r="O924" s="25"/>
    </row>
    <row r="925" spans="1:15" x14ac:dyDescent="0.25">
      <c r="A925" s="77">
        <v>46091</v>
      </c>
      <c r="B925" s="25" t="s">
        <v>784</v>
      </c>
      <c r="C925" s="25" t="s">
        <v>1236</v>
      </c>
      <c r="D925" s="77">
        <f t="shared" si="294"/>
        <v>46114</v>
      </c>
      <c r="E925" s="77">
        <f t="shared" si="295"/>
        <v>46098</v>
      </c>
      <c r="F925" s="77">
        <f t="shared" si="296"/>
        <v>46105</v>
      </c>
      <c r="G925" s="77">
        <f t="shared" si="297"/>
        <v>46111</v>
      </c>
      <c r="H925" s="77">
        <f t="shared" si="298"/>
        <v>46099</v>
      </c>
      <c r="I925" s="77">
        <f t="shared" si="299"/>
        <v>46106</v>
      </c>
      <c r="J925" s="25"/>
      <c r="K925" s="25"/>
      <c r="L925" s="25"/>
      <c r="M925" s="25"/>
      <c r="N925" s="25"/>
      <c r="O925" s="25"/>
    </row>
    <row r="926" spans="1:15" x14ac:dyDescent="0.25">
      <c r="A926" s="77">
        <v>46091</v>
      </c>
      <c r="B926" s="25" t="s">
        <v>785</v>
      </c>
      <c r="C926" s="25" t="s">
        <v>1237</v>
      </c>
      <c r="D926" s="77">
        <f t="shared" si="294"/>
        <v>46114</v>
      </c>
      <c r="E926" s="77">
        <f t="shared" si="295"/>
        <v>46098</v>
      </c>
      <c r="F926" s="77">
        <f t="shared" si="296"/>
        <v>46105</v>
      </c>
      <c r="G926" s="77">
        <f t="shared" si="297"/>
        <v>46111</v>
      </c>
      <c r="H926" s="77">
        <f t="shared" si="298"/>
        <v>46099</v>
      </c>
      <c r="I926" s="77">
        <f t="shared" si="299"/>
        <v>46106</v>
      </c>
      <c r="J926" s="25"/>
      <c r="K926" s="25"/>
      <c r="L926" s="25"/>
      <c r="M926" s="25"/>
      <c r="N926" s="25"/>
      <c r="O926" s="25"/>
    </row>
    <row r="927" spans="1:15" x14ac:dyDescent="0.25">
      <c r="A927" s="77">
        <v>46091</v>
      </c>
      <c r="B927" s="25" t="s">
        <v>786</v>
      </c>
      <c r="C927" s="25" t="s">
        <v>1238</v>
      </c>
      <c r="D927" s="77">
        <f t="shared" si="294"/>
        <v>46114</v>
      </c>
      <c r="E927" s="77">
        <f t="shared" si="295"/>
        <v>46098</v>
      </c>
      <c r="F927" s="77">
        <f t="shared" si="296"/>
        <v>46105</v>
      </c>
      <c r="G927" s="77">
        <f t="shared" si="297"/>
        <v>46111</v>
      </c>
      <c r="H927" s="77">
        <f t="shared" si="298"/>
        <v>46099</v>
      </c>
      <c r="I927" s="77">
        <f t="shared" si="299"/>
        <v>46106</v>
      </c>
      <c r="J927" s="25"/>
      <c r="K927" s="25"/>
      <c r="L927" s="25"/>
      <c r="M927" s="25"/>
      <c r="N927" s="25"/>
      <c r="O927" s="25"/>
    </row>
    <row r="928" spans="1:15" x14ac:dyDescent="0.25">
      <c r="A928" s="77">
        <v>46092</v>
      </c>
      <c r="B928" s="25" t="s">
        <v>777</v>
      </c>
      <c r="C928" s="25" t="s">
        <v>1229</v>
      </c>
      <c r="D928" s="77">
        <f t="shared" si="294"/>
        <v>46115</v>
      </c>
      <c r="E928" s="77">
        <f t="shared" si="295"/>
        <v>46099</v>
      </c>
      <c r="F928" s="77">
        <f t="shared" si="296"/>
        <v>46106</v>
      </c>
      <c r="G928" s="77">
        <f t="shared" si="297"/>
        <v>46112</v>
      </c>
      <c r="H928" s="77">
        <f t="shared" si="298"/>
        <v>46100</v>
      </c>
      <c r="I928" s="77">
        <f t="shared" si="299"/>
        <v>46107</v>
      </c>
      <c r="J928" s="25"/>
      <c r="K928" s="25"/>
      <c r="L928" s="25"/>
      <c r="M928" s="25"/>
      <c r="N928" s="25"/>
      <c r="O928" s="25"/>
    </row>
    <row r="929" spans="1:15" x14ac:dyDescent="0.25">
      <c r="A929" s="77">
        <v>46092</v>
      </c>
      <c r="B929" s="25" t="s">
        <v>778</v>
      </c>
      <c r="C929" s="25" t="s">
        <v>1230</v>
      </c>
      <c r="D929" s="77">
        <f t="shared" si="294"/>
        <v>46115</v>
      </c>
      <c r="E929" s="77">
        <f t="shared" si="295"/>
        <v>46099</v>
      </c>
      <c r="F929" s="77">
        <f t="shared" si="296"/>
        <v>46106</v>
      </c>
      <c r="G929" s="77">
        <f t="shared" si="297"/>
        <v>46112</v>
      </c>
      <c r="H929" s="77">
        <f t="shared" si="298"/>
        <v>46100</v>
      </c>
      <c r="I929" s="77">
        <f t="shared" si="299"/>
        <v>46107</v>
      </c>
      <c r="J929" s="25"/>
      <c r="K929" s="25"/>
      <c r="L929" s="25"/>
      <c r="M929" s="25"/>
      <c r="N929" s="25"/>
      <c r="O929" s="25"/>
    </row>
    <row r="930" spans="1:15" x14ac:dyDescent="0.25">
      <c r="A930" s="77">
        <v>46092</v>
      </c>
      <c r="B930" s="25" t="s">
        <v>779</v>
      </c>
      <c r="C930" s="25" t="s">
        <v>1231</v>
      </c>
      <c r="D930" s="77">
        <f t="shared" si="294"/>
        <v>46115</v>
      </c>
      <c r="E930" s="77">
        <f t="shared" si="295"/>
        <v>46099</v>
      </c>
      <c r="F930" s="77">
        <f t="shared" si="296"/>
        <v>46106</v>
      </c>
      <c r="G930" s="77">
        <f t="shared" si="297"/>
        <v>46112</v>
      </c>
      <c r="H930" s="77">
        <f t="shared" si="298"/>
        <v>46100</v>
      </c>
      <c r="I930" s="77">
        <f t="shared" si="299"/>
        <v>46107</v>
      </c>
      <c r="J930" s="25"/>
      <c r="K930" s="25"/>
      <c r="L930" s="25"/>
      <c r="M930" s="25"/>
      <c r="N930" s="25"/>
      <c r="O930" s="25"/>
    </row>
    <row r="931" spans="1:15" x14ac:dyDescent="0.25">
      <c r="A931" s="77">
        <v>46092</v>
      </c>
      <c r="B931" s="25" t="s">
        <v>490</v>
      </c>
      <c r="C931" s="25" t="s">
        <v>1245</v>
      </c>
      <c r="D931" s="77">
        <f t="shared" si="294"/>
        <v>46115</v>
      </c>
      <c r="E931" s="77">
        <f t="shared" si="295"/>
        <v>46099</v>
      </c>
      <c r="F931" s="77">
        <f t="shared" si="296"/>
        <v>46106</v>
      </c>
      <c r="G931" s="77">
        <f t="shared" si="297"/>
        <v>46112</v>
      </c>
      <c r="H931" s="77">
        <f t="shared" si="298"/>
        <v>46100</v>
      </c>
      <c r="I931" s="77">
        <f t="shared" si="299"/>
        <v>46107</v>
      </c>
      <c r="J931" s="25"/>
      <c r="K931" s="25"/>
      <c r="L931" s="25"/>
      <c r="M931" s="25"/>
      <c r="N931" s="25"/>
      <c r="O931" s="25"/>
    </row>
    <row r="932" spans="1:15" x14ac:dyDescent="0.25">
      <c r="A932" s="77">
        <v>46092</v>
      </c>
      <c r="B932" s="25" t="s">
        <v>491</v>
      </c>
      <c r="C932" s="25" t="s">
        <v>1246</v>
      </c>
      <c r="D932" s="77">
        <f t="shared" si="294"/>
        <v>46115</v>
      </c>
      <c r="E932" s="77">
        <f t="shared" si="295"/>
        <v>46099</v>
      </c>
      <c r="F932" s="77">
        <f t="shared" si="296"/>
        <v>46106</v>
      </c>
      <c r="G932" s="77">
        <f t="shared" si="297"/>
        <v>46112</v>
      </c>
      <c r="H932" s="77">
        <f t="shared" si="298"/>
        <v>46100</v>
      </c>
      <c r="I932" s="77">
        <f t="shared" si="299"/>
        <v>46107</v>
      </c>
      <c r="J932" s="25"/>
      <c r="K932" s="25"/>
      <c r="L932" s="25"/>
      <c r="M932" s="25"/>
      <c r="N932" s="25"/>
      <c r="O932" s="25"/>
    </row>
    <row r="933" spans="1:15" x14ac:dyDescent="0.25">
      <c r="A933" s="77">
        <v>46092</v>
      </c>
      <c r="B933" s="25" t="s">
        <v>492</v>
      </c>
      <c r="C933" s="25" t="s">
        <v>1247</v>
      </c>
      <c r="D933" s="77">
        <f t="shared" si="294"/>
        <v>46115</v>
      </c>
      <c r="E933" s="77">
        <f t="shared" si="295"/>
        <v>46099</v>
      </c>
      <c r="F933" s="77">
        <f t="shared" si="296"/>
        <v>46106</v>
      </c>
      <c r="G933" s="77">
        <f t="shared" si="297"/>
        <v>46112</v>
      </c>
      <c r="H933" s="77">
        <f t="shared" si="298"/>
        <v>46100</v>
      </c>
      <c r="I933" s="77">
        <f t="shared" si="299"/>
        <v>46107</v>
      </c>
      <c r="J933" s="25"/>
      <c r="K933" s="25"/>
      <c r="L933" s="25"/>
      <c r="M933" s="25"/>
      <c r="N933" s="25"/>
      <c r="O933" s="25"/>
    </row>
    <row r="934" spans="1:15" x14ac:dyDescent="0.25">
      <c r="A934" s="77">
        <v>46092</v>
      </c>
      <c r="B934" s="25" t="s">
        <v>493</v>
      </c>
      <c r="C934" s="25" t="s">
        <v>1191</v>
      </c>
      <c r="D934" s="77">
        <f t="shared" si="294"/>
        <v>46115</v>
      </c>
      <c r="E934" s="77">
        <f t="shared" si="295"/>
        <v>46099</v>
      </c>
      <c r="F934" s="77">
        <f t="shared" si="296"/>
        <v>46106</v>
      </c>
      <c r="G934" s="77">
        <f t="shared" si="297"/>
        <v>46112</v>
      </c>
      <c r="H934" s="77">
        <f t="shared" si="298"/>
        <v>46100</v>
      </c>
      <c r="I934" s="77">
        <f t="shared" si="299"/>
        <v>46107</v>
      </c>
      <c r="J934" s="25"/>
      <c r="K934" s="25"/>
      <c r="L934" s="25"/>
      <c r="M934" s="25"/>
      <c r="N934" s="25"/>
      <c r="O934" s="25"/>
    </row>
    <row r="935" spans="1:15" x14ac:dyDescent="0.25">
      <c r="A935" s="77">
        <v>46092</v>
      </c>
      <c r="B935" s="25" t="s">
        <v>494</v>
      </c>
      <c r="C935" s="25" t="s">
        <v>1192</v>
      </c>
      <c r="D935" s="77">
        <f t="shared" si="294"/>
        <v>46115</v>
      </c>
      <c r="E935" s="77">
        <f t="shared" si="295"/>
        <v>46099</v>
      </c>
      <c r="F935" s="77">
        <f t="shared" si="296"/>
        <v>46106</v>
      </c>
      <c r="G935" s="77">
        <f t="shared" si="297"/>
        <v>46112</v>
      </c>
      <c r="H935" s="77">
        <f t="shared" si="298"/>
        <v>46100</v>
      </c>
      <c r="I935" s="77">
        <f t="shared" si="299"/>
        <v>46107</v>
      </c>
      <c r="J935" s="25"/>
      <c r="K935" s="25"/>
      <c r="L935" s="25"/>
      <c r="M935" s="25"/>
      <c r="N935" s="25"/>
      <c r="O935" s="25"/>
    </row>
    <row r="936" spans="1:15" x14ac:dyDescent="0.25">
      <c r="A936" s="77">
        <v>46093</v>
      </c>
      <c r="B936" s="25" t="s">
        <v>552</v>
      </c>
      <c r="C936" s="25" t="s">
        <v>1193</v>
      </c>
      <c r="D936" s="77">
        <f t="shared" si="294"/>
        <v>46116</v>
      </c>
      <c r="E936" s="77">
        <f t="shared" si="295"/>
        <v>46100</v>
      </c>
      <c r="F936" s="77">
        <f t="shared" si="296"/>
        <v>46107</v>
      </c>
      <c r="G936" s="77">
        <f t="shared" si="297"/>
        <v>46113</v>
      </c>
      <c r="H936" s="77">
        <f t="shared" si="298"/>
        <v>46101</v>
      </c>
      <c r="I936" s="77">
        <f t="shared" si="299"/>
        <v>46108</v>
      </c>
      <c r="J936" s="25"/>
      <c r="K936" s="25"/>
      <c r="L936" s="25"/>
      <c r="M936" s="25"/>
      <c r="N936" s="25"/>
      <c r="O936" s="25"/>
    </row>
    <row r="937" spans="1:15" x14ac:dyDescent="0.25">
      <c r="A937" s="77">
        <v>46093</v>
      </c>
      <c r="B937" s="25" t="s">
        <v>553</v>
      </c>
      <c r="C937" s="25" t="s">
        <v>1194</v>
      </c>
      <c r="D937" s="77">
        <f t="shared" si="294"/>
        <v>46116</v>
      </c>
      <c r="E937" s="77">
        <f t="shared" si="295"/>
        <v>46100</v>
      </c>
      <c r="F937" s="77">
        <f t="shared" si="296"/>
        <v>46107</v>
      </c>
      <c r="G937" s="77">
        <f t="shared" si="297"/>
        <v>46113</v>
      </c>
      <c r="H937" s="77">
        <f t="shared" si="298"/>
        <v>46101</v>
      </c>
      <c r="I937" s="77">
        <f t="shared" si="299"/>
        <v>46108</v>
      </c>
      <c r="J937" s="25"/>
      <c r="K937" s="25"/>
      <c r="L937" s="25"/>
      <c r="M937" s="25"/>
      <c r="N937" s="25"/>
      <c r="O937" s="25"/>
    </row>
    <row r="938" spans="1:15" x14ac:dyDescent="0.25">
      <c r="A938" s="77">
        <v>46093</v>
      </c>
      <c r="B938" s="25" t="s">
        <v>554</v>
      </c>
      <c r="C938" s="25" t="s">
        <v>1195</v>
      </c>
      <c r="D938" s="77">
        <f t="shared" si="294"/>
        <v>46116</v>
      </c>
      <c r="E938" s="77">
        <f t="shared" si="295"/>
        <v>46100</v>
      </c>
      <c r="F938" s="77">
        <f t="shared" si="296"/>
        <v>46107</v>
      </c>
      <c r="G938" s="77">
        <f t="shared" si="297"/>
        <v>46113</v>
      </c>
      <c r="H938" s="77">
        <f t="shared" si="298"/>
        <v>46101</v>
      </c>
      <c r="I938" s="77">
        <f t="shared" si="299"/>
        <v>46108</v>
      </c>
      <c r="J938" s="25"/>
      <c r="K938" s="25"/>
      <c r="L938" s="25"/>
      <c r="M938" s="25"/>
      <c r="N938" s="25"/>
      <c r="O938" s="25"/>
    </row>
    <row r="939" spans="1:15" x14ac:dyDescent="0.25">
      <c r="A939" s="77">
        <v>46093</v>
      </c>
      <c r="B939" s="25" t="s">
        <v>555</v>
      </c>
      <c r="C939" s="25" t="s">
        <v>1196</v>
      </c>
      <c r="D939" s="77">
        <f t="shared" si="294"/>
        <v>46116</v>
      </c>
      <c r="E939" s="77">
        <f t="shared" si="295"/>
        <v>46100</v>
      </c>
      <c r="F939" s="77">
        <f t="shared" si="296"/>
        <v>46107</v>
      </c>
      <c r="G939" s="77">
        <f t="shared" si="297"/>
        <v>46113</v>
      </c>
      <c r="H939" s="77">
        <f t="shared" si="298"/>
        <v>46101</v>
      </c>
      <c r="I939" s="77">
        <f t="shared" si="299"/>
        <v>46108</v>
      </c>
      <c r="J939" s="25"/>
      <c r="K939" s="25"/>
      <c r="L939" s="25"/>
      <c r="M939" s="25"/>
      <c r="N939" s="25"/>
      <c r="O939" s="25"/>
    </row>
    <row r="940" spans="1:15" x14ac:dyDescent="0.25">
      <c r="A940" s="77">
        <v>46093</v>
      </c>
      <c r="B940" s="25" t="s">
        <v>556</v>
      </c>
      <c r="C940" s="25" t="s">
        <v>1197</v>
      </c>
      <c r="D940" s="77">
        <f t="shared" si="294"/>
        <v>46116</v>
      </c>
      <c r="E940" s="77">
        <f t="shared" si="295"/>
        <v>46100</v>
      </c>
      <c r="F940" s="77">
        <f t="shared" si="296"/>
        <v>46107</v>
      </c>
      <c r="G940" s="77">
        <f t="shared" si="297"/>
        <v>46113</v>
      </c>
      <c r="H940" s="77">
        <f t="shared" si="298"/>
        <v>46101</v>
      </c>
      <c r="I940" s="77">
        <f t="shared" si="299"/>
        <v>46108</v>
      </c>
      <c r="J940" s="25"/>
      <c r="K940" s="25"/>
      <c r="L940" s="25"/>
      <c r="M940" s="25"/>
      <c r="N940" s="25"/>
      <c r="O940" s="25"/>
    </row>
    <row r="941" spans="1:15" x14ac:dyDescent="0.25">
      <c r="A941" s="77">
        <v>46093</v>
      </c>
      <c r="B941" s="25" t="s">
        <v>557</v>
      </c>
      <c r="C941" s="25" t="s">
        <v>1198</v>
      </c>
      <c r="D941" s="77">
        <f t="shared" si="294"/>
        <v>46116</v>
      </c>
      <c r="E941" s="77">
        <f t="shared" si="295"/>
        <v>46100</v>
      </c>
      <c r="F941" s="77">
        <f t="shared" si="296"/>
        <v>46107</v>
      </c>
      <c r="G941" s="77">
        <f t="shared" si="297"/>
        <v>46113</v>
      </c>
      <c r="H941" s="77">
        <f t="shared" si="298"/>
        <v>46101</v>
      </c>
      <c r="I941" s="77">
        <f t="shared" si="299"/>
        <v>46108</v>
      </c>
      <c r="J941" s="25"/>
      <c r="K941" s="25"/>
      <c r="L941" s="25"/>
      <c r="M941" s="25"/>
      <c r="N941" s="25"/>
      <c r="O941" s="25"/>
    </row>
    <row r="942" spans="1:15" x14ac:dyDescent="0.25">
      <c r="A942" s="77">
        <v>46093</v>
      </c>
      <c r="B942" s="25" t="s">
        <v>558</v>
      </c>
      <c r="C942" s="25" t="s">
        <v>1199</v>
      </c>
      <c r="D942" s="77">
        <f t="shared" si="294"/>
        <v>46116</v>
      </c>
      <c r="E942" s="77">
        <f t="shared" si="295"/>
        <v>46100</v>
      </c>
      <c r="F942" s="77">
        <f t="shared" si="296"/>
        <v>46107</v>
      </c>
      <c r="G942" s="77">
        <f t="shared" si="297"/>
        <v>46113</v>
      </c>
      <c r="H942" s="77">
        <f t="shared" si="298"/>
        <v>46101</v>
      </c>
      <c r="I942" s="77">
        <f t="shared" si="299"/>
        <v>46108</v>
      </c>
      <c r="J942" s="25"/>
      <c r="K942" s="25"/>
      <c r="L942" s="25"/>
      <c r="M942" s="25"/>
      <c r="N942" s="25"/>
      <c r="O942" s="25"/>
    </row>
    <row r="943" spans="1:15" x14ac:dyDescent="0.25">
      <c r="A943" s="77">
        <v>46094</v>
      </c>
      <c r="B943" s="25" t="s">
        <v>545</v>
      </c>
      <c r="C943" s="25" t="s">
        <v>1248</v>
      </c>
      <c r="D943" s="77">
        <f t="shared" si="294"/>
        <v>46117</v>
      </c>
      <c r="E943" s="77">
        <f t="shared" si="295"/>
        <v>46101</v>
      </c>
      <c r="F943" s="77">
        <f t="shared" si="296"/>
        <v>46108</v>
      </c>
      <c r="G943" s="77">
        <f t="shared" si="297"/>
        <v>46114</v>
      </c>
      <c r="H943" s="77">
        <f t="shared" si="298"/>
        <v>46102</v>
      </c>
      <c r="I943" s="77">
        <f t="shared" si="299"/>
        <v>46109</v>
      </c>
      <c r="J943" s="25"/>
      <c r="K943" s="25"/>
      <c r="L943" s="25"/>
      <c r="M943" s="25"/>
      <c r="N943" s="25"/>
      <c r="O943" s="25"/>
    </row>
    <row r="944" spans="1:15" x14ac:dyDescent="0.25">
      <c r="A944" s="77">
        <v>46094</v>
      </c>
      <c r="B944" s="25" t="s">
        <v>546</v>
      </c>
      <c r="C944" s="25" t="s">
        <v>1249</v>
      </c>
      <c r="D944" s="77">
        <f t="shared" si="294"/>
        <v>46117</v>
      </c>
      <c r="E944" s="77">
        <f t="shared" si="295"/>
        <v>46101</v>
      </c>
      <c r="F944" s="77">
        <f t="shared" si="296"/>
        <v>46108</v>
      </c>
      <c r="G944" s="77">
        <f t="shared" si="297"/>
        <v>46114</v>
      </c>
      <c r="H944" s="77">
        <f t="shared" si="298"/>
        <v>46102</v>
      </c>
      <c r="I944" s="77">
        <f t="shared" si="299"/>
        <v>46109</v>
      </c>
      <c r="J944" s="25"/>
      <c r="K944" s="25"/>
      <c r="L944" s="25"/>
      <c r="M944" s="25"/>
      <c r="N944" s="25"/>
      <c r="O944" s="25"/>
    </row>
    <row r="945" spans="1:15" x14ac:dyDescent="0.25">
      <c r="A945" s="77">
        <v>46094</v>
      </c>
      <c r="B945" s="25" t="s">
        <v>547</v>
      </c>
      <c r="C945" s="25" t="s">
        <v>1250</v>
      </c>
      <c r="D945" s="77">
        <f t="shared" si="294"/>
        <v>46117</v>
      </c>
      <c r="E945" s="77">
        <f t="shared" si="295"/>
        <v>46101</v>
      </c>
      <c r="F945" s="77">
        <f t="shared" si="296"/>
        <v>46108</v>
      </c>
      <c r="G945" s="77">
        <f t="shared" si="297"/>
        <v>46114</v>
      </c>
      <c r="H945" s="77">
        <f t="shared" si="298"/>
        <v>46102</v>
      </c>
      <c r="I945" s="77">
        <f t="shared" si="299"/>
        <v>46109</v>
      </c>
      <c r="J945" s="25"/>
      <c r="K945" s="25"/>
      <c r="L945" s="25"/>
      <c r="M945" s="25"/>
      <c r="N945" s="25"/>
      <c r="O945" s="25"/>
    </row>
    <row r="946" spans="1:15" x14ac:dyDescent="0.25">
      <c r="A946" s="77">
        <v>46094</v>
      </c>
      <c r="B946" s="25" t="s">
        <v>548</v>
      </c>
      <c r="C946" s="25" t="s">
        <v>1251</v>
      </c>
      <c r="D946" s="77">
        <f t="shared" si="294"/>
        <v>46117</v>
      </c>
      <c r="E946" s="77">
        <f t="shared" si="295"/>
        <v>46101</v>
      </c>
      <c r="F946" s="77">
        <f t="shared" si="296"/>
        <v>46108</v>
      </c>
      <c r="G946" s="77">
        <f t="shared" si="297"/>
        <v>46114</v>
      </c>
      <c r="H946" s="77">
        <f t="shared" si="298"/>
        <v>46102</v>
      </c>
      <c r="I946" s="77">
        <f t="shared" si="299"/>
        <v>46109</v>
      </c>
      <c r="J946" s="25"/>
      <c r="K946" s="25"/>
      <c r="L946" s="25"/>
      <c r="M946" s="25"/>
      <c r="N946" s="25"/>
      <c r="O946" s="25"/>
    </row>
    <row r="947" spans="1:15" x14ac:dyDescent="0.25">
      <c r="A947" s="77">
        <v>46094</v>
      </c>
      <c r="B947" s="25" t="s">
        <v>549</v>
      </c>
      <c r="C947" s="25" t="s">
        <v>1252</v>
      </c>
      <c r="D947" s="77">
        <f t="shared" si="294"/>
        <v>46117</v>
      </c>
      <c r="E947" s="77">
        <f t="shared" si="295"/>
        <v>46101</v>
      </c>
      <c r="F947" s="77">
        <f t="shared" si="296"/>
        <v>46108</v>
      </c>
      <c r="G947" s="77">
        <f t="shared" si="297"/>
        <v>46114</v>
      </c>
      <c r="H947" s="77">
        <f t="shared" si="298"/>
        <v>46102</v>
      </c>
      <c r="I947" s="77">
        <f t="shared" si="299"/>
        <v>46109</v>
      </c>
      <c r="J947" s="25"/>
      <c r="K947" s="25"/>
      <c r="L947" s="25"/>
      <c r="M947" s="25"/>
      <c r="N947" s="25"/>
      <c r="O947" s="25"/>
    </row>
    <row r="948" spans="1:15" x14ac:dyDescent="0.25">
      <c r="A948" s="77">
        <v>46094</v>
      </c>
      <c r="B948" s="25" t="s">
        <v>550</v>
      </c>
      <c r="C948" s="25" t="s">
        <v>1253</v>
      </c>
      <c r="D948" s="77">
        <f t="shared" si="294"/>
        <v>46117</v>
      </c>
      <c r="E948" s="77">
        <f t="shared" si="295"/>
        <v>46101</v>
      </c>
      <c r="F948" s="77">
        <f t="shared" si="296"/>
        <v>46108</v>
      </c>
      <c r="G948" s="77">
        <f t="shared" si="297"/>
        <v>46114</v>
      </c>
      <c r="H948" s="77">
        <f t="shared" si="298"/>
        <v>46102</v>
      </c>
      <c r="I948" s="77">
        <f t="shared" si="299"/>
        <v>46109</v>
      </c>
      <c r="J948" s="25"/>
      <c r="K948" s="25"/>
      <c r="L948" s="25"/>
      <c r="M948" s="25"/>
      <c r="N948" s="25"/>
      <c r="O948" s="25"/>
    </row>
    <row r="949" spans="1:15" x14ac:dyDescent="0.25">
      <c r="A949" s="77">
        <v>46094</v>
      </c>
      <c r="B949" s="25" t="s">
        <v>551</v>
      </c>
      <c r="C949" s="25" t="s">
        <v>1254</v>
      </c>
      <c r="D949" s="77">
        <f t="shared" si="294"/>
        <v>46117</v>
      </c>
      <c r="E949" s="77">
        <f t="shared" si="295"/>
        <v>46101</v>
      </c>
      <c r="F949" s="77">
        <f t="shared" si="296"/>
        <v>46108</v>
      </c>
      <c r="G949" s="77">
        <f t="shared" si="297"/>
        <v>46114</v>
      </c>
      <c r="H949" s="77">
        <f t="shared" si="298"/>
        <v>46102</v>
      </c>
      <c r="I949" s="77">
        <f t="shared" si="299"/>
        <v>46109</v>
      </c>
      <c r="J949" s="25"/>
      <c r="K949" s="25"/>
      <c r="L949" s="25"/>
      <c r="M949" s="25"/>
      <c r="N949" s="25"/>
      <c r="O949" s="25"/>
    </row>
    <row r="950" spans="1:15" x14ac:dyDescent="0.25">
      <c r="A950" s="77">
        <v>46095</v>
      </c>
      <c r="B950" s="25" t="s">
        <v>537</v>
      </c>
      <c r="C950" s="25" t="s">
        <v>1255</v>
      </c>
      <c r="D950" s="77">
        <f t="shared" si="294"/>
        <v>46118</v>
      </c>
      <c r="E950" s="77">
        <f t="shared" si="295"/>
        <v>46102</v>
      </c>
      <c r="F950" s="77">
        <f t="shared" si="296"/>
        <v>46109</v>
      </c>
      <c r="G950" s="77">
        <f t="shared" si="297"/>
        <v>46115</v>
      </c>
      <c r="H950" s="77">
        <f t="shared" si="298"/>
        <v>46103</v>
      </c>
      <c r="I950" s="77">
        <f t="shared" si="299"/>
        <v>46110</v>
      </c>
      <c r="J950" s="25"/>
      <c r="K950" s="25"/>
      <c r="L950" s="25"/>
      <c r="M950" s="25"/>
      <c r="N950" s="25"/>
      <c r="O950" s="25"/>
    </row>
    <row r="951" spans="1:15" x14ac:dyDescent="0.25">
      <c r="A951" s="77">
        <v>46095</v>
      </c>
      <c r="B951" s="25" t="s">
        <v>538</v>
      </c>
      <c r="C951" s="25" t="s">
        <v>1256</v>
      </c>
      <c r="D951" s="77">
        <f t="shared" si="294"/>
        <v>46118</v>
      </c>
      <c r="E951" s="77">
        <f t="shared" si="295"/>
        <v>46102</v>
      </c>
      <c r="F951" s="77">
        <f t="shared" si="296"/>
        <v>46109</v>
      </c>
      <c r="G951" s="77">
        <f t="shared" si="297"/>
        <v>46115</v>
      </c>
      <c r="H951" s="77">
        <f t="shared" si="298"/>
        <v>46103</v>
      </c>
      <c r="I951" s="77">
        <f t="shared" si="299"/>
        <v>46110</v>
      </c>
      <c r="J951" s="25"/>
      <c r="K951" s="25"/>
      <c r="L951" s="25"/>
      <c r="M951" s="25"/>
      <c r="N951" s="25"/>
      <c r="O951" s="25"/>
    </row>
    <row r="952" spans="1:15" x14ac:dyDescent="0.25">
      <c r="A952" s="77">
        <v>46095</v>
      </c>
      <c r="B952" s="25" t="s">
        <v>539</v>
      </c>
      <c r="C952" s="25" t="s">
        <v>1257</v>
      </c>
      <c r="D952" s="77">
        <f t="shared" si="294"/>
        <v>46118</v>
      </c>
      <c r="E952" s="77">
        <f t="shared" si="295"/>
        <v>46102</v>
      </c>
      <c r="F952" s="77">
        <f t="shared" si="296"/>
        <v>46109</v>
      </c>
      <c r="G952" s="77">
        <f t="shared" si="297"/>
        <v>46115</v>
      </c>
      <c r="H952" s="77">
        <f t="shared" si="298"/>
        <v>46103</v>
      </c>
      <c r="I952" s="77">
        <f t="shared" si="299"/>
        <v>46110</v>
      </c>
      <c r="J952" s="25"/>
      <c r="K952" s="25"/>
      <c r="L952" s="25"/>
      <c r="M952" s="25"/>
      <c r="N952" s="25"/>
      <c r="O952" s="25"/>
    </row>
    <row r="953" spans="1:15" x14ac:dyDescent="0.25">
      <c r="A953" s="77">
        <v>46095</v>
      </c>
      <c r="B953" s="25" t="s">
        <v>540</v>
      </c>
      <c r="C953" s="25" t="s">
        <v>1258</v>
      </c>
      <c r="D953" s="77">
        <f t="shared" si="294"/>
        <v>46118</v>
      </c>
      <c r="E953" s="77">
        <f t="shared" si="295"/>
        <v>46102</v>
      </c>
      <c r="F953" s="77">
        <f t="shared" si="296"/>
        <v>46109</v>
      </c>
      <c r="G953" s="77">
        <f t="shared" si="297"/>
        <v>46115</v>
      </c>
      <c r="H953" s="77">
        <f t="shared" si="298"/>
        <v>46103</v>
      </c>
      <c r="I953" s="77">
        <f t="shared" si="299"/>
        <v>46110</v>
      </c>
      <c r="J953" s="25"/>
      <c r="K953" s="25"/>
      <c r="L953" s="25"/>
      <c r="M953" s="25"/>
      <c r="N953" s="25"/>
      <c r="O953" s="25"/>
    </row>
    <row r="954" spans="1:15" x14ac:dyDescent="0.25">
      <c r="A954" s="77">
        <v>46095</v>
      </c>
      <c r="B954" s="25" t="s">
        <v>541</v>
      </c>
      <c r="C954" s="25" t="s">
        <v>1259</v>
      </c>
      <c r="D954" s="77">
        <f t="shared" si="294"/>
        <v>46118</v>
      </c>
      <c r="E954" s="77">
        <f t="shared" si="295"/>
        <v>46102</v>
      </c>
      <c r="F954" s="77">
        <f t="shared" si="296"/>
        <v>46109</v>
      </c>
      <c r="G954" s="77">
        <f t="shared" si="297"/>
        <v>46115</v>
      </c>
      <c r="H954" s="77">
        <f t="shared" si="298"/>
        <v>46103</v>
      </c>
      <c r="I954" s="77">
        <f t="shared" si="299"/>
        <v>46110</v>
      </c>
      <c r="J954" s="25"/>
      <c r="K954" s="25"/>
      <c r="L954" s="25"/>
      <c r="M954" s="25"/>
      <c r="N954" s="25"/>
      <c r="O954" s="25"/>
    </row>
    <row r="955" spans="1:15" x14ac:dyDescent="0.25">
      <c r="A955" s="77">
        <v>46095</v>
      </c>
      <c r="B955" s="25" t="s">
        <v>542</v>
      </c>
      <c r="C955" s="25" t="s">
        <v>1260</v>
      </c>
      <c r="D955" s="77">
        <f t="shared" si="294"/>
        <v>46118</v>
      </c>
      <c r="E955" s="77">
        <f t="shared" si="295"/>
        <v>46102</v>
      </c>
      <c r="F955" s="77">
        <f t="shared" si="296"/>
        <v>46109</v>
      </c>
      <c r="G955" s="77">
        <f t="shared" si="297"/>
        <v>46115</v>
      </c>
      <c r="H955" s="77">
        <f t="shared" si="298"/>
        <v>46103</v>
      </c>
      <c r="I955" s="77">
        <f t="shared" si="299"/>
        <v>46110</v>
      </c>
      <c r="J955" s="25"/>
      <c r="K955" s="25"/>
      <c r="L955" s="25"/>
      <c r="M955" s="25"/>
      <c r="N955" s="25"/>
      <c r="O955" s="25"/>
    </row>
    <row r="956" spans="1:15" x14ac:dyDescent="0.25">
      <c r="A956" s="77">
        <v>46095</v>
      </c>
      <c r="B956" s="25" t="s">
        <v>543</v>
      </c>
      <c r="C956" s="25" t="s">
        <v>1261</v>
      </c>
      <c r="D956" s="77">
        <f t="shared" si="294"/>
        <v>46118</v>
      </c>
      <c r="E956" s="77">
        <f t="shared" si="295"/>
        <v>46102</v>
      </c>
      <c r="F956" s="77">
        <f t="shared" si="296"/>
        <v>46109</v>
      </c>
      <c r="G956" s="77">
        <f t="shared" si="297"/>
        <v>46115</v>
      </c>
      <c r="H956" s="77">
        <f t="shared" si="298"/>
        <v>46103</v>
      </c>
      <c r="I956" s="77">
        <f t="shared" si="299"/>
        <v>46110</v>
      </c>
      <c r="J956" s="25"/>
      <c r="K956" s="25"/>
      <c r="L956" s="25"/>
      <c r="M956" s="25"/>
      <c r="N956" s="25"/>
      <c r="O956" s="25"/>
    </row>
    <row r="957" spans="1:15" x14ac:dyDescent="0.25">
      <c r="A957" s="77">
        <v>46095</v>
      </c>
      <c r="B957" s="25" t="s">
        <v>544</v>
      </c>
      <c r="C957" s="25" t="s">
        <v>1262</v>
      </c>
      <c r="D957" s="77">
        <f t="shared" si="294"/>
        <v>46118</v>
      </c>
      <c r="E957" s="77">
        <f t="shared" si="295"/>
        <v>46102</v>
      </c>
      <c r="F957" s="77">
        <f t="shared" si="296"/>
        <v>46109</v>
      </c>
      <c r="G957" s="77">
        <f t="shared" si="297"/>
        <v>46115</v>
      </c>
      <c r="H957" s="77">
        <f t="shared" si="298"/>
        <v>46103</v>
      </c>
      <c r="I957" s="77">
        <f t="shared" si="299"/>
        <v>46110</v>
      </c>
      <c r="J957" s="25"/>
      <c r="K957" s="25"/>
      <c r="L957" s="25"/>
      <c r="M957" s="25"/>
      <c r="N957" s="25"/>
      <c r="O957" s="25"/>
    </row>
    <row r="958" spans="1:15" x14ac:dyDescent="0.25">
      <c r="A958" s="77">
        <v>46096</v>
      </c>
      <c r="B958" s="25" t="s">
        <v>513</v>
      </c>
      <c r="C958" s="25" t="s">
        <v>1263</v>
      </c>
      <c r="D958" s="77">
        <f t="shared" si="294"/>
        <v>46119</v>
      </c>
      <c r="E958" s="77">
        <f t="shared" si="295"/>
        <v>46103</v>
      </c>
      <c r="F958" s="77">
        <f t="shared" si="296"/>
        <v>46110</v>
      </c>
      <c r="G958" s="77">
        <f t="shared" si="297"/>
        <v>46116</v>
      </c>
      <c r="H958" s="77">
        <f t="shared" si="298"/>
        <v>46104</v>
      </c>
      <c r="I958" s="77">
        <f t="shared" si="299"/>
        <v>46111</v>
      </c>
      <c r="J958" s="25"/>
      <c r="K958" s="25"/>
      <c r="L958" s="25"/>
      <c r="M958" s="25"/>
      <c r="N958" s="25"/>
      <c r="O958" s="25"/>
    </row>
    <row r="959" spans="1:15" x14ac:dyDescent="0.25">
      <c r="A959" s="77">
        <v>46096</v>
      </c>
      <c r="B959" s="25" t="s">
        <v>514</v>
      </c>
      <c r="C959" s="25" t="s">
        <v>1264</v>
      </c>
      <c r="D959" s="77">
        <f t="shared" si="294"/>
        <v>46119</v>
      </c>
      <c r="E959" s="77">
        <f t="shared" si="295"/>
        <v>46103</v>
      </c>
      <c r="F959" s="77">
        <f t="shared" si="296"/>
        <v>46110</v>
      </c>
      <c r="G959" s="77">
        <f t="shared" si="297"/>
        <v>46116</v>
      </c>
      <c r="H959" s="77">
        <f t="shared" si="298"/>
        <v>46104</v>
      </c>
      <c r="I959" s="77">
        <f t="shared" si="299"/>
        <v>46111</v>
      </c>
      <c r="J959" s="25"/>
      <c r="K959" s="25"/>
      <c r="L959" s="25"/>
      <c r="M959" s="25"/>
      <c r="N959" s="25"/>
      <c r="O959" s="25"/>
    </row>
    <row r="960" spans="1:15" x14ac:dyDescent="0.25">
      <c r="A960" s="77">
        <v>46096</v>
      </c>
      <c r="B960" s="25" t="s">
        <v>515</v>
      </c>
      <c r="C960" s="25" t="s">
        <v>1265</v>
      </c>
      <c r="D960" s="77">
        <f t="shared" si="294"/>
        <v>46119</v>
      </c>
      <c r="E960" s="77">
        <f t="shared" si="295"/>
        <v>46103</v>
      </c>
      <c r="F960" s="77">
        <f t="shared" si="296"/>
        <v>46110</v>
      </c>
      <c r="G960" s="77">
        <f t="shared" si="297"/>
        <v>46116</v>
      </c>
      <c r="H960" s="77">
        <f t="shared" si="298"/>
        <v>46104</v>
      </c>
      <c r="I960" s="77">
        <f t="shared" si="299"/>
        <v>46111</v>
      </c>
      <c r="J960" s="25"/>
      <c r="K960" s="25"/>
      <c r="L960" s="25"/>
      <c r="M960" s="25"/>
      <c r="N960" s="25"/>
      <c r="O960" s="25"/>
    </row>
    <row r="961" spans="1:15" x14ac:dyDescent="0.25">
      <c r="A961" s="77">
        <v>46096</v>
      </c>
      <c r="B961" s="25" t="s">
        <v>516</v>
      </c>
      <c r="C961" s="25" t="s">
        <v>1266</v>
      </c>
      <c r="D961" s="77">
        <f t="shared" si="294"/>
        <v>46119</v>
      </c>
      <c r="E961" s="77">
        <f t="shared" si="295"/>
        <v>46103</v>
      </c>
      <c r="F961" s="77">
        <f t="shared" si="296"/>
        <v>46110</v>
      </c>
      <c r="G961" s="77">
        <f t="shared" si="297"/>
        <v>46116</v>
      </c>
      <c r="H961" s="77">
        <f t="shared" si="298"/>
        <v>46104</v>
      </c>
      <c r="I961" s="77">
        <f t="shared" si="299"/>
        <v>46111</v>
      </c>
      <c r="J961" s="25"/>
      <c r="K961" s="25"/>
      <c r="L961" s="25"/>
      <c r="M961" s="25"/>
      <c r="N961" s="25"/>
      <c r="O961" s="25"/>
    </row>
    <row r="962" spans="1:15" x14ac:dyDescent="0.25">
      <c r="A962" s="77">
        <v>46096</v>
      </c>
      <c r="B962" s="25" t="s">
        <v>517</v>
      </c>
      <c r="C962" s="25" t="s">
        <v>1267</v>
      </c>
      <c r="D962" s="77">
        <f t="shared" si="294"/>
        <v>46119</v>
      </c>
      <c r="E962" s="77">
        <f t="shared" si="295"/>
        <v>46103</v>
      </c>
      <c r="F962" s="77">
        <f t="shared" si="296"/>
        <v>46110</v>
      </c>
      <c r="G962" s="77">
        <f t="shared" si="297"/>
        <v>46116</v>
      </c>
      <c r="H962" s="77">
        <f t="shared" si="298"/>
        <v>46104</v>
      </c>
      <c r="I962" s="77">
        <f t="shared" si="299"/>
        <v>46111</v>
      </c>
      <c r="J962" s="25"/>
      <c r="K962" s="25"/>
      <c r="L962" s="25"/>
      <c r="M962" s="25"/>
      <c r="N962" s="25"/>
      <c r="O962" s="25"/>
    </row>
    <row r="963" spans="1:15" x14ac:dyDescent="0.25">
      <c r="A963" s="77">
        <v>46096</v>
      </c>
      <c r="B963" s="25" t="s">
        <v>518</v>
      </c>
      <c r="C963" s="25" t="s">
        <v>1268</v>
      </c>
      <c r="D963" s="77">
        <f t="shared" si="294"/>
        <v>46119</v>
      </c>
      <c r="E963" s="77">
        <f t="shared" si="295"/>
        <v>46103</v>
      </c>
      <c r="F963" s="77">
        <f t="shared" si="296"/>
        <v>46110</v>
      </c>
      <c r="G963" s="77">
        <f t="shared" si="297"/>
        <v>46116</v>
      </c>
      <c r="H963" s="77">
        <f t="shared" si="298"/>
        <v>46104</v>
      </c>
      <c r="I963" s="77">
        <f t="shared" si="299"/>
        <v>46111</v>
      </c>
      <c r="J963" s="25"/>
      <c r="K963" s="25"/>
      <c r="L963" s="25"/>
      <c r="M963" s="25"/>
      <c r="N963" s="25"/>
      <c r="O963" s="25"/>
    </row>
    <row r="964" spans="1:15" x14ac:dyDescent="0.25">
      <c r="A964" s="77">
        <v>46096</v>
      </c>
      <c r="B964" s="25" t="s">
        <v>519</v>
      </c>
      <c r="C964" s="25" t="s">
        <v>1269</v>
      </c>
      <c r="D964" s="77">
        <f t="shared" si="294"/>
        <v>46119</v>
      </c>
      <c r="E964" s="77">
        <f t="shared" si="295"/>
        <v>46103</v>
      </c>
      <c r="F964" s="77">
        <f t="shared" si="296"/>
        <v>46110</v>
      </c>
      <c r="G964" s="77">
        <f t="shared" si="297"/>
        <v>46116</v>
      </c>
      <c r="H964" s="77">
        <f t="shared" si="298"/>
        <v>46104</v>
      </c>
      <c r="I964" s="77">
        <f t="shared" si="299"/>
        <v>46111</v>
      </c>
      <c r="J964" s="25"/>
      <c r="K964" s="25"/>
      <c r="L964" s="25"/>
      <c r="M964" s="25"/>
      <c r="N964" s="25"/>
      <c r="O964" s="25"/>
    </row>
    <row r="965" spans="1:15" x14ac:dyDescent="0.25">
      <c r="A965" s="77">
        <v>46097</v>
      </c>
      <c r="B965" s="25" t="s">
        <v>527</v>
      </c>
      <c r="C965" s="25" t="s">
        <v>1277</v>
      </c>
      <c r="D965" s="77">
        <f t="shared" si="294"/>
        <v>46120</v>
      </c>
      <c r="E965" s="77">
        <f t="shared" si="295"/>
        <v>46104</v>
      </c>
      <c r="F965" s="77">
        <f t="shared" si="296"/>
        <v>46111</v>
      </c>
      <c r="G965" s="77">
        <f t="shared" si="297"/>
        <v>46117</v>
      </c>
      <c r="H965" s="77">
        <f t="shared" si="298"/>
        <v>46105</v>
      </c>
      <c r="I965" s="77">
        <f t="shared" si="299"/>
        <v>46112</v>
      </c>
      <c r="J965" s="25"/>
      <c r="K965" s="25"/>
      <c r="L965" s="25"/>
      <c r="M965" s="25"/>
      <c r="N965" s="25"/>
      <c r="O965" s="25"/>
    </row>
    <row r="966" spans="1:15" x14ac:dyDescent="0.25">
      <c r="A966" s="77">
        <v>46097</v>
      </c>
      <c r="B966" s="25" t="s">
        <v>528</v>
      </c>
      <c r="C966" s="25" t="s">
        <v>1278</v>
      </c>
      <c r="D966" s="77">
        <f t="shared" si="294"/>
        <v>46120</v>
      </c>
      <c r="E966" s="77">
        <f t="shared" si="295"/>
        <v>46104</v>
      </c>
      <c r="F966" s="77">
        <f t="shared" si="296"/>
        <v>46111</v>
      </c>
      <c r="G966" s="77">
        <f t="shared" si="297"/>
        <v>46117</v>
      </c>
      <c r="H966" s="77">
        <f t="shared" si="298"/>
        <v>46105</v>
      </c>
      <c r="I966" s="77">
        <f t="shared" si="299"/>
        <v>46112</v>
      </c>
      <c r="J966" s="25"/>
      <c r="K966" s="25"/>
      <c r="L966" s="25"/>
      <c r="M966" s="25"/>
      <c r="N966" s="25"/>
      <c r="O966" s="25"/>
    </row>
    <row r="967" spans="1:15" x14ac:dyDescent="0.25">
      <c r="A967" s="77">
        <v>46097</v>
      </c>
      <c r="B967" s="25" t="s">
        <v>529</v>
      </c>
      <c r="C967" s="25" t="s">
        <v>1279</v>
      </c>
      <c r="D967" s="77">
        <f t="shared" si="294"/>
        <v>46120</v>
      </c>
      <c r="E967" s="77">
        <f t="shared" si="295"/>
        <v>46104</v>
      </c>
      <c r="F967" s="77">
        <f t="shared" si="296"/>
        <v>46111</v>
      </c>
      <c r="G967" s="77">
        <f t="shared" si="297"/>
        <v>46117</v>
      </c>
      <c r="H967" s="77">
        <f t="shared" si="298"/>
        <v>46105</v>
      </c>
      <c r="I967" s="77">
        <f t="shared" si="299"/>
        <v>46112</v>
      </c>
      <c r="J967" s="25"/>
      <c r="K967" s="25"/>
      <c r="L967" s="25"/>
      <c r="M967" s="25"/>
      <c r="N967" s="25"/>
      <c r="O967" s="25"/>
    </row>
    <row r="968" spans="1:15" x14ac:dyDescent="0.25">
      <c r="A968" s="77">
        <v>46097</v>
      </c>
      <c r="B968" s="25" t="s">
        <v>530</v>
      </c>
      <c r="C968" s="25" t="s">
        <v>1280</v>
      </c>
      <c r="D968" s="77">
        <f t="shared" si="294"/>
        <v>46120</v>
      </c>
      <c r="E968" s="77">
        <f t="shared" si="295"/>
        <v>46104</v>
      </c>
      <c r="F968" s="77">
        <f t="shared" si="296"/>
        <v>46111</v>
      </c>
      <c r="G968" s="77">
        <f t="shared" si="297"/>
        <v>46117</v>
      </c>
      <c r="H968" s="77">
        <f t="shared" si="298"/>
        <v>46105</v>
      </c>
      <c r="I968" s="77">
        <f t="shared" si="299"/>
        <v>46112</v>
      </c>
      <c r="J968" s="25"/>
      <c r="K968" s="25"/>
      <c r="L968" s="25"/>
      <c r="M968" s="25"/>
      <c r="N968" s="25"/>
      <c r="O968" s="25"/>
    </row>
    <row r="969" spans="1:15" x14ac:dyDescent="0.25">
      <c r="A969" s="77">
        <v>46097</v>
      </c>
      <c r="B969" s="25" t="s">
        <v>531</v>
      </c>
      <c r="C969" s="25" t="s">
        <v>1281</v>
      </c>
      <c r="D969" s="77">
        <f t="shared" si="294"/>
        <v>46120</v>
      </c>
      <c r="E969" s="77">
        <f t="shared" si="295"/>
        <v>46104</v>
      </c>
      <c r="F969" s="77">
        <f t="shared" si="296"/>
        <v>46111</v>
      </c>
      <c r="G969" s="77">
        <f t="shared" si="297"/>
        <v>46117</v>
      </c>
      <c r="H969" s="77">
        <f t="shared" si="298"/>
        <v>46105</v>
      </c>
      <c r="I969" s="77">
        <f t="shared" si="299"/>
        <v>46112</v>
      </c>
      <c r="J969" s="25"/>
      <c r="K969" s="25"/>
      <c r="L969" s="25"/>
      <c r="M969" s="25"/>
      <c r="N969" s="25"/>
      <c r="O969" s="25"/>
    </row>
    <row r="970" spans="1:15" x14ac:dyDescent="0.25">
      <c r="A970" s="77">
        <v>46097</v>
      </c>
      <c r="B970" s="25" t="s">
        <v>532</v>
      </c>
      <c r="C970" s="25" t="s">
        <v>1282</v>
      </c>
      <c r="D970" s="77">
        <f t="shared" si="294"/>
        <v>46120</v>
      </c>
      <c r="E970" s="77">
        <f t="shared" si="295"/>
        <v>46104</v>
      </c>
      <c r="F970" s="77">
        <f t="shared" si="296"/>
        <v>46111</v>
      </c>
      <c r="G970" s="77">
        <f t="shared" si="297"/>
        <v>46117</v>
      </c>
      <c r="H970" s="77">
        <f t="shared" si="298"/>
        <v>46105</v>
      </c>
      <c r="I970" s="77">
        <f t="shared" si="299"/>
        <v>46112</v>
      </c>
      <c r="J970" s="25"/>
      <c r="K970" s="25"/>
      <c r="L970" s="25"/>
      <c r="M970" s="25"/>
      <c r="N970" s="25"/>
      <c r="O970" s="25"/>
    </row>
    <row r="971" spans="1:15" x14ac:dyDescent="0.25">
      <c r="A971" s="77">
        <v>46097</v>
      </c>
      <c r="B971" s="25" t="s">
        <v>533</v>
      </c>
      <c r="C971" s="25" t="s">
        <v>1283</v>
      </c>
      <c r="D971" s="77">
        <f t="shared" si="294"/>
        <v>46120</v>
      </c>
      <c r="E971" s="77">
        <f t="shared" si="295"/>
        <v>46104</v>
      </c>
      <c r="F971" s="77">
        <f t="shared" si="296"/>
        <v>46111</v>
      </c>
      <c r="G971" s="77">
        <f t="shared" si="297"/>
        <v>46117</v>
      </c>
      <c r="H971" s="77">
        <f t="shared" si="298"/>
        <v>46105</v>
      </c>
      <c r="I971" s="77">
        <f t="shared" si="299"/>
        <v>46112</v>
      </c>
      <c r="J971" s="25"/>
      <c r="K971" s="25"/>
      <c r="L971" s="25"/>
      <c r="M971" s="25"/>
      <c r="N971" s="25"/>
      <c r="O971" s="25"/>
    </row>
    <row r="972" spans="1:15" x14ac:dyDescent="0.25">
      <c r="A972" s="77">
        <v>46098</v>
      </c>
      <c r="B972" s="25" t="s">
        <v>520</v>
      </c>
      <c r="C972" s="25" t="s">
        <v>1270</v>
      </c>
      <c r="D972" s="77">
        <f t="shared" si="294"/>
        <v>46121</v>
      </c>
      <c r="E972" s="77">
        <f t="shared" si="295"/>
        <v>46105</v>
      </c>
      <c r="F972" s="77">
        <f t="shared" si="296"/>
        <v>46112</v>
      </c>
      <c r="G972" s="77">
        <f t="shared" si="297"/>
        <v>46118</v>
      </c>
      <c r="H972" s="77">
        <f t="shared" si="298"/>
        <v>46106</v>
      </c>
      <c r="I972" s="77">
        <f t="shared" si="299"/>
        <v>46113</v>
      </c>
      <c r="J972" s="25"/>
      <c r="K972" s="25"/>
      <c r="L972" s="25"/>
      <c r="M972" s="25"/>
      <c r="N972" s="25"/>
      <c r="O972" s="25"/>
    </row>
    <row r="973" spans="1:15" x14ac:dyDescent="0.25">
      <c r="A973" s="77">
        <v>46098</v>
      </c>
      <c r="B973" s="25" t="s">
        <v>521</v>
      </c>
      <c r="C973" s="25" t="s">
        <v>1271</v>
      </c>
      <c r="D973" s="77">
        <f t="shared" si="294"/>
        <v>46121</v>
      </c>
      <c r="E973" s="77">
        <f t="shared" si="295"/>
        <v>46105</v>
      </c>
      <c r="F973" s="77">
        <f t="shared" si="296"/>
        <v>46112</v>
      </c>
      <c r="G973" s="77">
        <f t="shared" si="297"/>
        <v>46118</v>
      </c>
      <c r="H973" s="77">
        <f t="shared" si="298"/>
        <v>46106</v>
      </c>
      <c r="I973" s="77">
        <f t="shared" si="299"/>
        <v>46113</v>
      </c>
      <c r="J973" s="25"/>
      <c r="K973" s="25"/>
      <c r="L973" s="25"/>
      <c r="M973" s="25"/>
      <c r="N973" s="25"/>
      <c r="O973" s="25"/>
    </row>
    <row r="974" spans="1:15" x14ac:dyDescent="0.25">
      <c r="A974" s="77">
        <v>46098</v>
      </c>
      <c r="B974" s="25" t="s">
        <v>522</v>
      </c>
      <c r="C974" s="25" t="s">
        <v>1272</v>
      </c>
      <c r="D974" s="77">
        <f t="shared" si="294"/>
        <v>46121</v>
      </c>
      <c r="E974" s="77">
        <f t="shared" si="295"/>
        <v>46105</v>
      </c>
      <c r="F974" s="77">
        <f t="shared" si="296"/>
        <v>46112</v>
      </c>
      <c r="G974" s="77">
        <f t="shared" si="297"/>
        <v>46118</v>
      </c>
      <c r="H974" s="77">
        <f t="shared" si="298"/>
        <v>46106</v>
      </c>
      <c r="I974" s="77">
        <f t="shared" si="299"/>
        <v>46113</v>
      </c>
      <c r="J974" s="25"/>
      <c r="K974" s="25"/>
      <c r="L974" s="25"/>
      <c r="M974" s="25"/>
      <c r="N974" s="25"/>
      <c r="O974" s="25"/>
    </row>
    <row r="975" spans="1:15" x14ac:dyDescent="0.25">
      <c r="A975" s="77">
        <v>46098</v>
      </c>
      <c r="B975" s="25" t="s">
        <v>523</v>
      </c>
      <c r="C975" s="25" t="s">
        <v>1273</v>
      </c>
      <c r="D975" s="77">
        <f t="shared" si="294"/>
        <v>46121</v>
      </c>
      <c r="E975" s="77">
        <f t="shared" si="295"/>
        <v>46105</v>
      </c>
      <c r="F975" s="77">
        <f t="shared" si="296"/>
        <v>46112</v>
      </c>
      <c r="G975" s="77">
        <f t="shared" si="297"/>
        <v>46118</v>
      </c>
      <c r="H975" s="77">
        <f t="shared" si="298"/>
        <v>46106</v>
      </c>
      <c r="I975" s="77">
        <f t="shared" si="299"/>
        <v>46113</v>
      </c>
      <c r="J975" s="25"/>
      <c r="K975" s="25"/>
      <c r="L975" s="25"/>
      <c r="M975" s="25"/>
      <c r="N975" s="25"/>
      <c r="O975" s="25"/>
    </row>
    <row r="976" spans="1:15" x14ac:dyDescent="0.25">
      <c r="A976" s="77">
        <v>46098</v>
      </c>
      <c r="B976" s="25" t="s">
        <v>524</v>
      </c>
      <c r="C976" s="25" t="s">
        <v>1274</v>
      </c>
      <c r="D976" s="77">
        <f t="shared" si="294"/>
        <v>46121</v>
      </c>
      <c r="E976" s="77">
        <f t="shared" si="295"/>
        <v>46105</v>
      </c>
      <c r="F976" s="77">
        <f t="shared" si="296"/>
        <v>46112</v>
      </c>
      <c r="G976" s="77">
        <f t="shared" si="297"/>
        <v>46118</v>
      </c>
      <c r="H976" s="77">
        <f t="shared" si="298"/>
        <v>46106</v>
      </c>
      <c r="I976" s="77">
        <f t="shared" si="299"/>
        <v>46113</v>
      </c>
      <c r="J976" s="25"/>
      <c r="K976" s="25"/>
      <c r="L976" s="25"/>
      <c r="M976" s="25"/>
      <c r="N976" s="25"/>
      <c r="O976" s="25"/>
    </row>
    <row r="977" spans="1:15" x14ac:dyDescent="0.25">
      <c r="A977" s="77">
        <v>46098</v>
      </c>
      <c r="B977" s="25" t="s">
        <v>525</v>
      </c>
      <c r="C977" s="25" t="s">
        <v>1275</v>
      </c>
      <c r="D977" s="77">
        <f t="shared" si="294"/>
        <v>46121</v>
      </c>
      <c r="E977" s="77">
        <f t="shared" si="295"/>
        <v>46105</v>
      </c>
      <c r="F977" s="77">
        <f t="shared" si="296"/>
        <v>46112</v>
      </c>
      <c r="G977" s="77">
        <f t="shared" si="297"/>
        <v>46118</v>
      </c>
      <c r="H977" s="77">
        <f t="shared" si="298"/>
        <v>46106</v>
      </c>
      <c r="I977" s="77">
        <f t="shared" si="299"/>
        <v>46113</v>
      </c>
      <c r="J977" s="25"/>
      <c r="K977" s="25"/>
      <c r="L977" s="25"/>
      <c r="M977" s="25"/>
      <c r="N977" s="25"/>
      <c r="O977" s="25"/>
    </row>
    <row r="978" spans="1:15" x14ac:dyDescent="0.25">
      <c r="A978" s="77">
        <v>46098</v>
      </c>
      <c r="B978" s="25" t="s">
        <v>526</v>
      </c>
      <c r="C978" s="25" t="s">
        <v>1276</v>
      </c>
      <c r="D978" s="77">
        <f t="shared" si="294"/>
        <v>46121</v>
      </c>
      <c r="E978" s="77">
        <f t="shared" si="295"/>
        <v>46105</v>
      </c>
      <c r="F978" s="77">
        <f t="shared" si="296"/>
        <v>46112</v>
      </c>
      <c r="G978" s="77">
        <f t="shared" si="297"/>
        <v>46118</v>
      </c>
      <c r="H978" s="77">
        <f t="shared" si="298"/>
        <v>46106</v>
      </c>
      <c r="I978" s="77">
        <f t="shared" si="299"/>
        <v>46113</v>
      </c>
      <c r="J978" s="25"/>
      <c r="K978" s="25"/>
      <c r="L978" s="25"/>
      <c r="M978" s="25"/>
      <c r="N978" s="25"/>
      <c r="O978" s="25"/>
    </row>
    <row r="979" spans="1:15" x14ac:dyDescent="0.25">
      <c r="A979" s="77">
        <v>46099</v>
      </c>
      <c r="B979" s="25" t="s">
        <v>359</v>
      </c>
      <c r="C979" s="25" t="s">
        <v>1284</v>
      </c>
      <c r="D979" s="77">
        <f t="shared" ref="D979:D1042" si="300">A979+23</f>
        <v>46122</v>
      </c>
      <c r="E979" s="77">
        <f t="shared" ref="E979:E1042" si="301">A979+7</f>
        <v>46106</v>
      </c>
      <c r="F979" s="77">
        <f t="shared" ref="F979:F1042" si="302">A979+14</f>
        <v>46113</v>
      </c>
      <c r="G979" s="77">
        <f t="shared" ref="G979:G1042" si="303">A979+20</f>
        <v>46119</v>
      </c>
      <c r="H979" s="77">
        <f t="shared" ref="H979:H1042" si="304">A979+8</f>
        <v>46107</v>
      </c>
      <c r="I979" s="77">
        <f t="shared" ref="I979:I1042" si="305">A979+15</f>
        <v>46114</v>
      </c>
      <c r="J979" s="25"/>
      <c r="K979" s="25"/>
      <c r="L979" s="25"/>
      <c r="M979" s="25"/>
      <c r="N979" s="25"/>
      <c r="O979" s="25"/>
    </row>
    <row r="980" spans="1:15" x14ac:dyDescent="0.25">
      <c r="A980" s="77">
        <v>46099</v>
      </c>
      <c r="B980" s="25" t="s">
        <v>360</v>
      </c>
      <c r="C980" s="25" t="s">
        <v>1285</v>
      </c>
      <c r="D980" s="77">
        <f t="shared" si="300"/>
        <v>46122</v>
      </c>
      <c r="E980" s="77">
        <f t="shared" si="301"/>
        <v>46106</v>
      </c>
      <c r="F980" s="77">
        <f t="shared" si="302"/>
        <v>46113</v>
      </c>
      <c r="G980" s="77">
        <f t="shared" si="303"/>
        <v>46119</v>
      </c>
      <c r="H980" s="77">
        <f t="shared" si="304"/>
        <v>46107</v>
      </c>
      <c r="I980" s="77">
        <f t="shared" si="305"/>
        <v>46114</v>
      </c>
      <c r="J980" s="25"/>
      <c r="K980" s="25"/>
      <c r="L980" s="25"/>
      <c r="M980" s="25"/>
      <c r="N980" s="25"/>
      <c r="O980" s="25"/>
    </row>
    <row r="981" spans="1:15" x14ac:dyDescent="0.25">
      <c r="A981" s="77">
        <v>46099</v>
      </c>
      <c r="B981" s="25" t="s">
        <v>361</v>
      </c>
      <c r="C981" s="25" t="s">
        <v>1286</v>
      </c>
      <c r="D981" s="77">
        <f t="shared" si="300"/>
        <v>46122</v>
      </c>
      <c r="E981" s="77">
        <f t="shared" si="301"/>
        <v>46106</v>
      </c>
      <c r="F981" s="77">
        <f t="shared" si="302"/>
        <v>46113</v>
      </c>
      <c r="G981" s="77">
        <f t="shared" si="303"/>
        <v>46119</v>
      </c>
      <c r="H981" s="77">
        <f t="shared" si="304"/>
        <v>46107</v>
      </c>
      <c r="I981" s="77">
        <f t="shared" si="305"/>
        <v>46114</v>
      </c>
      <c r="J981" s="25"/>
      <c r="K981" s="25"/>
      <c r="L981" s="25"/>
      <c r="M981" s="25"/>
      <c r="N981" s="25"/>
      <c r="O981" s="25"/>
    </row>
    <row r="982" spans="1:15" x14ac:dyDescent="0.25">
      <c r="A982" s="77">
        <v>46099</v>
      </c>
      <c r="B982" s="25" t="s">
        <v>362</v>
      </c>
      <c r="C982" s="25" t="s">
        <v>1287</v>
      </c>
      <c r="D982" s="77">
        <f t="shared" si="300"/>
        <v>46122</v>
      </c>
      <c r="E982" s="77">
        <f t="shared" si="301"/>
        <v>46106</v>
      </c>
      <c r="F982" s="77">
        <f t="shared" si="302"/>
        <v>46113</v>
      </c>
      <c r="G982" s="77">
        <f t="shared" si="303"/>
        <v>46119</v>
      </c>
      <c r="H982" s="77">
        <f t="shared" si="304"/>
        <v>46107</v>
      </c>
      <c r="I982" s="77">
        <f t="shared" si="305"/>
        <v>46114</v>
      </c>
      <c r="J982" s="25"/>
      <c r="K982" s="25"/>
      <c r="L982" s="25"/>
      <c r="M982" s="25"/>
      <c r="N982" s="25"/>
      <c r="O982" s="25"/>
    </row>
    <row r="983" spans="1:15" x14ac:dyDescent="0.25">
      <c r="A983" s="77">
        <v>46099</v>
      </c>
      <c r="B983" s="25" t="s">
        <v>363</v>
      </c>
      <c r="C983" s="25" t="s">
        <v>1288</v>
      </c>
      <c r="D983" s="77">
        <f t="shared" si="300"/>
        <v>46122</v>
      </c>
      <c r="E983" s="77">
        <f t="shared" si="301"/>
        <v>46106</v>
      </c>
      <c r="F983" s="77">
        <f t="shared" si="302"/>
        <v>46113</v>
      </c>
      <c r="G983" s="77">
        <f t="shared" si="303"/>
        <v>46119</v>
      </c>
      <c r="H983" s="77">
        <f t="shared" si="304"/>
        <v>46107</v>
      </c>
      <c r="I983" s="77">
        <f t="shared" si="305"/>
        <v>46114</v>
      </c>
      <c r="J983" s="25"/>
      <c r="K983" s="25"/>
      <c r="L983" s="25"/>
      <c r="M983" s="25"/>
      <c r="N983" s="25"/>
      <c r="O983" s="25"/>
    </row>
    <row r="984" spans="1:15" x14ac:dyDescent="0.25">
      <c r="A984" s="77">
        <v>46099</v>
      </c>
      <c r="B984" s="25" t="s">
        <v>364</v>
      </c>
      <c r="C984" s="25" t="s">
        <v>1289</v>
      </c>
      <c r="D984" s="77">
        <f t="shared" si="300"/>
        <v>46122</v>
      </c>
      <c r="E984" s="77">
        <f t="shared" si="301"/>
        <v>46106</v>
      </c>
      <c r="F984" s="77">
        <f t="shared" si="302"/>
        <v>46113</v>
      </c>
      <c r="G984" s="77">
        <f t="shared" si="303"/>
        <v>46119</v>
      </c>
      <c r="H984" s="77">
        <f t="shared" si="304"/>
        <v>46107</v>
      </c>
      <c r="I984" s="77">
        <f t="shared" si="305"/>
        <v>46114</v>
      </c>
      <c r="J984" s="25"/>
      <c r="K984" s="25"/>
      <c r="L984" s="25"/>
      <c r="M984" s="25"/>
      <c r="N984" s="25"/>
      <c r="O984" s="25"/>
    </row>
    <row r="985" spans="1:15" x14ac:dyDescent="0.25">
      <c r="A985" s="77">
        <v>46099</v>
      </c>
      <c r="B985" s="25" t="s">
        <v>365</v>
      </c>
      <c r="C985" s="25" t="s">
        <v>1290</v>
      </c>
      <c r="D985" s="77">
        <f t="shared" si="300"/>
        <v>46122</v>
      </c>
      <c r="E985" s="77">
        <f t="shared" si="301"/>
        <v>46106</v>
      </c>
      <c r="F985" s="77">
        <f t="shared" si="302"/>
        <v>46113</v>
      </c>
      <c r="G985" s="77">
        <f t="shared" si="303"/>
        <v>46119</v>
      </c>
      <c r="H985" s="77">
        <f t="shared" si="304"/>
        <v>46107</v>
      </c>
      <c r="I985" s="77">
        <f t="shared" si="305"/>
        <v>46114</v>
      </c>
      <c r="J985" s="25"/>
      <c r="K985" s="25"/>
      <c r="L985" s="25"/>
      <c r="M985" s="25"/>
      <c r="N985" s="25"/>
      <c r="O985" s="25"/>
    </row>
    <row r="986" spans="1:15" x14ac:dyDescent="0.25">
      <c r="A986" s="77">
        <v>46100</v>
      </c>
      <c r="B986" s="25" t="s">
        <v>379</v>
      </c>
      <c r="C986" s="25" t="s">
        <v>1291</v>
      </c>
      <c r="D986" s="77">
        <f t="shared" si="300"/>
        <v>46123</v>
      </c>
      <c r="E986" s="77">
        <f t="shared" si="301"/>
        <v>46107</v>
      </c>
      <c r="F986" s="77">
        <f t="shared" si="302"/>
        <v>46114</v>
      </c>
      <c r="G986" s="77">
        <f t="shared" si="303"/>
        <v>46120</v>
      </c>
      <c r="H986" s="77">
        <f t="shared" si="304"/>
        <v>46108</v>
      </c>
      <c r="I986" s="77">
        <f t="shared" si="305"/>
        <v>46115</v>
      </c>
      <c r="J986" s="25"/>
      <c r="K986" s="25"/>
      <c r="L986" s="25"/>
      <c r="M986" s="25"/>
      <c r="N986" s="25"/>
      <c r="O986" s="25"/>
    </row>
    <row r="987" spans="1:15" x14ac:dyDescent="0.25">
      <c r="A987" s="77">
        <v>46100</v>
      </c>
      <c r="B987" s="25" t="s">
        <v>380</v>
      </c>
      <c r="C987" s="25" t="s">
        <v>1292</v>
      </c>
      <c r="D987" s="77">
        <f t="shared" si="300"/>
        <v>46123</v>
      </c>
      <c r="E987" s="77">
        <f t="shared" si="301"/>
        <v>46107</v>
      </c>
      <c r="F987" s="77">
        <f t="shared" si="302"/>
        <v>46114</v>
      </c>
      <c r="G987" s="77">
        <f t="shared" si="303"/>
        <v>46120</v>
      </c>
      <c r="H987" s="77">
        <f t="shared" si="304"/>
        <v>46108</v>
      </c>
      <c r="I987" s="77">
        <f t="shared" si="305"/>
        <v>46115</v>
      </c>
      <c r="J987" s="25"/>
      <c r="K987" s="25"/>
      <c r="L987" s="25"/>
      <c r="M987" s="25"/>
      <c r="N987" s="25"/>
      <c r="O987" s="25"/>
    </row>
    <row r="988" spans="1:15" x14ac:dyDescent="0.25">
      <c r="A988" s="77">
        <v>46100</v>
      </c>
      <c r="B988" s="25" t="s">
        <v>381</v>
      </c>
      <c r="C988" s="25" t="s">
        <v>1293</v>
      </c>
      <c r="D988" s="77">
        <f t="shared" si="300"/>
        <v>46123</v>
      </c>
      <c r="E988" s="77">
        <f t="shared" si="301"/>
        <v>46107</v>
      </c>
      <c r="F988" s="77">
        <f t="shared" si="302"/>
        <v>46114</v>
      </c>
      <c r="G988" s="77">
        <f t="shared" si="303"/>
        <v>46120</v>
      </c>
      <c r="H988" s="77">
        <f t="shared" si="304"/>
        <v>46108</v>
      </c>
      <c r="I988" s="77">
        <f t="shared" si="305"/>
        <v>46115</v>
      </c>
      <c r="J988" s="25"/>
      <c r="K988" s="25"/>
      <c r="L988" s="25"/>
      <c r="M988" s="25"/>
      <c r="N988" s="25"/>
      <c r="O988" s="25"/>
    </row>
    <row r="989" spans="1:15" x14ac:dyDescent="0.25">
      <c r="A989" s="77">
        <v>46100</v>
      </c>
      <c r="B989" s="25" t="s">
        <v>382</v>
      </c>
      <c r="C989" s="25" t="s">
        <v>1294</v>
      </c>
      <c r="D989" s="77">
        <f t="shared" si="300"/>
        <v>46123</v>
      </c>
      <c r="E989" s="77">
        <f t="shared" si="301"/>
        <v>46107</v>
      </c>
      <c r="F989" s="77">
        <f t="shared" si="302"/>
        <v>46114</v>
      </c>
      <c r="G989" s="77">
        <f t="shared" si="303"/>
        <v>46120</v>
      </c>
      <c r="H989" s="77">
        <f t="shared" si="304"/>
        <v>46108</v>
      </c>
      <c r="I989" s="77">
        <f t="shared" si="305"/>
        <v>46115</v>
      </c>
      <c r="J989" s="25"/>
      <c r="K989" s="25"/>
      <c r="L989" s="25"/>
      <c r="M989" s="25"/>
      <c r="N989" s="25"/>
      <c r="O989" s="25"/>
    </row>
    <row r="990" spans="1:15" x14ac:dyDescent="0.25">
      <c r="A990" s="77">
        <v>46100</v>
      </c>
      <c r="B990" s="25" t="s">
        <v>383</v>
      </c>
      <c r="C990" s="25" t="s">
        <v>1295</v>
      </c>
      <c r="D990" s="77">
        <f t="shared" si="300"/>
        <v>46123</v>
      </c>
      <c r="E990" s="77">
        <f t="shared" si="301"/>
        <v>46107</v>
      </c>
      <c r="F990" s="77">
        <f t="shared" si="302"/>
        <v>46114</v>
      </c>
      <c r="G990" s="77">
        <f t="shared" si="303"/>
        <v>46120</v>
      </c>
      <c r="H990" s="77">
        <f t="shared" si="304"/>
        <v>46108</v>
      </c>
      <c r="I990" s="77">
        <f t="shared" si="305"/>
        <v>46115</v>
      </c>
      <c r="J990" s="25"/>
      <c r="K990" s="25"/>
      <c r="L990" s="25"/>
      <c r="M990" s="25"/>
      <c r="N990" s="25"/>
      <c r="O990" s="25"/>
    </row>
    <row r="991" spans="1:15" x14ac:dyDescent="0.25">
      <c r="A991" s="77">
        <v>46100</v>
      </c>
      <c r="B991" s="25" t="s">
        <v>384</v>
      </c>
      <c r="C991" s="25" t="s">
        <v>1296</v>
      </c>
      <c r="D991" s="77">
        <f t="shared" si="300"/>
        <v>46123</v>
      </c>
      <c r="E991" s="77">
        <f t="shared" si="301"/>
        <v>46107</v>
      </c>
      <c r="F991" s="77">
        <f t="shared" si="302"/>
        <v>46114</v>
      </c>
      <c r="G991" s="77">
        <f t="shared" si="303"/>
        <v>46120</v>
      </c>
      <c r="H991" s="77">
        <f t="shared" si="304"/>
        <v>46108</v>
      </c>
      <c r="I991" s="77">
        <f t="shared" si="305"/>
        <v>46115</v>
      </c>
      <c r="J991" s="25"/>
      <c r="K991" s="25"/>
      <c r="L991" s="25"/>
      <c r="M991" s="25"/>
      <c r="N991" s="25"/>
      <c r="O991" s="25"/>
    </row>
    <row r="992" spans="1:15" x14ac:dyDescent="0.25">
      <c r="A992" s="77">
        <v>46100</v>
      </c>
      <c r="B992" s="25" t="s">
        <v>385</v>
      </c>
      <c r="C992" s="25" t="s">
        <v>1297</v>
      </c>
      <c r="D992" s="77">
        <f t="shared" si="300"/>
        <v>46123</v>
      </c>
      <c r="E992" s="77">
        <f t="shared" si="301"/>
        <v>46107</v>
      </c>
      <c r="F992" s="77">
        <f t="shared" si="302"/>
        <v>46114</v>
      </c>
      <c r="G992" s="77">
        <f t="shared" si="303"/>
        <v>46120</v>
      </c>
      <c r="H992" s="77">
        <f t="shared" si="304"/>
        <v>46108</v>
      </c>
      <c r="I992" s="77">
        <f t="shared" si="305"/>
        <v>46115</v>
      </c>
      <c r="J992" s="25"/>
      <c r="K992" s="25"/>
      <c r="L992" s="25"/>
      <c r="M992" s="25"/>
      <c r="N992" s="25"/>
      <c r="O992" s="25"/>
    </row>
    <row r="993" spans="1:15" x14ac:dyDescent="0.25">
      <c r="A993" s="77">
        <v>46101</v>
      </c>
      <c r="B993" s="25" t="s">
        <v>366</v>
      </c>
      <c r="C993" s="25" t="s">
        <v>1298</v>
      </c>
      <c r="D993" s="77">
        <f t="shared" si="300"/>
        <v>46124</v>
      </c>
      <c r="E993" s="77">
        <f t="shared" si="301"/>
        <v>46108</v>
      </c>
      <c r="F993" s="77">
        <f t="shared" si="302"/>
        <v>46115</v>
      </c>
      <c r="G993" s="77">
        <f t="shared" si="303"/>
        <v>46121</v>
      </c>
      <c r="H993" s="77">
        <f t="shared" si="304"/>
        <v>46109</v>
      </c>
      <c r="I993" s="77">
        <f t="shared" si="305"/>
        <v>46116</v>
      </c>
      <c r="J993" s="25"/>
      <c r="K993" s="25"/>
      <c r="L993" s="25"/>
      <c r="M993" s="25"/>
      <c r="N993" s="25"/>
      <c r="O993" s="25"/>
    </row>
    <row r="994" spans="1:15" x14ac:dyDescent="0.25">
      <c r="A994" s="77">
        <v>46101</v>
      </c>
      <c r="B994" s="25" t="s">
        <v>367</v>
      </c>
      <c r="C994" s="25" t="s">
        <v>1299</v>
      </c>
      <c r="D994" s="77">
        <f t="shared" si="300"/>
        <v>46124</v>
      </c>
      <c r="E994" s="77">
        <f t="shared" si="301"/>
        <v>46108</v>
      </c>
      <c r="F994" s="77">
        <f t="shared" si="302"/>
        <v>46115</v>
      </c>
      <c r="G994" s="77">
        <f t="shared" si="303"/>
        <v>46121</v>
      </c>
      <c r="H994" s="77">
        <f t="shared" si="304"/>
        <v>46109</v>
      </c>
      <c r="I994" s="77">
        <f t="shared" si="305"/>
        <v>46116</v>
      </c>
      <c r="J994" s="25"/>
      <c r="K994" s="25"/>
      <c r="L994" s="25"/>
      <c r="M994" s="25"/>
      <c r="N994" s="25"/>
      <c r="O994" s="25"/>
    </row>
    <row r="995" spans="1:15" x14ac:dyDescent="0.25">
      <c r="A995" s="77">
        <v>46101</v>
      </c>
      <c r="B995" s="25" t="s">
        <v>368</v>
      </c>
      <c r="C995" s="25" t="s">
        <v>1300</v>
      </c>
      <c r="D995" s="77">
        <f t="shared" si="300"/>
        <v>46124</v>
      </c>
      <c r="E995" s="77">
        <f t="shared" si="301"/>
        <v>46108</v>
      </c>
      <c r="F995" s="77">
        <f t="shared" si="302"/>
        <v>46115</v>
      </c>
      <c r="G995" s="77">
        <f t="shared" si="303"/>
        <v>46121</v>
      </c>
      <c r="H995" s="77">
        <f t="shared" si="304"/>
        <v>46109</v>
      </c>
      <c r="I995" s="77">
        <f t="shared" si="305"/>
        <v>46116</v>
      </c>
      <c r="J995" s="25"/>
      <c r="K995" s="25"/>
      <c r="L995" s="25"/>
      <c r="M995" s="25"/>
      <c r="N995" s="25"/>
      <c r="O995" s="25"/>
    </row>
    <row r="996" spans="1:15" x14ac:dyDescent="0.25">
      <c r="A996" s="77">
        <v>46101</v>
      </c>
      <c r="B996" s="25" t="s">
        <v>369</v>
      </c>
      <c r="C996" s="25" t="s">
        <v>1301</v>
      </c>
      <c r="D996" s="77">
        <f t="shared" si="300"/>
        <v>46124</v>
      </c>
      <c r="E996" s="77">
        <f t="shared" si="301"/>
        <v>46108</v>
      </c>
      <c r="F996" s="77">
        <f t="shared" si="302"/>
        <v>46115</v>
      </c>
      <c r="G996" s="77">
        <f t="shared" si="303"/>
        <v>46121</v>
      </c>
      <c r="H996" s="77">
        <f t="shared" si="304"/>
        <v>46109</v>
      </c>
      <c r="I996" s="77">
        <f t="shared" si="305"/>
        <v>46116</v>
      </c>
      <c r="J996" s="25"/>
      <c r="K996" s="25"/>
      <c r="L996" s="25"/>
      <c r="M996" s="25"/>
      <c r="N996" s="25"/>
      <c r="O996" s="25"/>
    </row>
    <row r="997" spans="1:15" x14ac:dyDescent="0.25">
      <c r="A997" s="77">
        <v>46101</v>
      </c>
      <c r="B997" s="25" t="s">
        <v>370</v>
      </c>
      <c r="C997" s="25" t="s">
        <v>1302</v>
      </c>
      <c r="D997" s="77">
        <f t="shared" si="300"/>
        <v>46124</v>
      </c>
      <c r="E997" s="77">
        <f t="shared" si="301"/>
        <v>46108</v>
      </c>
      <c r="F997" s="77">
        <f t="shared" si="302"/>
        <v>46115</v>
      </c>
      <c r="G997" s="77">
        <f t="shared" si="303"/>
        <v>46121</v>
      </c>
      <c r="H997" s="77">
        <f t="shared" si="304"/>
        <v>46109</v>
      </c>
      <c r="I997" s="77">
        <f t="shared" si="305"/>
        <v>46116</v>
      </c>
      <c r="J997" s="25"/>
      <c r="K997" s="25"/>
      <c r="L997" s="25"/>
      <c r="M997" s="25"/>
      <c r="N997" s="25"/>
      <c r="O997" s="25"/>
    </row>
    <row r="998" spans="1:15" x14ac:dyDescent="0.25">
      <c r="A998" s="77">
        <v>46101</v>
      </c>
      <c r="B998" s="25" t="s">
        <v>371</v>
      </c>
      <c r="C998" s="25" t="s">
        <v>1303</v>
      </c>
      <c r="D998" s="77">
        <f t="shared" si="300"/>
        <v>46124</v>
      </c>
      <c r="E998" s="77">
        <f t="shared" si="301"/>
        <v>46108</v>
      </c>
      <c r="F998" s="77">
        <f t="shared" si="302"/>
        <v>46115</v>
      </c>
      <c r="G998" s="77">
        <f t="shared" si="303"/>
        <v>46121</v>
      </c>
      <c r="H998" s="77">
        <f t="shared" si="304"/>
        <v>46109</v>
      </c>
      <c r="I998" s="77">
        <f t="shared" si="305"/>
        <v>46116</v>
      </c>
      <c r="J998" s="25"/>
      <c r="K998" s="25"/>
      <c r="L998" s="25"/>
      <c r="M998" s="25"/>
      <c r="N998" s="25"/>
      <c r="O998" s="25"/>
    </row>
    <row r="999" spans="1:15" x14ac:dyDescent="0.25">
      <c r="A999" s="77">
        <v>46101</v>
      </c>
      <c r="B999" s="25" t="s">
        <v>372</v>
      </c>
      <c r="C999" s="25" t="s">
        <v>1304</v>
      </c>
      <c r="D999" s="77">
        <f t="shared" si="300"/>
        <v>46124</v>
      </c>
      <c r="E999" s="77">
        <f t="shared" si="301"/>
        <v>46108</v>
      </c>
      <c r="F999" s="77">
        <f t="shared" si="302"/>
        <v>46115</v>
      </c>
      <c r="G999" s="77">
        <f t="shared" si="303"/>
        <v>46121</v>
      </c>
      <c r="H999" s="77">
        <f t="shared" si="304"/>
        <v>46109</v>
      </c>
      <c r="I999" s="77">
        <f t="shared" si="305"/>
        <v>46116</v>
      </c>
      <c r="J999" s="25"/>
      <c r="K999" s="25"/>
      <c r="L999" s="25"/>
      <c r="M999" s="25"/>
      <c r="N999" s="25"/>
      <c r="O999" s="25"/>
    </row>
    <row r="1000" spans="1:15" x14ac:dyDescent="0.25">
      <c r="A1000" s="77">
        <v>46102</v>
      </c>
      <c r="B1000" s="25" t="s">
        <v>386</v>
      </c>
      <c r="C1000" s="25" t="s">
        <v>1305</v>
      </c>
      <c r="D1000" s="77">
        <f t="shared" si="300"/>
        <v>46125</v>
      </c>
      <c r="E1000" s="77">
        <f t="shared" si="301"/>
        <v>46109</v>
      </c>
      <c r="F1000" s="77">
        <f t="shared" si="302"/>
        <v>46116</v>
      </c>
      <c r="G1000" s="77">
        <f t="shared" si="303"/>
        <v>46122</v>
      </c>
      <c r="H1000" s="77">
        <f t="shared" si="304"/>
        <v>46110</v>
      </c>
      <c r="I1000" s="77">
        <f t="shared" si="305"/>
        <v>46117</v>
      </c>
      <c r="J1000" s="25"/>
      <c r="K1000" s="25"/>
      <c r="L1000" s="25"/>
      <c r="M1000" s="25"/>
      <c r="N1000" s="25"/>
      <c r="O1000" s="25"/>
    </row>
    <row r="1001" spans="1:15" x14ac:dyDescent="0.25">
      <c r="A1001" s="77">
        <v>46102</v>
      </c>
      <c r="B1001" s="25" t="s">
        <v>387</v>
      </c>
      <c r="C1001" s="25" t="s">
        <v>1306</v>
      </c>
      <c r="D1001" s="77">
        <f t="shared" si="300"/>
        <v>46125</v>
      </c>
      <c r="E1001" s="77">
        <f t="shared" si="301"/>
        <v>46109</v>
      </c>
      <c r="F1001" s="77">
        <f t="shared" si="302"/>
        <v>46116</v>
      </c>
      <c r="G1001" s="77">
        <f t="shared" si="303"/>
        <v>46122</v>
      </c>
      <c r="H1001" s="77">
        <f t="shared" si="304"/>
        <v>46110</v>
      </c>
      <c r="I1001" s="77">
        <f t="shared" si="305"/>
        <v>46117</v>
      </c>
      <c r="J1001" s="25"/>
      <c r="K1001" s="25"/>
      <c r="L1001" s="25"/>
      <c r="M1001" s="25"/>
      <c r="N1001" s="25"/>
      <c r="O1001" s="25"/>
    </row>
    <row r="1002" spans="1:15" x14ac:dyDescent="0.25">
      <c r="A1002" s="77">
        <v>46102</v>
      </c>
      <c r="B1002" s="25" t="s">
        <v>388</v>
      </c>
      <c r="C1002" s="25" t="s">
        <v>1307</v>
      </c>
      <c r="D1002" s="77">
        <f t="shared" si="300"/>
        <v>46125</v>
      </c>
      <c r="E1002" s="77">
        <f t="shared" si="301"/>
        <v>46109</v>
      </c>
      <c r="F1002" s="77">
        <f t="shared" si="302"/>
        <v>46116</v>
      </c>
      <c r="G1002" s="77">
        <f t="shared" si="303"/>
        <v>46122</v>
      </c>
      <c r="H1002" s="77">
        <f t="shared" si="304"/>
        <v>46110</v>
      </c>
      <c r="I1002" s="77">
        <f t="shared" si="305"/>
        <v>46117</v>
      </c>
      <c r="J1002" s="25"/>
      <c r="K1002" s="25"/>
      <c r="L1002" s="25"/>
      <c r="M1002" s="25"/>
      <c r="N1002" s="25"/>
      <c r="O1002" s="25"/>
    </row>
    <row r="1003" spans="1:15" x14ac:dyDescent="0.25">
      <c r="A1003" s="77">
        <v>46102</v>
      </c>
      <c r="B1003" s="25" t="s">
        <v>389</v>
      </c>
      <c r="C1003" s="25" t="s">
        <v>1308</v>
      </c>
      <c r="D1003" s="77">
        <f t="shared" si="300"/>
        <v>46125</v>
      </c>
      <c r="E1003" s="77">
        <f t="shared" si="301"/>
        <v>46109</v>
      </c>
      <c r="F1003" s="77">
        <f t="shared" si="302"/>
        <v>46116</v>
      </c>
      <c r="G1003" s="77">
        <f t="shared" si="303"/>
        <v>46122</v>
      </c>
      <c r="H1003" s="77">
        <f t="shared" si="304"/>
        <v>46110</v>
      </c>
      <c r="I1003" s="77">
        <f t="shared" si="305"/>
        <v>46117</v>
      </c>
      <c r="J1003" s="25"/>
      <c r="K1003" s="25"/>
      <c r="L1003" s="25"/>
      <c r="M1003" s="25"/>
      <c r="N1003" s="25"/>
      <c r="O1003" s="25"/>
    </row>
    <row r="1004" spans="1:15" x14ac:dyDescent="0.25">
      <c r="A1004" s="77">
        <v>46102</v>
      </c>
      <c r="B1004" s="25" t="s">
        <v>390</v>
      </c>
      <c r="C1004" s="25" t="s">
        <v>1309</v>
      </c>
      <c r="D1004" s="77">
        <f t="shared" si="300"/>
        <v>46125</v>
      </c>
      <c r="E1004" s="77">
        <f t="shared" si="301"/>
        <v>46109</v>
      </c>
      <c r="F1004" s="77">
        <f t="shared" si="302"/>
        <v>46116</v>
      </c>
      <c r="G1004" s="77">
        <f t="shared" si="303"/>
        <v>46122</v>
      </c>
      <c r="H1004" s="77">
        <f t="shared" si="304"/>
        <v>46110</v>
      </c>
      <c r="I1004" s="77">
        <f t="shared" si="305"/>
        <v>46117</v>
      </c>
      <c r="J1004" s="25"/>
      <c r="K1004" s="25"/>
      <c r="L1004" s="25"/>
      <c r="M1004" s="25"/>
      <c r="N1004" s="25"/>
      <c r="O1004" s="25"/>
    </row>
    <row r="1005" spans="1:15" x14ac:dyDescent="0.25">
      <c r="A1005" s="77">
        <v>46102</v>
      </c>
      <c r="B1005" s="25" t="s">
        <v>391</v>
      </c>
      <c r="C1005" s="25" t="s">
        <v>1310</v>
      </c>
      <c r="D1005" s="77">
        <f t="shared" si="300"/>
        <v>46125</v>
      </c>
      <c r="E1005" s="77">
        <f t="shared" si="301"/>
        <v>46109</v>
      </c>
      <c r="F1005" s="77">
        <f t="shared" si="302"/>
        <v>46116</v>
      </c>
      <c r="G1005" s="77">
        <f t="shared" si="303"/>
        <v>46122</v>
      </c>
      <c r="H1005" s="77">
        <f t="shared" si="304"/>
        <v>46110</v>
      </c>
      <c r="I1005" s="77">
        <f t="shared" si="305"/>
        <v>46117</v>
      </c>
      <c r="J1005" s="25"/>
      <c r="K1005" s="25"/>
      <c r="L1005" s="25"/>
      <c r="M1005" s="25"/>
      <c r="N1005" s="25"/>
      <c r="O1005" s="25"/>
    </row>
    <row r="1006" spans="1:15" x14ac:dyDescent="0.25">
      <c r="A1006" s="77">
        <v>46102</v>
      </c>
      <c r="B1006" s="25" t="s">
        <v>392</v>
      </c>
      <c r="C1006" s="25" t="s">
        <v>1311</v>
      </c>
      <c r="D1006" s="77">
        <f t="shared" si="300"/>
        <v>46125</v>
      </c>
      <c r="E1006" s="77">
        <f t="shared" si="301"/>
        <v>46109</v>
      </c>
      <c r="F1006" s="77">
        <f t="shared" si="302"/>
        <v>46116</v>
      </c>
      <c r="G1006" s="77">
        <f t="shared" si="303"/>
        <v>46122</v>
      </c>
      <c r="H1006" s="77">
        <f t="shared" si="304"/>
        <v>46110</v>
      </c>
      <c r="I1006" s="77">
        <f t="shared" si="305"/>
        <v>46117</v>
      </c>
      <c r="J1006" s="25"/>
      <c r="K1006" s="25"/>
      <c r="L1006" s="25"/>
      <c r="M1006" s="25"/>
      <c r="N1006" s="25"/>
      <c r="O1006" s="25"/>
    </row>
    <row r="1007" spans="1:15" x14ac:dyDescent="0.25">
      <c r="A1007" s="77">
        <v>46103</v>
      </c>
      <c r="B1007" s="25" t="s">
        <v>373</v>
      </c>
      <c r="C1007" s="25" t="s">
        <v>1312</v>
      </c>
      <c r="D1007" s="77">
        <f t="shared" si="300"/>
        <v>46126</v>
      </c>
      <c r="E1007" s="77">
        <f t="shared" si="301"/>
        <v>46110</v>
      </c>
      <c r="F1007" s="77">
        <f t="shared" si="302"/>
        <v>46117</v>
      </c>
      <c r="G1007" s="77">
        <f t="shared" si="303"/>
        <v>46123</v>
      </c>
      <c r="H1007" s="77">
        <f t="shared" si="304"/>
        <v>46111</v>
      </c>
      <c r="I1007" s="77">
        <f t="shared" si="305"/>
        <v>46118</v>
      </c>
      <c r="J1007" s="25"/>
      <c r="K1007" s="25"/>
      <c r="L1007" s="25"/>
      <c r="M1007" s="25"/>
      <c r="N1007" s="25"/>
      <c r="O1007" s="25"/>
    </row>
    <row r="1008" spans="1:15" x14ac:dyDescent="0.25">
      <c r="A1008" s="77">
        <v>46103</v>
      </c>
      <c r="B1008" s="25" t="s">
        <v>374</v>
      </c>
      <c r="C1008" s="25" t="s">
        <v>1313</v>
      </c>
      <c r="D1008" s="77">
        <f t="shared" si="300"/>
        <v>46126</v>
      </c>
      <c r="E1008" s="77">
        <f t="shared" si="301"/>
        <v>46110</v>
      </c>
      <c r="F1008" s="77">
        <f t="shared" si="302"/>
        <v>46117</v>
      </c>
      <c r="G1008" s="77">
        <f t="shared" si="303"/>
        <v>46123</v>
      </c>
      <c r="H1008" s="77">
        <f t="shared" si="304"/>
        <v>46111</v>
      </c>
      <c r="I1008" s="77">
        <f t="shared" si="305"/>
        <v>46118</v>
      </c>
      <c r="J1008" s="25"/>
      <c r="K1008" s="25"/>
      <c r="L1008" s="25"/>
      <c r="M1008" s="25"/>
      <c r="N1008" s="25"/>
      <c r="O1008" s="25"/>
    </row>
    <row r="1009" spans="1:15" x14ac:dyDescent="0.25">
      <c r="A1009" s="77">
        <v>46103</v>
      </c>
      <c r="B1009" s="25" t="s">
        <v>375</v>
      </c>
      <c r="C1009" s="25" t="s">
        <v>1314</v>
      </c>
      <c r="D1009" s="77">
        <f t="shared" si="300"/>
        <v>46126</v>
      </c>
      <c r="E1009" s="77">
        <f t="shared" si="301"/>
        <v>46110</v>
      </c>
      <c r="F1009" s="77">
        <f t="shared" si="302"/>
        <v>46117</v>
      </c>
      <c r="G1009" s="77">
        <f t="shared" si="303"/>
        <v>46123</v>
      </c>
      <c r="H1009" s="77">
        <f t="shared" si="304"/>
        <v>46111</v>
      </c>
      <c r="I1009" s="77">
        <f t="shared" si="305"/>
        <v>46118</v>
      </c>
      <c r="J1009" s="25"/>
      <c r="K1009" s="25"/>
      <c r="L1009" s="25"/>
      <c r="M1009" s="25"/>
      <c r="N1009" s="25"/>
      <c r="O1009" s="25"/>
    </row>
    <row r="1010" spans="1:15" x14ac:dyDescent="0.25">
      <c r="A1010" s="77">
        <v>46103</v>
      </c>
      <c r="B1010" s="25" t="s">
        <v>376</v>
      </c>
      <c r="C1010" s="25" t="s">
        <v>1315</v>
      </c>
      <c r="D1010" s="77">
        <f t="shared" si="300"/>
        <v>46126</v>
      </c>
      <c r="E1010" s="77">
        <f t="shared" si="301"/>
        <v>46110</v>
      </c>
      <c r="F1010" s="77">
        <f t="shared" si="302"/>
        <v>46117</v>
      </c>
      <c r="G1010" s="77">
        <f t="shared" si="303"/>
        <v>46123</v>
      </c>
      <c r="H1010" s="77">
        <f t="shared" si="304"/>
        <v>46111</v>
      </c>
      <c r="I1010" s="77">
        <f t="shared" si="305"/>
        <v>46118</v>
      </c>
      <c r="J1010" s="25"/>
      <c r="K1010" s="25"/>
      <c r="L1010" s="25"/>
      <c r="M1010" s="25"/>
      <c r="N1010" s="25"/>
      <c r="O1010" s="25"/>
    </row>
    <row r="1011" spans="1:15" x14ac:dyDescent="0.25">
      <c r="A1011" s="77">
        <v>46103</v>
      </c>
      <c r="B1011" s="25" t="s">
        <v>377</v>
      </c>
      <c r="C1011" s="25" t="s">
        <v>1316</v>
      </c>
      <c r="D1011" s="77">
        <f t="shared" si="300"/>
        <v>46126</v>
      </c>
      <c r="E1011" s="77">
        <f t="shared" si="301"/>
        <v>46110</v>
      </c>
      <c r="F1011" s="77">
        <f t="shared" si="302"/>
        <v>46117</v>
      </c>
      <c r="G1011" s="77">
        <f t="shared" si="303"/>
        <v>46123</v>
      </c>
      <c r="H1011" s="77">
        <f t="shared" si="304"/>
        <v>46111</v>
      </c>
      <c r="I1011" s="77">
        <f t="shared" si="305"/>
        <v>46118</v>
      </c>
      <c r="J1011" s="25"/>
      <c r="K1011" s="25"/>
      <c r="L1011" s="25"/>
      <c r="M1011" s="25"/>
      <c r="N1011" s="25"/>
      <c r="O1011" s="25"/>
    </row>
    <row r="1012" spans="1:15" x14ac:dyDescent="0.25">
      <c r="A1012" s="77">
        <v>46103</v>
      </c>
      <c r="B1012" s="25" t="s">
        <v>393</v>
      </c>
      <c r="C1012" s="25" t="s">
        <v>1317</v>
      </c>
      <c r="D1012" s="77">
        <f t="shared" si="300"/>
        <v>46126</v>
      </c>
      <c r="E1012" s="77">
        <f t="shared" si="301"/>
        <v>46110</v>
      </c>
      <c r="F1012" s="77">
        <f t="shared" si="302"/>
        <v>46117</v>
      </c>
      <c r="G1012" s="77">
        <f t="shared" si="303"/>
        <v>46123</v>
      </c>
      <c r="H1012" s="77">
        <f t="shared" si="304"/>
        <v>46111</v>
      </c>
      <c r="I1012" s="77">
        <f t="shared" si="305"/>
        <v>46118</v>
      </c>
      <c r="J1012" s="25"/>
      <c r="K1012" s="25"/>
      <c r="L1012" s="25"/>
      <c r="M1012" s="25"/>
      <c r="N1012" s="25"/>
      <c r="O1012" s="25"/>
    </row>
    <row r="1013" spans="1:15" x14ac:dyDescent="0.25">
      <c r="A1013" s="77">
        <v>46103</v>
      </c>
      <c r="B1013" s="25" t="s">
        <v>394</v>
      </c>
      <c r="C1013" s="25" t="s">
        <v>1318</v>
      </c>
      <c r="D1013" s="77">
        <f t="shared" si="300"/>
        <v>46126</v>
      </c>
      <c r="E1013" s="77">
        <f t="shared" si="301"/>
        <v>46110</v>
      </c>
      <c r="F1013" s="77">
        <f t="shared" si="302"/>
        <v>46117</v>
      </c>
      <c r="G1013" s="77">
        <f t="shared" si="303"/>
        <v>46123</v>
      </c>
      <c r="H1013" s="77">
        <f t="shared" si="304"/>
        <v>46111</v>
      </c>
      <c r="I1013" s="77">
        <f t="shared" si="305"/>
        <v>46118</v>
      </c>
      <c r="J1013" s="25"/>
      <c r="K1013" s="25"/>
      <c r="L1013" s="25"/>
      <c r="M1013" s="25"/>
      <c r="N1013" s="25"/>
      <c r="O1013" s="25"/>
    </row>
    <row r="1014" spans="1:15" x14ac:dyDescent="0.25">
      <c r="A1014" s="77">
        <v>46104</v>
      </c>
      <c r="B1014" s="25" t="s">
        <v>395</v>
      </c>
      <c r="C1014" s="25" t="s">
        <v>1327</v>
      </c>
      <c r="D1014" s="77">
        <f t="shared" si="300"/>
        <v>46127</v>
      </c>
      <c r="E1014" s="77">
        <f t="shared" si="301"/>
        <v>46111</v>
      </c>
      <c r="F1014" s="77">
        <f t="shared" si="302"/>
        <v>46118</v>
      </c>
      <c r="G1014" s="77">
        <f t="shared" si="303"/>
        <v>46124</v>
      </c>
      <c r="H1014" s="77">
        <f t="shared" si="304"/>
        <v>46112</v>
      </c>
      <c r="I1014" s="77">
        <f t="shared" si="305"/>
        <v>46119</v>
      </c>
      <c r="J1014" s="25"/>
      <c r="K1014" s="25"/>
      <c r="L1014" s="25"/>
      <c r="M1014" s="25"/>
      <c r="N1014" s="25"/>
      <c r="O1014" s="25"/>
    </row>
    <row r="1015" spans="1:15" x14ac:dyDescent="0.25">
      <c r="A1015" s="77">
        <v>46104</v>
      </c>
      <c r="B1015" s="25" t="s">
        <v>396</v>
      </c>
      <c r="C1015" s="25" t="s">
        <v>1328</v>
      </c>
      <c r="D1015" s="77">
        <f t="shared" si="300"/>
        <v>46127</v>
      </c>
      <c r="E1015" s="77">
        <f t="shared" si="301"/>
        <v>46111</v>
      </c>
      <c r="F1015" s="77">
        <f t="shared" si="302"/>
        <v>46118</v>
      </c>
      <c r="G1015" s="77">
        <f t="shared" si="303"/>
        <v>46124</v>
      </c>
      <c r="H1015" s="77">
        <f t="shared" si="304"/>
        <v>46112</v>
      </c>
      <c r="I1015" s="77">
        <f t="shared" si="305"/>
        <v>46119</v>
      </c>
      <c r="J1015" s="25"/>
      <c r="K1015" s="25"/>
      <c r="L1015" s="25"/>
      <c r="M1015" s="25"/>
      <c r="N1015" s="25"/>
      <c r="O1015" s="25"/>
    </row>
    <row r="1016" spans="1:15" x14ac:dyDescent="0.25">
      <c r="A1016" s="77">
        <v>46104</v>
      </c>
      <c r="B1016" s="25" t="s">
        <v>397</v>
      </c>
      <c r="C1016" s="25" t="s">
        <v>1329</v>
      </c>
      <c r="D1016" s="77">
        <f t="shared" si="300"/>
        <v>46127</v>
      </c>
      <c r="E1016" s="77">
        <f t="shared" si="301"/>
        <v>46111</v>
      </c>
      <c r="F1016" s="77">
        <f t="shared" si="302"/>
        <v>46118</v>
      </c>
      <c r="G1016" s="77">
        <f t="shared" si="303"/>
        <v>46124</v>
      </c>
      <c r="H1016" s="77">
        <f t="shared" si="304"/>
        <v>46112</v>
      </c>
      <c r="I1016" s="77">
        <f t="shared" si="305"/>
        <v>46119</v>
      </c>
      <c r="J1016" s="25"/>
      <c r="K1016" s="25"/>
      <c r="L1016" s="25"/>
      <c r="M1016" s="25"/>
      <c r="N1016" s="25"/>
      <c r="O1016" s="25"/>
    </row>
    <row r="1017" spans="1:15" x14ac:dyDescent="0.25">
      <c r="A1017" s="77">
        <v>46104</v>
      </c>
      <c r="B1017" s="25" t="s">
        <v>408</v>
      </c>
      <c r="C1017" s="25" t="s">
        <v>1323</v>
      </c>
      <c r="D1017" s="77">
        <f t="shared" si="300"/>
        <v>46127</v>
      </c>
      <c r="E1017" s="77">
        <f t="shared" si="301"/>
        <v>46111</v>
      </c>
      <c r="F1017" s="77">
        <f t="shared" si="302"/>
        <v>46118</v>
      </c>
      <c r="G1017" s="77">
        <f t="shared" si="303"/>
        <v>46124</v>
      </c>
      <c r="H1017" s="77">
        <f t="shared" si="304"/>
        <v>46112</v>
      </c>
      <c r="I1017" s="77">
        <f t="shared" si="305"/>
        <v>46119</v>
      </c>
      <c r="J1017" s="25"/>
      <c r="K1017" s="25"/>
      <c r="L1017" s="25"/>
      <c r="M1017" s="25"/>
      <c r="N1017" s="25"/>
      <c r="O1017" s="25"/>
    </row>
    <row r="1018" spans="1:15" x14ac:dyDescent="0.25">
      <c r="A1018" s="77">
        <v>46104</v>
      </c>
      <c r="B1018" s="25" t="s">
        <v>409</v>
      </c>
      <c r="C1018" s="25" t="s">
        <v>1324</v>
      </c>
      <c r="D1018" s="77">
        <f t="shared" si="300"/>
        <v>46127</v>
      </c>
      <c r="E1018" s="77">
        <f t="shared" si="301"/>
        <v>46111</v>
      </c>
      <c r="F1018" s="77">
        <f t="shared" si="302"/>
        <v>46118</v>
      </c>
      <c r="G1018" s="77">
        <f t="shared" si="303"/>
        <v>46124</v>
      </c>
      <c r="H1018" s="77">
        <f t="shared" si="304"/>
        <v>46112</v>
      </c>
      <c r="I1018" s="77">
        <f t="shared" si="305"/>
        <v>46119</v>
      </c>
      <c r="J1018" s="25"/>
      <c r="K1018" s="25"/>
      <c r="L1018" s="25"/>
      <c r="M1018" s="25"/>
      <c r="N1018" s="25"/>
      <c r="O1018" s="25"/>
    </row>
    <row r="1019" spans="1:15" x14ac:dyDescent="0.25">
      <c r="A1019" s="77">
        <v>46104</v>
      </c>
      <c r="B1019" s="25" t="s">
        <v>410</v>
      </c>
      <c r="C1019" s="25" t="s">
        <v>1325</v>
      </c>
      <c r="D1019" s="77">
        <f t="shared" si="300"/>
        <v>46127</v>
      </c>
      <c r="E1019" s="77">
        <f t="shared" si="301"/>
        <v>46111</v>
      </c>
      <c r="F1019" s="77">
        <f t="shared" si="302"/>
        <v>46118</v>
      </c>
      <c r="G1019" s="77">
        <f t="shared" si="303"/>
        <v>46124</v>
      </c>
      <c r="H1019" s="77">
        <f t="shared" si="304"/>
        <v>46112</v>
      </c>
      <c r="I1019" s="77">
        <f t="shared" si="305"/>
        <v>46119</v>
      </c>
      <c r="J1019" s="25"/>
      <c r="K1019" s="25"/>
      <c r="L1019" s="25"/>
      <c r="M1019" s="25"/>
      <c r="N1019" s="25"/>
      <c r="O1019" s="25"/>
    </row>
    <row r="1020" spans="1:15" x14ac:dyDescent="0.25">
      <c r="A1020" s="77">
        <v>46104</v>
      </c>
      <c r="B1020" s="25" t="s">
        <v>411</v>
      </c>
      <c r="C1020" s="25" t="s">
        <v>1326</v>
      </c>
      <c r="D1020" s="77">
        <f t="shared" si="300"/>
        <v>46127</v>
      </c>
      <c r="E1020" s="77">
        <f t="shared" si="301"/>
        <v>46111</v>
      </c>
      <c r="F1020" s="77">
        <f t="shared" si="302"/>
        <v>46118</v>
      </c>
      <c r="G1020" s="77">
        <f t="shared" si="303"/>
        <v>46124</v>
      </c>
      <c r="H1020" s="77">
        <f t="shared" si="304"/>
        <v>46112</v>
      </c>
      <c r="I1020" s="77">
        <f t="shared" si="305"/>
        <v>46119</v>
      </c>
      <c r="J1020" s="25"/>
      <c r="K1020" s="25"/>
      <c r="L1020" s="25"/>
      <c r="M1020" s="25"/>
      <c r="N1020" s="25"/>
      <c r="O1020" s="25"/>
    </row>
    <row r="1021" spans="1:15" x14ac:dyDescent="0.25">
      <c r="A1021" s="77">
        <v>46105</v>
      </c>
      <c r="B1021" s="25" t="s">
        <v>401</v>
      </c>
      <c r="C1021" s="25" t="s">
        <v>1330</v>
      </c>
      <c r="D1021" s="77">
        <f t="shared" si="300"/>
        <v>46128</v>
      </c>
      <c r="E1021" s="77">
        <f t="shared" si="301"/>
        <v>46112</v>
      </c>
      <c r="F1021" s="77">
        <f t="shared" si="302"/>
        <v>46119</v>
      </c>
      <c r="G1021" s="77">
        <f t="shared" si="303"/>
        <v>46125</v>
      </c>
      <c r="H1021" s="77">
        <f t="shared" si="304"/>
        <v>46113</v>
      </c>
      <c r="I1021" s="77">
        <f t="shared" si="305"/>
        <v>46120</v>
      </c>
      <c r="J1021" s="25"/>
      <c r="K1021" s="25"/>
      <c r="L1021" s="25"/>
      <c r="M1021" s="25"/>
      <c r="N1021" s="25"/>
      <c r="O1021" s="25"/>
    </row>
    <row r="1022" spans="1:15" x14ac:dyDescent="0.25">
      <c r="A1022" s="77">
        <v>46105</v>
      </c>
      <c r="B1022" s="25" t="s">
        <v>402</v>
      </c>
      <c r="C1022" s="25" t="s">
        <v>1331</v>
      </c>
      <c r="D1022" s="77">
        <f t="shared" si="300"/>
        <v>46128</v>
      </c>
      <c r="E1022" s="77">
        <f t="shared" si="301"/>
        <v>46112</v>
      </c>
      <c r="F1022" s="77">
        <f t="shared" si="302"/>
        <v>46119</v>
      </c>
      <c r="G1022" s="77">
        <f t="shared" si="303"/>
        <v>46125</v>
      </c>
      <c r="H1022" s="77">
        <f t="shared" si="304"/>
        <v>46113</v>
      </c>
      <c r="I1022" s="77">
        <f t="shared" si="305"/>
        <v>46120</v>
      </c>
      <c r="J1022" s="25"/>
      <c r="K1022" s="25"/>
      <c r="L1022" s="25"/>
      <c r="M1022" s="25"/>
      <c r="N1022" s="25"/>
      <c r="O1022" s="25"/>
    </row>
    <row r="1023" spans="1:15" x14ac:dyDescent="0.25">
      <c r="A1023" s="77">
        <v>46105</v>
      </c>
      <c r="B1023" s="25" t="s">
        <v>403</v>
      </c>
      <c r="C1023" s="25" t="s">
        <v>1332</v>
      </c>
      <c r="D1023" s="77">
        <f t="shared" si="300"/>
        <v>46128</v>
      </c>
      <c r="E1023" s="77">
        <f t="shared" si="301"/>
        <v>46112</v>
      </c>
      <c r="F1023" s="77">
        <f t="shared" si="302"/>
        <v>46119</v>
      </c>
      <c r="G1023" s="77">
        <f t="shared" si="303"/>
        <v>46125</v>
      </c>
      <c r="H1023" s="77">
        <f t="shared" si="304"/>
        <v>46113</v>
      </c>
      <c r="I1023" s="77">
        <f t="shared" si="305"/>
        <v>46120</v>
      </c>
      <c r="J1023" s="25"/>
      <c r="K1023" s="25"/>
      <c r="L1023" s="25"/>
      <c r="M1023" s="25"/>
      <c r="N1023" s="25"/>
      <c r="O1023" s="25"/>
    </row>
    <row r="1024" spans="1:15" x14ac:dyDescent="0.25">
      <c r="A1024" s="77">
        <v>46105</v>
      </c>
      <c r="B1024" s="25" t="s">
        <v>404</v>
      </c>
      <c r="C1024" s="25" t="s">
        <v>1319</v>
      </c>
      <c r="D1024" s="77">
        <f t="shared" si="300"/>
        <v>46128</v>
      </c>
      <c r="E1024" s="77">
        <f t="shared" si="301"/>
        <v>46112</v>
      </c>
      <c r="F1024" s="77">
        <f t="shared" si="302"/>
        <v>46119</v>
      </c>
      <c r="G1024" s="77">
        <f t="shared" si="303"/>
        <v>46125</v>
      </c>
      <c r="H1024" s="77">
        <f t="shared" si="304"/>
        <v>46113</v>
      </c>
      <c r="I1024" s="77">
        <f t="shared" si="305"/>
        <v>46120</v>
      </c>
      <c r="J1024" s="25"/>
      <c r="K1024" s="25"/>
      <c r="L1024" s="25"/>
      <c r="M1024" s="25"/>
      <c r="N1024" s="25"/>
      <c r="O1024" s="25"/>
    </row>
    <row r="1025" spans="1:15" x14ac:dyDescent="0.25">
      <c r="A1025" s="77">
        <v>46105</v>
      </c>
      <c r="B1025" s="25" t="s">
        <v>405</v>
      </c>
      <c r="C1025" s="25" t="s">
        <v>1320</v>
      </c>
      <c r="D1025" s="77">
        <f t="shared" si="300"/>
        <v>46128</v>
      </c>
      <c r="E1025" s="77">
        <f t="shared" si="301"/>
        <v>46112</v>
      </c>
      <c r="F1025" s="77">
        <f t="shared" si="302"/>
        <v>46119</v>
      </c>
      <c r="G1025" s="77">
        <f t="shared" si="303"/>
        <v>46125</v>
      </c>
      <c r="H1025" s="77">
        <f t="shared" si="304"/>
        <v>46113</v>
      </c>
      <c r="I1025" s="77">
        <f t="shared" si="305"/>
        <v>46120</v>
      </c>
      <c r="J1025" s="25"/>
      <c r="K1025" s="25"/>
      <c r="L1025" s="25"/>
      <c r="M1025" s="25"/>
      <c r="N1025" s="25"/>
      <c r="O1025" s="25"/>
    </row>
    <row r="1026" spans="1:15" x14ac:dyDescent="0.25">
      <c r="A1026" s="77">
        <v>46105</v>
      </c>
      <c r="B1026" s="25" t="s">
        <v>406</v>
      </c>
      <c r="C1026" s="25" t="s">
        <v>1321</v>
      </c>
      <c r="D1026" s="77">
        <f t="shared" si="300"/>
        <v>46128</v>
      </c>
      <c r="E1026" s="77">
        <f t="shared" si="301"/>
        <v>46112</v>
      </c>
      <c r="F1026" s="77">
        <f t="shared" si="302"/>
        <v>46119</v>
      </c>
      <c r="G1026" s="77">
        <f t="shared" si="303"/>
        <v>46125</v>
      </c>
      <c r="H1026" s="77">
        <f t="shared" si="304"/>
        <v>46113</v>
      </c>
      <c r="I1026" s="77">
        <f t="shared" si="305"/>
        <v>46120</v>
      </c>
      <c r="J1026" s="25"/>
      <c r="K1026" s="25"/>
      <c r="L1026" s="25"/>
      <c r="M1026" s="25"/>
      <c r="N1026" s="25"/>
      <c r="O1026" s="25"/>
    </row>
    <row r="1027" spans="1:15" x14ac:dyDescent="0.25">
      <c r="A1027" s="77">
        <v>46105</v>
      </c>
      <c r="B1027" s="25" t="s">
        <v>407</v>
      </c>
      <c r="C1027" s="25" t="s">
        <v>1322</v>
      </c>
      <c r="D1027" s="77">
        <f t="shared" si="300"/>
        <v>46128</v>
      </c>
      <c r="E1027" s="77">
        <f t="shared" si="301"/>
        <v>46112</v>
      </c>
      <c r="F1027" s="77">
        <f t="shared" si="302"/>
        <v>46119</v>
      </c>
      <c r="G1027" s="77">
        <f t="shared" si="303"/>
        <v>46125</v>
      </c>
      <c r="H1027" s="77">
        <f t="shared" si="304"/>
        <v>46113</v>
      </c>
      <c r="I1027" s="77">
        <f t="shared" si="305"/>
        <v>46120</v>
      </c>
      <c r="J1027" s="25"/>
      <c r="K1027" s="25"/>
      <c r="L1027" s="25"/>
      <c r="M1027" s="25"/>
      <c r="N1027" s="25"/>
      <c r="O1027" s="25"/>
    </row>
    <row r="1028" spans="1:15" x14ac:dyDescent="0.25">
      <c r="A1028" s="77">
        <v>46106</v>
      </c>
      <c r="B1028" s="25" t="s">
        <v>428</v>
      </c>
      <c r="C1028" s="25" t="s">
        <v>1340</v>
      </c>
      <c r="D1028" s="77">
        <f t="shared" si="300"/>
        <v>46129</v>
      </c>
      <c r="E1028" s="77">
        <f t="shared" si="301"/>
        <v>46113</v>
      </c>
      <c r="F1028" s="77">
        <f t="shared" si="302"/>
        <v>46120</v>
      </c>
      <c r="G1028" s="77">
        <f t="shared" si="303"/>
        <v>46126</v>
      </c>
      <c r="H1028" s="77">
        <f t="shared" si="304"/>
        <v>46114</v>
      </c>
      <c r="I1028" s="77">
        <f t="shared" si="305"/>
        <v>46121</v>
      </c>
      <c r="J1028" s="25"/>
      <c r="K1028" s="25"/>
      <c r="L1028" s="25"/>
      <c r="M1028" s="25"/>
      <c r="N1028" s="25"/>
      <c r="O1028" s="25"/>
    </row>
    <row r="1029" spans="1:15" x14ac:dyDescent="0.25">
      <c r="A1029" s="77">
        <v>46106</v>
      </c>
      <c r="B1029" s="25" t="s">
        <v>429</v>
      </c>
      <c r="C1029" s="25" t="s">
        <v>1341</v>
      </c>
      <c r="D1029" s="77">
        <f t="shared" si="300"/>
        <v>46129</v>
      </c>
      <c r="E1029" s="77">
        <f t="shared" si="301"/>
        <v>46113</v>
      </c>
      <c r="F1029" s="77">
        <f t="shared" si="302"/>
        <v>46120</v>
      </c>
      <c r="G1029" s="77">
        <f t="shared" si="303"/>
        <v>46126</v>
      </c>
      <c r="H1029" s="77">
        <f t="shared" si="304"/>
        <v>46114</v>
      </c>
      <c r="I1029" s="77">
        <f t="shared" si="305"/>
        <v>46121</v>
      </c>
      <c r="J1029" s="25"/>
      <c r="K1029" s="25"/>
      <c r="L1029" s="25"/>
      <c r="M1029" s="25"/>
      <c r="N1029" s="25"/>
      <c r="O1029" s="25"/>
    </row>
    <row r="1030" spans="1:15" x14ac:dyDescent="0.25">
      <c r="A1030" s="77">
        <v>46106</v>
      </c>
      <c r="B1030" s="25" t="s">
        <v>430</v>
      </c>
      <c r="C1030" s="25" t="s">
        <v>1342</v>
      </c>
      <c r="D1030" s="77">
        <f t="shared" si="300"/>
        <v>46129</v>
      </c>
      <c r="E1030" s="77">
        <f t="shared" si="301"/>
        <v>46113</v>
      </c>
      <c r="F1030" s="77">
        <f t="shared" si="302"/>
        <v>46120</v>
      </c>
      <c r="G1030" s="77">
        <f t="shared" si="303"/>
        <v>46126</v>
      </c>
      <c r="H1030" s="77">
        <f t="shared" si="304"/>
        <v>46114</v>
      </c>
      <c r="I1030" s="77">
        <f t="shared" si="305"/>
        <v>46121</v>
      </c>
      <c r="J1030" s="25"/>
      <c r="K1030" s="25"/>
      <c r="L1030" s="25"/>
      <c r="M1030" s="25"/>
      <c r="N1030" s="25"/>
      <c r="O1030" s="25"/>
    </row>
    <row r="1031" spans="1:15" x14ac:dyDescent="0.25">
      <c r="A1031" s="77">
        <v>46106</v>
      </c>
      <c r="B1031" s="25" t="s">
        <v>431</v>
      </c>
      <c r="C1031" s="25" t="s">
        <v>1343</v>
      </c>
      <c r="D1031" s="77">
        <f t="shared" si="300"/>
        <v>46129</v>
      </c>
      <c r="E1031" s="77">
        <f t="shared" si="301"/>
        <v>46113</v>
      </c>
      <c r="F1031" s="77">
        <f t="shared" si="302"/>
        <v>46120</v>
      </c>
      <c r="G1031" s="77">
        <f t="shared" si="303"/>
        <v>46126</v>
      </c>
      <c r="H1031" s="77">
        <f t="shared" si="304"/>
        <v>46114</v>
      </c>
      <c r="I1031" s="77">
        <f t="shared" si="305"/>
        <v>46121</v>
      </c>
      <c r="J1031" s="25"/>
      <c r="K1031" s="25"/>
      <c r="L1031" s="25"/>
      <c r="M1031" s="25"/>
      <c r="N1031" s="25"/>
      <c r="O1031" s="25"/>
    </row>
    <row r="1032" spans="1:15" x14ac:dyDescent="0.25">
      <c r="A1032" s="77">
        <v>46106</v>
      </c>
      <c r="B1032" s="25" t="s">
        <v>432</v>
      </c>
      <c r="C1032" s="25" t="s">
        <v>1344</v>
      </c>
      <c r="D1032" s="77">
        <f t="shared" si="300"/>
        <v>46129</v>
      </c>
      <c r="E1032" s="77">
        <f t="shared" si="301"/>
        <v>46113</v>
      </c>
      <c r="F1032" s="77">
        <f t="shared" si="302"/>
        <v>46120</v>
      </c>
      <c r="G1032" s="77">
        <f t="shared" si="303"/>
        <v>46126</v>
      </c>
      <c r="H1032" s="77">
        <f t="shared" si="304"/>
        <v>46114</v>
      </c>
      <c r="I1032" s="77">
        <f t="shared" si="305"/>
        <v>46121</v>
      </c>
      <c r="J1032" s="25"/>
      <c r="K1032" s="25"/>
      <c r="L1032" s="25"/>
      <c r="M1032" s="25"/>
      <c r="N1032" s="25"/>
      <c r="O1032" s="25"/>
    </row>
    <row r="1033" spans="1:15" x14ac:dyDescent="0.25">
      <c r="A1033" s="77">
        <v>46106</v>
      </c>
      <c r="B1033" s="25" t="s">
        <v>433</v>
      </c>
      <c r="C1033" s="25" t="s">
        <v>1345</v>
      </c>
      <c r="D1033" s="77">
        <f t="shared" si="300"/>
        <v>46129</v>
      </c>
      <c r="E1033" s="77">
        <f t="shared" si="301"/>
        <v>46113</v>
      </c>
      <c r="F1033" s="77">
        <f t="shared" si="302"/>
        <v>46120</v>
      </c>
      <c r="G1033" s="77">
        <f t="shared" si="303"/>
        <v>46126</v>
      </c>
      <c r="H1033" s="77">
        <f t="shared" si="304"/>
        <v>46114</v>
      </c>
      <c r="I1033" s="77">
        <f t="shared" si="305"/>
        <v>46121</v>
      </c>
      <c r="J1033" s="25"/>
      <c r="K1033" s="25"/>
      <c r="L1033" s="25"/>
      <c r="M1033" s="25"/>
      <c r="N1033" s="25"/>
      <c r="O1033" s="25"/>
    </row>
    <row r="1034" spans="1:15" x14ac:dyDescent="0.25">
      <c r="A1034" s="77">
        <v>46106</v>
      </c>
      <c r="B1034" s="25" t="s">
        <v>434</v>
      </c>
      <c r="C1034" s="25" t="s">
        <v>1346</v>
      </c>
      <c r="D1034" s="77">
        <f t="shared" si="300"/>
        <v>46129</v>
      </c>
      <c r="E1034" s="77">
        <f t="shared" si="301"/>
        <v>46113</v>
      </c>
      <c r="F1034" s="77">
        <f t="shared" si="302"/>
        <v>46120</v>
      </c>
      <c r="G1034" s="77">
        <f t="shared" si="303"/>
        <v>46126</v>
      </c>
      <c r="H1034" s="77">
        <f t="shared" si="304"/>
        <v>46114</v>
      </c>
      <c r="I1034" s="77">
        <f t="shared" si="305"/>
        <v>46121</v>
      </c>
      <c r="J1034" s="25"/>
      <c r="K1034" s="25"/>
      <c r="L1034" s="25"/>
      <c r="M1034" s="25"/>
      <c r="N1034" s="25"/>
      <c r="O1034" s="25"/>
    </row>
    <row r="1035" spans="1:15" x14ac:dyDescent="0.25">
      <c r="A1035" s="77">
        <v>46107</v>
      </c>
      <c r="B1035" s="25" t="s">
        <v>435</v>
      </c>
      <c r="C1035" s="25" t="s">
        <v>1333</v>
      </c>
      <c r="D1035" s="77">
        <f t="shared" si="300"/>
        <v>46130</v>
      </c>
      <c r="E1035" s="77">
        <f t="shared" si="301"/>
        <v>46114</v>
      </c>
      <c r="F1035" s="77">
        <f t="shared" si="302"/>
        <v>46121</v>
      </c>
      <c r="G1035" s="77">
        <f t="shared" si="303"/>
        <v>46127</v>
      </c>
      <c r="H1035" s="77">
        <f t="shared" si="304"/>
        <v>46115</v>
      </c>
      <c r="I1035" s="77">
        <f t="shared" si="305"/>
        <v>46122</v>
      </c>
      <c r="J1035" s="25"/>
      <c r="K1035" s="25"/>
      <c r="L1035" s="25"/>
      <c r="M1035" s="25"/>
      <c r="N1035" s="25"/>
      <c r="O1035" s="25"/>
    </row>
    <row r="1036" spans="1:15" x14ac:dyDescent="0.25">
      <c r="A1036" s="77">
        <v>46107</v>
      </c>
      <c r="B1036" s="25" t="s">
        <v>436</v>
      </c>
      <c r="C1036" s="25" t="s">
        <v>1334</v>
      </c>
      <c r="D1036" s="77">
        <f t="shared" si="300"/>
        <v>46130</v>
      </c>
      <c r="E1036" s="77">
        <f t="shared" si="301"/>
        <v>46114</v>
      </c>
      <c r="F1036" s="77">
        <f t="shared" si="302"/>
        <v>46121</v>
      </c>
      <c r="G1036" s="77">
        <f t="shared" si="303"/>
        <v>46127</v>
      </c>
      <c r="H1036" s="77">
        <f t="shared" si="304"/>
        <v>46115</v>
      </c>
      <c r="I1036" s="77">
        <f t="shared" si="305"/>
        <v>46122</v>
      </c>
      <c r="J1036" s="25"/>
      <c r="K1036" s="25"/>
      <c r="L1036" s="25"/>
      <c r="M1036" s="25"/>
      <c r="N1036" s="25"/>
      <c r="O1036" s="25"/>
    </row>
    <row r="1037" spans="1:15" x14ac:dyDescent="0.25">
      <c r="A1037" s="77">
        <v>46107</v>
      </c>
      <c r="B1037" s="25" t="s">
        <v>437</v>
      </c>
      <c r="C1037" s="25" t="s">
        <v>1335</v>
      </c>
      <c r="D1037" s="77">
        <f t="shared" si="300"/>
        <v>46130</v>
      </c>
      <c r="E1037" s="77">
        <f t="shared" si="301"/>
        <v>46114</v>
      </c>
      <c r="F1037" s="77">
        <f t="shared" si="302"/>
        <v>46121</v>
      </c>
      <c r="G1037" s="77">
        <f t="shared" si="303"/>
        <v>46127</v>
      </c>
      <c r="H1037" s="77">
        <f t="shared" si="304"/>
        <v>46115</v>
      </c>
      <c r="I1037" s="77">
        <f t="shared" si="305"/>
        <v>46122</v>
      </c>
      <c r="J1037" s="25"/>
      <c r="K1037" s="25"/>
      <c r="L1037" s="25"/>
      <c r="M1037" s="25"/>
      <c r="N1037" s="25"/>
      <c r="O1037" s="25"/>
    </row>
    <row r="1038" spans="1:15" x14ac:dyDescent="0.25">
      <c r="A1038" s="77">
        <v>46107</v>
      </c>
      <c r="B1038" s="25" t="s">
        <v>438</v>
      </c>
      <c r="C1038" s="25" t="s">
        <v>1336</v>
      </c>
      <c r="D1038" s="77">
        <f t="shared" si="300"/>
        <v>46130</v>
      </c>
      <c r="E1038" s="77">
        <f t="shared" si="301"/>
        <v>46114</v>
      </c>
      <c r="F1038" s="77">
        <f t="shared" si="302"/>
        <v>46121</v>
      </c>
      <c r="G1038" s="77">
        <f t="shared" si="303"/>
        <v>46127</v>
      </c>
      <c r="H1038" s="77">
        <f t="shared" si="304"/>
        <v>46115</v>
      </c>
      <c r="I1038" s="77">
        <f t="shared" si="305"/>
        <v>46122</v>
      </c>
      <c r="J1038" s="25"/>
      <c r="K1038" s="25"/>
      <c r="L1038" s="25"/>
      <c r="M1038" s="25"/>
      <c r="N1038" s="25"/>
      <c r="O1038" s="25"/>
    </row>
    <row r="1039" spans="1:15" x14ac:dyDescent="0.25">
      <c r="A1039" s="77">
        <v>46107</v>
      </c>
      <c r="B1039" s="25" t="s">
        <v>439</v>
      </c>
      <c r="C1039" s="25" t="s">
        <v>1337</v>
      </c>
      <c r="D1039" s="77">
        <f t="shared" si="300"/>
        <v>46130</v>
      </c>
      <c r="E1039" s="77">
        <f t="shared" si="301"/>
        <v>46114</v>
      </c>
      <c r="F1039" s="77">
        <f t="shared" si="302"/>
        <v>46121</v>
      </c>
      <c r="G1039" s="77">
        <f t="shared" si="303"/>
        <v>46127</v>
      </c>
      <c r="H1039" s="77">
        <f t="shared" si="304"/>
        <v>46115</v>
      </c>
      <c r="I1039" s="77">
        <f t="shared" si="305"/>
        <v>46122</v>
      </c>
      <c r="J1039" s="25"/>
      <c r="K1039" s="25"/>
      <c r="L1039" s="25"/>
      <c r="M1039" s="25"/>
      <c r="N1039" s="25"/>
      <c r="O1039" s="25"/>
    </row>
    <row r="1040" spans="1:15" x14ac:dyDescent="0.25">
      <c r="A1040" s="77">
        <v>46107</v>
      </c>
      <c r="B1040" s="25" t="s">
        <v>440</v>
      </c>
      <c r="C1040" s="25" t="s">
        <v>1338</v>
      </c>
      <c r="D1040" s="77">
        <f t="shared" si="300"/>
        <v>46130</v>
      </c>
      <c r="E1040" s="77">
        <f t="shared" si="301"/>
        <v>46114</v>
      </c>
      <c r="F1040" s="77">
        <f t="shared" si="302"/>
        <v>46121</v>
      </c>
      <c r="G1040" s="77">
        <f t="shared" si="303"/>
        <v>46127</v>
      </c>
      <c r="H1040" s="77">
        <f t="shared" si="304"/>
        <v>46115</v>
      </c>
      <c r="I1040" s="77">
        <f t="shared" si="305"/>
        <v>46122</v>
      </c>
      <c r="J1040" s="25"/>
      <c r="K1040" s="25"/>
      <c r="L1040" s="25"/>
      <c r="M1040" s="25"/>
      <c r="N1040" s="25"/>
      <c r="O1040" s="25"/>
    </row>
    <row r="1041" spans="1:15" x14ac:dyDescent="0.25">
      <c r="A1041" s="77">
        <v>46107</v>
      </c>
      <c r="B1041" s="25" t="s">
        <v>441</v>
      </c>
      <c r="C1041" s="25" t="s">
        <v>1339</v>
      </c>
      <c r="D1041" s="77">
        <f t="shared" si="300"/>
        <v>46130</v>
      </c>
      <c r="E1041" s="77">
        <f t="shared" si="301"/>
        <v>46114</v>
      </c>
      <c r="F1041" s="77">
        <f t="shared" si="302"/>
        <v>46121</v>
      </c>
      <c r="G1041" s="77">
        <f t="shared" si="303"/>
        <v>46127</v>
      </c>
      <c r="H1041" s="77">
        <f t="shared" si="304"/>
        <v>46115</v>
      </c>
      <c r="I1041" s="77">
        <f t="shared" si="305"/>
        <v>46122</v>
      </c>
      <c r="J1041" s="25"/>
      <c r="K1041" s="25"/>
      <c r="L1041" s="25"/>
      <c r="M1041" s="25"/>
      <c r="N1041" s="25"/>
      <c r="O1041" s="25"/>
    </row>
    <row r="1042" spans="1:15" x14ac:dyDescent="0.25">
      <c r="A1042" s="77">
        <v>46108</v>
      </c>
      <c r="B1042" s="25" t="s">
        <v>458</v>
      </c>
      <c r="C1042" s="25" t="s">
        <v>1163</v>
      </c>
      <c r="D1042" s="77">
        <f t="shared" si="300"/>
        <v>46131</v>
      </c>
      <c r="E1042" s="77">
        <f t="shared" si="301"/>
        <v>46115</v>
      </c>
      <c r="F1042" s="77">
        <f t="shared" si="302"/>
        <v>46122</v>
      </c>
      <c r="G1042" s="77">
        <f t="shared" si="303"/>
        <v>46128</v>
      </c>
      <c r="H1042" s="77">
        <f t="shared" si="304"/>
        <v>46116</v>
      </c>
      <c r="I1042" s="77">
        <f t="shared" si="305"/>
        <v>46123</v>
      </c>
      <c r="J1042" s="25"/>
      <c r="K1042" s="25"/>
      <c r="L1042" s="25"/>
      <c r="M1042" s="25"/>
      <c r="N1042" s="25"/>
      <c r="O1042" s="25"/>
    </row>
    <row r="1043" spans="1:15" x14ac:dyDescent="0.25">
      <c r="A1043" s="77">
        <v>46108</v>
      </c>
      <c r="B1043" s="25" t="s">
        <v>459</v>
      </c>
      <c r="C1043" s="25" t="s">
        <v>1164</v>
      </c>
      <c r="D1043" s="77">
        <f t="shared" ref="D1043:D1106" si="306">A1043+23</f>
        <v>46131</v>
      </c>
      <c r="E1043" s="77">
        <f t="shared" ref="E1043:E1106" si="307">A1043+7</f>
        <v>46115</v>
      </c>
      <c r="F1043" s="77">
        <f t="shared" ref="F1043:F1106" si="308">A1043+14</f>
        <v>46122</v>
      </c>
      <c r="G1043" s="77">
        <f t="shared" ref="G1043:G1106" si="309">A1043+20</f>
        <v>46128</v>
      </c>
      <c r="H1043" s="77">
        <f t="shared" ref="H1043:H1106" si="310">A1043+8</f>
        <v>46116</v>
      </c>
      <c r="I1043" s="77">
        <f t="shared" ref="I1043:I1106" si="311">A1043+15</f>
        <v>46123</v>
      </c>
      <c r="J1043" s="25"/>
      <c r="K1043" s="25"/>
      <c r="L1043" s="25"/>
      <c r="M1043" s="25"/>
      <c r="N1043" s="25"/>
      <c r="O1043" s="25"/>
    </row>
    <row r="1044" spans="1:15" x14ac:dyDescent="0.25">
      <c r="A1044" s="77">
        <v>46108</v>
      </c>
      <c r="B1044" s="25" t="s">
        <v>460</v>
      </c>
      <c r="C1044" s="25" t="s">
        <v>1165</v>
      </c>
      <c r="D1044" s="77">
        <f t="shared" si="306"/>
        <v>46131</v>
      </c>
      <c r="E1044" s="77">
        <f t="shared" si="307"/>
        <v>46115</v>
      </c>
      <c r="F1044" s="77">
        <f t="shared" si="308"/>
        <v>46122</v>
      </c>
      <c r="G1044" s="77">
        <f t="shared" si="309"/>
        <v>46128</v>
      </c>
      <c r="H1044" s="77">
        <f t="shared" si="310"/>
        <v>46116</v>
      </c>
      <c r="I1044" s="77">
        <f t="shared" si="311"/>
        <v>46123</v>
      </c>
      <c r="J1044" s="25"/>
      <c r="K1044" s="25"/>
      <c r="L1044" s="25"/>
      <c r="M1044" s="25"/>
      <c r="N1044" s="25"/>
      <c r="O1044" s="25"/>
    </row>
    <row r="1045" spans="1:15" x14ac:dyDescent="0.25">
      <c r="A1045" s="77">
        <v>46108</v>
      </c>
      <c r="B1045" s="25" t="s">
        <v>461</v>
      </c>
      <c r="C1045" s="25" t="s">
        <v>1166</v>
      </c>
      <c r="D1045" s="77">
        <f t="shared" si="306"/>
        <v>46131</v>
      </c>
      <c r="E1045" s="77">
        <f t="shared" si="307"/>
        <v>46115</v>
      </c>
      <c r="F1045" s="77">
        <f t="shared" si="308"/>
        <v>46122</v>
      </c>
      <c r="G1045" s="77">
        <f t="shared" si="309"/>
        <v>46128</v>
      </c>
      <c r="H1045" s="77">
        <f t="shared" si="310"/>
        <v>46116</v>
      </c>
      <c r="I1045" s="77">
        <f t="shared" si="311"/>
        <v>46123</v>
      </c>
      <c r="J1045" s="25"/>
      <c r="K1045" s="25"/>
      <c r="L1045" s="25"/>
      <c r="M1045" s="25"/>
      <c r="N1045" s="25"/>
      <c r="O1045" s="25"/>
    </row>
    <row r="1046" spans="1:15" x14ac:dyDescent="0.25">
      <c r="A1046" s="77">
        <v>46108</v>
      </c>
      <c r="B1046" s="25" t="s">
        <v>462</v>
      </c>
      <c r="C1046" s="25" t="s">
        <v>1167</v>
      </c>
      <c r="D1046" s="77">
        <f t="shared" si="306"/>
        <v>46131</v>
      </c>
      <c r="E1046" s="77">
        <f t="shared" si="307"/>
        <v>46115</v>
      </c>
      <c r="F1046" s="77">
        <f t="shared" si="308"/>
        <v>46122</v>
      </c>
      <c r="G1046" s="77">
        <f t="shared" si="309"/>
        <v>46128</v>
      </c>
      <c r="H1046" s="77">
        <f t="shared" si="310"/>
        <v>46116</v>
      </c>
      <c r="I1046" s="77">
        <f t="shared" si="311"/>
        <v>46123</v>
      </c>
      <c r="J1046" s="25"/>
      <c r="K1046" s="25"/>
      <c r="L1046" s="25"/>
      <c r="M1046" s="25"/>
      <c r="N1046" s="25"/>
      <c r="O1046" s="25"/>
    </row>
    <row r="1047" spans="1:15" x14ac:dyDescent="0.25">
      <c r="A1047" s="77">
        <v>46108</v>
      </c>
      <c r="B1047" s="25" t="s">
        <v>463</v>
      </c>
      <c r="C1047" s="25" t="s">
        <v>1168</v>
      </c>
      <c r="D1047" s="77">
        <f t="shared" si="306"/>
        <v>46131</v>
      </c>
      <c r="E1047" s="77">
        <f t="shared" si="307"/>
        <v>46115</v>
      </c>
      <c r="F1047" s="77">
        <f t="shared" si="308"/>
        <v>46122</v>
      </c>
      <c r="G1047" s="77">
        <f t="shared" si="309"/>
        <v>46128</v>
      </c>
      <c r="H1047" s="77">
        <f t="shared" si="310"/>
        <v>46116</v>
      </c>
      <c r="I1047" s="77">
        <f t="shared" si="311"/>
        <v>46123</v>
      </c>
      <c r="J1047" s="25"/>
      <c r="K1047" s="25"/>
      <c r="L1047" s="25"/>
      <c r="M1047" s="25"/>
      <c r="N1047" s="25"/>
      <c r="O1047" s="25"/>
    </row>
    <row r="1048" spans="1:15" x14ac:dyDescent="0.25">
      <c r="A1048" s="77">
        <v>46108</v>
      </c>
      <c r="B1048" s="25" t="s">
        <v>464</v>
      </c>
      <c r="C1048" s="25" t="s">
        <v>1169</v>
      </c>
      <c r="D1048" s="77">
        <f t="shared" si="306"/>
        <v>46131</v>
      </c>
      <c r="E1048" s="77">
        <f t="shared" si="307"/>
        <v>46115</v>
      </c>
      <c r="F1048" s="77">
        <f t="shared" si="308"/>
        <v>46122</v>
      </c>
      <c r="G1048" s="77">
        <f t="shared" si="309"/>
        <v>46128</v>
      </c>
      <c r="H1048" s="77">
        <f t="shared" si="310"/>
        <v>46116</v>
      </c>
      <c r="I1048" s="77">
        <f t="shared" si="311"/>
        <v>46123</v>
      </c>
      <c r="J1048" s="25"/>
      <c r="K1048" s="25"/>
      <c r="L1048" s="25"/>
      <c r="M1048" s="25"/>
      <c r="N1048" s="25"/>
      <c r="O1048" s="25"/>
    </row>
    <row r="1049" spans="1:15" x14ac:dyDescent="0.25">
      <c r="A1049" s="77">
        <v>46109</v>
      </c>
      <c r="B1049" s="25" t="s">
        <v>495</v>
      </c>
      <c r="C1049" s="25" t="s">
        <v>1347</v>
      </c>
      <c r="D1049" s="77">
        <f t="shared" si="306"/>
        <v>46132</v>
      </c>
      <c r="E1049" s="77">
        <f t="shared" si="307"/>
        <v>46116</v>
      </c>
      <c r="F1049" s="77">
        <f t="shared" si="308"/>
        <v>46123</v>
      </c>
      <c r="G1049" s="77">
        <f t="shared" si="309"/>
        <v>46129</v>
      </c>
      <c r="H1049" s="77">
        <f t="shared" si="310"/>
        <v>46117</v>
      </c>
      <c r="I1049" s="77">
        <f t="shared" si="311"/>
        <v>46124</v>
      </c>
      <c r="J1049" s="25"/>
      <c r="K1049" s="25"/>
      <c r="L1049" s="25"/>
      <c r="M1049" s="25"/>
      <c r="N1049" s="25"/>
      <c r="O1049" s="25"/>
    </row>
    <row r="1050" spans="1:15" x14ac:dyDescent="0.25">
      <c r="A1050" s="77">
        <v>46109</v>
      </c>
      <c r="B1050" s="25" t="s">
        <v>496</v>
      </c>
      <c r="C1050" s="25" t="s">
        <v>1348</v>
      </c>
      <c r="D1050" s="77">
        <f t="shared" si="306"/>
        <v>46132</v>
      </c>
      <c r="E1050" s="77">
        <f t="shared" si="307"/>
        <v>46116</v>
      </c>
      <c r="F1050" s="77">
        <f t="shared" si="308"/>
        <v>46123</v>
      </c>
      <c r="G1050" s="77">
        <f t="shared" si="309"/>
        <v>46129</v>
      </c>
      <c r="H1050" s="77">
        <f t="shared" si="310"/>
        <v>46117</v>
      </c>
      <c r="I1050" s="77">
        <f t="shared" si="311"/>
        <v>46124</v>
      </c>
      <c r="J1050" s="25"/>
      <c r="K1050" s="25"/>
      <c r="L1050" s="25"/>
      <c r="M1050" s="25"/>
      <c r="N1050" s="25"/>
      <c r="O1050" s="25"/>
    </row>
    <row r="1051" spans="1:15" x14ac:dyDescent="0.25">
      <c r="A1051" s="77">
        <v>46109</v>
      </c>
      <c r="B1051" s="25" t="s">
        <v>497</v>
      </c>
      <c r="C1051" s="25" t="s">
        <v>1349</v>
      </c>
      <c r="D1051" s="77">
        <f t="shared" si="306"/>
        <v>46132</v>
      </c>
      <c r="E1051" s="77">
        <f t="shared" si="307"/>
        <v>46116</v>
      </c>
      <c r="F1051" s="77">
        <f t="shared" si="308"/>
        <v>46123</v>
      </c>
      <c r="G1051" s="77">
        <f t="shared" si="309"/>
        <v>46129</v>
      </c>
      <c r="H1051" s="77">
        <f t="shared" si="310"/>
        <v>46117</v>
      </c>
      <c r="I1051" s="77">
        <f t="shared" si="311"/>
        <v>46124</v>
      </c>
      <c r="J1051" s="25"/>
      <c r="K1051" s="25"/>
      <c r="L1051" s="25"/>
      <c r="M1051" s="25"/>
      <c r="N1051" s="25"/>
      <c r="O1051" s="25"/>
    </row>
    <row r="1052" spans="1:15" x14ac:dyDescent="0.25">
      <c r="A1052" s="77">
        <v>46109</v>
      </c>
      <c r="B1052" s="25" t="s">
        <v>498</v>
      </c>
      <c r="C1052" s="25" t="s">
        <v>1350</v>
      </c>
      <c r="D1052" s="77">
        <f t="shared" si="306"/>
        <v>46132</v>
      </c>
      <c r="E1052" s="77">
        <f t="shared" si="307"/>
        <v>46116</v>
      </c>
      <c r="F1052" s="77">
        <f t="shared" si="308"/>
        <v>46123</v>
      </c>
      <c r="G1052" s="77">
        <f t="shared" si="309"/>
        <v>46129</v>
      </c>
      <c r="H1052" s="77">
        <f t="shared" si="310"/>
        <v>46117</v>
      </c>
      <c r="I1052" s="77">
        <f t="shared" si="311"/>
        <v>46124</v>
      </c>
      <c r="J1052" s="25"/>
      <c r="K1052" s="25"/>
      <c r="L1052" s="25"/>
      <c r="M1052" s="25"/>
      <c r="N1052" s="25"/>
      <c r="O1052" s="25"/>
    </row>
    <row r="1053" spans="1:15" x14ac:dyDescent="0.25">
      <c r="A1053" s="77">
        <v>46109</v>
      </c>
      <c r="B1053" s="25" t="s">
        <v>499</v>
      </c>
      <c r="C1053" s="25" t="s">
        <v>1351</v>
      </c>
      <c r="D1053" s="77">
        <f t="shared" si="306"/>
        <v>46132</v>
      </c>
      <c r="E1053" s="77">
        <f t="shared" si="307"/>
        <v>46116</v>
      </c>
      <c r="F1053" s="77">
        <f t="shared" si="308"/>
        <v>46123</v>
      </c>
      <c r="G1053" s="77">
        <f t="shared" si="309"/>
        <v>46129</v>
      </c>
      <c r="H1053" s="77">
        <f t="shared" si="310"/>
        <v>46117</v>
      </c>
      <c r="I1053" s="77">
        <f t="shared" si="311"/>
        <v>46124</v>
      </c>
      <c r="J1053" s="25"/>
      <c r="K1053" s="25"/>
      <c r="L1053" s="25"/>
      <c r="M1053" s="25"/>
      <c r="N1053" s="25"/>
      <c r="O1053" s="25"/>
    </row>
    <row r="1054" spans="1:15" x14ac:dyDescent="0.25">
      <c r="A1054" s="77">
        <v>46109</v>
      </c>
      <c r="B1054" s="25" t="s">
        <v>500</v>
      </c>
      <c r="C1054" s="25" t="s">
        <v>1352</v>
      </c>
      <c r="D1054" s="77">
        <f t="shared" si="306"/>
        <v>46132</v>
      </c>
      <c r="E1054" s="77">
        <f t="shared" si="307"/>
        <v>46116</v>
      </c>
      <c r="F1054" s="77">
        <f t="shared" si="308"/>
        <v>46123</v>
      </c>
      <c r="G1054" s="77">
        <f t="shared" si="309"/>
        <v>46129</v>
      </c>
      <c r="H1054" s="77">
        <f t="shared" si="310"/>
        <v>46117</v>
      </c>
      <c r="I1054" s="77">
        <f t="shared" si="311"/>
        <v>46124</v>
      </c>
      <c r="J1054" s="25"/>
      <c r="K1054" s="25"/>
      <c r="L1054" s="25"/>
      <c r="M1054" s="25"/>
      <c r="N1054" s="25"/>
      <c r="O1054" s="25"/>
    </row>
    <row r="1055" spans="1:15" x14ac:dyDescent="0.25">
      <c r="A1055" s="77">
        <v>46109</v>
      </c>
      <c r="B1055" s="25" t="s">
        <v>501</v>
      </c>
      <c r="C1055" s="25" t="s">
        <v>1353</v>
      </c>
      <c r="D1055" s="77">
        <f t="shared" si="306"/>
        <v>46132</v>
      </c>
      <c r="E1055" s="77">
        <f t="shared" si="307"/>
        <v>46116</v>
      </c>
      <c r="F1055" s="77">
        <f t="shared" si="308"/>
        <v>46123</v>
      </c>
      <c r="G1055" s="77">
        <f t="shared" si="309"/>
        <v>46129</v>
      </c>
      <c r="H1055" s="77">
        <f t="shared" si="310"/>
        <v>46117</v>
      </c>
      <c r="I1055" s="77">
        <f t="shared" si="311"/>
        <v>46124</v>
      </c>
      <c r="J1055" s="25"/>
      <c r="K1055" s="25"/>
      <c r="L1055" s="25"/>
      <c r="M1055" s="25"/>
      <c r="N1055" s="25"/>
      <c r="O1055" s="25"/>
    </row>
    <row r="1056" spans="1:15" x14ac:dyDescent="0.25">
      <c r="A1056" s="77">
        <v>46110</v>
      </c>
      <c r="B1056" s="25" t="s">
        <v>502</v>
      </c>
      <c r="C1056" s="25" t="s">
        <v>1354</v>
      </c>
      <c r="D1056" s="77">
        <f t="shared" si="306"/>
        <v>46133</v>
      </c>
      <c r="E1056" s="77">
        <f t="shared" si="307"/>
        <v>46117</v>
      </c>
      <c r="F1056" s="77">
        <f t="shared" si="308"/>
        <v>46124</v>
      </c>
      <c r="G1056" s="77">
        <f t="shared" si="309"/>
        <v>46130</v>
      </c>
      <c r="H1056" s="77">
        <f t="shared" si="310"/>
        <v>46118</v>
      </c>
      <c r="I1056" s="77">
        <f t="shared" si="311"/>
        <v>46125</v>
      </c>
      <c r="J1056" s="25"/>
      <c r="K1056" s="25"/>
      <c r="L1056" s="25"/>
      <c r="M1056" s="25"/>
      <c r="N1056" s="25"/>
      <c r="O1056" s="25"/>
    </row>
    <row r="1057" spans="1:15" x14ac:dyDescent="0.25">
      <c r="A1057" s="77">
        <v>46110</v>
      </c>
      <c r="B1057" s="25" t="s">
        <v>503</v>
      </c>
      <c r="C1057" s="25" t="s">
        <v>1355</v>
      </c>
      <c r="D1057" s="77">
        <f t="shared" si="306"/>
        <v>46133</v>
      </c>
      <c r="E1057" s="77">
        <f t="shared" si="307"/>
        <v>46117</v>
      </c>
      <c r="F1057" s="77">
        <f t="shared" si="308"/>
        <v>46124</v>
      </c>
      <c r="G1057" s="77">
        <f t="shared" si="309"/>
        <v>46130</v>
      </c>
      <c r="H1057" s="77">
        <f t="shared" si="310"/>
        <v>46118</v>
      </c>
      <c r="I1057" s="77">
        <f t="shared" si="311"/>
        <v>46125</v>
      </c>
      <c r="J1057" s="25"/>
      <c r="K1057" s="25"/>
      <c r="L1057" s="25"/>
      <c r="M1057" s="25"/>
      <c r="N1057" s="25"/>
      <c r="O1057" s="25"/>
    </row>
    <row r="1058" spans="1:15" x14ac:dyDescent="0.25">
      <c r="A1058" s="77">
        <v>46110</v>
      </c>
      <c r="B1058" s="25" t="s">
        <v>504</v>
      </c>
      <c r="C1058" s="25" t="s">
        <v>1356</v>
      </c>
      <c r="D1058" s="77">
        <f t="shared" si="306"/>
        <v>46133</v>
      </c>
      <c r="E1058" s="77">
        <f t="shared" si="307"/>
        <v>46117</v>
      </c>
      <c r="F1058" s="77">
        <f t="shared" si="308"/>
        <v>46124</v>
      </c>
      <c r="G1058" s="77">
        <f t="shared" si="309"/>
        <v>46130</v>
      </c>
      <c r="H1058" s="77">
        <f t="shared" si="310"/>
        <v>46118</v>
      </c>
      <c r="I1058" s="77">
        <f t="shared" si="311"/>
        <v>46125</v>
      </c>
      <c r="J1058" s="25"/>
      <c r="K1058" s="25"/>
      <c r="L1058" s="25"/>
      <c r="M1058" s="25"/>
      <c r="N1058" s="25"/>
      <c r="O1058" s="25"/>
    </row>
    <row r="1059" spans="1:15" x14ac:dyDescent="0.25">
      <c r="A1059" s="77">
        <v>46110</v>
      </c>
      <c r="B1059" s="25" t="s">
        <v>505</v>
      </c>
      <c r="C1059" s="25" t="s">
        <v>1357</v>
      </c>
      <c r="D1059" s="77">
        <f t="shared" si="306"/>
        <v>46133</v>
      </c>
      <c r="E1059" s="77">
        <f t="shared" si="307"/>
        <v>46117</v>
      </c>
      <c r="F1059" s="77">
        <f t="shared" si="308"/>
        <v>46124</v>
      </c>
      <c r="G1059" s="77">
        <f t="shared" si="309"/>
        <v>46130</v>
      </c>
      <c r="H1059" s="77">
        <f t="shared" si="310"/>
        <v>46118</v>
      </c>
      <c r="I1059" s="77">
        <f t="shared" si="311"/>
        <v>46125</v>
      </c>
      <c r="J1059" s="25"/>
      <c r="K1059" s="25"/>
      <c r="L1059" s="25"/>
      <c r="M1059" s="25"/>
      <c r="N1059" s="25"/>
      <c r="O1059" s="25"/>
    </row>
    <row r="1060" spans="1:15" x14ac:dyDescent="0.25">
      <c r="A1060" s="77">
        <v>46110</v>
      </c>
      <c r="B1060" s="25" t="s">
        <v>506</v>
      </c>
      <c r="C1060" s="25" t="s">
        <v>1358</v>
      </c>
      <c r="D1060" s="77">
        <f t="shared" si="306"/>
        <v>46133</v>
      </c>
      <c r="E1060" s="77">
        <f t="shared" si="307"/>
        <v>46117</v>
      </c>
      <c r="F1060" s="77">
        <f t="shared" si="308"/>
        <v>46124</v>
      </c>
      <c r="G1060" s="77">
        <f t="shared" si="309"/>
        <v>46130</v>
      </c>
      <c r="H1060" s="77">
        <f t="shared" si="310"/>
        <v>46118</v>
      </c>
      <c r="I1060" s="77">
        <f t="shared" si="311"/>
        <v>46125</v>
      </c>
      <c r="J1060" s="25"/>
      <c r="K1060" s="25"/>
      <c r="L1060" s="25"/>
      <c r="M1060" s="25"/>
      <c r="N1060" s="25"/>
      <c r="O1060" s="25"/>
    </row>
    <row r="1061" spans="1:15" x14ac:dyDescent="0.25">
      <c r="A1061" s="77">
        <v>46110</v>
      </c>
      <c r="B1061" s="25" t="s">
        <v>507</v>
      </c>
      <c r="C1061" s="25" t="s">
        <v>1359</v>
      </c>
      <c r="D1061" s="77">
        <f t="shared" si="306"/>
        <v>46133</v>
      </c>
      <c r="E1061" s="77">
        <f t="shared" si="307"/>
        <v>46117</v>
      </c>
      <c r="F1061" s="77">
        <f t="shared" si="308"/>
        <v>46124</v>
      </c>
      <c r="G1061" s="77">
        <f t="shared" si="309"/>
        <v>46130</v>
      </c>
      <c r="H1061" s="77">
        <f t="shared" si="310"/>
        <v>46118</v>
      </c>
      <c r="I1061" s="77">
        <f t="shared" si="311"/>
        <v>46125</v>
      </c>
      <c r="J1061" s="25"/>
      <c r="K1061" s="25"/>
      <c r="L1061" s="25"/>
      <c r="M1061" s="25"/>
      <c r="N1061" s="25"/>
      <c r="O1061" s="25"/>
    </row>
    <row r="1062" spans="1:15" x14ac:dyDescent="0.25">
      <c r="A1062" s="77">
        <v>46110</v>
      </c>
      <c r="B1062" s="25" t="s">
        <v>508</v>
      </c>
      <c r="C1062" s="25" t="s">
        <v>1360</v>
      </c>
      <c r="D1062" s="77">
        <f t="shared" si="306"/>
        <v>46133</v>
      </c>
      <c r="E1062" s="77">
        <f t="shared" si="307"/>
        <v>46117</v>
      </c>
      <c r="F1062" s="77">
        <f t="shared" si="308"/>
        <v>46124</v>
      </c>
      <c r="G1062" s="77">
        <f t="shared" si="309"/>
        <v>46130</v>
      </c>
      <c r="H1062" s="77">
        <f t="shared" si="310"/>
        <v>46118</v>
      </c>
      <c r="I1062" s="77">
        <f t="shared" si="311"/>
        <v>46125</v>
      </c>
      <c r="J1062" s="25"/>
      <c r="K1062" s="25"/>
      <c r="L1062" s="25"/>
      <c r="M1062" s="25"/>
      <c r="N1062" s="25"/>
      <c r="O1062" s="25"/>
    </row>
    <row r="1063" spans="1:15" x14ac:dyDescent="0.25">
      <c r="A1063" s="77">
        <v>46111</v>
      </c>
      <c r="B1063" s="25" t="s">
        <v>465</v>
      </c>
      <c r="C1063" s="25" t="s">
        <v>1361</v>
      </c>
      <c r="D1063" s="77">
        <f t="shared" si="306"/>
        <v>46134</v>
      </c>
      <c r="E1063" s="77">
        <f t="shared" si="307"/>
        <v>46118</v>
      </c>
      <c r="F1063" s="77">
        <f t="shared" si="308"/>
        <v>46125</v>
      </c>
      <c r="G1063" s="77">
        <f t="shared" si="309"/>
        <v>46131</v>
      </c>
      <c r="H1063" s="77">
        <f t="shared" si="310"/>
        <v>46119</v>
      </c>
      <c r="I1063" s="77">
        <f t="shared" si="311"/>
        <v>46126</v>
      </c>
      <c r="J1063" s="25"/>
      <c r="K1063" s="25"/>
      <c r="L1063" s="25"/>
      <c r="M1063" s="25"/>
      <c r="N1063" s="25"/>
      <c r="O1063" s="25"/>
    </row>
    <row r="1064" spans="1:15" x14ac:dyDescent="0.25">
      <c r="A1064" s="77">
        <v>46111</v>
      </c>
      <c r="B1064" s="25" t="s">
        <v>466</v>
      </c>
      <c r="C1064" s="25" t="s">
        <v>1362</v>
      </c>
      <c r="D1064" s="77">
        <f t="shared" si="306"/>
        <v>46134</v>
      </c>
      <c r="E1064" s="77">
        <f t="shared" si="307"/>
        <v>46118</v>
      </c>
      <c r="F1064" s="77">
        <f t="shared" si="308"/>
        <v>46125</v>
      </c>
      <c r="G1064" s="77">
        <f t="shared" si="309"/>
        <v>46131</v>
      </c>
      <c r="H1064" s="77">
        <f t="shared" si="310"/>
        <v>46119</v>
      </c>
      <c r="I1064" s="77">
        <f t="shared" si="311"/>
        <v>46126</v>
      </c>
      <c r="J1064" s="25"/>
      <c r="K1064" s="25"/>
      <c r="L1064" s="25"/>
      <c r="M1064" s="25"/>
      <c r="N1064" s="25"/>
      <c r="O1064" s="25"/>
    </row>
    <row r="1065" spans="1:15" x14ac:dyDescent="0.25">
      <c r="A1065" s="77">
        <v>46111</v>
      </c>
      <c r="B1065" s="25" t="s">
        <v>467</v>
      </c>
      <c r="C1065" s="25" t="s">
        <v>1363</v>
      </c>
      <c r="D1065" s="77">
        <f t="shared" si="306"/>
        <v>46134</v>
      </c>
      <c r="E1065" s="77">
        <f t="shared" si="307"/>
        <v>46118</v>
      </c>
      <c r="F1065" s="77">
        <f t="shared" si="308"/>
        <v>46125</v>
      </c>
      <c r="G1065" s="77">
        <f t="shared" si="309"/>
        <v>46131</v>
      </c>
      <c r="H1065" s="77">
        <f t="shared" si="310"/>
        <v>46119</v>
      </c>
      <c r="I1065" s="77">
        <f t="shared" si="311"/>
        <v>46126</v>
      </c>
      <c r="J1065" s="25"/>
      <c r="K1065" s="25"/>
      <c r="L1065" s="25"/>
      <c r="M1065" s="25"/>
      <c r="N1065" s="25"/>
      <c r="O1065" s="25"/>
    </row>
    <row r="1066" spans="1:15" x14ac:dyDescent="0.25">
      <c r="A1066" s="77">
        <v>46111</v>
      </c>
      <c r="B1066" s="25" t="s">
        <v>468</v>
      </c>
      <c r="C1066" s="25" t="s">
        <v>1364</v>
      </c>
      <c r="D1066" s="77">
        <f t="shared" si="306"/>
        <v>46134</v>
      </c>
      <c r="E1066" s="77">
        <f t="shared" si="307"/>
        <v>46118</v>
      </c>
      <c r="F1066" s="77">
        <f t="shared" si="308"/>
        <v>46125</v>
      </c>
      <c r="G1066" s="77">
        <f t="shared" si="309"/>
        <v>46131</v>
      </c>
      <c r="H1066" s="77">
        <f t="shared" si="310"/>
        <v>46119</v>
      </c>
      <c r="I1066" s="77">
        <f t="shared" si="311"/>
        <v>46126</v>
      </c>
      <c r="J1066" s="25"/>
      <c r="K1066" s="25"/>
      <c r="L1066" s="25"/>
      <c r="M1066" s="25"/>
      <c r="N1066" s="25"/>
      <c r="O1066" s="25"/>
    </row>
    <row r="1067" spans="1:15" x14ac:dyDescent="0.25">
      <c r="A1067" s="77">
        <v>46111</v>
      </c>
      <c r="B1067" s="25" t="s">
        <v>469</v>
      </c>
      <c r="C1067" s="25" t="s">
        <v>1365</v>
      </c>
      <c r="D1067" s="77">
        <f t="shared" si="306"/>
        <v>46134</v>
      </c>
      <c r="E1067" s="77">
        <f t="shared" si="307"/>
        <v>46118</v>
      </c>
      <c r="F1067" s="77">
        <f t="shared" si="308"/>
        <v>46125</v>
      </c>
      <c r="G1067" s="77">
        <f t="shared" si="309"/>
        <v>46131</v>
      </c>
      <c r="H1067" s="77">
        <f t="shared" si="310"/>
        <v>46119</v>
      </c>
      <c r="I1067" s="77">
        <f t="shared" si="311"/>
        <v>46126</v>
      </c>
      <c r="J1067" s="25"/>
      <c r="K1067" s="25"/>
      <c r="L1067" s="25"/>
      <c r="M1067" s="25"/>
      <c r="N1067" s="25"/>
      <c r="O1067" s="25"/>
    </row>
    <row r="1068" spans="1:15" x14ac:dyDescent="0.25">
      <c r="A1068" s="77">
        <v>46111</v>
      </c>
      <c r="B1068" s="25" t="s">
        <v>470</v>
      </c>
      <c r="C1068" s="25" t="s">
        <v>1366</v>
      </c>
      <c r="D1068" s="77">
        <f t="shared" si="306"/>
        <v>46134</v>
      </c>
      <c r="E1068" s="77">
        <f t="shared" si="307"/>
        <v>46118</v>
      </c>
      <c r="F1068" s="77">
        <f t="shared" si="308"/>
        <v>46125</v>
      </c>
      <c r="G1068" s="77">
        <f t="shared" si="309"/>
        <v>46131</v>
      </c>
      <c r="H1068" s="77">
        <f t="shared" si="310"/>
        <v>46119</v>
      </c>
      <c r="I1068" s="77">
        <f t="shared" si="311"/>
        <v>46126</v>
      </c>
      <c r="J1068" s="25"/>
      <c r="K1068" s="25"/>
      <c r="L1068" s="25"/>
      <c r="M1068" s="25"/>
      <c r="N1068" s="25"/>
      <c r="O1068" s="25"/>
    </row>
    <row r="1069" spans="1:15" x14ac:dyDescent="0.25">
      <c r="A1069" s="77">
        <v>46111</v>
      </c>
      <c r="B1069" s="25" t="s">
        <v>471</v>
      </c>
      <c r="C1069" s="25" t="s">
        <v>1367</v>
      </c>
      <c r="D1069" s="77">
        <f t="shared" si="306"/>
        <v>46134</v>
      </c>
      <c r="E1069" s="77">
        <f t="shared" si="307"/>
        <v>46118</v>
      </c>
      <c r="F1069" s="77">
        <f t="shared" si="308"/>
        <v>46125</v>
      </c>
      <c r="G1069" s="77">
        <f t="shared" si="309"/>
        <v>46131</v>
      </c>
      <c r="H1069" s="77">
        <f t="shared" si="310"/>
        <v>46119</v>
      </c>
      <c r="I1069" s="77">
        <f t="shared" si="311"/>
        <v>46126</v>
      </c>
      <c r="J1069" s="25"/>
      <c r="K1069" s="25"/>
      <c r="L1069" s="25"/>
      <c r="M1069" s="25"/>
      <c r="N1069" s="25"/>
      <c r="O1069" s="25"/>
    </row>
    <row r="1070" spans="1:15" x14ac:dyDescent="0.25">
      <c r="A1070" s="77">
        <v>46112</v>
      </c>
      <c r="B1070" s="25" t="s">
        <v>559</v>
      </c>
      <c r="C1070" s="25" t="s">
        <v>1368</v>
      </c>
      <c r="D1070" s="77">
        <f t="shared" si="306"/>
        <v>46135</v>
      </c>
      <c r="E1070" s="77">
        <f t="shared" si="307"/>
        <v>46119</v>
      </c>
      <c r="F1070" s="77">
        <f t="shared" si="308"/>
        <v>46126</v>
      </c>
      <c r="G1070" s="77">
        <f t="shared" si="309"/>
        <v>46132</v>
      </c>
      <c r="H1070" s="77">
        <f t="shared" si="310"/>
        <v>46120</v>
      </c>
      <c r="I1070" s="77">
        <f t="shared" si="311"/>
        <v>46127</v>
      </c>
      <c r="J1070" s="25"/>
      <c r="K1070" s="25"/>
      <c r="L1070" s="25"/>
      <c r="M1070" s="25"/>
      <c r="N1070" s="25"/>
      <c r="O1070" s="25"/>
    </row>
    <row r="1071" spans="1:15" x14ac:dyDescent="0.25">
      <c r="A1071" s="77">
        <v>46112</v>
      </c>
      <c r="B1071" s="25" t="s">
        <v>560</v>
      </c>
      <c r="C1071" s="25" t="s">
        <v>1369</v>
      </c>
      <c r="D1071" s="77">
        <f t="shared" si="306"/>
        <v>46135</v>
      </c>
      <c r="E1071" s="77">
        <f t="shared" si="307"/>
        <v>46119</v>
      </c>
      <c r="F1071" s="77">
        <f t="shared" si="308"/>
        <v>46126</v>
      </c>
      <c r="G1071" s="77">
        <f t="shared" si="309"/>
        <v>46132</v>
      </c>
      <c r="H1071" s="77">
        <f t="shared" si="310"/>
        <v>46120</v>
      </c>
      <c r="I1071" s="77">
        <f t="shared" si="311"/>
        <v>46127</v>
      </c>
      <c r="J1071" s="25"/>
      <c r="K1071" s="25"/>
      <c r="L1071" s="25"/>
      <c r="M1071" s="25"/>
      <c r="N1071" s="25"/>
      <c r="O1071" s="25"/>
    </row>
    <row r="1072" spans="1:15" x14ac:dyDescent="0.25">
      <c r="A1072" s="77">
        <v>46112</v>
      </c>
      <c r="B1072" s="25" t="s">
        <v>561</v>
      </c>
      <c r="C1072" s="25" t="s">
        <v>1370</v>
      </c>
      <c r="D1072" s="77">
        <f t="shared" si="306"/>
        <v>46135</v>
      </c>
      <c r="E1072" s="77">
        <f t="shared" si="307"/>
        <v>46119</v>
      </c>
      <c r="F1072" s="77">
        <f t="shared" si="308"/>
        <v>46126</v>
      </c>
      <c r="G1072" s="77">
        <f t="shared" si="309"/>
        <v>46132</v>
      </c>
      <c r="H1072" s="77">
        <f t="shared" si="310"/>
        <v>46120</v>
      </c>
      <c r="I1072" s="77">
        <f t="shared" si="311"/>
        <v>46127</v>
      </c>
      <c r="J1072" s="25"/>
      <c r="K1072" s="25"/>
      <c r="L1072" s="25"/>
      <c r="M1072" s="25"/>
      <c r="N1072" s="25"/>
      <c r="O1072" s="25"/>
    </row>
    <row r="1073" spans="1:15" x14ac:dyDescent="0.25">
      <c r="A1073" s="77">
        <v>46112</v>
      </c>
      <c r="B1073" s="25" t="s">
        <v>562</v>
      </c>
      <c r="C1073" s="25" t="s">
        <v>1371</v>
      </c>
      <c r="D1073" s="77">
        <f t="shared" si="306"/>
        <v>46135</v>
      </c>
      <c r="E1073" s="77">
        <f t="shared" si="307"/>
        <v>46119</v>
      </c>
      <c r="F1073" s="77">
        <f t="shared" si="308"/>
        <v>46126</v>
      </c>
      <c r="G1073" s="77">
        <f t="shared" si="309"/>
        <v>46132</v>
      </c>
      <c r="H1073" s="77">
        <f t="shared" si="310"/>
        <v>46120</v>
      </c>
      <c r="I1073" s="77">
        <f t="shared" si="311"/>
        <v>46127</v>
      </c>
      <c r="J1073" s="25"/>
      <c r="K1073" s="25"/>
      <c r="L1073" s="25"/>
      <c r="M1073" s="25"/>
      <c r="N1073" s="25"/>
      <c r="O1073" s="25"/>
    </row>
    <row r="1074" spans="1:15" x14ac:dyDescent="0.25">
      <c r="A1074" s="77">
        <v>46112</v>
      </c>
      <c r="B1074" s="25" t="s">
        <v>563</v>
      </c>
      <c r="C1074" s="25" t="s">
        <v>1372</v>
      </c>
      <c r="D1074" s="77">
        <f t="shared" si="306"/>
        <v>46135</v>
      </c>
      <c r="E1074" s="77">
        <f t="shared" si="307"/>
        <v>46119</v>
      </c>
      <c r="F1074" s="77">
        <f t="shared" si="308"/>
        <v>46126</v>
      </c>
      <c r="G1074" s="77">
        <f t="shared" si="309"/>
        <v>46132</v>
      </c>
      <c r="H1074" s="77">
        <f t="shared" si="310"/>
        <v>46120</v>
      </c>
      <c r="I1074" s="77">
        <f t="shared" si="311"/>
        <v>46127</v>
      </c>
      <c r="J1074" s="25"/>
      <c r="K1074" s="25"/>
      <c r="L1074" s="25"/>
      <c r="M1074" s="25"/>
      <c r="N1074" s="25"/>
      <c r="O1074" s="25"/>
    </row>
    <row r="1075" spans="1:15" x14ac:dyDescent="0.25">
      <c r="A1075" s="77">
        <v>46112</v>
      </c>
      <c r="B1075" s="25" t="s">
        <v>564</v>
      </c>
      <c r="C1075" s="25" t="s">
        <v>1373</v>
      </c>
      <c r="D1075" s="77">
        <f t="shared" si="306"/>
        <v>46135</v>
      </c>
      <c r="E1075" s="77">
        <f t="shared" si="307"/>
        <v>46119</v>
      </c>
      <c r="F1075" s="77">
        <f t="shared" si="308"/>
        <v>46126</v>
      </c>
      <c r="G1075" s="77">
        <f t="shared" si="309"/>
        <v>46132</v>
      </c>
      <c r="H1075" s="77">
        <f t="shared" si="310"/>
        <v>46120</v>
      </c>
      <c r="I1075" s="77">
        <f t="shared" si="311"/>
        <v>46127</v>
      </c>
      <c r="J1075" s="25"/>
      <c r="K1075" s="25"/>
      <c r="L1075" s="25"/>
      <c r="M1075" s="25"/>
      <c r="N1075" s="25"/>
      <c r="O1075" s="25"/>
    </row>
    <row r="1076" spans="1:15" x14ac:dyDescent="0.25">
      <c r="A1076" s="77">
        <v>46112</v>
      </c>
      <c r="B1076" s="25" t="s">
        <v>565</v>
      </c>
      <c r="C1076" s="25" t="s">
        <v>1374</v>
      </c>
      <c r="D1076" s="77">
        <f t="shared" si="306"/>
        <v>46135</v>
      </c>
      <c r="E1076" s="77">
        <f t="shared" si="307"/>
        <v>46119</v>
      </c>
      <c r="F1076" s="77">
        <f t="shared" si="308"/>
        <v>46126</v>
      </c>
      <c r="G1076" s="77">
        <f t="shared" si="309"/>
        <v>46132</v>
      </c>
      <c r="H1076" s="77">
        <f t="shared" si="310"/>
        <v>46120</v>
      </c>
      <c r="I1076" s="77">
        <f t="shared" si="311"/>
        <v>46127</v>
      </c>
      <c r="J1076" s="25"/>
      <c r="K1076" s="25"/>
      <c r="L1076" s="25"/>
      <c r="M1076" s="25"/>
      <c r="N1076" s="25"/>
      <c r="O1076" s="25"/>
    </row>
    <row r="1077" spans="1:15" x14ac:dyDescent="0.25">
      <c r="A1077" s="77">
        <v>46113</v>
      </c>
      <c r="B1077" s="25" t="s">
        <v>566</v>
      </c>
      <c r="C1077" s="25" t="s">
        <v>1375</v>
      </c>
      <c r="D1077" s="77">
        <f t="shared" si="306"/>
        <v>46136</v>
      </c>
      <c r="E1077" s="77">
        <f t="shared" si="307"/>
        <v>46120</v>
      </c>
      <c r="F1077" s="77">
        <f t="shared" si="308"/>
        <v>46127</v>
      </c>
      <c r="G1077" s="77">
        <f t="shared" si="309"/>
        <v>46133</v>
      </c>
      <c r="H1077" s="77">
        <f t="shared" si="310"/>
        <v>46121</v>
      </c>
      <c r="I1077" s="77">
        <f t="shared" si="311"/>
        <v>46128</v>
      </c>
      <c r="J1077" s="25"/>
      <c r="K1077" s="25"/>
      <c r="L1077" s="25"/>
      <c r="M1077" s="25"/>
      <c r="N1077" s="25"/>
      <c r="O1077" s="25"/>
    </row>
    <row r="1078" spans="1:15" x14ac:dyDescent="0.25">
      <c r="A1078" s="77">
        <v>46113</v>
      </c>
      <c r="B1078" s="25" t="s">
        <v>567</v>
      </c>
      <c r="C1078" s="25" t="s">
        <v>1376</v>
      </c>
      <c r="D1078" s="77">
        <f t="shared" si="306"/>
        <v>46136</v>
      </c>
      <c r="E1078" s="77">
        <f t="shared" si="307"/>
        <v>46120</v>
      </c>
      <c r="F1078" s="77">
        <f t="shared" si="308"/>
        <v>46127</v>
      </c>
      <c r="G1078" s="77">
        <f t="shared" si="309"/>
        <v>46133</v>
      </c>
      <c r="H1078" s="77">
        <f t="shared" si="310"/>
        <v>46121</v>
      </c>
      <c r="I1078" s="77">
        <f t="shared" si="311"/>
        <v>46128</v>
      </c>
      <c r="J1078" s="25"/>
      <c r="K1078" s="25"/>
      <c r="L1078" s="25"/>
      <c r="M1078" s="25"/>
      <c r="N1078" s="25"/>
      <c r="O1078" s="25"/>
    </row>
    <row r="1079" spans="1:15" x14ac:dyDescent="0.25">
      <c r="A1079" s="77">
        <v>46113</v>
      </c>
      <c r="B1079" s="25" t="s">
        <v>568</v>
      </c>
      <c r="C1079" s="25" t="s">
        <v>1377</v>
      </c>
      <c r="D1079" s="77">
        <f t="shared" si="306"/>
        <v>46136</v>
      </c>
      <c r="E1079" s="77">
        <f t="shared" si="307"/>
        <v>46120</v>
      </c>
      <c r="F1079" s="77">
        <f t="shared" si="308"/>
        <v>46127</v>
      </c>
      <c r="G1079" s="77">
        <f t="shared" si="309"/>
        <v>46133</v>
      </c>
      <c r="H1079" s="77">
        <f t="shared" si="310"/>
        <v>46121</v>
      </c>
      <c r="I1079" s="77">
        <f t="shared" si="311"/>
        <v>46128</v>
      </c>
      <c r="J1079" s="25"/>
      <c r="K1079" s="25"/>
      <c r="L1079" s="25"/>
      <c r="M1079" s="25"/>
      <c r="N1079" s="25"/>
      <c r="O1079" s="25"/>
    </row>
    <row r="1080" spans="1:15" x14ac:dyDescent="0.25">
      <c r="A1080" s="77">
        <v>46113</v>
      </c>
      <c r="B1080" s="25" t="s">
        <v>569</v>
      </c>
      <c r="C1080" s="25" t="s">
        <v>1378</v>
      </c>
      <c r="D1080" s="77">
        <f t="shared" si="306"/>
        <v>46136</v>
      </c>
      <c r="E1080" s="77">
        <f t="shared" si="307"/>
        <v>46120</v>
      </c>
      <c r="F1080" s="77">
        <f t="shared" si="308"/>
        <v>46127</v>
      </c>
      <c r="G1080" s="77">
        <f t="shared" si="309"/>
        <v>46133</v>
      </c>
      <c r="H1080" s="77">
        <f t="shared" si="310"/>
        <v>46121</v>
      </c>
      <c r="I1080" s="77">
        <f t="shared" si="311"/>
        <v>46128</v>
      </c>
      <c r="J1080" s="25"/>
      <c r="K1080" s="25"/>
      <c r="L1080" s="25"/>
      <c r="M1080" s="25"/>
      <c r="N1080" s="25"/>
      <c r="O1080" s="25"/>
    </row>
    <row r="1081" spans="1:15" x14ac:dyDescent="0.25">
      <c r="A1081" s="77">
        <v>46113</v>
      </c>
      <c r="B1081" s="25" t="s">
        <v>570</v>
      </c>
      <c r="C1081" s="25" t="s">
        <v>1153</v>
      </c>
      <c r="D1081" s="77">
        <f t="shared" si="306"/>
        <v>46136</v>
      </c>
      <c r="E1081" s="77">
        <f t="shared" si="307"/>
        <v>46120</v>
      </c>
      <c r="F1081" s="77">
        <f t="shared" si="308"/>
        <v>46127</v>
      </c>
      <c r="G1081" s="77">
        <f t="shared" si="309"/>
        <v>46133</v>
      </c>
      <c r="H1081" s="77">
        <f t="shared" si="310"/>
        <v>46121</v>
      </c>
      <c r="I1081" s="77">
        <f t="shared" si="311"/>
        <v>46128</v>
      </c>
      <c r="J1081" s="25"/>
      <c r="K1081" s="25"/>
      <c r="L1081" s="25"/>
      <c r="M1081" s="25"/>
      <c r="N1081" s="25"/>
      <c r="O1081" s="25"/>
    </row>
    <row r="1082" spans="1:15" x14ac:dyDescent="0.25">
      <c r="A1082" s="77">
        <v>46113</v>
      </c>
      <c r="B1082" s="25" t="s">
        <v>571</v>
      </c>
      <c r="C1082" s="25" t="s">
        <v>1154</v>
      </c>
      <c r="D1082" s="77">
        <f t="shared" si="306"/>
        <v>46136</v>
      </c>
      <c r="E1082" s="77">
        <f t="shared" si="307"/>
        <v>46120</v>
      </c>
      <c r="F1082" s="77">
        <f t="shared" si="308"/>
        <v>46127</v>
      </c>
      <c r="G1082" s="77">
        <f t="shared" si="309"/>
        <v>46133</v>
      </c>
      <c r="H1082" s="77">
        <f t="shared" si="310"/>
        <v>46121</v>
      </c>
      <c r="I1082" s="77">
        <f t="shared" si="311"/>
        <v>46128</v>
      </c>
      <c r="J1082" s="25"/>
      <c r="K1082" s="25"/>
      <c r="L1082" s="25"/>
      <c r="M1082" s="25"/>
      <c r="N1082" s="25"/>
      <c r="O1082" s="25"/>
    </row>
    <row r="1083" spans="1:15" x14ac:dyDescent="0.25">
      <c r="A1083" s="77">
        <v>46113</v>
      </c>
      <c r="B1083" s="25" t="s">
        <v>572</v>
      </c>
      <c r="C1083" s="25" t="s">
        <v>1155</v>
      </c>
      <c r="D1083" s="77">
        <f t="shared" si="306"/>
        <v>46136</v>
      </c>
      <c r="E1083" s="77">
        <f t="shared" si="307"/>
        <v>46120</v>
      </c>
      <c r="F1083" s="77">
        <f t="shared" si="308"/>
        <v>46127</v>
      </c>
      <c r="G1083" s="77">
        <f t="shared" si="309"/>
        <v>46133</v>
      </c>
      <c r="H1083" s="77">
        <f t="shared" si="310"/>
        <v>46121</v>
      </c>
      <c r="I1083" s="77">
        <f t="shared" si="311"/>
        <v>46128</v>
      </c>
      <c r="J1083" s="25"/>
      <c r="K1083" s="25"/>
      <c r="L1083" s="25"/>
      <c r="M1083" s="25"/>
      <c r="N1083" s="25"/>
      <c r="O1083" s="25"/>
    </row>
    <row r="1084" spans="1:15" x14ac:dyDescent="0.25">
      <c r="A1084" s="77">
        <v>46114</v>
      </c>
      <c r="B1084" s="25" t="s">
        <v>573</v>
      </c>
      <c r="C1084" s="25" t="s">
        <v>1156</v>
      </c>
      <c r="D1084" s="77">
        <f t="shared" si="306"/>
        <v>46137</v>
      </c>
      <c r="E1084" s="77">
        <f t="shared" si="307"/>
        <v>46121</v>
      </c>
      <c r="F1084" s="77">
        <f t="shared" si="308"/>
        <v>46128</v>
      </c>
      <c r="G1084" s="77">
        <f t="shared" si="309"/>
        <v>46134</v>
      </c>
      <c r="H1084" s="77">
        <f t="shared" si="310"/>
        <v>46122</v>
      </c>
      <c r="I1084" s="77">
        <f t="shared" si="311"/>
        <v>46129</v>
      </c>
      <c r="J1084" s="25"/>
      <c r="K1084" s="25"/>
      <c r="L1084" s="25"/>
      <c r="M1084" s="25"/>
      <c r="N1084" s="25"/>
      <c r="O1084" s="25"/>
    </row>
    <row r="1085" spans="1:15" x14ac:dyDescent="0.25">
      <c r="A1085" s="77">
        <v>46114</v>
      </c>
      <c r="B1085" s="25" t="s">
        <v>574</v>
      </c>
      <c r="C1085" s="25" t="s">
        <v>1157</v>
      </c>
      <c r="D1085" s="77">
        <f t="shared" si="306"/>
        <v>46137</v>
      </c>
      <c r="E1085" s="77">
        <f t="shared" si="307"/>
        <v>46121</v>
      </c>
      <c r="F1085" s="77">
        <f t="shared" si="308"/>
        <v>46128</v>
      </c>
      <c r="G1085" s="77">
        <f t="shared" si="309"/>
        <v>46134</v>
      </c>
      <c r="H1085" s="77">
        <f t="shared" si="310"/>
        <v>46122</v>
      </c>
      <c r="I1085" s="77">
        <f t="shared" si="311"/>
        <v>46129</v>
      </c>
      <c r="J1085" s="25"/>
      <c r="K1085" s="25"/>
      <c r="L1085" s="25"/>
      <c r="M1085" s="25"/>
      <c r="N1085" s="25"/>
      <c r="O1085" s="25"/>
    </row>
    <row r="1086" spans="1:15" x14ac:dyDescent="0.25">
      <c r="A1086" s="77">
        <v>46114</v>
      </c>
      <c r="B1086" s="25" t="s">
        <v>575</v>
      </c>
      <c r="C1086" s="25" t="s">
        <v>1158</v>
      </c>
      <c r="D1086" s="77">
        <f t="shared" si="306"/>
        <v>46137</v>
      </c>
      <c r="E1086" s="77">
        <f t="shared" si="307"/>
        <v>46121</v>
      </c>
      <c r="F1086" s="77">
        <f t="shared" si="308"/>
        <v>46128</v>
      </c>
      <c r="G1086" s="77">
        <f t="shared" si="309"/>
        <v>46134</v>
      </c>
      <c r="H1086" s="77">
        <f t="shared" si="310"/>
        <v>46122</v>
      </c>
      <c r="I1086" s="77">
        <f t="shared" si="311"/>
        <v>46129</v>
      </c>
      <c r="J1086" s="25"/>
      <c r="K1086" s="25"/>
      <c r="L1086" s="25"/>
      <c r="M1086" s="25"/>
      <c r="N1086" s="25"/>
      <c r="O1086" s="25"/>
    </row>
    <row r="1087" spans="1:15" x14ac:dyDescent="0.25">
      <c r="A1087" s="77">
        <v>46114</v>
      </c>
      <c r="B1087" s="25" t="s">
        <v>576</v>
      </c>
      <c r="C1087" s="25" t="s">
        <v>1159</v>
      </c>
      <c r="D1087" s="77">
        <f t="shared" si="306"/>
        <v>46137</v>
      </c>
      <c r="E1087" s="77">
        <f t="shared" si="307"/>
        <v>46121</v>
      </c>
      <c r="F1087" s="77">
        <f t="shared" si="308"/>
        <v>46128</v>
      </c>
      <c r="G1087" s="77">
        <f t="shared" si="309"/>
        <v>46134</v>
      </c>
      <c r="H1087" s="77">
        <f t="shared" si="310"/>
        <v>46122</v>
      </c>
      <c r="I1087" s="77">
        <f t="shared" si="311"/>
        <v>46129</v>
      </c>
      <c r="J1087" s="25"/>
      <c r="K1087" s="25"/>
      <c r="L1087" s="25"/>
      <c r="M1087" s="25"/>
      <c r="N1087" s="25"/>
      <c r="O1087" s="25"/>
    </row>
    <row r="1088" spans="1:15" x14ac:dyDescent="0.25">
      <c r="A1088" s="77">
        <v>46114</v>
      </c>
      <c r="B1088" s="25" t="s">
        <v>577</v>
      </c>
      <c r="C1088" s="25" t="s">
        <v>1160</v>
      </c>
      <c r="D1088" s="77">
        <f t="shared" si="306"/>
        <v>46137</v>
      </c>
      <c r="E1088" s="77">
        <f t="shared" si="307"/>
        <v>46121</v>
      </c>
      <c r="F1088" s="77">
        <f t="shared" si="308"/>
        <v>46128</v>
      </c>
      <c r="G1088" s="77">
        <f t="shared" si="309"/>
        <v>46134</v>
      </c>
      <c r="H1088" s="77">
        <f t="shared" si="310"/>
        <v>46122</v>
      </c>
      <c r="I1088" s="77">
        <f t="shared" si="311"/>
        <v>46129</v>
      </c>
      <c r="J1088" s="25"/>
      <c r="K1088" s="25"/>
      <c r="L1088" s="25"/>
      <c r="M1088" s="25"/>
      <c r="N1088" s="25"/>
      <c r="O1088" s="25"/>
    </row>
    <row r="1089" spans="1:15" x14ac:dyDescent="0.25">
      <c r="A1089" s="77">
        <v>46114</v>
      </c>
      <c r="B1089" s="25" t="s">
        <v>578</v>
      </c>
      <c r="C1089" s="25" t="s">
        <v>1161</v>
      </c>
      <c r="D1089" s="77">
        <f t="shared" si="306"/>
        <v>46137</v>
      </c>
      <c r="E1089" s="77">
        <f t="shared" si="307"/>
        <v>46121</v>
      </c>
      <c r="F1089" s="77">
        <f t="shared" si="308"/>
        <v>46128</v>
      </c>
      <c r="G1089" s="77">
        <f t="shared" si="309"/>
        <v>46134</v>
      </c>
      <c r="H1089" s="77">
        <f t="shared" si="310"/>
        <v>46122</v>
      </c>
      <c r="I1089" s="77">
        <f t="shared" si="311"/>
        <v>46129</v>
      </c>
      <c r="J1089" s="25"/>
      <c r="K1089" s="25"/>
      <c r="L1089" s="25"/>
      <c r="M1089" s="25"/>
      <c r="N1089" s="25"/>
      <c r="O1089" s="25"/>
    </row>
    <row r="1090" spans="1:15" x14ac:dyDescent="0.25">
      <c r="A1090" s="77">
        <v>46114</v>
      </c>
      <c r="B1090" s="25" t="s">
        <v>1144</v>
      </c>
      <c r="C1090" s="25" t="s">
        <v>1162</v>
      </c>
      <c r="D1090" s="77">
        <f t="shared" si="306"/>
        <v>46137</v>
      </c>
      <c r="E1090" s="77">
        <f t="shared" si="307"/>
        <v>46121</v>
      </c>
      <c r="F1090" s="77">
        <f t="shared" si="308"/>
        <v>46128</v>
      </c>
      <c r="G1090" s="77">
        <f t="shared" si="309"/>
        <v>46134</v>
      </c>
      <c r="H1090" s="77">
        <f t="shared" si="310"/>
        <v>46122</v>
      </c>
      <c r="I1090" s="77">
        <f t="shared" si="311"/>
        <v>46129</v>
      </c>
      <c r="J1090" s="25"/>
      <c r="K1090" s="25"/>
      <c r="L1090" s="25"/>
      <c r="M1090" s="25"/>
      <c r="N1090" s="25"/>
      <c r="O1090" s="25"/>
    </row>
    <row r="1091" spans="1:15" x14ac:dyDescent="0.25">
      <c r="A1091" s="77">
        <v>46115</v>
      </c>
      <c r="B1091" s="25" t="s">
        <v>421</v>
      </c>
      <c r="C1091" s="25" t="s">
        <v>1170</v>
      </c>
      <c r="D1091" s="77">
        <f t="shared" si="306"/>
        <v>46138</v>
      </c>
      <c r="E1091" s="77">
        <f t="shared" si="307"/>
        <v>46122</v>
      </c>
      <c r="F1091" s="77">
        <f t="shared" si="308"/>
        <v>46129</v>
      </c>
      <c r="G1091" s="77">
        <f t="shared" si="309"/>
        <v>46135</v>
      </c>
      <c r="H1091" s="77">
        <f t="shared" si="310"/>
        <v>46123</v>
      </c>
      <c r="I1091" s="77">
        <f t="shared" si="311"/>
        <v>46130</v>
      </c>
      <c r="J1091" s="25"/>
      <c r="K1091" s="25"/>
      <c r="L1091" s="25"/>
      <c r="M1091" s="25"/>
      <c r="N1091" s="25"/>
      <c r="O1091" s="25"/>
    </row>
    <row r="1092" spans="1:15" x14ac:dyDescent="0.25">
      <c r="A1092" s="77">
        <v>46115</v>
      </c>
      <c r="B1092" s="25" t="s">
        <v>422</v>
      </c>
      <c r="C1092" s="25" t="s">
        <v>1171</v>
      </c>
      <c r="D1092" s="77">
        <f t="shared" si="306"/>
        <v>46138</v>
      </c>
      <c r="E1092" s="77">
        <f t="shared" si="307"/>
        <v>46122</v>
      </c>
      <c r="F1092" s="77">
        <f t="shared" si="308"/>
        <v>46129</v>
      </c>
      <c r="G1092" s="77">
        <f t="shared" si="309"/>
        <v>46135</v>
      </c>
      <c r="H1092" s="77">
        <f t="shared" si="310"/>
        <v>46123</v>
      </c>
      <c r="I1092" s="77">
        <f t="shared" si="311"/>
        <v>46130</v>
      </c>
      <c r="J1092" s="25"/>
      <c r="K1092" s="25"/>
      <c r="L1092" s="25"/>
      <c r="M1092" s="25"/>
      <c r="N1092" s="25"/>
      <c r="O1092" s="25"/>
    </row>
    <row r="1093" spans="1:15" x14ac:dyDescent="0.25">
      <c r="A1093" s="77">
        <v>46115</v>
      </c>
      <c r="B1093" s="25" t="s">
        <v>423</v>
      </c>
      <c r="C1093" s="25" t="s">
        <v>1172</v>
      </c>
      <c r="D1093" s="77">
        <f t="shared" si="306"/>
        <v>46138</v>
      </c>
      <c r="E1093" s="77">
        <f t="shared" si="307"/>
        <v>46122</v>
      </c>
      <c r="F1093" s="77">
        <f t="shared" si="308"/>
        <v>46129</v>
      </c>
      <c r="G1093" s="77">
        <f t="shared" si="309"/>
        <v>46135</v>
      </c>
      <c r="H1093" s="77">
        <f t="shared" si="310"/>
        <v>46123</v>
      </c>
      <c r="I1093" s="77">
        <f t="shared" si="311"/>
        <v>46130</v>
      </c>
      <c r="J1093" s="25"/>
      <c r="K1093" s="25"/>
      <c r="L1093" s="25"/>
      <c r="M1093" s="25"/>
      <c r="N1093" s="25"/>
      <c r="O1093" s="25"/>
    </row>
    <row r="1094" spans="1:15" x14ac:dyDescent="0.25">
      <c r="A1094" s="77">
        <v>46115</v>
      </c>
      <c r="B1094" s="25" t="s">
        <v>424</v>
      </c>
      <c r="C1094" s="25" t="s">
        <v>1173</v>
      </c>
      <c r="D1094" s="77">
        <f t="shared" si="306"/>
        <v>46138</v>
      </c>
      <c r="E1094" s="77">
        <f t="shared" si="307"/>
        <v>46122</v>
      </c>
      <c r="F1094" s="77">
        <f t="shared" si="308"/>
        <v>46129</v>
      </c>
      <c r="G1094" s="77">
        <f t="shared" si="309"/>
        <v>46135</v>
      </c>
      <c r="H1094" s="77">
        <f t="shared" si="310"/>
        <v>46123</v>
      </c>
      <c r="I1094" s="77">
        <f t="shared" si="311"/>
        <v>46130</v>
      </c>
      <c r="J1094" s="25"/>
      <c r="K1094" s="25"/>
      <c r="L1094" s="25"/>
      <c r="M1094" s="25"/>
      <c r="N1094" s="25"/>
      <c r="O1094" s="25"/>
    </row>
    <row r="1095" spans="1:15" x14ac:dyDescent="0.25">
      <c r="A1095" s="77">
        <v>46115</v>
      </c>
      <c r="B1095" s="25" t="s">
        <v>425</v>
      </c>
      <c r="C1095" s="25" t="s">
        <v>1174</v>
      </c>
      <c r="D1095" s="77">
        <f t="shared" si="306"/>
        <v>46138</v>
      </c>
      <c r="E1095" s="77">
        <f t="shared" si="307"/>
        <v>46122</v>
      </c>
      <c r="F1095" s="77">
        <f t="shared" si="308"/>
        <v>46129</v>
      </c>
      <c r="G1095" s="77">
        <f t="shared" si="309"/>
        <v>46135</v>
      </c>
      <c r="H1095" s="77">
        <f t="shared" si="310"/>
        <v>46123</v>
      </c>
      <c r="I1095" s="77">
        <f t="shared" si="311"/>
        <v>46130</v>
      </c>
      <c r="J1095" s="25"/>
      <c r="K1095" s="25"/>
      <c r="L1095" s="25"/>
      <c r="M1095" s="25"/>
      <c r="N1095" s="25"/>
      <c r="O1095" s="25"/>
    </row>
    <row r="1096" spans="1:15" x14ac:dyDescent="0.25">
      <c r="A1096" s="77">
        <v>46115</v>
      </c>
      <c r="B1096" s="25" t="s">
        <v>426</v>
      </c>
      <c r="C1096" s="25" t="s">
        <v>1175</v>
      </c>
      <c r="D1096" s="77">
        <f t="shared" si="306"/>
        <v>46138</v>
      </c>
      <c r="E1096" s="77">
        <f t="shared" si="307"/>
        <v>46122</v>
      </c>
      <c r="F1096" s="77">
        <f t="shared" si="308"/>
        <v>46129</v>
      </c>
      <c r="G1096" s="77">
        <f t="shared" si="309"/>
        <v>46135</v>
      </c>
      <c r="H1096" s="77">
        <f t="shared" si="310"/>
        <v>46123</v>
      </c>
      <c r="I1096" s="77">
        <f t="shared" si="311"/>
        <v>46130</v>
      </c>
      <c r="J1096" s="25"/>
      <c r="K1096" s="25"/>
      <c r="L1096" s="25"/>
      <c r="M1096" s="25"/>
      <c r="N1096" s="25"/>
      <c r="O1096" s="25"/>
    </row>
    <row r="1097" spans="1:15" x14ac:dyDescent="0.25">
      <c r="A1097" s="77">
        <v>46115</v>
      </c>
      <c r="B1097" s="25" t="s">
        <v>427</v>
      </c>
      <c r="C1097" s="25" t="s">
        <v>1176</v>
      </c>
      <c r="D1097" s="77">
        <f t="shared" si="306"/>
        <v>46138</v>
      </c>
      <c r="E1097" s="77">
        <f t="shared" si="307"/>
        <v>46122</v>
      </c>
      <c r="F1097" s="77">
        <f t="shared" si="308"/>
        <v>46129</v>
      </c>
      <c r="G1097" s="77">
        <f t="shared" si="309"/>
        <v>46135</v>
      </c>
      <c r="H1097" s="77">
        <f t="shared" si="310"/>
        <v>46123</v>
      </c>
      <c r="I1097" s="77">
        <f t="shared" si="311"/>
        <v>46130</v>
      </c>
      <c r="J1097" s="25"/>
      <c r="K1097" s="25"/>
      <c r="L1097" s="25"/>
      <c r="M1097" s="25"/>
      <c r="N1097" s="25"/>
      <c r="O1097" s="25"/>
    </row>
    <row r="1098" spans="1:15" x14ac:dyDescent="0.25">
      <c r="A1098" s="77">
        <v>46116</v>
      </c>
      <c r="B1098" s="25" t="s">
        <v>451</v>
      </c>
      <c r="C1098" s="25" t="s">
        <v>1177</v>
      </c>
      <c r="D1098" s="77">
        <f t="shared" si="306"/>
        <v>46139</v>
      </c>
      <c r="E1098" s="77">
        <f t="shared" si="307"/>
        <v>46123</v>
      </c>
      <c r="F1098" s="77">
        <f t="shared" si="308"/>
        <v>46130</v>
      </c>
      <c r="G1098" s="77">
        <f t="shared" si="309"/>
        <v>46136</v>
      </c>
      <c r="H1098" s="77">
        <f t="shared" si="310"/>
        <v>46124</v>
      </c>
      <c r="I1098" s="77">
        <f t="shared" si="311"/>
        <v>46131</v>
      </c>
      <c r="J1098" s="25"/>
      <c r="K1098" s="25"/>
      <c r="L1098" s="25"/>
      <c r="M1098" s="25"/>
      <c r="N1098" s="25"/>
      <c r="O1098" s="25"/>
    </row>
    <row r="1099" spans="1:15" x14ac:dyDescent="0.25">
      <c r="A1099" s="77">
        <v>46116</v>
      </c>
      <c r="B1099" s="25" t="s">
        <v>452</v>
      </c>
      <c r="C1099" s="25" t="s">
        <v>1178</v>
      </c>
      <c r="D1099" s="77">
        <f t="shared" si="306"/>
        <v>46139</v>
      </c>
      <c r="E1099" s="77">
        <f t="shared" si="307"/>
        <v>46123</v>
      </c>
      <c r="F1099" s="77">
        <f t="shared" si="308"/>
        <v>46130</v>
      </c>
      <c r="G1099" s="77">
        <f t="shared" si="309"/>
        <v>46136</v>
      </c>
      <c r="H1099" s="77">
        <f t="shared" si="310"/>
        <v>46124</v>
      </c>
      <c r="I1099" s="77">
        <f t="shared" si="311"/>
        <v>46131</v>
      </c>
      <c r="J1099" s="25"/>
      <c r="K1099" s="25"/>
      <c r="L1099" s="25"/>
      <c r="M1099" s="25"/>
      <c r="N1099" s="25"/>
      <c r="O1099" s="25"/>
    </row>
    <row r="1100" spans="1:15" x14ac:dyDescent="0.25">
      <c r="A1100" s="77">
        <v>46116</v>
      </c>
      <c r="B1100" s="25" t="s">
        <v>453</v>
      </c>
      <c r="C1100" s="25" t="s">
        <v>1179</v>
      </c>
      <c r="D1100" s="77">
        <f t="shared" si="306"/>
        <v>46139</v>
      </c>
      <c r="E1100" s="77">
        <f t="shared" si="307"/>
        <v>46123</v>
      </c>
      <c r="F1100" s="77">
        <f t="shared" si="308"/>
        <v>46130</v>
      </c>
      <c r="G1100" s="77">
        <f t="shared" si="309"/>
        <v>46136</v>
      </c>
      <c r="H1100" s="77">
        <f t="shared" si="310"/>
        <v>46124</v>
      </c>
      <c r="I1100" s="77">
        <f t="shared" si="311"/>
        <v>46131</v>
      </c>
      <c r="J1100" s="25"/>
      <c r="K1100" s="25"/>
      <c r="L1100" s="25"/>
      <c r="M1100" s="25"/>
      <c r="N1100" s="25"/>
      <c r="O1100" s="25"/>
    </row>
    <row r="1101" spans="1:15" x14ac:dyDescent="0.25">
      <c r="A1101" s="77">
        <v>46116</v>
      </c>
      <c r="B1101" s="25" t="s">
        <v>454</v>
      </c>
      <c r="C1101" s="25" t="s">
        <v>1180</v>
      </c>
      <c r="D1101" s="77">
        <f t="shared" si="306"/>
        <v>46139</v>
      </c>
      <c r="E1101" s="77">
        <f t="shared" si="307"/>
        <v>46123</v>
      </c>
      <c r="F1101" s="77">
        <f t="shared" si="308"/>
        <v>46130</v>
      </c>
      <c r="G1101" s="77">
        <f t="shared" si="309"/>
        <v>46136</v>
      </c>
      <c r="H1101" s="77">
        <f t="shared" si="310"/>
        <v>46124</v>
      </c>
      <c r="I1101" s="77">
        <f t="shared" si="311"/>
        <v>46131</v>
      </c>
      <c r="J1101" s="25"/>
      <c r="K1101" s="25"/>
      <c r="L1101" s="25"/>
      <c r="M1101" s="25"/>
      <c r="N1101" s="25"/>
      <c r="O1101" s="25"/>
    </row>
    <row r="1102" spans="1:15" x14ac:dyDescent="0.25">
      <c r="A1102" s="77">
        <v>46116</v>
      </c>
      <c r="B1102" s="25" t="s">
        <v>455</v>
      </c>
      <c r="C1102" s="25" t="s">
        <v>1181</v>
      </c>
      <c r="D1102" s="77">
        <f t="shared" si="306"/>
        <v>46139</v>
      </c>
      <c r="E1102" s="77">
        <f t="shared" si="307"/>
        <v>46123</v>
      </c>
      <c r="F1102" s="77">
        <f t="shared" si="308"/>
        <v>46130</v>
      </c>
      <c r="G1102" s="77">
        <f t="shared" si="309"/>
        <v>46136</v>
      </c>
      <c r="H1102" s="77">
        <f t="shared" si="310"/>
        <v>46124</v>
      </c>
      <c r="I1102" s="77">
        <f t="shared" si="311"/>
        <v>46131</v>
      </c>
      <c r="J1102" s="25"/>
      <c r="K1102" s="25"/>
      <c r="L1102" s="25"/>
      <c r="M1102" s="25"/>
      <c r="N1102" s="25"/>
      <c r="O1102" s="25"/>
    </row>
    <row r="1103" spans="1:15" x14ac:dyDescent="0.25">
      <c r="A1103" s="77">
        <v>46116</v>
      </c>
      <c r="B1103" s="25" t="s">
        <v>456</v>
      </c>
      <c r="C1103" s="25" t="s">
        <v>1182</v>
      </c>
      <c r="D1103" s="77">
        <f t="shared" si="306"/>
        <v>46139</v>
      </c>
      <c r="E1103" s="77">
        <f t="shared" si="307"/>
        <v>46123</v>
      </c>
      <c r="F1103" s="77">
        <f t="shared" si="308"/>
        <v>46130</v>
      </c>
      <c r="G1103" s="77">
        <f t="shared" si="309"/>
        <v>46136</v>
      </c>
      <c r="H1103" s="77">
        <f t="shared" si="310"/>
        <v>46124</v>
      </c>
      <c r="I1103" s="77">
        <f t="shared" si="311"/>
        <v>46131</v>
      </c>
      <c r="J1103" s="25"/>
      <c r="K1103" s="25"/>
      <c r="L1103" s="25"/>
      <c r="M1103" s="25"/>
      <c r="N1103" s="25"/>
      <c r="O1103" s="25"/>
    </row>
    <row r="1104" spans="1:15" x14ac:dyDescent="0.25">
      <c r="A1104" s="77">
        <v>46116</v>
      </c>
      <c r="B1104" s="25" t="s">
        <v>457</v>
      </c>
      <c r="C1104" s="25" t="s">
        <v>1183</v>
      </c>
      <c r="D1104" s="77">
        <f t="shared" si="306"/>
        <v>46139</v>
      </c>
      <c r="E1104" s="77">
        <f t="shared" si="307"/>
        <v>46123</v>
      </c>
      <c r="F1104" s="77">
        <f t="shared" si="308"/>
        <v>46130</v>
      </c>
      <c r="G1104" s="77">
        <f t="shared" si="309"/>
        <v>46136</v>
      </c>
      <c r="H1104" s="77">
        <f t="shared" si="310"/>
        <v>46124</v>
      </c>
      <c r="I1104" s="77">
        <f t="shared" si="311"/>
        <v>46131</v>
      </c>
      <c r="J1104" s="25"/>
      <c r="K1104" s="25"/>
      <c r="L1104" s="25"/>
      <c r="M1104" s="25"/>
      <c r="N1104" s="25"/>
      <c r="O1104" s="25"/>
    </row>
    <row r="1105" spans="1:15" x14ac:dyDescent="0.25">
      <c r="A1105" s="77">
        <v>46117</v>
      </c>
      <c r="B1105" s="25" t="s">
        <v>414</v>
      </c>
      <c r="C1105" s="25" t="s">
        <v>1184</v>
      </c>
      <c r="D1105" s="77">
        <f t="shared" si="306"/>
        <v>46140</v>
      </c>
      <c r="E1105" s="77">
        <f t="shared" si="307"/>
        <v>46124</v>
      </c>
      <c r="F1105" s="77">
        <f t="shared" si="308"/>
        <v>46131</v>
      </c>
      <c r="G1105" s="77">
        <f t="shared" si="309"/>
        <v>46137</v>
      </c>
      <c r="H1105" s="77">
        <f t="shared" si="310"/>
        <v>46125</v>
      </c>
      <c r="I1105" s="77">
        <f t="shared" si="311"/>
        <v>46132</v>
      </c>
      <c r="J1105" s="25"/>
      <c r="K1105" s="25"/>
      <c r="L1105" s="25"/>
      <c r="M1105" s="25"/>
      <c r="N1105" s="25"/>
      <c r="O1105" s="25"/>
    </row>
    <row r="1106" spans="1:15" x14ac:dyDescent="0.25">
      <c r="A1106" s="77">
        <v>46117</v>
      </c>
      <c r="B1106" s="25" t="s">
        <v>415</v>
      </c>
      <c r="C1106" s="25" t="s">
        <v>1185</v>
      </c>
      <c r="D1106" s="77">
        <f t="shared" si="306"/>
        <v>46140</v>
      </c>
      <c r="E1106" s="77">
        <f t="shared" si="307"/>
        <v>46124</v>
      </c>
      <c r="F1106" s="77">
        <f t="shared" si="308"/>
        <v>46131</v>
      </c>
      <c r="G1106" s="77">
        <f t="shared" si="309"/>
        <v>46137</v>
      </c>
      <c r="H1106" s="77">
        <f t="shared" si="310"/>
        <v>46125</v>
      </c>
      <c r="I1106" s="77">
        <f t="shared" si="311"/>
        <v>46132</v>
      </c>
      <c r="J1106" s="25"/>
      <c r="K1106" s="25"/>
      <c r="L1106" s="25"/>
      <c r="M1106" s="25"/>
      <c r="N1106" s="25"/>
      <c r="O1106" s="25"/>
    </row>
    <row r="1107" spans="1:15" x14ac:dyDescent="0.25">
      <c r="A1107" s="77">
        <v>46117</v>
      </c>
      <c r="B1107" s="25" t="s">
        <v>416</v>
      </c>
      <c r="C1107" s="25" t="s">
        <v>1186</v>
      </c>
      <c r="D1107" s="77">
        <f t="shared" ref="D1107:D1111" si="312">A1107+23</f>
        <v>46140</v>
      </c>
      <c r="E1107" s="77">
        <f t="shared" ref="E1107:E1111" si="313">A1107+7</f>
        <v>46124</v>
      </c>
      <c r="F1107" s="77">
        <f t="shared" ref="F1107:F1111" si="314">A1107+14</f>
        <v>46131</v>
      </c>
      <c r="G1107" s="77">
        <f t="shared" ref="G1107:G1111" si="315">A1107+20</f>
        <v>46137</v>
      </c>
      <c r="H1107" s="77">
        <f t="shared" ref="H1107:H1111" si="316">A1107+8</f>
        <v>46125</v>
      </c>
      <c r="I1107" s="77">
        <f t="shared" ref="I1107:I1111" si="317">A1107+15</f>
        <v>46132</v>
      </c>
      <c r="J1107" s="25"/>
      <c r="K1107" s="25"/>
      <c r="L1107" s="25"/>
      <c r="M1107" s="25"/>
      <c r="N1107" s="25"/>
      <c r="O1107" s="25"/>
    </row>
    <row r="1108" spans="1:15" x14ac:dyDescent="0.25">
      <c r="A1108" s="77">
        <v>46117</v>
      </c>
      <c r="B1108" s="25" t="s">
        <v>417</v>
      </c>
      <c r="C1108" s="25" t="s">
        <v>1187</v>
      </c>
      <c r="D1108" s="77">
        <f t="shared" si="312"/>
        <v>46140</v>
      </c>
      <c r="E1108" s="77">
        <f t="shared" si="313"/>
        <v>46124</v>
      </c>
      <c r="F1108" s="77">
        <f t="shared" si="314"/>
        <v>46131</v>
      </c>
      <c r="G1108" s="77">
        <f t="shared" si="315"/>
        <v>46137</v>
      </c>
      <c r="H1108" s="77">
        <f t="shared" si="316"/>
        <v>46125</v>
      </c>
      <c r="I1108" s="77">
        <f t="shared" si="317"/>
        <v>46132</v>
      </c>
      <c r="J1108" s="25"/>
      <c r="K1108" s="25"/>
      <c r="L1108" s="25"/>
      <c r="M1108" s="25"/>
      <c r="N1108" s="25"/>
      <c r="O1108" s="25"/>
    </row>
    <row r="1109" spans="1:15" x14ac:dyDescent="0.25">
      <c r="A1109" s="77">
        <v>46117</v>
      </c>
      <c r="B1109" s="25" t="s">
        <v>418</v>
      </c>
      <c r="C1109" s="25" t="s">
        <v>1188</v>
      </c>
      <c r="D1109" s="77">
        <f t="shared" si="312"/>
        <v>46140</v>
      </c>
      <c r="E1109" s="77">
        <f t="shared" si="313"/>
        <v>46124</v>
      </c>
      <c r="F1109" s="77">
        <f t="shared" si="314"/>
        <v>46131</v>
      </c>
      <c r="G1109" s="77">
        <f t="shared" si="315"/>
        <v>46137</v>
      </c>
      <c r="H1109" s="77">
        <f t="shared" si="316"/>
        <v>46125</v>
      </c>
      <c r="I1109" s="77">
        <f t="shared" si="317"/>
        <v>46132</v>
      </c>
      <c r="J1109" s="25"/>
      <c r="K1109" s="25"/>
      <c r="L1109" s="25"/>
      <c r="M1109" s="25"/>
      <c r="N1109" s="25"/>
      <c r="O1109" s="25"/>
    </row>
    <row r="1110" spans="1:15" x14ac:dyDescent="0.25">
      <c r="A1110" s="77">
        <v>46117</v>
      </c>
      <c r="B1110" s="25" t="s">
        <v>419</v>
      </c>
      <c r="C1110" s="25" t="s">
        <v>1189</v>
      </c>
      <c r="D1110" s="77">
        <f t="shared" si="312"/>
        <v>46140</v>
      </c>
      <c r="E1110" s="77">
        <f t="shared" si="313"/>
        <v>46124</v>
      </c>
      <c r="F1110" s="77">
        <f t="shared" si="314"/>
        <v>46131</v>
      </c>
      <c r="G1110" s="77">
        <f t="shared" si="315"/>
        <v>46137</v>
      </c>
      <c r="H1110" s="77">
        <f t="shared" si="316"/>
        <v>46125</v>
      </c>
      <c r="I1110" s="77">
        <f t="shared" si="317"/>
        <v>46132</v>
      </c>
      <c r="J1110" s="25"/>
      <c r="K1110" s="25"/>
      <c r="L1110" s="25"/>
      <c r="M1110" s="25"/>
      <c r="N1110" s="25"/>
      <c r="O1110" s="25"/>
    </row>
    <row r="1111" spans="1:15" x14ac:dyDescent="0.25">
      <c r="A1111" s="77">
        <v>46117</v>
      </c>
      <c r="B1111" s="25" t="s">
        <v>420</v>
      </c>
      <c r="C1111" s="25" t="s">
        <v>1190</v>
      </c>
      <c r="D1111" s="77">
        <f t="shared" si="312"/>
        <v>46140</v>
      </c>
      <c r="E1111" s="77">
        <f t="shared" si="313"/>
        <v>46124</v>
      </c>
      <c r="F1111" s="77">
        <f t="shared" si="314"/>
        <v>46131</v>
      </c>
      <c r="G1111" s="77">
        <f t="shared" si="315"/>
        <v>46137</v>
      </c>
      <c r="H1111" s="77">
        <f t="shared" si="316"/>
        <v>46125</v>
      </c>
      <c r="I1111" s="77">
        <f t="shared" si="317"/>
        <v>46132</v>
      </c>
      <c r="J1111" s="25"/>
      <c r="K1111" s="25"/>
      <c r="L1111" s="25"/>
      <c r="M1111" s="25"/>
      <c r="N1111" s="25"/>
      <c r="O1111" s="25"/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12" type="noConversion"/>
  <conditionalFormatting sqref="A802:A870">
    <cfRule type="expression" dxfId="42" priority="11">
      <formula>$L802&gt;0</formula>
    </cfRule>
  </conditionalFormatting>
  <conditionalFormatting sqref="A579:B710 J610:J713 A1112:C1048576">
    <cfRule type="expression" dxfId="40" priority="57">
      <formula>$L579&gt;0</formula>
    </cfRule>
  </conditionalFormatting>
  <conditionalFormatting sqref="A711:B715 J712:J715">
    <cfRule type="expression" dxfId="39" priority="61">
      <formula>$N715&gt;0</formula>
    </cfRule>
  </conditionalFormatting>
  <conditionalFormatting sqref="A716:B801 J716:J870 J1112:J1048576">
    <cfRule type="expression" dxfId="38" priority="18">
      <formula>$L716&gt;0</formula>
    </cfRule>
  </conditionalFormatting>
  <conditionalFormatting sqref="A1:C169 D349:I369 D370:J370 D373:K373 A373:C376 D374:I376 K374:K376 A381:K414 A416:I422 A463:I463 D483:I483 A483:C578">
    <cfRule type="expression" dxfId="37" priority="121">
      <formula>$L1&gt;0</formula>
    </cfRule>
  </conditionalFormatting>
  <conditionalFormatting sqref="A189:C370">
    <cfRule type="expression" dxfId="36" priority="109">
      <formula>$L189&gt;0</formula>
    </cfRule>
  </conditionalFormatting>
  <conditionalFormatting sqref="A415:I415 A423:I429 B430:I430 A430:A434 A431:K434 A435:I437 A438:K462 A464:K482">
    <cfRule type="expression" dxfId="35" priority="8944">
      <formula>#REF!&gt;0</formula>
    </cfRule>
  </conditionalFormatting>
  <conditionalFormatting sqref="A814:J870">
    <cfRule type="expression" dxfId="34" priority="10">
      <formula>$K814&gt;0</formula>
    </cfRule>
  </conditionalFormatting>
  <conditionalFormatting sqref="A371:K372 K372:K376 A377:K380">
    <cfRule type="expression" dxfId="33" priority="8942">
      <formula>#REF!&gt;0</formula>
    </cfRule>
  </conditionalFormatting>
  <conditionalFormatting sqref="B802:I802">
    <cfRule type="expression" dxfId="32" priority="21">
      <formula>$K802&gt;0</formula>
    </cfRule>
  </conditionalFormatting>
  <conditionalFormatting sqref="C579:I813 A803:B813">
    <cfRule type="expression" dxfId="31" priority="20">
      <formula>$K579&gt;0</formula>
    </cfRule>
  </conditionalFormatting>
  <conditionalFormatting sqref="D1:I169 A170:J188 D189:I348 D363:I578">
    <cfRule type="expression" dxfId="30" priority="124">
      <formula>$K1&gt;0</formula>
    </cfRule>
  </conditionalFormatting>
  <conditionalFormatting sqref="D1112:I1048576">
    <cfRule type="expression" dxfId="29" priority="33">
      <formula>$K1112&gt;0</formula>
    </cfRule>
  </conditionalFormatting>
  <conditionalFormatting sqref="D484:K609">
    <cfRule type="expression" dxfId="28" priority="83">
      <formula>$L484&gt;0</formula>
    </cfRule>
  </conditionalFormatting>
  <conditionalFormatting sqref="J1:J247">
    <cfRule type="expression" dxfId="27" priority="113">
      <formula>$L1&gt;0</formula>
    </cfRule>
  </conditionalFormatting>
  <conditionalFormatting sqref="J248:J249">
    <cfRule type="expression" dxfId="26" priority="8907">
      <formula>$L247&gt;0</formula>
    </cfRule>
  </conditionalFormatting>
  <conditionalFormatting sqref="J250:J380">
    <cfRule type="expression" dxfId="25" priority="108">
      <formula>$L250&gt;0</formula>
    </cfRule>
  </conditionalFormatting>
  <conditionalFormatting sqref="J450:J578">
    <cfRule type="expression" dxfId="24" priority="84">
      <formula>$L450&gt;0</formula>
    </cfRule>
  </conditionalFormatting>
  <conditionalFormatting sqref="J723:J870">
    <cfRule type="expression" dxfId="23" priority="13">
      <formula>$N727&gt;0</formula>
    </cfRule>
  </conditionalFormatting>
  <conditionalFormatting sqref="J415:K450">
    <cfRule type="expression" dxfId="22" priority="101">
      <formula>$L415&gt;0</formula>
    </cfRule>
  </conditionalFormatting>
  <conditionalFormatting sqref="J456:K457">
    <cfRule type="expression" dxfId="21" priority="100">
      <formula>$L456&gt;0</formula>
    </cfRule>
  </conditionalFormatting>
  <conditionalFormatting sqref="J463:K463">
    <cfRule type="expression" dxfId="20" priority="89">
      <formula>#REF!&gt;0</formula>
    </cfRule>
  </conditionalFormatting>
  <conditionalFormatting sqref="J483:K489">
    <cfRule type="expression" dxfId="19" priority="88">
      <formula>#REF!&gt;0</formula>
    </cfRule>
  </conditionalFormatting>
  <conditionalFormatting sqref="J501:K501 J501:J504">
    <cfRule type="expression" dxfId="18" priority="87">
      <formula>#REF!&gt;0</formula>
    </cfRule>
  </conditionalFormatting>
  <conditionalFormatting sqref="K450:K456">
    <cfRule type="expression" dxfId="17" priority="103">
      <formula>$L450&gt;0</formula>
    </cfRule>
  </conditionalFormatting>
  <conditionalFormatting sqref="K458:K489">
    <cfRule type="expression" dxfId="16" priority="93">
      <formula>$L458&gt;0</formula>
    </cfRule>
  </conditionalFormatting>
  <conditionalFormatting sqref="K501">
    <cfRule type="expression" dxfId="15" priority="86">
      <formula>$L501&gt;0</formula>
    </cfRule>
  </conditionalFormatting>
  <conditionalFormatting sqref="K609:K628">
    <cfRule type="expression" dxfId="14" priority="72">
      <formula>$L609&gt;0</formula>
    </cfRule>
  </conditionalFormatting>
  <conditionalFormatting sqref="K636:K642">
    <cfRule type="expression" dxfId="13" priority="73">
      <formula>$L636&gt;0</formula>
    </cfRule>
  </conditionalFormatting>
  <conditionalFormatting sqref="A871:A1111">
    <cfRule type="expression" dxfId="8" priority="2">
      <formula>$L871&gt;0</formula>
    </cfRule>
  </conditionalFormatting>
  <conditionalFormatting sqref="A1063:A1111 B1064:B1111">
    <cfRule type="expression" dxfId="7" priority="3">
      <formula>$K1063&gt;0</formula>
    </cfRule>
  </conditionalFormatting>
  <conditionalFormatting sqref="C885:J1111">
    <cfRule type="expression" dxfId="6" priority="8">
      <formula>$K885&gt;0</formula>
    </cfRule>
  </conditionalFormatting>
  <conditionalFormatting sqref="J871:J1111">
    <cfRule type="expression" dxfId="5" priority="7">
      <formula>$L871&gt;0</formula>
    </cfRule>
  </conditionalFormatting>
  <conditionalFormatting sqref="A885:B942">
    <cfRule type="expression" dxfId="4" priority="6">
      <formula>$K885&gt;0</formula>
    </cfRule>
  </conditionalFormatting>
  <conditionalFormatting sqref="A943:B971">
    <cfRule type="expression" dxfId="3" priority="5">
      <formula>$K943&gt;0</formula>
    </cfRule>
  </conditionalFormatting>
  <conditionalFormatting sqref="A972:B1063">
    <cfRule type="expression" dxfId="2" priority="1">
      <formula>$K972&gt;0</formula>
    </cfRule>
  </conditionalFormatting>
  <conditionalFormatting sqref="A871:J884 J885:J908">
    <cfRule type="expression" dxfId="1" priority="9">
      <formula>$K871&gt;0</formula>
    </cfRule>
  </conditionalFormatting>
  <conditionalFormatting sqref="J871:J908">
    <cfRule type="expression" dxfId="0" priority="4">
      <formula>$N875&gt;0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108" activePane="bottomRight" state="frozen"/>
      <selection pane="topRight" activeCell="D1" sqref="D1"/>
      <selection pane="bottomLeft" activeCell="A2" sqref="A2"/>
      <selection pane="bottomRight" activeCell="J111" sqref="J111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12" priority="10">
      <formula>$K2&gt;0</formula>
    </cfRule>
  </conditionalFormatting>
  <conditionalFormatting sqref="C2:C111">
    <cfRule type="expression" dxfId="11" priority="4">
      <formula>$K2&gt;0</formula>
    </cfRule>
  </conditionalFormatting>
  <conditionalFormatting sqref="C115:C119">
    <cfRule type="expression" dxfId="10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217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9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2026-04-06T10:27:55Z</dcterms:modified>
</cp:coreProperties>
</file>