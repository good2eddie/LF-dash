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3" documentId="13_ncr:1_{38E5C085-8131-40F3-8E8E-B1ADC979640E}" xr6:coauthVersionLast="47" xr6:coauthVersionMax="47" xr10:uidLastSave="{E460AC6F-7942-4F2D-BD47-DFE47663BE2E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552" i="3" l="1"/>
  <c r="H1552" i="3"/>
  <c r="G1552" i="3"/>
  <c r="F1552" i="3"/>
  <c r="E1552" i="3"/>
  <c r="D1552" i="3"/>
  <c r="C1552" i="3"/>
  <c r="I1551" i="3"/>
  <c r="H1551" i="3"/>
  <c r="G1551" i="3"/>
  <c r="F1551" i="3"/>
  <c r="E1551" i="3"/>
  <c r="D1551" i="3"/>
  <c r="C1551" i="3"/>
  <c r="I1550" i="3"/>
  <c r="H1550" i="3"/>
  <c r="G1550" i="3"/>
  <c r="F1550" i="3"/>
  <c r="E1550" i="3"/>
  <c r="D1550" i="3"/>
  <c r="C1550" i="3"/>
  <c r="I1549" i="3"/>
  <c r="H1549" i="3"/>
  <c r="G1549" i="3"/>
  <c r="F1549" i="3"/>
  <c r="E1549" i="3"/>
  <c r="D1549" i="3"/>
  <c r="C1549" i="3"/>
  <c r="I1548" i="3"/>
  <c r="H1548" i="3"/>
  <c r="G1548" i="3"/>
  <c r="F1548" i="3"/>
  <c r="E1548" i="3"/>
  <c r="D1548" i="3"/>
  <c r="C1548" i="3"/>
  <c r="I1547" i="3"/>
  <c r="H1547" i="3"/>
  <c r="G1547" i="3"/>
  <c r="F1547" i="3"/>
  <c r="E1547" i="3"/>
  <c r="D1547" i="3"/>
  <c r="C1547" i="3"/>
  <c r="I1546" i="3"/>
  <c r="H1546" i="3"/>
  <c r="G1546" i="3"/>
  <c r="F1546" i="3"/>
  <c r="E1546" i="3"/>
  <c r="D1546" i="3"/>
  <c r="C1546" i="3"/>
  <c r="I1545" i="3"/>
  <c r="H1545" i="3"/>
  <c r="G1545" i="3"/>
  <c r="F1545" i="3"/>
  <c r="E1545" i="3"/>
  <c r="D1545" i="3"/>
  <c r="C1545" i="3"/>
  <c r="I1544" i="3"/>
  <c r="H1544" i="3"/>
  <c r="G1544" i="3"/>
  <c r="F1544" i="3"/>
  <c r="E1544" i="3"/>
  <c r="D1544" i="3"/>
  <c r="C1544" i="3"/>
  <c r="I1543" i="3"/>
  <c r="H1543" i="3"/>
  <c r="G1543" i="3"/>
  <c r="F1543" i="3"/>
  <c r="E1543" i="3"/>
  <c r="D1543" i="3"/>
  <c r="C1543" i="3"/>
  <c r="I1542" i="3"/>
  <c r="H1542" i="3"/>
  <c r="G1542" i="3"/>
  <c r="F1542" i="3"/>
  <c r="E1542" i="3"/>
  <c r="D1542" i="3"/>
  <c r="C1542" i="3"/>
  <c r="I1541" i="3"/>
  <c r="H1541" i="3"/>
  <c r="G1541" i="3"/>
  <c r="F1541" i="3"/>
  <c r="E1541" i="3"/>
  <c r="D1541" i="3"/>
  <c r="C1541" i="3"/>
  <c r="I1540" i="3"/>
  <c r="H1540" i="3"/>
  <c r="G1540" i="3"/>
  <c r="F1540" i="3"/>
  <c r="E1540" i="3"/>
  <c r="D1540" i="3"/>
  <c r="C1540" i="3"/>
  <c r="I1539" i="3"/>
  <c r="H1539" i="3"/>
  <c r="G1539" i="3"/>
  <c r="F1539" i="3"/>
  <c r="E1539" i="3"/>
  <c r="D1539" i="3"/>
  <c r="C1539" i="3"/>
  <c r="I1538" i="3"/>
  <c r="H1538" i="3"/>
  <c r="G1538" i="3"/>
  <c r="F1538" i="3"/>
  <c r="E1538" i="3"/>
  <c r="D1538" i="3"/>
  <c r="C1538" i="3"/>
  <c r="I1537" i="3"/>
  <c r="H1537" i="3"/>
  <c r="G1537" i="3"/>
  <c r="F1537" i="3"/>
  <c r="E1537" i="3"/>
  <c r="D1537" i="3"/>
  <c r="C1537" i="3"/>
  <c r="I1536" i="3"/>
  <c r="H1536" i="3"/>
  <c r="G1536" i="3"/>
  <c r="F1536" i="3"/>
  <c r="E1536" i="3"/>
  <c r="D1536" i="3"/>
  <c r="C1536" i="3"/>
  <c r="I1535" i="3"/>
  <c r="H1535" i="3"/>
  <c r="G1535" i="3"/>
  <c r="F1535" i="3"/>
  <c r="E1535" i="3"/>
  <c r="D1535" i="3"/>
  <c r="C1535" i="3"/>
  <c r="I1534" i="3"/>
  <c r="H1534" i="3"/>
  <c r="G1534" i="3"/>
  <c r="F1534" i="3"/>
  <c r="E1534" i="3"/>
  <c r="D1534" i="3"/>
  <c r="C1534" i="3"/>
  <c r="I1533" i="3"/>
  <c r="H1533" i="3"/>
  <c r="G1533" i="3"/>
  <c r="F1533" i="3"/>
  <c r="E1533" i="3"/>
  <c r="D1533" i="3"/>
  <c r="C1533" i="3"/>
  <c r="I1532" i="3"/>
  <c r="H1532" i="3"/>
  <c r="G1532" i="3"/>
  <c r="F1532" i="3"/>
  <c r="E1532" i="3"/>
  <c r="D1532" i="3"/>
  <c r="C1532" i="3"/>
  <c r="I1531" i="3"/>
  <c r="H1531" i="3"/>
  <c r="G1531" i="3"/>
  <c r="F1531" i="3"/>
  <c r="E1531" i="3"/>
  <c r="D1531" i="3"/>
  <c r="C1531" i="3"/>
  <c r="I1530" i="3"/>
  <c r="H1530" i="3"/>
  <c r="G1530" i="3"/>
  <c r="F1530" i="3"/>
  <c r="E1530" i="3"/>
  <c r="D1530" i="3"/>
  <c r="C1530" i="3"/>
  <c r="I1529" i="3"/>
  <c r="H1529" i="3"/>
  <c r="G1529" i="3"/>
  <c r="F1529" i="3"/>
  <c r="E1529" i="3"/>
  <c r="D1529" i="3"/>
  <c r="C1529" i="3"/>
  <c r="I1528" i="3"/>
  <c r="H1528" i="3"/>
  <c r="G1528" i="3"/>
  <c r="F1528" i="3"/>
  <c r="E1528" i="3"/>
  <c r="D1528" i="3"/>
  <c r="C1528" i="3"/>
  <c r="I1527" i="3"/>
  <c r="H1527" i="3"/>
  <c r="G1527" i="3"/>
  <c r="F1527" i="3"/>
  <c r="E1527" i="3"/>
  <c r="D1527" i="3"/>
  <c r="C1527" i="3"/>
  <c r="I1526" i="3"/>
  <c r="H1526" i="3"/>
  <c r="G1526" i="3"/>
  <c r="F1526" i="3"/>
  <c r="E1526" i="3"/>
  <c r="D1526" i="3"/>
  <c r="C1526" i="3"/>
  <c r="I1525" i="3"/>
  <c r="H1525" i="3"/>
  <c r="G1525" i="3"/>
  <c r="F1525" i="3"/>
  <c r="E1525" i="3"/>
  <c r="D1525" i="3"/>
  <c r="C1525" i="3"/>
  <c r="I1524" i="3"/>
  <c r="H1524" i="3"/>
  <c r="G1524" i="3"/>
  <c r="F1524" i="3"/>
  <c r="E1524" i="3"/>
  <c r="D1524" i="3"/>
  <c r="C1524" i="3"/>
  <c r="I1523" i="3"/>
  <c r="H1523" i="3"/>
  <c r="G1523" i="3"/>
  <c r="F1523" i="3"/>
  <c r="E1523" i="3"/>
  <c r="D1523" i="3"/>
  <c r="C1523" i="3"/>
  <c r="I1522" i="3"/>
  <c r="H1522" i="3"/>
  <c r="G1522" i="3"/>
  <c r="F1522" i="3"/>
  <c r="E1522" i="3"/>
  <c r="D1522" i="3"/>
  <c r="C1522" i="3"/>
  <c r="I1521" i="3"/>
  <c r="H1521" i="3"/>
  <c r="G1521" i="3"/>
  <c r="F1521" i="3"/>
  <c r="E1521" i="3"/>
  <c r="D1521" i="3"/>
  <c r="C1521" i="3"/>
  <c r="I1520" i="3"/>
  <c r="H1520" i="3"/>
  <c r="G1520" i="3"/>
  <c r="F1520" i="3"/>
  <c r="E1520" i="3"/>
  <c r="D1520" i="3"/>
  <c r="C1520" i="3"/>
  <c r="I1519" i="3"/>
  <c r="H1519" i="3"/>
  <c r="G1519" i="3"/>
  <c r="F1519" i="3"/>
  <c r="E1519" i="3"/>
  <c r="D1519" i="3"/>
  <c r="C1519" i="3"/>
  <c r="I1518" i="3"/>
  <c r="H1518" i="3"/>
  <c r="G1518" i="3"/>
  <c r="F1518" i="3"/>
  <c r="E1518" i="3"/>
  <c r="D1518" i="3"/>
  <c r="C1518" i="3"/>
  <c r="I1517" i="3"/>
  <c r="H1517" i="3"/>
  <c r="G1517" i="3"/>
  <c r="F1517" i="3"/>
  <c r="E1517" i="3"/>
  <c r="D1517" i="3"/>
  <c r="C1517" i="3"/>
  <c r="I1516" i="3"/>
  <c r="H1516" i="3"/>
  <c r="G1516" i="3"/>
  <c r="F1516" i="3"/>
  <c r="E1516" i="3"/>
  <c r="D1516" i="3"/>
  <c r="C1516" i="3"/>
  <c r="I1515" i="3"/>
  <c r="H1515" i="3"/>
  <c r="G1515" i="3"/>
  <c r="F1515" i="3"/>
  <c r="E1515" i="3"/>
  <c r="D1515" i="3"/>
  <c r="C1515" i="3"/>
  <c r="I1514" i="3"/>
  <c r="H1514" i="3"/>
  <c r="G1514" i="3"/>
  <c r="F1514" i="3"/>
  <c r="E1514" i="3"/>
  <c r="D1514" i="3"/>
  <c r="C1514" i="3"/>
  <c r="I1513" i="3"/>
  <c r="H1513" i="3"/>
  <c r="G1513" i="3"/>
  <c r="F1513" i="3"/>
  <c r="E1513" i="3"/>
  <c r="D1513" i="3"/>
  <c r="C1513" i="3"/>
  <c r="I1512" i="3"/>
  <c r="H1512" i="3"/>
  <c r="G1512" i="3"/>
  <c r="F1512" i="3"/>
  <c r="E1512" i="3"/>
  <c r="D1512" i="3"/>
  <c r="C1512" i="3"/>
  <c r="I1511" i="3"/>
  <c r="H1511" i="3"/>
  <c r="G1511" i="3"/>
  <c r="F1511" i="3"/>
  <c r="E1511" i="3"/>
  <c r="D1511" i="3"/>
  <c r="C1511" i="3"/>
  <c r="I1510" i="3"/>
  <c r="H1510" i="3"/>
  <c r="G1510" i="3"/>
  <c r="F1510" i="3"/>
  <c r="E1510" i="3"/>
  <c r="D1510" i="3"/>
  <c r="C1510" i="3"/>
  <c r="I1509" i="3"/>
  <c r="H1509" i="3"/>
  <c r="G1509" i="3"/>
  <c r="F1509" i="3"/>
  <c r="E1509" i="3"/>
  <c r="D1509" i="3"/>
  <c r="C1509" i="3"/>
  <c r="I1508" i="3"/>
  <c r="H1508" i="3"/>
  <c r="G1508" i="3"/>
  <c r="F1508" i="3"/>
  <c r="E1508" i="3"/>
  <c r="D1508" i="3"/>
  <c r="C1508" i="3"/>
  <c r="I1507" i="3"/>
  <c r="H1507" i="3"/>
  <c r="G1507" i="3"/>
  <c r="F1507" i="3"/>
  <c r="E1507" i="3"/>
  <c r="D1507" i="3"/>
  <c r="C1507" i="3"/>
  <c r="I1506" i="3"/>
  <c r="H1506" i="3"/>
  <c r="G1506" i="3"/>
  <c r="F1506" i="3"/>
  <c r="E1506" i="3"/>
  <c r="D1506" i="3"/>
  <c r="C1506" i="3"/>
  <c r="I1505" i="3"/>
  <c r="H1505" i="3"/>
  <c r="G1505" i="3"/>
  <c r="F1505" i="3"/>
  <c r="E1505" i="3"/>
  <c r="D1505" i="3"/>
  <c r="C1505" i="3"/>
  <c r="I1504" i="3"/>
  <c r="H1504" i="3"/>
  <c r="G1504" i="3"/>
  <c r="F1504" i="3"/>
  <c r="E1504" i="3"/>
  <c r="D1504" i="3"/>
  <c r="C1504" i="3"/>
  <c r="I1503" i="3"/>
  <c r="H1503" i="3"/>
  <c r="G1503" i="3"/>
  <c r="F1503" i="3"/>
  <c r="E1503" i="3"/>
  <c r="D1503" i="3"/>
  <c r="C1503" i="3"/>
  <c r="I1502" i="3"/>
  <c r="H1502" i="3"/>
  <c r="G1502" i="3"/>
  <c r="F1502" i="3"/>
  <c r="E1502" i="3"/>
  <c r="D1502" i="3"/>
  <c r="C1502" i="3"/>
  <c r="I1501" i="3"/>
  <c r="H1501" i="3"/>
  <c r="G1501" i="3"/>
  <c r="F1501" i="3"/>
  <c r="E1501" i="3"/>
  <c r="D1501" i="3"/>
  <c r="C1501" i="3"/>
  <c r="I1500" i="3"/>
  <c r="H1500" i="3"/>
  <c r="G1500" i="3"/>
  <c r="F1500" i="3"/>
  <c r="E1500" i="3"/>
  <c r="D1500" i="3"/>
  <c r="C1500" i="3"/>
  <c r="I1499" i="3"/>
  <c r="H1499" i="3"/>
  <c r="G1499" i="3"/>
  <c r="F1499" i="3"/>
  <c r="E1499" i="3"/>
  <c r="D1499" i="3"/>
  <c r="C1499" i="3"/>
  <c r="I1498" i="3"/>
  <c r="H1498" i="3"/>
  <c r="G1498" i="3"/>
  <c r="F1498" i="3"/>
  <c r="E1498" i="3"/>
  <c r="D1498" i="3"/>
  <c r="C1498" i="3"/>
  <c r="I1497" i="3"/>
  <c r="H1497" i="3"/>
  <c r="G1497" i="3"/>
  <c r="F1497" i="3"/>
  <c r="E1497" i="3"/>
  <c r="D1497" i="3"/>
  <c r="C1497" i="3"/>
  <c r="I1496" i="3"/>
  <c r="H1496" i="3"/>
  <c r="G1496" i="3"/>
  <c r="F1496" i="3"/>
  <c r="E1496" i="3"/>
  <c r="D1496" i="3"/>
  <c r="C1496" i="3"/>
  <c r="I1495" i="3"/>
  <c r="H1495" i="3"/>
  <c r="G1495" i="3"/>
  <c r="F1495" i="3"/>
  <c r="E1495" i="3"/>
  <c r="D1495" i="3"/>
  <c r="C1495" i="3"/>
  <c r="I1494" i="3"/>
  <c r="H1494" i="3"/>
  <c r="G1494" i="3"/>
  <c r="F1494" i="3"/>
  <c r="E1494" i="3"/>
  <c r="D1494" i="3"/>
  <c r="C1494" i="3"/>
  <c r="I1493" i="3"/>
  <c r="H1493" i="3"/>
  <c r="G1493" i="3"/>
  <c r="F1493" i="3"/>
  <c r="E1493" i="3"/>
  <c r="D1493" i="3"/>
  <c r="C1493" i="3"/>
  <c r="I1492" i="3"/>
  <c r="H1492" i="3"/>
  <c r="G1492" i="3"/>
  <c r="F1492" i="3"/>
  <c r="E1492" i="3"/>
  <c r="D1492" i="3"/>
  <c r="C1492" i="3"/>
  <c r="I1491" i="3"/>
  <c r="H1491" i="3"/>
  <c r="G1491" i="3"/>
  <c r="F1491" i="3"/>
  <c r="E1491" i="3"/>
  <c r="D1491" i="3"/>
  <c r="C1491" i="3"/>
  <c r="I1490" i="3"/>
  <c r="H1490" i="3"/>
  <c r="G1490" i="3"/>
  <c r="F1490" i="3"/>
  <c r="E1490" i="3"/>
  <c r="D1490" i="3"/>
  <c r="C1490" i="3"/>
  <c r="I1489" i="3"/>
  <c r="H1489" i="3"/>
  <c r="G1489" i="3"/>
  <c r="F1489" i="3"/>
  <c r="E1489" i="3"/>
  <c r="D1489" i="3"/>
  <c r="C1489" i="3"/>
  <c r="I1488" i="3"/>
  <c r="H1488" i="3"/>
  <c r="G1488" i="3"/>
  <c r="F1488" i="3"/>
  <c r="E1488" i="3"/>
  <c r="D1488" i="3"/>
  <c r="C1488" i="3"/>
  <c r="I1487" i="3"/>
  <c r="H1487" i="3"/>
  <c r="G1487" i="3"/>
  <c r="F1487" i="3"/>
  <c r="E1487" i="3"/>
  <c r="D1487" i="3"/>
  <c r="C1487" i="3"/>
  <c r="I1486" i="3"/>
  <c r="H1486" i="3"/>
  <c r="G1486" i="3"/>
  <c r="F1486" i="3"/>
  <c r="E1486" i="3"/>
  <c r="D1486" i="3"/>
  <c r="C1486" i="3"/>
  <c r="I1485" i="3"/>
  <c r="H1485" i="3"/>
  <c r="G1485" i="3"/>
  <c r="F1485" i="3"/>
  <c r="E1485" i="3"/>
  <c r="D1485" i="3"/>
  <c r="C1485" i="3"/>
  <c r="I1484" i="3"/>
  <c r="H1484" i="3"/>
  <c r="G1484" i="3"/>
  <c r="F1484" i="3"/>
  <c r="E1484" i="3"/>
  <c r="D1484" i="3"/>
  <c r="C1484" i="3"/>
  <c r="I1483" i="3"/>
  <c r="H1483" i="3"/>
  <c r="G1483" i="3"/>
  <c r="F1483" i="3"/>
  <c r="E1483" i="3"/>
  <c r="D1483" i="3"/>
  <c r="C1483" i="3"/>
  <c r="I1482" i="3"/>
  <c r="H1482" i="3"/>
  <c r="G1482" i="3"/>
  <c r="F1482" i="3"/>
  <c r="E1482" i="3"/>
  <c r="D1482" i="3"/>
  <c r="C1482" i="3"/>
  <c r="I1481" i="3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I1448" i="3"/>
  <c r="H1448" i="3"/>
  <c r="G1448" i="3"/>
  <c r="F1448" i="3"/>
  <c r="E1448" i="3"/>
  <c r="D1448" i="3"/>
  <c r="C1448" i="3"/>
  <c r="I1447" i="3"/>
  <c r="H1447" i="3"/>
  <c r="G1447" i="3"/>
  <c r="F1447" i="3"/>
  <c r="E1447" i="3"/>
  <c r="D1447" i="3"/>
  <c r="C1447" i="3"/>
  <c r="I1446" i="3"/>
  <c r="H1446" i="3"/>
  <c r="G1446" i="3"/>
  <c r="F1446" i="3"/>
  <c r="E1446" i="3"/>
  <c r="D1446" i="3"/>
  <c r="C1446" i="3"/>
  <c r="I1445" i="3"/>
  <c r="H1445" i="3"/>
  <c r="G1445" i="3"/>
  <c r="F1445" i="3"/>
  <c r="E1445" i="3"/>
  <c r="D1445" i="3"/>
  <c r="C1445" i="3"/>
  <c r="I1444" i="3"/>
  <c r="H1444" i="3"/>
  <c r="G1444" i="3"/>
  <c r="F1444" i="3"/>
  <c r="E1444" i="3"/>
  <c r="D1444" i="3"/>
  <c r="C1444" i="3"/>
  <c r="I1443" i="3"/>
  <c r="H1443" i="3"/>
  <c r="G1443" i="3"/>
  <c r="F1443" i="3"/>
  <c r="E1443" i="3"/>
  <c r="D1443" i="3"/>
  <c r="C1443" i="3"/>
  <c r="I1442" i="3"/>
  <c r="H1442" i="3"/>
  <c r="G1442" i="3"/>
  <c r="F1442" i="3"/>
  <c r="E1442" i="3"/>
  <c r="D1442" i="3"/>
  <c r="C1442" i="3"/>
  <c r="I1441" i="3"/>
  <c r="H1441" i="3"/>
  <c r="G1441" i="3"/>
  <c r="F1441" i="3"/>
  <c r="E1441" i="3"/>
  <c r="D1441" i="3"/>
  <c r="C1441" i="3"/>
  <c r="I1440" i="3"/>
  <c r="H1440" i="3"/>
  <c r="G1440" i="3"/>
  <c r="F1440" i="3"/>
  <c r="E1440" i="3"/>
  <c r="D1440" i="3"/>
  <c r="C1440" i="3"/>
  <c r="I1439" i="3"/>
  <c r="H1439" i="3"/>
  <c r="G1439" i="3"/>
  <c r="F1439" i="3"/>
  <c r="E1439" i="3"/>
  <c r="D1439" i="3"/>
  <c r="C1439" i="3"/>
  <c r="I1438" i="3"/>
  <c r="H1438" i="3"/>
  <c r="G1438" i="3"/>
  <c r="F1438" i="3"/>
  <c r="E1438" i="3"/>
  <c r="D1438" i="3"/>
  <c r="C1438" i="3"/>
  <c r="I1437" i="3"/>
  <c r="H1437" i="3"/>
  <c r="G1437" i="3"/>
  <c r="F1437" i="3"/>
  <c r="E1437" i="3"/>
  <c r="D1437" i="3"/>
  <c r="C1437" i="3"/>
  <c r="I1436" i="3"/>
  <c r="H1436" i="3"/>
  <c r="G1436" i="3"/>
  <c r="F1436" i="3"/>
  <c r="E1436" i="3"/>
  <c r="D1436" i="3"/>
  <c r="C1436" i="3"/>
  <c r="I1435" i="3"/>
  <c r="H1435" i="3"/>
  <c r="G1435" i="3"/>
  <c r="F1435" i="3"/>
  <c r="E1435" i="3"/>
  <c r="D1435" i="3"/>
  <c r="C1435" i="3"/>
  <c r="I1434" i="3"/>
  <c r="H1434" i="3"/>
  <c r="G1434" i="3"/>
  <c r="F1434" i="3"/>
  <c r="E1434" i="3"/>
  <c r="D1434" i="3"/>
  <c r="C1434" i="3"/>
  <c r="I1433" i="3"/>
  <c r="H1433" i="3"/>
  <c r="G1433" i="3"/>
  <c r="F1433" i="3"/>
  <c r="E1433" i="3"/>
  <c r="D1433" i="3"/>
  <c r="C1433" i="3"/>
  <c r="I1432" i="3"/>
  <c r="H1432" i="3"/>
  <c r="G1432" i="3"/>
  <c r="F1432" i="3"/>
  <c r="E1432" i="3"/>
  <c r="D1432" i="3"/>
  <c r="C1432" i="3"/>
  <c r="I1431" i="3"/>
  <c r="H1431" i="3"/>
  <c r="G1431" i="3"/>
  <c r="F1431" i="3"/>
  <c r="E1431" i="3"/>
  <c r="D1431" i="3"/>
  <c r="C1431" i="3"/>
  <c r="I1430" i="3"/>
  <c r="H1430" i="3"/>
  <c r="G1430" i="3"/>
  <c r="F1430" i="3"/>
  <c r="E1430" i="3"/>
  <c r="D1430" i="3"/>
  <c r="C1430" i="3"/>
  <c r="I1429" i="3"/>
  <c r="H1429" i="3"/>
  <c r="G1429" i="3"/>
  <c r="F1429" i="3"/>
  <c r="E1429" i="3"/>
  <c r="D1429" i="3"/>
  <c r="C1429" i="3"/>
  <c r="I1428" i="3"/>
  <c r="H1428" i="3"/>
  <c r="G1428" i="3"/>
  <c r="F1428" i="3"/>
  <c r="E1428" i="3"/>
  <c r="D1428" i="3"/>
  <c r="C1428" i="3"/>
  <c r="I1427" i="3"/>
  <c r="H1427" i="3"/>
  <c r="G1427" i="3"/>
  <c r="F1427" i="3"/>
  <c r="E1427" i="3"/>
  <c r="D1427" i="3"/>
  <c r="C1427" i="3"/>
  <c r="I1426" i="3"/>
  <c r="H1426" i="3"/>
  <c r="G1426" i="3"/>
  <c r="F1426" i="3"/>
  <c r="E1426" i="3"/>
  <c r="D1426" i="3"/>
  <c r="C1426" i="3"/>
  <c r="I1425" i="3"/>
  <c r="H1425" i="3"/>
  <c r="G1425" i="3"/>
  <c r="F1425" i="3"/>
  <c r="E1425" i="3"/>
  <c r="D1425" i="3"/>
  <c r="C1425" i="3"/>
  <c r="I1424" i="3"/>
  <c r="H1424" i="3"/>
  <c r="G1424" i="3"/>
  <c r="F1424" i="3"/>
  <c r="E1424" i="3"/>
  <c r="D1424" i="3"/>
  <c r="C1424" i="3"/>
  <c r="I1423" i="3"/>
  <c r="H1423" i="3"/>
  <c r="G1423" i="3"/>
  <c r="F1423" i="3"/>
  <c r="E1423" i="3"/>
  <c r="D1423" i="3"/>
  <c r="C1423" i="3"/>
  <c r="I1422" i="3"/>
  <c r="H1422" i="3"/>
  <c r="G1422" i="3"/>
  <c r="F1422" i="3"/>
  <c r="E1422" i="3"/>
  <c r="D1422" i="3"/>
  <c r="C1422" i="3"/>
  <c r="I1421" i="3"/>
  <c r="H1421" i="3"/>
  <c r="G1421" i="3"/>
  <c r="F1421" i="3"/>
  <c r="E1421" i="3"/>
  <c r="D1421" i="3"/>
  <c r="C1421" i="3"/>
  <c r="I1420" i="3"/>
  <c r="H1420" i="3"/>
  <c r="G1420" i="3"/>
  <c r="F1420" i="3"/>
  <c r="E1420" i="3"/>
  <c r="D1420" i="3"/>
  <c r="C1420" i="3"/>
  <c r="I1419" i="3"/>
  <c r="H1419" i="3"/>
  <c r="G1419" i="3"/>
  <c r="F1419" i="3"/>
  <c r="E1419" i="3"/>
  <c r="D1419" i="3"/>
  <c r="C1419" i="3"/>
  <c r="I1418" i="3"/>
  <c r="H1418" i="3"/>
  <c r="G1418" i="3"/>
  <c r="F1418" i="3"/>
  <c r="E1418" i="3"/>
  <c r="D1418" i="3"/>
  <c r="C1418" i="3"/>
  <c r="I1417" i="3"/>
  <c r="H1417" i="3"/>
  <c r="G1417" i="3"/>
  <c r="F1417" i="3"/>
  <c r="E1417" i="3"/>
  <c r="D1417" i="3"/>
  <c r="C1417" i="3"/>
  <c r="I1416" i="3"/>
  <c r="H1416" i="3"/>
  <c r="G1416" i="3"/>
  <c r="F1416" i="3"/>
  <c r="E1416" i="3"/>
  <c r="D1416" i="3"/>
  <c r="C1416" i="3"/>
  <c r="I1415" i="3"/>
  <c r="H1415" i="3"/>
  <c r="G1415" i="3"/>
  <c r="F1415" i="3"/>
  <c r="E1415" i="3"/>
  <c r="D1415" i="3"/>
  <c r="C1415" i="3"/>
  <c r="I1414" i="3"/>
  <c r="H1414" i="3"/>
  <c r="G1414" i="3"/>
  <c r="F1414" i="3"/>
  <c r="E1414" i="3"/>
  <c r="D1414" i="3"/>
  <c r="C1414" i="3"/>
  <c r="I1413" i="3"/>
  <c r="H1413" i="3"/>
  <c r="G1413" i="3"/>
  <c r="F1413" i="3"/>
  <c r="E1413" i="3"/>
  <c r="D1413" i="3"/>
  <c r="C1413" i="3"/>
  <c r="I1412" i="3"/>
  <c r="H1412" i="3"/>
  <c r="G1412" i="3"/>
  <c r="F1412" i="3"/>
  <c r="E1412" i="3"/>
  <c r="D1412" i="3"/>
  <c r="C1412" i="3"/>
  <c r="I1411" i="3"/>
  <c r="H1411" i="3"/>
  <c r="G1411" i="3"/>
  <c r="F1411" i="3"/>
  <c r="E1411" i="3"/>
  <c r="D1411" i="3"/>
  <c r="C1411" i="3"/>
  <c r="I1410" i="3"/>
  <c r="H1410" i="3"/>
  <c r="G1410" i="3"/>
  <c r="F1410" i="3"/>
  <c r="E1410" i="3"/>
  <c r="D1410" i="3"/>
  <c r="C1410" i="3"/>
  <c r="I1409" i="3"/>
  <c r="H1409" i="3"/>
  <c r="G1409" i="3"/>
  <c r="F1409" i="3"/>
  <c r="E1409" i="3"/>
  <c r="D1409" i="3"/>
  <c r="C1409" i="3"/>
  <c r="I1408" i="3"/>
  <c r="H1408" i="3"/>
  <c r="G1408" i="3"/>
  <c r="F1408" i="3"/>
  <c r="E1408" i="3"/>
  <c r="D1408" i="3"/>
  <c r="C1408" i="3"/>
  <c r="I1407" i="3"/>
  <c r="H1407" i="3"/>
  <c r="G1407" i="3"/>
  <c r="F1407" i="3"/>
  <c r="E1407" i="3"/>
  <c r="D1407" i="3"/>
  <c r="C1407" i="3"/>
  <c r="I1406" i="3"/>
  <c r="H1406" i="3"/>
  <c r="G1406" i="3"/>
  <c r="F1406" i="3"/>
  <c r="E1406" i="3"/>
  <c r="D1406" i="3"/>
  <c r="C1406" i="3"/>
  <c r="I1405" i="3"/>
  <c r="H1405" i="3"/>
  <c r="G1405" i="3"/>
  <c r="F1405" i="3"/>
  <c r="E1405" i="3"/>
  <c r="D1405" i="3"/>
  <c r="C1405" i="3"/>
  <c r="I1404" i="3"/>
  <c r="H1404" i="3"/>
  <c r="G1404" i="3"/>
  <c r="F1404" i="3"/>
  <c r="E1404" i="3"/>
  <c r="D1404" i="3"/>
  <c r="C1404" i="3"/>
  <c r="I1403" i="3"/>
  <c r="H1403" i="3"/>
  <c r="G1403" i="3"/>
  <c r="F1403" i="3"/>
  <c r="E1403" i="3"/>
  <c r="D1403" i="3"/>
  <c r="C1403" i="3"/>
  <c r="I1402" i="3"/>
  <c r="H1402" i="3"/>
  <c r="G1402" i="3"/>
  <c r="F1402" i="3"/>
  <c r="E1402" i="3"/>
  <c r="D1402" i="3"/>
  <c r="C1402" i="3"/>
  <c r="I1401" i="3"/>
  <c r="H1401" i="3"/>
  <c r="G1401" i="3"/>
  <c r="F1401" i="3"/>
  <c r="E1401" i="3"/>
  <c r="D1401" i="3"/>
  <c r="C1401" i="3"/>
  <c r="I1400" i="3"/>
  <c r="H1400" i="3"/>
  <c r="G1400" i="3"/>
  <c r="F1400" i="3"/>
  <c r="E1400" i="3"/>
  <c r="D1400" i="3"/>
  <c r="C1400" i="3"/>
  <c r="I1399" i="3"/>
  <c r="H1399" i="3"/>
  <c r="G1399" i="3"/>
  <c r="F1399" i="3"/>
  <c r="E1399" i="3"/>
  <c r="D1399" i="3"/>
  <c r="C1399" i="3"/>
  <c r="I1398" i="3"/>
  <c r="H1398" i="3"/>
  <c r="G1398" i="3"/>
  <c r="F1398" i="3"/>
  <c r="E1398" i="3"/>
  <c r="D1398" i="3"/>
  <c r="C1398" i="3"/>
  <c r="I1397" i="3"/>
  <c r="H1397" i="3"/>
  <c r="G1397" i="3"/>
  <c r="F1397" i="3"/>
  <c r="E1397" i="3"/>
  <c r="D1397" i="3"/>
  <c r="C1397" i="3"/>
  <c r="I1396" i="3"/>
  <c r="H1396" i="3"/>
  <c r="G1396" i="3"/>
  <c r="F1396" i="3"/>
  <c r="E1396" i="3"/>
  <c r="D1396" i="3"/>
  <c r="C1396" i="3"/>
  <c r="I1395" i="3"/>
  <c r="H1395" i="3"/>
  <c r="G1395" i="3"/>
  <c r="F1395" i="3"/>
  <c r="E1395" i="3"/>
  <c r="D1395" i="3"/>
  <c r="C1395" i="3"/>
  <c r="I1394" i="3"/>
  <c r="H1394" i="3"/>
  <c r="G1394" i="3"/>
  <c r="F1394" i="3"/>
  <c r="E1394" i="3"/>
  <c r="D1394" i="3"/>
  <c r="C1394" i="3"/>
  <c r="I1393" i="3"/>
  <c r="H1393" i="3"/>
  <c r="G1393" i="3"/>
  <c r="F1393" i="3"/>
  <c r="E1393" i="3"/>
  <c r="D1393" i="3"/>
  <c r="C1393" i="3"/>
  <c r="K1392" i="3"/>
  <c r="I1392" i="3"/>
  <c r="H1392" i="3"/>
  <c r="G1392" i="3"/>
  <c r="F1392" i="3"/>
  <c r="E1392" i="3"/>
  <c r="D1392" i="3"/>
  <c r="C1392" i="3"/>
  <c r="K1391" i="3"/>
  <c r="I1391" i="3"/>
  <c r="H1391" i="3"/>
  <c r="G1391" i="3"/>
  <c r="F1391" i="3"/>
  <c r="E1391" i="3"/>
  <c r="D1391" i="3"/>
  <c r="C1391" i="3"/>
  <c r="K1390" i="3"/>
  <c r="I1390" i="3"/>
  <c r="H1390" i="3"/>
  <c r="G1390" i="3"/>
  <c r="F1390" i="3"/>
  <c r="E1390" i="3"/>
  <c r="D1390" i="3"/>
  <c r="C1390" i="3"/>
  <c r="K1389" i="3"/>
  <c r="I1389" i="3"/>
  <c r="H1389" i="3"/>
  <c r="G1389" i="3"/>
  <c r="F1389" i="3"/>
  <c r="E1389" i="3"/>
  <c r="D1389" i="3"/>
  <c r="C1389" i="3"/>
  <c r="K1388" i="3"/>
  <c r="I1388" i="3"/>
  <c r="H1388" i="3"/>
  <c r="G1388" i="3"/>
  <c r="F1388" i="3"/>
  <c r="E1388" i="3"/>
  <c r="D1388" i="3"/>
  <c r="C1388" i="3"/>
  <c r="K1387" i="3"/>
  <c r="I1387" i="3"/>
  <c r="H1387" i="3"/>
  <c r="G1387" i="3"/>
  <c r="F1387" i="3"/>
  <c r="E1387" i="3"/>
  <c r="D1387" i="3"/>
  <c r="C1387" i="3"/>
  <c r="K1386" i="3"/>
  <c r="I1386" i="3"/>
  <c r="H1386" i="3"/>
  <c r="G1386" i="3"/>
  <c r="F1386" i="3"/>
  <c r="E1386" i="3"/>
  <c r="D1386" i="3"/>
  <c r="C1386" i="3"/>
  <c r="K1385" i="3"/>
  <c r="I1385" i="3"/>
  <c r="H1385" i="3"/>
  <c r="G1385" i="3"/>
  <c r="F1385" i="3"/>
  <c r="E1385" i="3"/>
  <c r="D1385" i="3"/>
  <c r="C1385" i="3"/>
  <c r="K1384" i="3"/>
  <c r="I1384" i="3"/>
  <c r="H1384" i="3"/>
  <c r="G1384" i="3"/>
  <c r="F1384" i="3"/>
  <c r="E1384" i="3"/>
  <c r="D1384" i="3"/>
  <c r="C1384" i="3"/>
  <c r="K1383" i="3"/>
  <c r="I1383" i="3"/>
  <c r="H1383" i="3"/>
  <c r="G1383" i="3"/>
  <c r="F1383" i="3"/>
  <c r="E1383" i="3"/>
  <c r="D1383" i="3"/>
  <c r="C1383" i="3"/>
  <c r="K1382" i="3"/>
  <c r="I1382" i="3"/>
  <c r="H1382" i="3"/>
  <c r="G1382" i="3"/>
  <c r="F1382" i="3"/>
  <c r="E1382" i="3"/>
  <c r="D1382" i="3"/>
  <c r="C1382" i="3"/>
  <c r="K1381" i="3"/>
  <c r="I1381" i="3"/>
  <c r="H1381" i="3"/>
  <c r="G1381" i="3"/>
  <c r="F1381" i="3"/>
  <c r="E1381" i="3"/>
  <c r="D1381" i="3"/>
  <c r="C1381" i="3"/>
  <c r="K1380" i="3"/>
  <c r="I1380" i="3"/>
  <c r="H1380" i="3"/>
  <c r="G1380" i="3"/>
  <c r="F1380" i="3"/>
  <c r="E1380" i="3"/>
  <c r="D1380" i="3"/>
  <c r="C1380" i="3"/>
  <c r="K1379" i="3"/>
  <c r="I1379" i="3"/>
  <c r="H1379" i="3"/>
  <c r="G1379" i="3"/>
  <c r="F1379" i="3"/>
  <c r="E1379" i="3"/>
  <c r="D1379" i="3"/>
  <c r="C1379" i="3"/>
  <c r="K1378" i="3"/>
  <c r="I1378" i="3"/>
  <c r="H1378" i="3"/>
  <c r="G1378" i="3"/>
  <c r="F1378" i="3"/>
  <c r="E1378" i="3"/>
  <c r="D1378" i="3"/>
  <c r="C1378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<sst xmlns="http://schemas.openxmlformats.org/spreadsheetml/2006/main" count="4800" uniqueCount="1248">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</sst>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  <xf numFmtId="14" fontId="0" fillId="0" borderId="20" xfId="0" applyNumberFormat="1" applyBorder="1"/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7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806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MCIZo_f5Ab2SUnXyqrJjW3Y4nSKeGcNg\DAILY_RPT\Sawangan_Update_11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 refreshError="1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4">
        <f ca="1">TODAY()</f>
        <v>46194</v>
      </c>
      <c r="C1" s="74"/>
      <c r="D1" s="74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18</v>
      </c>
      <c r="E6" s="1">
        <f t="shared" ca="1" si="0"/>
        <v>18</v>
      </c>
      <c r="F6" s="1">
        <f t="shared" ca="1" si="0"/>
        <v>20</v>
      </c>
      <c r="G6" s="1">
        <f t="shared" ca="1" si="0"/>
        <v>20</v>
      </c>
      <c r="H6" s="1">
        <f t="shared" ca="1" si="0"/>
        <v>20</v>
      </c>
      <c r="J6" s="1">
        <f t="shared" ref="J6:P6" ca="1" si="1">IF(J7="","",$B$1-J7)</f>
        <v>20</v>
      </c>
      <c r="K6" s="1">
        <f t="shared" ca="1" si="1"/>
        <v>20</v>
      </c>
      <c r="L6" s="1">
        <f t="shared" ca="1" si="1"/>
        <v>20</v>
      </c>
      <c r="M6" s="1">
        <f t="shared" ca="1" si="1"/>
        <v>20</v>
      </c>
      <c r="N6" s="1">
        <f t="shared" ca="1" si="1"/>
        <v>21</v>
      </c>
      <c r="O6" s="1">
        <f t="shared" ca="1" si="1"/>
        <v>21</v>
      </c>
      <c r="P6" s="1">
        <f t="shared" ca="1" si="1"/>
        <v>21</v>
      </c>
      <c r="R6" s="1">
        <f t="shared" ref="R6:X6" ca="1" si="2">IF(R7="","",$B$1-R7)</f>
        <v>21</v>
      </c>
      <c r="S6" s="1">
        <f t="shared" ca="1" si="2"/>
        <v>21</v>
      </c>
      <c r="T6" s="1">
        <f t="shared" ca="1" si="2"/>
        <v>21</v>
      </c>
      <c r="U6" s="1">
        <f t="shared" ca="1" si="2"/>
        <v>21</v>
      </c>
      <c r="V6" s="1">
        <f t="shared" ca="1" si="2"/>
        <v>22</v>
      </c>
      <c r="W6" s="1">
        <f t="shared" ca="1" si="2"/>
        <v>22</v>
      </c>
      <c r="X6" s="1">
        <f t="shared" ca="1" si="2"/>
        <v>22</v>
      </c>
      <c r="Y6" s="9"/>
    </row>
    <row r="7" spans="1:25" ht="38.25" customHeight="1" x14ac:dyDescent="0.25">
      <c r="B7" s="71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2"/>
      <c r="Y8" s="9"/>
    </row>
    <row r="9" spans="1:25" x14ac:dyDescent="0.25">
      <c r="B9" s="72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3"/>
      <c r="C10" s="3">
        <f t="shared" ref="C10:H10" ca="1" si="3">IF(C11="","",$B$1-C11)</f>
        <v>27</v>
      </c>
      <c r="D10" s="1">
        <f t="shared" ca="1" si="3"/>
        <v>27</v>
      </c>
      <c r="E10" s="1">
        <f t="shared" ca="1" si="3"/>
        <v>27</v>
      </c>
      <c r="F10" s="1">
        <f t="shared" ca="1" si="3"/>
        <v>27</v>
      </c>
      <c r="G10" s="1">
        <f t="shared" ca="1" si="3"/>
        <v>27</v>
      </c>
      <c r="H10" s="1">
        <f t="shared" ca="1" si="3"/>
        <v>27</v>
      </c>
      <c r="J10" s="1">
        <f t="shared" ref="J10:P10" ca="1" si="4">IF(J11="","",$B$1-J11)</f>
        <v>27</v>
      </c>
      <c r="K10" s="1">
        <f t="shared" ca="1" si="4"/>
        <v>24</v>
      </c>
      <c r="L10" s="1">
        <f t="shared" ca="1" si="4"/>
        <v>24</v>
      </c>
      <c r="M10" s="1">
        <f t="shared" ca="1" si="4"/>
        <v>24</v>
      </c>
      <c r="N10" s="1">
        <f t="shared" ca="1" si="4"/>
        <v>24</v>
      </c>
      <c r="O10" s="1">
        <f t="shared" ca="1" si="4"/>
        <v>24</v>
      </c>
      <c r="P10" s="1">
        <f t="shared" ca="1" si="4"/>
        <v>24</v>
      </c>
      <c r="R10" s="1">
        <f t="shared" ref="R10:X10" ca="1" si="5">IF(R11="","",$B$1-R11)</f>
        <v>24</v>
      </c>
      <c r="S10" s="1">
        <f t="shared" ca="1" si="5"/>
        <v>23</v>
      </c>
      <c r="T10" s="1">
        <f t="shared" ca="1" si="5"/>
        <v>23</v>
      </c>
      <c r="U10" s="1">
        <f t="shared" ca="1" si="5"/>
        <v>22</v>
      </c>
      <c r="V10" s="1">
        <f t="shared" ca="1" si="5"/>
        <v>22</v>
      </c>
      <c r="W10" s="1">
        <f t="shared" ca="1" si="5"/>
        <v>22</v>
      </c>
      <c r="X10" s="1">
        <f t="shared" ca="1" si="5"/>
        <v>22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28</v>
      </c>
      <c r="D14" s="1">
        <f t="shared" ca="1" si="6"/>
        <v>28</v>
      </c>
      <c r="E14" s="1">
        <f t="shared" ca="1" si="6"/>
        <v>28</v>
      </c>
      <c r="F14" s="1">
        <f t="shared" ca="1" si="6"/>
        <v>28</v>
      </c>
      <c r="G14" s="1">
        <f t="shared" ca="1" si="6"/>
        <v>28</v>
      </c>
      <c r="H14" s="1">
        <f t="shared" ca="1" si="6"/>
        <v>28</v>
      </c>
      <c r="J14" s="1">
        <f t="shared" ref="J14:P14" ca="1" si="7">IF(J15="","",$B$1-J15)</f>
        <v>28</v>
      </c>
      <c r="K14" s="1">
        <f t="shared" ca="1" si="7"/>
        <v>25</v>
      </c>
      <c r="L14" s="1">
        <f t="shared" ca="1" si="7"/>
        <v>25</v>
      </c>
      <c r="M14" s="1">
        <f t="shared" ca="1" si="7"/>
        <v>25</v>
      </c>
      <c r="N14" s="1">
        <f t="shared" ca="1" si="7"/>
        <v>25</v>
      </c>
      <c r="O14" s="1">
        <f t="shared" ca="1" si="7"/>
        <v>25</v>
      </c>
      <c r="P14" s="1">
        <f t="shared" ca="1" si="7"/>
        <v>25</v>
      </c>
      <c r="R14" s="1">
        <f t="shared" ref="R14:X14" ca="1" si="8">IF(R15="","",$B$1-R15)</f>
        <v>25</v>
      </c>
      <c r="S14" s="1">
        <f t="shared" ca="1" si="8"/>
        <v>23</v>
      </c>
      <c r="T14" s="1">
        <f t="shared" ca="1" si="8"/>
        <v>23</v>
      </c>
      <c r="U14" s="1">
        <f t="shared" ca="1" si="8"/>
        <v>23</v>
      </c>
      <c r="V14" s="1">
        <f t="shared" ca="1" si="8"/>
        <v>23</v>
      </c>
      <c r="W14" s="1">
        <f t="shared" ca="1" si="8"/>
        <v>23</v>
      </c>
      <c r="X14" s="1">
        <f t="shared" ca="1" si="8"/>
        <v>23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40</v>
      </c>
      <c r="K20" s="1">
        <f ca="1">IF(K21="","",$B$1-K21)</f>
        <v>40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18</v>
      </c>
      <c r="D24" s="1">
        <f t="shared" ca="1" si="9"/>
        <v>18</v>
      </c>
      <c r="E24" s="1" t="str">
        <f t="shared" si="9"/>
        <v/>
      </c>
      <c r="F24" s="1" t="str">
        <f t="shared" si="9"/>
        <v/>
      </c>
      <c r="G24" s="1">
        <f t="shared" ca="1" si="9"/>
        <v>18</v>
      </c>
      <c r="H24" s="1">
        <f t="shared" ca="1" si="9"/>
        <v>18</v>
      </c>
      <c r="J24" s="1">
        <f ca="1">IF(J25="","",$B$1-J25)</f>
        <v>18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43</v>
      </c>
      <c r="T24" s="1">
        <f t="shared" ca="1" si="10"/>
        <v>43</v>
      </c>
      <c r="U24" s="1">
        <f t="shared" ca="1" si="10"/>
        <v>43</v>
      </c>
      <c r="V24" s="1">
        <f t="shared" ca="1" si="10"/>
        <v>43</v>
      </c>
      <c r="W24" s="1">
        <f t="shared" ca="1" si="10"/>
        <v>43</v>
      </c>
      <c r="X24" s="1">
        <f t="shared" ca="1" si="10"/>
        <v>43</v>
      </c>
      <c r="Z24" s="1">
        <f t="shared" ca="1" si="10"/>
        <v>43</v>
      </c>
      <c r="AA24" s="1">
        <f t="shared" ca="1" si="10"/>
        <v>41</v>
      </c>
      <c r="AB24" s="1">
        <f t="shared" ca="1" si="10"/>
        <v>41</v>
      </c>
      <c r="AC24" s="1">
        <f t="shared" ca="1" si="10"/>
        <v>41</v>
      </c>
      <c r="AD24" s="1">
        <f t="shared" ca="1" si="10"/>
        <v>41</v>
      </c>
      <c r="AE24" s="1">
        <f t="shared" ca="1" si="10"/>
        <v>41</v>
      </c>
      <c r="AF24" s="1">
        <f t="shared" ca="1" si="10"/>
        <v>41</v>
      </c>
      <c r="AG24" s="1">
        <f t="shared" ca="1" si="10"/>
        <v>41</v>
      </c>
      <c r="AH24" s="1">
        <f t="shared" ca="1" si="10"/>
        <v>40</v>
      </c>
      <c r="AI24" s="1">
        <f t="shared" ca="1" si="10"/>
        <v>40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19</v>
      </c>
      <c r="D28" s="1">
        <f t="shared" ca="1" si="11"/>
        <v>19</v>
      </c>
      <c r="E28" s="1">
        <f t="shared" ca="1" si="11"/>
        <v>19</v>
      </c>
      <c r="F28" s="1">
        <f t="shared" ca="1" si="11"/>
        <v>19</v>
      </c>
      <c r="G28" s="1">
        <f t="shared" ca="1" si="11"/>
        <v>19</v>
      </c>
      <c r="H28" s="1">
        <f t="shared" ca="1" si="11"/>
        <v>19</v>
      </c>
      <c r="J28" s="1">
        <f ca="1">IF(J29="","",$B$1-J29)</f>
        <v>19</v>
      </c>
      <c r="K28" s="1">
        <f t="shared" ref="K28:P28" ca="1" si="12">IF(K29="","",$B$1-K29)</f>
        <v>16</v>
      </c>
      <c r="L28" s="1">
        <f t="shared" ca="1" si="12"/>
        <v>16</v>
      </c>
      <c r="M28" s="1">
        <f t="shared" ca="1" si="12"/>
        <v>16</v>
      </c>
      <c r="N28" s="1">
        <f t="shared" ca="1" si="12"/>
        <v>16</v>
      </c>
      <c r="O28" s="1">
        <f t="shared" ca="1" si="12"/>
        <v>16</v>
      </c>
      <c r="P28" s="1">
        <f t="shared" ca="1" si="12"/>
        <v>16</v>
      </c>
      <c r="R28" s="1">
        <f t="shared" ref="R28:X28" ca="1" si="13">IF(R29="","",$B$1-R29)</f>
        <v>16</v>
      </c>
      <c r="S28" s="1">
        <f ca="1">IF(S29="","",$B$1-S29)</f>
        <v>44</v>
      </c>
      <c r="T28" s="1">
        <f ca="1">IF(T29="","",$B$1-T29)</f>
        <v>44</v>
      </c>
      <c r="U28" s="1">
        <f ca="1">IF(U29="","",$B$1-U29)</f>
        <v>44</v>
      </c>
      <c r="V28" s="1">
        <f ca="1">IF(V29="","",$B$1-V29)</f>
        <v>44</v>
      </c>
      <c r="W28" s="1">
        <f t="shared" ca="1" si="13"/>
        <v>44</v>
      </c>
      <c r="X28" s="1">
        <f t="shared" ca="1" si="13"/>
        <v>44</v>
      </c>
      <c r="Z28" s="1">
        <f t="shared" ref="Z28:AI28" ca="1" si="14">IF(Z29="","",$B$1-Z29)</f>
        <v>44</v>
      </c>
      <c r="AA28" s="1">
        <f t="shared" ca="1" si="14"/>
        <v>42</v>
      </c>
      <c r="AB28" s="1">
        <f t="shared" ca="1" si="14"/>
        <v>42</v>
      </c>
      <c r="AC28" s="1">
        <f t="shared" ca="1" si="14"/>
        <v>42</v>
      </c>
      <c r="AD28" s="1">
        <f t="shared" ca="1" si="14"/>
        <v>42</v>
      </c>
      <c r="AE28" s="1">
        <f t="shared" ca="1" si="14"/>
        <v>42</v>
      </c>
      <c r="AF28" s="1">
        <f t="shared" ca="1" si="14"/>
        <v>42</v>
      </c>
      <c r="AG28" s="1">
        <f t="shared" ca="1" si="14"/>
        <v>42</v>
      </c>
      <c r="AH28" s="1">
        <f t="shared" ca="1" si="14"/>
        <v>40</v>
      </c>
      <c r="AI28" s="1">
        <f t="shared" ca="1" si="14"/>
        <v>40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5" t="s">
        <v>135</v>
      </c>
      <c r="I30" s="76"/>
      <c r="J30" s="77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4">
        <v>45978</v>
      </c>
      <c r="C36" s="74"/>
      <c r="D36" s="74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36</v>
      </c>
      <c r="D41" s="1">
        <f t="shared" ca="1" si="15"/>
        <v>36</v>
      </c>
      <c r="E41" s="1">
        <f t="shared" ca="1" si="15"/>
        <v>36</v>
      </c>
      <c r="F41" s="1">
        <f t="shared" ca="1" si="15"/>
        <v>36</v>
      </c>
      <c r="G41" s="1">
        <f t="shared" ca="1" si="15"/>
        <v>35</v>
      </c>
      <c r="H41" s="1">
        <f t="shared" ca="1" si="15"/>
        <v>35</v>
      </c>
      <c r="J41" s="1">
        <f t="shared" ca="1" si="15"/>
        <v>35</v>
      </c>
      <c r="K41" s="1">
        <f t="shared" ca="1" si="15"/>
        <v>35</v>
      </c>
      <c r="L41" s="1">
        <f t="shared" ca="1" si="15"/>
        <v>35</v>
      </c>
      <c r="M41" s="1">
        <f t="shared" ca="1" si="15"/>
        <v>35</v>
      </c>
      <c r="N41" s="1">
        <f t="shared" ca="1" si="15"/>
        <v>35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38</v>
      </c>
      <c r="D45" s="1">
        <f ca="1">IF(D46="","",$B$1-D46)</f>
        <v>38</v>
      </c>
      <c r="E45" s="1">
        <f ca="1">IF(E46="","",$B$1-E46)</f>
        <v>37</v>
      </c>
      <c r="F45" s="1">
        <f ca="1">IF(F46="","",$B$1-F46)</f>
        <v>37</v>
      </c>
      <c r="H45" s="1">
        <f ca="1">IF(H46="","",$B$1-H46)</f>
        <v>37</v>
      </c>
      <c r="J45" s="1">
        <f t="shared" ref="J45:P45" ca="1" si="16">IF(J46="","",$B$1-J46)</f>
        <v>37</v>
      </c>
      <c r="K45" s="1">
        <f t="shared" ca="1" si="16"/>
        <v>37</v>
      </c>
      <c r="L45" s="1">
        <f t="shared" ca="1" si="16"/>
        <v>37</v>
      </c>
      <c r="M45" s="1">
        <f t="shared" ca="1" si="16"/>
        <v>37</v>
      </c>
      <c r="N45" s="1">
        <f t="shared" ca="1" si="16"/>
        <v>36</v>
      </c>
      <c r="O45" s="1">
        <f t="shared" ca="1" si="16"/>
        <v>36</v>
      </c>
      <c r="P45" s="1">
        <f t="shared" ca="1" si="16"/>
        <v>36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39</v>
      </c>
      <c r="D49" s="1">
        <f ca="1">IF(D50="","",$B$1-D50)</f>
        <v>39</v>
      </c>
      <c r="E49" s="1">
        <f ca="1">IF(E50="","",$B$1-E50)</f>
        <v>39</v>
      </c>
      <c r="F49" s="1">
        <f ca="1">IF(F50="","",$B$1-F50)</f>
        <v>39</v>
      </c>
      <c r="H49" s="1">
        <f ca="1">IF(H50="","",$B$1-H50)</f>
        <v>39</v>
      </c>
      <c r="J49" s="1">
        <f t="shared" ref="J49:P49" ca="1" si="17">IF(J50="","",$B$1-J50)</f>
        <v>39</v>
      </c>
      <c r="K49" s="1">
        <f t="shared" ca="1" si="17"/>
        <v>39</v>
      </c>
      <c r="L49" s="1">
        <f t="shared" ca="1" si="17"/>
        <v>38</v>
      </c>
      <c r="M49" s="1">
        <f t="shared" ca="1" si="17"/>
        <v>38</v>
      </c>
      <c r="N49" s="1">
        <f t="shared" ca="1" si="17"/>
        <v>38</v>
      </c>
      <c r="O49" s="1">
        <f t="shared" ca="1" si="17"/>
        <v>38</v>
      </c>
      <c r="P49" s="1">
        <f t="shared" ca="1" si="17"/>
        <v>38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5" t="s">
        <v>135</v>
      </c>
      <c r="G51" s="76"/>
      <c r="H51" s="77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31</v>
      </c>
      <c r="D58" s="1">
        <f t="shared" ca="1" si="18"/>
        <v>31</v>
      </c>
      <c r="E58" s="1">
        <f t="shared" ca="1" si="18"/>
        <v>31</v>
      </c>
      <c r="F58" s="1">
        <f t="shared" ca="1" si="18"/>
        <v>31</v>
      </c>
      <c r="G58" s="1">
        <f t="shared" ca="1" si="18"/>
        <v>31</v>
      </c>
      <c r="H58" s="1">
        <f t="shared" ca="1" si="18"/>
        <v>31</v>
      </c>
      <c r="J58" s="1">
        <f t="shared" ref="J58:P58" ca="1" si="19">IF(J59="","",$B$1-J59)</f>
        <v>31</v>
      </c>
      <c r="K58" s="1">
        <f t="shared" ca="1" si="19"/>
        <v>30</v>
      </c>
      <c r="L58" s="1">
        <f t="shared" ca="1" si="19"/>
        <v>30</v>
      </c>
      <c r="M58" s="1">
        <f t="shared" ca="1" si="19"/>
        <v>30</v>
      </c>
      <c r="N58" s="1">
        <f t="shared" ca="1" si="19"/>
        <v>30</v>
      </c>
      <c r="O58" s="1">
        <f t="shared" ca="1" si="19"/>
        <v>30</v>
      </c>
      <c r="P58" s="1">
        <f t="shared" ca="1" si="19"/>
        <v>30</v>
      </c>
      <c r="R58" s="1">
        <f t="shared" ref="R58:X58" ca="1" si="20">IF(R59="","",$B$1-R59)</f>
        <v>30</v>
      </c>
      <c r="S58" s="1">
        <f t="shared" ca="1" si="20"/>
        <v>29</v>
      </c>
      <c r="T58" s="1">
        <f t="shared" ca="1" si="20"/>
        <v>29</v>
      </c>
      <c r="U58" s="1">
        <f t="shared" ca="1" si="20"/>
        <v>29</v>
      </c>
      <c r="V58" s="1">
        <f t="shared" ca="1" si="20"/>
        <v>29</v>
      </c>
      <c r="W58" s="1">
        <f t="shared" ca="1" si="20"/>
        <v>29</v>
      </c>
      <c r="X58" s="1">
        <f t="shared" ca="1" si="20"/>
        <v>29</v>
      </c>
      <c r="Z58" s="1">
        <f ca="1">IF(Z59="","",$B$1-Z59)</f>
        <v>29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1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2"/>
      <c r="AC60" s="9"/>
    </row>
    <row r="61" spans="1:29" x14ac:dyDescent="0.25">
      <c r="B61" s="72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3"/>
      <c r="C62" s="43" t="str">
        <f t="shared" ref="C62:H62" si="21">IF(C63="","",$B$1-C63)</f>
        <v/>
      </c>
      <c r="D62" s="1">
        <f t="shared" ca="1" si="21"/>
        <v>32</v>
      </c>
      <c r="E62" s="1">
        <f t="shared" ca="1" si="21"/>
        <v>32</v>
      </c>
      <c r="F62" s="1">
        <f t="shared" ca="1" si="21"/>
        <v>32</v>
      </c>
      <c r="G62" s="1">
        <f t="shared" ca="1" si="21"/>
        <v>32</v>
      </c>
      <c r="H62" s="1">
        <f t="shared" ca="1" si="21"/>
        <v>32</v>
      </c>
      <c r="J62" s="1">
        <f t="shared" ref="J62:P62" ca="1" si="22">IF(J63="","",$B$1-J63)</f>
        <v>32</v>
      </c>
      <c r="K62" s="1">
        <f t="shared" ca="1" si="22"/>
        <v>32</v>
      </c>
      <c r="L62" s="1">
        <f t="shared" ca="1" si="22"/>
        <v>32</v>
      </c>
      <c r="M62" s="1">
        <f t="shared" ca="1" si="22"/>
        <v>33</v>
      </c>
      <c r="N62" s="1">
        <f t="shared" ca="1" si="22"/>
        <v>33</v>
      </c>
      <c r="O62" s="1">
        <f t="shared" ca="1" si="22"/>
        <v>33</v>
      </c>
      <c r="P62" s="1">
        <f t="shared" ca="1" si="22"/>
        <v>33</v>
      </c>
      <c r="R62" s="1">
        <f t="shared" ref="R62:X62" ca="1" si="23">IF(R63="","",$B$1-R63)</f>
        <v>33</v>
      </c>
      <c r="S62" s="1">
        <f t="shared" ca="1" si="23"/>
        <v>33</v>
      </c>
      <c r="T62" s="1">
        <f t="shared" ca="1" si="23"/>
        <v>33</v>
      </c>
      <c r="U62" s="1">
        <f t="shared" ca="1" si="23"/>
        <v>34</v>
      </c>
      <c r="V62" s="1">
        <f t="shared" ca="1" si="23"/>
        <v>34</v>
      </c>
      <c r="W62" s="1">
        <f t="shared" ca="1" si="23"/>
        <v>34</v>
      </c>
      <c r="X62" s="1">
        <f t="shared" ca="1" si="23"/>
        <v>34</v>
      </c>
      <c r="Z62" s="1">
        <f ca="1">IF(Z63="","",$B$1-Z63)</f>
        <v>34</v>
      </c>
      <c r="AA62" s="1">
        <f ca="1">IF(AA63="","",$B$1-AA63)</f>
        <v>34</v>
      </c>
      <c r="AB62" s="1">
        <f ca="1">IF(AB63="","",$B$1-AB63)</f>
        <v>34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74" priority="194">
      <formula>LEN(TRIM(C42))&gt;0</formula>
    </cfRule>
    <cfRule type="notContainsBlanks" dxfId="273" priority="192">
      <formula>LEN(TRIM(C42))&gt;0</formula>
    </cfRule>
    <cfRule type="containsBlanks" dxfId="272" priority="193">
      <formula>LEN(TRIM(C42))=0</formula>
    </cfRule>
    <cfRule type="containsBlanks" dxfId="271" priority="191">
      <formula>LEN(TRIM(C42))=0</formula>
    </cfRule>
  </conditionalFormatting>
  <conditionalFormatting sqref="C46:F46">
    <cfRule type="containsBlanks" dxfId="270" priority="29">
      <formula>LEN(TRIM(C46))=0</formula>
    </cfRule>
    <cfRule type="notContainsBlanks" dxfId="269" priority="30">
      <formula>LEN(TRIM(C46))&gt;0</formula>
    </cfRule>
  </conditionalFormatting>
  <conditionalFormatting sqref="C50:F50">
    <cfRule type="containsBlanks" dxfId="268" priority="21">
      <formula>LEN(TRIM(C50))=0</formula>
    </cfRule>
    <cfRule type="notContainsBlanks" dxfId="267" priority="22">
      <formula>LEN(TRIM(C50))&gt;0</formula>
    </cfRule>
  </conditionalFormatting>
  <conditionalFormatting sqref="C7:H7">
    <cfRule type="containsBlanks" dxfId="266" priority="1">
      <formula>LEN(TRIM(C7))=0</formula>
    </cfRule>
    <cfRule type="notContainsBlanks" dxfId="265" priority="2">
      <formula>LEN(TRIM(C7))&gt;0</formula>
    </cfRule>
  </conditionalFormatting>
  <conditionalFormatting sqref="C11:H11">
    <cfRule type="containsBlanks" dxfId="264" priority="338">
      <formula>LEN(TRIM(C11))=0</formula>
    </cfRule>
    <cfRule type="notContainsBlanks" dxfId="263" priority="339">
      <formula>LEN(TRIM(C11))&gt;0</formula>
    </cfRule>
  </conditionalFormatting>
  <conditionalFormatting sqref="C15:H15">
    <cfRule type="notContainsBlanks" dxfId="262" priority="158">
      <formula>LEN(TRIM(C15))&gt;0</formula>
    </cfRule>
    <cfRule type="containsBlanks" dxfId="261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60" priority="5">
      <formula>LEN(TRIM(C25))=0</formula>
    </cfRule>
    <cfRule type="notContainsBlanks" dxfId="259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58" priority="3">
      <formula>LEN(TRIM(C29))=0</formula>
    </cfRule>
    <cfRule type="notContainsBlanks" dxfId="257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56" priority="196">
      <formula>LEN(TRIM(C42))&gt;0</formula>
    </cfRule>
    <cfRule type="containsBlanks" dxfId="255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54" priority="60">
      <formula>LEN(TRIM(C59))&gt;0</formula>
    </cfRule>
    <cfRule type="containsBlanks" dxfId="253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52" priority="176">
      <formula>LEN(TRIM(C63))&gt;0</formula>
    </cfRule>
    <cfRule type="containsBlanks" dxfId="251" priority="175">
      <formula>LEN(TRIM(C63))=0</formula>
    </cfRule>
  </conditionalFormatting>
  <conditionalFormatting sqref="D63:H63">
    <cfRule type="notContainsBlanks" dxfId="250" priority="174">
      <formula>LEN(TRIM(D63))&gt;0</formula>
    </cfRule>
    <cfRule type="containsBlanks" dxfId="249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48" priority="28">
      <formula>LEN(TRIM(E46))&gt;0</formula>
    </cfRule>
    <cfRule type="containsBlanks" dxfId="247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46" priority="279">
      <formula>LEN(TRIM(G42))&gt;0</formula>
    </cfRule>
    <cfRule type="containsBlanks" dxfId="245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44" priority="33">
      <formula>LEN(TRIM(H46))=0</formula>
    </cfRule>
    <cfRule type="notContainsBlanks" dxfId="243" priority="32">
      <formula>LEN(TRIM(H46))&gt;0</formula>
    </cfRule>
    <cfRule type="containsBlanks" dxfId="242" priority="31">
      <formula>LEN(TRIM(H46))=0</formula>
    </cfRule>
    <cfRule type="notContainsBlanks" dxfId="241" priority="34">
      <formula>LEN(TRIM(H46))&gt;0</formula>
    </cfRule>
  </conditionalFormatting>
  <conditionalFormatting sqref="H50">
    <cfRule type="notContainsBlanks" dxfId="240" priority="24">
      <formula>LEN(TRIM(H50))&gt;0</formula>
    </cfRule>
    <cfRule type="containsBlanks" dxfId="239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38" priority="16">
      <formula>LEN(TRIM(J21))&gt;0</formula>
    </cfRule>
    <cfRule type="containsBlanks" dxfId="237" priority="15">
      <formula>LEN(TRIM(J21))=0</formula>
    </cfRule>
  </conditionalFormatting>
  <conditionalFormatting sqref="J63:L63">
    <cfRule type="containsBlanks" dxfId="236" priority="55">
      <formula>LEN(TRIM(J63))=0</formula>
    </cfRule>
    <cfRule type="notContainsBlanks" dxfId="235" priority="56">
      <formula>LEN(TRIM(J63))&gt;0</formula>
    </cfRule>
  </conditionalFormatting>
  <conditionalFormatting sqref="J46:M46">
    <cfRule type="notContainsBlanks" dxfId="234" priority="200">
      <formula>LEN(TRIM(J46))&gt;0</formula>
    </cfRule>
    <cfRule type="containsBlanks" dxfId="233" priority="199">
      <formula>LEN(TRIM(J46))=0</formula>
    </cfRule>
  </conditionalFormatting>
  <conditionalFormatting sqref="J42:N42">
    <cfRule type="containsBlanks" dxfId="232" priority="41">
      <formula>LEN(TRIM(J42))=0</formula>
    </cfRule>
    <cfRule type="notContainsBlanks" dxfId="231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30" priority="252">
      <formula>LEN(TRIM(J7))&gt;0</formula>
    </cfRule>
    <cfRule type="containsBlanks" dxfId="229" priority="251">
      <formula>LEN(TRIM(J7))=0</formula>
    </cfRule>
  </conditionalFormatting>
  <conditionalFormatting sqref="J11:P11">
    <cfRule type="containsBlanks" dxfId="228" priority="83">
      <formula>LEN(TRIM(J11))=0</formula>
    </cfRule>
    <cfRule type="notContainsBlanks" dxfId="227" priority="84">
      <formula>LEN(TRIM(J11))&gt;0</formula>
    </cfRule>
  </conditionalFormatting>
  <conditionalFormatting sqref="J15:P15">
    <cfRule type="notContainsBlanks" dxfId="226" priority="86">
      <formula>LEN(TRIM(J15))&gt;0</formula>
    </cfRule>
    <cfRule type="containsBlanks" dxfId="225" priority="85">
      <formula>LEN(TRIM(J15))=0</formula>
    </cfRule>
  </conditionalFormatting>
  <conditionalFormatting sqref="J25:P25">
    <cfRule type="containsBlanks" dxfId="224" priority="101">
      <formula>LEN(TRIM(J25))=0</formula>
    </cfRule>
    <cfRule type="notContainsBlanks" dxfId="223" priority="102">
      <formula>LEN(TRIM(J25))&gt;0</formula>
    </cfRule>
  </conditionalFormatting>
  <conditionalFormatting sqref="J29:P29">
    <cfRule type="notContainsBlanks" dxfId="222" priority="8">
      <formula>LEN(TRIM(J29))&gt;0</formula>
    </cfRule>
    <cfRule type="containsBlanks" dxfId="221" priority="7">
      <formula>LEN(TRIM(J29))=0</formula>
    </cfRule>
  </conditionalFormatting>
  <conditionalFormatting sqref="J42:P42">
    <cfRule type="notContainsBlanks" dxfId="220" priority="44">
      <formula>LEN(TRIM(J42))&gt;0</formula>
    </cfRule>
    <cfRule type="containsBlanks" dxfId="219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218" priority="39">
      <formula>LEN(TRIM(J46))=0</formula>
    </cfRule>
    <cfRule type="notContainsBlanks" dxfId="217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216" priority="26">
      <formula>LEN(TRIM(J50))&gt;0</formula>
    </cfRule>
    <cfRule type="containsBlanks" dxfId="215" priority="25">
      <formula>LEN(TRIM(J50))=0</formula>
    </cfRule>
  </conditionalFormatting>
  <conditionalFormatting sqref="J59:P59">
    <cfRule type="notContainsBlanks" dxfId="214" priority="66">
      <formula>LEN(TRIM(J59))&gt;0</formula>
    </cfRule>
    <cfRule type="containsBlanks" dxfId="213" priority="65">
      <formula>LEN(TRIM(J59))=0</formula>
    </cfRule>
  </conditionalFormatting>
  <conditionalFormatting sqref="J63:P63">
    <cfRule type="notContainsBlanks" dxfId="212" priority="58">
      <formula>LEN(TRIM(J63))&gt;0</formula>
    </cfRule>
    <cfRule type="containsBlanks" dxfId="211" priority="57">
      <formula>LEN(TRIM(J63))=0</formula>
    </cfRule>
  </conditionalFormatting>
  <conditionalFormatting sqref="K11:P11">
    <cfRule type="notContainsBlanks" dxfId="210" priority="256">
      <formula>LEN(TRIM(K11))&gt;0</formula>
    </cfRule>
    <cfRule type="containsBlanks" dxfId="209" priority="255">
      <formula>LEN(TRIM(K11))=0</formula>
    </cfRule>
  </conditionalFormatting>
  <conditionalFormatting sqref="K59:P59">
    <cfRule type="containsBlanks" dxfId="208" priority="63">
      <formula>LEN(TRIM(K59))=0</formula>
    </cfRule>
    <cfRule type="notContainsBlanks" dxfId="207" priority="62">
      <formula>LEN(TRIM(K59))&gt;0</formula>
    </cfRule>
    <cfRule type="containsBlanks" dxfId="206" priority="61">
      <formula>LEN(TRIM(K59))=0</formula>
    </cfRule>
    <cfRule type="notContainsBlanks" dxfId="205" priority="64">
      <formula>LEN(TRIM(K59))&gt;0</formula>
    </cfRule>
  </conditionalFormatting>
  <conditionalFormatting sqref="M63:P63">
    <cfRule type="notContainsBlanks" dxfId="204" priority="180">
      <formula>LEN(TRIM(M63))&gt;0</formula>
    </cfRule>
    <cfRule type="containsBlanks" dxfId="203" priority="179">
      <formula>LEN(TRIM(M63))=0</formula>
    </cfRule>
  </conditionalFormatting>
  <conditionalFormatting sqref="N46:P46">
    <cfRule type="notContainsBlanks" dxfId="202" priority="36">
      <formula>LEN(TRIM(N46))&gt;0</formula>
    </cfRule>
    <cfRule type="containsBlanks" dxfId="201" priority="35">
      <formula>LEN(TRIM(N46))=0</formula>
    </cfRule>
    <cfRule type="notContainsBlanks" dxfId="200" priority="38">
      <formula>LEN(TRIM(N46))&gt;0</formula>
    </cfRule>
    <cfRule type="containsBlanks" dxfId="199" priority="37">
      <formula>LEN(TRIM(N46))=0</formula>
    </cfRule>
  </conditionalFormatting>
  <conditionalFormatting sqref="P7">
    <cfRule type="containsBlanks" dxfId="198" priority="247">
      <formula>LEN(TRIM(P7))=0</formula>
    </cfRule>
    <cfRule type="notContainsBlanks" dxfId="197" priority="248">
      <formula>LEN(TRIM(P7))&gt;0</formula>
    </cfRule>
    <cfRule type="containsBlanks" dxfId="196" priority="249">
      <formula>LEN(TRIM(P7))=0</formula>
    </cfRule>
    <cfRule type="notContainsBlanks" dxfId="195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94" priority="79">
      <formula>LEN(TRIM(R11))=0</formula>
    </cfRule>
    <cfRule type="notContainsBlanks" dxfId="193" priority="80">
      <formula>LEN(TRIM(R11))&gt;0</formula>
    </cfRule>
  </conditionalFormatting>
  <conditionalFormatting sqref="R15">
    <cfRule type="containsBlanks" dxfId="192" priority="81">
      <formula>LEN(TRIM(R15))=0</formula>
    </cfRule>
    <cfRule type="notContainsBlanks" dxfId="191" priority="82">
      <formula>LEN(TRIM(R15))&gt;0</formula>
    </cfRule>
  </conditionalFormatting>
  <conditionalFormatting sqref="R59">
    <cfRule type="containsBlanks" dxfId="190" priority="167">
      <formula>LEN(TRIM(R59))=0</formula>
    </cfRule>
    <cfRule type="notContainsBlanks" dxfId="189" priority="168">
      <formula>LEN(TRIM(R59))&gt;0</formula>
    </cfRule>
    <cfRule type="notContainsBlanks" dxfId="188" priority="166">
      <formula>LEN(TRIM(R59))&gt;0</formula>
    </cfRule>
    <cfRule type="containsBlanks" dxfId="187" priority="165">
      <formula>LEN(TRIM(R59))=0</formula>
    </cfRule>
  </conditionalFormatting>
  <conditionalFormatting sqref="R11:T11">
    <cfRule type="containsBlanks" dxfId="186" priority="75">
      <formula>LEN(TRIM(R11))=0</formula>
    </cfRule>
    <cfRule type="notContainsBlanks" dxfId="185" priority="76">
      <formula>LEN(TRIM(R11))&gt;0</formula>
    </cfRule>
  </conditionalFormatting>
  <conditionalFormatting sqref="R63:T63">
    <cfRule type="notContainsBlanks" dxfId="184" priority="52">
      <formula>LEN(TRIM(R63))&gt;0</formula>
    </cfRule>
    <cfRule type="containsBlanks" dxfId="183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82" priority="71">
      <formula>LEN(TRIM(R7))=0</formula>
    </cfRule>
    <cfRule type="notContainsBlanks" dxfId="181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80" priority="14">
      <formula>LEN(TRIM(R25))&gt;0</formula>
    </cfRule>
    <cfRule type="containsBlanks" dxfId="179" priority="13">
      <formula>LEN(TRIM(R25))=0</formula>
    </cfRule>
  </conditionalFormatting>
  <conditionalFormatting sqref="R29:X29">
    <cfRule type="notContainsBlanks" dxfId="178" priority="12">
      <formula>LEN(TRIM(R29))&gt;0</formula>
    </cfRule>
    <cfRule type="containsBlanks" dxfId="177" priority="11">
      <formula>LEN(TRIM(R29))=0</formula>
    </cfRule>
  </conditionalFormatting>
  <conditionalFormatting sqref="R59:X59">
    <cfRule type="notContainsBlanks" dxfId="176" priority="170">
      <formula>LEN(TRIM(R59))&gt;0</formula>
    </cfRule>
    <cfRule type="containsBlanks" dxfId="175" priority="169">
      <formula>LEN(TRIM(R59))=0</formula>
    </cfRule>
  </conditionalFormatting>
  <conditionalFormatting sqref="R63:X63">
    <cfRule type="containsBlanks" dxfId="174" priority="53">
      <formula>LEN(TRIM(R63))=0</formula>
    </cfRule>
    <cfRule type="notContainsBlanks" dxfId="173" priority="54">
      <formula>LEN(TRIM(R63))&gt;0</formula>
    </cfRule>
  </conditionalFormatting>
  <conditionalFormatting sqref="S15:X15">
    <cfRule type="notContainsBlanks" dxfId="172" priority="308">
      <formula>LEN(TRIM(S15))&gt;0</formula>
    </cfRule>
    <cfRule type="containsBlanks" dxfId="171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70" priority="266">
      <formula>LEN(TRIM(S59))=0</formula>
    </cfRule>
    <cfRule type="notContainsBlanks" dxfId="169" priority="267">
      <formula>LEN(TRIM(S59))&gt;0</formula>
    </cfRule>
  </conditionalFormatting>
  <conditionalFormatting sqref="U11:X11">
    <cfRule type="notContainsBlanks" dxfId="168" priority="150">
      <formula>LEN(TRIM(U11))&gt;0</formula>
    </cfRule>
    <cfRule type="containsBlanks" dxfId="167" priority="149">
      <formula>LEN(TRIM(U11))=0</formula>
    </cfRule>
  </conditionalFormatting>
  <conditionalFormatting sqref="U63:X63">
    <cfRule type="notContainsBlanks" dxfId="166" priority="186">
      <formula>LEN(TRIM(U63))&gt;0</formula>
    </cfRule>
    <cfRule type="containsBlanks" dxfId="165" priority="185">
      <formula>LEN(TRIM(U63))=0</formula>
    </cfRule>
    <cfRule type="notContainsBlanks" dxfId="164" priority="184">
      <formula>LEN(TRIM(U63))&gt;0</formula>
    </cfRule>
    <cfRule type="containsBlanks" dxfId="163" priority="183">
      <formula>LEN(TRIM(U63))=0</formula>
    </cfRule>
  </conditionalFormatting>
  <conditionalFormatting sqref="V11:W11">
    <cfRule type="notContainsBlanks" dxfId="162" priority="146">
      <formula>LEN(TRIM(V11))&gt;0</formula>
    </cfRule>
    <cfRule type="containsBlanks" dxfId="161" priority="145">
      <formula>LEN(TRIM(V11))=0</formula>
    </cfRule>
  </conditionalFormatting>
  <conditionalFormatting sqref="W15:X15">
    <cfRule type="notContainsBlanks" dxfId="160" priority="298">
      <formula>LEN(TRIM(W15))&gt;0</formula>
    </cfRule>
    <cfRule type="containsBlanks" dxfId="159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58" priority="310">
      <formula>LEN(TRIM(W33))&gt;0</formula>
    </cfRule>
    <cfRule type="containsBlanks" dxfId="157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56" priority="387">
      <formula>LEN(TRIM(X21))&gt;0</formula>
    </cfRule>
    <cfRule type="containsBlanks" dxfId="155" priority="386">
      <formula>LEN(TRIM(X21))=0</formula>
    </cfRule>
    <cfRule type="notContainsBlanks" dxfId="154" priority="385">
      <formula>LEN(TRIM(X21))&gt;0</formula>
    </cfRule>
    <cfRule type="containsBlanks" dxfId="153" priority="378">
      <formula>LEN(TRIM(X21))=0</formula>
    </cfRule>
    <cfRule type="notContainsBlanks" dxfId="152" priority="379">
      <formula>LEN(TRIM(X21))&gt;0</formula>
    </cfRule>
    <cfRule type="containsBlanks" dxfId="151" priority="380">
      <formula>LEN(TRIM(X21))=0</formula>
    </cfRule>
    <cfRule type="notContainsBlanks" dxfId="150" priority="381">
      <formula>LEN(TRIM(X21))&gt;0</formula>
    </cfRule>
    <cfRule type="containsBlanks" dxfId="149" priority="382">
      <formula>LEN(TRIM(X21))=0</formula>
    </cfRule>
    <cfRule type="notContainsBlanks" dxfId="148" priority="383">
      <formula>LEN(TRIM(X21))&gt;0</formula>
    </cfRule>
    <cfRule type="containsBlanks" dxfId="147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46" priority="68">
      <formula>LEN(TRIM(Z59))&gt;0</formula>
    </cfRule>
    <cfRule type="containsBlanks" dxfId="145" priority="67">
      <formula>LEN(TRIM(Z59))=0</formula>
    </cfRule>
  </conditionalFormatting>
  <conditionalFormatting sqref="Z59:AB59">
    <cfRule type="notContainsBlanks" dxfId="144" priority="70">
      <formula>LEN(TRIM(Z59))&gt;0</formula>
    </cfRule>
    <cfRule type="containsBlanks" dxfId="143" priority="69">
      <formula>LEN(TRIM(Z59))=0</formula>
    </cfRule>
  </conditionalFormatting>
  <conditionalFormatting sqref="Z63:AB63">
    <cfRule type="containsBlanks" dxfId="142" priority="47">
      <formula>LEN(TRIM(Z63))=0</formula>
    </cfRule>
    <cfRule type="containsBlanks" dxfId="141" priority="45">
      <formula>LEN(TRIM(Z63))=0</formula>
    </cfRule>
    <cfRule type="notContainsBlanks" dxfId="140" priority="46">
      <formula>LEN(TRIM(Z63))&gt;0</formula>
    </cfRule>
    <cfRule type="notContainsBlanks" dxfId="139" priority="50">
      <formula>LEN(TRIM(Z63))&gt;0</formula>
    </cfRule>
    <cfRule type="containsBlanks" dxfId="138" priority="49">
      <formula>LEN(TRIM(Z63))=0</formula>
    </cfRule>
    <cfRule type="notContainsBlanks" dxfId="137" priority="48">
      <formula>LEN(TRIM(Z63))&gt;0</formula>
    </cfRule>
  </conditionalFormatting>
  <conditionalFormatting sqref="Z25:AI25">
    <cfRule type="notContainsBlanks" dxfId="136" priority="218">
      <formula>LEN(TRIM(Z25))&gt;0</formula>
    </cfRule>
    <cfRule type="containsBlanks" dxfId="135" priority="217">
      <formula>LEN(TRIM(Z25))=0</formula>
    </cfRule>
  </conditionalFormatting>
  <conditionalFormatting sqref="Z29:AI29">
    <cfRule type="containsBlanks" dxfId="134" priority="19">
      <formula>LEN(TRIM(Z29))=0</formula>
    </cfRule>
    <cfRule type="notContainsBlanks" dxfId="133" priority="20">
      <formula>LEN(TRIM(Z29))&gt;0</formula>
    </cfRule>
  </conditionalFormatting>
  <conditionalFormatting sqref="AA59:AB59">
    <cfRule type="containsBlanks" dxfId="132" priority="243">
      <formula>LEN(TRIM(AA59))=0</formula>
    </cfRule>
    <cfRule type="notContainsBlanks" dxfId="131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30" priority="17">
      <formula>LEN(TRIM(AF21))=0</formula>
    </cfRule>
    <cfRule type="notContainsBlanks" dxfId="129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128" priority="397">
      <formula>LEN(TRIM(AG33))&gt;0</formula>
    </cfRule>
    <cfRule type="containsBlanks" dxfId="127" priority="388">
      <formula>LEN(TRIM(AG33))=0</formula>
    </cfRule>
    <cfRule type="notContainsBlanks" dxfId="126" priority="389">
      <formula>LEN(TRIM(AG33))&gt;0</formula>
    </cfRule>
    <cfRule type="notContainsBlanks" dxfId="125" priority="391">
      <formula>LEN(TRIM(AG33))&gt;0</formula>
    </cfRule>
    <cfRule type="containsBlanks" dxfId="124" priority="392">
      <formula>LEN(TRIM(AG33))=0</formula>
    </cfRule>
    <cfRule type="notContainsBlanks" dxfId="123" priority="393">
      <formula>LEN(TRIM(AG33))&gt;0</formula>
    </cfRule>
    <cfRule type="containsBlanks" dxfId="122" priority="394">
      <formula>LEN(TRIM(AG33))=0</formula>
    </cfRule>
    <cfRule type="notContainsBlanks" dxfId="121" priority="395">
      <formula>LEN(TRIM(AG33))&gt;0</formula>
    </cfRule>
    <cfRule type="containsBlanks" dxfId="120" priority="396">
      <formula>LEN(TRIM(AG33))=0</formula>
    </cfRule>
    <cfRule type="containsBlanks" dxfId="119" priority="398">
      <formula>LEN(TRIM(AG33))=0</formula>
    </cfRule>
    <cfRule type="notContainsBlanks" dxfId="118" priority="399">
      <formula>LEN(TRIM(AG33))&gt;0</formula>
    </cfRule>
    <cfRule type="containsBlanks" dxfId="117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552"/>
  <sheetViews>
    <sheetView tabSelected="1" workbookViewId="0">
      <pane xSplit="2" ySplit="1" topLeftCell="C1542" activePane="bottomRight" state="frozen"/>
      <selection pane="topRight" activeCell="C1" sqref="C1"/>
      <selection pane="bottomLeft" activeCell="A2" sqref="A2"/>
      <selection pane="bottomRight" activeCell="T1549" sqref="T1549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82" si="384">A1235+23</f>
        <v>46166</v>
      </c>
      <c r="E1235" s="28">
        <f t="shared" ref="E1235:E1282" si="385">A1235+7</f>
        <v>46150</v>
      </c>
      <c r="F1235" s="28">
        <f t="shared" ref="F1235:F1282" si="386">A1235+14</f>
        <v>46157</v>
      </c>
      <c r="G1235" s="28">
        <f t="shared" ref="G1235:G1282" si="387">A1235+20</f>
        <v>46163</v>
      </c>
      <c r="H1235" s="28">
        <f t="shared" ref="H1235:H1282" si="388">A1235+8</f>
        <v>46151</v>
      </c>
      <c r="I1235" s="28">
        <f t="shared" ref="I1235:I1282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VLOOKUP(B1378,'[3]Migrasi Bed'!$B$4:$E$521,4,0)</f>
        <v>ST.A017</v>
      </c>
      <c r="D1378" s="28">
        <f t="shared" ref="D1378:D1441" si="390">A1378+23</f>
        <v>46188</v>
      </c>
      <c r="E1378" s="28">
        <f t="shared" ref="E1378:E1441" si="391">A1378+7</f>
        <v>46172</v>
      </c>
      <c r="F1378" s="28">
        <f t="shared" ref="F1378:F1441" si="392">A1378+14</f>
        <v>46179</v>
      </c>
      <c r="G1378" s="28">
        <f t="shared" ref="G1378:G1441" si="393">A1378+20</f>
        <v>46185</v>
      </c>
      <c r="H1378" s="28">
        <f t="shared" ref="H1378:H1441" si="394">A1378+8</f>
        <v>46173</v>
      </c>
      <c r="I1378" s="28">
        <f t="shared" ref="I1378:I1441" si="395">A1378+15</f>
        <v>46180</v>
      </c>
      <c r="J1378" s="28">
        <v>46192</v>
      </c>
      <c r="K1378" s="1">
        <f t="shared" ref="K1378:K1392" si="396">J1378-A1378</f>
        <v>27</v>
      </c>
      <c r="L1378" s="1">
        <v>14.1</v>
      </c>
      <c r="M1378" s="1">
        <v>12</v>
      </c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VLOOKUP(B1379,'[3]Migrasi Bed'!$B$4:$E$521,4,0)</f>
        <v>ST.A018</v>
      </c>
      <c r="D1379" s="28">
        <f t="shared" si="390"/>
        <v>46188</v>
      </c>
      <c r="E1379" s="28">
        <f t="shared" si="391"/>
        <v>46172</v>
      </c>
      <c r="F1379" s="28">
        <f t="shared" si="392"/>
        <v>46179</v>
      </c>
      <c r="G1379" s="28">
        <f t="shared" si="393"/>
        <v>46185</v>
      </c>
      <c r="H1379" s="28">
        <f t="shared" si="394"/>
        <v>46173</v>
      </c>
      <c r="I1379" s="28">
        <f t="shared" si="395"/>
        <v>46180</v>
      </c>
      <c r="J1379" s="28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VLOOKUP(B1380,'[3]Migrasi Bed'!$B$4:$E$521,4,0)</f>
        <v>ST.A019</v>
      </c>
      <c r="D1380" s="28">
        <f t="shared" si="390"/>
        <v>46188</v>
      </c>
      <c r="E1380" s="28">
        <f t="shared" si="391"/>
        <v>46172</v>
      </c>
      <c r="F1380" s="28">
        <f t="shared" si="392"/>
        <v>46179</v>
      </c>
      <c r="G1380" s="28">
        <f t="shared" si="393"/>
        <v>46185</v>
      </c>
      <c r="H1380" s="28">
        <f t="shared" si="394"/>
        <v>46173</v>
      </c>
      <c r="I1380" s="28">
        <f t="shared" si="395"/>
        <v>46180</v>
      </c>
      <c r="J1380" s="28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VLOOKUP(B1381,'[3]Migrasi Bed'!$B$4:$E$521,4,0)</f>
        <v>ST.A020</v>
      </c>
      <c r="D1381" s="28">
        <f t="shared" si="390"/>
        <v>46188</v>
      </c>
      <c r="E1381" s="28">
        <f t="shared" si="391"/>
        <v>46172</v>
      </c>
      <c r="F1381" s="28">
        <f t="shared" si="392"/>
        <v>46179</v>
      </c>
      <c r="G1381" s="28">
        <f t="shared" si="393"/>
        <v>46185</v>
      </c>
      <c r="H1381" s="28">
        <f t="shared" si="394"/>
        <v>46173</v>
      </c>
      <c r="I1381" s="28">
        <f t="shared" si="395"/>
        <v>46180</v>
      </c>
      <c r="J1381" s="28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VLOOKUP(B1382,'[3]Migrasi Bed'!$B$4:$E$521,4,0)</f>
        <v>ST.A021</v>
      </c>
      <c r="D1382" s="28">
        <f t="shared" si="390"/>
        <v>46188</v>
      </c>
      <c r="E1382" s="28">
        <f t="shared" si="391"/>
        <v>46172</v>
      </c>
      <c r="F1382" s="28">
        <f t="shared" si="392"/>
        <v>46179</v>
      </c>
      <c r="G1382" s="28">
        <f t="shared" si="393"/>
        <v>46185</v>
      </c>
      <c r="H1382" s="28">
        <f t="shared" si="394"/>
        <v>46173</v>
      </c>
      <c r="I1382" s="28">
        <f t="shared" si="395"/>
        <v>46180</v>
      </c>
      <c r="J1382" s="28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VLOOKUP(B1383,'[3]Migrasi Bed'!$B$4:$E$521,4,0)</f>
        <v>SV.F001</v>
      </c>
      <c r="D1383" s="28">
        <f t="shared" si="390"/>
        <v>46189</v>
      </c>
      <c r="E1383" s="28">
        <f t="shared" si="391"/>
        <v>46173</v>
      </c>
      <c r="F1383" s="28">
        <f t="shared" si="392"/>
        <v>46180</v>
      </c>
      <c r="G1383" s="28">
        <f t="shared" si="393"/>
        <v>46186</v>
      </c>
      <c r="H1383" s="28">
        <f t="shared" si="394"/>
        <v>46174</v>
      </c>
      <c r="I1383" s="28">
        <f t="shared" si="395"/>
        <v>46181</v>
      </c>
      <c r="J1383" s="28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VLOOKUP(B1384,'[3]Migrasi Bed'!$B$4:$E$521,4,0)</f>
        <v>SV.F002</v>
      </c>
      <c r="D1384" s="28">
        <f t="shared" si="390"/>
        <v>46189</v>
      </c>
      <c r="E1384" s="28">
        <f t="shared" si="391"/>
        <v>46173</v>
      </c>
      <c r="F1384" s="28">
        <f t="shared" si="392"/>
        <v>46180</v>
      </c>
      <c r="G1384" s="28">
        <f t="shared" si="393"/>
        <v>46186</v>
      </c>
      <c r="H1384" s="28">
        <f t="shared" si="394"/>
        <v>46174</v>
      </c>
      <c r="I1384" s="28">
        <f t="shared" si="395"/>
        <v>46181</v>
      </c>
      <c r="J1384" s="28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VLOOKUP(B1385,'[3]Migrasi Bed'!$B$4:$E$521,4,0)</f>
        <v>SV.F003</v>
      </c>
      <c r="D1385" s="28">
        <f t="shared" si="390"/>
        <v>46189</v>
      </c>
      <c r="E1385" s="28">
        <f t="shared" si="391"/>
        <v>46173</v>
      </c>
      <c r="F1385" s="28">
        <f t="shared" si="392"/>
        <v>46180</v>
      </c>
      <c r="G1385" s="28">
        <f t="shared" si="393"/>
        <v>46186</v>
      </c>
      <c r="H1385" s="28">
        <f t="shared" si="394"/>
        <v>46174</v>
      </c>
      <c r="I1385" s="28">
        <f t="shared" si="395"/>
        <v>46181</v>
      </c>
      <c r="J1385" s="28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VLOOKUP(B1386,'[3]Migrasi Bed'!$B$4:$E$521,4,0)</f>
        <v>SV.F004</v>
      </c>
      <c r="D1386" s="28">
        <f t="shared" si="390"/>
        <v>46189</v>
      </c>
      <c r="E1386" s="28">
        <f t="shared" si="391"/>
        <v>46173</v>
      </c>
      <c r="F1386" s="28">
        <f t="shared" si="392"/>
        <v>46180</v>
      </c>
      <c r="G1386" s="28">
        <f t="shared" si="393"/>
        <v>46186</v>
      </c>
      <c r="H1386" s="28">
        <f t="shared" si="394"/>
        <v>46174</v>
      </c>
      <c r="I1386" s="28">
        <f t="shared" si="395"/>
        <v>46181</v>
      </c>
      <c r="J1386" s="28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VLOOKUP(B1387,'[3]Migrasi Bed'!$B$4:$E$521,4,0)</f>
        <v>SV.F005</v>
      </c>
      <c r="D1387" s="28">
        <f t="shared" si="390"/>
        <v>46189</v>
      </c>
      <c r="E1387" s="28">
        <f t="shared" si="391"/>
        <v>46173</v>
      </c>
      <c r="F1387" s="28">
        <f t="shared" si="392"/>
        <v>46180</v>
      </c>
      <c r="G1387" s="28">
        <f t="shared" si="393"/>
        <v>46186</v>
      </c>
      <c r="H1387" s="28">
        <f t="shared" si="394"/>
        <v>46174</v>
      </c>
      <c r="I1387" s="28">
        <f t="shared" si="395"/>
        <v>46181</v>
      </c>
      <c r="J1387" s="28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VLOOKUP(B1388,'[3]Migrasi Bed'!$B$4:$E$521,4,0)</f>
        <v>SV.F006</v>
      </c>
      <c r="D1388" s="28">
        <f t="shared" si="390"/>
        <v>46189</v>
      </c>
      <c r="E1388" s="28">
        <f t="shared" si="391"/>
        <v>46173</v>
      </c>
      <c r="F1388" s="28">
        <f t="shared" si="392"/>
        <v>46180</v>
      </c>
      <c r="G1388" s="28">
        <f t="shared" si="393"/>
        <v>46186</v>
      </c>
      <c r="H1388" s="28">
        <f t="shared" si="394"/>
        <v>46174</v>
      </c>
      <c r="I1388" s="28">
        <f t="shared" si="395"/>
        <v>46181</v>
      </c>
      <c r="J1388" s="28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VLOOKUP(B1389,'[3]Migrasi Bed'!$B$4:$E$521,4,0)</f>
        <v>SV.F007</v>
      </c>
      <c r="D1389" s="28">
        <f t="shared" si="390"/>
        <v>46189</v>
      </c>
      <c r="E1389" s="28">
        <f t="shared" si="391"/>
        <v>46173</v>
      </c>
      <c r="F1389" s="28">
        <f t="shared" si="392"/>
        <v>46180</v>
      </c>
      <c r="G1389" s="28">
        <f t="shared" si="393"/>
        <v>46186</v>
      </c>
      <c r="H1389" s="28">
        <f t="shared" si="394"/>
        <v>46174</v>
      </c>
      <c r="I1389" s="28">
        <f t="shared" si="395"/>
        <v>46181</v>
      </c>
      <c r="J1389" s="28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VLOOKUP(B1390,'[3]Migrasi Bed'!$B$4:$E$521,4,0)</f>
        <v>SV.G001</v>
      </c>
      <c r="D1390" s="28">
        <f t="shared" si="390"/>
        <v>46190</v>
      </c>
      <c r="E1390" s="28">
        <f t="shared" si="391"/>
        <v>46174</v>
      </c>
      <c r="F1390" s="28">
        <f t="shared" si="392"/>
        <v>46181</v>
      </c>
      <c r="G1390" s="28">
        <f t="shared" si="393"/>
        <v>46187</v>
      </c>
      <c r="H1390" s="28">
        <f t="shared" si="394"/>
        <v>46175</v>
      </c>
      <c r="I1390" s="28">
        <f t="shared" si="395"/>
        <v>46182</v>
      </c>
      <c r="J1390" s="28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VLOOKUP(B1391,'[3]Migrasi Bed'!$B$4:$E$521,4,0)</f>
        <v>SV.G002</v>
      </c>
      <c r="D1391" s="28">
        <f t="shared" si="390"/>
        <v>46190</v>
      </c>
      <c r="E1391" s="28">
        <f t="shared" si="391"/>
        <v>46174</v>
      </c>
      <c r="F1391" s="28">
        <f t="shared" si="392"/>
        <v>46181</v>
      </c>
      <c r="G1391" s="28">
        <f t="shared" si="393"/>
        <v>46187</v>
      </c>
      <c r="H1391" s="28">
        <f t="shared" si="394"/>
        <v>46175</v>
      </c>
      <c r="I1391" s="28">
        <f t="shared" si="395"/>
        <v>46182</v>
      </c>
      <c r="J1391" s="28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VLOOKUP(B1392,'[3]Migrasi Bed'!$B$4:$E$521,4,0)</f>
        <v>SV.G003</v>
      </c>
      <c r="D1392" s="28">
        <f t="shared" si="390"/>
        <v>46190</v>
      </c>
      <c r="E1392" s="28">
        <f t="shared" si="391"/>
        <v>46174</v>
      </c>
      <c r="F1392" s="28">
        <f t="shared" si="392"/>
        <v>46181</v>
      </c>
      <c r="G1392" s="28">
        <f t="shared" si="393"/>
        <v>46187</v>
      </c>
      <c r="H1392" s="28">
        <f t="shared" si="394"/>
        <v>46175</v>
      </c>
      <c r="I1392" s="28">
        <f t="shared" si="395"/>
        <v>46182</v>
      </c>
      <c r="J1392" s="28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VLOOKUP(B1393,'[3]Migrasi Bed'!$B$4:$E$521,4,0)</f>
        <v>SV.G004</v>
      </c>
      <c r="D1393" s="28">
        <f t="shared" si="390"/>
        <v>46190</v>
      </c>
      <c r="E1393" s="28">
        <f t="shared" si="391"/>
        <v>46174</v>
      </c>
      <c r="F1393" s="28">
        <f t="shared" si="392"/>
        <v>46181</v>
      </c>
      <c r="G1393" s="28">
        <f t="shared" si="393"/>
        <v>46187</v>
      </c>
      <c r="H1393" s="28">
        <f t="shared" si="394"/>
        <v>46175</v>
      </c>
      <c r="I1393" s="28">
        <f t="shared" si="395"/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VLOOKUP(B1394,'[3]Migrasi Bed'!$B$4:$E$521,4,0)</f>
        <v>SV.G005</v>
      </c>
      <c r="D1394" s="28">
        <f t="shared" si="390"/>
        <v>46190</v>
      </c>
      <c r="E1394" s="28">
        <f t="shared" si="391"/>
        <v>46174</v>
      </c>
      <c r="F1394" s="28">
        <f t="shared" si="392"/>
        <v>46181</v>
      </c>
      <c r="G1394" s="28">
        <f t="shared" si="393"/>
        <v>46187</v>
      </c>
      <c r="H1394" s="28">
        <f t="shared" si="394"/>
        <v>46175</v>
      </c>
      <c r="I1394" s="28">
        <f t="shared" si="395"/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VLOOKUP(B1395,'[3]Migrasi Bed'!$B$4:$E$521,4,0)</f>
        <v>SV.G006</v>
      </c>
      <c r="D1395" s="28">
        <f t="shared" si="390"/>
        <v>46190</v>
      </c>
      <c r="E1395" s="28">
        <f t="shared" si="391"/>
        <v>46174</v>
      </c>
      <c r="F1395" s="28">
        <f t="shared" si="392"/>
        <v>46181</v>
      </c>
      <c r="G1395" s="28">
        <f t="shared" si="393"/>
        <v>46187</v>
      </c>
      <c r="H1395" s="28">
        <f t="shared" si="394"/>
        <v>46175</v>
      </c>
      <c r="I1395" s="28">
        <f t="shared" si="395"/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VLOOKUP(B1396,'[3]Migrasi Bed'!$B$4:$E$521,4,0)</f>
        <v>SV.G007</v>
      </c>
      <c r="D1396" s="28">
        <f t="shared" si="390"/>
        <v>46190</v>
      </c>
      <c r="E1396" s="28">
        <f t="shared" si="391"/>
        <v>46174</v>
      </c>
      <c r="F1396" s="28">
        <f t="shared" si="392"/>
        <v>46181</v>
      </c>
      <c r="G1396" s="28">
        <f t="shared" si="393"/>
        <v>46187</v>
      </c>
      <c r="H1396" s="28">
        <f t="shared" si="394"/>
        <v>46175</v>
      </c>
      <c r="I1396" s="28">
        <f t="shared" si="395"/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VLOOKUP(B1397,'[3]Migrasi Bed'!$B$4:$E$521,4,0)</f>
        <v>SV.F008</v>
      </c>
      <c r="D1397" s="28">
        <f t="shared" si="390"/>
        <v>46192</v>
      </c>
      <c r="E1397" s="28">
        <f t="shared" si="391"/>
        <v>46176</v>
      </c>
      <c r="F1397" s="28">
        <f t="shared" si="392"/>
        <v>46183</v>
      </c>
      <c r="G1397" s="28">
        <f t="shared" si="393"/>
        <v>46189</v>
      </c>
      <c r="H1397" s="28">
        <f t="shared" si="394"/>
        <v>46177</v>
      </c>
      <c r="I1397" s="28">
        <f t="shared" si="395"/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VLOOKUP(B1398,'[3]Migrasi Bed'!$B$4:$E$521,4,0)</f>
        <v>SV.F009</v>
      </c>
      <c r="D1398" s="28">
        <f t="shared" si="390"/>
        <v>46192</v>
      </c>
      <c r="E1398" s="28">
        <f t="shared" si="391"/>
        <v>46176</v>
      </c>
      <c r="F1398" s="28">
        <f t="shared" si="392"/>
        <v>46183</v>
      </c>
      <c r="G1398" s="28">
        <f t="shared" si="393"/>
        <v>46189</v>
      </c>
      <c r="H1398" s="28">
        <f t="shared" si="394"/>
        <v>46177</v>
      </c>
      <c r="I1398" s="28">
        <f t="shared" si="395"/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VLOOKUP(B1399,'[3]Migrasi Bed'!$B$4:$E$521,4,0)</f>
        <v>SV.F010</v>
      </c>
      <c r="D1399" s="28">
        <f t="shared" si="390"/>
        <v>46192</v>
      </c>
      <c r="E1399" s="28">
        <f t="shared" si="391"/>
        <v>46176</v>
      </c>
      <c r="F1399" s="28">
        <f t="shared" si="392"/>
        <v>46183</v>
      </c>
      <c r="G1399" s="28">
        <f t="shared" si="393"/>
        <v>46189</v>
      </c>
      <c r="H1399" s="28">
        <f t="shared" si="394"/>
        <v>46177</v>
      </c>
      <c r="I1399" s="28">
        <f t="shared" si="395"/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VLOOKUP(B1400,'[3]Migrasi Bed'!$B$4:$E$521,4,0)</f>
        <v>SV.F011</v>
      </c>
      <c r="D1400" s="28">
        <f t="shared" si="390"/>
        <v>46192</v>
      </c>
      <c r="E1400" s="28">
        <f t="shared" si="391"/>
        <v>46176</v>
      </c>
      <c r="F1400" s="28">
        <f t="shared" si="392"/>
        <v>46183</v>
      </c>
      <c r="G1400" s="28">
        <f t="shared" si="393"/>
        <v>46189</v>
      </c>
      <c r="H1400" s="28">
        <f t="shared" si="394"/>
        <v>46177</v>
      </c>
      <c r="I1400" s="28">
        <f t="shared" si="395"/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VLOOKUP(B1401,'[3]Migrasi Bed'!$B$4:$E$521,4,0)</f>
        <v>SV.F012</v>
      </c>
      <c r="D1401" s="28">
        <f t="shared" si="390"/>
        <v>46192</v>
      </c>
      <c r="E1401" s="28">
        <f t="shared" si="391"/>
        <v>46176</v>
      </c>
      <c r="F1401" s="28">
        <f t="shared" si="392"/>
        <v>46183</v>
      </c>
      <c r="G1401" s="28">
        <f t="shared" si="393"/>
        <v>46189</v>
      </c>
      <c r="H1401" s="28">
        <f t="shared" si="394"/>
        <v>46177</v>
      </c>
      <c r="I1401" s="28">
        <f t="shared" si="395"/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VLOOKUP(B1402,'[3]Migrasi Bed'!$B$4:$E$521,4,0)</f>
        <v>SV.F013</v>
      </c>
      <c r="D1402" s="28">
        <f t="shared" si="390"/>
        <v>46192</v>
      </c>
      <c r="E1402" s="28">
        <f t="shared" si="391"/>
        <v>46176</v>
      </c>
      <c r="F1402" s="28">
        <f t="shared" si="392"/>
        <v>46183</v>
      </c>
      <c r="G1402" s="28">
        <f t="shared" si="393"/>
        <v>46189</v>
      </c>
      <c r="H1402" s="28">
        <f t="shared" si="394"/>
        <v>46177</v>
      </c>
      <c r="I1402" s="28">
        <f t="shared" si="395"/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VLOOKUP(B1403,'[3]Migrasi Bed'!$B$4:$E$521,4,0)</f>
        <v>SV.F014</v>
      </c>
      <c r="D1403" s="28">
        <f t="shared" si="390"/>
        <v>46192</v>
      </c>
      <c r="E1403" s="28">
        <f t="shared" si="391"/>
        <v>46176</v>
      </c>
      <c r="F1403" s="28">
        <f t="shared" si="392"/>
        <v>46183</v>
      </c>
      <c r="G1403" s="28">
        <f t="shared" si="393"/>
        <v>46189</v>
      </c>
      <c r="H1403" s="28">
        <f t="shared" si="394"/>
        <v>46177</v>
      </c>
      <c r="I1403" s="28">
        <f t="shared" si="395"/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VLOOKUP(B1404,'[3]Migrasi Bed'!$B$4:$E$521,4,0)</f>
        <v>SV.G008</v>
      </c>
      <c r="D1404" s="28">
        <f t="shared" si="390"/>
        <v>46193</v>
      </c>
      <c r="E1404" s="28">
        <f t="shared" si="391"/>
        <v>46177</v>
      </c>
      <c r="F1404" s="28">
        <f t="shared" si="392"/>
        <v>46184</v>
      </c>
      <c r="G1404" s="28">
        <f t="shared" si="393"/>
        <v>46190</v>
      </c>
      <c r="H1404" s="28">
        <f t="shared" si="394"/>
        <v>46178</v>
      </c>
      <c r="I1404" s="28">
        <f t="shared" si="395"/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VLOOKUP(B1405,'[3]Migrasi Bed'!$B$4:$E$521,4,0)</f>
        <v>SV.G009</v>
      </c>
      <c r="D1405" s="28">
        <f t="shared" si="390"/>
        <v>46193</v>
      </c>
      <c r="E1405" s="28">
        <f t="shared" si="391"/>
        <v>46177</v>
      </c>
      <c r="F1405" s="28">
        <f t="shared" si="392"/>
        <v>46184</v>
      </c>
      <c r="G1405" s="28">
        <f t="shared" si="393"/>
        <v>46190</v>
      </c>
      <c r="H1405" s="28">
        <f t="shared" si="394"/>
        <v>46178</v>
      </c>
      <c r="I1405" s="28">
        <f t="shared" si="395"/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VLOOKUP(B1406,'[3]Migrasi Bed'!$B$4:$E$521,4,0)</f>
        <v>SV.G010</v>
      </c>
      <c r="D1406" s="28">
        <f t="shared" si="390"/>
        <v>46193</v>
      </c>
      <c r="E1406" s="28">
        <f t="shared" si="391"/>
        <v>46177</v>
      </c>
      <c r="F1406" s="28">
        <f t="shared" si="392"/>
        <v>46184</v>
      </c>
      <c r="G1406" s="28">
        <f t="shared" si="393"/>
        <v>46190</v>
      </c>
      <c r="H1406" s="28">
        <f t="shared" si="394"/>
        <v>46178</v>
      </c>
      <c r="I1406" s="28">
        <f t="shared" si="395"/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VLOOKUP(B1407,'[3]Migrasi Bed'!$B$4:$E$521,4,0)</f>
        <v>SV.G011</v>
      </c>
      <c r="D1407" s="28">
        <f t="shared" si="390"/>
        <v>46193</v>
      </c>
      <c r="E1407" s="28">
        <f t="shared" si="391"/>
        <v>46177</v>
      </c>
      <c r="F1407" s="28">
        <f t="shared" si="392"/>
        <v>46184</v>
      </c>
      <c r="G1407" s="28">
        <f t="shared" si="393"/>
        <v>46190</v>
      </c>
      <c r="H1407" s="28">
        <f t="shared" si="394"/>
        <v>46178</v>
      </c>
      <c r="I1407" s="28">
        <f t="shared" si="395"/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VLOOKUP(B1408,'[3]Migrasi Bed'!$B$4:$E$521,4,0)</f>
        <v>SV.G012</v>
      </c>
      <c r="D1408" s="28">
        <f t="shared" si="390"/>
        <v>46193</v>
      </c>
      <c r="E1408" s="28">
        <f t="shared" si="391"/>
        <v>46177</v>
      </c>
      <c r="F1408" s="28">
        <f t="shared" si="392"/>
        <v>46184</v>
      </c>
      <c r="G1408" s="28">
        <f t="shared" si="393"/>
        <v>46190</v>
      </c>
      <c r="H1408" s="28">
        <f t="shared" si="394"/>
        <v>46178</v>
      </c>
      <c r="I1408" s="28">
        <f t="shared" si="395"/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VLOOKUP(B1409,'[3]Migrasi Bed'!$B$4:$E$521,4,0)</f>
        <v>SV.G013</v>
      </c>
      <c r="D1409" s="28">
        <f t="shared" si="390"/>
        <v>46193</v>
      </c>
      <c r="E1409" s="28">
        <f t="shared" si="391"/>
        <v>46177</v>
      </c>
      <c r="F1409" s="28">
        <f t="shared" si="392"/>
        <v>46184</v>
      </c>
      <c r="G1409" s="28">
        <f t="shared" si="393"/>
        <v>46190</v>
      </c>
      <c r="H1409" s="28">
        <f t="shared" si="394"/>
        <v>46178</v>
      </c>
      <c r="I1409" s="28">
        <f t="shared" si="395"/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VLOOKUP(B1410,'[3]Migrasi Bed'!$B$4:$E$521,4,0)</f>
        <v>SV.G014</v>
      </c>
      <c r="D1410" s="28">
        <f t="shared" si="390"/>
        <v>46193</v>
      </c>
      <c r="E1410" s="28">
        <f t="shared" si="391"/>
        <v>46177</v>
      </c>
      <c r="F1410" s="28">
        <f t="shared" si="392"/>
        <v>46184</v>
      </c>
      <c r="G1410" s="28">
        <f t="shared" si="393"/>
        <v>46190</v>
      </c>
      <c r="H1410" s="28">
        <f t="shared" si="394"/>
        <v>46178</v>
      </c>
      <c r="I1410" s="28">
        <f t="shared" si="395"/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VLOOKUP(B1411,'[3]Migrasi Bed'!$B$4:$E$521,4,0)</f>
        <v>SV.F015</v>
      </c>
      <c r="D1411" s="28">
        <f t="shared" si="390"/>
        <v>46194</v>
      </c>
      <c r="E1411" s="28">
        <f t="shared" si="391"/>
        <v>46178</v>
      </c>
      <c r="F1411" s="28">
        <f t="shared" si="392"/>
        <v>46185</v>
      </c>
      <c r="G1411" s="28">
        <f t="shared" si="393"/>
        <v>46191</v>
      </c>
      <c r="H1411" s="28">
        <f t="shared" si="394"/>
        <v>46179</v>
      </c>
      <c r="I1411" s="28">
        <f t="shared" si="395"/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VLOOKUP(B1412,'[3]Migrasi Bed'!$B$4:$E$521,4,0)</f>
        <v>SV.F016</v>
      </c>
      <c r="D1412" s="28">
        <f t="shared" si="390"/>
        <v>46194</v>
      </c>
      <c r="E1412" s="28">
        <f t="shared" si="391"/>
        <v>46178</v>
      </c>
      <c r="F1412" s="28">
        <f t="shared" si="392"/>
        <v>46185</v>
      </c>
      <c r="G1412" s="28">
        <f t="shared" si="393"/>
        <v>46191</v>
      </c>
      <c r="H1412" s="28">
        <f t="shared" si="394"/>
        <v>46179</v>
      </c>
      <c r="I1412" s="28">
        <f t="shared" si="395"/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VLOOKUP(B1413,'[3]Migrasi Bed'!$B$4:$E$521,4,0)</f>
        <v>SV.F017</v>
      </c>
      <c r="D1413" s="28">
        <f t="shared" si="390"/>
        <v>46194</v>
      </c>
      <c r="E1413" s="28">
        <f t="shared" si="391"/>
        <v>46178</v>
      </c>
      <c r="F1413" s="28">
        <f t="shared" si="392"/>
        <v>46185</v>
      </c>
      <c r="G1413" s="28">
        <f t="shared" si="393"/>
        <v>46191</v>
      </c>
      <c r="H1413" s="28">
        <f t="shared" si="394"/>
        <v>46179</v>
      </c>
      <c r="I1413" s="28">
        <f t="shared" si="395"/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VLOOKUP(B1414,'[3]Migrasi Bed'!$B$4:$E$521,4,0)</f>
        <v>SV.F018</v>
      </c>
      <c r="D1414" s="28">
        <f t="shared" si="390"/>
        <v>46194</v>
      </c>
      <c r="E1414" s="28">
        <f t="shared" si="391"/>
        <v>46178</v>
      </c>
      <c r="F1414" s="28">
        <f t="shared" si="392"/>
        <v>46185</v>
      </c>
      <c r="G1414" s="28">
        <f t="shared" si="393"/>
        <v>46191</v>
      </c>
      <c r="H1414" s="28">
        <f t="shared" si="394"/>
        <v>46179</v>
      </c>
      <c r="I1414" s="28">
        <f t="shared" si="395"/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VLOOKUP(B1415,'[3]Migrasi Bed'!$B$4:$E$521,4,0)</f>
        <v>SV.F019</v>
      </c>
      <c r="D1415" s="28">
        <f t="shared" si="390"/>
        <v>46194</v>
      </c>
      <c r="E1415" s="28">
        <f t="shared" si="391"/>
        <v>46178</v>
      </c>
      <c r="F1415" s="28">
        <f t="shared" si="392"/>
        <v>46185</v>
      </c>
      <c r="G1415" s="28">
        <f t="shared" si="393"/>
        <v>46191</v>
      </c>
      <c r="H1415" s="28">
        <f t="shared" si="394"/>
        <v>46179</v>
      </c>
      <c r="I1415" s="28">
        <f t="shared" si="395"/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VLOOKUP(B1416,'[3]Migrasi Bed'!$B$4:$E$521,4,0)</f>
        <v>SV.F020</v>
      </c>
      <c r="D1416" s="28">
        <f t="shared" si="390"/>
        <v>46194</v>
      </c>
      <c r="E1416" s="28">
        <f t="shared" si="391"/>
        <v>46178</v>
      </c>
      <c r="F1416" s="28">
        <f t="shared" si="392"/>
        <v>46185</v>
      </c>
      <c r="G1416" s="28">
        <f t="shared" si="393"/>
        <v>46191</v>
      </c>
      <c r="H1416" s="28">
        <f t="shared" si="394"/>
        <v>46179</v>
      </c>
      <c r="I1416" s="28">
        <f t="shared" si="395"/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VLOOKUP(B1417,'[3]Migrasi Bed'!$B$4:$E$521,4,0)</f>
        <v>SV.G015</v>
      </c>
      <c r="D1417" s="28">
        <f t="shared" si="390"/>
        <v>46194</v>
      </c>
      <c r="E1417" s="28">
        <f t="shared" si="391"/>
        <v>46178</v>
      </c>
      <c r="F1417" s="28">
        <f t="shared" si="392"/>
        <v>46185</v>
      </c>
      <c r="G1417" s="28">
        <f t="shared" si="393"/>
        <v>46191</v>
      </c>
      <c r="H1417" s="28">
        <f t="shared" si="394"/>
        <v>46179</v>
      </c>
      <c r="I1417" s="28">
        <f t="shared" si="395"/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VLOOKUP(B1418,'[3]Migrasi Bed'!$B$4:$E$521,4,0)</f>
        <v>SV.G016</v>
      </c>
      <c r="D1418" s="28">
        <f t="shared" si="390"/>
        <v>46195</v>
      </c>
      <c r="E1418" s="28">
        <f t="shared" si="391"/>
        <v>46179</v>
      </c>
      <c r="F1418" s="28">
        <f t="shared" si="392"/>
        <v>46186</v>
      </c>
      <c r="G1418" s="28">
        <f t="shared" si="393"/>
        <v>46192</v>
      </c>
      <c r="H1418" s="28">
        <f t="shared" si="394"/>
        <v>46180</v>
      </c>
      <c r="I1418" s="28">
        <f t="shared" si="395"/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VLOOKUP(B1419,'[3]Migrasi Bed'!$B$4:$E$521,4,0)</f>
        <v>SV.G017</v>
      </c>
      <c r="D1419" s="28">
        <f t="shared" si="390"/>
        <v>46195</v>
      </c>
      <c r="E1419" s="28">
        <f t="shared" si="391"/>
        <v>46179</v>
      </c>
      <c r="F1419" s="28">
        <f t="shared" si="392"/>
        <v>46186</v>
      </c>
      <c r="G1419" s="28">
        <f t="shared" si="393"/>
        <v>46192</v>
      </c>
      <c r="H1419" s="28">
        <f t="shared" si="394"/>
        <v>46180</v>
      </c>
      <c r="I1419" s="28">
        <f t="shared" si="395"/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VLOOKUP(B1420,'[3]Migrasi Bed'!$B$4:$E$521,4,0)</f>
        <v>SV.G018</v>
      </c>
      <c r="D1420" s="28">
        <f t="shared" si="390"/>
        <v>46195</v>
      </c>
      <c r="E1420" s="28">
        <f t="shared" si="391"/>
        <v>46179</v>
      </c>
      <c r="F1420" s="28">
        <f t="shared" si="392"/>
        <v>46186</v>
      </c>
      <c r="G1420" s="28">
        <f t="shared" si="393"/>
        <v>46192</v>
      </c>
      <c r="H1420" s="28">
        <f t="shared" si="394"/>
        <v>46180</v>
      </c>
      <c r="I1420" s="28">
        <f t="shared" si="395"/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VLOOKUP(B1421,'[3]Migrasi Bed'!$B$4:$E$521,4,0)</f>
        <v>SV.G019</v>
      </c>
      <c r="D1421" s="28">
        <f t="shared" si="390"/>
        <v>46195</v>
      </c>
      <c r="E1421" s="28">
        <f t="shared" si="391"/>
        <v>46179</v>
      </c>
      <c r="F1421" s="28">
        <f t="shared" si="392"/>
        <v>46186</v>
      </c>
      <c r="G1421" s="28">
        <f t="shared" si="393"/>
        <v>46192</v>
      </c>
      <c r="H1421" s="28">
        <f t="shared" si="394"/>
        <v>46180</v>
      </c>
      <c r="I1421" s="28">
        <f t="shared" si="395"/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VLOOKUP(B1422,'[3]Migrasi Bed'!$B$4:$E$521,4,0)</f>
        <v>SV.G020</v>
      </c>
      <c r="D1422" s="28">
        <f t="shared" si="390"/>
        <v>46195</v>
      </c>
      <c r="E1422" s="28">
        <f t="shared" si="391"/>
        <v>46179</v>
      </c>
      <c r="F1422" s="28">
        <f t="shared" si="392"/>
        <v>46186</v>
      </c>
      <c r="G1422" s="28">
        <f t="shared" si="393"/>
        <v>46192</v>
      </c>
      <c r="H1422" s="28">
        <f t="shared" si="394"/>
        <v>46180</v>
      </c>
      <c r="I1422" s="28">
        <f t="shared" si="395"/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VLOOKUP(B1423,'[3]Migrasi Bed'!$B$4:$E$521,4,0)</f>
        <v>SV.H018</v>
      </c>
      <c r="D1423" s="28">
        <f t="shared" si="390"/>
        <v>46195</v>
      </c>
      <c r="E1423" s="28">
        <f t="shared" si="391"/>
        <v>46179</v>
      </c>
      <c r="F1423" s="28">
        <f t="shared" si="392"/>
        <v>46186</v>
      </c>
      <c r="G1423" s="28">
        <f t="shared" si="393"/>
        <v>46192</v>
      </c>
      <c r="H1423" s="28">
        <f t="shared" si="394"/>
        <v>46180</v>
      </c>
      <c r="I1423" s="28">
        <f t="shared" si="395"/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VLOOKUP(B1424,'[3]Migrasi Bed'!$B$4:$E$521,4,0)</f>
        <v>SV.H019</v>
      </c>
      <c r="D1424" s="28">
        <f t="shared" si="390"/>
        <v>46195</v>
      </c>
      <c r="E1424" s="28">
        <f t="shared" si="391"/>
        <v>46179</v>
      </c>
      <c r="F1424" s="28">
        <f t="shared" si="392"/>
        <v>46186</v>
      </c>
      <c r="G1424" s="28">
        <f t="shared" si="393"/>
        <v>46192</v>
      </c>
      <c r="H1424" s="28">
        <f t="shared" si="394"/>
        <v>46180</v>
      </c>
      <c r="I1424" s="28">
        <f t="shared" si="395"/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VLOOKUP(B1425,'[3]Migrasi Bed'!$B$4:$E$521,4,0)</f>
        <v>SV.H020</v>
      </c>
      <c r="D1425" s="28">
        <f t="shared" si="390"/>
        <v>46195</v>
      </c>
      <c r="E1425" s="28">
        <f t="shared" si="391"/>
        <v>46179</v>
      </c>
      <c r="F1425" s="28">
        <f t="shared" si="392"/>
        <v>46186</v>
      </c>
      <c r="G1425" s="28">
        <f t="shared" si="393"/>
        <v>46192</v>
      </c>
      <c r="H1425" s="28">
        <f t="shared" si="394"/>
        <v>46180</v>
      </c>
      <c r="I1425" s="28">
        <f t="shared" si="395"/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VLOOKUP(B1426,'[3]Migrasi Bed'!$B$4:$E$521,4,0)</f>
        <v>SV.H011</v>
      </c>
      <c r="D1426" s="28">
        <f t="shared" si="390"/>
        <v>46196</v>
      </c>
      <c r="E1426" s="28">
        <f t="shared" si="391"/>
        <v>46180</v>
      </c>
      <c r="F1426" s="28">
        <f t="shared" si="392"/>
        <v>46187</v>
      </c>
      <c r="G1426" s="28">
        <f t="shared" si="393"/>
        <v>46193</v>
      </c>
      <c r="H1426" s="28">
        <f t="shared" si="394"/>
        <v>46181</v>
      </c>
      <c r="I1426" s="28">
        <f t="shared" si="395"/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VLOOKUP(B1427,'[3]Migrasi Bed'!$B$4:$E$521,4,0)</f>
        <v>SV.H012</v>
      </c>
      <c r="D1427" s="28">
        <f t="shared" si="390"/>
        <v>46196</v>
      </c>
      <c r="E1427" s="28">
        <f t="shared" si="391"/>
        <v>46180</v>
      </c>
      <c r="F1427" s="28">
        <f t="shared" si="392"/>
        <v>46187</v>
      </c>
      <c r="G1427" s="28">
        <f t="shared" si="393"/>
        <v>46193</v>
      </c>
      <c r="H1427" s="28">
        <f t="shared" si="394"/>
        <v>46181</v>
      </c>
      <c r="I1427" s="28">
        <f t="shared" si="395"/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VLOOKUP(B1428,'[3]Migrasi Bed'!$B$4:$E$521,4,0)</f>
        <v>SV.H013</v>
      </c>
      <c r="D1428" s="28">
        <f t="shared" si="390"/>
        <v>46196</v>
      </c>
      <c r="E1428" s="28">
        <f t="shared" si="391"/>
        <v>46180</v>
      </c>
      <c r="F1428" s="28">
        <f t="shared" si="392"/>
        <v>46187</v>
      </c>
      <c r="G1428" s="28">
        <f t="shared" si="393"/>
        <v>46193</v>
      </c>
      <c r="H1428" s="28">
        <f t="shared" si="394"/>
        <v>46181</v>
      </c>
      <c r="I1428" s="28">
        <f t="shared" si="395"/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VLOOKUP(B1429,'[3]Migrasi Bed'!$B$4:$E$521,4,0)</f>
        <v>SV.H014</v>
      </c>
      <c r="D1429" s="28">
        <f t="shared" si="390"/>
        <v>46196</v>
      </c>
      <c r="E1429" s="28">
        <f t="shared" si="391"/>
        <v>46180</v>
      </c>
      <c r="F1429" s="28">
        <f t="shared" si="392"/>
        <v>46187</v>
      </c>
      <c r="G1429" s="28">
        <f t="shared" si="393"/>
        <v>46193</v>
      </c>
      <c r="H1429" s="28">
        <f t="shared" si="394"/>
        <v>46181</v>
      </c>
      <c r="I1429" s="28">
        <f t="shared" si="395"/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VLOOKUP(B1430,'[3]Migrasi Bed'!$B$4:$E$521,4,0)</f>
        <v>SV.H015</v>
      </c>
      <c r="D1430" s="28">
        <f t="shared" si="390"/>
        <v>46196</v>
      </c>
      <c r="E1430" s="28">
        <f t="shared" si="391"/>
        <v>46180</v>
      </c>
      <c r="F1430" s="28">
        <f t="shared" si="392"/>
        <v>46187</v>
      </c>
      <c r="G1430" s="28">
        <f t="shared" si="393"/>
        <v>46193</v>
      </c>
      <c r="H1430" s="28">
        <f t="shared" si="394"/>
        <v>46181</v>
      </c>
      <c r="I1430" s="28">
        <f t="shared" si="395"/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VLOOKUP(B1431,'[3]Migrasi Bed'!$B$4:$E$521,4,0)</f>
        <v>SV.H016</v>
      </c>
      <c r="D1431" s="28">
        <f t="shared" si="390"/>
        <v>46196</v>
      </c>
      <c r="E1431" s="28">
        <f t="shared" si="391"/>
        <v>46180</v>
      </c>
      <c r="F1431" s="28">
        <f t="shared" si="392"/>
        <v>46187</v>
      </c>
      <c r="G1431" s="28">
        <f t="shared" si="393"/>
        <v>46193</v>
      </c>
      <c r="H1431" s="28">
        <f t="shared" si="394"/>
        <v>46181</v>
      </c>
      <c r="I1431" s="28">
        <f t="shared" si="395"/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VLOOKUP(B1432,'[3]Migrasi Bed'!$B$4:$E$521,4,0)</f>
        <v>SV.H017</v>
      </c>
      <c r="D1432" s="28">
        <f t="shared" si="390"/>
        <v>46196</v>
      </c>
      <c r="E1432" s="28">
        <f t="shared" si="391"/>
        <v>46180</v>
      </c>
      <c r="F1432" s="28">
        <f t="shared" si="392"/>
        <v>46187</v>
      </c>
      <c r="G1432" s="28">
        <f t="shared" si="393"/>
        <v>46193</v>
      </c>
      <c r="H1432" s="28">
        <f t="shared" si="394"/>
        <v>46181</v>
      </c>
      <c r="I1432" s="28">
        <f t="shared" si="395"/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VLOOKUP(B1433,'[3]Migrasi Bed'!$B$4:$E$521,4,0)</f>
        <v>SV.H004</v>
      </c>
      <c r="D1433" s="28">
        <f t="shared" si="390"/>
        <v>46197</v>
      </c>
      <c r="E1433" s="28">
        <f t="shared" si="391"/>
        <v>46181</v>
      </c>
      <c r="F1433" s="28">
        <f t="shared" si="392"/>
        <v>46188</v>
      </c>
      <c r="G1433" s="28">
        <f t="shared" si="393"/>
        <v>46194</v>
      </c>
      <c r="H1433" s="28">
        <f t="shared" si="394"/>
        <v>46182</v>
      </c>
      <c r="I1433" s="28">
        <f t="shared" si="395"/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VLOOKUP(B1434,'[3]Migrasi Bed'!$B$4:$E$521,4,0)</f>
        <v>SV.H005</v>
      </c>
      <c r="D1434" s="28">
        <f t="shared" si="390"/>
        <v>46197</v>
      </c>
      <c r="E1434" s="28">
        <f t="shared" si="391"/>
        <v>46181</v>
      </c>
      <c r="F1434" s="28">
        <f t="shared" si="392"/>
        <v>46188</v>
      </c>
      <c r="G1434" s="28">
        <f t="shared" si="393"/>
        <v>46194</v>
      </c>
      <c r="H1434" s="28">
        <f t="shared" si="394"/>
        <v>46182</v>
      </c>
      <c r="I1434" s="28">
        <f t="shared" si="395"/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VLOOKUP(B1435,'[3]Migrasi Bed'!$B$4:$E$521,4,0)</f>
        <v>SV.H006</v>
      </c>
      <c r="D1435" s="28">
        <f t="shared" si="390"/>
        <v>46197</v>
      </c>
      <c r="E1435" s="28">
        <f t="shared" si="391"/>
        <v>46181</v>
      </c>
      <c r="F1435" s="28">
        <f t="shared" si="392"/>
        <v>46188</v>
      </c>
      <c r="G1435" s="28">
        <f t="shared" si="393"/>
        <v>46194</v>
      </c>
      <c r="H1435" s="28">
        <f t="shared" si="394"/>
        <v>46182</v>
      </c>
      <c r="I1435" s="28">
        <f t="shared" si="395"/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VLOOKUP(B1436,'[3]Migrasi Bed'!$B$4:$E$521,4,0)</f>
        <v>SV.H007</v>
      </c>
      <c r="D1436" s="28">
        <f t="shared" si="390"/>
        <v>46197</v>
      </c>
      <c r="E1436" s="28">
        <f t="shared" si="391"/>
        <v>46181</v>
      </c>
      <c r="F1436" s="28">
        <f t="shared" si="392"/>
        <v>46188</v>
      </c>
      <c r="G1436" s="28">
        <f t="shared" si="393"/>
        <v>46194</v>
      </c>
      <c r="H1436" s="28">
        <f t="shared" si="394"/>
        <v>46182</v>
      </c>
      <c r="I1436" s="28">
        <f t="shared" si="395"/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VLOOKUP(B1437,'[3]Migrasi Bed'!$B$4:$E$521,4,0)</f>
        <v>SV.H008</v>
      </c>
      <c r="D1437" s="28">
        <f t="shared" si="390"/>
        <v>46197</v>
      </c>
      <c r="E1437" s="28">
        <f t="shared" si="391"/>
        <v>46181</v>
      </c>
      <c r="F1437" s="28">
        <f t="shared" si="392"/>
        <v>46188</v>
      </c>
      <c r="G1437" s="28">
        <f t="shared" si="393"/>
        <v>46194</v>
      </c>
      <c r="H1437" s="28">
        <f t="shared" si="394"/>
        <v>46182</v>
      </c>
      <c r="I1437" s="28">
        <f t="shared" si="395"/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VLOOKUP(B1438,'[3]Migrasi Bed'!$B$4:$E$521,4,0)</f>
        <v>SV.H009</v>
      </c>
      <c r="D1438" s="28">
        <f t="shared" si="390"/>
        <v>46197</v>
      </c>
      <c r="E1438" s="28">
        <f t="shared" si="391"/>
        <v>46181</v>
      </c>
      <c r="F1438" s="28">
        <f t="shared" si="392"/>
        <v>46188</v>
      </c>
      <c r="G1438" s="28">
        <f t="shared" si="393"/>
        <v>46194</v>
      </c>
      <c r="H1438" s="28">
        <f t="shared" si="394"/>
        <v>46182</v>
      </c>
      <c r="I1438" s="28">
        <f t="shared" si="395"/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VLOOKUP(B1439,'[3]Migrasi Bed'!$B$4:$E$521,4,0)</f>
        <v>SV.H010</v>
      </c>
      <c r="D1439" s="28">
        <f t="shared" si="390"/>
        <v>46197</v>
      </c>
      <c r="E1439" s="28">
        <f t="shared" si="391"/>
        <v>46181</v>
      </c>
      <c r="F1439" s="28">
        <f t="shared" si="392"/>
        <v>46188</v>
      </c>
      <c r="G1439" s="28">
        <f t="shared" si="393"/>
        <v>46194</v>
      </c>
      <c r="H1439" s="28">
        <f t="shared" si="394"/>
        <v>46182</v>
      </c>
      <c r="I1439" s="28">
        <f t="shared" si="395"/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VLOOKUP(B1440,'[3]Migrasi Bed'!$B$4:$E$521,4,0)</f>
        <v>SV.A024</v>
      </c>
      <c r="D1440" s="28">
        <f t="shared" si="390"/>
        <v>46198</v>
      </c>
      <c r="E1440" s="28">
        <f t="shared" si="391"/>
        <v>46182</v>
      </c>
      <c r="F1440" s="28">
        <f t="shared" si="392"/>
        <v>46189</v>
      </c>
      <c r="G1440" s="28">
        <f t="shared" si="393"/>
        <v>46195</v>
      </c>
      <c r="H1440" s="28">
        <f t="shared" si="394"/>
        <v>46183</v>
      </c>
      <c r="I1440" s="28">
        <f t="shared" si="395"/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VLOOKUP(B1441,'[3]Migrasi Bed'!$B$4:$E$521,4,0)</f>
        <v>SV.A025</v>
      </c>
      <c r="D1441" s="28">
        <f t="shared" si="390"/>
        <v>46198</v>
      </c>
      <c r="E1441" s="28">
        <f t="shared" si="391"/>
        <v>46182</v>
      </c>
      <c r="F1441" s="28">
        <f t="shared" si="392"/>
        <v>46189</v>
      </c>
      <c r="G1441" s="28">
        <f t="shared" si="393"/>
        <v>46195</v>
      </c>
      <c r="H1441" s="28">
        <f t="shared" si="394"/>
        <v>46183</v>
      </c>
      <c r="I1441" s="28">
        <f t="shared" si="395"/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VLOOKUP(B1442,'[3]Migrasi Bed'!$B$4:$E$521,4,0)</f>
        <v>SV.A026</v>
      </c>
      <c r="D1442" s="28">
        <f t="shared" ref="D1442:D1505" si="397">A1442+23</f>
        <v>46198</v>
      </c>
      <c r="E1442" s="28">
        <f t="shared" ref="E1442:E1505" si="398">A1442+7</f>
        <v>46182</v>
      </c>
      <c r="F1442" s="28">
        <f t="shared" ref="F1442:F1505" si="399">A1442+14</f>
        <v>46189</v>
      </c>
      <c r="G1442" s="28">
        <f t="shared" ref="G1442:G1505" si="400">A1442+20</f>
        <v>46195</v>
      </c>
      <c r="H1442" s="28">
        <f t="shared" ref="H1442:H1505" si="401">A1442+8</f>
        <v>46183</v>
      </c>
      <c r="I1442" s="28">
        <f t="shared" ref="I1442:I1505" si="402">A1442+15</f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VLOOKUP(B1443,'[3]Migrasi Bed'!$B$4:$E$521,4,0)</f>
        <v>SV.A027</v>
      </c>
      <c r="D1443" s="28">
        <f t="shared" si="397"/>
        <v>46198</v>
      </c>
      <c r="E1443" s="28">
        <f t="shared" si="398"/>
        <v>46182</v>
      </c>
      <c r="F1443" s="28">
        <f t="shared" si="399"/>
        <v>46189</v>
      </c>
      <c r="G1443" s="28">
        <f t="shared" si="400"/>
        <v>46195</v>
      </c>
      <c r="H1443" s="28">
        <f t="shared" si="401"/>
        <v>46183</v>
      </c>
      <c r="I1443" s="28">
        <f t="shared" si="402"/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VLOOKUP(B1444,'[3]Migrasi Bed'!$B$4:$E$521,4,0)</f>
        <v>SV.A028</v>
      </c>
      <c r="D1444" s="28">
        <f t="shared" si="397"/>
        <v>46198</v>
      </c>
      <c r="E1444" s="28">
        <f t="shared" si="398"/>
        <v>46182</v>
      </c>
      <c r="F1444" s="28">
        <f t="shared" si="399"/>
        <v>46189</v>
      </c>
      <c r="G1444" s="28">
        <f t="shared" si="400"/>
        <v>46195</v>
      </c>
      <c r="H1444" s="28">
        <f t="shared" si="401"/>
        <v>46183</v>
      </c>
      <c r="I1444" s="28">
        <f t="shared" si="402"/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VLOOKUP(B1445,'[3]Migrasi Bed'!$B$4:$E$521,4,0)</f>
        <v>SV.A029</v>
      </c>
      <c r="D1445" s="28">
        <f t="shared" si="397"/>
        <v>46198</v>
      </c>
      <c r="E1445" s="28">
        <f t="shared" si="398"/>
        <v>46182</v>
      </c>
      <c r="F1445" s="28">
        <f t="shared" si="399"/>
        <v>46189</v>
      </c>
      <c r="G1445" s="28">
        <f t="shared" si="400"/>
        <v>46195</v>
      </c>
      <c r="H1445" s="28">
        <f t="shared" si="401"/>
        <v>46183</v>
      </c>
      <c r="I1445" s="28">
        <f t="shared" si="402"/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VLOOKUP(B1446,'[3]Migrasi Bed'!$B$4:$E$521,4,0)</f>
        <v>SV.A030</v>
      </c>
      <c r="D1446" s="28">
        <f t="shared" si="397"/>
        <v>46198</v>
      </c>
      <c r="E1446" s="28">
        <f t="shared" si="398"/>
        <v>46182</v>
      </c>
      <c r="F1446" s="28">
        <f t="shared" si="399"/>
        <v>46189</v>
      </c>
      <c r="G1446" s="28">
        <f t="shared" si="400"/>
        <v>46195</v>
      </c>
      <c r="H1446" s="28">
        <f t="shared" si="401"/>
        <v>46183</v>
      </c>
      <c r="I1446" s="28">
        <f t="shared" si="402"/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VLOOKUP(B1447,'[3]Migrasi Bed'!$B$4:$E$521,4,0)</f>
        <v>SV.H002</v>
      </c>
      <c r="D1447" s="28">
        <f t="shared" si="397"/>
        <v>46199</v>
      </c>
      <c r="E1447" s="28">
        <f t="shared" si="398"/>
        <v>46183</v>
      </c>
      <c r="F1447" s="28">
        <f t="shared" si="399"/>
        <v>46190</v>
      </c>
      <c r="G1447" s="28">
        <f t="shared" si="400"/>
        <v>46196</v>
      </c>
      <c r="H1447" s="28">
        <f t="shared" si="401"/>
        <v>46184</v>
      </c>
      <c r="I1447" s="28">
        <f t="shared" si="402"/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VLOOKUP(B1448,'[3]Migrasi Bed'!$B$4:$E$521,4,0)</f>
        <v>SV.H003</v>
      </c>
      <c r="D1448" s="28">
        <f t="shared" si="397"/>
        <v>46199</v>
      </c>
      <c r="E1448" s="28">
        <f t="shared" si="398"/>
        <v>46183</v>
      </c>
      <c r="F1448" s="28">
        <f t="shared" si="399"/>
        <v>46190</v>
      </c>
      <c r="G1448" s="28">
        <f t="shared" si="400"/>
        <v>46196</v>
      </c>
      <c r="H1448" s="28">
        <f t="shared" si="401"/>
        <v>46184</v>
      </c>
      <c r="I1448" s="28">
        <f t="shared" si="402"/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VLOOKUP(B1449,'[3]Migrasi Bed'!$B$4:$E$521,4,0)</f>
        <v>SV.B024</v>
      </c>
      <c r="D1449" s="28">
        <f t="shared" si="397"/>
        <v>46199</v>
      </c>
      <c r="E1449" s="28">
        <f t="shared" si="398"/>
        <v>46183</v>
      </c>
      <c r="F1449" s="28">
        <f t="shared" si="399"/>
        <v>46190</v>
      </c>
      <c r="G1449" s="28">
        <f t="shared" si="400"/>
        <v>46196</v>
      </c>
      <c r="H1449" s="28">
        <f t="shared" si="401"/>
        <v>46184</v>
      </c>
      <c r="I1449" s="28">
        <f t="shared" si="402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VLOOKUP(B1450,'[3]Migrasi Bed'!$B$4:$E$521,4,0)</f>
        <v>SV.B025</v>
      </c>
      <c r="D1450" s="28">
        <f t="shared" si="397"/>
        <v>46199</v>
      </c>
      <c r="E1450" s="28">
        <f t="shared" si="398"/>
        <v>46183</v>
      </c>
      <c r="F1450" s="28">
        <f t="shared" si="399"/>
        <v>46190</v>
      </c>
      <c r="G1450" s="28">
        <f t="shared" si="400"/>
        <v>46196</v>
      </c>
      <c r="H1450" s="28">
        <f t="shared" si="401"/>
        <v>46184</v>
      </c>
      <c r="I1450" s="28">
        <f t="shared" si="402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VLOOKUP(B1451,'[3]Migrasi Bed'!$B$4:$E$521,4,0)</f>
        <v>SV.B026</v>
      </c>
      <c r="D1451" s="28">
        <f t="shared" si="397"/>
        <v>46199</v>
      </c>
      <c r="E1451" s="28">
        <f t="shared" si="398"/>
        <v>46183</v>
      </c>
      <c r="F1451" s="28">
        <f t="shared" si="399"/>
        <v>46190</v>
      </c>
      <c r="G1451" s="28">
        <f t="shared" si="400"/>
        <v>46196</v>
      </c>
      <c r="H1451" s="28">
        <f t="shared" si="401"/>
        <v>46184</v>
      </c>
      <c r="I1451" s="28">
        <f t="shared" si="402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VLOOKUP(B1452,'[3]Migrasi Bed'!$B$4:$E$521,4,0)</f>
        <v>SV.B029</v>
      </c>
      <c r="D1452" s="28">
        <f t="shared" si="397"/>
        <v>46199</v>
      </c>
      <c r="E1452" s="28">
        <f t="shared" si="398"/>
        <v>46183</v>
      </c>
      <c r="F1452" s="28">
        <f t="shared" si="399"/>
        <v>46190</v>
      </c>
      <c r="G1452" s="28">
        <f t="shared" si="400"/>
        <v>46196</v>
      </c>
      <c r="H1452" s="28">
        <f t="shared" si="401"/>
        <v>46184</v>
      </c>
      <c r="I1452" s="28">
        <f t="shared" si="402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VLOOKUP(B1453,'[3]Migrasi Bed'!$B$4:$E$521,4,0)</f>
        <v>SV.B030</v>
      </c>
      <c r="D1453" s="28">
        <f t="shared" si="397"/>
        <v>46199</v>
      </c>
      <c r="E1453" s="28">
        <f t="shared" si="398"/>
        <v>46183</v>
      </c>
      <c r="F1453" s="28">
        <f t="shared" si="399"/>
        <v>46190</v>
      </c>
      <c r="G1453" s="28">
        <f t="shared" si="400"/>
        <v>46196</v>
      </c>
      <c r="H1453" s="28">
        <f t="shared" si="401"/>
        <v>46184</v>
      </c>
      <c r="I1453" s="28">
        <f t="shared" si="402"/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VLOOKUP(B1454,'[3]Migrasi Bed'!$B$4:$E$521,4,0)</f>
        <v>SV.A017</v>
      </c>
      <c r="D1454" s="28">
        <f t="shared" si="397"/>
        <v>46201</v>
      </c>
      <c r="E1454" s="28">
        <f t="shared" si="398"/>
        <v>46185</v>
      </c>
      <c r="F1454" s="28">
        <f t="shared" si="399"/>
        <v>46192</v>
      </c>
      <c r="G1454" s="28">
        <f t="shared" si="400"/>
        <v>46198</v>
      </c>
      <c r="H1454" s="28">
        <f t="shared" si="401"/>
        <v>46186</v>
      </c>
      <c r="I1454" s="28">
        <f t="shared" si="402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VLOOKUP(B1455,'[3]Migrasi Bed'!$B$4:$E$521,4,0)</f>
        <v>SV.A018</v>
      </c>
      <c r="D1455" s="28">
        <f t="shared" si="397"/>
        <v>46201</v>
      </c>
      <c r="E1455" s="28">
        <f t="shared" si="398"/>
        <v>46185</v>
      </c>
      <c r="F1455" s="28">
        <f t="shared" si="399"/>
        <v>46192</v>
      </c>
      <c r="G1455" s="28">
        <f t="shared" si="400"/>
        <v>46198</v>
      </c>
      <c r="H1455" s="28">
        <f t="shared" si="401"/>
        <v>46186</v>
      </c>
      <c r="I1455" s="28">
        <f t="shared" si="402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VLOOKUP(B1456,'[3]Migrasi Bed'!$B$4:$E$521,4,0)</f>
        <v>SV.A019</v>
      </c>
      <c r="D1456" s="28">
        <f t="shared" si="397"/>
        <v>46201</v>
      </c>
      <c r="E1456" s="28">
        <f t="shared" si="398"/>
        <v>46185</v>
      </c>
      <c r="F1456" s="28">
        <f t="shared" si="399"/>
        <v>46192</v>
      </c>
      <c r="G1456" s="28">
        <f t="shared" si="400"/>
        <v>46198</v>
      </c>
      <c r="H1456" s="28">
        <f t="shared" si="401"/>
        <v>46186</v>
      </c>
      <c r="I1456" s="28">
        <f t="shared" si="402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VLOOKUP(B1457,'[3]Migrasi Bed'!$B$4:$E$521,4,0)</f>
        <v>SV.A020</v>
      </c>
      <c r="D1457" s="28">
        <f t="shared" si="397"/>
        <v>46201</v>
      </c>
      <c r="E1457" s="28">
        <f t="shared" si="398"/>
        <v>46185</v>
      </c>
      <c r="F1457" s="28">
        <f t="shared" si="399"/>
        <v>46192</v>
      </c>
      <c r="G1457" s="28">
        <f t="shared" si="400"/>
        <v>46198</v>
      </c>
      <c r="H1457" s="28">
        <f t="shared" si="401"/>
        <v>46186</v>
      </c>
      <c r="I1457" s="28">
        <f t="shared" si="402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VLOOKUP(B1458,'[3]Migrasi Bed'!$B$4:$E$521,4,0)</f>
        <v>SV.A021</v>
      </c>
      <c r="D1458" s="28">
        <f t="shared" si="397"/>
        <v>46201</v>
      </c>
      <c r="E1458" s="28">
        <f t="shared" si="398"/>
        <v>46185</v>
      </c>
      <c r="F1458" s="28">
        <f t="shared" si="399"/>
        <v>46192</v>
      </c>
      <c r="G1458" s="28">
        <f t="shared" si="400"/>
        <v>46198</v>
      </c>
      <c r="H1458" s="28">
        <f t="shared" si="401"/>
        <v>46186</v>
      </c>
      <c r="I1458" s="28">
        <f t="shared" si="402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VLOOKUP(B1459,'[3]Migrasi Bed'!$B$4:$E$521,4,0)</f>
        <v>SV.A022</v>
      </c>
      <c r="D1459" s="28">
        <f t="shared" si="397"/>
        <v>46201</v>
      </c>
      <c r="E1459" s="28">
        <f t="shared" si="398"/>
        <v>46185</v>
      </c>
      <c r="F1459" s="28">
        <f t="shared" si="399"/>
        <v>46192</v>
      </c>
      <c r="G1459" s="28">
        <f t="shared" si="400"/>
        <v>46198</v>
      </c>
      <c r="H1459" s="28">
        <f t="shared" si="401"/>
        <v>46186</v>
      </c>
      <c r="I1459" s="28">
        <f t="shared" si="402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VLOOKUP(B1460,'[3]Migrasi Bed'!$B$4:$E$521,4,0)</f>
        <v>SV.A023</v>
      </c>
      <c r="D1460" s="28">
        <f t="shared" si="397"/>
        <v>46201</v>
      </c>
      <c r="E1460" s="28">
        <f t="shared" si="398"/>
        <v>46185</v>
      </c>
      <c r="F1460" s="28">
        <f t="shared" si="399"/>
        <v>46192</v>
      </c>
      <c r="G1460" s="28">
        <f t="shared" si="400"/>
        <v>46198</v>
      </c>
      <c r="H1460" s="28">
        <f t="shared" si="401"/>
        <v>46186</v>
      </c>
      <c r="I1460" s="28">
        <f t="shared" si="402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VLOOKUP(B1461,'[3]Migrasi Bed'!$B$4:$E$521,4,0)</f>
        <v>SV.B017</v>
      </c>
      <c r="D1461" s="28">
        <f t="shared" si="397"/>
        <v>46202</v>
      </c>
      <c r="E1461" s="28">
        <f t="shared" si="398"/>
        <v>46186</v>
      </c>
      <c r="F1461" s="28">
        <f t="shared" si="399"/>
        <v>46193</v>
      </c>
      <c r="G1461" s="28">
        <f t="shared" si="400"/>
        <v>46199</v>
      </c>
      <c r="H1461" s="28">
        <f t="shared" si="401"/>
        <v>46187</v>
      </c>
      <c r="I1461" s="28">
        <f t="shared" si="402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VLOOKUP(B1462,'[3]Migrasi Bed'!$B$4:$E$521,4,0)</f>
        <v>SV.B018</v>
      </c>
      <c r="D1462" s="28">
        <f t="shared" si="397"/>
        <v>46202</v>
      </c>
      <c r="E1462" s="28">
        <f t="shared" si="398"/>
        <v>46186</v>
      </c>
      <c r="F1462" s="28">
        <f t="shared" si="399"/>
        <v>46193</v>
      </c>
      <c r="G1462" s="28">
        <f t="shared" si="400"/>
        <v>46199</v>
      </c>
      <c r="H1462" s="28">
        <f t="shared" si="401"/>
        <v>46187</v>
      </c>
      <c r="I1462" s="28">
        <f t="shared" si="402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VLOOKUP(B1463,'[3]Migrasi Bed'!$B$4:$E$521,4,0)</f>
        <v>SV.B019</v>
      </c>
      <c r="D1463" s="28">
        <f t="shared" si="397"/>
        <v>46202</v>
      </c>
      <c r="E1463" s="28">
        <f t="shared" si="398"/>
        <v>46186</v>
      </c>
      <c r="F1463" s="28">
        <f t="shared" si="399"/>
        <v>46193</v>
      </c>
      <c r="G1463" s="28">
        <f t="shared" si="400"/>
        <v>46199</v>
      </c>
      <c r="H1463" s="28">
        <f t="shared" si="401"/>
        <v>46187</v>
      </c>
      <c r="I1463" s="28">
        <f t="shared" si="402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VLOOKUP(B1464,'[3]Migrasi Bed'!$B$4:$E$521,4,0)</f>
        <v>SV.B020</v>
      </c>
      <c r="D1464" s="28">
        <f t="shared" si="397"/>
        <v>46202</v>
      </c>
      <c r="E1464" s="28">
        <f t="shared" si="398"/>
        <v>46186</v>
      </c>
      <c r="F1464" s="28">
        <f t="shared" si="399"/>
        <v>46193</v>
      </c>
      <c r="G1464" s="28">
        <f t="shared" si="400"/>
        <v>46199</v>
      </c>
      <c r="H1464" s="28">
        <f t="shared" si="401"/>
        <v>46187</v>
      </c>
      <c r="I1464" s="28">
        <f t="shared" si="402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VLOOKUP(B1465,'[3]Migrasi Bed'!$B$4:$E$521,4,0)</f>
        <v>SV.B021</v>
      </c>
      <c r="D1465" s="28">
        <f t="shared" si="397"/>
        <v>46202</v>
      </c>
      <c r="E1465" s="28">
        <f t="shared" si="398"/>
        <v>46186</v>
      </c>
      <c r="F1465" s="28">
        <f t="shared" si="399"/>
        <v>46193</v>
      </c>
      <c r="G1465" s="28">
        <f t="shared" si="400"/>
        <v>46199</v>
      </c>
      <c r="H1465" s="28">
        <f t="shared" si="401"/>
        <v>46187</v>
      </c>
      <c r="I1465" s="28">
        <f t="shared" si="402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VLOOKUP(B1466,'[3]Migrasi Bed'!$B$4:$E$521,4,0)</f>
        <v>SV.B022</v>
      </c>
      <c r="D1466" s="28">
        <f t="shared" si="397"/>
        <v>46202</v>
      </c>
      <c r="E1466" s="28">
        <f t="shared" si="398"/>
        <v>46186</v>
      </c>
      <c r="F1466" s="28">
        <f t="shared" si="399"/>
        <v>46193</v>
      </c>
      <c r="G1466" s="28">
        <f t="shared" si="400"/>
        <v>46199</v>
      </c>
      <c r="H1466" s="28">
        <f t="shared" si="401"/>
        <v>46187</v>
      </c>
      <c r="I1466" s="28">
        <f t="shared" si="402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VLOOKUP(B1467,'[3]Migrasi Bed'!$B$4:$E$521,4,0)</f>
        <v>SV.B023</v>
      </c>
      <c r="D1467" s="28">
        <f t="shared" si="397"/>
        <v>46202</v>
      </c>
      <c r="E1467" s="28">
        <f t="shared" si="398"/>
        <v>46186</v>
      </c>
      <c r="F1467" s="28">
        <f t="shared" si="399"/>
        <v>46193</v>
      </c>
      <c r="G1467" s="28">
        <f t="shared" si="400"/>
        <v>46199</v>
      </c>
      <c r="H1467" s="28">
        <f t="shared" si="401"/>
        <v>46187</v>
      </c>
      <c r="I1467" s="28">
        <f t="shared" si="402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VLOOKUP(B1468,'[3]Migrasi Bed'!$B$4:$E$521,4,0)</f>
        <v>SV.A010</v>
      </c>
      <c r="D1468" s="28">
        <f t="shared" si="397"/>
        <v>46204</v>
      </c>
      <c r="E1468" s="28">
        <f t="shared" si="398"/>
        <v>46188</v>
      </c>
      <c r="F1468" s="28">
        <f t="shared" si="399"/>
        <v>46195</v>
      </c>
      <c r="G1468" s="28">
        <f t="shared" si="400"/>
        <v>46201</v>
      </c>
      <c r="H1468" s="28">
        <f t="shared" si="401"/>
        <v>46189</v>
      </c>
      <c r="I1468" s="28">
        <f t="shared" si="402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VLOOKUP(B1469,'[3]Migrasi Bed'!$B$4:$E$521,4,0)</f>
        <v>SV.A011</v>
      </c>
      <c r="D1469" s="28">
        <f t="shared" si="397"/>
        <v>46204</v>
      </c>
      <c r="E1469" s="28">
        <f t="shared" si="398"/>
        <v>46188</v>
      </c>
      <c r="F1469" s="28">
        <f t="shared" si="399"/>
        <v>46195</v>
      </c>
      <c r="G1469" s="28">
        <f t="shared" si="400"/>
        <v>46201</v>
      </c>
      <c r="H1469" s="28">
        <f t="shared" si="401"/>
        <v>46189</v>
      </c>
      <c r="I1469" s="28">
        <f t="shared" si="402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VLOOKUP(B1470,'[3]Migrasi Bed'!$B$4:$E$521,4,0)</f>
        <v>SV.A012</v>
      </c>
      <c r="D1470" s="28">
        <f t="shared" si="397"/>
        <v>46204</v>
      </c>
      <c r="E1470" s="28">
        <f t="shared" si="398"/>
        <v>46188</v>
      </c>
      <c r="F1470" s="28">
        <f t="shared" si="399"/>
        <v>46195</v>
      </c>
      <c r="G1470" s="28">
        <f t="shared" si="400"/>
        <v>46201</v>
      </c>
      <c r="H1470" s="28">
        <f t="shared" si="401"/>
        <v>46189</v>
      </c>
      <c r="I1470" s="28">
        <f t="shared" si="402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VLOOKUP(B1471,'[3]Migrasi Bed'!$B$4:$E$521,4,0)</f>
        <v>SV.A013</v>
      </c>
      <c r="D1471" s="28">
        <f t="shared" si="397"/>
        <v>46204</v>
      </c>
      <c r="E1471" s="28">
        <f t="shared" si="398"/>
        <v>46188</v>
      </c>
      <c r="F1471" s="28">
        <f t="shared" si="399"/>
        <v>46195</v>
      </c>
      <c r="G1471" s="28">
        <f t="shared" si="400"/>
        <v>46201</v>
      </c>
      <c r="H1471" s="28">
        <f t="shared" si="401"/>
        <v>46189</v>
      </c>
      <c r="I1471" s="28">
        <f t="shared" si="402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VLOOKUP(B1472,'[3]Migrasi Bed'!$B$4:$E$521,4,0)</f>
        <v>SV.A014</v>
      </c>
      <c r="D1472" s="28">
        <f t="shared" si="397"/>
        <v>46204</v>
      </c>
      <c r="E1472" s="28">
        <f t="shared" si="398"/>
        <v>46188</v>
      </c>
      <c r="F1472" s="28">
        <f t="shared" si="399"/>
        <v>46195</v>
      </c>
      <c r="G1472" s="28">
        <f t="shared" si="400"/>
        <v>46201</v>
      </c>
      <c r="H1472" s="28">
        <f t="shared" si="401"/>
        <v>46189</v>
      </c>
      <c r="I1472" s="28">
        <f t="shared" si="402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VLOOKUP(B1473,'[3]Migrasi Bed'!$B$4:$E$521,4,0)</f>
        <v>SV.A015</v>
      </c>
      <c r="D1473" s="28">
        <f t="shared" si="397"/>
        <v>46204</v>
      </c>
      <c r="E1473" s="28">
        <f t="shared" si="398"/>
        <v>46188</v>
      </c>
      <c r="F1473" s="28">
        <f t="shared" si="399"/>
        <v>46195</v>
      </c>
      <c r="G1473" s="28">
        <f t="shared" si="400"/>
        <v>46201</v>
      </c>
      <c r="H1473" s="28">
        <f t="shared" si="401"/>
        <v>46189</v>
      </c>
      <c r="I1473" s="28">
        <f t="shared" si="402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VLOOKUP(B1474,'[3]Migrasi Bed'!$B$4:$E$521,4,0)</f>
        <v>SV.A016</v>
      </c>
      <c r="D1474" s="28">
        <f t="shared" si="397"/>
        <v>46204</v>
      </c>
      <c r="E1474" s="28">
        <f t="shared" si="398"/>
        <v>46188</v>
      </c>
      <c r="F1474" s="28">
        <f t="shared" si="399"/>
        <v>46195</v>
      </c>
      <c r="G1474" s="28">
        <f t="shared" si="400"/>
        <v>46201</v>
      </c>
      <c r="H1474" s="28">
        <f t="shared" si="401"/>
        <v>46189</v>
      </c>
      <c r="I1474" s="28">
        <f t="shared" si="402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tr">
        <f>VLOOKUP(B1475,'[3]Migrasi Bed'!$B$4:$E$521,4,0)</f>
        <v>SV.B010</v>
      </c>
      <c r="D1475" s="28">
        <f t="shared" si="397"/>
        <v>46205</v>
      </c>
      <c r="E1475" s="28">
        <f t="shared" si="398"/>
        <v>46189</v>
      </c>
      <c r="F1475" s="28">
        <f t="shared" si="399"/>
        <v>46196</v>
      </c>
      <c r="G1475" s="28">
        <f t="shared" si="400"/>
        <v>46202</v>
      </c>
      <c r="H1475" s="28">
        <f t="shared" si="401"/>
        <v>46190</v>
      </c>
      <c r="I1475" s="28">
        <f t="shared" si="402"/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tr">
        <f>VLOOKUP(B1476,'[3]Migrasi Bed'!$B$4:$E$521,4,0)</f>
        <v>SV.B011</v>
      </c>
      <c r="D1476" s="28">
        <f t="shared" si="397"/>
        <v>46205</v>
      </c>
      <c r="E1476" s="28">
        <f t="shared" si="398"/>
        <v>46189</v>
      </c>
      <c r="F1476" s="28">
        <f t="shared" si="399"/>
        <v>46196</v>
      </c>
      <c r="G1476" s="28">
        <f t="shared" si="400"/>
        <v>46202</v>
      </c>
      <c r="H1476" s="28">
        <f t="shared" si="401"/>
        <v>46190</v>
      </c>
      <c r="I1476" s="28">
        <f t="shared" si="402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tr">
        <f>VLOOKUP(B1477,'[3]Migrasi Bed'!$B$4:$E$521,4,0)</f>
        <v>SV.B012</v>
      </c>
      <c r="D1477" s="28">
        <f t="shared" si="397"/>
        <v>46205</v>
      </c>
      <c r="E1477" s="28">
        <f t="shared" si="398"/>
        <v>46189</v>
      </c>
      <c r="F1477" s="28">
        <f t="shared" si="399"/>
        <v>46196</v>
      </c>
      <c r="G1477" s="28">
        <f t="shared" si="400"/>
        <v>46202</v>
      </c>
      <c r="H1477" s="28">
        <f t="shared" si="401"/>
        <v>46190</v>
      </c>
      <c r="I1477" s="28">
        <f t="shared" si="402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tr">
        <f>VLOOKUP(B1478,'[3]Migrasi Bed'!$B$4:$E$521,4,0)</f>
        <v>SV.B013</v>
      </c>
      <c r="D1478" s="28">
        <f t="shared" si="397"/>
        <v>46205</v>
      </c>
      <c r="E1478" s="28">
        <f t="shared" si="398"/>
        <v>46189</v>
      </c>
      <c r="F1478" s="28">
        <f t="shared" si="399"/>
        <v>46196</v>
      </c>
      <c r="G1478" s="28">
        <f t="shared" si="400"/>
        <v>46202</v>
      </c>
      <c r="H1478" s="28">
        <f t="shared" si="401"/>
        <v>46190</v>
      </c>
      <c r="I1478" s="28">
        <f t="shared" si="402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tr">
        <f>VLOOKUP(B1479,'[3]Migrasi Bed'!$B$4:$E$521,4,0)</f>
        <v>SV.B014</v>
      </c>
      <c r="D1479" s="28">
        <f t="shared" si="397"/>
        <v>46205</v>
      </c>
      <c r="E1479" s="28">
        <f t="shared" si="398"/>
        <v>46189</v>
      </c>
      <c r="F1479" s="28">
        <f t="shared" si="399"/>
        <v>46196</v>
      </c>
      <c r="G1479" s="28">
        <f t="shared" si="400"/>
        <v>46202</v>
      </c>
      <c r="H1479" s="28">
        <f t="shared" si="401"/>
        <v>46190</v>
      </c>
      <c r="I1479" s="28">
        <f t="shared" si="402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tr">
        <f>VLOOKUP(B1480,'[3]Migrasi Bed'!$B$4:$E$521,4,0)</f>
        <v>SV.B015</v>
      </c>
      <c r="D1480" s="28">
        <f t="shared" si="397"/>
        <v>46205</v>
      </c>
      <c r="E1480" s="28">
        <f t="shared" si="398"/>
        <v>46189</v>
      </c>
      <c r="F1480" s="28">
        <f t="shared" si="399"/>
        <v>46196</v>
      </c>
      <c r="G1480" s="28">
        <f t="shared" si="400"/>
        <v>46202</v>
      </c>
      <c r="H1480" s="28">
        <f t="shared" si="401"/>
        <v>46190</v>
      </c>
      <c r="I1480" s="28">
        <f t="shared" si="402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tr">
        <f>VLOOKUP(B1481,'[3]Migrasi Bed'!$B$4:$E$521,4,0)</f>
        <v>SV.B016</v>
      </c>
      <c r="D1481" s="28">
        <f t="shared" si="397"/>
        <v>46205</v>
      </c>
      <c r="E1481" s="28">
        <f t="shared" si="398"/>
        <v>46189</v>
      </c>
      <c r="F1481" s="28">
        <f t="shared" si="399"/>
        <v>46196</v>
      </c>
      <c r="G1481" s="28">
        <f t="shared" si="400"/>
        <v>46202</v>
      </c>
      <c r="H1481" s="28">
        <f t="shared" si="401"/>
        <v>46190</v>
      </c>
      <c r="I1481" s="28">
        <f t="shared" si="402"/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46183</v>
      </c>
      <c r="B1482" s="1" t="s">
        <v>206</v>
      </c>
      <c r="C1482" s="1" t="str">
        <f>VLOOKUP(B1482,'[3]Migrasi Bed'!$B$4:$E$521,4,0)</f>
        <v>SV.A003</v>
      </c>
      <c r="D1482" s="28">
        <f t="shared" si="397"/>
        <v>46206</v>
      </c>
      <c r="E1482" s="28">
        <f t="shared" si="398"/>
        <v>46190</v>
      </c>
      <c r="F1482" s="28">
        <f t="shared" si="399"/>
        <v>46197</v>
      </c>
      <c r="G1482" s="28">
        <f t="shared" si="400"/>
        <v>46203</v>
      </c>
      <c r="H1482" s="28">
        <f t="shared" si="401"/>
        <v>46191</v>
      </c>
      <c r="I1482" s="28">
        <f t="shared" si="402"/>
        <v>46198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207</v>
      </c>
      <c r="C1483" s="1" t="str">
        <f>VLOOKUP(B1483,'[3]Migrasi Bed'!$B$4:$E$521,4,0)</f>
        <v>SV.A004</v>
      </c>
      <c r="D1483" s="28">
        <f t="shared" si="397"/>
        <v>46206</v>
      </c>
      <c r="E1483" s="28">
        <f t="shared" si="398"/>
        <v>46190</v>
      </c>
      <c r="F1483" s="28">
        <f t="shared" si="399"/>
        <v>46197</v>
      </c>
      <c r="G1483" s="28">
        <f t="shared" si="400"/>
        <v>46203</v>
      </c>
      <c r="H1483" s="28">
        <f t="shared" si="401"/>
        <v>46191</v>
      </c>
      <c r="I1483" s="28">
        <f t="shared" si="402"/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208</v>
      </c>
      <c r="C1484" s="1" t="str">
        <f>VLOOKUP(B1484,'[3]Migrasi Bed'!$B$4:$E$521,4,0)</f>
        <v>SV.A005</v>
      </c>
      <c r="D1484" s="28">
        <f t="shared" si="397"/>
        <v>46206</v>
      </c>
      <c r="E1484" s="28">
        <f t="shared" si="398"/>
        <v>46190</v>
      </c>
      <c r="F1484" s="28">
        <f t="shared" si="399"/>
        <v>46197</v>
      </c>
      <c r="G1484" s="28">
        <f t="shared" si="400"/>
        <v>46203</v>
      </c>
      <c r="H1484" s="28">
        <f t="shared" si="401"/>
        <v>46191</v>
      </c>
      <c r="I1484" s="28">
        <f t="shared" si="402"/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209</v>
      </c>
      <c r="C1485" s="1" t="str">
        <f>VLOOKUP(B1485,'[3]Migrasi Bed'!$B$4:$E$521,4,0)</f>
        <v>SV.A006</v>
      </c>
      <c r="D1485" s="28">
        <f t="shared" si="397"/>
        <v>46206</v>
      </c>
      <c r="E1485" s="28">
        <f t="shared" si="398"/>
        <v>46190</v>
      </c>
      <c r="F1485" s="28">
        <f t="shared" si="399"/>
        <v>46197</v>
      </c>
      <c r="G1485" s="28">
        <f t="shared" si="400"/>
        <v>46203</v>
      </c>
      <c r="H1485" s="28">
        <f t="shared" si="401"/>
        <v>46191</v>
      </c>
      <c r="I1485" s="28">
        <f t="shared" si="402"/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210</v>
      </c>
      <c r="C1486" s="1" t="str">
        <f>VLOOKUP(B1486,'[3]Migrasi Bed'!$B$4:$E$521,4,0)</f>
        <v>SV.A007</v>
      </c>
      <c r="D1486" s="28">
        <f t="shared" si="397"/>
        <v>46206</v>
      </c>
      <c r="E1486" s="28">
        <f t="shared" si="398"/>
        <v>46190</v>
      </c>
      <c r="F1486" s="28">
        <f t="shared" si="399"/>
        <v>46197</v>
      </c>
      <c r="G1486" s="28">
        <f t="shared" si="400"/>
        <v>46203</v>
      </c>
      <c r="H1486" s="28">
        <f t="shared" si="401"/>
        <v>46191</v>
      </c>
      <c r="I1486" s="28">
        <f t="shared" si="402"/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211</v>
      </c>
      <c r="C1487" s="1" t="str">
        <f>VLOOKUP(B1487,'[3]Migrasi Bed'!$B$4:$E$521,4,0)</f>
        <v>SV.A008</v>
      </c>
      <c r="D1487" s="28">
        <f t="shared" si="397"/>
        <v>46206</v>
      </c>
      <c r="E1487" s="28">
        <f t="shared" si="398"/>
        <v>46190</v>
      </c>
      <c r="F1487" s="28">
        <f t="shared" si="399"/>
        <v>46197</v>
      </c>
      <c r="G1487" s="28">
        <f t="shared" si="400"/>
        <v>46203</v>
      </c>
      <c r="H1487" s="28">
        <f t="shared" si="401"/>
        <v>46191</v>
      </c>
      <c r="I1487" s="28">
        <f t="shared" si="402"/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212</v>
      </c>
      <c r="C1488" s="1" t="str">
        <f>VLOOKUP(B1488,'[3]Migrasi Bed'!$B$4:$E$521,4,0)</f>
        <v>SV.A009</v>
      </c>
      <c r="D1488" s="28">
        <f t="shared" si="397"/>
        <v>46206</v>
      </c>
      <c r="E1488" s="28">
        <f t="shared" si="398"/>
        <v>46190</v>
      </c>
      <c r="F1488" s="28">
        <f t="shared" si="399"/>
        <v>46197</v>
      </c>
      <c r="G1488" s="28">
        <f t="shared" si="400"/>
        <v>46203</v>
      </c>
      <c r="H1488" s="28">
        <f t="shared" si="401"/>
        <v>46191</v>
      </c>
      <c r="I1488" s="28">
        <f t="shared" si="402"/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46184</v>
      </c>
      <c r="B1489" s="1" t="s">
        <v>236</v>
      </c>
      <c r="C1489" s="1" t="str">
        <f>VLOOKUP(B1489,'[3]Migrasi Bed'!$B$4:$E$521,4,0)</f>
        <v>SV.B003</v>
      </c>
      <c r="D1489" s="28">
        <f t="shared" si="397"/>
        <v>46207</v>
      </c>
      <c r="E1489" s="28">
        <f t="shared" si="398"/>
        <v>46191</v>
      </c>
      <c r="F1489" s="28">
        <f t="shared" si="399"/>
        <v>46198</v>
      </c>
      <c r="G1489" s="28">
        <f t="shared" si="400"/>
        <v>46204</v>
      </c>
      <c r="H1489" s="28">
        <f t="shared" si="401"/>
        <v>46192</v>
      </c>
      <c r="I1489" s="28">
        <f t="shared" si="402"/>
        <v>46199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237</v>
      </c>
      <c r="C1490" s="1" t="str">
        <f>VLOOKUP(B1490,'[3]Migrasi Bed'!$B$4:$E$521,4,0)</f>
        <v>SV.B004</v>
      </c>
      <c r="D1490" s="28">
        <f t="shared" si="397"/>
        <v>46207</v>
      </c>
      <c r="E1490" s="28">
        <f t="shared" si="398"/>
        <v>46191</v>
      </c>
      <c r="F1490" s="28">
        <f t="shared" si="399"/>
        <v>46198</v>
      </c>
      <c r="G1490" s="28">
        <f t="shared" si="400"/>
        <v>46204</v>
      </c>
      <c r="H1490" s="28">
        <f t="shared" si="401"/>
        <v>46192</v>
      </c>
      <c r="I1490" s="28">
        <f t="shared" si="402"/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238</v>
      </c>
      <c r="C1491" s="1" t="str">
        <f>VLOOKUP(B1491,'[3]Migrasi Bed'!$B$4:$E$521,4,0)</f>
        <v>SV.B005</v>
      </c>
      <c r="D1491" s="28">
        <f t="shared" si="397"/>
        <v>46207</v>
      </c>
      <c r="E1491" s="28">
        <f t="shared" si="398"/>
        <v>46191</v>
      </c>
      <c r="F1491" s="28">
        <f t="shared" si="399"/>
        <v>46198</v>
      </c>
      <c r="G1491" s="28">
        <f t="shared" si="400"/>
        <v>46204</v>
      </c>
      <c r="H1491" s="28">
        <f t="shared" si="401"/>
        <v>46192</v>
      </c>
      <c r="I1491" s="28">
        <f t="shared" si="402"/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239</v>
      </c>
      <c r="C1492" s="1" t="str">
        <f>VLOOKUP(B1492,'[3]Migrasi Bed'!$B$4:$E$521,4,0)</f>
        <v>SV.B006</v>
      </c>
      <c r="D1492" s="28">
        <f t="shared" si="397"/>
        <v>46207</v>
      </c>
      <c r="E1492" s="28">
        <f t="shared" si="398"/>
        <v>46191</v>
      </c>
      <c r="F1492" s="28">
        <f t="shared" si="399"/>
        <v>46198</v>
      </c>
      <c r="G1492" s="28">
        <f t="shared" si="400"/>
        <v>46204</v>
      </c>
      <c r="H1492" s="28">
        <f t="shared" si="401"/>
        <v>46192</v>
      </c>
      <c r="I1492" s="28">
        <f t="shared" si="402"/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240</v>
      </c>
      <c r="C1493" s="1" t="str">
        <f>VLOOKUP(B1493,'[3]Migrasi Bed'!$B$4:$E$521,4,0)</f>
        <v>SV.B007</v>
      </c>
      <c r="D1493" s="28">
        <f t="shared" si="397"/>
        <v>46207</v>
      </c>
      <c r="E1493" s="28">
        <f t="shared" si="398"/>
        <v>46191</v>
      </c>
      <c r="F1493" s="28">
        <f t="shared" si="399"/>
        <v>46198</v>
      </c>
      <c r="G1493" s="28">
        <f t="shared" si="400"/>
        <v>46204</v>
      </c>
      <c r="H1493" s="28">
        <f t="shared" si="401"/>
        <v>46192</v>
      </c>
      <c r="I1493" s="28">
        <f t="shared" si="402"/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241</v>
      </c>
      <c r="C1494" s="1" t="str">
        <f>VLOOKUP(B1494,'[3]Migrasi Bed'!$B$4:$E$521,4,0)</f>
        <v>SV.B008</v>
      </c>
      <c r="D1494" s="28">
        <f t="shared" si="397"/>
        <v>46207</v>
      </c>
      <c r="E1494" s="28">
        <f t="shared" si="398"/>
        <v>46191</v>
      </c>
      <c r="F1494" s="28">
        <f t="shared" si="399"/>
        <v>46198</v>
      </c>
      <c r="G1494" s="28">
        <f t="shared" si="400"/>
        <v>46204</v>
      </c>
      <c r="H1494" s="28">
        <f t="shared" si="401"/>
        <v>46192</v>
      </c>
      <c r="I1494" s="28">
        <f t="shared" si="402"/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242</v>
      </c>
      <c r="C1495" s="1" t="str">
        <f>VLOOKUP(B1495,'[3]Migrasi Bed'!$B$4:$E$521,4,0)</f>
        <v>SV.B009</v>
      </c>
      <c r="D1495" s="28">
        <f t="shared" si="397"/>
        <v>46207</v>
      </c>
      <c r="E1495" s="28">
        <f t="shared" si="398"/>
        <v>46191</v>
      </c>
      <c r="F1495" s="28">
        <f t="shared" si="399"/>
        <v>46198</v>
      </c>
      <c r="G1495" s="28">
        <f t="shared" si="400"/>
        <v>46204</v>
      </c>
      <c r="H1495" s="28">
        <f t="shared" si="401"/>
        <v>46192</v>
      </c>
      <c r="I1495" s="28">
        <f t="shared" si="402"/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80">
        <v>46185</v>
      </c>
      <c r="B1496" s="1" t="s">
        <v>204</v>
      </c>
      <c r="C1496" s="3" t="str">
        <f>VLOOKUP(B1496,'[4]Migrasi Bed'!$B$4:$E$521,4,0)</f>
        <v>SV.A001</v>
      </c>
      <c r="D1496" s="28">
        <f t="shared" si="397"/>
        <v>46208</v>
      </c>
      <c r="E1496" s="28">
        <f t="shared" si="398"/>
        <v>46192</v>
      </c>
      <c r="F1496" s="28">
        <f t="shared" si="399"/>
        <v>46199</v>
      </c>
      <c r="G1496" s="28">
        <f t="shared" si="400"/>
        <v>46205</v>
      </c>
      <c r="H1496" s="28">
        <f t="shared" si="401"/>
        <v>46193</v>
      </c>
      <c r="I1496" s="28">
        <f t="shared" si="402"/>
        <v>46200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80">
        <v>46185</v>
      </c>
      <c r="B1497" s="1" t="s">
        <v>205</v>
      </c>
      <c r="C1497" s="3" t="str">
        <f>VLOOKUP(B1497,'[4]Migrasi Bed'!$B$4:$E$521,4,0)</f>
        <v>SV.A002</v>
      </c>
      <c r="D1497" s="28">
        <f t="shared" si="397"/>
        <v>46208</v>
      </c>
      <c r="E1497" s="28">
        <f t="shared" si="398"/>
        <v>46192</v>
      </c>
      <c r="F1497" s="28">
        <f t="shared" si="399"/>
        <v>46199</v>
      </c>
      <c r="G1497" s="28">
        <f t="shared" si="400"/>
        <v>46205</v>
      </c>
      <c r="H1497" s="28">
        <f t="shared" si="401"/>
        <v>46193</v>
      </c>
      <c r="I1497" s="28">
        <f t="shared" si="402"/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80">
        <v>46185</v>
      </c>
      <c r="B1498" s="1" t="s">
        <v>234</v>
      </c>
      <c r="C1498" s="3" t="str">
        <f>VLOOKUP(B1498,'[4]Migrasi Bed'!$B$4:$E$521,4,0)</f>
        <v>SV.B001</v>
      </c>
      <c r="D1498" s="28">
        <f t="shared" si="397"/>
        <v>46208</v>
      </c>
      <c r="E1498" s="28">
        <f t="shared" si="398"/>
        <v>46192</v>
      </c>
      <c r="F1498" s="28">
        <f t="shared" si="399"/>
        <v>46199</v>
      </c>
      <c r="G1498" s="28">
        <f t="shared" si="400"/>
        <v>46205</v>
      </c>
      <c r="H1498" s="28">
        <f t="shared" si="401"/>
        <v>46193</v>
      </c>
      <c r="I1498" s="28">
        <f t="shared" si="402"/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80">
        <v>46185</v>
      </c>
      <c r="B1499" s="1" t="s">
        <v>235</v>
      </c>
      <c r="C1499" s="3" t="str">
        <f>VLOOKUP(B1499,'[4]Migrasi Bed'!$B$4:$E$521,4,0)</f>
        <v>SV.B002</v>
      </c>
      <c r="D1499" s="28">
        <f t="shared" si="397"/>
        <v>46208</v>
      </c>
      <c r="E1499" s="28">
        <f t="shared" si="398"/>
        <v>46192</v>
      </c>
      <c r="F1499" s="28">
        <f t="shared" si="399"/>
        <v>46199</v>
      </c>
      <c r="G1499" s="28">
        <f t="shared" si="400"/>
        <v>46205</v>
      </c>
      <c r="H1499" s="28">
        <f t="shared" si="401"/>
        <v>46193</v>
      </c>
      <c r="I1499" s="28">
        <f t="shared" si="402"/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80">
        <v>46185</v>
      </c>
      <c r="B1500" s="1" t="s">
        <v>391</v>
      </c>
      <c r="C1500" s="3" t="str">
        <f>VLOOKUP(B1500,'[4]Migrasi Bed'!$B$4:$E$521,4,0)</f>
        <v>SV.C003</v>
      </c>
      <c r="D1500" s="28">
        <f t="shared" si="397"/>
        <v>46208</v>
      </c>
      <c r="E1500" s="28">
        <f t="shared" si="398"/>
        <v>46192</v>
      </c>
      <c r="F1500" s="28">
        <f t="shared" si="399"/>
        <v>46199</v>
      </c>
      <c r="G1500" s="28">
        <f t="shared" si="400"/>
        <v>46205</v>
      </c>
      <c r="H1500" s="28">
        <f t="shared" si="401"/>
        <v>46193</v>
      </c>
      <c r="I1500" s="28">
        <f t="shared" si="402"/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80">
        <v>46185</v>
      </c>
      <c r="B1501" s="1" t="s">
        <v>392</v>
      </c>
      <c r="C1501" s="3" t="str">
        <f>VLOOKUP(B1501,'[4]Migrasi Bed'!$B$4:$E$521,4,0)</f>
        <v>SV.C004</v>
      </c>
      <c r="D1501" s="28">
        <f t="shared" si="397"/>
        <v>46208</v>
      </c>
      <c r="E1501" s="28">
        <f t="shared" si="398"/>
        <v>46192</v>
      </c>
      <c r="F1501" s="28">
        <f t="shared" si="399"/>
        <v>46199</v>
      </c>
      <c r="G1501" s="28">
        <f t="shared" si="400"/>
        <v>46205</v>
      </c>
      <c r="H1501" s="28">
        <f t="shared" si="401"/>
        <v>46193</v>
      </c>
      <c r="I1501" s="28">
        <f t="shared" si="402"/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80">
        <v>46185</v>
      </c>
      <c r="B1502" s="1" t="s">
        <v>266</v>
      </c>
      <c r="C1502" s="3" t="str">
        <f>VLOOKUP(B1502,'[4]Migrasi Bed'!$B$4:$E$521,4,0)</f>
        <v>SV.C006</v>
      </c>
      <c r="D1502" s="28">
        <f t="shared" si="397"/>
        <v>46208</v>
      </c>
      <c r="E1502" s="28">
        <f t="shared" si="398"/>
        <v>46192</v>
      </c>
      <c r="F1502" s="28">
        <f t="shared" si="399"/>
        <v>46199</v>
      </c>
      <c r="G1502" s="28">
        <f t="shared" si="400"/>
        <v>46205</v>
      </c>
      <c r="H1502" s="28">
        <f t="shared" si="401"/>
        <v>46193</v>
      </c>
      <c r="I1502" s="28">
        <f t="shared" si="402"/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80">
        <v>46185</v>
      </c>
      <c r="B1503" s="1" t="s">
        <v>267</v>
      </c>
      <c r="C1503" s="3" t="str">
        <f>VLOOKUP(B1503,'[4]Migrasi Bed'!$B$4:$E$521,4,0)</f>
        <v>SV.C007</v>
      </c>
      <c r="D1503" s="28">
        <f t="shared" si="397"/>
        <v>46208</v>
      </c>
      <c r="E1503" s="28">
        <f t="shared" si="398"/>
        <v>46192</v>
      </c>
      <c r="F1503" s="28">
        <f t="shared" si="399"/>
        <v>46199</v>
      </c>
      <c r="G1503" s="28">
        <f t="shared" si="400"/>
        <v>46205</v>
      </c>
      <c r="H1503" s="28">
        <f t="shared" si="401"/>
        <v>46193</v>
      </c>
      <c r="I1503" s="28">
        <f t="shared" si="402"/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80">
        <v>46186</v>
      </c>
      <c r="B1504" s="1" t="s">
        <v>268</v>
      </c>
      <c r="C1504" s="3" t="str">
        <f>VLOOKUP(B1504,'[4]Migrasi Bed'!$B$4:$E$521,4,0)</f>
        <v>ST.F001</v>
      </c>
      <c r="D1504" s="28">
        <f t="shared" si="397"/>
        <v>46209</v>
      </c>
      <c r="E1504" s="28">
        <f t="shared" si="398"/>
        <v>46193</v>
      </c>
      <c r="F1504" s="28">
        <f t="shared" si="399"/>
        <v>46200</v>
      </c>
      <c r="G1504" s="28">
        <f t="shared" si="400"/>
        <v>46206</v>
      </c>
      <c r="H1504" s="28">
        <f t="shared" si="401"/>
        <v>46194</v>
      </c>
      <c r="I1504" s="28">
        <f t="shared" si="402"/>
        <v>46201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80">
        <v>46186</v>
      </c>
      <c r="B1505" s="1" t="s">
        <v>269</v>
      </c>
      <c r="C1505" s="3" t="str">
        <f>VLOOKUP(B1505,'[4]Migrasi Bed'!$B$4:$E$521,4,0)</f>
        <v>ST.F002</v>
      </c>
      <c r="D1505" s="28">
        <f t="shared" si="397"/>
        <v>46209</v>
      </c>
      <c r="E1505" s="28">
        <f t="shared" si="398"/>
        <v>46193</v>
      </c>
      <c r="F1505" s="28">
        <f t="shared" si="399"/>
        <v>46200</v>
      </c>
      <c r="G1505" s="28">
        <f t="shared" si="400"/>
        <v>46206</v>
      </c>
      <c r="H1505" s="28">
        <f t="shared" si="401"/>
        <v>46194</v>
      </c>
      <c r="I1505" s="28">
        <f t="shared" si="402"/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80">
        <v>46186</v>
      </c>
      <c r="B1506" s="1" t="s">
        <v>270</v>
      </c>
      <c r="C1506" s="3" t="str">
        <f>VLOOKUP(B1506,'[4]Migrasi Bed'!$B$4:$E$521,4,0)</f>
        <v>ST.F003</v>
      </c>
      <c r="D1506" s="28">
        <f t="shared" ref="D1506:D1552" si="403">A1506+23</f>
        <v>46209</v>
      </c>
      <c r="E1506" s="28">
        <f t="shared" ref="E1506:E1552" si="404">A1506+7</f>
        <v>46193</v>
      </c>
      <c r="F1506" s="28">
        <f t="shared" ref="F1506:F1552" si="405">A1506+14</f>
        <v>46200</v>
      </c>
      <c r="G1506" s="28">
        <f t="shared" ref="G1506:G1552" si="406">A1506+20</f>
        <v>46206</v>
      </c>
      <c r="H1506" s="28">
        <f t="shared" ref="H1506:H1552" si="407">A1506+8</f>
        <v>46194</v>
      </c>
      <c r="I1506" s="28">
        <f t="shared" ref="I1506:I1552" si="408">A1506+15</f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80">
        <v>46186</v>
      </c>
      <c r="B1507" s="1" t="s">
        <v>271</v>
      </c>
      <c r="C1507" s="3" t="str">
        <f>VLOOKUP(B1507,'[4]Migrasi Bed'!$B$4:$E$521,4,0)</f>
        <v>ST.F004</v>
      </c>
      <c r="D1507" s="28">
        <f t="shared" si="403"/>
        <v>46209</v>
      </c>
      <c r="E1507" s="28">
        <f t="shared" si="404"/>
        <v>46193</v>
      </c>
      <c r="F1507" s="28">
        <f t="shared" si="405"/>
        <v>46200</v>
      </c>
      <c r="G1507" s="28">
        <f t="shared" si="406"/>
        <v>46206</v>
      </c>
      <c r="H1507" s="28">
        <f t="shared" si="407"/>
        <v>46194</v>
      </c>
      <c r="I1507" s="28">
        <f t="shared" si="408"/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80">
        <v>46186</v>
      </c>
      <c r="B1508" s="1" t="s">
        <v>272</v>
      </c>
      <c r="C1508" s="3" t="str">
        <f>VLOOKUP(B1508,'[4]Migrasi Bed'!$B$4:$E$521,4,0)</f>
        <v>ST.F005</v>
      </c>
      <c r="D1508" s="28">
        <f t="shared" si="403"/>
        <v>46209</v>
      </c>
      <c r="E1508" s="28">
        <f t="shared" si="404"/>
        <v>46193</v>
      </c>
      <c r="F1508" s="28">
        <f t="shared" si="405"/>
        <v>46200</v>
      </c>
      <c r="G1508" s="28">
        <f t="shared" si="406"/>
        <v>46206</v>
      </c>
      <c r="H1508" s="28">
        <f t="shared" si="407"/>
        <v>46194</v>
      </c>
      <c r="I1508" s="28">
        <f t="shared" si="408"/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80">
        <v>46186</v>
      </c>
      <c r="B1509" s="1" t="s">
        <v>273</v>
      </c>
      <c r="C1509" s="3" t="str">
        <f>VLOOKUP(B1509,'[4]Migrasi Bed'!$B$4:$E$521,4,0)</f>
        <v>ST.F006</v>
      </c>
      <c r="D1509" s="28">
        <f t="shared" si="403"/>
        <v>46209</v>
      </c>
      <c r="E1509" s="28">
        <f t="shared" si="404"/>
        <v>46193</v>
      </c>
      <c r="F1509" s="28">
        <f t="shared" si="405"/>
        <v>46200</v>
      </c>
      <c r="G1509" s="28">
        <f t="shared" si="406"/>
        <v>46206</v>
      </c>
      <c r="H1509" s="28">
        <f t="shared" si="407"/>
        <v>46194</v>
      </c>
      <c r="I1509" s="28">
        <f t="shared" si="408"/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80">
        <v>46186</v>
      </c>
      <c r="B1510" s="1" t="s">
        <v>274</v>
      </c>
      <c r="C1510" s="3" t="str">
        <f>VLOOKUP(B1510,'[4]Migrasi Bed'!$B$4:$E$521,4,0)</f>
        <v>ST.F007</v>
      </c>
      <c r="D1510" s="28">
        <f t="shared" si="403"/>
        <v>46209</v>
      </c>
      <c r="E1510" s="28">
        <f t="shared" si="404"/>
        <v>46193</v>
      </c>
      <c r="F1510" s="28">
        <f t="shared" si="405"/>
        <v>46200</v>
      </c>
      <c r="G1510" s="28">
        <f t="shared" si="406"/>
        <v>46206</v>
      </c>
      <c r="H1510" s="28">
        <f t="shared" si="407"/>
        <v>46194</v>
      </c>
      <c r="I1510" s="28">
        <f t="shared" si="408"/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80">
        <v>46187</v>
      </c>
      <c r="B1511" s="1" t="s">
        <v>275</v>
      </c>
      <c r="C1511" s="3" t="str">
        <f>VLOOKUP(B1511,'[4]Migrasi Bed'!$B$4:$E$521,4,0)</f>
        <v>ST.F008</v>
      </c>
      <c r="D1511" s="28">
        <f t="shared" si="403"/>
        <v>46210</v>
      </c>
      <c r="E1511" s="28">
        <f t="shared" si="404"/>
        <v>46194</v>
      </c>
      <c r="F1511" s="28">
        <f t="shared" si="405"/>
        <v>46201</v>
      </c>
      <c r="G1511" s="28">
        <f t="shared" si="406"/>
        <v>46207</v>
      </c>
      <c r="H1511" s="28">
        <f t="shared" si="407"/>
        <v>46195</v>
      </c>
      <c r="I1511" s="28">
        <f t="shared" si="408"/>
        <v>46202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80">
        <v>46187</v>
      </c>
      <c r="B1512" s="1" t="s">
        <v>276</v>
      </c>
      <c r="C1512" s="3" t="str">
        <f>VLOOKUP(B1512,'[4]Migrasi Bed'!$B$4:$E$521,4,0)</f>
        <v>ST.F009</v>
      </c>
      <c r="D1512" s="28">
        <f t="shared" si="403"/>
        <v>46210</v>
      </c>
      <c r="E1512" s="28">
        <f t="shared" si="404"/>
        <v>46194</v>
      </c>
      <c r="F1512" s="28">
        <f t="shared" si="405"/>
        <v>46201</v>
      </c>
      <c r="G1512" s="28">
        <f t="shared" si="406"/>
        <v>46207</v>
      </c>
      <c r="H1512" s="28">
        <f t="shared" si="407"/>
        <v>46195</v>
      </c>
      <c r="I1512" s="28">
        <f t="shared" si="408"/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80">
        <v>46187</v>
      </c>
      <c r="B1513" s="1" t="s">
        <v>277</v>
      </c>
      <c r="C1513" s="3" t="str">
        <f>VLOOKUP(B1513,'[4]Migrasi Bed'!$B$4:$E$521,4,0)</f>
        <v>ST.F010</v>
      </c>
      <c r="D1513" s="28">
        <f t="shared" si="403"/>
        <v>46210</v>
      </c>
      <c r="E1513" s="28">
        <f t="shared" si="404"/>
        <v>46194</v>
      </c>
      <c r="F1513" s="28">
        <f t="shared" si="405"/>
        <v>46201</v>
      </c>
      <c r="G1513" s="28">
        <f t="shared" si="406"/>
        <v>46207</v>
      </c>
      <c r="H1513" s="28">
        <f t="shared" si="407"/>
        <v>46195</v>
      </c>
      <c r="I1513" s="28">
        <f t="shared" si="408"/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80">
        <v>46187</v>
      </c>
      <c r="B1514" s="1" t="s">
        <v>278</v>
      </c>
      <c r="C1514" s="3" t="str">
        <f>VLOOKUP(B1514,'[4]Migrasi Bed'!$B$4:$E$521,4,0)</f>
        <v>ST.F011</v>
      </c>
      <c r="D1514" s="28">
        <f t="shared" si="403"/>
        <v>46210</v>
      </c>
      <c r="E1514" s="28">
        <f t="shared" si="404"/>
        <v>46194</v>
      </c>
      <c r="F1514" s="28">
        <f t="shared" si="405"/>
        <v>46201</v>
      </c>
      <c r="G1514" s="28">
        <f t="shared" si="406"/>
        <v>46207</v>
      </c>
      <c r="H1514" s="28">
        <f t="shared" si="407"/>
        <v>46195</v>
      </c>
      <c r="I1514" s="28">
        <f t="shared" si="408"/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80">
        <v>46187</v>
      </c>
      <c r="B1515" s="1" t="s">
        <v>279</v>
      </c>
      <c r="C1515" s="3" t="str">
        <f>VLOOKUP(B1515,'[4]Migrasi Bed'!$B$4:$E$521,4,0)</f>
        <v>ST.F012</v>
      </c>
      <c r="D1515" s="28">
        <f t="shared" si="403"/>
        <v>46210</v>
      </c>
      <c r="E1515" s="28">
        <f t="shared" si="404"/>
        <v>46194</v>
      </c>
      <c r="F1515" s="28">
        <f t="shared" si="405"/>
        <v>46201</v>
      </c>
      <c r="G1515" s="28">
        <f t="shared" si="406"/>
        <v>46207</v>
      </c>
      <c r="H1515" s="28">
        <f t="shared" si="407"/>
        <v>46195</v>
      </c>
      <c r="I1515" s="28">
        <f t="shared" si="408"/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80">
        <v>46187</v>
      </c>
      <c r="B1516" s="1" t="s">
        <v>280</v>
      </c>
      <c r="C1516" s="3" t="str">
        <f>VLOOKUP(B1516,'[4]Migrasi Bed'!$B$4:$E$521,4,0)</f>
        <v>ST.G001</v>
      </c>
      <c r="D1516" s="28">
        <f t="shared" si="403"/>
        <v>46210</v>
      </c>
      <c r="E1516" s="28">
        <f t="shared" si="404"/>
        <v>46194</v>
      </c>
      <c r="F1516" s="28">
        <f t="shared" si="405"/>
        <v>46201</v>
      </c>
      <c r="G1516" s="28">
        <f t="shared" si="406"/>
        <v>46207</v>
      </c>
      <c r="H1516" s="28">
        <f t="shared" si="407"/>
        <v>46195</v>
      </c>
      <c r="I1516" s="28">
        <f t="shared" si="408"/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80">
        <v>46187</v>
      </c>
      <c r="B1517" s="1" t="s">
        <v>281</v>
      </c>
      <c r="C1517" s="3" t="str">
        <f>VLOOKUP(B1517,'[4]Migrasi Bed'!$B$4:$E$521,4,0)</f>
        <v>ST.G002</v>
      </c>
      <c r="D1517" s="28">
        <f t="shared" si="403"/>
        <v>46210</v>
      </c>
      <c r="E1517" s="28">
        <f t="shared" si="404"/>
        <v>46194</v>
      </c>
      <c r="F1517" s="28">
        <f t="shared" si="405"/>
        <v>46201</v>
      </c>
      <c r="G1517" s="28">
        <f t="shared" si="406"/>
        <v>46207</v>
      </c>
      <c r="H1517" s="28">
        <f t="shared" si="407"/>
        <v>46195</v>
      </c>
      <c r="I1517" s="28">
        <f t="shared" si="408"/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80">
        <v>46188</v>
      </c>
      <c r="B1518" s="1" t="s">
        <v>282</v>
      </c>
      <c r="C1518" s="3" t="str">
        <f>VLOOKUP(B1518,'[4]Migrasi Bed'!$B$4:$E$521,4,0)</f>
        <v>ST.G003</v>
      </c>
      <c r="D1518" s="28">
        <f t="shared" si="403"/>
        <v>46211</v>
      </c>
      <c r="E1518" s="28">
        <f t="shared" si="404"/>
        <v>46195</v>
      </c>
      <c r="F1518" s="28">
        <f t="shared" si="405"/>
        <v>46202</v>
      </c>
      <c r="G1518" s="28">
        <f t="shared" si="406"/>
        <v>46208</v>
      </c>
      <c r="H1518" s="28">
        <f t="shared" si="407"/>
        <v>46196</v>
      </c>
      <c r="I1518" s="28">
        <f t="shared" si="408"/>
        <v>46203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80">
        <v>46188</v>
      </c>
      <c r="B1519" s="1" t="s">
        <v>283</v>
      </c>
      <c r="C1519" s="3" t="str">
        <f>VLOOKUP(B1519,'[4]Migrasi Bed'!$B$4:$E$521,4,0)</f>
        <v>ST.G004</v>
      </c>
      <c r="D1519" s="28">
        <f t="shared" si="403"/>
        <v>46211</v>
      </c>
      <c r="E1519" s="28">
        <f t="shared" si="404"/>
        <v>46195</v>
      </c>
      <c r="F1519" s="28">
        <f t="shared" si="405"/>
        <v>46202</v>
      </c>
      <c r="G1519" s="28">
        <f t="shared" si="406"/>
        <v>46208</v>
      </c>
      <c r="H1519" s="28">
        <f t="shared" si="407"/>
        <v>46196</v>
      </c>
      <c r="I1519" s="28">
        <f t="shared" si="408"/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80">
        <v>46188</v>
      </c>
      <c r="B1520" s="1" t="s">
        <v>284</v>
      </c>
      <c r="C1520" s="3" t="str">
        <f>VLOOKUP(B1520,'[4]Migrasi Bed'!$B$4:$E$521,4,0)</f>
        <v>ST.G005</v>
      </c>
      <c r="D1520" s="28">
        <f t="shared" si="403"/>
        <v>46211</v>
      </c>
      <c r="E1520" s="28">
        <f t="shared" si="404"/>
        <v>46195</v>
      </c>
      <c r="F1520" s="28">
        <f t="shared" si="405"/>
        <v>46202</v>
      </c>
      <c r="G1520" s="28">
        <f t="shared" si="406"/>
        <v>46208</v>
      </c>
      <c r="H1520" s="28">
        <f t="shared" si="407"/>
        <v>46196</v>
      </c>
      <c r="I1520" s="28">
        <f t="shared" si="408"/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80">
        <v>46188</v>
      </c>
      <c r="B1521" s="1" t="s">
        <v>285</v>
      </c>
      <c r="C1521" s="3" t="str">
        <f>VLOOKUP(B1521,'[4]Migrasi Bed'!$B$4:$E$521,4,0)</f>
        <v>ST.G006</v>
      </c>
      <c r="D1521" s="28">
        <f t="shared" si="403"/>
        <v>46211</v>
      </c>
      <c r="E1521" s="28">
        <f t="shared" si="404"/>
        <v>46195</v>
      </c>
      <c r="F1521" s="28">
        <f t="shared" si="405"/>
        <v>46202</v>
      </c>
      <c r="G1521" s="28">
        <f t="shared" si="406"/>
        <v>46208</v>
      </c>
      <c r="H1521" s="28">
        <f t="shared" si="407"/>
        <v>46196</v>
      </c>
      <c r="I1521" s="28">
        <f t="shared" si="408"/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80">
        <v>46188</v>
      </c>
      <c r="B1522" s="1" t="s">
        <v>286</v>
      </c>
      <c r="C1522" s="3" t="str">
        <f>VLOOKUP(B1522,'[4]Migrasi Bed'!$B$4:$E$521,4,0)</f>
        <v>ST.G007</v>
      </c>
      <c r="D1522" s="28">
        <f t="shared" si="403"/>
        <v>46211</v>
      </c>
      <c r="E1522" s="28">
        <f t="shared" si="404"/>
        <v>46195</v>
      </c>
      <c r="F1522" s="28">
        <f t="shared" si="405"/>
        <v>46202</v>
      </c>
      <c r="G1522" s="28">
        <f t="shared" si="406"/>
        <v>46208</v>
      </c>
      <c r="H1522" s="28">
        <f t="shared" si="407"/>
        <v>46196</v>
      </c>
      <c r="I1522" s="28">
        <f t="shared" si="408"/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80">
        <v>46188</v>
      </c>
      <c r="B1523" s="1" t="s">
        <v>287</v>
      </c>
      <c r="C1523" s="3" t="str">
        <f>VLOOKUP(B1523,'[4]Migrasi Bed'!$B$4:$E$521,4,0)</f>
        <v>ST.G008</v>
      </c>
      <c r="D1523" s="28">
        <f t="shared" si="403"/>
        <v>46211</v>
      </c>
      <c r="E1523" s="28">
        <f t="shared" si="404"/>
        <v>46195</v>
      </c>
      <c r="F1523" s="28">
        <f t="shared" si="405"/>
        <v>46202</v>
      </c>
      <c r="G1523" s="28">
        <f t="shared" si="406"/>
        <v>46208</v>
      </c>
      <c r="H1523" s="28">
        <f t="shared" si="407"/>
        <v>46196</v>
      </c>
      <c r="I1523" s="28">
        <f t="shared" si="408"/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80">
        <v>46188</v>
      </c>
      <c r="B1524" s="1" t="s">
        <v>288</v>
      </c>
      <c r="C1524" s="3" t="str">
        <f>VLOOKUP(B1524,'[4]Migrasi Bed'!$B$4:$E$521,4,0)</f>
        <v>ST.G009</v>
      </c>
      <c r="D1524" s="28">
        <f t="shared" si="403"/>
        <v>46211</v>
      </c>
      <c r="E1524" s="28">
        <f t="shared" si="404"/>
        <v>46195</v>
      </c>
      <c r="F1524" s="28">
        <f t="shared" si="405"/>
        <v>46202</v>
      </c>
      <c r="G1524" s="28">
        <f t="shared" si="406"/>
        <v>46208</v>
      </c>
      <c r="H1524" s="28">
        <f t="shared" si="407"/>
        <v>46196</v>
      </c>
      <c r="I1524" s="28">
        <f t="shared" si="408"/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80">
        <v>46190</v>
      </c>
      <c r="B1525" s="1" t="s">
        <v>289</v>
      </c>
      <c r="C1525" s="3" t="str">
        <f>VLOOKUP(B1525,'[4]Migrasi Bed'!$B$4:$E$521,4,0)</f>
        <v>ST.G010</v>
      </c>
      <c r="D1525" s="28">
        <f t="shared" si="403"/>
        <v>46213</v>
      </c>
      <c r="E1525" s="28">
        <f t="shared" si="404"/>
        <v>46197</v>
      </c>
      <c r="F1525" s="28">
        <f t="shared" si="405"/>
        <v>46204</v>
      </c>
      <c r="G1525" s="28">
        <f t="shared" si="406"/>
        <v>46210</v>
      </c>
      <c r="H1525" s="28">
        <f t="shared" si="407"/>
        <v>46198</v>
      </c>
      <c r="I1525" s="28">
        <f t="shared" si="408"/>
        <v>46205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80">
        <v>46190</v>
      </c>
      <c r="B1526" s="1" t="s">
        <v>290</v>
      </c>
      <c r="C1526" s="3" t="str">
        <f>VLOOKUP(B1526,'[4]Migrasi Bed'!$B$4:$E$521,4,0)</f>
        <v>ST.G011</v>
      </c>
      <c r="D1526" s="28">
        <f t="shared" si="403"/>
        <v>46213</v>
      </c>
      <c r="E1526" s="28">
        <f t="shared" si="404"/>
        <v>46197</v>
      </c>
      <c r="F1526" s="28">
        <f t="shared" si="405"/>
        <v>46204</v>
      </c>
      <c r="G1526" s="28">
        <f t="shared" si="406"/>
        <v>46210</v>
      </c>
      <c r="H1526" s="28">
        <f t="shared" si="407"/>
        <v>46198</v>
      </c>
      <c r="I1526" s="28">
        <f t="shared" si="408"/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80">
        <v>46190</v>
      </c>
      <c r="B1527" s="1" t="s">
        <v>291</v>
      </c>
      <c r="C1527" s="3" t="str">
        <f>VLOOKUP(B1527,'[4]Migrasi Bed'!$B$4:$E$521,4,0)</f>
        <v>ST.G012</v>
      </c>
      <c r="D1527" s="28">
        <f t="shared" si="403"/>
        <v>46213</v>
      </c>
      <c r="E1527" s="28">
        <f t="shared" si="404"/>
        <v>46197</v>
      </c>
      <c r="F1527" s="28">
        <f t="shared" si="405"/>
        <v>46204</v>
      </c>
      <c r="G1527" s="28">
        <f t="shared" si="406"/>
        <v>46210</v>
      </c>
      <c r="H1527" s="28">
        <f t="shared" si="407"/>
        <v>46198</v>
      </c>
      <c r="I1527" s="28">
        <f t="shared" si="408"/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80">
        <v>46190</v>
      </c>
      <c r="B1528" s="1" t="s">
        <v>292</v>
      </c>
      <c r="C1528" s="3" t="str">
        <f>VLOOKUP(B1528,'[4]Migrasi Bed'!$B$4:$E$521,4,0)</f>
        <v>ST.H001</v>
      </c>
      <c r="D1528" s="28">
        <f t="shared" si="403"/>
        <v>46213</v>
      </c>
      <c r="E1528" s="28">
        <f t="shared" si="404"/>
        <v>46197</v>
      </c>
      <c r="F1528" s="28">
        <f t="shared" si="405"/>
        <v>46204</v>
      </c>
      <c r="G1528" s="28">
        <f t="shared" si="406"/>
        <v>46210</v>
      </c>
      <c r="H1528" s="28">
        <f t="shared" si="407"/>
        <v>46198</v>
      </c>
      <c r="I1528" s="28">
        <f t="shared" si="408"/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80">
        <v>46190</v>
      </c>
      <c r="B1529" s="1" t="s">
        <v>293</v>
      </c>
      <c r="C1529" s="3" t="str">
        <f>VLOOKUP(B1529,'[4]Migrasi Bed'!$B$4:$E$521,4,0)</f>
        <v>ST.H002</v>
      </c>
      <c r="D1529" s="28">
        <f t="shared" si="403"/>
        <v>46213</v>
      </c>
      <c r="E1529" s="28">
        <f t="shared" si="404"/>
        <v>46197</v>
      </c>
      <c r="F1529" s="28">
        <f t="shared" si="405"/>
        <v>46204</v>
      </c>
      <c r="G1529" s="28">
        <f t="shared" si="406"/>
        <v>46210</v>
      </c>
      <c r="H1529" s="28">
        <f t="shared" si="407"/>
        <v>46198</v>
      </c>
      <c r="I1529" s="28">
        <f t="shared" si="408"/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80">
        <v>46190</v>
      </c>
      <c r="B1530" s="1" t="s">
        <v>294</v>
      </c>
      <c r="C1530" s="3" t="str">
        <f>VLOOKUP(B1530,'[4]Migrasi Bed'!$B$4:$E$521,4,0)</f>
        <v>ST.H003</v>
      </c>
      <c r="D1530" s="28">
        <f t="shared" si="403"/>
        <v>46213</v>
      </c>
      <c r="E1530" s="28">
        <f t="shared" si="404"/>
        <v>46197</v>
      </c>
      <c r="F1530" s="28">
        <f t="shared" si="405"/>
        <v>46204</v>
      </c>
      <c r="G1530" s="28">
        <f t="shared" si="406"/>
        <v>46210</v>
      </c>
      <c r="H1530" s="28">
        <f t="shared" si="407"/>
        <v>46198</v>
      </c>
      <c r="I1530" s="28">
        <f t="shared" si="408"/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80">
        <v>46190</v>
      </c>
      <c r="B1531" s="1" t="s">
        <v>295</v>
      </c>
      <c r="C1531" s="3" t="str">
        <f>VLOOKUP(B1531,'[4]Migrasi Bed'!$B$4:$E$521,4,0)</f>
        <v>ST.H004</v>
      </c>
      <c r="D1531" s="28">
        <f t="shared" si="403"/>
        <v>46213</v>
      </c>
      <c r="E1531" s="28">
        <f t="shared" si="404"/>
        <v>46197</v>
      </c>
      <c r="F1531" s="28">
        <f t="shared" si="405"/>
        <v>46204</v>
      </c>
      <c r="G1531" s="28">
        <f t="shared" si="406"/>
        <v>46210</v>
      </c>
      <c r="H1531" s="28">
        <f t="shared" si="407"/>
        <v>46198</v>
      </c>
      <c r="I1531" s="28">
        <f t="shared" si="408"/>
        <v>46205</v>
      </c>
      <c r="J1531" s="28"/>
      <c r="K1531" s="1"/>
      <c r="L1531" s="1"/>
      <c r="M1531" s="1"/>
      <c r="N1531" s="1">
        <v>0</v>
      </c>
      <c r="O1531" s="1" t="s">
        <v>379</v>
      </c>
    </row>
    <row r="1532" spans="1:15" x14ac:dyDescent="0.25">
      <c r="A1532" s="80">
        <v>46191</v>
      </c>
      <c r="B1532" s="1" t="s">
        <v>296</v>
      </c>
      <c r="C1532" s="3" t="str">
        <f>VLOOKUP(B1532,'[4]Migrasi Bed'!$B$4:$E$521,4,0)</f>
        <v>ST.H005</v>
      </c>
      <c r="D1532" s="28">
        <f t="shared" si="403"/>
        <v>46214</v>
      </c>
      <c r="E1532" s="28">
        <f t="shared" si="404"/>
        <v>46198</v>
      </c>
      <c r="F1532" s="28">
        <f t="shared" si="405"/>
        <v>46205</v>
      </c>
      <c r="G1532" s="28">
        <f t="shared" si="406"/>
        <v>46211</v>
      </c>
      <c r="H1532" s="28">
        <f t="shared" si="407"/>
        <v>46199</v>
      </c>
      <c r="I1532" s="28">
        <f t="shared" si="408"/>
        <v>46206</v>
      </c>
      <c r="J1532" s="28"/>
      <c r="K1532" s="1"/>
      <c r="L1532" s="1"/>
      <c r="M1532" s="1"/>
      <c r="N1532" s="1">
        <v>0</v>
      </c>
      <c r="O1532" s="1" t="s">
        <v>379</v>
      </c>
    </row>
    <row r="1533" spans="1:15" x14ac:dyDescent="0.25">
      <c r="A1533" s="80">
        <v>46191</v>
      </c>
      <c r="B1533" s="1" t="s">
        <v>297</v>
      </c>
      <c r="C1533" s="3" t="str">
        <f>VLOOKUP(B1533,'[4]Migrasi Bed'!$B$4:$E$521,4,0)</f>
        <v>ST.H006</v>
      </c>
      <c r="D1533" s="28">
        <f t="shared" si="403"/>
        <v>46214</v>
      </c>
      <c r="E1533" s="28">
        <f t="shared" si="404"/>
        <v>46198</v>
      </c>
      <c r="F1533" s="28">
        <f t="shared" si="405"/>
        <v>46205</v>
      </c>
      <c r="G1533" s="28">
        <f t="shared" si="406"/>
        <v>46211</v>
      </c>
      <c r="H1533" s="28">
        <f t="shared" si="407"/>
        <v>46199</v>
      </c>
      <c r="I1533" s="28">
        <f t="shared" si="408"/>
        <v>46206</v>
      </c>
      <c r="J1533" s="28"/>
      <c r="K1533" s="1"/>
      <c r="L1533" s="1"/>
      <c r="M1533" s="1"/>
      <c r="N1533" s="1">
        <v>0</v>
      </c>
      <c r="O1533" s="1" t="s">
        <v>379</v>
      </c>
    </row>
    <row r="1534" spans="1:15" x14ac:dyDescent="0.25">
      <c r="A1534" s="80">
        <v>46191</v>
      </c>
      <c r="B1534" s="1" t="s">
        <v>298</v>
      </c>
      <c r="C1534" s="3" t="str">
        <f>VLOOKUP(B1534,'[4]Migrasi Bed'!$B$4:$E$521,4,0)</f>
        <v>ST.H007</v>
      </c>
      <c r="D1534" s="28">
        <f t="shared" si="403"/>
        <v>46214</v>
      </c>
      <c r="E1534" s="28">
        <f t="shared" si="404"/>
        <v>46198</v>
      </c>
      <c r="F1534" s="28">
        <f t="shared" si="405"/>
        <v>46205</v>
      </c>
      <c r="G1534" s="28">
        <f t="shared" si="406"/>
        <v>46211</v>
      </c>
      <c r="H1534" s="28">
        <f t="shared" si="407"/>
        <v>46199</v>
      </c>
      <c r="I1534" s="28">
        <f t="shared" si="408"/>
        <v>46206</v>
      </c>
      <c r="J1534" s="28"/>
      <c r="K1534" s="1"/>
      <c r="L1534" s="1"/>
      <c r="M1534" s="1"/>
      <c r="N1534" s="1">
        <v>0</v>
      </c>
      <c r="O1534" s="1" t="s">
        <v>379</v>
      </c>
    </row>
    <row r="1535" spans="1:15" x14ac:dyDescent="0.25">
      <c r="A1535" s="80">
        <v>46191</v>
      </c>
      <c r="B1535" s="1" t="s">
        <v>299</v>
      </c>
      <c r="C1535" s="3" t="str">
        <f>VLOOKUP(B1535,'[4]Migrasi Bed'!$B$4:$E$521,4,0)</f>
        <v>ST.H008</v>
      </c>
      <c r="D1535" s="28">
        <f t="shared" si="403"/>
        <v>46214</v>
      </c>
      <c r="E1535" s="28">
        <f t="shared" si="404"/>
        <v>46198</v>
      </c>
      <c r="F1535" s="28">
        <f t="shared" si="405"/>
        <v>46205</v>
      </c>
      <c r="G1535" s="28">
        <f t="shared" si="406"/>
        <v>46211</v>
      </c>
      <c r="H1535" s="28">
        <f t="shared" si="407"/>
        <v>46199</v>
      </c>
      <c r="I1535" s="28">
        <f t="shared" si="408"/>
        <v>46206</v>
      </c>
      <c r="J1535" s="28"/>
      <c r="K1535" s="1"/>
      <c r="L1535" s="1"/>
      <c r="M1535" s="1"/>
      <c r="N1535" s="1">
        <v>0</v>
      </c>
      <c r="O1535" s="1" t="s">
        <v>379</v>
      </c>
    </row>
    <row r="1536" spans="1:15" x14ac:dyDescent="0.25">
      <c r="A1536" s="80">
        <v>46191</v>
      </c>
      <c r="B1536" s="1" t="s">
        <v>300</v>
      </c>
      <c r="C1536" s="3" t="str">
        <f>VLOOKUP(B1536,'[4]Migrasi Bed'!$B$4:$E$521,4,0)</f>
        <v>ST.H009</v>
      </c>
      <c r="D1536" s="28">
        <f t="shared" si="403"/>
        <v>46214</v>
      </c>
      <c r="E1536" s="28">
        <f t="shared" si="404"/>
        <v>46198</v>
      </c>
      <c r="F1536" s="28">
        <f t="shared" si="405"/>
        <v>46205</v>
      </c>
      <c r="G1536" s="28">
        <f t="shared" si="406"/>
        <v>46211</v>
      </c>
      <c r="H1536" s="28">
        <f t="shared" si="407"/>
        <v>46199</v>
      </c>
      <c r="I1536" s="28">
        <f t="shared" si="408"/>
        <v>46206</v>
      </c>
      <c r="J1536" s="28"/>
      <c r="K1536" s="1"/>
      <c r="L1536" s="1"/>
      <c r="M1536" s="1"/>
      <c r="N1536" s="1">
        <v>0</v>
      </c>
      <c r="O1536" s="1" t="s">
        <v>379</v>
      </c>
    </row>
    <row r="1537" spans="1:15" x14ac:dyDescent="0.25">
      <c r="A1537" s="80">
        <v>46191</v>
      </c>
      <c r="B1537" s="1" t="s">
        <v>301</v>
      </c>
      <c r="C1537" s="3" t="str">
        <f>VLOOKUP(B1537,'[4]Migrasi Bed'!$B$4:$E$521,4,0)</f>
        <v>ST.H010</v>
      </c>
      <c r="D1537" s="28">
        <f t="shared" si="403"/>
        <v>46214</v>
      </c>
      <c r="E1537" s="28">
        <f t="shared" si="404"/>
        <v>46198</v>
      </c>
      <c r="F1537" s="28">
        <f t="shared" si="405"/>
        <v>46205</v>
      </c>
      <c r="G1537" s="28">
        <f t="shared" si="406"/>
        <v>46211</v>
      </c>
      <c r="H1537" s="28">
        <f t="shared" si="407"/>
        <v>46199</v>
      </c>
      <c r="I1537" s="28">
        <f t="shared" si="408"/>
        <v>46206</v>
      </c>
      <c r="J1537" s="28"/>
      <c r="K1537" s="1"/>
      <c r="L1537" s="1"/>
      <c r="M1537" s="1"/>
      <c r="N1537" s="1">
        <v>0</v>
      </c>
      <c r="O1537" s="1" t="s">
        <v>379</v>
      </c>
    </row>
    <row r="1538" spans="1:15" x14ac:dyDescent="0.25">
      <c r="A1538" s="80">
        <v>46191</v>
      </c>
      <c r="B1538" s="1" t="s">
        <v>302</v>
      </c>
      <c r="C1538" s="3" t="str">
        <f>VLOOKUP(B1538,'[4]Migrasi Bed'!$B$4:$E$521,4,0)</f>
        <v>ST.H011</v>
      </c>
      <c r="D1538" s="28">
        <f t="shared" si="403"/>
        <v>46214</v>
      </c>
      <c r="E1538" s="28">
        <f t="shared" si="404"/>
        <v>46198</v>
      </c>
      <c r="F1538" s="28">
        <f t="shared" si="405"/>
        <v>46205</v>
      </c>
      <c r="G1538" s="28">
        <f t="shared" si="406"/>
        <v>46211</v>
      </c>
      <c r="H1538" s="28">
        <f t="shared" si="407"/>
        <v>46199</v>
      </c>
      <c r="I1538" s="28">
        <f t="shared" si="408"/>
        <v>46206</v>
      </c>
      <c r="J1538" s="28"/>
      <c r="K1538" s="1"/>
      <c r="L1538" s="1"/>
      <c r="M1538" s="1"/>
      <c r="N1538" s="1">
        <v>0</v>
      </c>
      <c r="O1538" s="1" t="s">
        <v>379</v>
      </c>
    </row>
    <row r="1539" spans="1:15" x14ac:dyDescent="0.25">
      <c r="A1539" s="80">
        <v>46192</v>
      </c>
      <c r="B1539" s="1" t="s">
        <v>339</v>
      </c>
      <c r="C1539" s="3" t="str">
        <f>VLOOKUP(B1539,'[4]Migrasi Bed'!$B$4:$E$521,4,0)</f>
        <v>ST.B017</v>
      </c>
      <c r="D1539" s="28">
        <f t="shared" si="403"/>
        <v>46215</v>
      </c>
      <c r="E1539" s="28">
        <f t="shared" si="404"/>
        <v>46199</v>
      </c>
      <c r="F1539" s="28">
        <f t="shared" si="405"/>
        <v>46206</v>
      </c>
      <c r="G1539" s="28">
        <f t="shared" si="406"/>
        <v>46212</v>
      </c>
      <c r="H1539" s="28">
        <f t="shared" si="407"/>
        <v>46200</v>
      </c>
      <c r="I1539" s="28">
        <f t="shared" si="408"/>
        <v>46207</v>
      </c>
      <c r="J1539" s="28"/>
      <c r="K1539" s="1"/>
      <c r="L1539" s="1"/>
      <c r="M1539" s="1"/>
      <c r="N1539" s="1">
        <v>0</v>
      </c>
      <c r="O1539" s="1" t="s">
        <v>379</v>
      </c>
    </row>
    <row r="1540" spans="1:15" x14ac:dyDescent="0.25">
      <c r="A1540" s="80">
        <v>46192</v>
      </c>
      <c r="B1540" s="1" t="s">
        <v>340</v>
      </c>
      <c r="C1540" s="3" t="str">
        <f>VLOOKUP(B1540,'[4]Migrasi Bed'!$B$4:$E$521,4,0)</f>
        <v>ST.B018</v>
      </c>
      <c r="D1540" s="28">
        <f t="shared" si="403"/>
        <v>46215</v>
      </c>
      <c r="E1540" s="28">
        <f t="shared" si="404"/>
        <v>46199</v>
      </c>
      <c r="F1540" s="28">
        <f t="shared" si="405"/>
        <v>46206</v>
      </c>
      <c r="G1540" s="28">
        <f t="shared" si="406"/>
        <v>46212</v>
      </c>
      <c r="H1540" s="28">
        <f t="shared" si="407"/>
        <v>46200</v>
      </c>
      <c r="I1540" s="28">
        <f t="shared" si="408"/>
        <v>46207</v>
      </c>
      <c r="J1540" s="28"/>
      <c r="K1540" s="1"/>
      <c r="L1540" s="1"/>
      <c r="M1540" s="1"/>
      <c r="N1540" s="1">
        <v>0</v>
      </c>
      <c r="O1540" s="1" t="s">
        <v>379</v>
      </c>
    </row>
    <row r="1541" spans="1:15" x14ac:dyDescent="0.25">
      <c r="A1541" s="80">
        <v>46192</v>
      </c>
      <c r="B1541" s="1" t="s">
        <v>341</v>
      </c>
      <c r="C1541" s="3" t="str">
        <f>VLOOKUP(B1541,'[4]Migrasi Bed'!$B$4:$E$521,4,0)</f>
        <v>ST.B019</v>
      </c>
      <c r="D1541" s="28">
        <f t="shared" si="403"/>
        <v>46215</v>
      </c>
      <c r="E1541" s="28">
        <f t="shared" si="404"/>
        <v>46199</v>
      </c>
      <c r="F1541" s="28">
        <f t="shared" si="405"/>
        <v>46206</v>
      </c>
      <c r="G1541" s="28">
        <f t="shared" si="406"/>
        <v>46212</v>
      </c>
      <c r="H1541" s="28">
        <f t="shared" si="407"/>
        <v>46200</v>
      </c>
      <c r="I1541" s="28">
        <f t="shared" si="408"/>
        <v>46207</v>
      </c>
      <c r="J1541" s="28"/>
      <c r="K1541" s="1"/>
      <c r="L1541" s="1"/>
      <c r="M1541" s="1"/>
      <c r="N1541" s="1">
        <v>0</v>
      </c>
      <c r="O1541" s="1" t="s">
        <v>379</v>
      </c>
    </row>
    <row r="1542" spans="1:15" x14ac:dyDescent="0.25">
      <c r="A1542" s="80">
        <v>46192</v>
      </c>
      <c r="B1542" s="1" t="s">
        <v>342</v>
      </c>
      <c r="C1542" s="3" t="str">
        <f>VLOOKUP(B1542,'[4]Migrasi Bed'!$B$4:$E$521,4,0)</f>
        <v>ST.B020</v>
      </c>
      <c r="D1542" s="28">
        <f t="shared" si="403"/>
        <v>46215</v>
      </c>
      <c r="E1542" s="28">
        <f t="shared" si="404"/>
        <v>46199</v>
      </c>
      <c r="F1542" s="28">
        <f t="shared" si="405"/>
        <v>46206</v>
      </c>
      <c r="G1542" s="28">
        <f t="shared" si="406"/>
        <v>46212</v>
      </c>
      <c r="H1542" s="28">
        <f t="shared" si="407"/>
        <v>46200</v>
      </c>
      <c r="I1542" s="28">
        <f t="shared" si="408"/>
        <v>46207</v>
      </c>
      <c r="J1542" s="28"/>
      <c r="K1542" s="1"/>
      <c r="L1542" s="1"/>
      <c r="M1542" s="1"/>
      <c r="N1542" s="1">
        <v>0</v>
      </c>
      <c r="O1542" s="1" t="s">
        <v>379</v>
      </c>
    </row>
    <row r="1543" spans="1:15" x14ac:dyDescent="0.25">
      <c r="A1543" s="80">
        <v>46192</v>
      </c>
      <c r="B1543" s="1" t="s">
        <v>343</v>
      </c>
      <c r="C1543" s="3" t="str">
        <f>VLOOKUP(B1543,'[4]Migrasi Bed'!$B$4:$E$521,4,0)</f>
        <v>ST.B021</v>
      </c>
      <c r="D1543" s="28">
        <f t="shared" si="403"/>
        <v>46215</v>
      </c>
      <c r="E1543" s="28">
        <f t="shared" si="404"/>
        <v>46199</v>
      </c>
      <c r="F1543" s="28">
        <f t="shared" si="405"/>
        <v>46206</v>
      </c>
      <c r="G1543" s="28">
        <f t="shared" si="406"/>
        <v>46212</v>
      </c>
      <c r="H1543" s="28">
        <f t="shared" si="407"/>
        <v>46200</v>
      </c>
      <c r="I1543" s="28">
        <f t="shared" si="408"/>
        <v>46207</v>
      </c>
      <c r="J1543" s="28"/>
      <c r="K1543" s="1"/>
      <c r="L1543" s="1"/>
      <c r="M1543" s="1"/>
      <c r="N1543" s="1">
        <v>0</v>
      </c>
      <c r="O1543" s="1" t="s">
        <v>379</v>
      </c>
    </row>
    <row r="1544" spans="1:15" x14ac:dyDescent="0.25">
      <c r="A1544" s="80">
        <v>46192</v>
      </c>
      <c r="B1544" s="1" t="s">
        <v>344</v>
      </c>
      <c r="C1544" s="3" t="str">
        <f>VLOOKUP(B1544,'[4]Migrasi Bed'!$B$4:$E$521,4,0)</f>
        <v>ST.B022</v>
      </c>
      <c r="D1544" s="28">
        <f t="shared" si="403"/>
        <v>46215</v>
      </c>
      <c r="E1544" s="28">
        <f t="shared" si="404"/>
        <v>46199</v>
      </c>
      <c r="F1544" s="28">
        <f t="shared" si="405"/>
        <v>46206</v>
      </c>
      <c r="G1544" s="28">
        <f t="shared" si="406"/>
        <v>46212</v>
      </c>
      <c r="H1544" s="28">
        <f t="shared" si="407"/>
        <v>46200</v>
      </c>
      <c r="I1544" s="28">
        <f t="shared" si="408"/>
        <v>46207</v>
      </c>
      <c r="J1544" s="28"/>
      <c r="K1544" s="1"/>
      <c r="L1544" s="1"/>
      <c r="M1544" s="1"/>
      <c r="N1544" s="1">
        <v>0</v>
      </c>
      <c r="O1544" s="1" t="s">
        <v>379</v>
      </c>
    </row>
    <row r="1545" spans="1:15" x14ac:dyDescent="0.25">
      <c r="A1545" s="80">
        <v>46192</v>
      </c>
      <c r="B1545" s="1" t="s">
        <v>345</v>
      </c>
      <c r="C1545" s="3" t="str">
        <f>VLOOKUP(B1545,'[4]Migrasi Bed'!$B$4:$E$521,4,0)</f>
        <v>ST.B023</v>
      </c>
      <c r="D1545" s="28">
        <f t="shared" si="403"/>
        <v>46215</v>
      </c>
      <c r="E1545" s="28">
        <f t="shared" si="404"/>
        <v>46199</v>
      </c>
      <c r="F1545" s="28">
        <f t="shared" si="405"/>
        <v>46206</v>
      </c>
      <c r="G1545" s="28">
        <f t="shared" si="406"/>
        <v>46212</v>
      </c>
      <c r="H1545" s="28">
        <f t="shared" si="407"/>
        <v>46200</v>
      </c>
      <c r="I1545" s="28">
        <f t="shared" si="408"/>
        <v>46207</v>
      </c>
      <c r="J1545" s="28"/>
      <c r="K1545" s="1"/>
      <c r="L1545" s="1"/>
      <c r="M1545" s="1"/>
      <c r="N1545" s="1">
        <v>0</v>
      </c>
      <c r="O1545" s="1" t="s">
        <v>379</v>
      </c>
    </row>
    <row r="1546" spans="1:15" x14ac:dyDescent="0.25">
      <c r="A1546" s="80">
        <v>46193</v>
      </c>
      <c r="B1546" s="1" t="s">
        <v>332</v>
      </c>
      <c r="C1546" s="3" t="str">
        <f>VLOOKUP(B1546,'[4]Migrasi Bed'!$B$4:$E$521,4,0)</f>
        <v>ST.B010</v>
      </c>
      <c r="D1546" s="28">
        <f t="shared" si="403"/>
        <v>46216</v>
      </c>
      <c r="E1546" s="28">
        <f t="shared" si="404"/>
        <v>46200</v>
      </c>
      <c r="F1546" s="28">
        <f t="shared" si="405"/>
        <v>46207</v>
      </c>
      <c r="G1546" s="28">
        <f t="shared" si="406"/>
        <v>46213</v>
      </c>
      <c r="H1546" s="28">
        <f t="shared" si="407"/>
        <v>46201</v>
      </c>
      <c r="I1546" s="28">
        <f t="shared" si="408"/>
        <v>46208</v>
      </c>
      <c r="J1546" s="28"/>
      <c r="K1546" s="1"/>
      <c r="L1546" s="1"/>
      <c r="M1546" s="1"/>
      <c r="N1546" s="1">
        <v>0</v>
      </c>
      <c r="O1546" s="1" t="s">
        <v>379</v>
      </c>
    </row>
    <row r="1547" spans="1:15" x14ac:dyDescent="0.25">
      <c r="A1547" s="80">
        <v>46193</v>
      </c>
      <c r="B1547" s="1" t="s">
        <v>333</v>
      </c>
      <c r="C1547" s="3" t="str">
        <f>VLOOKUP(B1547,'[4]Migrasi Bed'!$B$4:$E$521,4,0)</f>
        <v>ST.B011</v>
      </c>
      <c r="D1547" s="28">
        <f t="shared" si="403"/>
        <v>46216</v>
      </c>
      <c r="E1547" s="28">
        <f t="shared" si="404"/>
        <v>46200</v>
      </c>
      <c r="F1547" s="28">
        <f t="shared" si="405"/>
        <v>46207</v>
      </c>
      <c r="G1547" s="28">
        <f t="shared" si="406"/>
        <v>46213</v>
      </c>
      <c r="H1547" s="28">
        <f t="shared" si="407"/>
        <v>46201</v>
      </c>
      <c r="I1547" s="28">
        <f t="shared" si="408"/>
        <v>46208</v>
      </c>
      <c r="J1547" s="28"/>
      <c r="K1547" s="1"/>
      <c r="L1547" s="1"/>
      <c r="M1547" s="1"/>
      <c r="N1547" s="1">
        <v>0</v>
      </c>
      <c r="O1547" s="1" t="s">
        <v>379</v>
      </c>
    </row>
    <row r="1548" spans="1:15" x14ac:dyDescent="0.25">
      <c r="A1548" s="80">
        <v>46193</v>
      </c>
      <c r="B1548" s="1" t="s">
        <v>334</v>
      </c>
      <c r="C1548" s="3" t="str">
        <f>VLOOKUP(B1548,'[4]Migrasi Bed'!$B$4:$E$521,4,0)</f>
        <v>ST.B012</v>
      </c>
      <c r="D1548" s="28">
        <f t="shared" si="403"/>
        <v>46216</v>
      </c>
      <c r="E1548" s="28">
        <f t="shared" si="404"/>
        <v>46200</v>
      </c>
      <c r="F1548" s="28">
        <f t="shared" si="405"/>
        <v>46207</v>
      </c>
      <c r="G1548" s="28">
        <f t="shared" si="406"/>
        <v>46213</v>
      </c>
      <c r="H1548" s="28">
        <f t="shared" si="407"/>
        <v>46201</v>
      </c>
      <c r="I1548" s="28">
        <f t="shared" si="408"/>
        <v>46208</v>
      </c>
      <c r="J1548" s="28"/>
      <c r="K1548" s="1"/>
      <c r="L1548" s="1"/>
      <c r="M1548" s="1"/>
      <c r="N1548" s="1">
        <v>0</v>
      </c>
      <c r="O1548" s="1" t="s">
        <v>379</v>
      </c>
    </row>
    <row r="1549" spans="1:15" x14ac:dyDescent="0.25">
      <c r="A1549" s="80">
        <v>46193</v>
      </c>
      <c r="B1549" s="1" t="s">
        <v>335</v>
      </c>
      <c r="C1549" s="3" t="str">
        <f>VLOOKUP(B1549,'[4]Migrasi Bed'!$B$4:$E$521,4,0)</f>
        <v>ST.B013</v>
      </c>
      <c r="D1549" s="28">
        <f t="shared" si="403"/>
        <v>46216</v>
      </c>
      <c r="E1549" s="28">
        <f t="shared" si="404"/>
        <v>46200</v>
      </c>
      <c r="F1549" s="28">
        <f t="shared" si="405"/>
        <v>46207</v>
      </c>
      <c r="G1549" s="28">
        <f t="shared" si="406"/>
        <v>46213</v>
      </c>
      <c r="H1549" s="28">
        <f t="shared" si="407"/>
        <v>46201</v>
      </c>
      <c r="I1549" s="28">
        <f t="shared" si="408"/>
        <v>46208</v>
      </c>
      <c r="J1549" s="28"/>
      <c r="K1549" s="1"/>
      <c r="L1549" s="1"/>
      <c r="M1549" s="1"/>
      <c r="N1549" s="1">
        <v>0</v>
      </c>
      <c r="O1549" s="1" t="s">
        <v>379</v>
      </c>
    </row>
    <row r="1550" spans="1:15" x14ac:dyDescent="0.25">
      <c r="A1550" s="80">
        <v>46193</v>
      </c>
      <c r="B1550" s="1" t="s">
        <v>336</v>
      </c>
      <c r="C1550" s="3" t="str">
        <f>VLOOKUP(B1550,'[4]Migrasi Bed'!$B$4:$E$521,4,0)</f>
        <v>ST.B014</v>
      </c>
      <c r="D1550" s="28">
        <f t="shared" si="403"/>
        <v>46216</v>
      </c>
      <c r="E1550" s="28">
        <f t="shared" si="404"/>
        <v>46200</v>
      </c>
      <c r="F1550" s="28">
        <f t="shared" si="405"/>
        <v>46207</v>
      </c>
      <c r="G1550" s="28">
        <f t="shared" si="406"/>
        <v>46213</v>
      </c>
      <c r="H1550" s="28">
        <f t="shared" si="407"/>
        <v>46201</v>
      </c>
      <c r="I1550" s="28">
        <f t="shared" si="408"/>
        <v>46208</v>
      </c>
      <c r="J1550" s="28"/>
      <c r="K1550" s="1"/>
      <c r="L1550" s="1"/>
      <c r="M1550" s="1"/>
      <c r="N1550" s="1">
        <v>0</v>
      </c>
      <c r="O1550" s="1" t="s">
        <v>379</v>
      </c>
    </row>
    <row r="1551" spans="1:15" x14ac:dyDescent="0.25">
      <c r="A1551" s="80">
        <v>46193</v>
      </c>
      <c r="B1551" s="1" t="s">
        <v>337</v>
      </c>
      <c r="C1551" s="3" t="str">
        <f>VLOOKUP(B1551,'[4]Migrasi Bed'!$B$4:$E$521,4,0)</f>
        <v>ST.B015</v>
      </c>
      <c r="D1551" s="28">
        <f t="shared" si="403"/>
        <v>46216</v>
      </c>
      <c r="E1551" s="28">
        <f t="shared" si="404"/>
        <v>46200</v>
      </c>
      <c r="F1551" s="28">
        <f t="shared" si="405"/>
        <v>46207</v>
      </c>
      <c r="G1551" s="28">
        <f t="shared" si="406"/>
        <v>46213</v>
      </c>
      <c r="H1551" s="28">
        <f t="shared" si="407"/>
        <v>46201</v>
      </c>
      <c r="I1551" s="28">
        <f t="shared" si="408"/>
        <v>46208</v>
      </c>
      <c r="J1551" s="28"/>
      <c r="K1551" s="1"/>
      <c r="L1551" s="1"/>
      <c r="M1551" s="1"/>
      <c r="N1551" s="1">
        <v>0</v>
      </c>
      <c r="O1551" s="1" t="s">
        <v>379</v>
      </c>
    </row>
    <row r="1552" spans="1:15" x14ac:dyDescent="0.25">
      <c r="A1552" s="80">
        <v>46193</v>
      </c>
      <c r="B1552" s="1" t="s">
        <v>338</v>
      </c>
      <c r="C1552" s="3" t="str">
        <f>VLOOKUP(B1552,'[4]Migrasi Bed'!$B$4:$E$521,4,0)</f>
        <v>ST.B016</v>
      </c>
      <c r="D1552" s="28">
        <f t="shared" si="403"/>
        <v>46216</v>
      </c>
      <c r="E1552" s="28">
        <f t="shared" si="404"/>
        <v>46200</v>
      </c>
      <c r="F1552" s="28">
        <f t="shared" si="405"/>
        <v>46207</v>
      </c>
      <c r="G1552" s="28">
        <f t="shared" si="406"/>
        <v>46213</v>
      </c>
      <c r="H1552" s="28">
        <f t="shared" si="407"/>
        <v>46201</v>
      </c>
      <c r="I1552" s="28">
        <f t="shared" si="408"/>
        <v>46208</v>
      </c>
      <c r="J1552" s="28"/>
      <c r="K1552" s="1"/>
      <c r="L1552" s="1"/>
      <c r="M1552" s="1"/>
      <c r="N1552" s="1">
        <v>0</v>
      </c>
      <c r="O1552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553:C1048576 A802:A1154 J1091:J1154 J1042:J1063 J1553:J1048576">
    <cfRule type="expression" dxfId="116" priority="123">
      <formula>$L716&gt;0</formula>
    </cfRule>
  </conditionalFormatting>
  <conditionalFormatting sqref="A579:B710 J610:J713">
    <cfRule type="expression" dxfId="115" priority="221">
      <formula>$L579&gt;0</formula>
    </cfRule>
  </conditionalFormatting>
  <conditionalFormatting sqref="A711:B715 J712:J715 J1042:J1051">
    <cfRule type="expression" dxfId="114" priority="225">
      <formula>$N715&gt;0</formula>
    </cfRule>
  </conditionalFormatting>
  <conditionalFormatting sqref="A716:B801">
    <cfRule type="expression" dxfId="113" priority="182">
      <formula>$L716&gt;0</formula>
    </cfRule>
  </conditionalFormatting>
  <conditionalFormatting sqref="A1035:I1040 J1034:J1041 A885:J1033 D1553:I1048576 C1064:J1154 A1042:J1063">
    <cfRule type="expression" dxfId="112" priority="122">
      <formula>$K885&gt;0</formula>
    </cfRule>
  </conditionalFormatting>
  <conditionalFormatting sqref="A1:C169 D349:I369 D370:J370 D373:K373 A373:C376 D374:I376 K374:K376 A381:K414 A416:I422 A463:I463 D483:I483 A483:C578">
    <cfRule type="expression" dxfId="111" priority="285">
      <formula>$L1&gt;0</formula>
    </cfRule>
  </conditionalFormatting>
  <conditionalFormatting sqref="A189:C370">
    <cfRule type="expression" dxfId="110" priority="273">
      <formula>$L189&gt;0</formula>
    </cfRule>
  </conditionalFormatting>
  <conditionalFormatting sqref="A415:I415 A423:I429 B430:I430 A430:A434 A431:K434 A435:I437 A438:K462 A464:K482">
    <cfRule type="expression" dxfId="109" priority="9108">
      <formula>#REF!&gt;0</formula>
    </cfRule>
  </conditionalFormatting>
  <conditionalFormatting sqref="A814:J884">
    <cfRule type="expression" dxfId="108" priority="173">
      <formula>$K814&gt;0</formula>
    </cfRule>
  </conditionalFormatting>
  <conditionalFormatting sqref="A371:K372 K372:K376 A377:K380">
    <cfRule type="expression" dxfId="107" priority="9106">
      <formula>#REF!&gt;0</formula>
    </cfRule>
  </conditionalFormatting>
  <conditionalFormatting sqref="B1123:B1154">
    <cfRule type="expression" dxfId="106" priority="121">
      <formula>$L1123&gt;0</formula>
    </cfRule>
  </conditionalFormatting>
  <conditionalFormatting sqref="B802:I802">
    <cfRule type="expression" dxfId="105" priority="185">
      <formula>$K802&gt;0</formula>
    </cfRule>
  </conditionalFormatting>
  <conditionalFormatting sqref="C579:I813 A803:B813">
    <cfRule type="expression" dxfId="104" priority="184">
      <formula>$K579&gt;0</formula>
    </cfRule>
  </conditionalFormatting>
  <conditionalFormatting sqref="A1063:A1118 B1064:B1118 A1119:B1119 B1120:B1122 A1120:A1154">
    <cfRule type="expression" dxfId="103" priority="124">
      <formula>$K1063&gt;0</formula>
    </cfRule>
  </conditionalFormatting>
  <conditionalFormatting sqref="D1:I169 A170:J188 D189:I348 D363:I578">
    <cfRule type="expression" dxfId="102" priority="288">
      <formula>$K1&gt;0</formula>
    </cfRule>
  </conditionalFormatting>
  <conditionalFormatting sqref="D484:K609">
    <cfRule type="expression" dxfId="101" priority="247">
      <formula>$L484&gt;0</formula>
    </cfRule>
  </conditionalFormatting>
  <conditionalFormatting sqref="J1:J247">
    <cfRule type="expression" dxfId="100" priority="277">
      <formula>$L1&gt;0</formula>
    </cfRule>
  </conditionalFormatting>
  <conditionalFormatting sqref="J248:J249">
    <cfRule type="expression" dxfId="99" priority="9071">
      <formula>$L247&gt;0</formula>
    </cfRule>
  </conditionalFormatting>
  <conditionalFormatting sqref="J250:J380">
    <cfRule type="expression" dxfId="98" priority="272">
      <formula>$L250&gt;0</formula>
    </cfRule>
  </conditionalFormatting>
  <conditionalFormatting sqref="J450:J578">
    <cfRule type="expression" dxfId="97" priority="248">
      <formula>$L450&gt;0</formula>
    </cfRule>
  </conditionalFormatting>
  <conditionalFormatting sqref="J723:J959">
    <cfRule type="expression" dxfId="96" priority="133">
      <formula>$N727&gt;0</formula>
    </cfRule>
  </conditionalFormatting>
  <conditionalFormatting sqref="J885:J1020">
    <cfRule type="expression" dxfId="95" priority="115">
      <formula>$K885&gt;0</formula>
    </cfRule>
  </conditionalFormatting>
  <conditionalFormatting sqref="J960">
    <cfRule type="expression" dxfId="94" priority="143">
      <formula>$N972&gt;0</formula>
    </cfRule>
  </conditionalFormatting>
  <conditionalFormatting sqref="J961:J1020">
    <cfRule type="expression" dxfId="93" priority="116">
      <formula>$N965&gt;0</formula>
    </cfRule>
  </conditionalFormatting>
  <conditionalFormatting sqref="J415:K450">
    <cfRule type="expression" dxfId="92" priority="265">
      <formula>$L415&gt;0</formula>
    </cfRule>
  </conditionalFormatting>
  <conditionalFormatting sqref="J456:K457">
    <cfRule type="expression" dxfId="91" priority="264">
      <formula>$L456&gt;0</formula>
    </cfRule>
  </conditionalFormatting>
  <conditionalFormatting sqref="J463:K463">
    <cfRule type="expression" dxfId="90" priority="253">
      <formula>#REF!&gt;0</formula>
    </cfRule>
  </conditionalFormatting>
  <conditionalFormatting sqref="J483:K489">
    <cfRule type="expression" dxfId="89" priority="252">
      <formula>#REF!&gt;0</formula>
    </cfRule>
  </conditionalFormatting>
  <conditionalFormatting sqref="J501:K501 J501:J504">
    <cfRule type="expression" dxfId="88" priority="251">
      <formula>#REF!&gt;0</formula>
    </cfRule>
  </conditionalFormatting>
  <conditionalFormatting sqref="K450:K456">
    <cfRule type="expression" dxfId="87" priority="267">
      <formula>$L450&gt;0</formula>
    </cfRule>
  </conditionalFormatting>
  <conditionalFormatting sqref="K458:K489">
    <cfRule type="expression" dxfId="86" priority="257">
      <formula>$L458&gt;0</formula>
    </cfRule>
  </conditionalFormatting>
  <conditionalFormatting sqref="K501">
    <cfRule type="expression" dxfId="85" priority="250">
      <formula>$L501&gt;0</formula>
    </cfRule>
  </conditionalFormatting>
  <conditionalFormatting sqref="K609:K628">
    <cfRule type="expression" dxfId="84" priority="236">
      <formula>$L609&gt;0</formula>
    </cfRule>
  </conditionalFormatting>
  <conditionalFormatting sqref="K636:K642">
    <cfRule type="expression" dxfId="83" priority="237">
      <formula>$L636&gt;0</formula>
    </cfRule>
  </conditionalFormatting>
  <conditionalFormatting sqref="J1021:J1027">
    <cfRule type="expression" dxfId="82" priority="112">
      <formula>$K1021&gt;0</formula>
    </cfRule>
  </conditionalFormatting>
  <conditionalFormatting sqref="J1021:J1027">
    <cfRule type="expression" dxfId="81" priority="113">
      <formula>$N1025&gt;0</formula>
    </cfRule>
  </conditionalFormatting>
  <conditionalFormatting sqref="J1063">
    <cfRule type="expression" dxfId="80" priority="108">
      <formula>$K1063&gt;0</formula>
    </cfRule>
  </conditionalFormatting>
  <conditionalFormatting sqref="J1063">
    <cfRule type="expression" dxfId="79" priority="109">
      <formula>$N1067&gt;0</formula>
    </cfRule>
  </conditionalFormatting>
  <conditionalFormatting sqref="A1041:I1041">
    <cfRule type="expression" dxfId="78" priority="9111">
      <formula>$K1034&gt;0</formula>
    </cfRule>
  </conditionalFormatting>
  <conditionalFormatting sqref="A1034:I1034">
    <cfRule type="expression" dxfId="77" priority="9112">
      <formula>#REF!&gt;0</formula>
    </cfRule>
  </conditionalFormatting>
  <conditionalFormatting sqref="J1028:J1041">
    <cfRule type="expression" dxfId="76" priority="9119">
      <formula>$L1035&gt;0</formula>
    </cfRule>
  </conditionalFormatting>
  <conditionalFormatting sqref="J1028:J1041">
    <cfRule type="expression" dxfId="75" priority="9123">
      <formula>$N1039&gt;0</formula>
    </cfRule>
  </conditionalFormatting>
  <conditionalFormatting sqref="J1064:J1065">
    <cfRule type="expression" dxfId="74" priority="106">
      <formula>$L1071&gt;0</formula>
    </cfRule>
  </conditionalFormatting>
  <conditionalFormatting sqref="J1064:J1065">
    <cfRule type="expression" dxfId="73" priority="107">
      <formula>$N1075&gt;0</formula>
    </cfRule>
  </conditionalFormatting>
  <conditionalFormatting sqref="J1082:J1086">
    <cfRule type="expression" dxfId="72" priority="104">
      <formula>$L1089&gt;0</formula>
    </cfRule>
  </conditionalFormatting>
  <conditionalFormatting sqref="J1082:J1086">
    <cfRule type="expression" dxfId="71" priority="105">
      <formula>$N1093&gt;0</formula>
    </cfRule>
  </conditionalFormatting>
  <conditionalFormatting sqref="J1070:J1078">
    <cfRule type="expression" dxfId="70" priority="102">
      <formula>$L1077&gt;0</formula>
    </cfRule>
  </conditionalFormatting>
  <conditionalFormatting sqref="J1070:J1078">
    <cfRule type="expression" dxfId="69" priority="103">
      <formula>$N1081&gt;0</formula>
    </cfRule>
  </conditionalFormatting>
  <conditionalFormatting sqref="J1079:J1086">
    <cfRule type="expression" dxfId="68" priority="100">
      <formula>$L1086&gt;0</formula>
    </cfRule>
  </conditionalFormatting>
  <conditionalFormatting sqref="J1079:J1086">
    <cfRule type="expression" dxfId="67" priority="101">
      <formula>$N1090&gt;0</formula>
    </cfRule>
  </conditionalFormatting>
  <conditionalFormatting sqref="J1066:J1069">
    <cfRule type="expression" dxfId="66" priority="98">
      <formula>$L1073&gt;0</formula>
    </cfRule>
  </conditionalFormatting>
  <conditionalFormatting sqref="J1066:J1069">
    <cfRule type="expression" dxfId="65" priority="99">
      <formula>$N1077&gt;0</formula>
    </cfRule>
  </conditionalFormatting>
  <conditionalFormatting sqref="J1087:J1090">
    <cfRule type="expression" dxfId="64" priority="96">
      <formula>$L1094&gt;0</formula>
    </cfRule>
  </conditionalFormatting>
  <conditionalFormatting sqref="J1087:J1090">
    <cfRule type="expression" dxfId="63" priority="97">
      <formula>$N1098&gt;0</formula>
    </cfRule>
  </conditionalFormatting>
  <conditionalFormatting sqref="J1052:J1062">
    <cfRule type="expression" dxfId="62" priority="95">
      <formula>$N1056&gt;0</formula>
    </cfRule>
  </conditionalFormatting>
  <conditionalFormatting sqref="J1091:J1111">
    <cfRule type="expression" dxfId="61" priority="94">
      <formula>$N1095&gt;0</formula>
    </cfRule>
  </conditionalFormatting>
  <conditionalFormatting sqref="J1112:J1154">
    <cfRule type="expression" dxfId="60" priority="92">
      <formula>$N1116&gt;0</formula>
    </cfRule>
  </conditionalFormatting>
  <conditionalFormatting sqref="A1155:A1198">
    <cfRule type="expression" dxfId="59" priority="58">
      <formula>$L1155&gt;0</formula>
    </cfRule>
  </conditionalFormatting>
  <conditionalFormatting sqref="A1155:A1259">
    <cfRule type="expression" dxfId="58" priority="52">
      <formula>$K1155&gt;0</formula>
    </cfRule>
  </conditionalFormatting>
  <conditionalFormatting sqref="A1199:B1259">
    <cfRule type="expression" dxfId="57" priority="50">
      <formula>$L1199&gt;0</formula>
    </cfRule>
  </conditionalFormatting>
  <conditionalFormatting sqref="B1155:B1198">
    <cfRule type="expression" dxfId="56" priority="57">
      <formula>$L1155&gt;0</formula>
    </cfRule>
  </conditionalFormatting>
  <conditionalFormatting sqref="C1155:C1259">
    <cfRule type="expression" dxfId="55" priority="53">
      <formula>$K1155&gt;0</formula>
    </cfRule>
  </conditionalFormatting>
  <conditionalFormatting sqref="D1155:I1259">
    <cfRule type="expression" dxfId="54" priority="59">
      <formula>$K1155&gt;0</formula>
    </cfRule>
  </conditionalFormatting>
  <conditionalFormatting sqref="D1155:I1198">
    <cfRule type="expression" dxfId="53" priority="56">
      <formula>$K1155&gt;0</formula>
    </cfRule>
  </conditionalFormatting>
  <conditionalFormatting sqref="D1199:J1259">
    <cfRule type="expression" dxfId="52" priority="49">
      <formula>$K1199&gt;0</formula>
    </cfRule>
  </conditionalFormatting>
  <conditionalFormatting sqref="J1155:J1259">
    <cfRule type="expression" dxfId="51" priority="51">
      <formula>$L1155&gt;0</formula>
    </cfRule>
  </conditionalFormatting>
  <conditionalFormatting sqref="J1155:J1198">
    <cfRule type="expression" dxfId="50" priority="54">
      <formula>$K1155&gt;0</formula>
    </cfRule>
  </conditionalFormatting>
  <conditionalFormatting sqref="J1155:J1259">
    <cfRule type="expression" dxfId="49" priority="55">
      <formula>$N1159&gt;0</formula>
    </cfRule>
  </conditionalFormatting>
  <conditionalFormatting sqref="A1260:A1377">
    <cfRule type="expression" dxfId="48" priority="40">
      <formula>$K1260&gt;0</formula>
    </cfRule>
  </conditionalFormatting>
  <conditionalFormatting sqref="J1290:J1377">
    <cfRule type="expression" dxfId="46" priority="45">
      <formula>$N1294&gt;0</formula>
    </cfRule>
  </conditionalFormatting>
  <conditionalFormatting sqref="A1260:B1377">
    <cfRule type="expression" dxfId="45" priority="38">
      <formula>$L1260&gt;0</formula>
    </cfRule>
  </conditionalFormatting>
  <conditionalFormatting sqref="C1260:C1377">
    <cfRule type="expression" dxfId="44" priority="41">
      <formula>$K1260&gt;0</formula>
    </cfRule>
  </conditionalFormatting>
  <conditionalFormatting sqref="D1260:I1377">
    <cfRule type="expression" dxfId="43" priority="43">
      <formula>$K1260&gt;0</formula>
    </cfRule>
  </conditionalFormatting>
  <conditionalFormatting sqref="D1260:J1377">
    <cfRule type="expression" dxfId="42" priority="37">
      <formula>$K1260&gt;0</formula>
    </cfRule>
  </conditionalFormatting>
  <conditionalFormatting sqref="J1260:J1377">
    <cfRule type="expression" dxfId="41" priority="39">
      <formula>$L1260&gt;0</formula>
    </cfRule>
  </conditionalFormatting>
  <conditionalFormatting sqref="J1260:J1289">
    <cfRule type="expression" dxfId="40" priority="42">
      <formula>$N1264&gt;0</formula>
    </cfRule>
  </conditionalFormatting>
  <conditionalFormatting sqref="J1286">
    <cfRule type="expression" dxfId="39" priority="47">
      <formula>#REF!&gt;0</formula>
    </cfRule>
  </conditionalFormatting>
  <conditionalFormatting sqref="J1287:J1289">
    <cfRule type="expression" dxfId="38" priority="46">
      <formula>$N1290&gt;0</formula>
    </cfRule>
  </conditionalFormatting>
  <conditionalFormatting sqref="A1378:A1495">
    <cfRule type="expression" dxfId="26" priority="23">
      <formula>$K1378&gt;0</formula>
    </cfRule>
  </conditionalFormatting>
  <conditionalFormatting sqref="A1469:J1495 A1519:A1524 C1518:J1524 A1526:A1552 C1526:J1552">
    <cfRule type="expression" dxfId="25" priority="25">
      <formula>$K1469&gt;0</formula>
    </cfRule>
  </conditionalFormatting>
  <conditionalFormatting sqref="A1378:A1495 B1378:B1488">
    <cfRule type="expression" dxfId="24" priority="22">
      <formula>$L1378&gt;0</formula>
    </cfRule>
  </conditionalFormatting>
  <conditionalFormatting sqref="C1378:C1495">
    <cfRule type="expression" dxfId="23" priority="24">
      <formula>$K1378&gt;0</formula>
    </cfRule>
  </conditionalFormatting>
  <conditionalFormatting sqref="D1378:J1495">
    <cfRule type="expression" dxfId="22" priority="21">
      <formula>$K1378&gt;0</formula>
    </cfRule>
  </conditionalFormatting>
  <conditionalFormatting sqref="J1378:J1495">
    <cfRule type="expression" dxfId="21" priority="18">
      <formula>$L1378&gt;0</formula>
    </cfRule>
  </conditionalFormatting>
  <conditionalFormatting sqref="J1378:J1412">
    <cfRule type="expression" dxfId="20" priority="19">
      <formula>$N1382&gt;0</formula>
    </cfRule>
  </conditionalFormatting>
  <conditionalFormatting sqref="J1413">
    <cfRule type="expression" dxfId="19" priority="27">
      <formula>#REF!&gt;0</formula>
    </cfRule>
  </conditionalFormatting>
  <conditionalFormatting sqref="J1414:J1416">
    <cfRule type="expression" dxfId="18" priority="26">
      <formula>$N1417&gt;0</formula>
    </cfRule>
  </conditionalFormatting>
  <conditionalFormatting sqref="J1417:J1495">
    <cfRule type="expression" dxfId="17" priority="20">
      <formula>$N1421&gt;0</formula>
    </cfRule>
  </conditionalFormatting>
  <conditionalFormatting sqref="A1497 C1497:J1497 A1498:J1524">
    <cfRule type="expression" dxfId="16" priority="17">
      <formula>$K1497&gt;0</formula>
    </cfRule>
  </conditionalFormatting>
  <conditionalFormatting sqref="J1496:J1524">
    <cfRule type="expression" dxfId="15" priority="16">
      <formula>$L1496&gt;0</formula>
    </cfRule>
  </conditionalFormatting>
  <conditionalFormatting sqref="A1496:J1496 B1497 A1497:A1524 C1497:J1524">
    <cfRule type="expression" dxfId="14" priority="14">
      <formula>$K1496&gt;0</formula>
    </cfRule>
  </conditionalFormatting>
  <conditionalFormatting sqref="A1496:A1524">
    <cfRule type="expression" dxfId="13" priority="13">
      <formula>$L1496&gt;0</formula>
    </cfRule>
  </conditionalFormatting>
  <conditionalFormatting sqref="C1496:C1524">
    <cfRule type="expression" dxfId="12" priority="15">
      <formula>$K1496&gt;0</formula>
    </cfRule>
  </conditionalFormatting>
  <conditionalFormatting sqref="D1496:J1524">
    <cfRule type="expression" dxfId="11" priority="12">
      <formula>$K1496&gt;0</formula>
    </cfRule>
  </conditionalFormatting>
  <conditionalFormatting sqref="J1496:J1524">
    <cfRule type="expression" dxfId="10" priority="11">
      <formula>$N1500&gt;0</formula>
    </cfRule>
  </conditionalFormatting>
  <conditionalFormatting sqref="A1525:A1552 C1525:J1552">
    <cfRule type="expression" dxfId="9" priority="10">
      <formula>$K1525&gt;0</formula>
    </cfRule>
  </conditionalFormatting>
  <conditionalFormatting sqref="A1525:J1525 B1526:B1527 A1526:A1552 C1526:J1552">
    <cfRule type="expression" dxfId="8" priority="9">
      <formula>$K1525&gt;0</formula>
    </cfRule>
  </conditionalFormatting>
  <conditionalFormatting sqref="J1525:J1552">
    <cfRule type="expression" dxfId="7" priority="8">
      <formula>$L1525&gt;0</formula>
    </cfRule>
  </conditionalFormatting>
  <conditionalFormatting sqref="A1525:A1552 C1525:J1552">
    <cfRule type="expression" dxfId="6" priority="6">
      <formula>$K1525&gt;0</formula>
    </cfRule>
  </conditionalFormatting>
  <conditionalFormatting sqref="A1525:A1552">
    <cfRule type="expression" dxfId="5" priority="5">
      <formula>$L1525&gt;0</formula>
    </cfRule>
  </conditionalFormatting>
  <conditionalFormatting sqref="C1525:C1552">
    <cfRule type="expression" dxfId="4" priority="7">
      <formula>$K1525&gt;0</formula>
    </cfRule>
  </conditionalFormatting>
  <conditionalFormatting sqref="D1525:J1552">
    <cfRule type="expression" dxfId="3" priority="4">
      <formula>$K1525&gt;0</formula>
    </cfRule>
  </conditionalFormatting>
  <conditionalFormatting sqref="J1525:J1552">
    <cfRule type="expression" dxfId="2" priority="3">
      <formula>$N1529&gt;0</formula>
    </cfRule>
  </conditionalFormatting>
  <conditionalFormatting sqref="B1528:B1545">
    <cfRule type="expression" dxfId="1" priority="2">
      <formula>$K1528&gt;0</formula>
    </cfRule>
  </conditionalFormatting>
  <conditionalFormatting sqref="B1546:B1552">
    <cfRule type="expression" dxfId="0" priority="1">
      <formula>$K1546&gt;0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8" t="s">
        <v>631</v>
      </c>
      <c r="C2" s="78"/>
      <c r="D2" s="78"/>
      <c r="E2" s="78"/>
      <c r="F2" s="30">
        <f ca="1">TODAY()</f>
        <v>46194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9" t="s">
        <v>1234</v>
      </c>
      <c r="J3" s="79"/>
      <c r="K3" s="79"/>
      <c r="L3" s="79"/>
      <c r="N3" s="79" t="s">
        <v>1234</v>
      </c>
      <c r="O3" s="79"/>
      <c r="P3" s="79"/>
      <c r="Q3" s="79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311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311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330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330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330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330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330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327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327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327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327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327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292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292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292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292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292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292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292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292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219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219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219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219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206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206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206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391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391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391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391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391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391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391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388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388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388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388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388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388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388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205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205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204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204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203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203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202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202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201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201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199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199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198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198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198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197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197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197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196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196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195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195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194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186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185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185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184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183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182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180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180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179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178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177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176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176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174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173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194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194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193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193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193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191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191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191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168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168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166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166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163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163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162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162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162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162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162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162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162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162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162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346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346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346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346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346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346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346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346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338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338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338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338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338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338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338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338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338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338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338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353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353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353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353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353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353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353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350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350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350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350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350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350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350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346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346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346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346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346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359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359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359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359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359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359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359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359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359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359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359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359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359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359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359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359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359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322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322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290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290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290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290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290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290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290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290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290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290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323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323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323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323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323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323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323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323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323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323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70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70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70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69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69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69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69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69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69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69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49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49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49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49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49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49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49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48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48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48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48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48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48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48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47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47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47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47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47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47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47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256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256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256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273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273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273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273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289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289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289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289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289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307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307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307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307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344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344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344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371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243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243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158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158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396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396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396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396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396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394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394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394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394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394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394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394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398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398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402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402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402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402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311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51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51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51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51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50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50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50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50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50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50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59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64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64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64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59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59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59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56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56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56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68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68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68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131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131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133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133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133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133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136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136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136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46194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46194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46194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46194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46194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46194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46194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46194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46194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129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129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28" priority="2">
      <formula>LEN(TRIM(D6))=0</formula>
    </cfRule>
  </conditionalFormatting>
  <conditionalFormatting sqref="E292:E293">
    <cfRule type="containsBlanks" dxfId="27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2026-06-21T03:54:40Z</dcterms:modified>
</cp:coreProperties>
</file>