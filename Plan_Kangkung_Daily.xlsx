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F16ECE5A-CF4B-478E-8365-C1DFDCE0AC57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88" i="3" l="1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I993" i="3"/>
  <c r="H993" i="3"/>
  <c r="G993" i="3"/>
  <c r="F993" i="3"/>
  <c r="E993" i="3"/>
  <c r="D993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I986" i="3"/>
  <c r="H986" i="3"/>
  <c r="G986" i="3"/>
  <c r="F986" i="3"/>
  <c r="E986" i="3"/>
  <c r="D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<sst xmlns="http://schemas.openxmlformats.org/spreadsheetml/2006/main" count="8459" uniqueCount="1381">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</sst>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7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46131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144</v>
      </c>
      <c r="R6" s="25">
        <f t="shared" ca="1" si="0"/>
        <v>144</v>
      </c>
      <c r="S6" s="25">
        <f t="shared" ca="1" si="0"/>
        <v>144</v>
      </c>
      <c r="T6" s="25">
        <f t="shared" ca="1" si="0"/>
        <v>144</v>
      </c>
      <c r="U6" s="25">
        <f t="shared" ca="1" si="0"/>
        <v>145</v>
      </c>
      <c r="V6" s="25">
        <f ca="1">IF(V7="","",$B$1-V7)</f>
        <v>145</v>
      </c>
      <c r="W6" s="25">
        <f ca="1">IF(W7="","",$B$1-W7)</f>
        <v>145</v>
      </c>
      <c r="X6" s="25">
        <f ca="1">IF(X7="","",$B$1-X7)</f>
        <v>145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149</v>
      </c>
      <c r="D10" s="25">
        <f t="shared" ca="1" si="1"/>
        <v>149</v>
      </c>
      <c r="E10" s="25">
        <f t="shared" ca="1" si="1"/>
        <v>149</v>
      </c>
      <c r="F10" s="25">
        <f t="shared" ca="1" si="1"/>
        <v>149</v>
      </c>
      <c r="G10" s="25">
        <f t="shared" ca="1" si="1"/>
        <v>149</v>
      </c>
      <c r="H10" s="25">
        <f t="shared" ca="1" si="1"/>
        <v>149</v>
      </c>
      <c r="J10" s="25">
        <f t="shared" ref="J10:P10" ca="1" si="2">IF(J11="","",$B$1-J11)</f>
        <v>149</v>
      </c>
      <c r="K10" s="25">
        <f t="shared" ca="1" si="2"/>
        <v>147</v>
      </c>
      <c r="L10" s="25">
        <f t="shared" ca="1" si="2"/>
        <v>147</v>
      </c>
      <c r="M10" s="25">
        <f t="shared" ca="1" si="2"/>
        <v>147</v>
      </c>
      <c r="N10" s="25">
        <f t="shared" ca="1" si="2"/>
        <v>147</v>
      </c>
      <c r="O10" s="25">
        <f t="shared" ca="1" si="2"/>
        <v>147</v>
      </c>
      <c r="P10" s="25">
        <f t="shared" ca="1" si="2"/>
        <v>147</v>
      </c>
      <c r="R10" s="25">
        <f t="shared" ref="R10:W10" ca="1" si="3">IF(R11="","",$B$1-R11)</f>
        <v>147</v>
      </c>
      <c r="S10" s="25">
        <f t="shared" ca="1" si="3"/>
        <v>146</v>
      </c>
      <c r="T10" s="25">
        <f t="shared" ca="1" si="3"/>
        <v>146</v>
      </c>
      <c r="U10" s="25">
        <f t="shared" ca="1" si="3"/>
        <v>145</v>
      </c>
      <c r="V10" s="25">
        <f t="shared" ca="1" si="3"/>
        <v>145</v>
      </c>
      <c r="W10" s="25">
        <f t="shared" ca="1" si="3"/>
        <v>145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150</v>
      </c>
      <c r="D14" s="25">
        <f t="shared" ca="1" si="4"/>
        <v>150</v>
      </c>
      <c r="E14" s="25">
        <f t="shared" ca="1" si="4"/>
        <v>150</v>
      </c>
      <c r="F14" s="25">
        <f t="shared" ca="1" si="4"/>
        <v>150</v>
      </c>
      <c r="G14" s="25">
        <f t="shared" ca="1" si="4"/>
        <v>150</v>
      </c>
      <c r="H14" s="25">
        <f t="shared" ca="1" si="4"/>
        <v>150</v>
      </c>
      <c r="J14" s="25">
        <f t="shared" ref="J14:P14" ca="1" si="5">IF(J15="","",$B$1-J15)</f>
        <v>150</v>
      </c>
      <c r="K14" s="25">
        <f t="shared" ca="1" si="5"/>
        <v>148</v>
      </c>
      <c r="L14" s="25">
        <f t="shared" ca="1" si="5"/>
        <v>148</v>
      </c>
      <c r="M14" s="25">
        <f t="shared" ca="1" si="5"/>
        <v>148</v>
      </c>
      <c r="N14" s="25">
        <f t="shared" ca="1" si="5"/>
        <v>148</v>
      </c>
      <c r="O14" s="25">
        <f t="shared" ca="1" si="5"/>
        <v>148</v>
      </c>
      <c r="P14" s="25">
        <f t="shared" ca="1" si="5"/>
        <v>148</v>
      </c>
      <c r="R14" s="25">
        <f t="shared" ref="R14:W14" ca="1" si="6">IF(R15="","",$B$1-R15)</f>
        <v>148</v>
      </c>
      <c r="S14" s="25">
        <f t="shared" ca="1" si="6"/>
        <v>146</v>
      </c>
      <c r="T14" s="25">
        <f t="shared" ca="1" si="6"/>
        <v>146</v>
      </c>
      <c r="U14" s="25">
        <f t="shared" ca="1" si="6"/>
        <v>146</v>
      </c>
      <c r="V14" s="25">
        <f t="shared" ca="1" si="6"/>
        <v>146</v>
      </c>
      <c r="W14" s="25">
        <f t="shared" ca="1" si="6"/>
        <v>146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84</v>
      </c>
      <c r="D24" s="25">
        <f t="shared" ca="1" si="7"/>
        <v>84</v>
      </c>
      <c r="E24" s="25">
        <f t="shared" ca="1" si="7"/>
        <v>84</v>
      </c>
      <c r="F24" s="25">
        <f t="shared" ca="1" si="7"/>
        <v>84</v>
      </c>
      <c r="G24" s="25">
        <f t="shared" ca="1" si="7"/>
        <v>84</v>
      </c>
      <c r="H24" s="25">
        <f t="shared" ca="1" si="7"/>
        <v>84</v>
      </c>
      <c r="J24" s="25">
        <f ca="1">IF(J25="","",$B$1-J25)</f>
        <v>84</v>
      </c>
      <c r="K24" s="25">
        <f t="shared" ref="K24:AI24" ca="1" si="8">IF(K25="","",$B$1-K25)</f>
        <v>80</v>
      </c>
      <c r="L24" s="25">
        <f t="shared" ca="1" si="8"/>
        <v>80</v>
      </c>
      <c r="M24" s="25">
        <f t="shared" ca="1" si="8"/>
        <v>80</v>
      </c>
      <c r="N24" s="25">
        <f t="shared" ca="1" si="8"/>
        <v>80</v>
      </c>
      <c r="O24" s="25">
        <f t="shared" ca="1" si="8"/>
        <v>80</v>
      </c>
      <c r="P24" s="25">
        <f t="shared" ca="1" si="8"/>
        <v>80</v>
      </c>
      <c r="R24" s="25">
        <f t="shared" ca="1" si="8"/>
        <v>80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85</v>
      </c>
      <c r="L28" s="25">
        <f t="shared" ca="1" si="10"/>
        <v>85</v>
      </c>
      <c r="M28" s="25">
        <f t="shared" ca="1" si="10"/>
        <v>85</v>
      </c>
      <c r="N28" s="25">
        <f t="shared" ca="1" si="10"/>
        <v>85</v>
      </c>
      <c r="O28" s="25">
        <f t="shared" ca="1" si="10"/>
        <v>85</v>
      </c>
      <c r="P28" s="25">
        <f t="shared" ca="1" si="10"/>
        <v>85</v>
      </c>
      <c r="R28" s="25">
        <f t="shared" ref="R28:X28" ca="1" si="11">IF(R29="","",$B$1-R29)</f>
        <v>85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159</v>
      </c>
      <c r="D41" s="25">
        <f t="shared" ca="1" si="13"/>
        <v>159</v>
      </c>
      <c r="E41" s="25">
        <f t="shared" ca="1" si="13"/>
        <v>159</v>
      </c>
      <c r="F41" s="25">
        <f t="shared" ca="1" si="13"/>
        <v>159</v>
      </c>
      <c r="G41" s="25">
        <f t="shared" ca="1" si="13"/>
        <v>158</v>
      </c>
      <c r="H41" s="25">
        <f t="shared" ca="1" si="13"/>
        <v>158</v>
      </c>
      <c r="J41" s="25">
        <f t="shared" ca="1" si="13"/>
        <v>158</v>
      </c>
      <c r="K41" s="25">
        <f t="shared" ca="1" si="13"/>
        <v>158</v>
      </c>
      <c r="L41" s="25">
        <f t="shared" ca="1" si="13"/>
        <v>158</v>
      </c>
      <c r="M41" s="25">
        <f t="shared" ca="1" si="13"/>
        <v>158</v>
      </c>
      <c r="N41" s="25">
        <f t="shared" ca="1" si="13"/>
        <v>158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161</v>
      </c>
      <c r="D45" s="25">
        <f ca="1">IF(D46="","",$B$1-D46)</f>
        <v>161</v>
      </c>
      <c r="E45" s="25">
        <f ca="1">IF(E46="","",$B$1-E46)</f>
        <v>160</v>
      </c>
      <c r="F45" s="25">
        <f ca="1">IF(F46="","",$B$1-F46)</f>
        <v>160</v>
      </c>
      <c r="H45" s="25">
        <f ca="1">IF(H46="","",$B$1-H46)</f>
        <v>160</v>
      </c>
      <c r="J45" s="25">
        <f t="shared" ref="J45:P45" ca="1" si="14">IF(J46="","",$B$1-J46)</f>
        <v>160</v>
      </c>
      <c r="K45" s="25">
        <f t="shared" ca="1" si="14"/>
        <v>160</v>
      </c>
      <c r="L45" s="25">
        <f t="shared" ca="1" si="14"/>
        <v>160</v>
      </c>
      <c r="M45" s="25">
        <f t="shared" ca="1" si="14"/>
        <v>160</v>
      </c>
      <c r="N45" s="25">
        <f t="shared" ca="1" si="14"/>
        <v>159</v>
      </c>
      <c r="O45" s="25">
        <f t="shared" ca="1" si="14"/>
        <v>159</v>
      </c>
      <c r="P45" s="25">
        <f t="shared" ca="1" si="14"/>
        <v>159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162</v>
      </c>
      <c r="D49" s="25">
        <f ca="1">IF(D50="","",$B$1-D50)</f>
        <v>162</v>
      </c>
      <c r="E49" s="25">
        <f ca="1">IF(E50="","",$B$1-E50)</f>
        <v>162</v>
      </c>
      <c r="F49" s="25">
        <f ca="1">IF(F50="","",$B$1-F50)</f>
        <v>162</v>
      </c>
      <c r="H49" s="25">
        <f ca="1">IF(H50="","",$B$1-H50)</f>
        <v>162</v>
      </c>
      <c r="J49" s="25">
        <f t="shared" ref="J49:P49" ca="1" si="15">IF(J50="","",$B$1-J50)</f>
        <v>162</v>
      </c>
      <c r="K49" s="25">
        <f t="shared" ca="1" si="15"/>
        <v>162</v>
      </c>
      <c r="L49" s="25">
        <f t="shared" ca="1" si="15"/>
        <v>161</v>
      </c>
      <c r="M49" s="25">
        <f t="shared" ca="1" si="15"/>
        <v>161</v>
      </c>
      <c r="N49" s="25">
        <f t="shared" ca="1" si="15"/>
        <v>161</v>
      </c>
      <c r="O49" s="25">
        <f t="shared" ca="1" si="15"/>
        <v>161</v>
      </c>
      <c r="P49" s="25">
        <f t="shared" ca="1" si="15"/>
        <v>161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154</v>
      </c>
      <c r="D58" s="25">
        <f t="shared" ca="1" si="16"/>
        <v>154</v>
      </c>
      <c r="E58" s="25">
        <f t="shared" ca="1" si="16"/>
        <v>154</v>
      </c>
      <c r="F58" s="25">
        <f t="shared" ca="1" si="16"/>
        <v>154</v>
      </c>
      <c r="G58" s="25">
        <f t="shared" ca="1" si="16"/>
        <v>154</v>
      </c>
      <c r="H58" s="25">
        <f t="shared" ca="1" si="16"/>
        <v>154</v>
      </c>
      <c r="J58" s="25">
        <f t="shared" ref="J58:P58" ca="1" si="17">IF(J59="","",$B$1-J59)</f>
        <v>154</v>
      </c>
      <c r="K58" s="25">
        <f t="shared" ca="1" si="17"/>
        <v>153</v>
      </c>
      <c r="L58" s="25">
        <f t="shared" ca="1" si="17"/>
        <v>153</v>
      </c>
      <c r="M58" s="25">
        <f t="shared" ca="1" si="17"/>
        <v>153</v>
      </c>
      <c r="N58" s="25">
        <f t="shared" ca="1" si="17"/>
        <v>153</v>
      </c>
      <c r="O58" s="25">
        <f t="shared" ca="1" si="17"/>
        <v>153</v>
      </c>
      <c r="P58" s="25">
        <f t="shared" ca="1" si="17"/>
        <v>153</v>
      </c>
      <c r="R58" s="25">
        <f t="shared" ref="R58:X58" ca="1" si="18">IF(R59="","",$B$1-R59)</f>
        <v>153</v>
      </c>
      <c r="S58" s="25">
        <f t="shared" ca="1" si="18"/>
        <v>152</v>
      </c>
      <c r="T58" s="25">
        <f t="shared" ca="1" si="18"/>
        <v>152</v>
      </c>
      <c r="U58" s="25">
        <f t="shared" ca="1" si="18"/>
        <v>152</v>
      </c>
      <c r="V58" s="25">
        <f t="shared" ca="1" si="18"/>
        <v>152</v>
      </c>
      <c r="W58" s="25">
        <f t="shared" ca="1" si="18"/>
        <v>152</v>
      </c>
      <c r="X58" s="25">
        <f t="shared" ca="1" si="18"/>
        <v>152</v>
      </c>
      <c r="Z58" s="25">
        <f ca="1">IF(Z59="","",$B$1-Z59)</f>
        <v>152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155</v>
      </c>
      <c r="E62" s="25">
        <f t="shared" ca="1" si="19"/>
        <v>155</v>
      </c>
      <c r="F62" s="25">
        <f t="shared" ca="1" si="19"/>
        <v>155</v>
      </c>
      <c r="G62" s="25">
        <f t="shared" ca="1" si="19"/>
        <v>155</v>
      </c>
      <c r="H62" s="25">
        <f t="shared" ca="1" si="19"/>
        <v>155</v>
      </c>
      <c r="J62" s="25">
        <f t="shared" ref="J62:P62" ca="1" si="20">IF(J63="","",$B$1-J63)</f>
        <v>155</v>
      </c>
      <c r="K62" s="25">
        <f t="shared" ca="1" si="20"/>
        <v>155</v>
      </c>
      <c r="L62" s="25">
        <f t="shared" ca="1" si="20"/>
        <v>155</v>
      </c>
      <c r="M62" s="25">
        <f t="shared" ca="1" si="20"/>
        <v>156</v>
      </c>
      <c r="N62" s="25">
        <f t="shared" ca="1" si="20"/>
        <v>156</v>
      </c>
      <c r="O62" s="25">
        <f t="shared" ca="1" si="20"/>
        <v>156</v>
      </c>
      <c r="P62" s="25">
        <f t="shared" ca="1" si="20"/>
        <v>156</v>
      </c>
      <c r="R62" s="25">
        <f t="shared" ref="R62:X62" ca="1" si="21">IF(R63="","",$B$1-R63)</f>
        <v>156</v>
      </c>
      <c r="S62" s="25">
        <f t="shared" ca="1" si="21"/>
        <v>156</v>
      </c>
      <c r="T62" s="25">
        <f t="shared" ca="1" si="21"/>
        <v>156</v>
      </c>
      <c r="U62" s="25">
        <f t="shared" ca="1" si="21"/>
        <v>157</v>
      </c>
      <c r="V62" s="25">
        <f t="shared" ca="1" si="21"/>
        <v>157</v>
      </c>
      <c r="W62" s="25">
        <f t="shared" ca="1" si="21"/>
        <v>157</v>
      </c>
      <c r="X62" s="25">
        <f t="shared" ca="1" si="21"/>
        <v>157</v>
      </c>
      <c r="Z62" s="25">
        <f ca="1">IF(Z63="","",$B$1-Z63)</f>
        <v>157</v>
      </c>
      <c r="AA62" s="25">
        <f ca="1">IF(AA63="","",$B$1-AA63)</f>
        <v>157</v>
      </c>
      <c r="AB62" s="25">
        <f ca="1">IF(AB63="","",$B$1-AB63)</f>
        <v>157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140</v>
      </c>
      <c r="D71" s="25">
        <f t="shared" ca="1" si="22"/>
        <v>140</v>
      </c>
      <c r="E71" s="25">
        <f t="shared" ca="1" si="22"/>
        <v>140</v>
      </c>
      <c r="F71" s="25">
        <f t="shared" ca="1" si="22"/>
        <v>141</v>
      </c>
      <c r="G71" s="25">
        <f t="shared" ca="1" si="22"/>
        <v>141</v>
      </c>
      <c r="H71" s="25">
        <f t="shared" ca="1" si="22"/>
        <v>141</v>
      </c>
      <c r="J71" s="25">
        <f ca="1">IF(J72="","",$B$1-J72)</f>
        <v>141</v>
      </c>
      <c r="K71" s="25">
        <f t="shared" ref="K71:P71" ca="1" si="23">IF(K72="","",$B$1-K72)</f>
        <v>141</v>
      </c>
      <c r="L71" s="25">
        <f t="shared" ca="1" si="23"/>
        <v>141</v>
      </c>
      <c r="M71" s="25">
        <f t="shared" ca="1" si="23"/>
        <v>141</v>
      </c>
      <c r="N71" s="25">
        <f t="shared" ca="1" si="23"/>
        <v>142</v>
      </c>
      <c r="O71" s="25">
        <f t="shared" ca="1" si="23"/>
        <v>142</v>
      </c>
      <c r="P71" s="25">
        <f t="shared" ca="1" si="23"/>
        <v>142</v>
      </c>
      <c r="R71" s="25">
        <f t="shared" ref="R71:X71" ca="1" si="24">IF(R72="","",$B$1-R72)</f>
        <v>142</v>
      </c>
      <c r="S71" s="25">
        <f t="shared" ca="1" si="24"/>
        <v>142</v>
      </c>
      <c r="T71" s="25">
        <f t="shared" ca="1" si="24"/>
        <v>142</v>
      </c>
      <c r="U71" s="25">
        <f t="shared" ca="1" si="24"/>
        <v>142</v>
      </c>
      <c r="V71" s="25">
        <f t="shared" ca="1" si="24"/>
        <v>143</v>
      </c>
      <c r="W71" s="25">
        <f t="shared" ca="1" si="24"/>
        <v>143</v>
      </c>
      <c r="X71" s="25">
        <f t="shared" ca="1" si="24"/>
        <v>143</v>
      </c>
      <c r="Z71" s="25">
        <f ca="1">IF(Z72="","",$B$1-Z72)</f>
        <v>143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69" priority="129">
      <formula>LEN(TRIM(C72))=0</formula>
    </cfRule>
    <cfRule type="notContainsBlanks" dxfId="1268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67" priority="95">
      <formula>LEN(TRIM(C42))=0</formula>
    </cfRule>
    <cfRule type="notContainsBlanks" dxfId="1266" priority="98">
      <formula>LEN(TRIM(C42))&gt;0</formula>
    </cfRule>
    <cfRule type="notContainsBlanks" dxfId="1265" priority="96">
      <formula>LEN(TRIM(C42))&gt;0</formula>
    </cfRule>
    <cfRule type="containsBlanks" dxfId="1264" priority="97">
      <formula>LEN(TRIM(C42))=0</formula>
    </cfRule>
  </conditionalFormatting>
  <conditionalFormatting sqref="C46:F46">
    <cfRule type="notContainsBlanks" dxfId="1263" priority="110">
      <formula>LEN(TRIM(C46))&gt;0</formula>
    </cfRule>
    <cfRule type="containsBlanks" dxfId="1262" priority="109">
      <formula>LEN(TRIM(C46))=0</formula>
    </cfRule>
  </conditionalFormatting>
  <conditionalFormatting sqref="C50:F50">
    <cfRule type="notContainsBlanks" dxfId="1261" priority="250">
      <formula>LEN(TRIM(C50))&gt;0</formula>
    </cfRule>
    <cfRule type="containsBlanks" dxfId="1260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59" priority="197">
      <formula>LEN(TRIM(C7))&gt;0</formula>
    </cfRule>
    <cfRule type="containsBlanks" dxfId="1258" priority="196">
      <formula>LEN(TRIM(C7))=0</formula>
    </cfRule>
  </conditionalFormatting>
  <conditionalFormatting sqref="C11:H11">
    <cfRule type="containsBlanks" dxfId="1257" priority="242">
      <formula>LEN(TRIM(C11))=0</formula>
    </cfRule>
    <cfRule type="notContainsBlanks" dxfId="1256" priority="243">
      <formula>LEN(TRIM(C11))&gt;0</formula>
    </cfRule>
  </conditionalFormatting>
  <conditionalFormatting sqref="C15:H15">
    <cfRule type="notContainsBlanks" dxfId="1255" priority="62">
      <formula>LEN(TRIM(C15))&gt;0</formula>
    </cfRule>
    <cfRule type="containsBlanks" dxfId="1254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53" priority="3">
      <formula>LEN(TRIM(C25))=0</formula>
    </cfRule>
    <cfRule type="notContainsBlanks" dxfId="1252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51" priority="64">
      <formula>LEN(TRIM(C29))&gt;0</formula>
    </cfRule>
    <cfRule type="containsBlanks" dxfId="1250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49" priority="100">
      <formula>LEN(TRIM(C42))&gt;0</formula>
    </cfRule>
    <cfRule type="containsBlanks" dxfId="1248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47" priority="163">
      <formula>LEN(TRIM(C59))=0</formula>
    </cfRule>
    <cfRule type="notContainsBlanks" dxfId="1246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45" priority="80">
      <formula>LEN(TRIM(C63))&gt;0</formula>
    </cfRule>
    <cfRule type="containsBlanks" dxfId="1244" priority="79">
      <formula>LEN(TRIM(C63))=0</formula>
    </cfRule>
  </conditionalFormatting>
  <conditionalFormatting sqref="C72:H72">
    <cfRule type="notContainsBlanks" dxfId="1243" priority="16">
      <formula>LEN(TRIM(C72))&gt;0</formula>
    </cfRule>
    <cfRule type="containsBlanks" dxfId="1242" priority="15">
      <formula>LEN(TRIM(C72))=0</formula>
    </cfRule>
  </conditionalFormatting>
  <conditionalFormatting sqref="C76:H76">
    <cfRule type="containsBlanks" dxfId="1241" priority="194">
      <formula>LEN(TRIM(C76))=0</formula>
    </cfRule>
    <cfRule type="notContainsBlanks" dxfId="1240" priority="195">
      <formula>LEN(TRIM(C76))&gt;0</formula>
    </cfRule>
  </conditionalFormatting>
  <conditionalFormatting sqref="D63:H63">
    <cfRule type="notContainsBlanks" dxfId="1239" priority="78">
      <formula>LEN(TRIM(D63))&gt;0</formula>
    </cfRule>
    <cfRule type="containsBlanks" dxfId="1238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37" priority="228">
      <formula>LEN(TRIM(E46))=0</formula>
    </cfRule>
    <cfRule type="notContainsBlanks" dxfId="1236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35" priority="13">
      <formula>LEN(TRIM(F72))=0</formula>
    </cfRule>
    <cfRule type="notContainsBlanks" dxfId="1234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33" priority="183">
      <formula>LEN(TRIM(G42))&gt;0</formula>
    </cfRule>
    <cfRule type="containsBlanks" dxfId="1232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31" priority="108">
      <formula>LEN(TRIM(H46))&gt;0</formula>
    </cfRule>
    <cfRule type="containsBlanks" dxfId="1230" priority="107">
      <formula>LEN(TRIM(H46))=0</formula>
    </cfRule>
    <cfRule type="notContainsBlanks" dxfId="1229" priority="106">
      <formula>LEN(TRIM(H46))&gt;0</formula>
    </cfRule>
    <cfRule type="containsBlanks" dxfId="1228" priority="105">
      <formula>LEN(TRIM(H46))=0</formula>
    </cfRule>
  </conditionalFormatting>
  <conditionalFormatting sqref="H50">
    <cfRule type="notContainsBlanks" dxfId="1227" priority="114">
      <formula>LEN(TRIM(H50))&gt;0</formula>
    </cfRule>
    <cfRule type="containsBlanks" dxfId="1226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25" priority="220">
      <formula>LEN(TRIM(J72))=0</formula>
    </cfRule>
    <cfRule type="notContainsBlanks" dxfId="1224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23" priority="116">
      <formula>LEN(TRIM(J21))&gt;0</formula>
    </cfRule>
    <cfRule type="containsBlanks" dxfId="1222" priority="115">
      <formula>LEN(TRIM(J21))=0</formula>
    </cfRule>
  </conditionalFormatting>
  <conditionalFormatting sqref="J63:L63">
    <cfRule type="notContainsBlanks" dxfId="1221" priority="162">
      <formula>LEN(TRIM(J63))&gt;0</formula>
    </cfRule>
    <cfRule type="containsBlanks" dxfId="1220" priority="161">
      <formula>LEN(TRIM(J63))=0</formula>
    </cfRule>
  </conditionalFormatting>
  <conditionalFormatting sqref="J46:M46">
    <cfRule type="containsBlanks" dxfId="1219" priority="101">
      <formula>LEN(TRIM(J46))=0</formula>
    </cfRule>
    <cfRule type="notContainsBlanks" dxfId="1218" priority="102">
      <formula>LEN(TRIM(J46))&gt;0</formula>
    </cfRule>
  </conditionalFormatting>
  <conditionalFormatting sqref="J72:M72">
    <cfRule type="notContainsBlanks" dxfId="1217" priority="134">
      <formula>LEN(TRIM(J72))&gt;0</formula>
    </cfRule>
    <cfRule type="containsBlanks" dxfId="1216" priority="133">
      <formula>LEN(TRIM(J72))=0</formula>
    </cfRule>
  </conditionalFormatting>
  <conditionalFormatting sqref="J42:N42">
    <cfRule type="notContainsBlanks" dxfId="1215" priority="92">
      <formula>LEN(TRIM(J42))&gt;0</formula>
    </cfRule>
    <cfRule type="containsBlanks" dxfId="1214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13" priority="155">
      <formula>LEN(TRIM(J7))=0</formula>
    </cfRule>
    <cfRule type="notContainsBlanks" dxfId="1212" priority="156">
      <formula>LEN(TRIM(J7))&gt;0</formula>
    </cfRule>
  </conditionalFormatting>
  <conditionalFormatting sqref="J11:P11">
    <cfRule type="notContainsBlanks" dxfId="1211" priority="58">
      <formula>LEN(TRIM(J11))&gt;0</formula>
    </cfRule>
    <cfRule type="containsBlanks" dxfId="1210" priority="57">
      <formula>LEN(TRIM(J11))=0</formula>
    </cfRule>
  </conditionalFormatting>
  <conditionalFormatting sqref="J15:P15">
    <cfRule type="notContainsBlanks" dxfId="1209" priority="60">
      <formula>LEN(TRIM(J15))&gt;0</formula>
    </cfRule>
    <cfRule type="containsBlanks" dxfId="1208" priority="59">
      <formula>LEN(TRIM(J15))=0</formula>
    </cfRule>
  </conditionalFormatting>
  <conditionalFormatting sqref="J25:P25">
    <cfRule type="containsBlanks" dxfId="1207" priority="5">
      <formula>LEN(TRIM(J25))=0</formula>
    </cfRule>
    <cfRule type="notContainsBlanks" dxfId="1206" priority="6">
      <formula>LEN(TRIM(J25))&gt;0</formula>
    </cfRule>
  </conditionalFormatting>
  <conditionalFormatting sqref="J29:P29">
    <cfRule type="notContainsBlanks" dxfId="1205" priority="2">
      <formula>LEN(TRIM(J29))&gt;0</formula>
    </cfRule>
    <cfRule type="containsBlanks" dxfId="1204" priority="1">
      <formula>LEN(TRIM(J29))=0</formula>
    </cfRule>
  </conditionalFormatting>
  <conditionalFormatting sqref="J42:P42">
    <cfRule type="notContainsBlanks" dxfId="1203" priority="94">
      <formula>LEN(TRIM(J42))&gt;0</formula>
    </cfRule>
    <cfRule type="containsBlanks" dxfId="1202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201" priority="103">
      <formula>LEN(TRIM(J46))=0</formula>
    </cfRule>
    <cfRule type="notContainsBlanks" dxfId="1200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99" priority="112">
      <formula>LEN(TRIM(J50))&gt;0</formula>
    </cfRule>
    <cfRule type="containsBlanks" dxfId="1198" priority="111">
      <formula>LEN(TRIM(J50))=0</formula>
    </cfRule>
  </conditionalFormatting>
  <conditionalFormatting sqref="J59:P59">
    <cfRule type="containsBlanks" dxfId="1197" priority="75">
      <formula>LEN(TRIM(J59))=0</formula>
    </cfRule>
    <cfRule type="notContainsBlanks" dxfId="1196" priority="76">
      <formula>LEN(TRIM(J59))&gt;0</formula>
    </cfRule>
  </conditionalFormatting>
  <conditionalFormatting sqref="J63:P63">
    <cfRule type="containsBlanks" dxfId="1195" priority="83">
      <formula>LEN(TRIM(J63))=0</formula>
    </cfRule>
    <cfRule type="notContainsBlanks" dxfId="1194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93" priority="18">
      <formula>LEN(TRIM(J72))&gt;0</formula>
    </cfRule>
    <cfRule type="containsBlanks" dxfId="1192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91" priority="193">
      <formula>LEN(TRIM(J76))&gt;0</formula>
    </cfRule>
    <cfRule type="containsBlanks" dxfId="1190" priority="192">
      <formula>LEN(TRIM(J76))=0</formula>
    </cfRule>
  </conditionalFormatting>
  <conditionalFormatting sqref="K11:P11">
    <cfRule type="notContainsBlanks" dxfId="1189" priority="160">
      <formula>LEN(TRIM(K11))&gt;0</formula>
    </cfRule>
    <cfRule type="containsBlanks" dxfId="1188" priority="159">
      <formula>LEN(TRIM(K11))=0</formula>
    </cfRule>
  </conditionalFormatting>
  <conditionalFormatting sqref="K59:P59">
    <cfRule type="notContainsBlanks" dxfId="1187" priority="168">
      <formula>LEN(TRIM(K59))&gt;0</formula>
    </cfRule>
    <cfRule type="notContainsBlanks" dxfId="1186" priority="166">
      <formula>LEN(TRIM(K59))&gt;0</formula>
    </cfRule>
    <cfRule type="containsBlanks" dxfId="1185" priority="165">
      <formula>LEN(TRIM(K59))=0</formula>
    </cfRule>
    <cfRule type="containsBlanks" dxfId="1184" priority="167">
      <formula>LEN(TRIM(K59))=0</formula>
    </cfRule>
  </conditionalFormatting>
  <conditionalFormatting sqref="L76:P76">
    <cfRule type="notContainsBlanks" dxfId="1183" priority="206">
      <formula>LEN(TRIM(L76))&gt;0</formula>
    </cfRule>
    <cfRule type="containsBlanks" dxfId="1182" priority="205">
      <formula>LEN(TRIM(L76))=0</formula>
    </cfRule>
  </conditionalFormatting>
  <conditionalFormatting sqref="M50:P50">
    <cfRule type="containsBlanks" dxfId="1181" priority="232">
      <formula>LEN(TRIM(M50))=0</formula>
    </cfRule>
    <cfRule type="notContainsBlanks" dxfId="1180" priority="233">
      <formula>LEN(TRIM(M50))&gt;0</formula>
    </cfRule>
  </conditionalFormatting>
  <conditionalFormatting sqref="M63:P63">
    <cfRule type="notContainsBlanks" dxfId="1179" priority="82">
      <formula>LEN(TRIM(M63))&gt;0</formula>
    </cfRule>
    <cfRule type="containsBlanks" dxfId="1178" priority="81">
      <formula>LEN(TRIM(M63))=0</formula>
    </cfRule>
  </conditionalFormatting>
  <conditionalFormatting sqref="N46:P46">
    <cfRule type="notContainsBlanks" dxfId="1177" priority="227">
      <formula>LEN(TRIM(N46))&gt;0</formula>
    </cfRule>
    <cfRule type="containsBlanks" dxfId="1176" priority="184">
      <formula>LEN(TRIM(N46))=0</formula>
    </cfRule>
    <cfRule type="containsBlanks" dxfId="1175" priority="226">
      <formula>LEN(TRIM(N46))=0</formula>
    </cfRule>
    <cfRule type="notContainsBlanks" dxfId="1174" priority="185">
      <formula>LEN(TRIM(N46))&gt;0</formula>
    </cfRule>
  </conditionalFormatting>
  <conditionalFormatting sqref="O46:P46">
    <cfRule type="notContainsBlanks" dxfId="1173" priority="231">
      <formula>LEN(TRIM(O46))&gt;0</formula>
    </cfRule>
    <cfRule type="containsBlanks" dxfId="1172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71" priority="154">
      <formula>LEN(TRIM(P7))&gt;0</formula>
    </cfRule>
    <cfRule type="containsBlanks" dxfId="1170" priority="153">
      <formula>LEN(TRIM(P7))=0</formula>
    </cfRule>
    <cfRule type="notContainsBlanks" dxfId="1169" priority="152">
      <formula>LEN(TRIM(P7))&gt;0</formula>
    </cfRule>
    <cfRule type="containsBlanks" dxfId="1168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67" priority="54">
      <formula>LEN(TRIM(R11))&gt;0</formula>
    </cfRule>
  </conditionalFormatting>
  <conditionalFormatting sqref="R15">
    <cfRule type="containsBlanks" dxfId="1166" priority="55">
      <formula>LEN(TRIM(R15))=0</formula>
    </cfRule>
    <cfRule type="notContainsBlanks" dxfId="1165" priority="56">
      <formula>LEN(TRIM(R15))&gt;0</formula>
    </cfRule>
  </conditionalFormatting>
  <conditionalFormatting sqref="R59">
    <cfRule type="notContainsBlanks" dxfId="1164" priority="72">
      <formula>LEN(TRIM(R59))&gt;0</formula>
    </cfRule>
    <cfRule type="containsBlanks" dxfId="1163" priority="71">
      <formula>LEN(TRIM(R59))=0</formula>
    </cfRule>
    <cfRule type="notContainsBlanks" dxfId="1162" priority="70">
      <formula>LEN(TRIM(R59))&gt;0</formula>
    </cfRule>
    <cfRule type="containsBlanks" dxfId="1161" priority="69">
      <formula>LEN(TRIM(R59))=0</formula>
    </cfRule>
  </conditionalFormatting>
  <conditionalFormatting sqref="R72">
    <cfRule type="containsBlanks" dxfId="1160" priority="218">
      <formula>LEN(TRIM(R72))=0</formula>
    </cfRule>
    <cfRule type="notContainsBlanks" dxfId="1159" priority="219">
      <formula>LEN(TRIM(R72))&gt;0</formula>
    </cfRule>
  </conditionalFormatting>
  <conditionalFormatting sqref="R63:S63">
    <cfRule type="notContainsBlanks" dxfId="1158" priority="173">
      <formula>LEN(TRIM(R63))&gt;0</formula>
    </cfRule>
    <cfRule type="containsBlanks" dxfId="1157" priority="172">
      <formula>LEN(TRIM(R63))=0</formula>
    </cfRule>
  </conditionalFormatting>
  <conditionalFormatting sqref="R76:S76">
    <cfRule type="notContainsBlanks" dxfId="1156" priority="189">
      <formula>LEN(TRIM(R76))&gt;0</formula>
    </cfRule>
    <cfRule type="containsBlanks" dxfId="1155" priority="188">
      <formula>LEN(TRIM(R76))=0</formula>
    </cfRule>
  </conditionalFormatting>
  <conditionalFormatting sqref="R7:T7">
    <cfRule type="notContainsBlanks" dxfId="1154" priority="26">
      <formula>LEN(TRIM(R7))&gt;0</formula>
    </cfRule>
    <cfRule type="containsBlanks" dxfId="1153" priority="23">
      <formula>LEN(TRIM(R7))=0</formula>
    </cfRule>
    <cfRule type="containsBlanks" dxfId="1152" priority="25">
      <formula>LEN(TRIM(R7))=0</formula>
    </cfRule>
    <cfRule type="notContainsBlanks" dxfId="1151" priority="24">
      <formula>LEN(TRIM(R7))&gt;0</formula>
    </cfRule>
  </conditionalFormatting>
  <conditionalFormatting sqref="R11:T11">
    <cfRule type="notContainsBlanks" dxfId="1150" priority="48">
      <formula>LEN(TRIM(R11))&gt;0</formula>
    </cfRule>
    <cfRule type="containsBlanks" dxfId="1149" priority="47">
      <formula>LEN(TRIM(R11))=0</formula>
    </cfRule>
  </conditionalFormatting>
  <conditionalFormatting sqref="R63:T63">
    <cfRule type="containsBlanks" dxfId="1148" priority="180">
      <formula>LEN(TRIM(R63))=0</formula>
    </cfRule>
    <cfRule type="notContainsBlanks" dxfId="1147" priority="181">
      <formula>LEN(TRIM(R63))&gt;0</formula>
    </cfRule>
    <cfRule type="notContainsBlanks" dxfId="1146" priority="175">
      <formula>LEN(TRIM(R63))&gt;0</formula>
    </cfRule>
    <cfRule type="containsBlanks" dxfId="1145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44" priority="27">
      <formula>LEN(TRIM(R7))=0</formula>
    </cfRule>
    <cfRule type="notContainsBlanks" dxfId="1143" priority="28">
      <formula>LEN(TRIM(R7))&gt;0</formula>
    </cfRule>
  </conditionalFormatting>
  <conditionalFormatting sqref="R25:X25">
    <cfRule type="notContainsBlanks" dxfId="1142" priority="40">
      <formula>LEN(TRIM(R25))&gt;0</formula>
    </cfRule>
    <cfRule type="containsBlanks" dxfId="1141" priority="39">
      <formula>LEN(TRIM(R25))=0</formula>
    </cfRule>
  </conditionalFormatting>
  <conditionalFormatting sqref="R29:X29">
    <cfRule type="containsBlanks" dxfId="1140" priority="9">
      <formula>LEN(TRIM(R29))=0</formula>
    </cfRule>
    <cfRule type="notContainsBlanks" dxfId="1139" priority="10">
      <formula>LEN(TRIM(R29))&gt;0</formula>
    </cfRule>
  </conditionalFormatting>
  <conditionalFormatting sqref="R59:X59">
    <cfRule type="containsBlanks" dxfId="1138" priority="73">
      <formula>LEN(TRIM(R59))=0</formula>
    </cfRule>
    <cfRule type="notContainsBlanks" dxfId="1137" priority="74">
      <formula>LEN(TRIM(R59))&gt;0</formula>
    </cfRule>
  </conditionalFormatting>
  <conditionalFormatting sqref="R72:X72">
    <cfRule type="notContainsBlanks" dxfId="1136" priority="20">
      <formula>LEN(TRIM(R72))&gt;0</formula>
    </cfRule>
    <cfRule type="containsBlanks" dxfId="1135" priority="19">
      <formula>LEN(TRIM(R72))=0</formula>
    </cfRule>
  </conditionalFormatting>
  <conditionalFormatting sqref="R76:X76">
    <cfRule type="containsBlanks" dxfId="1134" priority="190">
      <formula>LEN(TRIM(R76))=0</formula>
    </cfRule>
    <cfRule type="notContainsBlanks" dxfId="1133" priority="191">
      <formula>LEN(TRIM(R76))&gt;0</formula>
    </cfRule>
  </conditionalFormatting>
  <conditionalFormatting sqref="S15:W15">
    <cfRule type="containsBlanks" dxfId="1132" priority="211">
      <formula>LEN(TRIM(S15))=0</formula>
    </cfRule>
    <cfRule type="notContainsBlanks" dxfId="1131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30" priority="171">
      <formula>LEN(TRIM(S59))&gt;0</formula>
    </cfRule>
    <cfRule type="containsBlanks" dxfId="1129" priority="170">
      <formula>LEN(TRIM(S59))=0</formula>
    </cfRule>
  </conditionalFormatting>
  <conditionalFormatting sqref="U11:X11 R11">
    <cfRule type="containsBlanks" dxfId="1128" priority="53">
      <formula>LEN(TRIM(R11))=0</formula>
    </cfRule>
  </conditionalFormatting>
  <conditionalFormatting sqref="U63:X63">
    <cfRule type="notContainsBlanks" dxfId="1127" priority="88">
      <formula>LEN(TRIM(U63))&gt;0</formula>
    </cfRule>
    <cfRule type="containsBlanks" dxfId="1126" priority="87">
      <formula>LEN(TRIM(U63))=0</formula>
    </cfRule>
    <cfRule type="notContainsBlanks" dxfId="1125" priority="86">
      <formula>LEN(TRIM(U63))&gt;0</formula>
    </cfRule>
    <cfRule type="notContainsBlanks" dxfId="1124" priority="90">
      <formula>LEN(TRIM(U63))&gt;0</formula>
    </cfRule>
    <cfRule type="containsBlanks" dxfId="1123" priority="85">
      <formula>LEN(TRIM(U63))=0</formula>
    </cfRule>
    <cfRule type="containsBlanks" dxfId="1122" priority="89">
      <formula>LEN(TRIM(U63))=0</formula>
    </cfRule>
  </conditionalFormatting>
  <conditionalFormatting sqref="V11:W11">
    <cfRule type="notContainsBlanks" dxfId="1121" priority="50">
      <formula>LEN(TRIM(V11))&gt;0</formula>
    </cfRule>
    <cfRule type="containsBlanks" dxfId="1120" priority="49">
      <formula>LEN(TRIM(V11))=0</formula>
    </cfRule>
  </conditionalFormatting>
  <conditionalFormatting sqref="W15:X15">
    <cfRule type="containsBlanks" dxfId="1119" priority="201">
      <formula>LEN(TRIM(W15))=0</formula>
    </cfRule>
    <cfRule type="notContainsBlanks" dxfId="1118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17" priority="214">
      <formula>LEN(TRIM(W33))&gt;0</formula>
    </cfRule>
    <cfRule type="containsBlanks" dxfId="1116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15" priority="288">
      <formula>LEN(TRIM(X21))=0</formula>
    </cfRule>
    <cfRule type="notContainsBlanks" dxfId="1114" priority="283">
      <formula>LEN(TRIM(X21))&gt;0</formula>
    </cfRule>
    <cfRule type="containsBlanks" dxfId="1113" priority="284">
      <formula>LEN(TRIM(X21))=0</formula>
    </cfRule>
    <cfRule type="notContainsBlanks" dxfId="1112" priority="285">
      <formula>LEN(TRIM(X21))&gt;0</formula>
    </cfRule>
    <cfRule type="containsBlanks" dxfId="1111" priority="286">
      <formula>LEN(TRIM(X21))=0</formula>
    </cfRule>
    <cfRule type="notContainsBlanks" dxfId="1110" priority="287">
      <formula>LEN(TRIM(X21))&gt;0</formula>
    </cfRule>
    <cfRule type="notContainsBlanks" dxfId="1109" priority="289">
      <formula>LEN(TRIM(X21))&gt;0</formula>
    </cfRule>
    <cfRule type="containsBlanks" dxfId="1108" priority="290">
      <formula>LEN(TRIM(X21))=0</formula>
    </cfRule>
    <cfRule type="notContainsBlanks" dxfId="1107" priority="291">
      <formula>LEN(TRIM(X21))&gt;0</formula>
    </cfRule>
    <cfRule type="containsBlanks" dxfId="1106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105" priority="66">
      <formula>LEN(TRIM(Z59))&gt;0</formula>
    </cfRule>
    <cfRule type="containsBlanks" dxfId="1104" priority="65">
      <formula>LEN(TRIM(Z59))=0</formula>
    </cfRule>
  </conditionalFormatting>
  <conditionalFormatting sqref="Z72">
    <cfRule type="containsBlanks" dxfId="1103" priority="135">
      <formula>LEN(TRIM(Z72))=0</formula>
    </cfRule>
    <cfRule type="notContainsBlanks" dxfId="1102" priority="136">
      <formula>LEN(TRIM(Z72))&gt;0</formula>
    </cfRule>
  </conditionalFormatting>
  <conditionalFormatting sqref="Z76">
    <cfRule type="containsBlanks" dxfId="1101" priority="216">
      <formula>LEN(TRIM(Z76))=0</formula>
    </cfRule>
    <cfRule type="notContainsBlanks" dxfId="1100" priority="217">
      <formula>LEN(TRIM(Z76))&gt;0</formula>
    </cfRule>
  </conditionalFormatting>
  <conditionalFormatting sqref="Z63:AA63">
    <cfRule type="containsBlanks" dxfId="1099" priority="176">
      <formula>LEN(TRIM(Z63))=0</formula>
    </cfRule>
    <cfRule type="notContainsBlanks" dxfId="1098" priority="177">
      <formula>LEN(TRIM(Z63))&gt;0</formula>
    </cfRule>
  </conditionalFormatting>
  <conditionalFormatting sqref="Z59:AB59">
    <cfRule type="containsBlanks" dxfId="1097" priority="67">
      <formula>LEN(TRIM(Z59))=0</formula>
    </cfRule>
    <cfRule type="notContainsBlanks" dxfId="1096" priority="68">
      <formula>LEN(TRIM(Z59))&gt;0</formula>
    </cfRule>
  </conditionalFormatting>
  <conditionalFormatting sqref="Z63:AB63">
    <cfRule type="containsBlanks" dxfId="1095" priority="186">
      <formula>LEN(TRIM(Z63))=0</formula>
    </cfRule>
    <cfRule type="notContainsBlanks" dxfId="1094" priority="187">
      <formula>LEN(TRIM(Z63))&gt;0</formula>
    </cfRule>
    <cfRule type="containsBlanks" dxfId="1093" priority="178">
      <formula>LEN(TRIM(Z63))=0</formula>
    </cfRule>
    <cfRule type="notContainsBlanks" dxfId="1092" priority="179">
      <formula>LEN(TRIM(Z63))&gt;0</formula>
    </cfRule>
  </conditionalFormatting>
  <conditionalFormatting sqref="Z25:AI25">
    <cfRule type="notContainsBlanks" dxfId="1091" priority="122">
      <formula>LEN(TRIM(Z25))&gt;0</formula>
    </cfRule>
    <cfRule type="containsBlanks" dxfId="1090" priority="121">
      <formula>LEN(TRIM(Z25))=0</formula>
    </cfRule>
  </conditionalFormatting>
  <conditionalFormatting sqref="Z29:AI29">
    <cfRule type="notContainsBlanks" dxfId="1089" priority="8">
      <formula>LEN(TRIM(Z29))&gt;0</formula>
    </cfRule>
    <cfRule type="containsBlanks" dxfId="1088" priority="7">
      <formula>LEN(TRIM(Z29))=0</formula>
    </cfRule>
  </conditionalFormatting>
  <conditionalFormatting sqref="AA59:AB59">
    <cfRule type="notContainsBlanks" dxfId="1087" priority="148">
      <formula>LEN(TRIM(AA59))&gt;0</formula>
    </cfRule>
    <cfRule type="containsBlanks" dxfId="1086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85" priority="274">
      <formula>LEN(TRIM(AF21))=0</formula>
    </cfRule>
    <cfRule type="notContainsBlanks" dxfId="1084" priority="275">
      <formula>LEN(TRIM(AF21))&gt;0</formula>
    </cfRule>
    <cfRule type="containsBlanks" dxfId="1083" priority="276">
      <formula>LEN(TRIM(AF21))=0</formula>
    </cfRule>
    <cfRule type="notContainsBlanks" dxfId="1082" priority="277">
      <formula>LEN(TRIM(AF21))&gt;0</formula>
    </cfRule>
    <cfRule type="containsBlanks" dxfId="1081" priority="278">
      <formula>LEN(TRIM(AF21))=0</formula>
    </cfRule>
    <cfRule type="notContainsBlanks" dxfId="1080" priority="279">
      <formula>LEN(TRIM(AF21))&gt;0</formula>
    </cfRule>
    <cfRule type="containsBlanks" dxfId="1079" priority="280">
      <formula>LEN(TRIM(AF21))=0</formula>
    </cfRule>
    <cfRule type="notContainsBlanks" dxfId="1078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77" priority="118">
      <formula>LEN(TRIM(AF21))&gt;0</formula>
    </cfRule>
    <cfRule type="containsBlanks" dxfId="1076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75" priority="292">
      <formula>LEN(TRIM(AG33))=0</formula>
    </cfRule>
    <cfRule type="notContainsBlanks" dxfId="1074" priority="293">
      <formula>LEN(TRIM(AG33))&gt;0</formula>
    </cfRule>
    <cfRule type="containsBlanks" dxfId="1073" priority="294">
      <formula>LEN(TRIM(AG33))=0</formula>
    </cfRule>
    <cfRule type="notContainsBlanks" dxfId="1072" priority="295">
      <formula>LEN(TRIM(AG33))&gt;0</formula>
    </cfRule>
    <cfRule type="containsBlanks" dxfId="1071" priority="296">
      <formula>LEN(TRIM(AG33))=0</formula>
    </cfRule>
    <cfRule type="notContainsBlanks" dxfId="1070" priority="297">
      <formula>LEN(TRIM(AG33))&gt;0</formula>
    </cfRule>
    <cfRule type="containsBlanks" dxfId="1069" priority="298">
      <formula>LEN(TRIM(AG33))=0</formula>
    </cfRule>
    <cfRule type="notContainsBlanks" dxfId="1068" priority="299">
      <formula>LEN(TRIM(AG33))&gt;0</formula>
    </cfRule>
    <cfRule type="containsBlanks" dxfId="1067" priority="300">
      <formula>LEN(TRIM(AG33))=0</formula>
    </cfRule>
    <cfRule type="notContainsBlanks" dxfId="1066" priority="301">
      <formula>LEN(TRIM(AG33))&gt;0</formula>
    </cfRule>
    <cfRule type="containsBlanks" dxfId="1065" priority="302">
      <formula>LEN(TRIM(AG33))=0</formula>
    </cfRule>
    <cfRule type="notContainsBlanks" dxfId="1064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63" priority="911">
      <formula>LEN(TRIM(E14))=0</formula>
    </cfRule>
  </conditionalFormatting>
  <conditionalFormatting sqref="J114:J119 BT207:BV213 AW168:BA174 BZ168:CP174">
    <cfRule type="containsText" dxfId="1062" priority="906" operator="containsText" text="T">
      <formula>NOT(ISERROR(SEARCH("T",J114)))</formula>
    </cfRule>
  </conditionalFormatting>
  <conditionalFormatting sqref="J120:M126">
    <cfRule type="containsText" dxfId="1061" priority="447" operator="containsText" text="T">
      <formula>NOT(ISERROR(SEARCH("T",J120)))</formula>
    </cfRule>
  </conditionalFormatting>
  <conditionalFormatting sqref="J113:T113">
    <cfRule type="containsText" dxfId="1060" priority="898" operator="containsText" text="17">
      <formula>NOT(ISERROR(SEARCH("17",J113)))</formula>
    </cfRule>
    <cfRule type="containsText" dxfId="1059" priority="899" operator="containsText" text="T">
      <formula>NOT(ISERROR(SEARCH("T",J113)))</formula>
    </cfRule>
  </conditionalFormatting>
  <conditionalFormatting sqref="J67:X68 BT207:BV213">
    <cfRule type="containsText" dxfId="1058" priority="843" operator="containsText" text="17">
      <formula>NOT(ISERROR(SEARCH("17",J67)))</formula>
    </cfRule>
  </conditionalFormatting>
  <conditionalFormatting sqref="J97:X98">
    <cfRule type="containsText" dxfId="1057" priority="833" operator="containsText" text="17">
      <formula>NOT(ISERROR(SEARCH("17",J97)))</formula>
    </cfRule>
  </conditionalFormatting>
  <conditionalFormatting sqref="J67:Z68">
    <cfRule type="containsText" dxfId="1056" priority="837" operator="containsText" text="T">
      <formula>NOT(ISERROR(SEARCH("T",J67)))</formula>
    </cfRule>
  </conditionalFormatting>
  <conditionalFormatting sqref="J97:Z98">
    <cfRule type="containsText" dxfId="1055" priority="827" operator="containsText" text="T">
      <formula>NOT(ISERROR(SEARCH("T",J97)))</formula>
    </cfRule>
  </conditionalFormatting>
  <conditionalFormatting sqref="J127:Z130">
    <cfRule type="containsText" dxfId="1054" priority="807" operator="containsText" text="T">
      <formula>NOT(ISERROR(SEARCH("T",J127)))</formula>
    </cfRule>
  </conditionalFormatting>
  <conditionalFormatting sqref="J114:AD119 J113:R113">
    <cfRule type="containsText" dxfId="1053" priority="905" operator="containsText" text="17">
      <formula>NOT(ISERROR(SEARCH("17",J113)))</formula>
    </cfRule>
  </conditionalFormatting>
  <conditionalFormatting sqref="J48:AO49">
    <cfRule type="containsText" dxfId="1052" priority="580" operator="containsText" text="17">
      <formula>NOT(ISERROR(SEARCH("17",J48)))</formula>
    </cfRule>
  </conditionalFormatting>
  <conditionalFormatting sqref="J63:AP66">
    <cfRule type="containsText" dxfId="1051" priority="560" operator="containsText" text="17">
      <formula>NOT(ISERROR(SEARCH("17",J63)))</formula>
    </cfRule>
  </conditionalFormatting>
  <conditionalFormatting sqref="J48:AQ49">
    <cfRule type="containsText" dxfId="1050" priority="574" operator="containsText" text="T">
      <formula>NOT(ISERROR(SEARCH("T",J48)))</formula>
    </cfRule>
  </conditionalFormatting>
  <conditionalFormatting sqref="J59:AQ62">
    <cfRule type="containsText" dxfId="1049" priority="546" operator="containsText" text="17">
      <formula>NOT(ISERROR(SEARCH("17",J59)))</formula>
    </cfRule>
  </conditionalFormatting>
  <conditionalFormatting sqref="J86:AQ89">
    <cfRule type="containsText" dxfId="1048" priority="536" operator="containsText" text="17">
      <formula>NOT(ISERROR(SEARCH("17",J86)))</formula>
    </cfRule>
  </conditionalFormatting>
  <conditionalFormatting sqref="J50:AR53">
    <cfRule type="containsText" dxfId="1047" priority="564" operator="containsText" text="T">
      <formula>NOT(ISERROR(SEARCH("T",J50)))</formula>
    </cfRule>
  </conditionalFormatting>
  <conditionalFormatting sqref="J63:AR66">
    <cfRule type="containsText" dxfId="1046" priority="554" operator="containsText" text="T">
      <formula>NOT(ISERROR(SEARCH("T",J63)))</formula>
    </cfRule>
  </conditionalFormatting>
  <conditionalFormatting sqref="J83:AR85">
    <cfRule type="containsText" dxfId="1045" priority="526" operator="containsText" text="17">
      <formula>NOT(ISERROR(SEARCH("17",J83)))</formula>
    </cfRule>
  </conditionalFormatting>
  <conditionalFormatting sqref="J214:AR217">
    <cfRule type="containsText" dxfId="1044" priority="516" operator="containsText" text="17">
      <formula>NOT(ISERROR(SEARCH("17",J214)))</formula>
    </cfRule>
  </conditionalFormatting>
  <conditionalFormatting sqref="J59:AS62">
    <cfRule type="containsText" dxfId="1043" priority="540" operator="containsText" text="T">
      <formula>NOT(ISERROR(SEARCH("T",J59)))</formula>
    </cfRule>
  </conditionalFormatting>
  <conditionalFormatting sqref="J86:AS89">
    <cfRule type="containsText" dxfId="1042" priority="530" operator="containsText" text="T">
      <formula>NOT(ISERROR(SEARCH("T",J86)))</formula>
    </cfRule>
  </conditionalFormatting>
  <conditionalFormatting sqref="J218:AS224">
    <cfRule type="containsText" dxfId="1041" priority="506" operator="containsText" text="17">
      <formula>NOT(ISERROR(SEARCH("17",J218)))</formula>
    </cfRule>
  </conditionalFormatting>
  <conditionalFormatting sqref="J83:AT85">
    <cfRule type="containsText" dxfId="1040" priority="520" operator="containsText" text="T">
      <formula>NOT(ISERROR(SEARCH("T",J83)))</formula>
    </cfRule>
  </conditionalFormatting>
  <conditionalFormatting sqref="J214:AT217">
    <cfRule type="containsText" dxfId="1039" priority="510" operator="containsText" text="T">
      <formula>NOT(ISERROR(SEARCH("T",J214)))</formula>
    </cfRule>
  </conditionalFormatting>
  <conditionalFormatting sqref="J225:AT231">
    <cfRule type="containsText" dxfId="1038" priority="496" operator="containsText" text="17">
      <formula>NOT(ISERROR(SEARCH("17",J225)))</formula>
    </cfRule>
  </conditionalFormatting>
  <conditionalFormatting sqref="J218:AU224">
    <cfRule type="containsText" dxfId="1037" priority="500" operator="containsText" text="T">
      <formula>NOT(ISERROR(SEARCH("T",J218)))</formula>
    </cfRule>
  </conditionalFormatting>
  <conditionalFormatting sqref="J232:AU234">
    <cfRule type="containsText" dxfId="1036" priority="486" operator="containsText" text="17">
      <formula>NOT(ISERROR(SEARCH("17",J232)))</formula>
    </cfRule>
  </conditionalFormatting>
  <conditionalFormatting sqref="J225:AV231">
    <cfRule type="containsText" dxfId="1035" priority="490" operator="containsText" text="T">
      <formula>NOT(ISERROR(SEARCH("T",J225)))</formula>
    </cfRule>
  </conditionalFormatting>
  <conditionalFormatting sqref="J232:AW234">
    <cfRule type="containsText" dxfId="1034" priority="480" operator="containsText" text="T">
      <formula>NOT(ISERROR(SEARCH("T",J232)))</formula>
    </cfRule>
  </conditionalFormatting>
  <conditionalFormatting sqref="J33:CP33">
    <cfRule type="containsText" dxfId="1033" priority="1058" operator="containsText" text="T">
      <formula>NOT(ISERROR(SEARCH("T",J33)))</formula>
    </cfRule>
  </conditionalFormatting>
  <conditionalFormatting sqref="K77:K82">
    <cfRule type="containsText" dxfId="1032" priority="893" operator="containsText" text="T">
      <formula>NOT(ISERROR(SEARCH("T",K77)))</formula>
    </cfRule>
  </conditionalFormatting>
  <conditionalFormatting sqref="K76:U76">
    <cfRule type="containsText" dxfId="1031" priority="886" operator="containsText" text="T">
      <formula>NOT(ISERROR(SEARCH("T",K76)))</formula>
    </cfRule>
    <cfRule type="containsText" dxfId="1030" priority="885" operator="containsText" text="17">
      <formula>NOT(ISERROR(SEARCH("17",K76)))</formula>
    </cfRule>
  </conditionalFormatting>
  <conditionalFormatting sqref="K77:AE82 K76:S76">
    <cfRule type="containsText" dxfId="1029" priority="892" operator="containsText" text="17">
      <formula>NOT(ISERROR(SEARCH("17",K76)))</formula>
    </cfRule>
  </conditionalFormatting>
  <conditionalFormatting sqref="L107:L112">
    <cfRule type="containsText" dxfId="1028" priority="880" operator="containsText" text="T">
      <formula>NOT(ISERROR(SEARCH("T",L107)))</formula>
    </cfRule>
  </conditionalFormatting>
  <conditionalFormatting sqref="L106:V106">
    <cfRule type="containsText" dxfId="1027" priority="872" operator="containsText" text="17">
      <formula>NOT(ISERROR(SEARCH("17",L106)))</formula>
    </cfRule>
    <cfRule type="containsText" dxfId="1026" priority="873" operator="containsText" text="T">
      <formula>NOT(ISERROR(SEARCH("T",L106)))</formula>
    </cfRule>
  </conditionalFormatting>
  <conditionalFormatting sqref="L107:AF112 L106:T106">
    <cfRule type="containsText" dxfId="1025" priority="879" operator="containsText" text="17">
      <formula>NOT(ISERROR(SEARCH("17",L106)))</formula>
    </cfRule>
  </conditionalFormatting>
  <conditionalFormatting sqref="M120:AG126 AJ120:AJ126">
    <cfRule type="containsText" dxfId="1024" priority="444" operator="containsText" text="T">
      <formula>NOT(ISERROR(SEARCH("T",M120)))</formula>
    </cfRule>
  </conditionalFormatting>
  <conditionalFormatting sqref="M120:AG126">
    <cfRule type="containsText" dxfId="1023" priority="446" operator="containsText" text="17">
      <formula>NOT(ISERROR(SEARCH("17",M120)))</formula>
    </cfRule>
  </conditionalFormatting>
  <conditionalFormatting sqref="N70:N75">
    <cfRule type="containsText" dxfId="1022" priority="867" operator="containsText" text="T">
      <formula>NOT(ISERROR(SEARCH("T",N70)))</formula>
    </cfRule>
  </conditionalFormatting>
  <conditionalFormatting sqref="N69:X69">
    <cfRule type="containsText" dxfId="1021" priority="860" operator="containsText" text="T">
      <formula>NOT(ISERROR(SEARCH("T",N69)))</formula>
    </cfRule>
    <cfRule type="containsText" dxfId="1020" priority="859" operator="containsText" text="17">
      <formula>NOT(ISERROR(SEARCH("17",N69)))</formula>
    </cfRule>
  </conditionalFormatting>
  <conditionalFormatting sqref="N70:AH75 N69:V69">
    <cfRule type="containsText" dxfId="1019" priority="866" operator="containsText" text="17">
      <formula>NOT(ISERROR(SEARCH("17",N69)))</formula>
    </cfRule>
  </conditionalFormatting>
  <conditionalFormatting sqref="O100:O105">
    <cfRule type="containsText" dxfId="1018" priority="854" operator="containsText" text="T">
      <formula>NOT(ISERROR(SEARCH("T",O100)))</formula>
    </cfRule>
  </conditionalFormatting>
  <conditionalFormatting sqref="O99:Y99">
    <cfRule type="containsText" dxfId="1017" priority="846" operator="containsText" text="17">
      <formula>NOT(ISERROR(SEARCH("17",O99)))</formula>
    </cfRule>
    <cfRule type="containsText" dxfId="1016" priority="847" operator="containsText" text="T">
      <formula>NOT(ISERROR(SEARCH("T",O99)))</formula>
    </cfRule>
  </conditionalFormatting>
  <conditionalFormatting sqref="O100:AI105 O99:W99">
    <cfRule type="containsText" dxfId="1015" priority="853" operator="containsText" text="17">
      <formula>NOT(ISERROR(SEARCH("17",O99)))</formula>
    </cfRule>
  </conditionalFormatting>
  <conditionalFormatting sqref="P67:Z68">
    <cfRule type="containsText" dxfId="1014" priority="836" operator="containsText" text="17">
      <formula>NOT(ISERROR(SEARCH("17",P67)))</formula>
    </cfRule>
  </conditionalFormatting>
  <conditionalFormatting sqref="P97:Z98">
    <cfRule type="containsText" dxfId="1013" priority="826" operator="containsText" text="17">
      <formula>NOT(ISERROR(SEARCH("17",P97)))</formula>
    </cfRule>
  </conditionalFormatting>
  <conditionalFormatting sqref="P127:Z130">
    <cfRule type="containsText" dxfId="1012" priority="806" operator="containsText" text="17">
      <formula>NOT(ISERROR(SEARCH("17",P127)))</formula>
    </cfRule>
  </conditionalFormatting>
  <conditionalFormatting sqref="Q132:Q137">
    <cfRule type="containsText" dxfId="1011" priority="801" operator="containsText" text="T">
      <formula>NOT(ISERROR(SEARCH("T",Q132)))</formula>
    </cfRule>
  </conditionalFormatting>
  <conditionalFormatting sqref="Q131:AA131">
    <cfRule type="containsText" dxfId="1010" priority="794" operator="containsText" text="T">
      <formula>NOT(ISERROR(SEARCH("T",Q131)))</formula>
    </cfRule>
    <cfRule type="containsText" dxfId="1009" priority="793" operator="containsText" text="17">
      <formula>NOT(ISERROR(SEARCH("17",Q131)))</formula>
    </cfRule>
  </conditionalFormatting>
  <conditionalFormatting sqref="Q132:AK137 Q131:Y131">
    <cfRule type="containsText" dxfId="1008" priority="800" operator="containsText" text="17">
      <formula>NOT(ISERROR(SEARCH("17",Q131)))</formula>
    </cfRule>
  </conditionalFormatting>
  <conditionalFormatting sqref="R139:R144">
    <cfRule type="containsText" dxfId="1007" priority="788" operator="containsText" text="T">
      <formula>NOT(ISERROR(SEARCH("T",R139)))</formula>
    </cfRule>
  </conditionalFormatting>
  <conditionalFormatting sqref="R138:AB138">
    <cfRule type="containsText" dxfId="1006" priority="780" operator="containsText" text="17">
      <formula>NOT(ISERROR(SEARCH("17",R138)))</formula>
    </cfRule>
    <cfRule type="containsText" dxfId="1005" priority="781" operator="containsText" text="T">
      <formula>NOT(ISERROR(SEARCH("T",R138)))</formula>
    </cfRule>
  </conditionalFormatting>
  <conditionalFormatting sqref="R139:AL144 R138:Z138">
    <cfRule type="containsText" dxfId="1004" priority="787" operator="containsText" text="17">
      <formula>NOT(ISERROR(SEARCH("17",R138)))</formula>
    </cfRule>
  </conditionalFormatting>
  <conditionalFormatting sqref="S146:S151">
    <cfRule type="containsText" dxfId="1003" priority="775" operator="containsText" text="T">
      <formula>NOT(ISERROR(SEARCH("T",S146)))</formula>
    </cfRule>
  </conditionalFormatting>
  <conditionalFormatting sqref="S145:AC145">
    <cfRule type="containsText" dxfId="1002" priority="768" operator="containsText" text="T">
      <formula>NOT(ISERROR(SEARCH("T",S145)))</formula>
    </cfRule>
    <cfRule type="containsText" dxfId="1001" priority="767" operator="containsText" text="17">
      <formula>NOT(ISERROR(SEARCH("17",S145)))</formula>
    </cfRule>
  </conditionalFormatting>
  <conditionalFormatting sqref="S146:AM151 S145:AA145">
    <cfRule type="containsText" dxfId="1000" priority="774" operator="containsText" text="17">
      <formula>NOT(ISERROR(SEARCH("17",S145)))</formula>
    </cfRule>
  </conditionalFormatting>
  <conditionalFormatting sqref="T153:T158">
    <cfRule type="containsText" dxfId="999" priority="762" operator="containsText" text="T">
      <formula>NOT(ISERROR(SEARCH("T",T153)))</formula>
    </cfRule>
  </conditionalFormatting>
  <conditionalFormatting sqref="T152:AD152">
    <cfRule type="containsText" dxfId="998" priority="754" operator="containsText" text="17">
      <formula>NOT(ISERROR(SEARCH("17",T152)))</formula>
    </cfRule>
    <cfRule type="containsText" dxfId="997" priority="755" operator="containsText" text="T">
      <formula>NOT(ISERROR(SEARCH("T",T152)))</formula>
    </cfRule>
  </conditionalFormatting>
  <conditionalFormatting sqref="T153:AN158 T152:AB152">
    <cfRule type="containsText" dxfId="996" priority="761" operator="containsText" text="17">
      <formula>NOT(ISERROR(SEARCH("17",T152)))</formula>
    </cfRule>
  </conditionalFormatting>
  <conditionalFormatting sqref="U160:U165">
    <cfRule type="containsText" dxfId="995" priority="749" operator="containsText" text="T">
      <formula>NOT(ISERROR(SEARCH("T",U160)))</formula>
    </cfRule>
  </conditionalFormatting>
  <conditionalFormatting sqref="U113:AA113">
    <cfRule type="containsText" dxfId="994" priority="907" operator="containsText" text="17">
      <formula>NOT(ISERROR(SEARCH("17",U113)))</formula>
    </cfRule>
    <cfRule type="containsText" dxfId="993" priority="908" operator="containsText" text="T">
      <formula>NOT(ISERROR(SEARCH("T",U113)))</formula>
    </cfRule>
  </conditionalFormatting>
  <conditionalFormatting sqref="U159:AE159">
    <cfRule type="containsText" dxfId="992" priority="742" operator="containsText" text="T">
      <formula>NOT(ISERROR(SEARCH("T",U159)))</formula>
    </cfRule>
    <cfRule type="containsText" dxfId="991" priority="741" operator="containsText" text="17">
      <formula>NOT(ISERROR(SEARCH("17",U159)))</formula>
    </cfRule>
  </conditionalFormatting>
  <conditionalFormatting sqref="U160:AO165 U159:AC159">
    <cfRule type="containsText" dxfId="990" priority="748" operator="containsText" text="17">
      <formula>NOT(ISERROR(SEARCH("17",U159)))</formula>
    </cfRule>
  </conditionalFormatting>
  <conditionalFormatting sqref="V113">
    <cfRule type="containsText" dxfId="989" priority="903" operator="containsText" text="17">
      <formula>NOT(ISERROR(SEARCH("17",V113)))</formula>
    </cfRule>
    <cfRule type="containsText" dxfId="988" priority="904" operator="containsText" text="T">
      <formula>NOT(ISERROR(SEARCH("T",V113)))</formula>
    </cfRule>
  </conditionalFormatting>
  <conditionalFormatting sqref="V208:V213">
    <cfRule type="containsText" dxfId="987" priority="736" operator="containsText" text="T">
      <formula>NOT(ISERROR(SEARCH("T",V208)))</formula>
    </cfRule>
  </conditionalFormatting>
  <conditionalFormatting sqref="V76:AB76">
    <cfRule type="containsText" dxfId="986" priority="894" operator="containsText" text="17">
      <formula>NOT(ISERROR(SEARCH("17",V76)))</formula>
    </cfRule>
    <cfRule type="containsText" dxfId="985" priority="895" operator="containsText" text="T">
      <formula>NOT(ISERROR(SEARCH("T",V76)))</formula>
    </cfRule>
  </conditionalFormatting>
  <conditionalFormatting sqref="V207:AF207">
    <cfRule type="containsText" dxfId="984" priority="728" operator="containsText" text="17">
      <formula>NOT(ISERROR(SEARCH("17",V207)))</formula>
    </cfRule>
    <cfRule type="containsText" dxfId="983" priority="729" operator="containsText" text="T">
      <formula>NOT(ISERROR(SEARCH("T",V207)))</formula>
    </cfRule>
  </conditionalFormatting>
  <conditionalFormatting sqref="V208:AP213 V207:AD207">
    <cfRule type="containsText" dxfId="982" priority="735" operator="containsText" text="17">
      <formula>NOT(ISERROR(SEARCH("17",V207)))</formula>
    </cfRule>
  </conditionalFormatting>
  <conditionalFormatting sqref="W76">
    <cfRule type="containsText" dxfId="981" priority="890" operator="containsText" text="17">
      <formula>NOT(ISERROR(SEARCH("17",W76)))</formula>
    </cfRule>
    <cfRule type="containsText" dxfId="980" priority="891" operator="containsText" text="T">
      <formula>NOT(ISERROR(SEARCH("T",W76)))</formula>
    </cfRule>
  </conditionalFormatting>
  <conditionalFormatting sqref="W201:W206">
    <cfRule type="containsText" dxfId="979" priority="723" operator="containsText" text="T">
      <formula>NOT(ISERROR(SEARCH("T",W201)))</formula>
    </cfRule>
  </conditionalFormatting>
  <conditionalFormatting sqref="W106:AC106">
    <cfRule type="containsText" dxfId="978" priority="882" operator="containsText" text="T">
      <formula>NOT(ISERROR(SEARCH("T",W106)))</formula>
    </cfRule>
    <cfRule type="containsText" dxfId="977" priority="881" operator="containsText" text="17">
      <formula>NOT(ISERROR(SEARCH("17",W106)))</formula>
    </cfRule>
  </conditionalFormatting>
  <conditionalFormatting sqref="W200:AG200">
    <cfRule type="containsText" dxfId="976" priority="716" operator="containsText" text="T">
      <formula>NOT(ISERROR(SEARCH("T",W200)))</formula>
    </cfRule>
    <cfRule type="containsText" dxfId="975" priority="715" operator="containsText" text="17">
      <formula>NOT(ISERROR(SEARCH("17",W200)))</formula>
    </cfRule>
  </conditionalFormatting>
  <conditionalFormatting sqref="W201:AQ206 W200:AE200">
    <cfRule type="containsText" dxfId="974" priority="722" operator="containsText" text="17">
      <formula>NOT(ISERROR(SEARCH("17",W200)))</formula>
    </cfRule>
  </conditionalFormatting>
  <conditionalFormatting sqref="X106">
    <cfRule type="containsText" dxfId="973" priority="878" operator="containsText" text="T">
      <formula>NOT(ISERROR(SEARCH("T",X106)))</formula>
    </cfRule>
    <cfRule type="containsText" dxfId="972" priority="877" operator="containsText" text="17">
      <formula>NOT(ISERROR(SEARCH("17",X106)))</formula>
    </cfRule>
  </conditionalFormatting>
  <conditionalFormatting sqref="X194:X199">
    <cfRule type="containsText" dxfId="971" priority="710" operator="containsText" text="T">
      <formula>NOT(ISERROR(SEARCH("T",X194)))</formula>
    </cfRule>
  </conditionalFormatting>
  <conditionalFormatting sqref="X192:AH193">
    <cfRule type="containsText" dxfId="970" priority="697" operator="containsText" text="17">
      <formula>NOT(ISERROR(SEARCH("17",X192)))</formula>
    </cfRule>
    <cfRule type="containsText" dxfId="969" priority="698" operator="containsText" text="T">
      <formula>NOT(ISERROR(SEARCH("T",X192)))</formula>
    </cfRule>
  </conditionalFormatting>
  <conditionalFormatting sqref="Y169:Y174">
    <cfRule type="containsText" dxfId="968" priority="692" operator="containsText" text="T">
      <formula>NOT(ISERROR(SEARCH("T",Y169)))</formula>
    </cfRule>
  </conditionalFormatting>
  <conditionalFormatting sqref="Y69:AE69">
    <cfRule type="containsText" dxfId="967" priority="869" operator="containsText" text="T">
      <formula>NOT(ISERROR(SEARCH("T",Y69)))</formula>
    </cfRule>
    <cfRule type="containsText" dxfId="966" priority="868" operator="containsText" text="17">
      <formula>NOT(ISERROR(SEARCH("17",Y69)))</formula>
    </cfRule>
  </conditionalFormatting>
  <conditionalFormatting sqref="Y168:AI168">
    <cfRule type="containsText" dxfId="965" priority="684" operator="containsText" text="17">
      <formula>NOT(ISERROR(SEARCH("17",Y168)))</formula>
    </cfRule>
    <cfRule type="containsText" dxfId="964" priority="685" operator="containsText" text="T">
      <formula>NOT(ISERROR(SEARCH("T",Y168)))</formula>
    </cfRule>
  </conditionalFormatting>
  <conditionalFormatting sqref="Y169:AS174 Y168:AG168">
    <cfRule type="containsText" dxfId="963" priority="691" operator="containsText" text="17">
      <formula>NOT(ISERROR(SEARCH("17",Y168)))</formula>
    </cfRule>
  </conditionalFormatting>
  <conditionalFormatting sqref="Z69">
    <cfRule type="containsText" dxfId="962" priority="864" operator="containsText" text="17">
      <formula>NOT(ISERROR(SEARCH("17",Z69)))</formula>
    </cfRule>
    <cfRule type="containsText" dxfId="961" priority="865" operator="containsText" text="T">
      <formula>NOT(ISERROR(SEARCH("T",Z69)))</formula>
    </cfRule>
  </conditionalFormatting>
  <conditionalFormatting sqref="Z176:Z181">
    <cfRule type="containsText" dxfId="960" priority="679" operator="containsText" text="T">
      <formula>NOT(ISERROR(SEARCH("T",Z176)))</formula>
    </cfRule>
  </conditionalFormatting>
  <conditionalFormatting sqref="Z99:AF99">
    <cfRule type="containsText" dxfId="959" priority="856" operator="containsText" text="T">
      <formula>NOT(ISERROR(SEARCH("T",Z99)))</formula>
    </cfRule>
    <cfRule type="containsText" dxfId="958" priority="855" operator="containsText" text="17">
      <formula>NOT(ISERROR(SEARCH("17",Z99)))</formula>
    </cfRule>
  </conditionalFormatting>
  <conditionalFormatting sqref="Z175:AJ175">
    <cfRule type="containsText" dxfId="957" priority="671" operator="containsText" text="17">
      <formula>NOT(ISERROR(SEARCH("17",Z175)))</formula>
    </cfRule>
    <cfRule type="containsText" dxfId="956" priority="672" operator="containsText" text="T">
      <formula>NOT(ISERROR(SEARCH("T",Z175)))</formula>
    </cfRule>
  </conditionalFormatting>
  <conditionalFormatting sqref="Z176:AT181 Z175:AH175">
    <cfRule type="containsText" dxfId="955" priority="678" operator="containsText" text="17">
      <formula>NOT(ISERROR(SEARCH("17",Z175)))</formula>
    </cfRule>
  </conditionalFormatting>
  <conditionalFormatting sqref="AA99">
    <cfRule type="containsText" dxfId="954" priority="851" operator="containsText" text="17">
      <formula>NOT(ISERROR(SEARCH("17",AA99)))</formula>
    </cfRule>
    <cfRule type="containsText" dxfId="953" priority="852" operator="containsText" text="T">
      <formula>NOT(ISERROR(SEARCH("T",AA99)))</formula>
    </cfRule>
  </conditionalFormatting>
  <conditionalFormatting sqref="AA113 AE113:AG113 J114:AD119 AG114:AG119">
    <cfRule type="containsText" dxfId="952" priority="900" operator="containsText" text="T">
      <formula>NOT(ISERROR(SEARCH("T",J113)))</formula>
    </cfRule>
  </conditionalFormatting>
  <conditionalFormatting sqref="AA183:AA190">
    <cfRule type="containsText" dxfId="951" priority="666" operator="containsText" text="T">
      <formula>NOT(ISERROR(SEARCH("T",AA183)))</formula>
    </cfRule>
  </conditionalFormatting>
  <conditionalFormatting sqref="AA113:AB113 AE113:AG113 AG114:AG119">
    <cfRule type="containsText" dxfId="950" priority="901" operator="containsText" text="17">
      <formula>NOT(ISERROR(SEARCH("17",AA113)))</formula>
    </cfRule>
  </conditionalFormatting>
  <conditionalFormatting sqref="AA67:AG68">
    <cfRule type="containsText" dxfId="949" priority="845" operator="containsText" text="T">
      <formula>NOT(ISERROR(SEARCH("T",AA67)))</formula>
    </cfRule>
    <cfRule type="containsText" dxfId="948" priority="844" operator="containsText" text="17">
      <formula>NOT(ISERROR(SEARCH("17",AA67)))</formula>
    </cfRule>
  </conditionalFormatting>
  <conditionalFormatting sqref="AA97:AG98">
    <cfRule type="containsText" dxfId="947" priority="835" operator="containsText" text="T">
      <formula>NOT(ISERROR(SEARCH("T",AA97)))</formula>
    </cfRule>
    <cfRule type="containsText" dxfId="946" priority="834" operator="containsText" text="17">
      <formula>NOT(ISERROR(SEARCH("17",AA97)))</formula>
    </cfRule>
  </conditionalFormatting>
  <conditionalFormatting sqref="AA127:AG130">
    <cfRule type="containsText" dxfId="945" priority="814" operator="containsText" text="17">
      <formula>NOT(ISERROR(SEARCH("17",AA127)))</formula>
    </cfRule>
    <cfRule type="containsText" dxfId="944" priority="815" operator="containsText" text="T">
      <formula>NOT(ISERROR(SEARCH("T",AA127)))</formula>
    </cfRule>
  </conditionalFormatting>
  <conditionalFormatting sqref="AA182:AK182">
    <cfRule type="containsText" dxfId="943" priority="659" operator="containsText" text="T">
      <formula>NOT(ISERROR(SEARCH("T",AA182)))</formula>
    </cfRule>
    <cfRule type="containsText" dxfId="942" priority="658" operator="containsText" text="17">
      <formula>NOT(ISERROR(SEARCH("17",AA182)))</formula>
    </cfRule>
  </conditionalFormatting>
  <conditionalFormatting sqref="AA183:AU190 AA182:AI182">
    <cfRule type="containsText" dxfId="941" priority="665" operator="containsText" text="17">
      <formula>NOT(ISERROR(SEARCH("17",AA182)))</formula>
    </cfRule>
  </conditionalFormatting>
  <conditionalFormatting sqref="AB67:AB68">
    <cfRule type="containsText" dxfId="940" priority="842" operator="containsText" text="T">
      <formula>NOT(ISERROR(SEARCH("T",AB67)))</formula>
    </cfRule>
    <cfRule type="containsText" dxfId="939" priority="841" operator="containsText" text="17">
      <formula>NOT(ISERROR(SEARCH("17",AB67)))</formula>
    </cfRule>
  </conditionalFormatting>
  <conditionalFormatting sqref="AB76 AF76:AH76 K77:AE82 AH77:AH82">
    <cfRule type="containsText" dxfId="938" priority="887" operator="containsText" text="T">
      <formula>NOT(ISERROR(SEARCH("T",K76)))</formula>
    </cfRule>
  </conditionalFormatting>
  <conditionalFormatting sqref="AB91:AB96">
    <cfRule type="containsText" dxfId="937" priority="653" operator="containsText" text="T">
      <formula>NOT(ISERROR(SEARCH("T",AB91)))</formula>
    </cfRule>
  </conditionalFormatting>
  <conditionalFormatting sqref="AB97:AB98">
    <cfRule type="containsText" dxfId="936" priority="831" operator="containsText" text="17">
      <formula>NOT(ISERROR(SEARCH("17",AB97)))</formula>
    </cfRule>
    <cfRule type="containsText" dxfId="935" priority="832" operator="containsText" text="T">
      <formula>NOT(ISERROR(SEARCH("T",AB97)))</formula>
    </cfRule>
  </conditionalFormatting>
  <conditionalFormatting sqref="AB113">
    <cfRule type="containsText" dxfId="934" priority="902" operator="containsText" text="T">
      <formula>NOT(ISERROR(SEARCH("T",AB113)))</formula>
    </cfRule>
  </conditionalFormatting>
  <conditionalFormatting sqref="AB127:AB130">
    <cfRule type="containsText" dxfId="933" priority="811" operator="containsText" text="17">
      <formula>NOT(ISERROR(SEARCH("17",AB127)))</formula>
    </cfRule>
    <cfRule type="containsText" dxfId="932" priority="812" operator="containsText" text="T">
      <formula>NOT(ISERROR(SEARCH("T",AB127)))</formula>
    </cfRule>
  </conditionalFormatting>
  <conditionalFormatting sqref="AB76:AC76 AF76:AH76 AH77:AH82">
    <cfRule type="containsText" dxfId="931" priority="888" operator="containsText" text="17">
      <formula>NOT(ISERROR(SEARCH("17",AB76)))</formula>
    </cfRule>
  </conditionalFormatting>
  <conditionalFormatting sqref="AB131:AH131">
    <cfRule type="containsText" dxfId="930" priority="802" operator="containsText" text="17">
      <formula>NOT(ISERROR(SEARCH("17",AB131)))</formula>
    </cfRule>
    <cfRule type="containsText" dxfId="929" priority="803" operator="containsText" text="T">
      <formula>NOT(ISERROR(SEARCH("T",AB131)))</formula>
    </cfRule>
  </conditionalFormatting>
  <conditionalFormatting sqref="AB90:AL90">
    <cfRule type="containsText" dxfId="928" priority="645" operator="containsText" text="17">
      <formula>NOT(ISERROR(SEARCH("17",AB90)))</formula>
    </cfRule>
    <cfRule type="containsText" dxfId="927" priority="646" operator="containsText" text="T">
      <formula>NOT(ISERROR(SEARCH("T",AB90)))</formula>
    </cfRule>
  </conditionalFormatting>
  <conditionalFormatting sqref="AB91:AV96 AB90:AJ90">
    <cfRule type="containsText" dxfId="926" priority="652" operator="containsText" text="17">
      <formula>NOT(ISERROR(SEARCH("17",AB90)))</formula>
    </cfRule>
  </conditionalFormatting>
  <conditionalFormatting sqref="AC15:AC20">
    <cfRule type="containsText" dxfId="925" priority="640" operator="containsText" text="T">
      <formula>NOT(ISERROR(SEARCH("T",AC15)))</formula>
    </cfRule>
  </conditionalFormatting>
  <conditionalFormatting sqref="AC76">
    <cfRule type="containsText" dxfId="924" priority="889" operator="containsText" text="T">
      <formula>NOT(ISERROR(SEARCH("T",AC76)))</formula>
    </cfRule>
  </conditionalFormatting>
  <conditionalFormatting sqref="AC106 L107:AF112 AI107:AI112">
    <cfRule type="containsText" dxfId="923" priority="874" operator="containsText" text="T">
      <formula>NOT(ISERROR(SEARCH("T",L106)))</formula>
    </cfRule>
  </conditionalFormatting>
  <conditionalFormatting sqref="AC131">
    <cfRule type="containsText" dxfId="922" priority="798" operator="containsText" text="17">
      <formula>NOT(ISERROR(SEARCH("17",AC131)))</formula>
    </cfRule>
    <cfRule type="containsText" dxfId="921" priority="799" operator="containsText" text="T">
      <formula>NOT(ISERROR(SEARCH("T",AC131)))</formula>
    </cfRule>
  </conditionalFormatting>
  <conditionalFormatting sqref="AC106:AD106 AI107:AI112">
    <cfRule type="containsText" dxfId="920" priority="875" operator="containsText" text="17">
      <formula>NOT(ISERROR(SEARCH("17",AC106)))</formula>
    </cfRule>
  </conditionalFormatting>
  <conditionalFormatting sqref="AC138:AI138">
    <cfRule type="containsText" dxfId="919" priority="790" operator="containsText" text="T">
      <formula>NOT(ISERROR(SEARCH("T",AC138)))</formula>
    </cfRule>
    <cfRule type="containsText" dxfId="918" priority="789" operator="containsText" text="17">
      <formula>NOT(ISERROR(SEARCH("17",AC138)))</formula>
    </cfRule>
  </conditionalFormatting>
  <conditionalFormatting sqref="AC14:AM14">
    <cfRule type="containsText" dxfId="917" priority="632" operator="containsText" text="17">
      <formula>NOT(ISERROR(SEARCH("17",AC14)))</formula>
    </cfRule>
    <cfRule type="containsText" dxfId="916" priority="633" operator="containsText" text="T">
      <formula>NOT(ISERROR(SEARCH("T",AC14)))</formula>
    </cfRule>
  </conditionalFormatting>
  <conditionalFormatting sqref="AC15:AW20 AC14:AK14">
    <cfRule type="containsText" dxfId="915" priority="639" operator="containsText" text="17">
      <formula>NOT(ISERROR(SEARCH("17",AC14)))</formula>
    </cfRule>
  </conditionalFormatting>
  <conditionalFormatting sqref="AD35:AD40">
    <cfRule type="containsText" dxfId="914" priority="627" operator="containsText" text="T">
      <formula>NOT(ISERROR(SEARCH("T",AD35)))</formula>
    </cfRule>
  </conditionalFormatting>
  <conditionalFormatting sqref="AD106">
    <cfRule type="containsText" dxfId="913" priority="876" operator="containsText" text="T">
      <formula>NOT(ISERROR(SEARCH("T",AD106)))</formula>
    </cfRule>
  </conditionalFormatting>
  <conditionalFormatting sqref="AD138">
    <cfRule type="containsText" dxfId="912" priority="786" operator="containsText" text="T">
      <formula>NOT(ISERROR(SEARCH("T",AD138)))</formula>
    </cfRule>
    <cfRule type="containsText" dxfId="911" priority="785" operator="containsText" text="17">
      <formula>NOT(ISERROR(SEARCH("17",AD138)))</formula>
    </cfRule>
  </conditionalFormatting>
  <conditionalFormatting sqref="AD145:AJ145">
    <cfRule type="containsText" dxfId="910" priority="776" operator="containsText" text="17">
      <formula>NOT(ISERROR(SEARCH("17",AD145)))</formula>
    </cfRule>
    <cfRule type="containsText" dxfId="909" priority="777" operator="containsText" text="T">
      <formula>NOT(ISERROR(SEARCH("T",AD145)))</formula>
    </cfRule>
  </conditionalFormatting>
  <conditionalFormatting sqref="AD34:AN34">
    <cfRule type="containsText" dxfId="908" priority="620" operator="containsText" text="T">
      <formula>NOT(ISERROR(SEARCH("T",AD34)))</formula>
    </cfRule>
    <cfRule type="containsText" dxfId="907" priority="619" operator="containsText" text="17">
      <formula>NOT(ISERROR(SEARCH("17",AD34)))</formula>
    </cfRule>
  </conditionalFormatting>
  <conditionalFormatting sqref="AD35:AX40 AD34:AL34">
    <cfRule type="containsText" dxfId="906" priority="626" operator="containsText" text="17">
      <formula>NOT(ISERROR(SEARCH("17",AD34)))</formula>
    </cfRule>
  </conditionalFormatting>
  <conditionalFormatting sqref="AE22:AE27">
    <cfRule type="containsText" dxfId="905" priority="614" operator="containsText" text="T">
      <formula>NOT(ISERROR(SEARCH("T",AE22)))</formula>
    </cfRule>
  </conditionalFormatting>
  <conditionalFormatting sqref="AE69 AI69:AK69 N70:AH75 AK70:AK75">
    <cfRule type="containsText" dxfId="904" priority="861" operator="containsText" text="T">
      <formula>NOT(ISERROR(SEARCH("T",N69)))</formula>
    </cfRule>
  </conditionalFormatting>
  <conditionalFormatting sqref="AE145">
    <cfRule type="containsText" dxfId="903" priority="772" operator="containsText" text="17">
      <formula>NOT(ISERROR(SEARCH("17",AE145)))</formula>
    </cfRule>
    <cfRule type="containsText" dxfId="902" priority="773" operator="containsText" text="T">
      <formula>NOT(ISERROR(SEARCH("T",AE145)))</formula>
    </cfRule>
  </conditionalFormatting>
  <conditionalFormatting sqref="AE69:AF69 AI69:AK69 AK70:AK75">
    <cfRule type="containsText" dxfId="901" priority="862" operator="containsText" text="17">
      <formula>NOT(ISERROR(SEARCH("17",AE69)))</formula>
    </cfRule>
  </conditionalFormatting>
  <conditionalFormatting sqref="AE152:AK152">
    <cfRule type="containsText" dxfId="900" priority="763" operator="containsText" text="17">
      <formula>NOT(ISERROR(SEARCH("17",AE152)))</formula>
    </cfRule>
    <cfRule type="containsText" dxfId="899" priority="764" operator="containsText" text="T">
      <formula>NOT(ISERROR(SEARCH("T",AE152)))</formula>
    </cfRule>
  </conditionalFormatting>
  <conditionalFormatting sqref="AE21:AO21">
    <cfRule type="containsText" dxfId="898" priority="606" operator="containsText" text="17">
      <formula>NOT(ISERROR(SEARCH("17",AE21)))</formula>
    </cfRule>
    <cfRule type="containsText" dxfId="897" priority="607" operator="containsText" text="T">
      <formula>NOT(ISERROR(SEARCH("T",AE21)))</formula>
    </cfRule>
  </conditionalFormatting>
  <conditionalFormatting sqref="AE22:AY27 AE21:AM21">
    <cfRule type="containsText" dxfId="896" priority="613" operator="containsText" text="17">
      <formula>NOT(ISERROR(SEARCH("17",AE21)))</formula>
    </cfRule>
  </conditionalFormatting>
  <conditionalFormatting sqref="AF42:AF47">
    <cfRule type="containsText" dxfId="895" priority="601" operator="containsText" text="T">
      <formula>NOT(ISERROR(SEARCH("T",AF42)))</formula>
    </cfRule>
  </conditionalFormatting>
  <conditionalFormatting sqref="AF69">
    <cfRule type="containsText" dxfId="894" priority="863" operator="containsText" text="T">
      <formula>NOT(ISERROR(SEARCH("T",AF69)))</formula>
    </cfRule>
  </conditionalFormatting>
  <conditionalFormatting sqref="AF99 AJ99:AL99 O100:AI105 AL100:AL105">
    <cfRule type="containsText" dxfId="893" priority="848" operator="containsText" text="T">
      <formula>NOT(ISERROR(SEARCH("T",O99)))</formula>
    </cfRule>
  </conditionalFormatting>
  <conditionalFormatting sqref="AF152">
    <cfRule type="containsText" dxfId="892" priority="759" operator="containsText" text="17">
      <formula>NOT(ISERROR(SEARCH("17",AF152)))</formula>
    </cfRule>
    <cfRule type="containsText" dxfId="891" priority="760" operator="containsText" text="T">
      <formula>NOT(ISERROR(SEARCH("T",AF152)))</formula>
    </cfRule>
  </conditionalFormatting>
  <conditionalFormatting sqref="AF99:AG99 AJ99:AL99 AL100:AL105">
    <cfRule type="containsText" dxfId="890" priority="849" operator="containsText" text="17">
      <formula>NOT(ISERROR(SEARCH("17",AF99)))</formula>
    </cfRule>
  </conditionalFormatting>
  <conditionalFormatting sqref="AF159:AL159">
    <cfRule type="containsText" dxfId="889" priority="750" operator="containsText" text="17">
      <formula>NOT(ISERROR(SEARCH("17",AF159)))</formula>
    </cfRule>
    <cfRule type="containsText" dxfId="888" priority="751" operator="containsText" text="T">
      <formula>NOT(ISERROR(SEARCH("T",AF159)))</formula>
    </cfRule>
  </conditionalFormatting>
  <conditionalFormatting sqref="AF41:AP41">
    <cfRule type="containsText" dxfId="887" priority="593" operator="containsText" text="17">
      <formula>NOT(ISERROR(SEARCH("17",AF41)))</formula>
    </cfRule>
    <cfRule type="containsText" dxfId="886" priority="594" operator="containsText" text="T">
      <formula>NOT(ISERROR(SEARCH("T",AF41)))</formula>
    </cfRule>
  </conditionalFormatting>
  <conditionalFormatting sqref="AF42:AZ47 AF41:AN41">
    <cfRule type="containsText" dxfId="885" priority="600" operator="containsText" text="17">
      <formula>NOT(ISERROR(SEARCH("17",AF41)))</formula>
    </cfRule>
  </conditionalFormatting>
  <conditionalFormatting sqref="AG67:AG68">
    <cfRule type="containsText" dxfId="884" priority="838" operator="containsText" text="T">
      <formula>NOT(ISERROR(SEARCH("T",AG67)))</formula>
    </cfRule>
  </conditionalFormatting>
  <conditionalFormatting sqref="AG97:AG98">
    <cfRule type="containsText" dxfId="883" priority="828" operator="containsText" text="T">
      <formula>NOT(ISERROR(SEARCH("T",AG97)))</formula>
    </cfRule>
  </conditionalFormatting>
  <conditionalFormatting sqref="AG99">
    <cfRule type="containsText" dxfId="882" priority="850" operator="containsText" text="T">
      <formula>NOT(ISERROR(SEARCH("T",AG99)))</formula>
    </cfRule>
  </conditionalFormatting>
  <conditionalFormatting sqref="AG114:AG119">
    <cfRule type="containsText" dxfId="881" priority="910" operator="containsText" text="T">
      <formula>NOT(ISERROR(SEARCH("T",AG114)))</formula>
    </cfRule>
  </conditionalFormatting>
  <conditionalFormatting sqref="AG127:AG130 AK127:AM130">
    <cfRule type="containsText" dxfId="880" priority="808" operator="containsText" text="T">
      <formula>NOT(ISERROR(SEARCH("T",AG127)))</formula>
    </cfRule>
  </conditionalFormatting>
  <conditionalFormatting sqref="AG159">
    <cfRule type="containsText" dxfId="879" priority="746" operator="containsText" text="17">
      <formula>NOT(ISERROR(SEARCH("17",AG159)))</formula>
    </cfRule>
    <cfRule type="containsText" dxfId="878" priority="747" operator="containsText" text="T">
      <formula>NOT(ISERROR(SEARCH("T",AG159)))</formula>
    </cfRule>
  </conditionalFormatting>
  <conditionalFormatting sqref="AG67:AH68">
    <cfRule type="containsText" dxfId="877" priority="839" operator="containsText" text="17">
      <formula>NOT(ISERROR(SEARCH("17",AG67)))</formula>
    </cfRule>
  </conditionalFormatting>
  <conditionalFormatting sqref="AG97:AH98">
    <cfRule type="containsText" dxfId="876" priority="829" operator="containsText" text="17">
      <formula>NOT(ISERROR(SEARCH("17",AG97)))</formula>
    </cfRule>
  </conditionalFormatting>
  <conditionalFormatting sqref="AG127:AH130 AK127:AM130">
    <cfRule type="containsText" dxfId="875" priority="809" operator="containsText" text="17">
      <formula>NOT(ISERROR(SEARCH("17",AG127)))</formula>
    </cfRule>
  </conditionalFormatting>
  <conditionalFormatting sqref="AG207:AM207">
    <cfRule type="containsText" dxfId="874" priority="738" operator="containsText" text="T">
      <formula>NOT(ISERROR(SEARCH("T",AG207)))</formula>
    </cfRule>
    <cfRule type="containsText" dxfId="873" priority="737" operator="containsText" text="17">
      <formula>NOT(ISERROR(SEARCH("17",AG207)))</formula>
    </cfRule>
  </conditionalFormatting>
  <conditionalFormatting sqref="AG28:AO32">
    <cfRule type="containsText" dxfId="872" priority="590" operator="containsText" text="17">
      <formula>NOT(ISERROR(SEARCH("17",AG28)))</formula>
    </cfRule>
  </conditionalFormatting>
  <conditionalFormatting sqref="AG28:AQ32">
    <cfRule type="containsText" dxfId="871" priority="584" operator="containsText" text="T">
      <formula>NOT(ISERROR(SEARCH("T",AG28)))</formula>
    </cfRule>
    <cfRule type="containsText" dxfId="870" priority="583" operator="containsText" text="17">
      <formula>NOT(ISERROR(SEARCH("17",AG28)))</formula>
    </cfRule>
  </conditionalFormatting>
  <conditionalFormatting sqref="AG48:AQ49">
    <cfRule type="containsText" dxfId="869" priority="573" operator="containsText" text="17">
      <formula>NOT(ISERROR(SEARCH("17",AG48)))</formula>
    </cfRule>
  </conditionalFormatting>
  <conditionalFormatting sqref="AG106:AY106">
    <cfRule type="containsText" dxfId="868" priority="411" operator="containsText" text="17">
      <formula>NOT(ISERROR(SEARCH("17",AG106)))</formula>
    </cfRule>
  </conditionalFormatting>
  <conditionalFormatting sqref="AG106:BA106">
    <cfRule type="containsText" dxfId="867" priority="405" operator="containsText" text="T">
      <formula>NOT(ISERROR(SEARCH("T",AG106)))</formula>
    </cfRule>
  </conditionalFormatting>
  <conditionalFormatting sqref="AH67:AH68">
    <cfRule type="containsText" dxfId="866" priority="840" operator="containsText" text="T">
      <formula>NOT(ISERROR(SEARCH("T",AH67)))</formula>
    </cfRule>
  </conditionalFormatting>
  <conditionalFormatting sqref="AH77:AH82">
    <cfRule type="containsText" dxfId="865" priority="897" operator="containsText" text="T">
      <formula>NOT(ISERROR(SEARCH("T",AH77)))</formula>
    </cfRule>
  </conditionalFormatting>
  <conditionalFormatting sqref="AH97:AH98">
    <cfRule type="containsText" dxfId="864" priority="830" operator="containsText" text="T">
      <formula>NOT(ISERROR(SEARCH("T",AH97)))</formula>
    </cfRule>
  </conditionalFormatting>
  <conditionalFormatting sqref="AH127:AH130">
    <cfRule type="containsText" dxfId="863" priority="810" operator="containsText" text="T">
      <formula>NOT(ISERROR(SEARCH("T",AH127)))</formula>
    </cfRule>
  </conditionalFormatting>
  <conditionalFormatting sqref="AH131 AL131:AN131 Q132:AK137 AN132:AN137">
    <cfRule type="containsText" dxfId="862" priority="795" operator="containsText" text="T">
      <formula>NOT(ISERROR(SEARCH("T",Q131)))</formula>
    </cfRule>
  </conditionalFormatting>
  <conditionalFormatting sqref="AH207">
    <cfRule type="containsText" dxfId="861" priority="733" operator="containsText" text="17">
      <formula>NOT(ISERROR(SEARCH("17",AH207)))</formula>
    </cfRule>
    <cfRule type="containsText" dxfId="860" priority="734" operator="containsText" text="T">
      <formula>NOT(ISERROR(SEARCH("T",AH207)))</formula>
    </cfRule>
  </conditionalFormatting>
  <conditionalFormatting sqref="AH131:AI131 AL131:AN131 AN132:AN137">
    <cfRule type="containsText" dxfId="859" priority="796" operator="containsText" text="17">
      <formula>NOT(ISERROR(SEARCH("17",AH131)))</formula>
    </cfRule>
  </conditionalFormatting>
  <conditionalFormatting sqref="AH200:AN200">
    <cfRule type="containsText" dxfId="858" priority="724" operator="containsText" text="17">
      <formula>NOT(ISERROR(SEARCH("17",AH200)))</formula>
    </cfRule>
    <cfRule type="containsText" dxfId="857" priority="725" operator="containsText" text="T">
      <formula>NOT(ISERROR(SEARCH("T",AH200)))</formula>
    </cfRule>
  </conditionalFormatting>
  <conditionalFormatting sqref="AH50:AP53">
    <cfRule type="containsText" dxfId="856" priority="570" operator="containsText" text="17">
      <formula>NOT(ISERROR(SEARCH("17",AH50)))</formula>
    </cfRule>
  </conditionalFormatting>
  <conditionalFormatting sqref="AH50:AR53">
    <cfRule type="containsText" dxfId="855" priority="563" operator="containsText" text="17">
      <formula>NOT(ISERROR(SEARCH("17",AH50)))</formula>
    </cfRule>
  </conditionalFormatting>
  <conditionalFormatting sqref="AH63:AR66">
    <cfRule type="containsText" dxfId="854" priority="553" operator="containsText" text="17">
      <formula>NOT(ISERROR(SEARCH("17",AH63)))</formula>
    </cfRule>
  </conditionalFormatting>
  <conditionalFormatting sqref="AH113:AU116">
    <cfRule type="containsText" dxfId="853" priority="476" operator="containsText" text="17">
      <formula>NOT(ISERROR(SEARCH("17",AH113)))</formula>
    </cfRule>
  </conditionalFormatting>
  <conditionalFormatting sqref="AH117:AV119">
    <cfRule type="containsText" dxfId="852" priority="466" operator="containsText" text="17">
      <formula>NOT(ISERROR(SEARCH("17",AH117)))</formula>
    </cfRule>
  </conditionalFormatting>
  <conditionalFormatting sqref="AH113:AW116">
    <cfRule type="containsText" dxfId="851" priority="470" operator="containsText" text="T">
      <formula>NOT(ISERROR(SEARCH("T",AH113)))</formula>
    </cfRule>
  </conditionalFormatting>
  <conditionalFormatting sqref="AH117:AX119">
    <cfRule type="containsText" dxfId="850" priority="460" operator="containsText" text="T">
      <formula>NOT(ISERROR(SEARCH("T",AH117)))</formula>
    </cfRule>
  </conditionalFormatting>
  <conditionalFormatting sqref="AI131">
    <cfRule type="containsText" dxfId="849" priority="797" operator="containsText" text="T">
      <formula>NOT(ISERROR(SEARCH("T",AI131)))</formula>
    </cfRule>
  </conditionalFormatting>
  <conditionalFormatting sqref="AI138 AM138:AO138 R139:AL144 AO139:AO144">
    <cfRule type="containsText" dxfId="848" priority="782" operator="containsText" text="T">
      <formula>NOT(ISERROR(SEARCH("T",R138)))</formula>
    </cfRule>
  </conditionalFormatting>
  <conditionalFormatting sqref="AI200">
    <cfRule type="containsText" dxfId="847" priority="721" operator="containsText" text="T">
      <formula>NOT(ISERROR(SEARCH("T",AI200)))</formula>
    </cfRule>
    <cfRule type="containsText" dxfId="846" priority="720" operator="containsText" text="17">
      <formula>NOT(ISERROR(SEARCH("17",AI200)))</formula>
    </cfRule>
  </conditionalFormatting>
  <conditionalFormatting sqref="AI138:AJ138 AM138:AO138 AO139:AO144">
    <cfRule type="containsText" dxfId="845" priority="783" operator="containsText" text="17">
      <formula>NOT(ISERROR(SEARCH("17",AI138)))</formula>
    </cfRule>
  </conditionalFormatting>
  <conditionalFormatting sqref="AI107:AO112">
    <cfRule type="containsText" dxfId="844" priority="884" operator="containsText" text="T">
      <formula>NOT(ISERROR(SEARCH("T",AI107)))</formula>
    </cfRule>
  </conditionalFormatting>
  <conditionalFormatting sqref="AI192:AO192">
    <cfRule type="containsText" dxfId="843" priority="701" operator="containsText" text="T">
      <formula>NOT(ISERROR(SEARCH("T",AI192)))</formula>
    </cfRule>
  </conditionalFormatting>
  <conditionalFormatting sqref="AI193:AO193">
    <cfRule type="containsText" dxfId="842" priority="712" operator="containsText" text="T">
      <formula>NOT(ISERROR(SEARCH("T",AI193)))</formula>
    </cfRule>
    <cfRule type="containsText" dxfId="841" priority="711" operator="containsText" text="17">
      <formula>NOT(ISERROR(SEARCH("17",AI193)))</formula>
    </cfRule>
  </conditionalFormatting>
  <conditionalFormatting sqref="AI192:AP192 AS192:AU192">
    <cfRule type="containsText" dxfId="840" priority="699" operator="containsText" text="17">
      <formula>NOT(ISERROR(SEARCH("17",AI192)))</formula>
    </cfRule>
  </conditionalFormatting>
  <conditionalFormatting sqref="AI59:AS62">
    <cfRule type="containsText" dxfId="839" priority="539" operator="containsText" text="17">
      <formula>NOT(ISERROR(SEARCH("17",AI59)))</formula>
    </cfRule>
  </conditionalFormatting>
  <conditionalFormatting sqref="AI86:AS89">
    <cfRule type="containsText" dxfId="838" priority="529" operator="containsText" text="17">
      <formula>NOT(ISERROR(SEARCH("17",AI86)))</formula>
    </cfRule>
  </conditionalFormatting>
  <conditionalFormatting sqref="AI79:AV82">
    <cfRule type="containsText" dxfId="837" priority="456" operator="containsText" text="17">
      <formula>NOT(ISERROR(SEARCH("17",AI79)))</formula>
    </cfRule>
  </conditionalFormatting>
  <conditionalFormatting sqref="AI76:AX78">
    <cfRule type="containsText" dxfId="836" priority="431" operator="containsText" text="17">
      <formula>NOT(ISERROR(SEARCH("17",AI76)))</formula>
    </cfRule>
  </conditionalFormatting>
  <conditionalFormatting sqref="AI79:AX82">
    <cfRule type="containsText" dxfId="835" priority="450" operator="containsText" text="T">
      <formula>NOT(ISERROR(SEARCH("T",AI79)))</formula>
    </cfRule>
  </conditionalFormatting>
  <conditionalFormatting sqref="AI76:AZ78">
    <cfRule type="containsText" dxfId="834" priority="425" operator="containsText" text="T">
      <formula>NOT(ISERROR(SEARCH("T",AI76)))</formula>
    </cfRule>
  </conditionalFormatting>
  <conditionalFormatting sqref="AJ120:AJ126">
    <cfRule type="containsText" dxfId="833" priority="445" operator="containsText" text="17">
      <formula>NOT(ISERROR(SEARCH("17",AJ120)))</formula>
    </cfRule>
    <cfRule type="containsText" dxfId="832" priority="448" operator="containsText" text="T">
      <formula>NOT(ISERROR(SEARCH("T",AJ120)))</formula>
    </cfRule>
  </conditionalFormatting>
  <conditionalFormatting sqref="AJ138">
    <cfRule type="containsText" dxfId="831" priority="784" operator="containsText" text="T">
      <formula>NOT(ISERROR(SEARCH("T",AJ138)))</formula>
    </cfRule>
  </conditionalFormatting>
  <conditionalFormatting sqref="AJ145 AN145:AP145 S146:AM151 AP146:AP151">
    <cfRule type="containsText" dxfId="830" priority="769" operator="containsText" text="T">
      <formula>NOT(ISERROR(SEARCH("T",S145)))</formula>
    </cfRule>
  </conditionalFormatting>
  <conditionalFormatting sqref="AJ192:AJ193">
    <cfRule type="containsText" dxfId="829" priority="707" operator="containsText" text="17">
      <formula>NOT(ISERROR(SEARCH("17",AJ192)))</formula>
    </cfRule>
    <cfRule type="containsText" dxfId="828" priority="708" operator="containsText" text="T">
      <formula>NOT(ISERROR(SEARCH("T",AJ192)))</formula>
    </cfRule>
  </conditionalFormatting>
  <conditionalFormatting sqref="AJ145:AK145 AN145:AP145 AP146:AP151">
    <cfRule type="containsText" dxfId="827" priority="770" operator="containsText" text="17">
      <formula>NOT(ISERROR(SEARCH("17",AJ145)))</formula>
    </cfRule>
  </conditionalFormatting>
  <conditionalFormatting sqref="AJ168:AP168">
    <cfRule type="containsText" dxfId="826" priority="693" operator="containsText" text="17">
      <formula>NOT(ISERROR(SEARCH("17",AJ168)))</formula>
    </cfRule>
    <cfRule type="containsText" dxfId="825" priority="694" operator="containsText" text="T">
      <formula>NOT(ISERROR(SEARCH("T",AJ168)))</formula>
    </cfRule>
  </conditionalFormatting>
  <conditionalFormatting sqref="AJ83:AT85">
    <cfRule type="containsText" dxfId="824" priority="519" operator="containsText" text="17">
      <formula>NOT(ISERROR(SEARCH("17",AJ83)))</formula>
    </cfRule>
  </conditionalFormatting>
  <conditionalFormatting sqref="AJ214:AT217">
    <cfRule type="containsText" dxfId="823" priority="509" operator="containsText" text="17">
      <formula>NOT(ISERROR(SEARCH("17",AJ214)))</formula>
    </cfRule>
  </conditionalFormatting>
  <conditionalFormatting sqref="AK70:AK75">
    <cfRule type="containsText" dxfId="822" priority="871" operator="containsText" text="T">
      <formula>NOT(ISERROR(SEARCH("T",AK70)))</formula>
    </cfRule>
  </conditionalFormatting>
  <conditionalFormatting sqref="AK129:AK130 P127:X130">
    <cfRule type="containsText" dxfId="821" priority="813" operator="containsText" text="17">
      <formula>NOT(ISERROR(SEARCH("17",P127)))</formula>
    </cfRule>
  </conditionalFormatting>
  <conditionalFormatting sqref="AK145">
    <cfRule type="containsText" dxfId="820" priority="771" operator="containsText" text="T">
      <formula>NOT(ISERROR(SEARCH("T",AK145)))</formula>
    </cfRule>
  </conditionalFormatting>
  <conditionalFormatting sqref="AK152 AO152:AQ152 T153:AN158 AQ153:AQ158">
    <cfRule type="containsText" dxfId="819" priority="756" operator="containsText" text="T">
      <formula>NOT(ISERROR(SEARCH("T",T152)))</formula>
    </cfRule>
  </conditionalFormatting>
  <conditionalFormatting sqref="AK168">
    <cfRule type="containsText" dxfId="818" priority="689" operator="containsText" text="17">
      <formula>NOT(ISERROR(SEARCH("17",AK168)))</formula>
    </cfRule>
    <cfRule type="containsText" dxfId="817" priority="690" operator="containsText" text="T">
      <formula>NOT(ISERROR(SEARCH("T",AK168)))</formula>
    </cfRule>
  </conditionalFormatting>
  <conditionalFormatting sqref="AK152:AL152 AO152:AQ152 AQ153:AQ158">
    <cfRule type="containsText" dxfId="816" priority="757" operator="containsText" text="17">
      <formula>NOT(ISERROR(SEARCH("17",AK152)))</formula>
    </cfRule>
  </conditionalFormatting>
  <conditionalFormatting sqref="AK175:AQ175">
    <cfRule type="containsText" dxfId="815" priority="681" operator="containsText" text="T">
      <formula>NOT(ISERROR(SEARCH("T",AK175)))</formula>
    </cfRule>
    <cfRule type="containsText" dxfId="814" priority="680" operator="containsText" text="17">
      <formula>NOT(ISERROR(SEARCH("17",AK175)))</formula>
    </cfRule>
  </conditionalFormatting>
  <conditionalFormatting sqref="AK218:AU224">
    <cfRule type="containsText" dxfId="813" priority="499" operator="containsText" text="17">
      <formula>NOT(ISERROR(SEARCH("17",AK218)))</formula>
    </cfRule>
  </conditionalFormatting>
  <conditionalFormatting sqref="AK120:AY120">
    <cfRule type="containsText" dxfId="812" priority="391" operator="containsText" text="17">
      <formula>NOT(ISERROR(SEARCH("17",AK120)))</formula>
    </cfRule>
  </conditionalFormatting>
  <conditionalFormatting sqref="AK122:AY122">
    <cfRule type="containsText" dxfId="811" priority="381" operator="containsText" text="17">
      <formula>NOT(ISERROR(SEARCH("17",AK122)))</formula>
    </cfRule>
  </conditionalFormatting>
  <conditionalFormatting sqref="AK124:AY126">
    <cfRule type="containsText" dxfId="810" priority="401" operator="containsText" text="17">
      <formula>NOT(ISERROR(SEARCH("17",AK124)))</formula>
    </cfRule>
  </conditionalFormatting>
  <conditionalFormatting sqref="AK121:AZ121">
    <cfRule type="containsText" dxfId="809" priority="361" operator="containsText" text="17">
      <formula>NOT(ISERROR(SEARCH("17",AK121)))</formula>
    </cfRule>
  </conditionalFormatting>
  <conditionalFormatting sqref="AK123:AZ123">
    <cfRule type="containsText" dxfId="808" priority="351" operator="containsText" text="17">
      <formula>NOT(ISERROR(SEARCH("17",AK123)))</formula>
    </cfRule>
  </conditionalFormatting>
  <conditionalFormatting sqref="AK67:BA68">
    <cfRule type="containsText" dxfId="807" priority="311" operator="containsText" text="17">
      <formula>NOT(ISERROR(SEARCH("17",AK67)))</formula>
    </cfRule>
  </conditionalFormatting>
  <conditionalFormatting sqref="AK120:BA120">
    <cfRule type="containsText" dxfId="806" priority="385" operator="containsText" text="T">
      <formula>NOT(ISERROR(SEARCH("T",AK120)))</formula>
    </cfRule>
  </conditionalFormatting>
  <conditionalFormatting sqref="AK122:BA122">
    <cfRule type="containsText" dxfId="805" priority="375" operator="containsText" text="T">
      <formula>NOT(ISERROR(SEARCH("T",AK122)))</formula>
    </cfRule>
  </conditionalFormatting>
  <conditionalFormatting sqref="AK124:BA126">
    <cfRule type="containsText" dxfId="804" priority="395" operator="containsText" text="T">
      <formula>NOT(ISERROR(SEARCH("T",AK124)))</formula>
    </cfRule>
  </conditionalFormatting>
  <conditionalFormatting sqref="AK97:BB98">
    <cfRule type="containsText" dxfId="803" priority="301" operator="containsText" text="17">
      <formula>NOT(ISERROR(SEARCH("17",AK97)))</formula>
    </cfRule>
  </conditionalFormatting>
  <conditionalFormatting sqref="AK121:BB121">
    <cfRule type="containsText" dxfId="802" priority="355" operator="containsText" text="T">
      <formula>NOT(ISERROR(SEARCH("T",AK121)))</formula>
    </cfRule>
  </conditionalFormatting>
  <conditionalFormatting sqref="AK123:BB123">
    <cfRule type="containsText" dxfId="801" priority="345" operator="containsText" text="T">
      <formula>NOT(ISERROR(SEARCH("T",AK123)))</formula>
    </cfRule>
  </conditionalFormatting>
  <conditionalFormatting sqref="AK67:BC68">
    <cfRule type="containsText" dxfId="800" priority="305" operator="containsText" text="T">
      <formula>NOT(ISERROR(SEARCH("T",AK67)))</formula>
    </cfRule>
  </conditionalFormatting>
  <conditionalFormatting sqref="AK97:BD98">
    <cfRule type="containsText" dxfId="799" priority="295" operator="containsText" text="T">
      <formula>NOT(ISERROR(SEARCH("T",AK97)))</formula>
    </cfRule>
  </conditionalFormatting>
  <conditionalFormatting sqref="AL100:AL105">
    <cfRule type="containsText" dxfId="798" priority="858" operator="containsText" text="T">
      <formula>NOT(ISERROR(SEARCH("T",AL100)))</formula>
    </cfRule>
  </conditionalFormatting>
  <conditionalFormatting sqref="AL152">
    <cfRule type="containsText" dxfId="797" priority="758" operator="containsText" text="T">
      <formula>NOT(ISERROR(SEARCH("T",AL152)))</formula>
    </cfRule>
  </conditionalFormatting>
  <conditionalFormatting sqref="AL159 AP159:AR159 U160:AO165 AR160:AR165">
    <cfRule type="containsText" dxfId="796" priority="743" operator="containsText" text="T">
      <formula>NOT(ISERROR(SEARCH("T",U159)))</formula>
    </cfRule>
  </conditionalFormatting>
  <conditionalFormatting sqref="AL175">
    <cfRule type="containsText" dxfId="795" priority="677" operator="containsText" text="T">
      <formula>NOT(ISERROR(SEARCH("T",AL175)))</formula>
    </cfRule>
    <cfRule type="containsText" dxfId="794" priority="676" operator="containsText" text="17">
      <formula>NOT(ISERROR(SEARCH("17",AL175)))</formula>
    </cfRule>
  </conditionalFormatting>
  <conditionalFormatting sqref="AL159:AM159 AP159:AR159 AR160:AR165">
    <cfRule type="containsText" dxfId="793" priority="744" operator="containsText" text="17">
      <formula>NOT(ISERROR(SEARCH("17",AL159)))</formula>
    </cfRule>
  </conditionalFormatting>
  <conditionalFormatting sqref="AL182:AR182">
    <cfRule type="containsText" dxfId="792" priority="668" operator="containsText" text="T">
      <formula>NOT(ISERROR(SEARCH("T",AL182)))</formula>
    </cfRule>
    <cfRule type="containsText" dxfId="791" priority="667" operator="containsText" text="17">
      <formula>NOT(ISERROR(SEARCH("17",AL182)))</formula>
    </cfRule>
  </conditionalFormatting>
  <conditionalFormatting sqref="AL225:AV231">
    <cfRule type="containsText" dxfId="790" priority="489" operator="containsText" text="17">
      <formula>NOT(ISERROR(SEARCH("17",AL225)))</formula>
    </cfRule>
  </conditionalFormatting>
  <conditionalFormatting sqref="AL72:AY75">
    <cfRule type="containsText" dxfId="789" priority="421" operator="containsText" text="17">
      <formula>NOT(ISERROR(SEARCH("17",AL72)))</formula>
    </cfRule>
  </conditionalFormatting>
  <conditionalFormatting sqref="AL69:AZ71">
    <cfRule type="containsText" dxfId="788" priority="341" operator="containsText" text="17">
      <formula>NOT(ISERROR(SEARCH("17",AL69)))</formula>
    </cfRule>
  </conditionalFormatting>
  <conditionalFormatting sqref="AL72:BA75">
    <cfRule type="containsText" dxfId="787" priority="415" operator="containsText" text="T">
      <formula>NOT(ISERROR(SEARCH("T",AL72)))</formula>
    </cfRule>
  </conditionalFormatting>
  <conditionalFormatting sqref="AL69:BB71">
    <cfRule type="containsText" dxfId="786" priority="335" operator="containsText" text="T">
      <formula>NOT(ISERROR(SEARCH("T",AL69)))</formula>
    </cfRule>
  </conditionalFormatting>
  <conditionalFormatting sqref="AM159">
    <cfRule type="containsText" dxfId="785" priority="745" operator="containsText" text="T">
      <formula>NOT(ISERROR(SEARCH("T",AM159)))</formula>
    </cfRule>
  </conditionalFormatting>
  <conditionalFormatting sqref="AM182">
    <cfRule type="containsText" dxfId="784" priority="663" operator="containsText" text="17">
      <formula>NOT(ISERROR(SEARCH("17",AM182)))</formula>
    </cfRule>
    <cfRule type="containsText" dxfId="783" priority="664" operator="containsText" text="T">
      <formula>NOT(ISERROR(SEARCH("T",AM182)))</formula>
    </cfRule>
  </conditionalFormatting>
  <conditionalFormatting sqref="AM207 AQ207:AS207 V208:AP213 AS208:AS213">
    <cfRule type="containsText" dxfId="782" priority="730" operator="containsText" text="T">
      <formula>NOT(ISERROR(SEARCH("T",V207)))</formula>
    </cfRule>
  </conditionalFormatting>
  <conditionalFormatting sqref="AM207:AN207 AQ207:AS207 AS208:AS213">
    <cfRule type="containsText" dxfId="781" priority="731" operator="containsText" text="17">
      <formula>NOT(ISERROR(SEARCH("17",AM207)))</formula>
    </cfRule>
  </conditionalFormatting>
  <conditionalFormatting sqref="AM90:AS90">
    <cfRule type="containsText" dxfId="780" priority="655" operator="containsText" text="T">
      <formula>NOT(ISERROR(SEARCH("T",AM90)))</formula>
    </cfRule>
    <cfRule type="containsText" dxfId="779" priority="654" operator="containsText" text="17">
      <formula>NOT(ISERROR(SEARCH("17",AM90)))</formula>
    </cfRule>
  </conditionalFormatting>
  <conditionalFormatting sqref="AM113:AW116">
    <cfRule type="containsText" dxfId="778" priority="469" operator="containsText" text="17">
      <formula>NOT(ISERROR(SEARCH("17",AM113)))</formula>
    </cfRule>
  </conditionalFormatting>
  <conditionalFormatting sqref="AM232:AW234">
    <cfRule type="containsText" dxfId="777" priority="479" operator="containsText" text="17">
      <formula>NOT(ISERROR(SEARCH("17",AM232)))</formula>
    </cfRule>
  </conditionalFormatting>
  <conditionalFormatting sqref="AM103:AZ104">
    <cfRule type="containsText" dxfId="776" priority="371" operator="containsText" text="17">
      <formula>NOT(ISERROR(SEARCH("17",AM103)))</formula>
    </cfRule>
  </conditionalFormatting>
  <conditionalFormatting sqref="AM99:BA102">
    <cfRule type="containsText" dxfId="775" priority="331" operator="containsText" text="17">
      <formula>NOT(ISERROR(SEARCH("17",AM99)))</formula>
    </cfRule>
  </conditionalFormatting>
  <conditionalFormatting sqref="AM105:BA105">
    <cfRule type="containsText" dxfId="774" priority="321" operator="containsText" text="17">
      <formula>NOT(ISERROR(SEARCH("17",AM105)))</formula>
    </cfRule>
  </conditionalFormatting>
  <conditionalFormatting sqref="AM103:BB104">
    <cfRule type="containsText" dxfId="773" priority="365" operator="containsText" text="T">
      <formula>NOT(ISERROR(SEARCH("T",AM103)))</formula>
    </cfRule>
  </conditionalFormatting>
  <conditionalFormatting sqref="AM99:BC102">
    <cfRule type="containsText" dxfId="772" priority="325" operator="containsText" text="T">
      <formula>NOT(ISERROR(SEARCH("T",AM99)))</formula>
    </cfRule>
  </conditionalFormatting>
  <conditionalFormatting sqref="AM105:BC105">
    <cfRule type="containsText" dxfId="771" priority="315" operator="containsText" text="T">
      <formula>NOT(ISERROR(SEARCH("T",AM105)))</formula>
    </cfRule>
  </conditionalFormatting>
  <conditionalFormatting sqref="AN90">
    <cfRule type="containsText" dxfId="770" priority="651" operator="containsText" text="T">
      <formula>NOT(ISERROR(SEARCH("T",AN90)))</formula>
    </cfRule>
    <cfRule type="containsText" dxfId="769" priority="650" operator="containsText" text="17">
      <formula>NOT(ISERROR(SEARCH("17",AN90)))</formula>
    </cfRule>
  </conditionalFormatting>
  <conditionalFormatting sqref="AN132:AN137">
    <cfRule type="containsText" dxfId="768" priority="805" operator="containsText" text="T">
      <formula>NOT(ISERROR(SEARCH("T",AN132)))</formula>
    </cfRule>
  </conditionalFormatting>
  <conditionalFormatting sqref="AN200 AR200:AT200 W201:AQ206 AT201:AT206">
    <cfRule type="containsText" dxfId="767" priority="717" operator="containsText" text="T">
      <formula>NOT(ISERROR(SEARCH("T",W200)))</formula>
    </cfRule>
  </conditionalFormatting>
  <conditionalFormatting sqref="AN207">
    <cfRule type="containsText" dxfId="766" priority="732" operator="containsText" text="T">
      <formula>NOT(ISERROR(SEARCH("T",AN207)))</formula>
    </cfRule>
  </conditionalFormatting>
  <conditionalFormatting sqref="AN200:AO200 AR200:AT200 AT201:AT206">
    <cfRule type="containsText" dxfId="765" priority="718" operator="containsText" text="17">
      <formula>NOT(ISERROR(SEARCH("17",AN200)))</formula>
    </cfRule>
  </conditionalFormatting>
  <conditionalFormatting sqref="AN14:AT14">
    <cfRule type="containsText" dxfId="764" priority="641" operator="containsText" text="17">
      <formula>NOT(ISERROR(SEARCH("17",AN14)))</formula>
    </cfRule>
    <cfRule type="containsText" dxfId="763" priority="642" operator="containsText" text="T">
      <formula>NOT(ISERROR(SEARCH("T",AN14)))</formula>
    </cfRule>
  </conditionalFormatting>
  <conditionalFormatting sqref="AN79:AX82">
    <cfRule type="containsText" dxfId="762" priority="449" operator="containsText" text="17">
      <formula>NOT(ISERROR(SEARCH("17",AN79)))</formula>
    </cfRule>
  </conditionalFormatting>
  <conditionalFormatting sqref="AN117:AX119">
    <cfRule type="containsText" dxfId="761" priority="459" operator="containsText" text="17">
      <formula>NOT(ISERROR(SEARCH("17",AN117)))</formula>
    </cfRule>
  </conditionalFormatting>
  <conditionalFormatting sqref="AO14">
    <cfRule type="containsText" dxfId="760" priority="637" operator="containsText" text="17">
      <formula>NOT(ISERROR(SEARCH("17",AO14)))</formula>
    </cfRule>
    <cfRule type="containsText" dxfId="759" priority="638" operator="containsText" text="T">
      <formula>NOT(ISERROR(SEARCH("T",AO14)))</formula>
    </cfRule>
  </conditionalFormatting>
  <conditionalFormatting sqref="AO139:AO144">
    <cfRule type="containsText" dxfId="758" priority="792" operator="containsText" text="T">
      <formula>NOT(ISERROR(SEARCH("T",AO139)))</formula>
    </cfRule>
  </conditionalFormatting>
  <conditionalFormatting sqref="AO192:AO193 AS192:AU193 X194:AR199 AU194:AU199">
    <cfRule type="containsText" dxfId="757" priority="704" operator="containsText" text="T">
      <formula>NOT(ISERROR(SEARCH("T",X192)))</formula>
    </cfRule>
  </conditionalFormatting>
  <conditionalFormatting sqref="AO200">
    <cfRule type="containsText" dxfId="756" priority="719" operator="containsText" text="T">
      <formula>NOT(ISERROR(SEARCH("T",AO200)))</formula>
    </cfRule>
  </conditionalFormatting>
  <conditionalFormatting sqref="AO193:AP193 AS193:AU193 AU194:AU199">
    <cfRule type="containsText" dxfId="755" priority="705" operator="containsText" text="17">
      <formula>NOT(ISERROR(SEARCH("17",AO193)))</formula>
    </cfRule>
  </conditionalFormatting>
  <conditionalFormatting sqref="AO34:AU34">
    <cfRule type="containsText" dxfId="754" priority="629" operator="containsText" text="T">
      <formula>NOT(ISERROR(SEARCH("T",AO34)))</formula>
    </cfRule>
    <cfRule type="containsText" dxfId="753" priority="628" operator="containsText" text="17">
      <formula>NOT(ISERROR(SEARCH("17",AO34)))</formula>
    </cfRule>
  </conditionalFormatting>
  <conditionalFormatting sqref="AO131:BB137">
    <cfRule type="containsText" dxfId="752" priority="291" operator="containsText" text="17">
      <formula>NOT(ISERROR(SEARCH("17",AO131)))</formula>
    </cfRule>
  </conditionalFormatting>
  <conditionalFormatting sqref="AO131:BD137">
    <cfRule type="containsText" dxfId="751" priority="285" operator="containsText" text="T">
      <formula>NOT(ISERROR(SEARCH("T",AO131)))</formula>
    </cfRule>
  </conditionalFormatting>
  <conditionalFormatting sqref="AP34">
    <cfRule type="containsText" dxfId="750" priority="625" operator="containsText" text="T">
      <formula>NOT(ISERROR(SEARCH("T",AP34)))</formula>
    </cfRule>
    <cfRule type="containsText" dxfId="749" priority="624" operator="containsText" text="17">
      <formula>NOT(ISERROR(SEARCH("17",AP34)))</formula>
    </cfRule>
  </conditionalFormatting>
  <conditionalFormatting sqref="AP146:AP151">
    <cfRule type="containsText" dxfId="748" priority="779" operator="containsText" text="T">
      <formula>NOT(ISERROR(SEARCH("T",AP146)))</formula>
    </cfRule>
  </conditionalFormatting>
  <conditionalFormatting sqref="AP168 AT168:AV168 Y169:AS174 AV169:AV174">
    <cfRule type="containsText" dxfId="747" priority="686" operator="containsText" text="T">
      <formula>NOT(ISERROR(SEARCH("T",Y168)))</formula>
    </cfRule>
  </conditionalFormatting>
  <conditionalFormatting sqref="AP192:AP193">
    <cfRule type="containsText" dxfId="746" priority="706" operator="containsText" text="T">
      <formula>NOT(ISERROR(SEARCH("T",AP192)))</formula>
    </cfRule>
  </conditionalFormatting>
  <conditionalFormatting sqref="AP168:AQ168 AT168:AV168 AV169:AV174">
    <cfRule type="containsText" dxfId="745" priority="687" operator="containsText" text="17">
      <formula>NOT(ISERROR(SEARCH("17",AP168)))</formula>
    </cfRule>
  </conditionalFormatting>
  <conditionalFormatting sqref="AP21:AV21">
    <cfRule type="containsText" dxfId="744" priority="616" operator="containsText" text="T">
      <formula>NOT(ISERROR(SEARCH("T",AP21)))</formula>
    </cfRule>
    <cfRule type="containsText" dxfId="743" priority="615" operator="containsText" text="17">
      <formula>NOT(ISERROR(SEARCH("17",AP21)))</formula>
    </cfRule>
  </conditionalFormatting>
  <conditionalFormatting sqref="AP107:AX112">
    <cfRule type="containsText" dxfId="742" priority="441" operator="containsText" text="17">
      <formula>NOT(ISERROR(SEARCH("17",AP107)))</formula>
    </cfRule>
  </conditionalFormatting>
  <conditionalFormatting sqref="AP76:AZ78">
    <cfRule type="containsText" dxfId="741" priority="424" operator="containsText" text="17">
      <formula>NOT(ISERROR(SEARCH("17",AP76)))</formula>
    </cfRule>
  </conditionalFormatting>
  <conditionalFormatting sqref="AP107:AZ112">
    <cfRule type="containsText" dxfId="740" priority="434" operator="containsText" text="17">
      <formula>NOT(ISERROR(SEARCH("17",AP107)))</formula>
    </cfRule>
    <cfRule type="containsText" dxfId="739" priority="435" operator="containsText" text="T">
      <formula>NOT(ISERROR(SEARCH("T",AP107)))</formula>
    </cfRule>
  </conditionalFormatting>
  <conditionalFormatting sqref="AP138:BC144">
    <cfRule type="containsText" dxfId="738" priority="281" operator="containsText" text="17">
      <formula>NOT(ISERROR(SEARCH("17",AP138)))</formula>
    </cfRule>
  </conditionalFormatting>
  <conditionalFormatting sqref="AP138:BE144">
    <cfRule type="containsText" dxfId="737" priority="275" operator="containsText" text="T">
      <formula>NOT(ISERROR(SEARCH("T",AP138)))</formula>
    </cfRule>
  </conditionalFormatting>
  <conditionalFormatting sqref="AQ21">
    <cfRule type="containsText" dxfId="736" priority="611" operator="containsText" text="17">
      <formula>NOT(ISERROR(SEARCH("17",AQ21)))</formula>
    </cfRule>
    <cfRule type="containsText" dxfId="735" priority="612" operator="containsText" text="T">
      <formula>NOT(ISERROR(SEARCH("T",AQ21)))</formula>
    </cfRule>
  </conditionalFormatting>
  <conditionalFormatting sqref="AQ153:AQ158">
    <cfRule type="containsText" dxfId="734" priority="766" operator="containsText" text="T">
      <formula>NOT(ISERROR(SEARCH("T",AQ153)))</formula>
    </cfRule>
  </conditionalFormatting>
  <conditionalFormatting sqref="AQ168">
    <cfRule type="containsText" dxfId="733" priority="688" operator="containsText" text="T">
      <formula>NOT(ISERROR(SEARCH("T",AQ168)))</formula>
    </cfRule>
  </conditionalFormatting>
  <conditionalFormatting sqref="AQ175 AU175:AW175 Z176:AT181 AW176:AW181">
    <cfRule type="containsText" dxfId="732" priority="673" operator="containsText" text="T">
      <formula>NOT(ISERROR(SEARCH("T",Z175)))</formula>
    </cfRule>
  </conditionalFormatting>
  <conditionalFormatting sqref="AQ175:AR175 AU175:AW175 AW176:AW181">
    <cfRule type="containsText" dxfId="731" priority="674" operator="containsText" text="17">
      <formula>NOT(ISERROR(SEARCH("17",AQ175)))</formula>
    </cfRule>
  </conditionalFormatting>
  <conditionalFormatting sqref="AQ41:AW41">
    <cfRule type="containsText" dxfId="730" priority="602" operator="containsText" text="17">
      <formula>NOT(ISERROR(SEARCH("17",AQ41)))</formula>
    </cfRule>
    <cfRule type="containsText" dxfId="729" priority="603" operator="containsText" text="T">
      <formula>NOT(ISERROR(SEARCH("T",AQ41)))</formula>
    </cfRule>
  </conditionalFormatting>
  <conditionalFormatting sqref="AQ72:BA75">
    <cfRule type="containsText" dxfId="728" priority="414" operator="containsText" text="17">
      <formula>NOT(ISERROR(SEARCH("17",AQ72)))</formula>
    </cfRule>
  </conditionalFormatting>
  <conditionalFormatting sqref="AQ106:BA106">
    <cfRule type="containsText" dxfId="727" priority="404" operator="containsText" text="17">
      <formula>NOT(ISERROR(SEARCH("17",AQ106)))</formula>
    </cfRule>
  </conditionalFormatting>
  <conditionalFormatting sqref="AQ120:BA120">
    <cfRule type="containsText" dxfId="726" priority="384" operator="containsText" text="17">
      <formula>NOT(ISERROR(SEARCH("17",AQ120)))</formula>
    </cfRule>
  </conditionalFormatting>
  <conditionalFormatting sqref="AQ122:BA122">
    <cfRule type="containsText" dxfId="725" priority="374" operator="containsText" text="17">
      <formula>NOT(ISERROR(SEARCH("17",AQ122)))</formula>
    </cfRule>
  </conditionalFormatting>
  <conditionalFormatting sqref="AQ124:BA126">
    <cfRule type="containsText" dxfId="724" priority="394" operator="containsText" text="17">
      <formula>NOT(ISERROR(SEARCH("17",AQ124)))</formula>
    </cfRule>
  </conditionalFormatting>
  <conditionalFormatting sqref="AQ145:BD151">
    <cfRule type="containsText" dxfId="723" priority="271" operator="containsText" text="17">
      <formula>NOT(ISERROR(SEARCH("17",AQ145)))</formula>
    </cfRule>
  </conditionalFormatting>
  <conditionalFormatting sqref="AQ145:BF151">
    <cfRule type="containsText" dxfId="722" priority="265" operator="containsText" text="T">
      <formula>NOT(ISERROR(SEARCH("T",AQ145)))</formula>
    </cfRule>
  </conditionalFormatting>
  <conditionalFormatting sqref="AR41">
    <cfRule type="containsText" dxfId="721" priority="598" operator="containsText" text="17">
      <formula>NOT(ISERROR(SEARCH("17",AR41)))</formula>
    </cfRule>
    <cfRule type="containsText" dxfId="720" priority="599" operator="containsText" text="T">
      <formula>NOT(ISERROR(SEARCH("T",AR41)))</formula>
    </cfRule>
  </conditionalFormatting>
  <conditionalFormatting sqref="AR160:AR165">
    <cfRule type="containsText" dxfId="719" priority="753" operator="containsText" text="T">
      <formula>NOT(ISERROR(SEARCH("T",AR160)))</formula>
    </cfRule>
  </conditionalFormatting>
  <conditionalFormatting sqref="AR175">
    <cfRule type="containsText" dxfId="718" priority="675" operator="containsText" text="T">
      <formula>NOT(ISERROR(SEARCH("T",AR175)))</formula>
    </cfRule>
  </conditionalFormatting>
  <conditionalFormatting sqref="AR182 AV182:AX182 AA183:AU190 AX183:AX190">
    <cfRule type="containsText" dxfId="717" priority="660" operator="containsText" text="T">
      <formula>NOT(ISERROR(SEARCH("T",AA182)))</formula>
    </cfRule>
  </conditionalFormatting>
  <conditionalFormatting sqref="AR182:AS182 AV182:AX182 AX183:AX190">
    <cfRule type="containsText" dxfId="716" priority="661" operator="containsText" text="17">
      <formula>NOT(ISERROR(SEARCH("17",AR182)))</formula>
    </cfRule>
  </conditionalFormatting>
  <conditionalFormatting sqref="AR28:AX32">
    <cfRule type="containsText" dxfId="715" priority="591" operator="containsText" text="17">
      <formula>NOT(ISERROR(SEARCH("17",AR28)))</formula>
    </cfRule>
    <cfRule type="containsText" dxfId="714" priority="592" operator="containsText" text="T">
      <formula>NOT(ISERROR(SEARCH("T",AR28)))</formula>
    </cfRule>
  </conditionalFormatting>
  <conditionalFormatting sqref="AR48:AX49">
    <cfRule type="containsText" dxfId="713" priority="581" operator="containsText" text="17">
      <formula>NOT(ISERROR(SEARCH("17",AR48)))</formula>
    </cfRule>
    <cfRule type="containsText" dxfId="712" priority="582" operator="containsText" text="T">
      <formula>NOT(ISERROR(SEARCH("T",AR48)))</formula>
    </cfRule>
  </conditionalFormatting>
  <conditionalFormatting sqref="AR69:BB71">
    <cfRule type="containsText" dxfId="711" priority="334" operator="containsText" text="17">
      <formula>NOT(ISERROR(SEARCH("17",AR69)))</formula>
    </cfRule>
  </conditionalFormatting>
  <conditionalFormatting sqref="AR103:BB104">
    <cfRule type="containsText" dxfId="710" priority="364" operator="containsText" text="17">
      <formula>NOT(ISERROR(SEARCH("17",AR103)))</formula>
    </cfRule>
  </conditionalFormatting>
  <conditionalFormatting sqref="AR121:BB121">
    <cfRule type="containsText" dxfId="709" priority="354" operator="containsText" text="17">
      <formula>NOT(ISERROR(SEARCH("17",AR121)))</formula>
    </cfRule>
  </conditionalFormatting>
  <conditionalFormatting sqref="AR123:BB123">
    <cfRule type="containsText" dxfId="708" priority="344" operator="containsText" text="17">
      <formula>NOT(ISERROR(SEARCH("17",AR123)))</formula>
    </cfRule>
  </conditionalFormatting>
  <conditionalFormatting sqref="AR152:BE158">
    <cfRule type="containsText" dxfId="707" priority="261" operator="containsText" text="17">
      <formula>NOT(ISERROR(SEARCH("17",AR152)))</formula>
    </cfRule>
  </conditionalFormatting>
  <conditionalFormatting sqref="AR152:BG158">
    <cfRule type="containsText" dxfId="706" priority="255" operator="containsText" text="T">
      <formula>NOT(ISERROR(SEARCH("T",AR152)))</formula>
    </cfRule>
  </conditionalFormatting>
  <conditionalFormatting sqref="AS28:AS32">
    <cfRule type="containsText" dxfId="705" priority="589" operator="containsText" text="T">
      <formula>NOT(ISERROR(SEARCH("T",AS28)))</formula>
    </cfRule>
    <cfRule type="containsText" dxfId="704" priority="588" operator="containsText" text="17">
      <formula>NOT(ISERROR(SEARCH("17",AS28)))</formula>
    </cfRule>
  </conditionalFormatting>
  <conditionalFormatting sqref="AS48:AS49">
    <cfRule type="containsText" dxfId="703" priority="578" operator="containsText" text="17">
      <formula>NOT(ISERROR(SEARCH("17",AS48)))</formula>
    </cfRule>
    <cfRule type="containsText" dxfId="702" priority="579" operator="containsText" text="T">
      <formula>NOT(ISERROR(SEARCH("T",AS48)))</formula>
    </cfRule>
  </conditionalFormatting>
  <conditionalFormatting sqref="AS90 AW90:AY90 AB91:AV96 AY91:AY96">
    <cfRule type="containsText" dxfId="701" priority="647" operator="containsText" text="T">
      <formula>NOT(ISERROR(SEARCH("T",AB90)))</formula>
    </cfRule>
  </conditionalFormatting>
  <conditionalFormatting sqref="AS182">
    <cfRule type="containsText" dxfId="700" priority="662" operator="containsText" text="T">
      <formula>NOT(ISERROR(SEARCH("T",AS182)))</formula>
    </cfRule>
  </conditionalFormatting>
  <conditionalFormatting sqref="AS192:AS193 X194:AR199 X192:AF193">
    <cfRule type="containsText" dxfId="699" priority="709" operator="containsText" text="17">
      <formula>NOT(ISERROR(SEARCH("17",X192)))</formula>
    </cfRule>
  </conditionalFormatting>
  <conditionalFormatting sqref="AS208:AS213">
    <cfRule type="containsText" dxfId="698" priority="740" operator="containsText" text="T">
      <formula>NOT(ISERROR(SEARCH("T",AS208)))</formula>
    </cfRule>
  </conditionalFormatting>
  <conditionalFormatting sqref="AS90:AT90 AW90:AY90 AY91:AY96">
    <cfRule type="containsText" dxfId="697" priority="648" operator="containsText" text="17">
      <formula>NOT(ISERROR(SEARCH("17",AS90)))</formula>
    </cfRule>
  </conditionalFormatting>
  <conditionalFormatting sqref="AS50:AY53">
    <cfRule type="containsText" dxfId="696" priority="572" operator="containsText" text="T">
      <formula>NOT(ISERROR(SEARCH("T",AS50)))</formula>
    </cfRule>
    <cfRule type="containsText" dxfId="695" priority="571" operator="containsText" text="17">
      <formula>NOT(ISERROR(SEARCH("17",AS50)))</formula>
    </cfRule>
  </conditionalFormatting>
  <conditionalFormatting sqref="AS63:AY66">
    <cfRule type="containsText" dxfId="694" priority="562" operator="containsText" text="T">
      <formula>NOT(ISERROR(SEARCH("T",AS63)))</formula>
    </cfRule>
    <cfRule type="containsText" dxfId="693" priority="561" operator="containsText" text="17">
      <formula>NOT(ISERROR(SEARCH("17",AS63)))</formula>
    </cfRule>
  </conditionalFormatting>
  <conditionalFormatting sqref="AS67:BC68">
    <cfRule type="containsText" dxfId="692" priority="304" operator="containsText" text="17">
      <formula>NOT(ISERROR(SEARCH("17",AS67)))</formula>
    </cfRule>
  </conditionalFormatting>
  <conditionalFormatting sqref="AS99:BC102">
    <cfRule type="containsText" dxfId="691" priority="324" operator="containsText" text="17">
      <formula>NOT(ISERROR(SEARCH("17",AS99)))</formula>
    </cfRule>
  </conditionalFormatting>
  <conditionalFormatting sqref="AS105:BC105">
    <cfRule type="containsText" dxfId="690" priority="314" operator="containsText" text="17">
      <formula>NOT(ISERROR(SEARCH("17",AS105)))</formula>
    </cfRule>
  </conditionalFormatting>
  <conditionalFormatting sqref="AS159:BF165">
    <cfRule type="containsText" dxfId="689" priority="251" operator="containsText" text="17">
      <formula>NOT(ISERROR(SEARCH("17",AS159)))</formula>
    </cfRule>
  </conditionalFormatting>
  <conditionalFormatting sqref="AS159:BH165">
    <cfRule type="containsText" dxfId="688" priority="245" operator="containsText" text="T">
      <formula>NOT(ISERROR(SEARCH("T",AS159)))</formula>
    </cfRule>
  </conditionalFormatting>
  <conditionalFormatting sqref="AT14 AX14:AZ14 AC15:AW20 AZ15:AZ20">
    <cfRule type="containsText" dxfId="687" priority="634" operator="containsText" text="T">
      <formula>NOT(ISERROR(SEARCH("T",AC14)))</formula>
    </cfRule>
  </conditionalFormatting>
  <conditionalFormatting sqref="AT50:AT53">
    <cfRule type="containsText" dxfId="686" priority="568" operator="containsText" text="17">
      <formula>NOT(ISERROR(SEARCH("17",AT50)))</formula>
    </cfRule>
    <cfRule type="containsText" dxfId="685" priority="569" operator="containsText" text="T">
      <formula>NOT(ISERROR(SEARCH("T",AT50)))</formula>
    </cfRule>
  </conditionalFormatting>
  <conditionalFormatting sqref="AT63:AT66">
    <cfRule type="containsText" dxfId="684" priority="558" operator="containsText" text="17">
      <formula>NOT(ISERROR(SEARCH("17",AT63)))</formula>
    </cfRule>
    <cfRule type="containsText" dxfId="683" priority="559" operator="containsText" text="T">
      <formula>NOT(ISERROR(SEARCH("T",AT63)))</formula>
    </cfRule>
  </conditionalFormatting>
  <conditionalFormatting sqref="AT90">
    <cfRule type="containsText" dxfId="682" priority="649" operator="containsText" text="T">
      <formula>NOT(ISERROR(SEARCH("T",AT90)))</formula>
    </cfRule>
  </conditionalFormatting>
  <conditionalFormatting sqref="AT201:AT206">
    <cfRule type="containsText" dxfId="681" priority="727" operator="containsText" text="T">
      <formula>NOT(ISERROR(SEARCH("T",AT201)))</formula>
    </cfRule>
  </conditionalFormatting>
  <conditionalFormatting sqref="AT14:AU14 AX14:AZ14 AZ15:AZ20">
    <cfRule type="containsText" dxfId="680" priority="635" operator="containsText" text="17">
      <formula>NOT(ISERROR(SEARCH("17",AT14)))</formula>
    </cfRule>
  </conditionalFormatting>
  <conditionalFormatting sqref="AT59:AZ62">
    <cfRule type="containsText" dxfId="679" priority="548" operator="containsText" text="T">
      <formula>NOT(ISERROR(SEARCH("T",AT59)))</formula>
    </cfRule>
    <cfRule type="containsText" dxfId="678" priority="547" operator="containsText" text="17">
      <formula>NOT(ISERROR(SEARCH("17",AT59)))</formula>
    </cfRule>
  </conditionalFormatting>
  <conditionalFormatting sqref="AT86:AZ89">
    <cfRule type="containsText" dxfId="677" priority="538" operator="containsText" text="T">
      <formula>NOT(ISERROR(SEARCH("T",AT86)))</formula>
    </cfRule>
    <cfRule type="containsText" dxfId="676" priority="537" operator="containsText" text="17">
      <formula>NOT(ISERROR(SEARCH("17",AT86)))</formula>
    </cfRule>
  </conditionalFormatting>
  <conditionalFormatting sqref="AT97:BD98">
    <cfRule type="containsText" dxfId="675" priority="294" operator="containsText" text="17">
      <formula>NOT(ISERROR(SEARCH("17",AT97)))</formula>
    </cfRule>
  </conditionalFormatting>
  <conditionalFormatting sqref="AT131:BD137">
    <cfRule type="containsText" dxfId="674" priority="284" operator="containsText" text="17">
      <formula>NOT(ISERROR(SEARCH("17",AT131)))</formula>
    </cfRule>
  </conditionalFormatting>
  <conditionalFormatting sqref="AU14">
    <cfRule type="containsText" dxfId="673" priority="636" operator="containsText" text="T">
      <formula>NOT(ISERROR(SEARCH("T",AU14)))</formula>
    </cfRule>
  </conditionalFormatting>
  <conditionalFormatting sqref="AU34 AY34:BA34 AD35:AX40 BA35:BA40">
    <cfRule type="containsText" dxfId="672" priority="621" operator="containsText" text="T">
      <formula>NOT(ISERROR(SEARCH("T",AD34)))</formula>
    </cfRule>
  </conditionalFormatting>
  <conditionalFormatting sqref="AU59:AU62">
    <cfRule type="containsText" dxfId="671" priority="544" operator="containsText" text="17">
      <formula>NOT(ISERROR(SEARCH("17",AU59)))</formula>
    </cfRule>
    <cfRule type="containsText" dxfId="670" priority="545" operator="containsText" text="T">
      <formula>NOT(ISERROR(SEARCH("T",AU59)))</formula>
    </cfRule>
  </conditionalFormatting>
  <conditionalFormatting sqref="AU86:AU89">
    <cfRule type="containsText" dxfId="669" priority="535" operator="containsText" text="T">
      <formula>NOT(ISERROR(SEARCH("T",AU86)))</formula>
    </cfRule>
    <cfRule type="containsText" dxfId="668" priority="534" operator="containsText" text="17">
      <formula>NOT(ISERROR(SEARCH("17",AU86)))</formula>
    </cfRule>
  </conditionalFormatting>
  <conditionalFormatting sqref="AU194:AU199">
    <cfRule type="containsText" dxfId="667" priority="714" operator="containsText" text="T">
      <formula>NOT(ISERROR(SEARCH("T",AU194)))</formula>
    </cfRule>
  </conditionalFormatting>
  <conditionalFormatting sqref="AU34:AV34 AY34:BA34 BA35:BA40">
    <cfRule type="containsText" dxfId="666" priority="622" operator="containsText" text="17">
      <formula>NOT(ISERROR(SEARCH("17",AU34)))</formula>
    </cfRule>
  </conditionalFormatting>
  <conditionalFormatting sqref="AU83:BA85">
    <cfRule type="containsText" dxfId="665" priority="528" operator="containsText" text="T">
      <formula>NOT(ISERROR(SEARCH("T",AU83)))</formula>
    </cfRule>
    <cfRule type="containsText" dxfId="664" priority="527" operator="containsText" text="17">
      <formula>NOT(ISERROR(SEARCH("17",AU83)))</formula>
    </cfRule>
  </conditionalFormatting>
  <conditionalFormatting sqref="AU214:BA217">
    <cfRule type="containsText" dxfId="663" priority="518" operator="containsText" text="T">
      <formula>NOT(ISERROR(SEARCH("T",AU214)))</formula>
    </cfRule>
    <cfRule type="containsText" dxfId="662" priority="517" operator="containsText" text="17">
      <formula>NOT(ISERROR(SEARCH("17",AU214)))</formula>
    </cfRule>
  </conditionalFormatting>
  <conditionalFormatting sqref="AU138:BE144">
    <cfRule type="containsText" dxfId="661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60" priority="8533" operator="containsText" text="17">
      <formula>NOT(ISERROR(SEARCH("17",J14)))</formula>
    </cfRule>
  </conditionalFormatting>
  <conditionalFormatting sqref="AV21 AZ21:BB21 AE22:AY27">
    <cfRule type="containsText" dxfId="659" priority="608" operator="containsText" text="T">
      <formula>NOT(ISERROR(SEARCH("T",AE21)))</formula>
    </cfRule>
  </conditionalFormatting>
  <conditionalFormatting sqref="AV34">
    <cfRule type="containsText" dxfId="658" priority="623" operator="containsText" text="T">
      <formula>NOT(ISERROR(SEARCH("T",AV34)))</formula>
    </cfRule>
  </conditionalFormatting>
  <conditionalFormatting sqref="AV83:AV85">
    <cfRule type="containsText" dxfId="657" priority="524" operator="containsText" text="17">
      <formula>NOT(ISERROR(SEARCH("17",AV83)))</formula>
    </cfRule>
    <cfRule type="containsText" dxfId="656" priority="525" operator="containsText" text="T">
      <formula>NOT(ISERROR(SEARCH("T",AV83)))</formula>
    </cfRule>
  </conditionalFormatting>
  <conditionalFormatting sqref="AV169:AV174">
    <cfRule type="containsText" dxfId="655" priority="696" operator="containsText" text="T">
      <formula>NOT(ISERROR(SEARCH("T",AV169)))</formula>
    </cfRule>
  </conditionalFormatting>
  <conditionalFormatting sqref="AV214:AV217">
    <cfRule type="containsText" dxfId="654" priority="514" operator="containsText" text="17">
      <formula>NOT(ISERROR(SEARCH("17",AV214)))</formula>
    </cfRule>
    <cfRule type="containsText" dxfId="653" priority="515" operator="containsText" text="T">
      <formula>NOT(ISERROR(SEARCH("T",AV214)))</formula>
    </cfRule>
  </conditionalFormatting>
  <conditionalFormatting sqref="AV21:AW21 AZ21:BB21 BB22:BF27">
    <cfRule type="containsText" dxfId="652" priority="609" operator="containsText" text="17">
      <formula>NOT(ISERROR(SEARCH("17",AV21)))</formula>
    </cfRule>
  </conditionalFormatting>
  <conditionalFormatting sqref="AV218:BB224">
    <cfRule type="containsText" dxfId="651" priority="507" operator="containsText" text="17">
      <formula>NOT(ISERROR(SEARCH("17",AV218)))</formula>
    </cfRule>
    <cfRule type="containsText" dxfId="650" priority="508" operator="containsText" text="T">
      <formula>NOT(ISERROR(SEARCH("T",AV218)))</formula>
    </cfRule>
  </conditionalFormatting>
  <conditionalFormatting sqref="AV145:BF151">
    <cfRule type="containsText" dxfId="649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48" priority="7303" operator="containsText" text="T">
      <formula>NOT(ISERROR(SEARCH("T",J14)))</formula>
    </cfRule>
  </conditionalFormatting>
  <conditionalFormatting sqref="AW21">
    <cfRule type="containsText" dxfId="647" priority="610" operator="containsText" text="T">
      <formula>NOT(ISERROR(SEARCH("T",AW21)))</formula>
    </cfRule>
  </conditionalFormatting>
  <conditionalFormatting sqref="AW41 BA41:BC41 AF42:AZ47 BC42:BC47">
    <cfRule type="containsText" dxfId="646" priority="595" operator="containsText" text="T">
      <formula>NOT(ISERROR(SEARCH("T",AF41)))</formula>
    </cfRule>
  </conditionalFormatting>
  <conditionalFormatting sqref="AW176:AW181">
    <cfRule type="containsText" dxfId="645" priority="683" operator="containsText" text="T">
      <formula>NOT(ISERROR(SEARCH("T",AW176)))</formula>
    </cfRule>
  </conditionalFormatting>
  <conditionalFormatting sqref="AW218:AW224">
    <cfRule type="containsText" dxfId="644" priority="505" operator="containsText" text="T">
      <formula>NOT(ISERROR(SEARCH("T",AW218)))</formula>
    </cfRule>
    <cfRule type="containsText" dxfId="643" priority="504" operator="containsText" text="17">
      <formula>NOT(ISERROR(SEARCH("17",AW218)))</formula>
    </cfRule>
  </conditionalFormatting>
  <conditionalFormatting sqref="AW41:AX41 BA41:BC41 BC42:BC47">
    <cfRule type="containsText" dxfId="642" priority="596" operator="containsText" text="17">
      <formula>NOT(ISERROR(SEARCH("17",AW41)))</formula>
    </cfRule>
  </conditionalFormatting>
  <conditionalFormatting sqref="AW225:BC231">
    <cfRule type="containsText" dxfId="641" priority="498" operator="containsText" text="T">
      <formula>NOT(ISERROR(SEARCH("T",AW225)))</formula>
    </cfRule>
    <cfRule type="containsText" dxfId="640" priority="497" operator="containsText" text="17">
      <formula>NOT(ISERROR(SEARCH("17",AW225)))</formula>
    </cfRule>
  </conditionalFormatting>
  <conditionalFormatting sqref="AW152:BG158">
    <cfRule type="containsText" dxfId="639" priority="254" operator="containsText" text="17">
      <formula>NOT(ISERROR(SEARCH("17",AW152)))</formula>
    </cfRule>
  </conditionalFormatting>
  <conditionalFormatting sqref="AW168:CP174">
    <cfRule type="containsText" dxfId="638" priority="205" operator="containsText" text="17">
      <formula>NOT(ISERROR(SEARCH("17",AW168)))</formula>
    </cfRule>
  </conditionalFormatting>
  <conditionalFormatting sqref="AX28:AX32 BB28:BD32">
    <cfRule type="containsText" dxfId="637" priority="585" operator="containsText" text="T">
      <formula>NOT(ISERROR(SEARCH("T",AX28)))</formula>
    </cfRule>
  </conditionalFormatting>
  <conditionalFormatting sqref="AX41">
    <cfRule type="containsText" dxfId="636" priority="597" operator="containsText" text="T">
      <formula>NOT(ISERROR(SEARCH("T",AX41)))</formula>
    </cfRule>
  </conditionalFormatting>
  <conditionalFormatting sqref="AX48:AX49 BB48:BD49">
    <cfRule type="containsText" dxfId="635" priority="575" operator="containsText" text="T">
      <formula>NOT(ISERROR(SEARCH("T",AX48)))</formula>
    </cfRule>
  </conditionalFormatting>
  <conditionalFormatting sqref="AX180:AX181 AY182:AY185 BM191 BU200:BU202 BV203:BV205">
    <cfRule type="containsText" dxfId="634" priority="7319" operator="containsText" text="T">
      <formula>NOT(ISERROR(SEARCH("T",AX180)))</formula>
    </cfRule>
    <cfRule type="containsText" dxfId="633" priority="7321" operator="containsText" text="T">
      <formula>NOT(ISERROR(SEARCH("T",AX180)))</formula>
    </cfRule>
    <cfRule type="containsText" dxfId="632" priority="7320" operator="containsText" text="17">
      <formula>NOT(ISERROR(SEARCH("17",AX180)))</formula>
    </cfRule>
  </conditionalFormatting>
  <conditionalFormatting sqref="AX183:AX190">
    <cfRule type="containsText" dxfId="631" priority="670" operator="containsText" text="T">
      <formula>NOT(ISERROR(SEARCH("T",AX183)))</formula>
    </cfRule>
  </conditionalFormatting>
  <conditionalFormatting sqref="AX192">
    <cfRule type="containsText" dxfId="630" priority="6267" operator="containsText" text="T">
      <formula>NOT(ISERROR(SEARCH("T",AX192)))</formula>
    </cfRule>
    <cfRule type="containsText" dxfId="629" priority="6266" operator="containsText" text="17">
      <formula>NOT(ISERROR(SEARCH("17",AX192)))</formula>
    </cfRule>
    <cfRule type="containsText" dxfId="628" priority="2370" operator="containsText" text="T">
      <formula>NOT(ISERROR(SEARCH("T",AX192)))</formula>
    </cfRule>
    <cfRule type="containsText" dxfId="627" priority="2369" operator="containsText" text="17">
      <formula>NOT(ISERROR(SEARCH("17",AX192)))</formula>
    </cfRule>
  </conditionalFormatting>
  <conditionalFormatting sqref="AX196:AX198">
    <cfRule type="containsText" dxfId="626" priority="7295" operator="containsText" text="T">
      <formula>NOT(ISERROR(SEARCH("T",AX196)))</formula>
    </cfRule>
    <cfRule type="containsText" dxfId="625" priority="7294" operator="containsText" text="17">
      <formula>NOT(ISERROR(SEARCH("17",AX196)))</formula>
    </cfRule>
  </conditionalFormatting>
  <conditionalFormatting sqref="AX225:AX231">
    <cfRule type="containsText" dxfId="624" priority="494" operator="containsText" text="17">
      <formula>NOT(ISERROR(SEARCH("17",AX225)))</formula>
    </cfRule>
    <cfRule type="containsText" dxfId="623" priority="495" operator="containsText" text="T">
      <formula>NOT(ISERROR(SEARCH("T",AX225)))</formula>
    </cfRule>
  </conditionalFormatting>
  <conditionalFormatting sqref="AX28:AY32 BB28:BD32">
    <cfRule type="containsText" dxfId="622" priority="586" operator="containsText" text="17">
      <formula>NOT(ISERROR(SEARCH("17",AX28)))</formula>
    </cfRule>
  </conditionalFormatting>
  <conditionalFormatting sqref="AX48:AY49 BB48:BD49">
    <cfRule type="containsText" dxfId="621" priority="576" operator="containsText" text="17">
      <formula>NOT(ISERROR(SEARCH("17",AX48)))</formula>
    </cfRule>
  </conditionalFormatting>
  <conditionalFormatting sqref="AX170:BA170">
    <cfRule type="containsText" dxfId="620" priority="8728" operator="containsText" text="17">
      <formula>NOT(ISERROR(SEARCH("17",AX170)))</formula>
    </cfRule>
    <cfRule type="containsText" dxfId="619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18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17" priority="5061" operator="containsText" text="T">
      <formula>NOT(ISERROR(SEARCH("T",AX199)))</formula>
    </cfRule>
  </conditionalFormatting>
  <conditionalFormatting sqref="AX33:BC33">
    <cfRule type="containsText" dxfId="616" priority="8832" operator="containsText" text="T">
      <formula>NOT(ISERROR(SEARCH("T",AX33)))</formula>
    </cfRule>
  </conditionalFormatting>
  <conditionalFormatting sqref="AX113:BD116">
    <cfRule type="containsText" dxfId="615" priority="478" operator="containsText" text="T">
      <formula>NOT(ISERROR(SEARCH("T",AX113)))</formula>
    </cfRule>
    <cfRule type="containsText" dxfId="614" priority="477" operator="containsText" text="17">
      <formula>NOT(ISERROR(SEARCH("17",AX113)))</formula>
    </cfRule>
  </conditionalFormatting>
  <conditionalFormatting sqref="AX232:BD234">
    <cfRule type="containsText" dxfId="613" priority="487" operator="containsText" text="17">
      <formula>NOT(ISERROR(SEARCH("17",AX232)))</formula>
    </cfRule>
    <cfRule type="containsText" dxfId="612" priority="488" operator="containsText" text="T">
      <formula>NOT(ISERROR(SEARCH("T",AX232)))</formula>
    </cfRule>
  </conditionalFormatting>
  <conditionalFormatting sqref="AX199:BE199 AX206:BD206 AX213">
    <cfRule type="containsText" dxfId="611" priority="5068" operator="containsText" text="17">
      <formula>NOT(ISERROR(SEARCH("17",AX199)))</formula>
    </cfRule>
    <cfRule type="containsText" dxfId="610" priority="5069" operator="containsText" text="T">
      <formula>NOT(ISERROR(SEARCH("T",AX199)))</formula>
    </cfRule>
  </conditionalFormatting>
  <conditionalFormatting sqref="AX159:BH165">
    <cfRule type="containsText" dxfId="609" priority="244" operator="containsText" text="17">
      <formula>NOT(ISERROR(SEARCH("17",AX159)))</formula>
    </cfRule>
  </conditionalFormatting>
  <conditionalFormatting sqref="AX175:CP181">
    <cfRule type="containsText" dxfId="608" priority="172" operator="containsText" text="T">
      <formula>NOT(ISERROR(SEARCH("T",AX175)))</formula>
    </cfRule>
  </conditionalFormatting>
  <conditionalFormatting sqref="AY28:AY32">
    <cfRule type="containsText" dxfId="607" priority="587" operator="containsText" text="T">
      <formula>NOT(ISERROR(SEARCH("T",AY28)))</formula>
    </cfRule>
  </conditionalFormatting>
  <conditionalFormatting sqref="AY33">
    <cfRule type="containsText" dxfId="606" priority="8206" operator="containsText" text="17">
      <formula>NOT(ISERROR(SEARCH("17",AY33)))</formula>
    </cfRule>
    <cfRule type="containsText" dxfId="605" priority="8207" operator="containsText" text="T">
      <formula>NOT(ISERROR(SEARCH("T",AY33)))</formula>
    </cfRule>
  </conditionalFormatting>
  <conditionalFormatting sqref="AY48:AY49">
    <cfRule type="containsText" dxfId="604" priority="577" operator="containsText" text="T">
      <formula>NOT(ISERROR(SEARCH("T",AY48)))</formula>
    </cfRule>
  </conditionalFormatting>
  <conditionalFormatting sqref="AY50:AY53 BC50:BE53">
    <cfRule type="containsText" dxfId="603" priority="565" operator="containsText" text="T">
      <formula>NOT(ISERROR(SEARCH("T",AY50)))</formula>
    </cfRule>
  </conditionalFormatting>
  <conditionalFormatting sqref="AY63:AY66 BC63:BI66">
    <cfRule type="containsText" dxfId="602" priority="555" operator="containsText" text="T">
      <formula>NOT(ISERROR(SEARCH("T",AY63)))</formula>
    </cfRule>
  </conditionalFormatting>
  <conditionalFormatting sqref="AY91:AY96">
    <cfRule type="containsText" dxfId="601" priority="657" operator="containsText" text="T">
      <formula>NOT(ISERROR(SEARCH("T",AY91)))</formula>
    </cfRule>
  </conditionalFormatting>
  <conditionalFormatting sqref="AY113:AY116">
    <cfRule type="containsText" dxfId="600" priority="474" operator="containsText" text="17">
      <formula>NOT(ISERROR(SEARCH("17",AY113)))</formula>
    </cfRule>
    <cfRule type="containsText" dxfId="599" priority="475" operator="containsText" text="T">
      <formula>NOT(ISERROR(SEARCH("T",AY113)))</formula>
    </cfRule>
  </conditionalFormatting>
  <conditionalFormatting sqref="AY182:AY185 BM191 BU200:BU202 BV203:BV205 AX180:AX181">
    <cfRule type="containsText" dxfId="598" priority="7318" operator="containsText" text="17">
      <formula>NOT(ISERROR(SEARCH("17",AX180)))</formula>
    </cfRule>
  </conditionalFormatting>
  <conditionalFormatting sqref="AY189">
    <cfRule type="containsText" dxfId="597" priority="4911" operator="containsText" text="T">
      <formula>NOT(ISERROR(SEARCH("T",AY189)))</formula>
    </cfRule>
    <cfRule type="containsText" dxfId="596" priority="4910" operator="containsText" text="17">
      <formula>NOT(ISERROR(SEARCH("17",AY189)))</formula>
    </cfRule>
    <cfRule type="containsText" dxfId="595" priority="4892" operator="containsText" text="17">
      <formula>NOT(ISERROR(SEARCH("17",AY189)))</formula>
    </cfRule>
    <cfRule type="containsText" dxfId="594" priority="4893" operator="containsText" text="T">
      <formula>NOT(ISERROR(SEARCH("T",AY189)))</formula>
    </cfRule>
  </conditionalFormatting>
  <conditionalFormatting sqref="AY190 AX191:BH191 BK191 BO191:BS191">
    <cfRule type="containsText" dxfId="593" priority="8514" operator="containsText" text="T">
      <formula>NOT(ISERROR(SEARCH("T",AX190)))</formula>
    </cfRule>
  </conditionalFormatting>
  <conditionalFormatting sqref="AY199 AX206">
    <cfRule type="containsText" dxfId="592" priority="2143" operator="containsText" text="17">
      <formula>NOT(ISERROR(SEARCH("17",AX199)))</formula>
    </cfRule>
    <cfRule type="containsText" dxfId="591" priority="2144" operator="containsText" text="T">
      <formula>NOT(ISERROR(SEARCH("T",AX199)))</formula>
    </cfRule>
  </conditionalFormatting>
  <conditionalFormatting sqref="AY232:AY234">
    <cfRule type="containsText" dxfId="590" priority="484" operator="containsText" text="17">
      <formula>NOT(ISERROR(SEARCH("17",AY232)))</formula>
    </cfRule>
    <cfRule type="containsText" dxfId="589" priority="485" operator="containsText" text="T">
      <formula>NOT(ISERROR(SEARCH("T",AY232)))</formula>
    </cfRule>
  </conditionalFormatting>
  <conditionalFormatting sqref="AY50:AZ53 BC50:BE53">
    <cfRule type="containsText" dxfId="588" priority="566" operator="containsText" text="17">
      <formula>NOT(ISERROR(SEARCH("17",AY50)))</formula>
    </cfRule>
  </conditionalFormatting>
  <conditionalFormatting sqref="AY63:AZ66 BC63:BE66">
    <cfRule type="containsText" dxfId="587" priority="556" operator="containsText" text="17">
      <formula>NOT(ISERROR(SEARCH("17",AY63)))</formula>
    </cfRule>
  </conditionalFormatting>
  <conditionalFormatting sqref="AY79:BE82">
    <cfRule type="containsText" dxfId="586" priority="458" operator="containsText" text="T">
      <formula>NOT(ISERROR(SEARCH("T",AY79)))</formula>
    </cfRule>
    <cfRule type="containsText" dxfId="585" priority="457" operator="containsText" text="17">
      <formula>NOT(ISERROR(SEARCH("17",AY79)))</formula>
    </cfRule>
  </conditionalFormatting>
  <conditionalFormatting sqref="AY117:BE119">
    <cfRule type="containsText" dxfId="584" priority="468" operator="containsText" text="T">
      <formula>NOT(ISERROR(SEARCH("T",AY117)))</formula>
    </cfRule>
    <cfRule type="containsText" dxfId="583" priority="467" operator="containsText" text="17">
      <formula>NOT(ISERROR(SEARCH("17",AY117)))</formula>
    </cfRule>
  </conditionalFormatting>
  <conditionalFormatting sqref="AY207:BI213">
    <cfRule type="containsText" dxfId="582" priority="234" operator="containsText" text="17">
      <formula>NOT(ISERROR(SEARCH("17",AY207)))</formula>
    </cfRule>
  </conditionalFormatting>
  <conditionalFormatting sqref="AY207:BP213">
    <cfRule type="containsText" dxfId="581" priority="243" operator="containsText" text="T">
      <formula>NOT(ISERROR(SEARCH("T",AY207)))</formula>
    </cfRule>
  </conditionalFormatting>
  <conditionalFormatting sqref="AY193:BV213 AX195:BV195 BH214:BL215">
    <cfRule type="containsText" dxfId="580" priority="914" operator="containsText" text="T">
      <formula>NOT(ISERROR(SEARCH("T",AX193)))</formula>
    </cfRule>
  </conditionalFormatting>
  <conditionalFormatting sqref="AZ15:AZ20">
    <cfRule type="containsText" dxfId="579" priority="644" operator="containsText" text="T">
      <formula>NOT(ISERROR(SEARCH("T",AZ15)))</formula>
    </cfRule>
  </conditionalFormatting>
  <conditionalFormatting sqref="AZ50:AZ53">
    <cfRule type="containsText" dxfId="578" priority="567" operator="containsText" text="T">
      <formula>NOT(ISERROR(SEARCH("T",AZ50)))</formula>
    </cfRule>
  </conditionalFormatting>
  <conditionalFormatting sqref="AZ63:AZ66">
    <cfRule type="containsText" dxfId="577" priority="557" operator="containsText" text="T">
      <formula>NOT(ISERROR(SEARCH("T",AZ63)))</formula>
    </cfRule>
  </conditionalFormatting>
  <conditionalFormatting sqref="AZ79:AZ82">
    <cfRule type="containsText" dxfId="576" priority="455" operator="containsText" text="T">
      <formula>NOT(ISERROR(SEARCH("T",AZ79)))</formula>
    </cfRule>
    <cfRule type="containsText" dxfId="575" priority="454" operator="containsText" text="17">
      <formula>NOT(ISERROR(SEARCH("17",AZ79)))</formula>
    </cfRule>
  </conditionalFormatting>
  <conditionalFormatting sqref="AZ86:AZ89 BD86:BF89">
    <cfRule type="containsText" dxfId="574" priority="531" operator="containsText" text="T">
      <formula>NOT(ISERROR(SEARCH("T",AZ86)))</formula>
    </cfRule>
  </conditionalFormatting>
  <conditionalFormatting sqref="AZ117:AZ119">
    <cfRule type="containsText" dxfId="573" priority="465" operator="containsText" text="T">
      <formula>NOT(ISERROR(SEARCH("T",AZ117)))</formula>
    </cfRule>
    <cfRule type="containsText" dxfId="572" priority="464" operator="containsText" text="17">
      <formula>NOT(ISERROR(SEARCH("17",AZ117)))</formula>
    </cfRule>
  </conditionalFormatting>
  <conditionalFormatting sqref="AZ59:BA62 BD59:BF62">
    <cfRule type="containsText" dxfId="571" priority="542" operator="containsText" text="17">
      <formula>NOT(ISERROR(SEARCH("17",AZ59)))</formula>
    </cfRule>
  </conditionalFormatting>
  <conditionalFormatting sqref="AZ86:BA89 BD86:BF89">
    <cfRule type="containsText" dxfId="570" priority="532" operator="containsText" text="17">
      <formula>NOT(ISERROR(SEARCH("17",AZ86)))</formula>
    </cfRule>
  </conditionalFormatting>
  <conditionalFormatting sqref="AZ93:BB93">
    <cfRule type="containsText" dxfId="569" priority="4057" operator="containsText" text="T">
      <formula>NOT(ISERROR(SEARCH("T",AZ93)))</formula>
    </cfRule>
    <cfRule type="containsText" dxfId="568" priority="4056" operator="containsText" text="17">
      <formula>NOT(ISERROR(SEARCH("17",AZ93)))</formula>
    </cfRule>
  </conditionalFormatting>
  <conditionalFormatting sqref="AZ175:BB178">
    <cfRule type="containsText" dxfId="567" priority="933" operator="containsText" text="T">
      <formula>NOT(ISERROR(SEARCH("T",AZ175)))</formula>
    </cfRule>
  </conditionalFormatting>
  <conditionalFormatting sqref="AZ180:BB181 AZ182:BC183">
    <cfRule type="containsText" dxfId="566" priority="927" operator="containsText" text="T">
      <formula>NOT(ISERROR(SEARCH("T",AZ180)))</formula>
    </cfRule>
  </conditionalFormatting>
  <conditionalFormatting sqref="AZ185:BC188 AZ189:BW190">
    <cfRule type="containsText" dxfId="565" priority="921" operator="containsText" text="T">
      <formula>NOT(ISERROR(SEARCH("T",AZ185)))</formula>
    </cfRule>
  </conditionalFormatting>
  <conditionalFormatting sqref="AZ200:BJ206">
    <cfRule type="containsText" dxfId="564" priority="223" operator="containsText" text="17">
      <formula>NOT(ISERROR(SEARCH("17",AZ200)))</formula>
    </cfRule>
  </conditionalFormatting>
  <conditionalFormatting sqref="AZ200:BW206">
    <cfRule type="containsText" dxfId="563" priority="232" operator="containsText" text="T">
      <formula>NOT(ISERROR(SEARCH("T",AZ200)))</formula>
    </cfRule>
  </conditionalFormatting>
  <conditionalFormatting sqref="BA22:BA27">
    <cfRule type="containsText" dxfId="562" priority="550" operator="containsText" text="17">
      <formula>NOT(ISERROR(SEARCH("17",BA22)))</formula>
    </cfRule>
    <cfRule type="containsText" dxfId="561" priority="549" operator="containsText" text="T">
      <formula>NOT(ISERROR(SEARCH("T",BA22)))</formula>
    </cfRule>
  </conditionalFormatting>
  <conditionalFormatting sqref="BA35:BA40">
    <cfRule type="containsText" dxfId="560" priority="631" operator="containsText" text="T">
      <formula>NOT(ISERROR(SEARCH("T",BA35)))</formula>
    </cfRule>
  </conditionalFormatting>
  <conditionalFormatting sqref="BA59:BA62">
    <cfRule type="containsText" dxfId="559" priority="543" operator="containsText" text="T">
      <formula>NOT(ISERROR(SEARCH("T",BA59)))</formula>
    </cfRule>
  </conditionalFormatting>
  <conditionalFormatting sqref="BA83:BA85 BE83:BG85">
    <cfRule type="containsText" dxfId="558" priority="521" operator="containsText" text="T">
      <formula>NOT(ISERROR(SEARCH("T",BA83)))</formula>
    </cfRule>
  </conditionalFormatting>
  <conditionalFormatting sqref="BA86:BA89">
    <cfRule type="containsText" dxfId="557" priority="533" operator="containsText" text="T">
      <formula>NOT(ISERROR(SEARCH("T",BA86)))</formula>
    </cfRule>
  </conditionalFormatting>
  <conditionalFormatting sqref="BA199 AZ206">
    <cfRule type="containsText" dxfId="556" priority="5057" operator="containsText" text="T">
      <formula>NOT(ISERROR(SEARCH("T",AZ199)))</formula>
    </cfRule>
    <cfRule type="containsText" dxfId="555" priority="5056" operator="containsText" text="17">
      <formula>NOT(ISERROR(SEARCH("17",AZ199)))</formula>
    </cfRule>
  </conditionalFormatting>
  <conditionalFormatting sqref="BA214:BA217 BE214:BG217">
    <cfRule type="containsText" dxfId="554" priority="511" operator="containsText" text="T">
      <formula>NOT(ISERROR(SEARCH("T",BA214)))</formula>
    </cfRule>
  </conditionalFormatting>
  <conditionalFormatting sqref="BA22:BB27">
    <cfRule type="containsText" dxfId="553" priority="552" operator="containsText" text="T">
      <formula>NOT(ISERROR(SEARCH("T",BA22)))</formula>
    </cfRule>
  </conditionalFormatting>
  <conditionalFormatting sqref="BA83:BB85 BE83:BG85">
    <cfRule type="containsText" dxfId="552" priority="522" operator="containsText" text="17">
      <formula>NOT(ISERROR(SEARCH("17",BA83)))</formula>
    </cfRule>
  </conditionalFormatting>
  <conditionalFormatting sqref="BA214:BB217 BE214:BG217">
    <cfRule type="containsText" dxfId="551" priority="512" operator="containsText" text="17">
      <formula>NOT(ISERROR(SEARCH("17",BA214)))</formula>
    </cfRule>
  </conditionalFormatting>
  <conditionalFormatting sqref="BA76:BG78">
    <cfRule type="containsText" dxfId="550" priority="433" operator="containsText" text="T">
      <formula>NOT(ISERROR(SEARCH("T",BA76)))</formula>
    </cfRule>
    <cfRule type="containsText" dxfId="549" priority="432" operator="containsText" text="17">
      <formula>NOT(ISERROR(SEARCH("17",BA76)))</formula>
    </cfRule>
  </conditionalFormatting>
  <conditionalFormatting sqref="BA107:BG112">
    <cfRule type="containsText" dxfId="548" priority="443" operator="containsText" text="T">
      <formula>NOT(ISERROR(SEARCH("T",BA107)))</formula>
    </cfRule>
    <cfRule type="containsText" dxfId="547" priority="442" operator="containsText" text="17">
      <formula>NOT(ISERROR(SEARCH("17",BA107)))</formula>
    </cfRule>
  </conditionalFormatting>
  <conditionalFormatting sqref="BA192:BK199">
    <cfRule type="containsText" dxfId="546" priority="206" operator="containsText" text="17">
      <formula>NOT(ISERROR(SEARCH("17",BA192)))</formula>
    </cfRule>
  </conditionalFormatting>
  <conditionalFormatting sqref="BA192:BR199">
    <cfRule type="containsText" dxfId="545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44" priority="915" operator="containsText" text="17">
      <formula>NOT(ISERROR(SEARCH("17",AX192)))</formula>
    </cfRule>
  </conditionalFormatting>
  <conditionalFormatting sqref="BA192:BX199">
    <cfRule type="containsText" dxfId="543" priority="222" operator="containsText" text="T">
      <formula>NOT(ISERROR(SEARCH("T",BA192)))</formula>
    </cfRule>
  </conditionalFormatting>
  <conditionalFormatting sqref="BB22:BB27">
    <cfRule type="containsText" dxfId="542" priority="618" operator="containsText" text="T">
      <formula>NOT(ISERROR(SEARCH("T",BB22)))</formula>
    </cfRule>
  </conditionalFormatting>
  <conditionalFormatting sqref="BB76:BB78">
    <cfRule type="containsText" dxfId="541" priority="429" operator="containsText" text="17">
      <formula>NOT(ISERROR(SEARCH("17",BB76)))</formula>
    </cfRule>
    <cfRule type="containsText" dxfId="540" priority="430" operator="containsText" text="T">
      <formula>NOT(ISERROR(SEARCH("T",BB76)))</formula>
    </cfRule>
  </conditionalFormatting>
  <conditionalFormatting sqref="BB83:BB85">
    <cfRule type="containsText" dxfId="539" priority="523" operator="containsText" text="T">
      <formula>NOT(ISERROR(SEARCH("T",BB83)))</formula>
    </cfRule>
  </conditionalFormatting>
  <conditionalFormatting sqref="BB107:BB112">
    <cfRule type="containsText" dxfId="538" priority="440" operator="containsText" text="T">
      <formula>NOT(ISERROR(SEARCH("T",BB107)))</formula>
    </cfRule>
    <cfRule type="containsText" dxfId="537" priority="439" operator="containsText" text="17">
      <formula>NOT(ISERROR(SEARCH("17",BB107)))</formula>
    </cfRule>
  </conditionalFormatting>
  <conditionalFormatting sqref="BB199 BD199:BI199 BA206 BC206:BH206">
    <cfRule type="containsText" dxfId="536" priority="5071" operator="containsText" text="T">
      <formula>NOT(ISERROR(SEARCH("T",BA199)))</formula>
    </cfRule>
    <cfRule type="containsText" dxfId="535" priority="5070" operator="containsText" text="17">
      <formula>NOT(ISERROR(SEARCH("17",BA199)))</formula>
    </cfRule>
  </conditionalFormatting>
  <conditionalFormatting sqref="BB214:BB217">
    <cfRule type="containsText" dxfId="534" priority="513" operator="containsText" text="T">
      <formula>NOT(ISERROR(SEARCH("T",BB214)))</formula>
    </cfRule>
  </conditionalFormatting>
  <conditionalFormatting sqref="BB218:BB224 BF218:BH224">
    <cfRule type="containsText" dxfId="533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32" priority="8546" operator="containsText" text="T">
      <formula>NOT(ISERROR(SEARCH("T",AX35)))</formula>
    </cfRule>
  </conditionalFormatting>
  <conditionalFormatting sqref="BB218:BC224 BF218:BH224">
    <cfRule type="containsText" dxfId="531" priority="502" operator="containsText" text="17">
      <formula>NOT(ISERROR(SEARCH("17",BB218)))</formula>
    </cfRule>
  </conditionalFormatting>
  <conditionalFormatting sqref="BB72:BH75">
    <cfRule type="containsText" dxfId="530" priority="423" operator="containsText" text="T">
      <formula>NOT(ISERROR(SEARCH("T",BB72)))</formula>
    </cfRule>
    <cfRule type="containsText" dxfId="529" priority="422" operator="containsText" text="17">
      <formula>NOT(ISERROR(SEARCH("17",BB72)))</formula>
    </cfRule>
  </conditionalFormatting>
  <conditionalFormatting sqref="BB106:BH106">
    <cfRule type="containsText" dxfId="528" priority="412" operator="containsText" text="17">
      <formula>NOT(ISERROR(SEARCH("17",BB106)))</formula>
    </cfRule>
    <cfRule type="containsText" dxfId="527" priority="413" operator="containsText" text="T">
      <formula>NOT(ISERROR(SEARCH("T",BB106)))</formula>
    </cfRule>
  </conditionalFormatting>
  <conditionalFormatting sqref="BB120:BH120">
    <cfRule type="containsText" dxfId="526" priority="393" operator="containsText" text="T">
      <formula>NOT(ISERROR(SEARCH("T",BB120)))</formula>
    </cfRule>
    <cfRule type="containsText" dxfId="525" priority="392" operator="containsText" text="17">
      <formula>NOT(ISERROR(SEARCH("17",BB120)))</formula>
    </cfRule>
  </conditionalFormatting>
  <conditionalFormatting sqref="BB122:BH122">
    <cfRule type="containsText" dxfId="524" priority="383" operator="containsText" text="T">
      <formula>NOT(ISERROR(SEARCH("T",BB122)))</formula>
    </cfRule>
    <cfRule type="containsText" dxfId="523" priority="382" operator="containsText" text="17">
      <formula>NOT(ISERROR(SEARCH("17",BB122)))</formula>
    </cfRule>
  </conditionalFormatting>
  <conditionalFormatting sqref="BB124:BH126">
    <cfRule type="containsText" dxfId="522" priority="402" operator="containsText" text="17">
      <formula>NOT(ISERROR(SEARCH("17",BB124)))</formula>
    </cfRule>
    <cfRule type="containsText" dxfId="521" priority="403" operator="containsText" text="T">
      <formula>NOT(ISERROR(SEARCH("T",BB124)))</formula>
    </cfRule>
  </conditionalFormatting>
  <conditionalFormatting sqref="BB168:BL174">
    <cfRule type="containsText" dxfId="520" priority="182" operator="containsText" text="17">
      <formula>NOT(ISERROR(SEARCH("17",BB168)))</formula>
    </cfRule>
  </conditionalFormatting>
  <conditionalFormatting sqref="BB194:BN194 BB196:BN198">
    <cfRule type="containsText" dxfId="519" priority="916" operator="containsText" text="17">
      <formula>NOT(ISERROR(SEARCH("17",BB194)))</formula>
    </cfRule>
  </conditionalFormatting>
  <conditionalFormatting sqref="BB168:BY174">
    <cfRule type="containsText" dxfId="518" priority="194" operator="containsText" text="17">
      <formula>NOT(ISERROR(SEARCH("17",BB168)))</formula>
    </cfRule>
    <cfRule type="containsText" dxfId="517" priority="196" operator="containsText" text="T">
      <formula>NOT(ISERROR(SEARCH("T",BB168)))</formula>
    </cfRule>
    <cfRule type="containsText" dxfId="516" priority="191" operator="containsText" text="T">
      <formula>NOT(ISERROR(SEARCH("T",BB168)))</formula>
    </cfRule>
  </conditionalFormatting>
  <conditionalFormatting sqref="BC34">
    <cfRule type="containsText" dxfId="515" priority="8060" operator="containsText" text="17">
      <formula>NOT(ISERROR(SEARCH("17",BC34)))</formula>
    </cfRule>
    <cfRule type="containsText" dxfId="514" priority="8061" operator="containsText" text="T">
      <formula>NOT(ISERROR(SEARCH("T",BC34)))</formula>
    </cfRule>
    <cfRule type="containsText" dxfId="513" priority="8062" operator="containsText" text="17">
      <formula>NOT(ISERROR(SEARCH("17",BC34)))</formula>
    </cfRule>
    <cfRule type="containsText" dxfId="512" priority="8063" operator="containsText" text="T">
      <formula>NOT(ISERROR(SEARCH("T",BC34)))</formula>
    </cfRule>
  </conditionalFormatting>
  <conditionalFormatting sqref="BC42:BC47">
    <cfRule type="containsText" dxfId="511" priority="605" operator="containsText" text="T">
      <formula>NOT(ISERROR(SEARCH("T",BC42)))</formula>
    </cfRule>
  </conditionalFormatting>
  <conditionalFormatting sqref="BC72:BC75">
    <cfRule type="containsText" dxfId="510" priority="420" operator="containsText" text="T">
      <formula>NOT(ISERROR(SEARCH("T",BC72)))</formula>
    </cfRule>
    <cfRule type="containsText" dxfId="509" priority="419" operator="containsText" text="17">
      <formula>NOT(ISERROR(SEARCH("17",BC72)))</formula>
    </cfRule>
  </conditionalFormatting>
  <conditionalFormatting sqref="BC106">
    <cfRule type="containsText" dxfId="508" priority="410" operator="containsText" text="T">
      <formula>NOT(ISERROR(SEARCH("T",BC106)))</formula>
    </cfRule>
    <cfRule type="containsText" dxfId="507" priority="409" operator="containsText" text="17">
      <formula>NOT(ISERROR(SEARCH("17",BC106)))</formula>
    </cfRule>
  </conditionalFormatting>
  <conditionalFormatting sqref="BC120">
    <cfRule type="containsText" dxfId="506" priority="390" operator="containsText" text="T">
      <formula>NOT(ISERROR(SEARCH("T",BC120)))</formula>
    </cfRule>
    <cfRule type="containsText" dxfId="505" priority="389" operator="containsText" text="17">
      <formula>NOT(ISERROR(SEARCH("17",BC120)))</formula>
    </cfRule>
  </conditionalFormatting>
  <conditionalFormatting sqref="BC122">
    <cfRule type="containsText" dxfId="504" priority="380" operator="containsText" text="T">
      <formula>NOT(ISERROR(SEARCH("T",BC122)))</formula>
    </cfRule>
    <cfRule type="containsText" dxfId="503" priority="379" operator="containsText" text="17">
      <formula>NOT(ISERROR(SEARCH("17",BC122)))</formula>
    </cfRule>
  </conditionalFormatting>
  <conditionalFormatting sqref="BC124:BC126">
    <cfRule type="containsText" dxfId="502" priority="399" operator="containsText" text="17">
      <formula>NOT(ISERROR(SEARCH("17",BC124)))</formula>
    </cfRule>
    <cfRule type="containsText" dxfId="501" priority="400" operator="containsText" text="T">
      <formula>NOT(ISERROR(SEARCH("T",BC124)))</formula>
    </cfRule>
  </conditionalFormatting>
  <conditionalFormatting sqref="BC182:BC183">
    <cfRule type="containsText" dxfId="500" priority="928" operator="containsText" text="17">
      <formula>NOT(ISERROR(SEARCH("17",BC182)))</formula>
    </cfRule>
  </conditionalFormatting>
  <conditionalFormatting sqref="BC186:BC188 BC189:BV190">
    <cfRule type="containsText" dxfId="499" priority="922" operator="containsText" text="17">
      <formula>NOT(ISERROR(SEARCH("17",BC186)))</formula>
    </cfRule>
  </conditionalFormatting>
  <conditionalFormatting sqref="BC199 BB206 BS127">
    <cfRule type="containsText" dxfId="498" priority="2145" operator="containsText" text="17">
      <formula>NOT(ISERROR(SEARCH("17",BB127)))</formula>
    </cfRule>
  </conditionalFormatting>
  <conditionalFormatting sqref="BC218:BC224">
    <cfRule type="containsText" dxfId="497" priority="503" operator="containsText" text="T">
      <formula>NOT(ISERROR(SEARCH("T",BC218)))</formula>
    </cfRule>
  </conditionalFormatting>
  <conditionalFormatting sqref="BC225:BC231 BG225:BI231">
    <cfRule type="containsText" dxfId="496" priority="491" operator="containsText" text="T">
      <formula>NOT(ISERROR(SEARCH("T",BC225)))</formula>
    </cfRule>
  </conditionalFormatting>
  <conditionalFormatting sqref="BC16:BD20">
    <cfRule type="containsText" dxfId="495" priority="8379" operator="containsText" text="17">
      <formula>NOT(ISERROR(SEARCH("17",BC16)))</formula>
    </cfRule>
  </conditionalFormatting>
  <conditionalFormatting sqref="BC225:BD231 BG225:BI231">
    <cfRule type="containsText" dxfId="494" priority="492" operator="containsText" text="17">
      <formula>NOT(ISERROR(SEARCH("17",BC225)))</formula>
    </cfRule>
  </conditionalFormatting>
  <conditionalFormatting sqref="BC69:BI71">
    <cfRule type="containsText" dxfId="493" priority="343" operator="containsText" text="T">
      <formula>NOT(ISERROR(SEARCH("T",BC69)))</formula>
    </cfRule>
    <cfRule type="containsText" dxfId="492" priority="342" operator="containsText" text="17">
      <formula>NOT(ISERROR(SEARCH("17",BC69)))</formula>
    </cfRule>
  </conditionalFormatting>
  <conditionalFormatting sqref="BC103:BI104">
    <cfRule type="containsText" dxfId="491" priority="372" operator="containsText" text="17">
      <formula>NOT(ISERROR(SEARCH("17",BC103)))</formula>
    </cfRule>
    <cfRule type="containsText" dxfId="490" priority="373" operator="containsText" text="T">
      <formula>NOT(ISERROR(SEARCH("T",BC103)))</formula>
    </cfRule>
  </conditionalFormatting>
  <conditionalFormatting sqref="BC121:BI121">
    <cfRule type="containsText" dxfId="489" priority="362" operator="containsText" text="17">
      <formula>NOT(ISERROR(SEARCH("17",BC121)))</formula>
    </cfRule>
    <cfRule type="containsText" dxfId="488" priority="363" operator="containsText" text="T">
      <formula>NOT(ISERROR(SEARCH("T",BC121)))</formula>
    </cfRule>
  </conditionalFormatting>
  <conditionalFormatting sqref="BC123:BI123">
    <cfRule type="containsText" dxfId="487" priority="352" operator="containsText" text="17">
      <formula>NOT(ISERROR(SEARCH("17",BC123)))</formula>
    </cfRule>
    <cfRule type="containsText" dxfId="486" priority="353" operator="containsText" text="T">
      <formula>NOT(ISERROR(SEARCH("T",BC123)))</formula>
    </cfRule>
  </conditionalFormatting>
  <conditionalFormatting sqref="BC175:BM181">
    <cfRule type="containsText" dxfId="485" priority="158" operator="containsText" text="17">
      <formula>NOT(ISERROR(SEARCH("17",BC175)))</formula>
    </cfRule>
  </conditionalFormatting>
  <conditionalFormatting sqref="BC199:BR199 BB206:BQ206 BS127">
    <cfRule type="containsText" dxfId="484" priority="5050" operator="containsText" text="17">
      <formula>NOT(ISERROR(SEARCH("17",BB127)))</formula>
    </cfRule>
  </conditionalFormatting>
  <conditionalFormatting sqref="BC175:BZ181">
    <cfRule type="containsText" dxfId="483" priority="167" operator="containsText" text="T">
      <formula>NOT(ISERROR(SEARCH("T",BC175)))</formula>
    </cfRule>
    <cfRule type="containsText" dxfId="482" priority="170" operator="containsText" text="17">
      <formula>NOT(ISERROR(SEARCH("17",BC175)))</formula>
    </cfRule>
  </conditionalFormatting>
  <conditionalFormatting sqref="BC175:CP181">
    <cfRule type="containsText" dxfId="481" priority="181" operator="containsText" text="17">
      <formula>NOT(ISERROR(SEARCH("17",BC175)))</formula>
    </cfRule>
  </conditionalFormatting>
  <conditionalFormatting sqref="BD69:BD71">
    <cfRule type="containsText" dxfId="480" priority="339" operator="containsText" text="17">
      <formula>NOT(ISERROR(SEARCH("17",BD69)))</formula>
    </cfRule>
    <cfRule type="containsText" dxfId="479" priority="340" operator="containsText" text="T">
      <formula>NOT(ISERROR(SEARCH("T",BD69)))</formula>
    </cfRule>
  </conditionalFormatting>
  <conditionalFormatting sqref="BD103:BD104">
    <cfRule type="containsText" dxfId="478" priority="370" operator="containsText" text="T">
      <formula>NOT(ISERROR(SEARCH("T",BD103)))</formula>
    </cfRule>
    <cfRule type="containsText" dxfId="477" priority="369" operator="containsText" text="17">
      <formula>NOT(ISERROR(SEARCH("17",BD103)))</formula>
    </cfRule>
  </conditionalFormatting>
  <conditionalFormatting sqref="BD113:BD116 BH113:BJ116">
    <cfRule type="containsText" dxfId="476" priority="471" operator="containsText" text="T">
      <formula>NOT(ISERROR(SEARCH("T",BD113)))</formula>
    </cfRule>
  </conditionalFormatting>
  <conditionalFormatting sqref="BD121">
    <cfRule type="containsText" dxfId="475" priority="360" operator="containsText" text="T">
      <formula>NOT(ISERROR(SEARCH("T",BD121)))</formula>
    </cfRule>
    <cfRule type="containsText" dxfId="474" priority="359" operator="containsText" text="17">
      <formula>NOT(ISERROR(SEARCH("17",BD121)))</formula>
    </cfRule>
  </conditionalFormatting>
  <conditionalFormatting sqref="BD123">
    <cfRule type="containsText" dxfId="473" priority="349" operator="containsText" text="17">
      <formula>NOT(ISERROR(SEARCH("17",BD123)))</formula>
    </cfRule>
    <cfRule type="containsText" dxfId="472" priority="350" operator="containsText" text="T">
      <formula>NOT(ISERROR(SEARCH("T",BD123)))</formula>
    </cfRule>
  </conditionalFormatting>
  <conditionalFormatting sqref="BD225:BD231">
    <cfRule type="containsText" dxfId="471" priority="493" operator="containsText" text="T">
      <formula>NOT(ISERROR(SEARCH("T",BD225)))</formula>
    </cfRule>
  </conditionalFormatting>
  <conditionalFormatting sqref="BD232:BD234 BH232:BJ234">
    <cfRule type="containsText" dxfId="470" priority="481" operator="containsText" text="T">
      <formula>NOT(ISERROR(SEARCH("T",BD232)))</formula>
    </cfRule>
  </conditionalFormatting>
  <conditionalFormatting sqref="BD35:BE39">
    <cfRule type="containsText" dxfId="469" priority="1049" operator="containsText" text="T">
      <formula>NOT(ISERROR(SEARCH("T",BD35)))</formula>
    </cfRule>
  </conditionalFormatting>
  <conditionalFormatting sqref="BD113:BE116 BH113:BJ116">
    <cfRule type="containsText" dxfId="468" priority="472" operator="containsText" text="17">
      <formula>NOT(ISERROR(SEARCH("17",BD113)))</formula>
    </cfRule>
  </conditionalFormatting>
  <conditionalFormatting sqref="BD232:BE234 BH232:BN234">
    <cfRule type="containsText" dxfId="467" priority="482" operator="containsText" text="17">
      <formula>NOT(ISERROR(SEARCH("17",BD232)))</formula>
    </cfRule>
  </conditionalFormatting>
  <conditionalFormatting sqref="BD41:BG45">
    <cfRule type="containsText" dxfId="466" priority="1042" operator="containsText" text="T">
      <formula>NOT(ISERROR(SEARCH("T",BD41)))</formula>
    </cfRule>
  </conditionalFormatting>
  <conditionalFormatting sqref="BD47:BG47 BE48:BH48">
    <cfRule type="containsText" dxfId="465" priority="1037" operator="containsText" text="T">
      <formula>NOT(ISERROR(SEARCH("T",BD47)))</formula>
    </cfRule>
  </conditionalFormatting>
  <conditionalFormatting sqref="BD67:BJ68">
    <cfRule type="containsText" dxfId="464" priority="313" operator="containsText" text="T">
      <formula>NOT(ISERROR(SEARCH("T",BD67)))</formula>
    </cfRule>
    <cfRule type="containsText" dxfId="463" priority="312" operator="containsText" text="17">
      <formula>NOT(ISERROR(SEARCH("17",BD67)))</formula>
    </cfRule>
  </conditionalFormatting>
  <conditionalFormatting sqref="BD99:BJ102">
    <cfRule type="containsText" dxfId="462" priority="333" operator="containsText" text="T">
      <formula>NOT(ISERROR(SEARCH("T",BD99)))</formula>
    </cfRule>
    <cfRule type="containsText" dxfId="461" priority="332" operator="containsText" text="17">
      <formula>NOT(ISERROR(SEARCH("17",BD99)))</formula>
    </cfRule>
  </conditionalFormatting>
  <conditionalFormatting sqref="BD105:BJ105">
    <cfRule type="containsText" dxfId="460" priority="323" operator="containsText" text="T">
      <formula>NOT(ISERROR(SEARCH("T",BD105)))</formula>
    </cfRule>
    <cfRule type="containsText" dxfId="459" priority="322" operator="containsText" text="17">
      <formula>NOT(ISERROR(SEARCH("17",BD105)))</formula>
    </cfRule>
  </conditionalFormatting>
  <conditionalFormatting sqref="BD54:BN59 AZ59:AZ62 BD60:BI62">
    <cfRule type="containsText" dxfId="458" priority="541" operator="containsText" text="T">
      <formula>NOT(ISERROR(SEARCH("T",AZ54)))</formula>
    </cfRule>
  </conditionalFormatting>
  <conditionalFormatting sqref="BD182:BN188">
    <cfRule type="containsText" dxfId="457" priority="134" operator="containsText" text="17">
      <formula>NOT(ISERROR(SEARCH("17",BD182)))</formula>
    </cfRule>
  </conditionalFormatting>
  <conditionalFormatting sqref="BD182:CA188">
    <cfRule type="containsText" dxfId="456" priority="143" operator="containsText" text="T">
      <formula>NOT(ISERROR(SEARCH("T",BD182)))</formula>
    </cfRule>
    <cfRule type="containsText" dxfId="455" priority="146" operator="containsText" text="17">
      <formula>NOT(ISERROR(SEARCH("17",BD182)))</formula>
    </cfRule>
  </conditionalFormatting>
  <conditionalFormatting sqref="BD182:CP188">
    <cfRule type="containsText" dxfId="454" priority="148" operator="containsText" text="T">
      <formula>NOT(ISERROR(SEARCH("T",BD182)))</formula>
    </cfRule>
    <cfRule type="containsText" dxfId="453" priority="157" operator="containsText" text="17">
      <formula>NOT(ISERROR(SEARCH("17",BD182)))</formula>
    </cfRule>
  </conditionalFormatting>
  <conditionalFormatting sqref="BE15:BE20">
    <cfRule type="containsText" dxfId="452" priority="130" operator="containsText" text="T">
      <formula>NOT(ISERROR(SEARCH("T",BE15)))</formula>
    </cfRule>
  </conditionalFormatting>
  <conditionalFormatting sqref="BE67:BE68">
    <cfRule type="containsText" dxfId="451" priority="309" operator="containsText" text="17">
      <formula>NOT(ISERROR(SEARCH("17",BE67)))</formula>
    </cfRule>
    <cfRule type="containsText" dxfId="450" priority="310" operator="containsText" text="T">
      <formula>NOT(ISERROR(SEARCH("T",BE67)))</formula>
    </cfRule>
  </conditionalFormatting>
  <conditionalFormatting sqref="BE79:BE82 BI79:BK82">
    <cfRule type="containsText" dxfId="449" priority="451" operator="containsText" text="T">
      <formula>NOT(ISERROR(SEARCH("T",BE79)))</formula>
    </cfRule>
  </conditionalFormatting>
  <conditionalFormatting sqref="BE99:BE102">
    <cfRule type="containsText" dxfId="448" priority="330" operator="containsText" text="T">
      <formula>NOT(ISERROR(SEARCH("T",BE99)))</formula>
    </cfRule>
    <cfRule type="containsText" dxfId="447" priority="329" operator="containsText" text="17">
      <formula>NOT(ISERROR(SEARCH("17",BE99)))</formula>
    </cfRule>
  </conditionalFormatting>
  <conditionalFormatting sqref="BE105">
    <cfRule type="containsText" dxfId="446" priority="320" operator="containsText" text="T">
      <formula>NOT(ISERROR(SEARCH("T",BE105)))</formula>
    </cfRule>
    <cfRule type="containsText" dxfId="445" priority="319" operator="containsText" text="17">
      <formula>NOT(ISERROR(SEARCH("17",BE105)))</formula>
    </cfRule>
  </conditionalFormatting>
  <conditionalFormatting sqref="BE113:BE116">
    <cfRule type="containsText" dxfId="444" priority="473" operator="containsText" text="T">
      <formula>NOT(ISERROR(SEARCH("T",BE113)))</formula>
    </cfRule>
  </conditionalFormatting>
  <conditionalFormatting sqref="BE117:BE119 BI117:BK119">
    <cfRule type="containsText" dxfId="443" priority="461" operator="containsText" text="T">
      <formula>NOT(ISERROR(SEARCH("T",BE117)))</formula>
    </cfRule>
  </conditionalFormatting>
  <conditionalFormatting sqref="BE232:BE234">
    <cfRule type="containsText" dxfId="442" priority="483" operator="containsText" text="T">
      <formula>NOT(ISERROR(SEARCH("T",BE232)))</formula>
    </cfRule>
  </conditionalFormatting>
  <conditionalFormatting sqref="BE23:BF27">
    <cfRule type="containsText" dxfId="441" priority="1062" operator="containsText" text="17">
      <formula>NOT(ISERROR(SEARCH("17",BE23)))</formula>
    </cfRule>
  </conditionalFormatting>
  <conditionalFormatting sqref="BE79:BF82 BI79:BK82">
    <cfRule type="containsText" dxfId="440" priority="452" operator="containsText" text="17">
      <formula>NOT(ISERROR(SEARCH("17",BE79)))</formula>
    </cfRule>
  </conditionalFormatting>
  <conditionalFormatting sqref="BE117:BF119 BI117:BP119">
    <cfRule type="containsText" dxfId="439" priority="462" operator="containsText" text="17">
      <formula>NOT(ISERROR(SEARCH("17",BE117)))</formula>
    </cfRule>
  </conditionalFormatting>
  <conditionalFormatting sqref="BE199:BF199 BD206:BE206">
    <cfRule type="containsText" dxfId="438" priority="2142" operator="containsText" text="T">
      <formula>NOT(ISERROR(SEARCH("T",BD199)))</formula>
    </cfRule>
    <cfRule type="containsText" dxfId="437" priority="2141" operator="containsText" text="17">
      <formula>NOT(ISERROR(SEARCH("17",BD199)))</formula>
    </cfRule>
  </conditionalFormatting>
  <conditionalFormatting sqref="BE97:BK98">
    <cfRule type="containsText" dxfId="436" priority="302" operator="containsText" text="17">
      <formula>NOT(ISERROR(SEARCH("17",BE97)))</formula>
    </cfRule>
    <cfRule type="containsText" dxfId="435" priority="303" operator="containsText" text="T">
      <formula>NOT(ISERROR(SEARCH("T",BE97)))</formula>
    </cfRule>
  </conditionalFormatting>
  <conditionalFormatting sqref="BE131:BK137">
    <cfRule type="containsText" dxfId="434" priority="293" operator="containsText" text="T">
      <formula>NOT(ISERROR(SEARCH("T",BE131)))</formula>
    </cfRule>
    <cfRule type="containsText" dxfId="433" priority="292" operator="containsText" text="17">
      <formula>NOT(ISERROR(SEARCH("17",BE131)))</formula>
    </cfRule>
  </conditionalFormatting>
  <conditionalFormatting sqref="BE14:BO14">
    <cfRule type="containsText" dxfId="432" priority="122" operator="containsText" text="17">
      <formula>NOT(ISERROR(SEARCH("17",BE14)))</formula>
    </cfRule>
    <cfRule type="containsText" dxfId="431" priority="123" operator="containsText" text="T">
      <formula>NOT(ISERROR(SEARCH("T",BE14)))</formula>
    </cfRule>
  </conditionalFormatting>
  <conditionalFormatting sqref="BE15:BY20 BE14:BM14">
    <cfRule type="containsText" dxfId="430" priority="129" operator="containsText" text="17">
      <formula>NOT(ISERROR(SEARCH("17",BE14)))</formula>
    </cfRule>
  </conditionalFormatting>
  <conditionalFormatting sqref="BF35:BF40">
    <cfRule type="containsText" dxfId="429" priority="118" operator="containsText" text="T">
      <formula>NOT(ISERROR(SEARCH("T",BF35)))</formula>
    </cfRule>
  </conditionalFormatting>
  <conditionalFormatting sqref="BF79:BF82">
    <cfRule type="containsText" dxfId="428" priority="453" operator="containsText" text="T">
      <formula>NOT(ISERROR(SEARCH("T",BF79)))</formula>
    </cfRule>
  </conditionalFormatting>
  <conditionalFormatting sqref="BF93:BF96 AZ94:BB96 BG94:BI96 BS97 BM231:BN234">
    <cfRule type="containsText" dxfId="427" priority="8576" operator="containsText" text="T">
      <formula>NOT(ISERROR(SEARCH("T",AZ93)))</formula>
    </cfRule>
  </conditionalFormatting>
  <conditionalFormatting sqref="BF93:BF96 AZ94:BB96 BS97 BG94:BI96 BM231:BN234">
    <cfRule type="containsText" dxfId="426" priority="8575" operator="containsText" text="17">
      <formula>NOT(ISERROR(SEARCH("17",AZ93)))</formula>
    </cfRule>
  </conditionalFormatting>
  <conditionalFormatting sqref="BF97:BF98">
    <cfRule type="containsText" dxfId="425" priority="300" operator="containsText" text="T">
      <formula>NOT(ISERROR(SEARCH("T",BF97)))</formula>
    </cfRule>
    <cfRule type="containsText" dxfId="424" priority="299" operator="containsText" text="17">
      <formula>NOT(ISERROR(SEARCH("17",BF97)))</formula>
    </cfRule>
  </conditionalFormatting>
  <conditionalFormatting sqref="BF117:BF119">
    <cfRule type="containsText" dxfId="423" priority="463" operator="containsText" text="T">
      <formula>NOT(ISERROR(SEARCH("T",BF117)))</formula>
    </cfRule>
  </conditionalFormatting>
  <conditionalFormatting sqref="BF131:BF137">
    <cfRule type="containsText" dxfId="422" priority="289" operator="containsText" text="17">
      <formula>NOT(ISERROR(SEARCH("17",BF131)))</formula>
    </cfRule>
    <cfRule type="containsText" dxfId="421" priority="290" operator="containsText" text="T">
      <formula>NOT(ISERROR(SEARCH("T",BF131)))</formula>
    </cfRule>
  </conditionalFormatting>
  <conditionalFormatting sqref="BF138:BL144">
    <cfRule type="containsText" dxfId="420" priority="283" operator="containsText" text="T">
      <formula>NOT(ISERROR(SEARCH("T",BF138)))</formula>
    </cfRule>
    <cfRule type="containsText" dxfId="419" priority="282" operator="containsText" text="17">
      <formula>NOT(ISERROR(SEARCH("17",BF138)))</formula>
    </cfRule>
  </conditionalFormatting>
  <conditionalFormatting sqref="BF34:BP34">
    <cfRule type="containsText" dxfId="418" priority="110" operator="containsText" text="17">
      <formula>NOT(ISERROR(SEARCH("17",BF34)))</formula>
    </cfRule>
    <cfRule type="containsText" dxfId="417" priority="111" operator="containsText" text="T">
      <formula>NOT(ISERROR(SEARCH("T",BF34)))</formula>
    </cfRule>
  </conditionalFormatting>
  <conditionalFormatting sqref="BF35:BZ40 BF34:BN34">
    <cfRule type="containsText" dxfId="416" priority="117" operator="containsText" text="17">
      <formula>NOT(ISERROR(SEARCH("17",BF34)))</formula>
    </cfRule>
  </conditionalFormatting>
  <conditionalFormatting sqref="BF50:CA52 BF53:BN53">
    <cfRule type="containsText" dxfId="415" priority="1032" operator="containsText" text="T">
      <formula>NOT(ISERROR(SEARCH("T",BF50)))</formula>
    </cfRule>
  </conditionalFormatting>
  <conditionalFormatting sqref="BG22:BG27">
    <cfRule type="containsText" dxfId="414" priority="106" operator="containsText" text="T">
      <formula>NOT(ISERROR(SEARCH("T",BG22)))</formula>
    </cfRule>
  </conditionalFormatting>
  <conditionalFormatting sqref="BG41:BG45">
    <cfRule type="containsText" dxfId="413" priority="1043" operator="containsText" text="17">
      <formula>NOT(ISERROR(SEARCH("17",BG41)))</formula>
    </cfRule>
  </conditionalFormatting>
  <conditionalFormatting sqref="BG47">
    <cfRule type="containsText" dxfId="412" priority="1041" operator="containsText" text="17">
      <formula>NOT(ISERROR(SEARCH("17",BG47)))</formula>
    </cfRule>
  </conditionalFormatting>
  <conditionalFormatting sqref="BG76:BG78 BK76:BM78">
    <cfRule type="containsText" dxfId="411" priority="426" operator="containsText" text="T">
      <formula>NOT(ISERROR(SEARCH("T",BG76)))</formula>
    </cfRule>
  </conditionalFormatting>
  <conditionalFormatting sqref="BG86 BG93:BI93">
    <cfRule type="containsText" dxfId="410" priority="4101" operator="containsText" text="T">
      <formula>NOT(ISERROR(SEARCH("T",BG86)))</formula>
    </cfRule>
    <cfRule type="containsText" dxfId="409" priority="4100" operator="containsText" text="17">
      <formula>NOT(ISERROR(SEARCH("17",BG86)))</formula>
    </cfRule>
  </conditionalFormatting>
  <conditionalFormatting sqref="BG107:BG112 BK107:BM112">
    <cfRule type="containsText" dxfId="408" priority="436" operator="containsText" text="T">
      <formula>NOT(ISERROR(SEARCH("T",BG107)))</formula>
    </cfRule>
  </conditionalFormatting>
  <conditionalFormatting sqref="BG138:BG144">
    <cfRule type="containsText" dxfId="407" priority="279" operator="containsText" text="17">
      <formula>NOT(ISERROR(SEARCH("17",BG138)))</formula>
    </cfRule>
    <cfRule type="containsText" dxfId="406" priority="280" operator="containsText" text="T">
      <formula>NOT(ISERROR(SEARCH("T",BG138)))</formula>
    </cfRule>
  </conditionalFormatting>
  <conditionalFormatting sqref="BG30:BH32 BG33:BZ33">
    <cfRule type="containsText" dxfId="405" priority="1056" operator="containsText" text="17">
      <formula>NOT(ISERROR(SEARCH("17",BG30)))</formula>
    </cfRule>
  </conditionalFormatting>
  <conditionalFormatting sqref="BG48:BH48">
    <cfRule type="containsText" dxfId="404" priority="1038" operator="containsText" text="17">
      <formula>NOT(ISERROR(SEARCH("17",BG48)))</formula>
    </cfRule>
  </conditionalFormatting>
  <conditionalFormatting sqref="BG76:BH78 BK76:BM78">
    <cfRule type="containsText" dxfId="403" priority="427" operator="containsText" text="17">
      <formula>NOT(ISERROR(SEARCH("17",BG76)))</formula>
    </cfRule>
  </conditionalFormatting>
  <conditionalFormatting sqref="BG107:BH112 BK107:BM112">
    <cfRule type="containsText" dxfId="402" priority="437" operator="containsText" text="17">
      <formula>NOT(ISERROR(SEARCH("17",BG107)))</formula>
    </cfRule>
  </conditionalFormatting>
  <conditionalFormatting sqref="BG145:BM151">
    <cfRule type="containsText" dxfId="401" priority="272" operator="containsText" text="17">
      <formula>NOT(ISERROR(SEARCH("17",BG145)))</formula>
    </cfRule>
    <cfRule type="containsText" dxfId="400" priority="273" operator="containsText" text="T">
      <formula>NOT(ISERROR(SEARCH("T",BG145)))</formula>
    </cfRule>
  </conditionalFormatting>
  <conditionalFormatting sqref="BG21:BQ21">
    <cfRule type="containsText" dxfId="399" priority="98" operator="containsText" text="17">
      <formula>NOT(ISERROR(SEARCH("17",BG21)))</formula>
    </cfRule>
    <cfRule type="containsText" dxfId="398" priority="99" operator="containsText" text="T">
      <formula>NOT(ISERROR(SEARCH("T",BG21)))</formula>
    </cfRule>
  </conditionalFormatting>
  <conditionalFormatting sqref="BG50:BQ52">
    <cfRule type="containsText" dxfId="397" priority="1036" operator="containsText" text="17">
      <formula>NOT(ISERROR(SEARCH("17",BG50)))</formula>
    </cfRule>
  </conditionalFormatting>
  <conditionalFormatting sqref="BG51:BS52 BG53:BN59 BG60:BI66">
    <cfRule type="containsText" dxfId="396" priority="1033" operator="containsText" text="17">
      <formula>NOT(ISERROR(SEARCH("17",BG51)))</formula>
    </cfRule>
  </conditionalFormatting>
  <conditionalFormatting sqref="BG22:CA27 BG21:BO21">
    <cfRule type="containsText" dxfId="395" priority="105" operator="containsText" text="17">
      <formula>NOT(ISERROR(SEARCH("17",BG21)))</formula>
    </cfRule>
  </conditionalFormatting>
  <conditionalFormatting sqref="BH42:BH47">
    <cfRule type="containsText" dxfId="394" priority="94" operator="containsText" text="T">
      <formula>NOT(ISERROR(SEARCH("T",BH42)))</formula>
    </cfRule>
  </conditionalFormatting>
  <conditionalFormatting sqref="BH72:BH75 BL72:BN75">
    <cfRule type="containsText" dxfId="393" priority="416" operator="containsText" text="T">
      <formula>NOT(ISERROR(SEARCH("T",BH72)))</formula>
    </cfRule>
  </conditionalFormatting>
  <conditionalFormatting sqref="BH76:BH78">
    <cfRule type="containsText" dxfId="392" priority="428" operator="containsText" text="T">
      <formula>NOT(ISERROR(SEARCH("T",BH76)))</formula>
    </cfRule>
  </conditionalFormatting>
  <conditionalFormatting sqref="BH106 BL106:BN106">
    <cfRule type="containsText" dxfId="391" priority="406" operator="containsText" text="T">
      <formula>NOT(ISERROR(SEARCH("T",BH106)))</formula>
    </cfRule>
  </conditionalFormatting>
  <conditionalFormatting sqref="BH107:BH112">
    <cfRule type="containsText" dxfId="390" priority="438" operator="containsText" text="T">
      <formula>NOT(ISERROR(SEARCH("T",BH107)))</formula>
    </cfRule>
  </conditionalFormatting>
  <conditionalFormatting sqref="BH120 BL120:BN120">
    <cfRule type="containsText" dxfId="389" priority="386" operator="containsText" text="T">
      <formula>NOT(ISERROR(SEARCH("T",BH120)))</formula>
    </cfRule>
  </conditionalFormatting>
  <conditionalFormatting sqref="BH122 BL122:BO122">
    <cfRule type="containsText" dxfId="388" priority="376" operator="containsText" text="T">
      <formula>NOT(ISERROR(SEARCH("T",BH122)))</formula>
    </cfRule>
  </conditionalFormatting>
  <conditionalFormatting sqref="BH124:BH126 BL124:BN126">
    <cfRule type="containsText" dxfId="387" priority="396" operator="containsText" text="T">
      <formula>NOT(ISERROR(SEARCH("T",BH124)))</formula>
    </cfRule>
  </conditionalFormatting>
  <conditionalFormatting sqref="BH145:BH151">
    <cfRule type="containsText" dxfId="386" priority="269" operator="containsText" text="17">
      <formula>NOT(ISERROR(SEARCH("17",BH145)))</formula>
    </cfRule>
    <cfRule type="containsText" dxfId="385" priority="270" operator="containsText" text="T">
      <formula>NOT(ISERROR(SEARCH("T",BH145)))</formula>
    </cfRule>
  </conditionalFormatting>
  <conditionalFormatting sqref="BH72:BI75 BL72:BN75">
    <cfRule type="containsText" dxfId="384" priority="417" operator="containsText" text="17">
      <formula>NOT(ISERROR(SEARCH("17",BH72)))</formula>
    </cfRule>
  </conditionalFormatting>
  <conditionalFormatting sqref="BH106:BI106 BL106:CJ106">
    <cfRule type="containsText" dxfId="383" priority="407" operator="containsText" text="17">
      <formula>NOT(ISERROR(SEARCH("17",BH106)))</formula>
    </cfRule>
  </conditionalFormatting>
  <conditionalFormatting sqref="BH120:BI120 BL120:BO120">
    <cfRule type="containsText" dxfId="382" priority="387" operator="containsText" text="17">
      <formula>NOT(ISERROR(SEARCH("17",BH120)))</formula>
    </cfRule>
  </conditionalFormatting>
  <conditionalFormatting sqref="BH122:BI122 BL122:BO122">
    <cfRule type="containsText" dxfId="381" priority="377" operator="containsText" text="17">
      <formula>NOT(ISERROR(SEARCH("17",BH122)))</formula>
    </cfRule>
  </conditionalFormatting>
  <conditionalFormatting sqref="BH124:BI126 BL124:BO126">
    <cfRule type="containsText" dxfId="380" priority="397" operator="containsText" text="17">
      <formula>NOT(ISERROR(SEARCH("17",BH124)))</formula>
    </cfRule>
  </conditionalFormatting>
  <conditionalFormatting sqref="BH214:BI216">
    <cfRule type="containsText" dxfId="379" priority="5856" operator="containsText" text="17">
      <formula>NOT(ISERROR(SEARCH("17",BH214)))</formula>
    </cfRule>
    <cfRule type="containsText" dxfId="378" priority="5857" operator="containsText" text="T">
      <formula>NOT(ISERROR(SEARCH("T",BH214)))</formula>
    </cfRule>
  </conditionalFormatting>
  <conditionalFormatting sqref="BH84:BK89">
    <cfRule type="containsText" dxfId="377" priority="1009" operator="containsText" text="17">
      <formula>NOT(ISERROR(SEARCH("17",BH84)))</formula>
    </cfRule>
  </conditionalFormatting>
  <conditionalFormatting sqref="BH152:BN158">
    <cfRule type="containsText" dxfId="376" priority="262" operator="containsText" text="17">
      <formula>NOT(ISERROR(SEARCH("17",BH152)))</formula>
    </cfRule>
    <cfRule type="containsText" dxfId="375" priority="263" operator="containsText" text="T">
      <formula>NOT(ISERROR(SEARCH("T",BH152)))</formula>
    </cfRule>
  </conditionalFormatting>
  <conditionalFormatting sqref="BH41:BR41">
    <cfRule type="containsText" dxfId="374" priority="87" operator="containsText" text="T">
      <formula>NOT(ISERROR(SEARCH("T",BH41)))</formula>
    </cfRule>
    <cfRule type="containsText" dxfId="373" priority="86" operator="containsText" text="17">
      <formula>NOT(ISERROR(SEARCH("17",BH41)))</formula>
    </cfRule>
  </conditionalFormatting>
  <conditionalFormatting sqref="BH42:CB47 BH41:BP41">
    <cfRule type="containsText" dxfId="372" priority="93" operator="containsText" text="17">
      <formula>NOT(ISERROR(SEARCH("17",BH41)))</formula>
    </cfRule>
  </conditionalFormatting>
  <conditionalFormatting sqref="BI28:BI32">
    <cfRule type="containsText" dxfId="371" priority="79" operator="containsText" text="T">
      <formula>NOT(ISERROR(SEARCH("T",BI28)))</formula>
    </cfRule>
  </conditionalFormatting>
  <conditionalFormatting sqref="BI48:BI49">
    <cfRule type="containsText" dxfId="370" priority="74" operator="containsText" text="T">
      <formula>NOT(ISERROR(SEARCH("T",BI48)))</formula>
    </cfRule>
  </conditionalFormatting>
  <conditionalFormatting sqref="BI69:BI71 BM69:BO71">
    <cfRule type="containsText" dxfId="369" priority="336" operator="containsText" text="T">
      <formula>NOT(ISERROR(SEARCH("T",BI69)))</formula>
    </cfRule>
  </conditionalFormatting>
  <conditionalFormatting sqref="BI72:BI75">
    <cfRule type="containsText" dxfId="368" priority="418" operator="containsText" text="T">
      <formula>NOT(ISERROR(SEARCH("T",BI72)))</formula>
    </cfRule>
  </conditionalFormatting>
  <conditionalFormatting sqref="BI103:BI104 BM103:BO104">
    <cfRule type="containsText" dxfId="367" priority="366" operator="containsText" text="T">
      <formula>NOT(ISERROR(SEARCH("T",BI103)))</formula>
    </cfRule>
  </conditionalFormatting>
  <conditionalFormatting sqref="BI106">
    <cfRule type="containsText" dxfId="366" priority="408" operator="containsText" text="T">
      <formula>NOT(ISERROR(SEARCH("T",BI106)))</formula>
    </cfRule>
  </conditionalFormatting>
  <conditionalFormatting sqref="BI120">
    <cfRule type="containsText" dxfId="365" priority="388" operator="containsText" text="T">
      <formula>NOT(ISERROR(SEARCH("T",BI120)))</formula>
    </cfRule>
  </conditionalFormatting>
  <conditionalFormatting sqref="BI121 BM121:BO121">
    <cfRule type="containsText" dxfId="364" priority="356" operator="containsText" text="T">
      <formula>NOT(ISERROR(SEARCH("T",BI121)))</formula>
    </cfRule>
  </conditionalFormatting>
  <conditionalFormatting sqref="BI122">
    <cfRule type="containsText" dxfId="363" priority="378" operator="containsText" text="T">
      <formula>NOT(ISERROR(SEARCH("T",BI122)))</formula>
    </cfRule>
  </conditionalFormatting>
  <conditionalFormatting sqref="BI123 BM123:BO123">
    <cfRule type="containsText" dxfId="362" priority="346" operator="containsText" text="T">
      <formula>NOT(ISERROR(SEARCH("T",BI123)))</formula>
    </cfRule>
  </conditionalFormatting>
  <conditionalFormatting sqref="BI124:BI126">
    <cfRule type="containsText" dxfId="361" priority="398" operator="containsText" text="T">
      <formula>NOT(ISERROR(SEARCH("T",BI124)))</formula>
    </cfRule>
  </conditionalFormatting>
  <conditionalFormatting sqref="BI152:BI158">
    <cfRule type="containsText" dxfId="360" priority="259" operator="containsText" text="17">
      <formula>NOT(ISERROR(SEARCH("17",BI152)))</formula>
    </cfRule>
    <cfRule type="containsText" dxfId="359" priority="260" operator="containsText" text="T">
      <formula>NOT(ISERROR(SEARCH("T",BI152)))</formula>
    </cfRule>
  </conditionalFormatting>
  <conditionalFormatting sqref="BI69:BJ71 BM69:BO71">
    <cfRule type="containsText" dxfId="358" priority="337" operator="containsText" text="17">
      <formula>NOT(ISERROR(SEARCH("17",BI69)))</formula>
    </cfRule>
  </conditionalFormatting>
  <conditionalFormatting sqref="BI103:BJ104 BM103:BO104">
    <cfRule type="containsText" dxfId="357" priority="367" operator="containsText" text="17">
      <formula>NOT(ISERROR(SEARCH("17",BI103)))</formula>
    </cfRule>
  </conditionalFormatting>
  <conditionalFormatting sqref="BI121:BJ121 BM121:BO121">
    <cfRule type="containsText" dxfId="356" priority="357" operator="containsText" text="17">
      <formula>NOT(ISERROR(SEARCH("17",BI121)))</formula>
    </cfRule>
  </conditionalFormatting>
  <conditionalFormatting sqref="BI123:BJ123 BM123:BO123">
    <cfRule type="containsText" dxfId="355" priority="347" operator="containsText" text="17">
      <formula>NOT(ISERROR(SEARCH("17",BI123)))</formula>
    </cfRule>
  </conditionalFormatting>
  <conditionalFormatting sqref="BI214:BJ216">
    <cfRule type="containsText" dxfId="354" priority="5863" operator="containsText" text="T">
      <formula>NOT(ISERROR(SEARCH("T",BI214)))</formula>
    </cfRule>
    <cfRule type="containsText" dxfId="353" priority="5862" operator="containsText" text="17">
      <formula>NOT(ISERROR(SEARCH("17",BI214)))</formula>
    </cfRule>
  </conditionalFormatting>
  <conditionalFormatting sqref="BI218:BL220 BL221:BM223 BM224:BM227 BM228:BN230">
    <cfRule type="containsText" dxfId="352" priority="5627" operator="containsText" text="T">
      <formula>NOT(ISERROR(SEARCH("T",BI218)))</formula>
    </cfRule>
  </conditionalFormatting>
  <conditionalFormatting sqref="BI159:BO165">
    <cfRule type="containsText" dxfId="351" priority="253" operator="containsText" text="T">
      <formula>NOT(ISERROR(SEARCH("T",BI159)))</formula>
    </cfRule>
    <cfRule type="containsText" dxfId="350" priority="252" operator="containsText" text="17">
      <formula>NOT(ISERROR(SEARCH("17",BI159)))</formula>
    </cfRule>
  </conditionalFormatting>
  <conditionalFormatting sqref="BI28:CC32 CF28:CF32">
    <cfRule type="containsText" dxfId="349" priority="76" operator="containsText" text="T">
      <formula>NOT(ISERROR(SEARCH("T",BI28)))</formula>
    </cfRule>
  </conditionalFormatting>
  <conditionalFormatting sqref="BI28:CC32">
    <cfRule type="containsText" dxfId="348" priority="78" operator="containsText" text="17">
      <formula>NOT(ISERROR(SEARCH("17",BI28)))</formula>
    </cfRule>
  </conditionalFormatting>
  <conditionalFormatting sqref="BI48:CC49 CF48:CF49">
    <cfRule type="containsText" dxfId="347" priority="71" operator="containsText" text="T">
      <formula>NOT(ISERROR(SEARCH("T",BI48)))</formula>
    </cfRule>
  </conditionalFormatting>
  <conditionalFormatting sqref="BI48:CC49">
    <cfRule type="containsText" dxfId="346" priority="73" operator="containsText" text="17">
      <formula>NOT(ISERROR(SEARCH("17",BI48)))</formula>
    </cfRule>
  </conditionalFormatting>
  <conditionalFormatting sqref="BJ60:BJ68">
    <cfRule type="containsText" dxfId="345" priority="69" operator="containsText" text="T">
      <formula>NOT(ISERROR(SEARCH("T",BJ60)))</formula>
    </cfRule>
  </conditionalFormatting>
  <conditionalFormatting sqref="BJ69:BJ71">
    <cfRule type="containsText" dxfId="344" priority="338" operator="containsText" text="T">
      <formula>NOT(ISERROR(SEARCH("T",BJ69)))</formula>
    </cfRule>
  </conditionalFormatting>
  <conditionalFormatting sqref="BJ99:BJ102 BN99:BP102">
    <cfRule type="containsText" dxfId="343" priority="326" operator="containsText" text="T">
      <formula>NOT(ISERROR(SEARCH("T",BJ99)))</formula>
    </cfRule>
  </conditionalFormatting>
  <conditionalFormatting sqref="BJ103:BJ104">
    <cfRule type="containsText" dxfId="342" priority="368" operator="containsText" text="T">
      <formula>NOT(ISERROR(SEARCH("T",BJ103)))</formula>
    </cfRule>
  </conditionalFormatting>
  <conditionalFormatting sqref="BJ105 BN105:BP105">
    <cfRule type="containsText" dxfId="341" priority="316" operator="containsText" text="T">
      <formula>NOT(ISERROR(SEARCH("T",BJ105)))</formula>
    </cfRule>
  </conditionalFormatting>
  <conditionalFormatting sqref="BJ121">
    <cfRule type="containsText" dxfId="340" priority="358" operator="containsText" text="T">
      <formula>NOT(ISERROR(SEARCH("T",BJ121)))</formula>
    </cfRule>
  </conditionalFormatting>
  <conditionalFormatting sqref="BJ123">
    <cfRule type="containsText" dxfId="339" priority="348" operator="containsText" text="T">
      <formula>NOT(ISERROR(SEARCH("T",BJ123)))</formula>
    </cfRule>
  </conditionalFormatting>
  <conditionalFormatting sqref="BJ159:BJ165">
    <cfRule type="containsText" dxfId="338" priority="249" operator="containsText" text="17">
      <formula>NOT(ISERROR(SEARCH("17",BJ159)))</formula>
    </cfRule>
    <cfRule type="containsText" dxfId="337" priority="250" operator="containsText" text="T">
      <formula>NOT(ISERROR(SEARCH("T",BJ159)))</formula>
    </cfRule>
  </conditionalFormatting>
  <conditionalFormatting sqref="BJ199 BI206">
    <cfRule type="containsText" dxfId="336" priority="5048" operator="containsText" text="17">
      <formula>NOT(ISERROR(SEARCH("17",BI199)))</formula>
    </cfRule>
    <cfRule type="containsText" dxfId="335" priority="5049" operator="containsText" text="T">
      <formula>NOT(ISERROR(SEARCH("T",BI199)))</formula>
    </cfRule>
  </conditionalFormatting>
  <conditionalFormatting sqref="BJ99:BK102 BN99:BP102">
    <cfRule type="containsText" dxfId="334" priority="327" operator="containsText" text="17">
      <formula>NOT(ISERROR(SEARCH("17",BJ99)))</formula>
    </cfRule>
  </conditionalFormatting>
  <conditionalFormatting sqref="BJ105:BK105 BN105:CJ105">
    <cfRule type="containsText" dxfId="333" priority="317" operator="containsText" text="17">
      <formula>NOT(ISERROR(SEARCH("17",BJ105)))</formula>
    </cfRule>
  </conditionalFormatting>
  <conditionalFormatting sqref="BJ228:BN231 BK232:BN234">
    <cfRule type="containsText" dxfId="332" priority="5687" operator="containsText" text="T">
      <formula>NOT(ISERROR(SEARCH("T",BJ228)))</formula>
    </cfRule>
    <cfRule type="containsText" dxfId="331" priority="5690" operator="containsText" text="17">
      <formula>NOT(ISERROR(SEARCH("17",BJ228)))</formula>
    </cfRule>
    <cfRule type="containsText" dxfId="330" priority="5691" operator="containsText" text="T">
      <formula>NOT(ISERROR(SEARCH("T",BJ228)))</formula>
    </cfRule>
  </conditionalFormatting>
  <conditionalFormatting sqref="BJ228:BN231">
    <cfRule type="containsText" dxfId="329" priority="5686" operator="containsText" text="17">
      <formula>NOT(ISERROR(SEARCH("17",BJ228)))</formula>
    </cfRule>
  </conditionalFormatting>
  <conditionalFormatting sqref="BJ207:BP213">
    <cfRule type="containsText" dxfId="328" priority="242" operator="containsText" text="17">
      <formula>NOT(ISERROR(SEARCH("17",BJ207)))</formula>
    </cfRule>
  </conditionalFormatting>
  <conditionalFormatting sqref="BJ60:CD66 CG60:CG66">
    <cfRule type="containsText" dxfId="327" priority="66" operator="containsText" text="T">
      <formula>NOT(ISERROR(SEARCH("T",BJ60)))</formula>
    </cfRule>
  </conditionalFormatting>
  <conditionalFormatting sqref="BJ60:CD66">
    <cfRule type="containsText" dxfId="326" priority="68" operator="containsText" text="17">
      <formula>NOT(ISERROR(SEARCH("17",BJ60)))</formula>
    </cfRule>
  </conditionalFormatting>
  <conditionalFormatting sqref="BK67:BK68">
    <cfRule type="containsText" dxfId="325" priority="308" operator="containsText" text="T">
      <formula>NOT(ISERROR(SEARCH("T",BK67)))</formula>
    </cfRule>
  </conditionalFormatting>
  <conditionalFormatting sqref="BK85:BK89">
    <cfRule type="containsText" dxfId="324" priority="1010" operator="containsText" text="17">
      <formula>NOT(ISERROR(SEARCH("17",BK85)))</formula>
    </cfRule>
  </conditionalFormatting>
  <conditionalFormatting sqref="BK90:BK98">
    <cfRule type="containsText" dxfId="323" priority="64" operator="containsText" text="T">
      <formula>NOT(ISERROR(SEARCH("T",BK90)))</formula>
    </cfRule>
  </conditionalFormatting>
  <conditionalFormatting sqref="BK99:BK102">
    <cfRule type="containsText" dxfId="322" priority="328" operator="containsText" text="T">
      <formula>NOT(ISERROR(SEARCH("T",BK99)))</formula>
    </cfRule>
  </conditionalFormatting>
  <conditionalFormatting sqref="BK105">
    <cfRule type="containsText" dxfId="321" priority="318" operator="containsText" text="T">
      <formula>NOT(ISERROR(SEARCH("T",BK105)))</formula>
    </cfRule>
  </conditionalFormatting>
  <conditionalFormatting sqref="BK131:BK137 BO131:BQ137">
    <cfRule type="containsText" dxfId="320" priority="286" operator="containsText" text="T">
      <formula>NOT(ISERROR(SEARCH("T",BK131)))</formula>
    </cfRule>
  </conditionalFormatting>
  <conditionalFormatting sqref="BK199 BJ206">
    <cfRule type="containsText" dxfId="319" priority="5064" operator="containsText" text="17">
      <formula>NOT(ISERROR(SEARCH("17",BJ199)))</formula>
    </cfRule>
    <cfRule type="containsText" dxfId="318" priority="5065" operator="containsText" text="T">
      <formula>NOT(ISERROR(SEARCH("T",BJ199)))</formula>
    </cfRule>
  </conditionalFormatting>
  <conditionalFormatting sqref="BK207:BK213">
    <cfRule type="containsText" dxfId="317" priority="239" operator="containsText" text="17">
      <formula>NOT(ISERROR(SEARCH("17",BK207)))</formula>
    </cfRule>
    <cfRule type="containsText" dxfId="316" priority="240" operator="containsText" text="T">
      <formula>NOT(ISERROR(SEARCH("T",BK207)))</formula>
    </cfRule>
  </conditionalFormatting>
  <conditionalFormatting sqref="BK217:BK223 BL224:BL230">
    <cfRule type="containsText" dxfId="315" priority="5614" operator="containsText" text="17">
      <formula>NOT(ISERROR(SEARCH("17",BK217)))</formula>
    </cfRule>
    <cfRule type="containsText" dxfId="314" priority="5615" operator="containsText" text="T">
      <formula>NOT(ISERROR(SEARCH("T",BK217)))</formula>
    </cfRule>
  </conditionalFormatting>
  <conditionalFormatting sqref="BK131:BL137 BO131:BQ137">
    <cfRule type="containsText" dxfId="313" priority="287" operator="containsText" text="17">
      <formula>NOT(ISERROR(SEARCH("17",BK131)))</formula>
    </cfRule>
  </conditionalFormatting>
  <conditionalFormatting sqref="BK217:BL217">
    <cfRule type="containsText" dxfId="312" priority="5313" operator="containsText" text="T">
      <formula>NOT(ISERROR(SEARCH("T",BK217)))</formula>
    </cfRule>
    <cfRule type="containsText" dxfId="311" priority="5312" operator="containsText" text="17">
      <formula>NOT(ISERROR(SEARCH("17",BK217)))</formula>
    </cfRule>
  </conditionalFormatting>
  <conditionalFormatting sqref="BK218:BL220 BK221:BM223">
    <cfRule type="containsText" dxfId="310" priority="5620" operator="containsText" text="17">
      <formula>NOT(ISERROR(SEARCH("17",BK218)))</formula>
    </cfRule>
    <cfRule type="containsText" dxfId="309" priority="5621" operator="containsText" text="T">
      <formula>NOT(ISERROR(SEARCH("T",BK218)))</formula>
    </cfRule>
  </conditionalFormatting>
  <conditionalFormatting sqref="BK200:BQ206">
    <cfRule type="containsText" dxfId="308" priority="229" operator="containsText" text="17">
      <formula>NOT(ISERROR(SEARCH("17",BK200)))</formula>
    </cfRule>
    <cfRule type="containsText" dxfId="307" priority="230" operator="containsText" text="T">
      <formula>NOT(ISERROR(SEARCH("T",BK200)))</formula>
    </cfRule>
  </conditionalFormatting>
  <conditionalFormatting sqref="BK90:CE96 CH90:CH96">
    <cfRule type="containsText" dxfId="306" priority="61" operator="containsText" text="T">
      <formula>NOT(ISERROR(SEARCH("T",BK90)))</formula>
    </cfRule>
  </conditionalFormatting>
  <conditionalFormatting sqref="BK90:CE96">
    <cfRule type="containsText" dxfId="305" priority="63" operator="containsText" text="17">
      <formula>NOT(ISERROR(SEARCH("17",BK90)))</formula>
    </cfRule>
  </conditionalFormatting>
  <conditionalFormatting sqref="BL79">
    <cfRule type="containsText" dxfId="304" priority="3869" operator="containsText" text="T">
      <formula>NOT(ISERROR(SEARCH("T",BL79)))</formula>
    </cfRule>
    <cfRule type="containsText" dxfId="303" priority="3868" operator="containsText" text="17">
      <formula>NOT(ISERROR(SEARCH("17",BL79)))</formula>
    </cfRule>
  </conditionalFormatting>
  <conditionalFormatting sqref="BL83:BL89">
    <cfRule type="containsText" dxfId="302" priority="59" operator="containsText" text="T">
      <formula>NOT(ISERROR(SEARCH("T",BL83)))</formula>
    </cfRule>
  </conditionalFormatting>
  <conditionalFormatting sqref="BL97:BL98">
    <cfRule type="containsText" dxfId="301" priority="298" operator="containsText" text="T">
      <formula>NOT(ISERROR(SEARCH("T",BL97)))</formula>
    </cfRule>
  </conditionalFormatting>
  <conditionalFormatting sqref="BL131:BL137">
    <cfRule type="containsText" dxfId="300" priority="288" operator="containsText" text="T">
      <formula>NOT(ISERROR(SEARCH("T",BL131)))</formula>
    </cfRule>
  </conditionalFormatting>
  <conditionalFormatting sqref="BL138:BL144 BP138:BR144">
    <cfRule type="containsText" dxfId="299" priority="276" operator="containsText" text="T">
      <formula>NOT(ISERROR(SEARCH("T",BL138)))</formula>
    </cfRule>
  </conditionalFormatting>
  <conditionalFormatting sqref="BL200:BL206">
    <cfRule type="containsText" dxfId="298" priority="227" operator="containsText" text="17">
      <formula>NOT(ISERROR(SEARCH("17",BL200)))</formula>
    </cfRule>
    <cfRule type="containsText" dxfId="297" priority="228" operator="containsText" text="T">
      <formula>NOT(ISERROR(SEARCH("T",BL200)))</formula>
    </cfRule>
  </conditionalFormatting>
  <conditionalFormatting sqref="BL217">
    <cfRule type="containsText" dxfId="296" priority="5315" operator="containsText" text="T">
      <formula>NOT(ISERROR(SEARCH("T",BL217)))</formula>
    </cfRule>
    <cfRule type="containsText" dxfId="295" priority="5314" operator="containsText" text="17">
      <formula>NOT(ISERROR(SEARCH("17",BL217)))</formula>
    </cfRule>
  </conditionalFormatting>
  <conditionalFormatting sqref="BL218:BL220 BL221:BM223 BM224:BM227 BM228:BN230">
    <cfRule type="containsText" dxfId="294" priority="5626" operator="containsText" text="17">
      <formula>NOT(ISERROR(SEARCH("17",BL218)))</formula>
    </cfRule>
  </conditionalFormatting>
  <conditionalFormatting sqref="BL138:BM144 BP138:BR144">
    <cfRule type="containsText" dxfId="293" priority="277" operator="containsText" text="17">
      <formula>NOT(ISERROR(SEARCH("17",BL138)))</formula>
    </cfRule>
  </conditionalFormatting>
  <conditionalFormatting sqref="BL199:BM199 BK206:BL206">
    <cfRule type="containsText" dxfId="292" priority="2139" operator="containsText" text="17">
      <formula>NOT(ISERROR(SEARCH("17",BK199)))</formula>
    </cfRule>
    <cfRule type="containsText" dxfId="291" priority="2140" operator="containsText" text="T">
      <formula>NOT(ISERROR(SEARCH("T",BK199)))</formula>
    </cfRule>
  </conditionalFormatting>
  <conditionalFormatting sqref="BL224:BM227 BL228:BN230">
    <cfRule type="containsText" dxfId="290" priority="5619" operator="containsText" text="T">
      <formula>NOT(ISERROR(SEARCH("T",BL224)))</formula>
    </cfRule>
    <cfRule type="containsText" dxfId="289" priority="5618" operator="containsText" text="17">
      <formula>NOT(ISERROR(SEARCH("17",BL224)))</formula>
    </cfRule>
  </conditionalFormatting>
  <conditionalFormatting sqref="BL192:BR199">
    <cfRule type="containsText" dxfId="288" priority="212" operator="containsText" text="17">
      <formula>NOT(ISERROR(SEARCH("17",BL192)))</formula>
    </cfRule>
  </conditionalFormatting>
  <conditionalFormatting sqref="BL83:CF89 CI83:CI89">
    <cfRule type="containsText" dxfId="287" priority="56" operator="containsText" text="T">
      <formula>NOT(ISERROR(SEARCH("T",BL83)))</formula>
    </cfRule>
  </conditionalFormatting>
  <conditionalFormatting sqref="BL83:CF89">
    <cfRule type="containsText" dxfId="286" priority="58" operator="containsText" text="17">
      <formula>NOT(ISERROR(SEARCH("17",BL83)))</formula>
    </cfRule>
  </conditionalFormatting>
  <conditionalFormatting sqref="BM138:BM144">
    <cfRule type="containsText" dxfId="285" priority="278" operator="containsText" text="T">
      <formula>NOT(ISERROR(SEARCH("T",BM138)))</formula>
    </cfRule>
  </conditionalFormatting>
  <conditionalFormatting sqref="BM145:BM151 BQ145:BS151">
    <cfRule type="containsText" dxfId="284" priority="266" operator="containsText" text="T">
      <formula>NOT(ISERROR(SEARCH("T",BM145)))</formula>
    </cfRule>
  </conditionalFormatting>
  <conditionalFormatting sqref="BM192:BM199">
    <cfRule type="containsText" dxfId="283" priority="211" operator="containsText" text="T">
      <formula>NOT(ISERROR(SEARCH("T",BM192)))</formula>
    </cfRule>
    <cfRule type="containsText" dxfId="282" priority="210" operator="containsText" text="17">
      <formula>NOT(ISERROR(SEARCH("17",BM192)))</formula>
    </cfRule>
  </conditionalFormatting>
  <conditionalFormatting sqref="BM214:BM220">
    <cfRule type="containsText" dxfId="281" priority="54" operator="containsText" text="T">
      <formula>NOT(ISERROR(SEARCH("T",BM214)))</formula>
    </cfRule>
  </conditionalFormatting>
  <conditionalFormatting sqref="BM145:BN151 BQ145:BS151">
    <cfRule type="containsText" dxfId="280" priority="267" operator="containsText" text="17">
      <formula>NOT(ISERROR(SEARCH("17",BM145)))</formula>
    </cfRule>
  </conditionalFormatting>
  <conditionalFormatting sqref="BM168:BS174">
    <cfRule type="containsText" dxfId="279" priority="188" operator="containsText" text="17">
      <formula>NOT(ISERROR(SEARCH("17",BM168)))</formula>
    </cfRule>
    <cfRule type="containsText" dxfId="278" priority="189" operator="containsText" text="T">
      <formula>NOT(ISERROR(SEARCH("T",BM168)))</formula>
    </cfRule>
  </conditionalFormatting>
  <conditionalFormatting sqref="BM214:CG220 CJ214:CJ220">
    <cfRule type="containsText" dxfId="277" priority="51" operator="containsText" text="T">
      <formula>NOT(ISERROR(SEARCH("T",BM214)))</formula>
    </cfRule>
  </conditionalFormatting>
  <conditionalFormatting sqref="BM214:CG220">
    <cfRule type="containsText" dxfId="276" priority="53" operator="containsText" text="17">
      <formula>NOT(ISERROR(SEARCH("17",BM214)))</formula>
    </cfRule>
  </conditionalFormatting>
  <conditionalFormatting sqref="BM79:CJ82 CJ83:CJ84">
    <cfRule type="containsText" dxfId="275" priority="1015" operator="containsText" text="17">
      <formula>NOT(ISERROR(SEARCH("17",BM79)))</formula>
    </cfRule>
  </conditionalFormatting>
  <conditionalFormatting sqref="BN145:BN151">
    <cfRule type="containsText" dxfId="274" priority="268" operator="containsText" text="T">
      <formula>NOT(ISERROR(SEARCH("T",BN145)))</formula>
    </cfRule>
  </conditionalFormatting>
  <conditionalFormatting sqref="BN152:BN158 BR152:BT158">
    <cfRule type="containsText" dxfId="273" priority="256" operator="containsText" text="T">
      <formula>NOT(ISERROR(SEARCH("T",BN152)))</formula>
    </cfRule>
  </conditionalFormatting>
  <conditionalFormatting sqref="BN168:BN174">
    <cfRule type="containsText" dxfId="272" priority="187" operator="containsText" text="T">
      <formula>NOT(ISERROR(SEARCH("T",BN168)))</formula>
    </cfRule>
    <cfRule type="containsText" dxfId="271" priority="186" operator="containsText" text="17">
      <formula>NOT(ISERROR(SEARCH("17",BN168)))</formula>
    </cfRule>
  </conditionalFormatting>
  <conditionalFormatting sqref="BN221:BN227">
    <cfRule type="containsText" dxfId="270" priority="49" operator="containsText" text="T">
      <formula>NOT(ISERROR(SEARCH("T",BN221)))</formula>
    </cfRule>
  </conditionalFormatting>
  <conditionalFormatting sqref="BN152:BO158 BR152:BT158">
    <cfRule type="containsText" dxfId="269" priority="257" operator="containsText" text="17">
      <formula>NOT(ISERROR(SEARCH("17",BN152)))</formula>
    </cfRule>
  </conditionalFormatting>
  <conditionalFormatting sqref="BN67:BP68 BJ67:BK68">
    <cfRule type="containsText" dxfId="268" priority="307" operator="containsText" text="17">
      <formula>NOT(ISERROR(SEARCH("17",BJ67)))</formula>
    </cfRule>
  </conditionalFormatting>
  <conditionalFormatting sqref="BN67:BP68">
    <cfRule type="containsText" dxfId="267" priority="306" operator="containsText" text="T">
      <formula>NOT(ISERROR(SEARCH("T",BN67)))</formula>
    </cfRule>
  </conditionalFormatting>
  <conditionalFormatting sqref="BN175:BT181">
    <cfRule type="containsText" dxfId="266" priority="165" operator="containsText" text="T">
      <formula>NOT(ISERROR(SEARCH("T",BN175)))</formula>
    </cfRule>
    <cfRule type="containsText" dxfId="265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64" priority="918" operator="containsText" text="T">
      <formula>NOT(ISERROR(SEARCH("T",BM192)))</formula>
    </cfRule>
  </conditionalFormatting>
  <conditionalFormatting sqref="BN221:CH227 CK221:CK227">
    <cfRule type="containsText" dxfId="263" priority="46" operator="containsText" text="T">
      <formula>NOT(ISERROR(SEARCH("T",BN221)))</formula>
    </cfRule>
  </conditionalFormatting>
  <conditionalFormatting sqref="BN221:CH227">
    <cfRule type="containsText" dxfId="262" priority="48" operator="containsText" text="17">
      <formula>NOT(ISERROR(SEARCH("17",BN221)))</formula>
    </cfRule>
  </conditionalFormatting>
  <conditionalFormatting sqref="BN107:CJ109">
    <cfRule type="containsText" dxfId="261" priority="993" operator="containsText" text="17">
      <formula>NOT(ISERROR(SEARCH("17",BN107)))</formula>
    </cfRule>
  </conditionalFormatting>
  <conditionalFormatting sqref="BN111:CJ112 BM113:BP115">
    <cfRule type="containsText" dxfId="260" priority="987" operator="containsText" text="17">
      <formula>NOT(ISERROR(SEARCH("17",BM111)))</formula>
    </cfRule>
  </conditionalFormatting>
  <conditionalFormatting sqref="BO152:BO158">
    <cfRule type="containsText" dxfId="259" priority="258" operator="containsText" text="T">
      <formula>NOT(ISERROR(SEARCH("T",BO152)))</formula>
    </cfRule>
  </conditionalFormatting>
  <conditionalFormatting sqref="BO159:BO165 BS159:BU165">
    <cfRule type="containsText" dxfId="258" priority="246" operator="containsText" text="T">
      <formula>NOT(ISERROR(SEARCH("T",BO159)))</formula>
    </cfRule>
  </conditionalFormatting>
  <conditionalFormatting sqref="BO175:BO181">
    <cfRule type="containsText" dxfId="257" priority="163" operator="containsText" text="T">
      <formula>NOT(ISERROR(SEARCH("T",BO175)))</formula>
    </cfRule>
    <cfRule type="containsText" dxfId="256" priority="162" operator="containsText" text="17">
      <formula>NOT(ISERROR(SEARCH("17",BO175)))</formula>
    </cfRule>
  </conditionalFormatting>
  <conditionalFormatting sqref="BO228:BO234">
    <cfRule type="containsText" dxfId="255" priority="44" operator="containsText" text="T">
      <formula>NOT(ISERROR(SEARCH("T",BO228)))</formula>
    </cfRule>
  </conditionalFormatting>
  <conditionalFormatting sqref="BO118:BP119">
    <cfRule type="containsText" dxfId="254" priority="982" operator="containsText" text="17">
      <formula>NOT(ISERROR(SEARCH("17",BO118)))</formula>
    </cfRule>
  </conditionalFormatting>
  <conditionalFormatting sqref="BO159:BP165 BS159:BU165">
    <cfRule type="containsText" dxfId="253" priority="247" operator="containsText" text="17">
      <formula>NOT(ISERROR(SEARCH("17",BO159)))</formula>
    </cfRule>
  </conditionalFormatting>
  <conditionalFormatting sqref="BO182:BU188">
    <cfRule type="containsText" dxfId="252" priority="140" operator="containsText" text="17">
      <formula>NOT(ISERROR(SEARCH("17",BO182)))</formula>
    </cfRule>
    <cfRule type="containsText" dxfId="251" priority="141" operator="containsText" text="T">
      <formula>NOT(ISERROR(SEARCH("T",BO182)))</formula>
    </cfRule>
  </conditionalFormatting>
  <conditionalFormatting sqref="BO228:CI234 CL228:CL234">
    <cfRule type="containsText" dxfId="250" priority="41" operator="containsText" text="T">
      <formula>NOT(ISERROR(SEARCH("T",BO228)))</formula>
    </cfRule>
  </conditionalFormatting>
  <conditionalFormatting sqref="BO228:CI234">
    <cfRule type="containsText" dxfId="249" priority="43" operator="containsText" text="17">
      <formula>NOT(ISERROR(SEARCH("17",BO228)))</formula>
    </cfRule>
  </conditionalFormatting>
  <conditionalFormatting sqref="BO73:CK75 BN76:CK77 CK78">
    <cfRule type="containsText" dxfId="248" priority="1021" operator="containsText" text="17">
      <formula>NOT(ISERROR(SEARCH("17",BN73)))</formula>
    </cfRule>
  </conditionalFormatting>
  <conditionalFormatting sqref="BO97:CP98 BK97:BL98">
    <cfRule type="containsText" dxfId="247" priority="297" operator="containsText" text="17">
      <formula>NOT(ISERROR(SEARCH("17",BK97)))</formula>
    </cfRule>
  </conditionalFormatting>
  <conditionalFormatting sqref="BO97:CP98">
    <cfRule type="containsText" dxfId="246" priority="296" operator="containsText" text="T">
      <formula>NOT(ISERROR(SEARCH("T",BO97)))</formula>
    </cfRule>
  </conditionalFormatting>
  <conditionalFormatting sqref="BP159:BP165">
    <cfRule type="containsText" dxfId="245" priority="248" operator="containsText" text="T">
      <formula>NOT(ISERROR(SEARCH("T",BP159)))</formula>
    </cfRule>
  </conditionalFormatting>
  <conditionalFormatting sqref="BP182:BP188">
    <cfRule type="containsText" dxfId="244" priority="139" operator="containsText" text="T">
      <formula>NOT(ISERROR(SEARCH("T",BP182)))</formula>
    </cfRule>
    <cfRule type="containsText" dxfId="243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42" priority="920" operator="containsText" text="T">
      <formula>NOT(ISERROR(SEARCH("T",BM192)))</formula>
    </cfRule>
  </conditionalFormatting>
  <conditionalFormatting sqref="BP200:BP213">
    <cfRule type="containsText" dxfId="241" priority="233" operator="containsText" text="T">
      <formula>NOT(ISERROR(SEARCH("T",BP200)))</formula>
    </cfRule>
  </conditionalFormatting>
  <conditionalFormatting sqref="BP207:BQ213">
    <cfRule type="containsText" dxfId="240" priority="237" operator="containsText" text="17">
      <formula>NOT(ISERROR(SEARCH("17",BP207)))</formula>
    </cfRule>
  </conditionalFormatting>
  <conditionalFormatting sqref="BP194:BT194 BM195:BS195 BO196:BT198">
    <cfRule type="containsText" dxfId="239" priority="919" operator="containsText" text="17">
      <formula>NOT(ISERROR(SEARCH("17",BM194)))</formula>
    </cfRule>
  </conditionalFormatting>
  <conditionalFormatting sqref="BP14:BV14">
    <cfRule type="containsText" dxfId="238" priority="131" operator="containsText" text="17">
      <formula>NOT(ISERROR(SEARCH("17",BP14)))</formula>
    </cfRule>
    <cfRule type="containsText" dxfId="237" priority="132" operator="containsText" text="T">
      <formula>NOT(ISERROR(SEARCH("T",BP14)))</formula>
    </cfRule>
  </conditionalFormatting>
  <conditionalFormatting sqref="BP189:BV190">
    <cfRule type="containsText" dxfId="236" priority="924" operator="containsText" text="T">
      <formula>NOT(ISERROR(SEARCH("T",BP189)))</formula>
    </cfRule>
  </conditionalFormatting>
  <conditionalFormatting sqref="BP120:BZ126">
    <cfRule type="containsText" dxfId="235" priority="21" operator="containsText" text="17">
      <formula>NOT(ISERROR(SEARCH("17",BP120)))</formula>
    </cfRule>
  </conditionalFormatting>
  <conditionalFormatting sqref="BP80:CB82">
    <cfRule type="containsText" dxfId="234" priority="1016" operator="containsText" text="17">
      <formula>NOT(ISERROR(SEARCH("17",BP80)))</formula>
    </cfRule>
  </conditionalFormatting>
  <conditionalFormatting sqref="BP106:CB109">
    <cfRule type="containsText" dxfId="233" priority="994" operator="containsText" text="17">
      <formula>NOT(ISERROR(SEARCH("17",BP106)))</formula>
    </cfRule>
  </conditionalFormatting>
  <conditionalFormatting sqref="BP112:CB112">
    <cfRule type="containsText" dxfId="232" priority="988" operator="containsText" text="17">
      <formula>NOT(ISERROR(SEARCH("17",BP112)))</formula>
    </cfRule>
  </conditionalFormatting>
  <conditionalFormatting sqref="BP120:CM126">
    <cfRule type="containsText" dxfId="231" priority="30" operator="containsText" text="T">
      <formula>NOT(ISERROR(SEARCH("T",BP120)))</formula>
    </cfRule>
    <cfRule type="containsText" dxfId="230" priority="32" operator="containsText" text="17">
      <formula>NOT(ISERROR(SEARCH("17",BP120)))</formula>
    </cfRule>
  </conditionalFormatting>
  <conditionalFormatting sqref="BP120:CP126">
    <cfRule type="containsText" dxfId="229" priority="40" operator="containsText" text="17">
      <formula>NOT(ISERROR(SEARCH("17",BP120)))</formula>
    </cfRule>
    <cfRule type="containsText" dxfId="228" priority="33" operator="containsText" text="T">
      <formula>NOT(ISERROR(SEARCH("T",BP120)))</formula>
    </cfRule>
  </conditionalFormatting>
  <conditionalFormatting sqref="BQ14">
    <cfRule type="containsText" dxfId="227" priority="127" operator="containsText" text="17">
      <formula>NOT(ISERROR(SEARCH("17",BQ14)))</formula>
    </cfRule>
    <cfRule type="containsText" dxfId="226" priority="128" operator="containsText" text="T">
      <formula>NOT(ISERROR(SEARCH("T",BQ14)))</formula>
    </cfRule>
  </conditionalFormatting>
  <conditionalFormatting sqref="BQ192:BQ206">
    <cfRule type="containsText" dxfId="225" priority="216" operator="containsText" text="T">
      <formula>NOT(ISERROR(SEARCH("T",BQ192)))</formula>
    </cfRule>
  </conditionalFormatting>
  <conditionalFormatting sqref="BQ207:BQ213">
    <cfRule type="containsText" dxfId="224" priority="238" operator="containsText" text="T">
      <formula>NOT(ISERROR(SEARCH("T",BQ207)))</formula>
    </cfRule>
  </conditionalFormatting>
  <conditionalFormatting sqref="BQ200:BR206">
    <cfRule type="containsText" dxfId="223" priority="225" operator="containsText" text="17">
      <formula>NOT(ISERROR(SEARCH("17",BQ200)))</formula>
    </cfRule>
  </conditionalFormatting>
  <conditionalFormatting sqref="BQ34:BW34">
    <cfRule type="containsText" dxfId="222" priority="120" operator="containsText" text="T">
      <formula>NOT(ISERROR(SEARCH("T",BQ34)))</formula>
    </cfRule>
    <cfRule type="containsText" dxfId="221" priority="119" operator="containsText" text="17">
      <formula>NOT(ISERROR(SEARCH("17",BQ34)))</formula>
    </cfRule>
  </conditionalFormatting>
  <conditionalFormatting sqref="BQ113:CA119">
    <cfRule type="containsText" dxfId="220" priority="1" operator="containsText" text="17">
      <formula>NOT(ISERROR(SEARCH("17",BQ113)))</formula>
    </cfRule>
  </conditionalFormatting>
  <conditionalFormatting sqref="BQ100:CB102 BP103:CB103">
    <cfRule type="containsText" dxfId="219" priority="999" operator="containsText" text="17">
      <formula>NOT(ISERROR(SEARCH("17",BP100)))</formula>
    </cfRule>
  </conditionalFormatting>
  <conditionalFormatting sqref="BQ113:CN119">
    <cfRule type="containsText" dxfId="218" priority="12" operator="containsText" text="17">
      <formula>NOT(ISERROR(SEARCH("17",BQ113)))</formula>
    </cfRule>
    <cfRule type="containsText" dxfId="217" priority="10" operator="containsText" text="T">
      <formula>NOT(ISERROR(SEARCH("T",BQ113)))</formula>
    </cfRule>
  </conditionalFormatting>
  <conditionalFormatting sqref="BQ113:CP119">
    <cfRule type="containsText" dxfId="216" priority="13" operator="containsText" text="T">
      <formula>NOT(ISERROR(SEARCH("T",BQ113)))</formula>
    </cfRule>
    <cfRule type="containsText" dxfId="215" priority="20" operator="containsText" text="17">
      <formula>NOT(ISERROR(SEARCH("17",BQ113)))</formula>
    </cfRule>
  </conditionalFormatting>
  <conditionalFormatting sqref="BR34">
    <cfRule type="containsText" dxfId="214" priority="115" operator="containsText" text="17">
      <formula>NOT(ISERROR(SEARCH("17",BR34)))</formula>
    </cfRule>
    <cfRule type="containsText" dxfId="213" priority="116" operator="containsText" text="T">
      <formula>NOT(ISERROR(SEARCH("T",BR34)))</formula>
    </cfRule>
  </conditionalFormatting>
  <conditionalFormatting sqref="BR192:BR199">
    <cfRule type="containsText" dxfId="212" priority="207" operator="containsText" text="T">
      <formula>NOT(ISERROR(SEARCH("T",BR192)))</formula>
    </cfRule>
  </conditionalFormatting>
  <conditionalFormatting sqref="BR200:BR206">
    <cfRule type="containsText" dxfId="211" priority="226" operator="containsText" text="T">
      <formula>NOT(ISERROR(SEARCH("T",BR200)))</formula>
    </cfRule>
  </conditionalFormatting>
  <conditionalFormatting sqref="BR50:BS50 BU50:BY50">
    <cfRule type="containsText" dxfId="210" priority="1034" operator="containsText" text="17">
      <formula>NOT(ISERROR(SEARCH("17",BR50)))</formula>
    </cfRule>
    <cfRule type="containsText" dxfId="209" priority="1035" operator="containsText" text="T">
      <formula>NOT(ISERROR(SEARCH("T",BR50)))</formula>
    </cfRule>
  </conditionalFormatting>
  <conditionalFormatting sqref="BR192:BS199">
    <cfRule type="containsText" dxfId="208" priority="208" operator="containsText" text="17">
      <formula>NOT(ISERROR(SEARCH("17",BR192)))</formula>
    </cfRule>
  </conditionalFormatting>
  <conditionalFormatting sqref="BR21:BX21">
    <cfRule type="containsText" dxfId="207" priority="108" operator="containsText" text="T">
      <formula>NOT(ISERROR(SEARCH("T",BR21)))</formula>
    </cfRule>
    <cfRule type="containsText" dxfId="206" priority="107" operator="containsText" text="17">
      <formula>NOT(ISERROR(SEARCH("17",BR21)))</formula>
    </cfRule>
  </conditionalFormatting>
  <conditionalFormatting sqref="BR68:CD71 BQ74:CC77">
    <cfRule type="containsText" dxfId="205" priority="1022" operator="containsText" text="17">
      <formula>NOT(ISERROR(SEARCH("17",BQ68)))</formula>
    </cfRule>
  </conditionalFormatting>
  <conditionalFormatting sqref="BS21">
    <cfRule type="containsText" dxfId="204" priority="104" operator="containsText" text="T">
      <formula>NOT(ISERROR(SEARCH("T",BS21)))</formula>
    </cfRule>
    <cfRule type="containsText" dxfId="203" priority="103" operator="containsText" text="17">
      <formula>NOT(ISERROR(SEARCH("17",BS21)))</formula>
    </cfRule>
  </conditionalFormatting>
  <conditionalFormatting sqref="BS127 BC199 BB206">
    <cfRule type="containsText" dxfId="202" priority="2146" operator="containsText" text="T">
      <formula>NOT(ISERROR(SEARCH("T",BB127)))</formula>
    </cfRule>
  </conditionalFormatting>
  <conditionalFormatting sqref="BS127 BC199:BR199 BB206:BQ206">
    <cfRule type="containsText" dxfId="201" priority="5051" operator="containsText" text="T">
      <formula>NOT(ISERROR(SEARCH("T",BB127)))</formula>
    </cfRule>
  </conditionalFormatting>
  <conditionalFormatting sqref="BS168:BS181">
    <cfRule type="containsText" dxfId="200" priority="168" operator="containsText" text="T">
      <formula>NOT(ISERROR(SEARCH("T",BS168)))</formula>
    </cfRule>
  </conditionalFormatting>
  <conditionalFormatting sqref="BS192:BS199">
    <cfRule type="containsText" dxfId="199" priority="209" operator="containsText" text="T">
      <formula>NOT(ISERROR(SEARCH("T",BS192)))</formula>
    </cfRule>
  </conditionalFormatting>
  <conditionalFormatting sqref="BS168:BT174">
    <cfRule type="containsText" dxfId="198" priority="184" operator="containsText" text="17">
      <formula>NOT(ISERROR(SEARCH("17",BS168)))</formula>
    </cfRule>
  </conditionalFormatting>
  <conditionalFormatting sqref="BS199:BT199 BR206:BS206">
    <cfRule type="containsText" dxfId="197" priority="2150" operator="containsText" text="T">
      <formula>NOT(ISERROR(SEARCH("T",BR199)))</formula>
    </cfRule>
    <cfRule type="containsText" dxfId="196" priority="2149" operator="containsText" text="17">
      <formula>NOT(ISERROR(SEARCH("17",BR199)))</formula>
    </cfRule>
  </conditionalFormatting>
  <conditionalFormatting sqref="BS41:BY41">
    <cfRule type="containsText" dxfId="195" priority="96" operator="containsText" text="T">
      <formula>NOT(ISERROR(SEARCH("T",BS41)))</formula>
    </cfRule>
    <cfRule type="containsText" dxfId="194" priority="95" operator="containsText" text="17">
      <formula>NOT(ISERROR(SEARCH("17",BS41)))</formula>
    </cfRule>
  </conditionalFormatting>
  <conditionalFormatting sqref="BT41">
    <cfRule type="containsText" dxfId="193" priority="92" operator="containsText" text="T">
      <formula>NOT(ISERROR(SEARCH("T",BT41)))</formula>
    </cfRule>
    <cfRule type="containsText" dxfId="192" priority="91" operator="containsText" text="17">
      <formula>NOT(ISERROR(SEARCH("17",BT41)))</formula>
    </cfRule>
  </conditionalFormatting>
  <conditionalFormatting sqref="BT50:BT52 BZ50:BZ52 BU51:BY52">
    <cfRule type="containsText" dxfId="191" priority="8559" operator="containsText" text="17">
      <formula>NOT(ISERROR(SEARCH("17",BT50)))</formula>
    </cfRule>
    <cfRule type="containsText" dxfId="190" priority="8560" operator="containsText" text="T">
      <formula>NOT(ISERROR(SEARCH("T",BT50)))</formula>
    </cfRule>
  </conditionalFormatting>
  <conditionalFormatting sqref="BT145:BT148">
    <cfRule type="containsText" dxfId="189" priority="1589" operator="containsText" text="17">
      <formula>NOT(ISERROR(SEARCH("17",BT145)))</formula>
    </cfRule>
    <cfRule type="containsText" dxfId="188" priority="8534" operator="containsText" text="T">
      <formula>NOT(ISERROR(SEARCH("T",BT145)))</formula>
    </cfRule>
    <cfRule type="containsText" dxfId="187" priority="1590" operator="containsText" text="T">
      <formula>NOT(ISERROR(SEARCH("T",BT145)))</formula>
    </cfRule>
  </conditionalFormatting>
  <conditionalFormatting sqref="BT168:BT174">
    <cfRule type="containsText" dxfId="186" priority="185" operator="containsText" text="T">
      <formula>NOT(ISERROR(SEARCH("T",BT168)))</formula>
    </cfRule>
  </conditionalFormatting>
  <conditionalFormatting sqref="BT175:BT188">
    <cfRule type="containsText" dxfId="185" priority="144" operator="containsText" text="T">
      <formula>NOT(ISERROR(SEARCH("T",BT175)))</formula>
    </cfRule>
  </conditionalFormatting>
  <conditionalFormatting sqref="BT175:BU181">
    <cfRule type="containsText" dxfId="184" priority="160" operator="containsText" text="17">
      <formula>NOT(ISERROR(SEARCH("17",BT175)))</formula>
    </cfRule>
  </conditionalFormatting>
  <conditionalFormatting sqref="BT139:CQ144">
    <cfRule type="containsText" dxfId="183" priority="968" operator="containsText" text="T">
      <formula>NOT(ISERROR(SEARCH("T",BT139)))</formula>
    </cfRule>
    <cfRule type="containsText" dxfId="182" priority="965" operator="containsText" text="17">
      <formula>NOT(ISERROR(SEARCH("17",BT139)))</formula>
    </cfRule>
  </conditionalFormatting>
  <conditionalFormatting sqref="BU175:BU181">
    <cfRule type="containsText" dxfId="181" priority="161" operator="containsText" text="T">
      <formula>NOT(ISERROR(SEARCH("T",BU175)))</formula>
    </cfRule>
  </conditionalFormatting>
  <conditionalFormatting sqref="BU182:BU188">
    <cfRule type="containsText" dxfId="180" priority="135" operator="containsText" text="T">
      <formula>NOT(ISERROR(SEARCH("T",BU182)))</formula>
    </cfRule>
  </conditionalFormatting>
  <conditionalFormatting sqref="BU200:BU202 AX210:AX211">
    <cfRule type="containsText" dxfId="179" priority="8520" operator="containsText" text="T">
      <formula>NOT(ISERROR(SEARCH("T",AX200)))</formula>
    </cfRule>
  </conditionalFormatting>
  <conditionalFormatting sqref="BU200:BU202 AY190 AX191:BH191 BK191 BO191:BS191">
    <cfRule type="containsText" dxfId="178" priority="8513" operator="containsText" text="17">
      <formula>NOT(ISERROR(SEARCH("17",AX190)))</formula>
    </cfRule>
  </conditionalFormatting>
  <conditionalFormatting sqref="BU182:BV188">
    <cfRule type="containsText" dxfId="177" priority="136" operator="containsText" text="17">
      <formula>NOT(ISERROR(SEARCH("17",BU182)))</formula>
    </cfRule>
  </conditionalFormatting>
  <conditionalFormatting sqref="BU200:BW206">
    <cfRule type="containsText" dxfId="176" priority="231" operator="containsText" text="17">
      <formula>NOT(ISERROR(SEARCH("17",BU200)))</formula>
    </cfRule>
  </conditionalFormatting>
  <conditionalFormatting sqref="BU153:CQ158">
    <cfRule type="containsText" dxfId="175" priority="952" operator="containsText" text="17">
      <formula>NOT(ISERROR(SEARCH("17",BU153)))</formula>
    </cfRule>
    <cfRule type="containsText" dxfId="174" priority="955" operator="containsText" text="T">
      <formula>NOT(ISERROR(SEARCH("T",BU153)))</formula>
    </cfRule>
  </conditionalFormatting>
  <conditionalFormatting sqref="BU146:CR151 BV160:CQ165">
    <cfRule type="containsText" dxfId="173" priority="8367" operator="containsText" text="17">
      <formula>NOT(ISERROR(SEARCH("17",BU146)))</formula>
    </cfRule>
  </conditionalFormatting>
  <conditionalFormatting sqref="BU146:CR151">
    <cfRule type="containsText" dxfId="172" priority="964" operator="containsText" text="T">
      <formula>NOT(ISERROR(SEARCH("T",BU146)))</formula>
    </cfRule>
  </conditionalFormatting>
  <conditionalFormatting sqref="BV14 BZ14:CB14 BE15:BY20 CB15:CB20">
    <cfRule type="containsText" dxfId="171" priority="124" operator="containsText" text="T">
      <formula>NOT(ISERROR(SEARCH("T",BE14)))</formula>
    </cfRule>
  </conditionalFormatting>
  <conditionalFormatting sqref="BV182:BV188">
    <cfRule type="containsText" dxfId="170" priority="137" operator="containsText" text="T">
      <formula>NOT(ISERROR(SEARCH("T",BV182)))</formula>
    </cfRule>
  </conditionalFormatting>
  <conditionalFormatting sqref="BV192:BV199">
    <cfRule type="containsText" dxfId="169" priority="221" operator="containsText" text="17">
      <formula>NOT(ISERROR(SEARCH("17",BV192)))</formula>
    </cfRule>
    <cfRule type="containsText" dxfId="168" priority="217" operator="containsText" text="17">
      <formula>NOT(ISERROR(SEARCH("17",BV192)))</formula>
    </cfRule>
    <cfRule type="containsText" dxfId="167" priority="220" operator="containsText" text="T">
      <formula>NOT(ISERROR(SEARCH("T",BV192)))</formula>
    </cfRule>
    <cfRule type="containsText" dxfId="166" priority="219" operator="containsText" text="17">
      <formula>NOT(ISERROR(SEARCH("17",BV192)))</formula>
    </cfRule>
    <cfRule type="containsText" dxfId="165" priority="218" operator="containsText" text="T">
      <formula>NOT(ISERROR(SEARCH("T",BV192)))</formula>
    </cfRule>
  </conditionalFormatting>
  <conditionalFormatting sqref="BV199 BU206">
    <cfRule type="containsText" dxfId="164" priority="2148" operator="containsText" text="T">
      <formula>NOT(ISERROR(SEARCH("T",BU199)))</formula>
    </cfRule>
    <cfRule type="containsText" dxfId="163" priority="2147" operator="containsText" text="17">
      <formula>NOT(ISERROR(SEARCH("17",BU199)))</formula>
    </cfRule>
  </conditionalFormatting>
  <conditionalFormatting sqref="BV14:BW14 BZ14:CB14 CB15:CB20">
    <cfRule type="containsText" dxfId="162" priority="125" operator="containsText" text="17">
      <formula>NOT(ISERROR(SEARCH("17",BV14)))</formula>
    </cfRule>
  </conditionalFormatting>
  <conditionalFormatting sqref="BV192:BX199">
    <cfRule type="containsText" dxfId="161" priority="214" operator="containsText" text="17">
      <formula>NOT(ISERROR(SEARCH("17",BV192)))</formula>
    </cfRule>
    <cfRule type="containsText" dxfId="160" priority="215" operator="containsText" text="T">
      <formula>NOT(ISERROR(SEARCH("T",BV192)))</formula>
    </cfRule>
  </conditionalFormatting>
  <conditionalFormatting sqref="BV133:CH137">
    <cfRule type="containsText" dxfId="159" priority="971" operator="containsText" text="17">
      <formula>NOT(ISERROR(SEARCH("17",BV133)))</formula>
    </cfRule>
  </conditionalFormatting>
  <conditionalFormatting sqref="BV160:CQ165">
    <cfRule type="containsText" dxfId="158" priority="951" operator="containsText" text="T">
      <formula>NOT(ISERROR(SEARCH("T",BV160)))</formula>
    </cfRule>
  </conditionalFormatting>
  <conditionalFormatting sqref="BW14">
    <cfRule type="containsText" dxfId="157" priority="126" operator="containsText" text="T">
      <formula>NOT(ISERROR(SEARCH("T",BW14)))</formula>
    </cfRule>
  </conditionalFormatting>
  <conditionalFormatting sqref="BW34 CA34:CC34 BF35:BZ40 CC35:CC40">
    <cfRule type="containsText" dxfId="156" priority="112" operator="containsText" text="T">
      <formula>NOT(ISERROR(SEARCH("T",BF34)))</formula>
    </cfRule>
  </conditionalFormatting>
  <conditionalFormatting sqref="BW168:BW174">
    <cfRule type="containsText" dxfId="155" priority="204" operator="containsText" text="T">
      <formula>NOT(ISERROR(SEARCH("T",BW168)))</formula>
    </cfRule>
    <cfRule type="containsText" dxfId="154" priority="203" operator="containsText" text="17">
      <formula>NOT(ISERROR(SEARCH("17",BW168)))</formula>
    </cfRule>
    <cfRule type="containsText" dxfId="153" priority="199" operator="containsText" text="17">
      <formula>NOT(ISERROR(SEARCH("17",BW168)))</formula>
    </cfRule>
    <cfRule type="containsText" dxfId="152" priority="200" operator="containsText" text="T">
      <formula>NOT(ISERROR(SEARCH("T",BW168)))</formula>
    </cfRule>
    <cfRule type="containsText" dxfId="151" priority="201" operator="containsText" text="17">
      <formula>NOT(ISERROR(SEARCH("17",BW168)))</formula>
    </cfRule>
    <cfRule type="containsText" dxfId="150" priority="202" operator="containsText" text="T">
      <formula>NOT(ISERROR(SEARCH("T",BW168)))</formula>
    </cfRule>
  </conditionalFormatting>
  <conditionalFormatting sqref="BW34:BX34 CA34:CC34 CC35:CC40">
    <cfRule type="containsText" dxfId="149" priority="113" operator="containsText" text="17">
      <formula>NOT(ISERROR(SEARCH("17",BW34)))</formula>
    </cfRule>
  </conditionalFormatting>
  <conditionalFormatting sqref="BW168:BY174">
    <cfRule type="containsText" dxfId="148" priority="190" operator="containsText" text="17">
      <formula>NOT(ISERROR(SEARCH("17",BW168)))</formula>
    </cfRule>
  </conditionalFormatting>
  <conditionalFormatting sqref="BW160:CG165">
    <cfRule type="containsText" dxfId="147" priority="949" operator="containsText" text="17">
      <formula>NOT(ISERROR(SEARCH("17",BW160)))</formula>
    </cfRule>
  </conditionalFormatting>
  <conditionalFormatting sqref="BW140:CI144">
    <cfRule type="containsText" dxfId="146" priority="966" operator="containsText" text="17">
      <formula>NOT(ISERROR(SEARCH("17",BW140)))</formula>
    </cfRule>
  </conditionalFormatting>
  <conditionalFormatting sqref="BW154:CI158">
    <cfRule type="containsText" dxfId="145" priority="953" operator="containsText" text="17">
      <formula>NOT(ISERROR(SEARCH("17",BW154)))</formula>
    </cfRule>
  </conditionalFormatting>
  <conditionalFormatting sqref="BW161:CI165">
    <cfRule type="containsText" dxfId="144" priority="946" operator="containsText" text="17">
      <formula>NOT(ISERROR(SEARCH("17",BW161)))</formula>
    </cfRule>
  </conditionalFormatting>
  <conditionalFormatting sqref="BX21 CB21:CD21 BG22:CA27 CD22:CD27">
    <cfRule type="containsText" dxfId="143" priority="100" operator="containsText" text="T">
      <formula>NOT(ISERROR(SEARCH("T",BG21)))</formula>
    </cfRule>
  </conditionalFormatting>
  <conditionalFormatting sqref="BX34">
    <cfRule type="containsText" dxfId="142" priority="114" operator="containsText" text="T">
      <formula>NOT(ISERROR(SEARCH("T",BX34)))</formula>
    </cfRule>
  </conditionalFormatting>
  <conditionalFormatting sqref="BX175:BX181">
    <cfRule type="containsText" dxfId="141" priority="178" operator="containsText" text="T">
      <formula>NOT(ISERROR(SEARCH("T",BX175)))</formula>
    </cfRule>
    <cfRule type="containsText" dxfId="140" priority="176" operator="containsText" text="T">
      <formula>NOT(ISERROR(SEARCH("T",BX175)))</formula>
    </cfRule>
    <cfRule type="containsText" dxfId="139" priority="177" operator="containsText" text="17">
      <formula>NOT(ISERROR(SEARCH("17",BX175)))</formula>
    </cfRule>
    <cfRule type="containsText" dxfId="138" priority="175" operator="containsText" text="17">
      <formula>NOT(ISERROR(SEARCH("17",BX175)))</formula>
    </cfRule>
    <cfRule type="containsText" dxfId="137" priority="180" operator="containsText" text="T">
      <formula>NOT(ISERROR(SEARCH("T",BX175)))</formula>
    </cfRule>
    <cfRule type="containsText" dxfId="136" priority="179" operator="containsText" text="17">
      <formula>NOT(ISERROR(SEARCH("17",BX175)))</formula>
    </cfRule>
  </conditionalFormatting>
  <conditionalFormatting sqref="BX21:BY21 CB21:CD21 CD22:CD27">
    <cfRule type="containsText" dxfId="135" priority="101" operator="containsText" text="17">
      <formula>NOT(ISERROR(SEARCH("17",BX21)))</formula>
    </cfRule>
  </conditionalFormatting>
  <conditionalFormatting sqref="BX175:BZ181">
    <cfRule type="containsText" dxfId="134" priority="166" operator="containsText" text="17">
      <formula>NOT(ISERROR(SEARCH("17",BX175)))</formula>
    </cfRule>
  </conditionalFormatting>
  <conditionalFormatting sqref="BX146:CH151">
    <cfRule type="containsText" dxfId="133" priority="962" operator="containsText" text="17">
      <formula>NOT(ISERROR(SEARCH("17",BX146)))</formula>
    </cfRule>
  </conditionalFormatting>
  <conditionalFormatting sqref="BX147:CJ151">
    <cfRule type="containsText" dxfId="132" priority="959" operator="containsText" text="17">
      <formula>NOT(ISERROR(SEARCH("17",BX147)))</formula>
    </cfRule>
  </conditionalFormatting>
  <conditionalFormatting sqref="BY21">
    <cfRule type="containsText" dxfId="131" priority="102" operator="containsText" text="T">
      <formula>NOT(ISERROR(SEARCH("T",BY21)))</formula>
    </cfRule>
  </conditionalFormatting>
  <conditionalFormatting sqref="BY41 CC41:CE41 BH42:CB47 CE42:CE47">
    <cfRule type="containsText" dxfId="130" priority="88" operator="containsText" text="T">
      <formula>NOT(ISERROR(SEARCH("T",BH41)))</formula>
    </cfRule>
  </conditionalFormatting>
  <conditionalFormatting sqref="BY182:BY188">
    <cfRule type="containsText" dxfId="129" priority="156" operator="containsText" text="T">
      <formula>NOT(ISERROR(SEARCH("T",BY182)))</formula>
    </cfRule>
    <cfRule type="containsText" dxfId="128" priority="155" operator="containsText" text="17">
      <formula>NOT(ISERROR(SEARCH("17",BY182)))</formula>
    </cfRule>
    <cfRule type="containsText" dxfId="127" priority="154" operator="containsText" text="T">
      <formula>NOT(ISERROR(SEARCH("T",BY182)))</formula>
    </cfRule>
    <cfRule type="containsText" dxfId="126" priority="153" operator="containsText" text="17">
      <formula>NOT(ISERROR(SEARCH("17",BY182)))</formula>
    </cfRule>
    <cfRule type="containsText" dxfId="125" priority="152" operator="containsText" text="T">
      <formula>NOT(ISERROR(SEARCH("T",BY182)))</formula>
    </cfRule>
    <cfRule type="containsText" dxfId="124" priority="151" operator="containsText" text="17">
      <formula>NOT(ISERROR(SEARCH("17",BY182)))</formula>
    </cfRule>
  </conditionalFormatting>
  <conditionalFormatting sqref="BY41:BZ41 CC41:CE41 CE42:CE47">
    <cfRule type="containsText" dxfId="123" priority="89" operator="containsText" text="17">
      <formula>NOT(ISERROR(SEARCH("17",BY41)))</formula>
    </cfRule>
  </conditionalFormatting>
  <conditionalFormatting sqref="BY182:CA188">
    <cfRule type="containsText" dxfId="122" priority="142" operator="containsText" text="17">
      <formula>NOT(ISERROR(SEARCH("17",BY182)))</formula>
    </cfRule>
  </conditionalFormatting>
  <conditionalFormatting sqref="BZ41">
    <cfRule type="containsText" dxfId="121" priority="90" operator="containsText" text="T">
      <formula>NOT(ISERROR(SEARCH("T",BZ41)))</formula>
    </cfRule>
  </conditionalFormatting>
  <conditionalFormatting sqref="CA79:CB79 CC79:CI82">
    <cfRule type="containsText" dxfId="120" priority="1018" operator="containsText" text="T">
      <formula>NOT(ISERROR(SEARCH("T",CA79)))</formula>
    </cfRule>
  </conditionalFormatting>
  <conditionalFormatting sqref="CA79:CB79">
    <cfRule type="containsText" dxfId="119" priority="1017" operator="containsText" text="17">
      <formula>NOT(ISERROR(SEARCH("17",CA79)))</formula>
    </cfRule>
  </conditionalFormatting>
  <conditionalFormatting sqref="CA99:CB99 CC99:CI103">
    <cfRule type="containsText" dxfId="118" priority="1001" operator="containsText" text="T">
      <formula>NOT(ISERROR(SEARCH("T",CA99)))</formula>
    </cfRule>
    <cfRule type="containsText" dxfId="117" priority="1000" operator="containsText" text="17">
      <formula>NOT(ISERROR(SEARCH("17",CA99)))</formula>
    </cfRule>
  </conditionalFormatting>
  <conditionalFormatting sqref="CA111:CB111 CC111:CI112">
    <cfRule type="containsText" dxfId="116" priority="990" operator="containsText" text="T">
      <formula>NOT(ISERROR(SEARCH("T",CA111)))</formula>
    </cfRule>
  </conditionalFormatting>
  <conditionalFormatting sqref="CA111:CB111">
    <cfRule type="containsText" dxfId="115" priority="989" operator="containsText" text="17">
      <formula>NOT(ISERROR(SEARCH("17",CA111)))</formula>
    </cfRule>
  </conditionalFormatting>
  <conditionalFormatting sqref="CA120:CG126">
    <cfRule type="containsText" dxfId="114" priority="27" operator="containsText" text="17">
      <formula>NOT(ISERROR(SEARCH("17",CA120)))</formula>
    </cfRule>
    <cfRule type="containsText" dxfId="113" priority="28" operator="containsText" text="T">
      <formula>NOT(ISERROR(SEARCH("T",CA120)))</formula>
    </cfRule>
  </conditionalFormatting>
  <conditionalFormatting sqref="CB15:CB20">
    <cfRule type="containsText" dxfId="112" priority="133" operator="containsText" text="T">
      <formula>NOT(ISERROR(SEARCH("T",CB15)))</formula>
    </cfRule>
  </conditionalFormatting>
  <conditionalFormatting sqref="CB120:CB126">
    <cfRule type="containsText" dxfId="111" priority="25" operator="containsText" text="17">
      <formula>NOT(ISERROR(SEARCH("17",CB120)))</formula>
    </cfRule>
    <cfRule type="containsText" dxfId="110" priority="26" operator="containsText" text="T">
      <formula>NOT(ISERROR(SEARCH("T",CB120)))</formula>
    </cfRule>
  </conditionalFormatting>
  <conditionalFormatting sqref="CB113:CH119">
    <cfRule type="containsText" dxfId="109" priority="8" operator="containsText" text="T">
      <formula>NOT(ISERROR(SEARCH("T",CB113)))</formula>
    </cfRule>
    <cfRule type="containsText" dxfId="108" priority="7" operator="containsText" text="17">
      <formula>NOT(ISERROR(SEARCH("17",CB113)))</formula>
    </cfRule>
  </conditionalFormatting>
  <conditionalFormatting sqref="CC35:CC40">
    <cfRule type="containsText" dxfId="107" priority="121" operator="containsText" text="T">
      <formula>NOT(ISERROR(SEARCH("T",CC35)))</formula>
    </cfRule>
  </conditionalFormatting>
  <conditionalFormatting sqref="CC113:CC119">
    <cfRule type="containsText" dxfId="106" priority="5" operator="containsText" text="17">
      <formula>NOT(ISERROR(SEARCH("17",CC113)))</formula>
    </cfRule>
    <cfRule type="containsText" dxfId="105" priority="6" operator="containsText" text="T">
      <formula>NOT(ISERROR(SEARCH("T",CC113)))</formula>
    </cfRule>
  </conditionalFormatting>
  <conditionalFormatting sqref="CC67:CD67 CE67:CK71 CB73:CC73 CD73:CJ77">
    <cfRule type="containsText" dxfId="104" priority="1024" operator="containsText" text="T">
      <formula>NOT(ISERROR(SEARCH("T",CB67)))</formula>
    </cfRule>
  </conditionalFormatting>
  <conditionalFormatting sqref="CC67:CD67 CE67:CK71 CB73:CC73">
    <cfRule type="containsText" dxfId="103" priority="1023" operator="containsText" text="17">
      <formula>NOT(ISERROR(SEARCH("17",CB67)))</formula>
    </cfRule>
  </conditionalFormatting>
  <conditionalFormatting sqref="CC105:CI109 BQ105:CP105">
    <cfRule type="containsText" dxfId="102" priority="996" operator="containsText" text="T">
      <formula>NOT(ISERROR(SEARCH("T",BQ105)))</formula>
    </cfRule>
  </conditionalFormatting>
  <conditionalFormatting sqref="CD22:CD27">
    <cfRule type="containsText" dxfId="101" priority="109" operator="containsText" text="T">
      <formula>NOT(ISERROR(SEARCH("T",CD22)))</formula>
    </cfRule>
  </conditionalFormatting>
  <conditionalFormatting sqref="CE42:CE47">
    <cfRule type="containsText" dxfId="100" priority="97" operator="containsText" text="T">
      <formula>NOT(ISERROR(SEARCH("T",CE42)))</formula>
    </cfRule>
  </conditionalFormatting>
  <conditionalFormatting sqref="CF28:CF32">
    <cfRule type="containsText" dxfId="99" priority="77" operator="containsText" text="17">
      <formula>NOT(ISERROR(SEARCH("17",CF28)))</formula>
    </cfRule>
  </conditionalFormatting>
  <conditionalFormatting sqref="CF48:CF49">
    <cfRule type="containsText" dxfId="98" priority="72" operator="containsText" text="17">
      <formula>NOT(ISERROR(SEARCH("17",CF48)))</formula>
    </cfRule>
  </conditionalFormatting>
  <conditionalFormatting sqref="CF28:CP32">
    <cfRule type="containsText" dxfId="97" priority="80" operator="containsText" text="T">
      <formula>NOT(ISERROR(SEARCH("T",CF28)))</formula>
    </cfRule>
  </conditionalFormatting>
  <conditionalFormatting sqref="CF41:CP49">
    <cfRule type="containsText" dxfId="96" priority="75" operator="containsText" text="T">
      <formula>NOT(ISERROR(SEARCH("T",CF41)))</formula>
    </cfRule>
  </conditionalFormatting>
  <conditionalFormatting sqref="CG60:CG66">
    <cfRule type="containsText" dxfId="95" priority="67" operator="containsText" text="17">
      <formula>NOT(ISERROR(SEARCH("17",CG60)))</formula>
    </cfRule>
  </conditionalFormatting>
  <conditionalFormatting sqref="CG113:CG126">
    <cfRule type="containsText" dxfId="94" priority="11" operator="containsText" text="T">
      <formula>NOT(ISERROR(SEARCH("T",CG113)))</formula>
    </cfRule>
  </conditionalFormatting>
  <conditionalFormatting sqref="CG120:CH126">
    <cfRule type="containsText" dxfId="93" priority="23" operator="containsText" text="17">
      <formula>NOT(ISERROR(SEARCH("17",CG120)))</formula>
    </cfRule>
  </conditionalFormatting>
  <conditionalFormatting sqref="CG132:CH132 CI132:CO137">
    <cfRule type="containsText" dxfId="92" priority="972" operator="containsText" text="17">
      <formula>NOT(ISERROR(SEARCH("17",CG132)))</formula>
    </cfRule>
    <cfRule type="containsText" dxfId="91" priority="973" operator="containsText" text="T">
      <formula>NOT(ISERROR(SEARCH("T",CG132)))</formula>
    </cfRule>
  </conditionalFormatting>
  <conditionalFormatting sqref="CG60:CP66">
    <cfRule type="containsText" dxfId="90" priority="70" operator="containsText" text="T">
      <formula>NOT(ISERROR(SEARCH("T",CG60)))</formula>
    </cfRule>
  </conditionalFormatting>
  <conditionalFormatting sqref="CH90:CH96">
    <cfRule type="containsText" dxfId="89" priority="62" operator="containsText" text="17">
      <formula>NOT(ISERROR(SEARCH("17",CH90)))</formula>
    </cfRule>
  </conditionalFormatting>
  <conditionalFormatting sqref="CH113:CH119">
    <cfRule type="containsText" dxfId="88" priority="2" operator="containsText" text="T">
      <formula>NOT(ISERROR(SEARCH("T",CH113)))</formula>
    </cfRule>
  </conditionalFormatting>
  <conditionalFormatting sqref="CH120:CH126">
    <cfRule type="containsText" dxfId="87" priority="24" operator="containsText" text="T">
      <formula>NOT(ISERROR(SEARCH("T",CH120)))</formula>
    </cfRule>
  </conditionalFormatting>
  <conditionalFormatting sqref="CH113:CI119">
    <cfRule type="containsText" dxfId="86" priority="3" operator="containsText" text="17">
      <formula>NOT(ISERROR(SEARCH("17",CH113)))</formula>
    </cfRule>
  </conditionalFormatting>
  <conditionalFormatting sqref="CH139:CI139">
    <cfRule type="containsText" dxfId="85" priority="967" operator="containsText" text="17">
      <formula>NOT(ISERROR(SEARCH("17",CH139)))</formula>
    </cfRule>
  </conditionalFormatting>
  <conditionalFormatting sqref="CH153:CI153">
    <cfRule type="containsText" dxfId="84" priority="954" operator="containsText" text="17">
      <formula>NOT(ISERROR(SEARCH("17",CH153)))</formula>
    </cfRule>
  </conditionalFormatting>
  <conditionalFormatting sqref="CH160:CI160 CJ160:CP165">
    <cfRule type="containsText" dxfId="83" priority="947" operator="containsText" text="17">
      <formula>NOT(ISERROR(SEARCH("17",CH160)))</formula>
    </cfRule>
  </conditionalFormatting>
  <conditionalFormatting sqref="CH160:CI160 CK160:CO165">
    <cfRule type="containsText" dxfId="82" priority="948" operator="containsText" text="T">
      <formula>NOT(ISERROR(SEARCH("T",CH160)))</formula>
    </cfRule>
  </conditionalFormatting>
  <conditionalFormatting sqref="CH90:CP96">
    <cfRule type="containsText" dxfId="81" priority="65" operator="containsText" text="T">
      <formula>NOT(ISERROR(SEARCH("T",CH90)))</formula>
    </cfRule>
  </conditionalFormatting>
  <conditionalFormatting sqref="CI83:CI89">
    <cfRule type="containsText" dxfId="80" priority="57" operator="containsText" text="17">
      <formula>NOT(ISERROR(SEARCH("17",CI83)))</formula>
    </cfRule>
    <cfRule type="containsText" dxfId="79" priority="60" operator="containsText" text="T">
      <formula>NOT(ISERROR(SEARCH("T",CI83)))</formula>
    </cfRule>
  </conditionalFormatting>
  <conditionalFormatting sqref="CI113:CI119">
    <cfRule type="containsText" dxfId="78" priority="4" operator="containsText" text="T">
      <formula>NOT(ISERROR(SEARCH("T",CI113)))</formula>
    </cfRule>
  </conditionalFormatting>
  <conditionalFormatting sqref="CI146:CJ146 CK146:CQ151">
    <cfRule type="containsText" dxfId="77" priority="960" operator="containsText" text="17">
      <formula>NOT(ISERROR(SEARCH("17",CI146)))</formula>
    </cfRule>
  </conditionalFormatting>
  <conditionalFormatting sqref="CI146:CJ146 CL146:CP151">
    <cfRule type="containsText" dxfId="76" priority="961" operator="containsText" text="T">
      <formula>NOT(ISERROR(SEARCH("T",CI146)))</formula>
    </cfRule>
  </conditionalFormatting>
  <conditionalFormatting sqref="CJ214:CJ220">
    <cfRule type="containsText" dxfId="75" priority="52" operator="containsText" text="17">
      <formula>NOT(ISERROR(SEARCH("17",CJ214)))</formula>
    </cfRule>
  </conditionalFormatting>
  <conditionalFormatting sqref="CJ214:XFD220">
    <cfRule type="containsText" dxfId="74" priority="55" operator="containsText" text="T">
      <formula>NOT(ISERROR(SEARCH("T",CJ214)))</formula>
    </cfRule>
  </conditionalFormatting>
  <conditionalFormatting sqref="CK120:CK126">
    <cfRule type="containsText" dxfId="73" priority="37" operator="containsText" text="T">
      <formula>NOT(ISERROR(SEARCH("T",CK120)))</formula>
    </cfRule>
    <cfRule type="containsText" dxfId="72" priority="35" operator="containsText" text="T">
      <formula>NOT(ISERROR(SEARCH("T",CK120)))</formula>
    </cfRule>
    <cfRule type="containsText" dxfId="71" priority="34" operator="containsText" text="17">
      <formula>NOT(ISERROR(SEARCH("17",CK120)))</formula>
    </cfRule>
    <cfRule type="containsText" dxfId="70" priority="39" operator="containsText" text="T">
      <formula>NOT(ISERROR(SEARCH("T",CK120)))</formula>
    </cfRule>
    <cfRule type="containsText" dxfId="69" priority="36" operator="containsText" text="17">
      <formula>NOT(ISERROR(SEARCH("17",CK120)))</formula>
    </cfRule>
    <cfRule type="containsText" dxfId="68" priority="38" operator="containsText" text="17">
      <formula>NOT(ISERROR(SEARCH("17",CK120)))</formula>
    </cfRule>
  </conditionalFormatting>
  <conditionalFormatting sqref="CK221:CK227">
    <cfRule type="containsText" dxfId="67" priority="47" operator="containsText" text="17">
      <formula>NOT(ISERROR(SEARCH("17",CK221)))</formula>
    </cfRule>
  </conditionalFormatting>
  <conditionalFormatting sqref="CK120:CM126">
    <cfRule type="containsText" dxfId="66" priority="29" operator="containsText" text="17">
      <formula>NOT(ISERROR(SEARCH("17",CK120)))</formula>
    </cfRule>
  </conditionalFormatting>
  <conditionalFormatting sqref="CK221:CP227">
    <cfRule type="containsText" dxfId="65" priority="50" operator="containsText" text="T">
      <formula>NOT(ISERROR(SEARCH("T",CK221)))</formula>
    </cfRule>
  </conditionalFormatting>
  <conditionalFormatting sqref="CL113:CL119">
    <cfRule type="containsText" dxfId="64" priority="15" operator="containsText" text="T">
      <formula>NOT(ISERROR(SEARCH("T",CL113)))</formula>
    </cfRule>
    <cfRule type="containsText" dxfId="63" priority="18" operator="containsText" text="17">
      <formula>NOT(ISERROR(SEARCH("17",CL113)))</formula>
    </cfRule>
    <cfRule type="containsText" dxfId="62" priority="19" operator="containsText" text="T">
      <formula>NOT(ISERROR(SEARCH("T",CL113)))</formula>
    </cfRule>
    <cfRule type="containsText" dxfId="61" priority="14" operator="containsText" text="17">
      <formula>NOT(ISERROR(SEARCH("17",CL113)))</formula>
    </cfRule>
    <cfRule type="containsText" dxfId="60" priority="16" operator="containsText" text="17">
      <formula>NOT(ISERROR(SEARCH("17",CL113)))</formula>
    </cfRule>
    <cfRule type="containsText" dxfId="59" priority="17" operator="containsText" text="T">
      <formula>NOT(ISERROR(SEARCH("T",CL113)))</formula>
    </cfRule>
  </conditionalFormatting>
  <conditionalFormatting sqref="CL228:CL234">
    <cfRule type="containsText" dxfId="58" priority="42" operator="containsText" text="17">
      <formula>NOT(ISERROR(SEARCH("17",CL228)))</formula>
    </cfRule>
  </conditionalFormatting>
  <conditionalFormatting sqref="CL113:CN119">
    <cfRule type="containsText" dxfId="57" priority="9" operator="containsText" text="17">
      <formula>NOT(ISERROR(SEARCH("17",CL113)))</formula>
    </cfRule>
  </conditionalFormatting>
  <conditionalFormatting sqref="CL228:CP234">
    <cfRule type="containsText" dxfId="56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188"/>
  <sheetViews>
    <sheetView tabSelected="1" workbookViewId="0">
      <pane xSplit="2" ySplit="1" topLeftCell="C914" activePane="bottomRight" state="frozen"/>
      <selection pane="topRight" activeCell="C1" sqref="C1"/>
      <selection pane="bottomLeft" activeCell="A2" sqref="A2"/>
      <selection pane="bottomRight" activeCell="H934" sqref="H934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77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593</v>
      </c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77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593</v>
      </c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77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593</v>
      </c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77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593</v>
      </c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77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593</v>
      </c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77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593</v>
      </c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77">
        <v>46118</v>
      </c>
      <c r="K915" s="25">
        <f t="shared" ref="K915:K967" si="300">J915-A915</f>
        <v>28</v>
      </c>
      <c r="L915" s="25">
        <v>11.84</v>
      </c>
      <c r="M915" s="25">
        <v>9.1199999999999992</v>
      </c>
      <c r="N915" s="25">
        <f t="shared" ref="N915:N967" si="301">L915-M915</f>
        <v>2.7200000000000006</v>
      </c>
      <c r="O915" s="25" t="s">
        <v>593</v>
      </c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77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593</v>
      </c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77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593</v>
      </c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77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593</v>
      </c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77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593</v>
      </c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77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593</v>
      </c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77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593</v>
      </c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77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593</v>
      </c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77">
        <v>46125</v>
      </c>
      <c r="K923" s="25">
        <f t="shared" si="300"/>
        <v>34</v>
      </c>
      <c r="L923" s="25">
        <v>11.63</v>
      </c>
      <c r="M923" s="25">
        <v>9.85</v>
      </c>
      <c r="N923" s="25">
        <f t="shared" si="301"/>
        <v>1.7800000000000011</v>
      </c>
      <c r="O923" s="25" t="s">
        <v>593</v>
      </c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77">
        <v>46125</v>
      </c>
      <c r="K924" s="25">
        <f t="shared" si="300"/>
        <v>34</v>
      </c>
      <c r="L924" s="25">
        <v>12.47</v>
      </c>
      <c r="M924" s="25">
        <v>10.31</v>
      </c>
      <c r="N924" s="25">
        <f t="shared" si="301"/>
        <v>2.16</v>
      </c>
      <c r="O924" s="25" t="s">
        <v>593</v>
      </c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77">
        <v>46125</v>
      </c>
      <c r="K925" s="25">
        <f t="shared" si="300"/>
        <v>34</v>
      </c>
      <c r="L925" s="25">
        <v>11.54</v>
      </c>
      <c r="M925" s="25">
        <v>9.73</v>
      </c>
      <c r="N925" s="25">
        <f t="shared" si="301"/>
        <v>1.8099999999999987</v>
      </c>
      <c r="O925" s="25" t="s">
        <v>593</v>
      </c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77">
        <v>46125</v>
      </c>
      <c r="K926" s="25">
        <f t="shared" si="300"/>
        <v>34</v>
      </c>
      <c r="L926" s="25">
        <v>11.31</v>
      </c>
      <c r="M926" s="25">
        <v>9.2799999999999994</v>
      </c>
      <c r="N926" s="25">
        <f t="shared" si="301"/>
        <v>2.0300000000000011</v>
      </c>
      <c r="O926" s="25" t="s">
        <v>593</v>
      </c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77">
        <v>46125</v>
      </c>
      <c r="K927" s="25">
        <f t="shared" si="300"/>
        <v>34</v>
      </c>
      <c r="L927" s="25">
        <v>13.48</v>
      </c>
      <c r="M927" s="25">
        <v>11.12</v>
      </c>
      <c r="N927" s="25">
        <f t="shared" si="301"/>
        <v>2.3600000000000012</v>
      </c>
      <c r="O927" s="25" t="s">
        <v>593</v>
      </c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77">
        <v>46124</v>
      </c>
      <c r="K928" s="25">
        <f t="shared" si="300"/>
        <v>32</v>
      </c>
      <c r="L928" s="25">
        <v>12.32</v>
      </c>
      <c r="M928" s="25">
        <v>10.210000000000001</v>
      </c>
      <c r="N928" s="25">
        <f t="shared" si="301"/>
        <v>2.1099999999999994</v>
      </c>
      <c r="O928" s="25" t="s">
        <v>593</v>
      </c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77">
        <v>46124</v>
      </c>
      <c r="K929" s="25">
        <f t="shared" si="300"/>
        <v>32</v>
      </c>
      <c r="L929" s="25">
        <v>12.28</v>
      </c>
      <c r="M929" s="25">
        <v>10.11</v>
      </c>
      <c r="N929" s="25">
        <f t="shared" si="301"/>
        <v>2.17</v>
      </c>
      <c r="O929" s="25" t="s">
        <v>593</v>
      </c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77">
        <v>46124</v>
      </c>
      <c r="K930" s="25">
        <f t="shared" si="300"/>
        <v>32</v>
      </c>
      <c r="L930" s="25">
        <v>10.51</v>
      </c>
      <c r="M930" s="25">
        <v>8.76</v>
      </c>
      <c r="N930" s="25">
        <f t="shared" si="301"/>
        <v>1.75</v>
      </c>
      <c r="O930" s="25" t="s">
        <v>593</v>
      </c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77">
        <v>46120</v>
      </c>
      <c r="K931" s="25">
        <f t="shared" si="300"/>
        <v>28</v>
      </c>
      <c r="L931" s="25">
        <v>14.27</v>
      </c>
      <c r="M931" s="25">
        <v>12.54</v>
      </c>
      <c r="N931" s="25">
        <f t="shared" si="301"/>
        <v>1.7300000000000004</v>
      </c>
      <c r="O931" s="25" t="s">
        <v>593</v>
      </c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77">
        <v>46120</v>
      </c>
      <c r="K932" s="25">
        <f t="shared" si="300"/>
        <v>28</v>
      </c>
      <c r="L932" s="25">
        <v>14.52</v>
      </c>
      <c r="M932" s="25">
        <v>12.73</v>
      </c>
      <c r="N932" s="25">
        <f t="shared" si="301"/>
        <v>1.7899999999999991</v>
      </c>
      <c r="O932" s="25" t="s">
        <v>593</v>
      </c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77">
        <v>46124</v>
      </c>
      <c r="K933" s="25">
        <f t="shared" si="300"/>
        <v>32</v>
      </c>
      <c r="L933" s="25">
        <v>11.26</v>
      </c>
      <c r="M933" s="25">
        <v>9.31</v>
      </c>
      <c r="N933" s="25">
        <f t="shared" si="301"/>
        <v>1.9499999999999993</v>
      </c>
      <c r="O933" s="25" t="s">
        <v>593</v>
      </c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77">
        <v>46124</v>
      </c>
      <c r="K934" s="25">
        <f t="shared" si="300"/>
        <v>32</v>
      </c>
      <c r="L934" s="25">
        <v>11.71</v>
      </c>
      <c r="M934" s="25">
        <v>9.84</v>
      </c>
      <c r="N934" s="25">
        <f t="shared" si="301"/>
        <v>1.870000000000001</v>
      </c>
      <c r="O934" s="25" t="s">
        <v>593</v>
      </c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77">
        <v>46124</v>
      </c>
      <c r="K935" s="25">
        <f t="shared" si="300"/>
        <v>32</v>
      </c>
      <c r="L935" s="25">
        <v>10.16</v>
      </c>
      <c r="M935" s="25">
        <v>8.06</v>
      </c>
      <c r="N935" s="25">
        <f t="shared" si="301"/>
        <v>2.0999999999999996</v>
      </c>
      <c r="O935" s="25" t="s">
        <v>593</v>
      </c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77">
        <v>46127</v>
      </c>
      <c r="K936" s="25">
        <f t="shared" si="300"/>
        <v>34</v>
      </c>
      <c r="L936" s="25">
        <v>13.52</v>
      </c>
      <c r="M936" s="25">
        <v>11.21</v>
      </c>
      <c r="N936" s="25">
        <f t="shared" si="301"/>
        <v>2.3099999999999987</v>
      </c>
      <c r="O936" s="25" t="s">
        <v>593</v>
      </c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77">
        <v>46127</v>
      </c>
      <c r="K937" s="25">
        <f t="shared" si="300"/>
        <v>34</v>
      </c>
      <c r="L937" s="25">
        <v>12.31</v>
      </c>
      <c r="M937" s="25">
        <v>10.54</v>
      </c>
      <c r="N937" s="25">
        <f t="shared" si="301"/>
        <v>1.7700000000000014</v>
      </c>
      <c r="O937" s="25" t="s">
        <v>593</v>
      </c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77">
        <v>46126</v>
      </c>
      <c r="K938" s="25">
        <f t="shared" si="300"/>
        <v>33</v>
      </c>
      <c r="L938" s="25">
        <v>12.21</v>
      </c>
      <c r="M938" s="25">
        <v>10.07</v>
      </c>
      <c r="N938" s="25">
        <f t="shared" si="301"/>
        <v>2.1400000000000006</v>
      </c>
      <c r="O938" s="25" t="s">
        <v>593</v>
      </c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77">
        <v>46126</v>
      </c>
      <c r="K939" s="25">
        <f t="shared" si="300"/>
        <v>33</v>
      </c>
      <c r="L939" s="25">
        <v>10.73</v>
      </c>
      <c r="M939" s="25">
        <v>9.35</v>
      </c>
      <c r="N939" s="25">
        <f t="shared" si="301"/>
        <v>1.3800000000000008</v>
      </c>
      <c r="O939" s="25" t="s">
        <v>593</v>
      </c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77">
        <v>46125</v>
      </c>
      <c r="K940" s="25">
        <f t="shared" si="300"/>
        <v>32</v>
      </c>
      <c r="L940" s="25">
        <v>10.19</v>
      </c>
      <c r="M940" s="25">
        <v>8.4700000000000006</v>
      </c>
      <c r="N940" s="25">
        <f t="shared" si="301"/>
        <v>1.7199999999999989</v>
      </c>
      <c r="O940" s="25" t="s">
        <v>593</v>
      </c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77">
        <v>46125</v>
      </c>
      <c r="K941" s="25">
        <f t="shared" si="300"/>
        <v>32</v>
      </c>
      <c r="L941" s="25">
        <v>10.65</v>
      </c>
      <c r="M941" s="25">
        <v>8.81</v>
      </c>
      <c r="N941" s="25">
        <f t="shared" si="301"/>
        <v>1.8399999999999999</v>
      </c>
      <c r="O941" s="25" t="s">
        <v>593</v>
      </c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77">
        <v>46125</v>
      </c>
      <c r="K942" s="25">
        <f t="shared" si="300"/>
        <v>32</v>
      </c>
      <c r="L942" s="25">
        <v>11.42</v>
      </c>
      <c r="M942" s="25">
        <v>9.1199999999999992</v>
      </c>
      <c r="N942" s="25">
        <f t="shared" si="301"/>
        <v>2.3000000000000007</v>
      </c>
      <c r="O942" s="25" t="s">
        <v>593</v>
      </c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77">
        <v>46128</v>
      </c>
      <c r="K943" s="25">
        <f t="shared" si="300"/>
        <v>34</v>
      </c>
      <c r="L943" s="25">
        <v>12.56</v>
      </c>
      <c r="M943" s="25">
        <v>10.31</v>
      </c>
      <c r="N943" s="25">
        <f t="shared" si="301"/>
        <v>2.25</v>
      </c>
      <c r="O943" s="25" t="s">
        <v>593</v>
      </c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77">
        <v>46127</v>
      </c>
      <c r="K944" s="25">
        <f t="shared" si="300"/>
        <v>33</v>
      </c>
      <c r="L944" s="25">
        <v>11.68</v>
      </c>
      <c r="M944" s="25">
        <v>9.5500000000000007</v>
      </c>
      <c r="N944" s="25">
        <f t="shared" si="301"/>
        <v>2.129999999999999</v>
      </c>
      <c r="O944" s="25" t="s">
        <v>593</v>
      </c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77">
        <v>46127</v>
      </c>
      <c r="K945" s="25">
        <f t="shared" si="300"/>
        <v>33</v>
      </c>
      <c r="L945" s="25">
        <v>12.45</v>
      </c>
      <c r="M945" s="25">
        <v>10.54</v>
      </c>
      <c r="N945" s="25">
        <f t="shared" si="301"/>
        <v>1.9100000000000001</v>
      </c>
      <c r="O945" s="25" t="s">
        <v>593</v>
      </c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77">
        <v>46127</v>
      </c>
      <c r="K946" s="25">
        <f t="shared" si="300"/>
        <v>33</v>
      </c>
      <c r="L946" s="25">
        <v>11.87</v>
      </c>
      <c r="M946" s="25">
        <v>9.7200000000000006</v>
      </c>
      <c r="N946" s="25">
        <f t="shared" si="301"/>
        <v>2.1499999999999986</v>
      </c>
      <c r="O946" s="25" t="s">
        <v>593</v>
      </c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77">
        <v>46127</v>
      </c>
      <c r="K947" s="25">
        <f t="shared" si="300"/>
        <v>33</v>
      </c>
      <c r="L947" s="25">
        <v>12.53</v>
      </c>
      <c r="M947" s="25">
        <v>10.43</v>
      </c>
      <c r="N947" s="25">
        <f t="shared" si="301"/>
        <v>2.0999999999999996</v>
      </c>
      <c r="O947" s="25" t="s">
        <v>593</v>
      </c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77">
        <v>46127</v>
      </c>
      <c r="K948" s="25">
        <f t="shared" si="300"/>
        <v>33</v>
      </c>
      <c r="L948" s="25">
        <v>11.83</v>
      </c>
      <c r="M948" s="25">
        <v>9.74</v>
      </c>
      <c r="N948" s="25">
        <f t="shared" si="301"/>
        <v>2.09</v>
      </c>
      <c r="O948" s="25" t="s">
        <v>593</v>
      </c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77">
        <v>46127</v>
      </c>
      <c r="K949" s="25">
        <f t="shared" si="300"/>
        <v>33</v>
      </c>
      <c r="L949" s="25">
        <v>11.16</v>
      </c>
      <c r="M949" s="25">
        <v>9.6300000000000008</v>
      </c>
      <c r="N949" s="25">
        <f t="shared" si="301"/>
        <v>1.5299999999999994</v>
      </c>
      <c r="O949" s="25" t="s">
        <v>593</v>
      </c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77">
        <v>46129</v>
      </c>
      <c r="K950" s="25">
        <f t="shared" si="300"/>
        <v>34</v>
      </c>
      <c r="L950" s="25">
        <v>12.27</v>
      </c>
      <c r="M950" s="25">
        <v>10.16</v>
      </c>
      <c r="N950" s="25">
        <f t="shared" si="301"/>
        <v>2.1099999999999994</v>
      </c>
      <c r="O950" s="25" t="s">
        <v>593</v>
      </c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77">
        <v>46128</v>
      </c>
      <c r="K951" s="25">
        <f t="shared" si="300"/>
        <v>33</v>
      </c>
      <c r="L951" s="25">
        <v>12.41</v>
      </c>
      <c r="M951" s="25">
        <v>10.52</v>
      </c>
      <c r="N951" s="25">
        <f t="shared" si="301"/>
        <v>1.8900000000000006</v>
      </c>
      <c r="O951" s="25" t="s">
        <v>593</v>
      </c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77">
        <v>46128</v>
      </c>
      <c r="K952" s="25">
        <f t="shared" si="300"/>
        <v>33</v>
      </c>
      <c r="L952" s="25">
        <v>11.63</v>
      </c>
      <c r="M952" s="25">
        <v>9.51</v>
      </c>
      <c r="N952" s="25">
        <f t="shared" si="301"/>
        <v>2.120000000000001</v>
      </c>
      <c r="O952" s="25" t="s">
        <v>593</v>
      </c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77">
        <v>46128</v>
      </c>
      <c r="K953" s="25">
        <f t="shared" si="300"/>
        <v>33</v>
      </c>
      <c r="L953" s="25">
        <v>12.98</v>
      </c>
      <c r="M953" s="25">
        <v>11.12</v>
      </c>
      <c r="N953" s="25">
        <f t="shared" si="301"/>
        <v>1.8600000000000012</v>
      </c>
      <c r="O953" s="25" t="s">
        <v>593</v>
      </c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77">
        <v>46128</v>
      </c>
      <c r="K954" s="25">
        <f t="shared" si="300"/>
        <v>33</v>
      </c>
      <c r="L954" s="25">
        <v>11.16</v>
      </c>
      <c r="M954" s="25">
        <v>9.3800000000000008</v>
      </c>
      <c r="N954" s="25">
        <f t="shared" si="301"/>
        <v>1.7799999999999994</v>
      </c>
      <c r="O954" s="25" t="s">
        <v>593</v>
      </c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77">
        <v>46128</v>
      </c>
      <c r="K955" s="25">
        <f t="shared" si="300"/>
        <v>33</v>
      </c>
      <c r="L955" s="25">
        <v>12.47</v>
      </c>
      <c r="M955" s="25">
        <v>10.14</v>
      </c>
      <c r="N955" s="25">
        <f t="shared" si="301"/>
        <v>2.33</v>
      </c>
      <c r="O955" s="25" t="s">
        <v>593</v>
      </c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77">
        <v>46128</v>
      </c>
      <c r="K956" s="25">
        <f t="shared" si="300"/>
        <v>33</v>
      </c>
      <c r="L956" s="25">
        <v>11.32</v>
      </c>
      <c r="M956" s="25">
        <v>9.57</v>
      </c>
      <c r="N956" s="25">
        <f t="shared" si="301"/>
        <v>1.75</v>
      </c>
      <c r="O956" s="25" t="s">
        <v>593</v>
      </c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77">
        <v>46128</v>
      </c>
      <c r="K957" s="25">
        <f t="shared" si="300"/>
        <v>33</v>
      </c>
      <c r="L957" s="25">
        <v>13.45</v>
      </c>
      <c r="M957" s="25">
        <v>11.24</v>
      </c>
      <c r="N957" s="25">
        <f t="shared" si="301"/>
        <v>2.2099999999999991</v>
      </c>
      <c r="O957" s="25" t="s">
        <v>593</v>
      </c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77">
        <v>46129</v>
      </c>
      <c r="K958" s="25">
        <f t="shared" si="300"/>
        <v>33</v>
      </c>
      <c r="L958" s="25">
        <v>12.43</v>
      </c>
      <c r="M958" s="25">
        <v>10.51</v>
      </c>
      <c r="N958" s="25">
        <f t="shared" si="301"/>
        <v>1.92</v>
      </c>
      <c r="O958" s="25" t="s">
        <v>593</v>
      </c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77">
        <v>46129</v>
      </c>
      <c r="K959" s="25">
        <f t="shared" si="300"/>
        <v>33</v>
      </c>
      <c r="L959" s="25">
        <v>13.19</v>
      </c>
      <c r="M959" s="25">
        <v>11.12</v>
      </c>
      <c r="N959" s="25">
        <f t="shared" si="301"/>
        <v>2.0700000000000003</v>
      </c>
      <c r="O959" s="25" t="s">
        <v>593</v>
      </c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77">
        <v>46129</v>
      </c>
      <c r="K960" s="25">
        <f t="shared" si="300"/>
        <v>33</v>
      </c>
      <c r="L960" s="25">
        <v>13.46</v>
      </c>
      <c r="M960" s="25">
        <v>11.38</v>
      </c>
      <c r="N960" s="25">
        <f t="shared" si="301"/>
        <v>2.08</v>
      </c>
      <c r="O960" s="25" t="s">
        <v>593</v>
      </c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77">
        <v>46129</v>
      </c>
      <c r="K961" s="25">
        <f t="shared" si="300"/>
        <v>33</v>
      </c>
      <c r="L961" s="25">
        <v>13.67</v>
      </c>
      <c r="M961" s="25">
        <v>11.54</v>
      </c>
      <c r="N961" s="25">
        <f t="shared" si="301"/>
        <v>2.1300000000000008</v>
      </c>
      <c r="O961" s="25" t="s">
        <v>593</v>
      </c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77">
        <v>46129</v>
      </c>
      <c r="K962" s="25">
        <f t="shared" si="300"/>
        <v>33</v>
      </c>
      <c r="L962" s="25">
        <v>12.31</v>
      </c>
      <c r="M962" s="25">
        <v>10.52</v>
      </c>
      <c r="N962" s="25">
        <f t="shared" si="301"/>
        <v>1.7900000000000009</v>
      </c>
      <c r="O962" s="25" t="s">
        <v>593</v>
      </c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77">
        <v>46129</v>
      </c>
      <c r="K963" s="25">
        <f t="shared" si="300"/>
        <v>33</v>
      </c>
      <c r="L963" s="25">
        <v>12.08</v>
      </c>
      <c r="M963" s="25">
        <v>10.34</v>
      </c>
      <c r="N963" s="25">
        <f t="shared" si="301"/>
        <v>1.7400000000000002</v>
      </c>
      <c r="O963" s="25" t="s">
        <v>593</v>
      </c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77">
        <v>46129</v>
      </c>
      <c r="K964" s="25">
        <f t="shared" si="300"/>
        <v>33</v>
      </c>
      <c r="L964" s="25">
        <v>14.11</v>
      </c>
      <c r="M964" s="25">
        <v>12.08</v>
      </c>
      <c r="N964" s="25">
        <f t="shared" si="301"/>
        <v>2.0299999999999994</v>
      </c>
      <c r="O964" s="25" t="s">
        <v>593</v>
      </c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77">
        <v>46130</v>
      </c>
      <c r="K965" s="25">
        <f t="shared" si="300"/>
        <v>33</v>
      </c>
      <c r="L965" s="25">
        <v>11.47</v>
      </c>
      <c r="M965" s="25">
        <v>9.52</v>
      </c>
      <c r="N965" s="25">
        <f t="shared" si="301"/>
        <v>1.9500000000000011</v>
      </c>
      <c r="O965" s="25" t="s">
        <v>593</v>
      </c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77">
        <v>46130</v>
      </c>
      <c r="K966" s="25">
        <f t="shared" si="300"/>
        <v>33</v>
      </c>
      <c r="L966" s="25">
        <v>11.51</v>
      </c>
      <c r="M966" s="25">
        <v>10.33</v>
      </c>
      <c r="N966" s="25">
        <f t="shared" si="301"/>
        <v>1.1799999999999997</v>
      </c>
      <c r="O966" s="25" t="s">
        <v>593</v>
      </c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77">
        <v>46130</v>
      </c>
      <c r="K967" s="25">
        <f t="shared" si="300"/>
        <v>33</v>
      </c>
      <c r="L967" s="25">
        <v>13.47</v>
      </c>
      <c r="M967" s="25">
        <v>11.28</v>
      </c>
      <c r="N967" s="25">
        <f t="shared" si="301"/>
        <v>2.1900000000000013</v>
      </c>
      <c r="O967" s="25" t="s">
        <v>593</v>
      </c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77">
        <v>46129</v>
      </c>
      <c r="K972" s="25">
        <f t="shared" ref="K972:K978" si="302">J972-A972</f>
        <v>31</v>
      </c>
      <c r="L972" s="25">
        <v>13.16</v>
      </c>
      <c r="M972" s="25">
        <v>11.1</v>
      </c>
      <c r="N972" s="25">
        <f t="shared" ref="N972:N978" si="303">L972-M972</f>
        <v>2.0600000000000005</v>
      </c>
      <c r="O972" s="25" t="s">
        <v>593</v>
      </c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77">
        <v>46129</v>
      </c>
      <c r="K973" s="25">
        <f t="shared" si="302"/>
        <v>31</v>
      </c>
      <c r="L973" s="25">
        <v>14.28</v>
      </c>
      <c r="M973" s="25">
        <v>12.19</v>
      </c>
      <c r="N973" s="25">
        <f t="shared" si="303"/>
        <v>2.09</v>
      </c>
      <c r="O973" s="25" t="s">
        <v>593</v>
      </c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77">
        <v>46130</v>
      </c>
      <c r="K974" s="25">
        <f t="shared" si="302"/>
        <v>32</v>
      </c>
      <c r="L974" s="25">
        <v>12.36</v>
      </c>
      <c r="M974" s="25">
        <v>10.54</v>
      </c>
      <c r="N974" s="25">
        <f t="shared" si="303"/>
        <v>1.8200000000000003</v>
      </c>
      <c r="O974" s="25" t="s">
        <v>593</v>
      </c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77">
        <v>46130</v>
      </c>
      <c r="K975" s="25">
        <f t="shared" si="302"/>
        <v>32</v>
      </c>
      <c r="L975" s="25">
        <v>12.19</v>
      </c>
      <c r="M975" s="25">
        <v>10.210000000000001</v>
      </c>
      <c r="N975" s="25">
        <f t="shared" si="303"/>
        <v>1.9799999999999986</v>
      </c>
      <c r="O975" s="25" t="s">
        <v>593</v>
      </c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77">
        <v>46130</v>
      </c>
      <c r="K976" s="25">
        <f t="shared" si="302"/>
        <v>32</v>
      </c>
      <c r="L976" s="25">
        <v>11.84</v>
      </c>
      <c r="M976" s="25">
        <v>9.73</v>
      </c>
      <c r="N976" s="25">
        <f t="shared" si="303"/>
        <v>2.1099999999999994</v>
      </c>
      <c r="O976" s="25" t="s">
        <v>593</v>
      </c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77">
        <v>46130</v>
      </c>
      <c r="K977" s="25">
        <f t="shared" si="302"/>
        <v>32</v>
      </c>
      <c r="L977" s="25">
        <v>12.35</v>
      </c>
      <c r="M977" s="25">
        <v>10.14</v>
      </c>
      <c r="N977" s="25">
        <f t="shared" si="303"/>
        <v>2.2099999999999991</v>
      </c>
      <c r="O977" s="25" t="s">
        <v>593</v>
      </c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77">
        <v>46130</v>
      </c>
      <c r="K978" s="25">
        <f t="shared" si="302"/>
        <v>32</v>
      </c>
      <c r="L978" s="25">
        <v>11.73</v>
      </c>
      <c r="M978" s="25">
        <v>9.86</v>
      </c>
      <c r="N978" s="25">
        <f t="shared" si="303"/>
        <v>1.870000000000001</v>
      </c>
      <c r="O978" s="25" t="s">
        <v>593</v>
      </c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4">A979+23</f>
        <v>46122</v>
      </c>
      <c r="E979" s="77">
        <f t="shared" ref="E979:E1042" si="305">A979+7</f>
        <v>46106</v>
      </c>
      <c r="F979" s="77">
        <f t="shared" ref="F979:F1042" si="306">A979+14</f>
        <v>46113</v>
      </c>
      <c r="G979" s="77">
        <f t="shared" ref="G979:G1042" si="307">A979+20</f>
        <v>46119</v>
      </c>
      <c r="H979" s="77">
        <f t="shared" ref="H979:H1042" si="308">A979+8</f>
        <v>46107</v>
      </c>
      <c r="I979" s="77">
        <f t="shared" ref="I979:I1042" si="309"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4"/>
        <v>46122</v>
      </c>
      <c r="E980" s="77">
        <f t="shared" si="305"/>
        <v>46106</v>
      </c>
      <c r="F980" s="77">
        <f t="shared" si="306"/>
        <v>46113</v>
      </c>
      <c r="G980" s="77">
        <f t="shared" si="307"/>
        <v>46119</v>
      </c>
      <c r="H980" s="77">
        <f t="shared" si="308"/>
        <v>46107</v>
      </c>
      <c r="I980" s="77">
        <f t="shared" si="309"/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4"/>
        <v>46122</v>
      </c>
      <c r="E981" s="77">
        <f t="shared" si="305"/>
        <v>46106</v>
      </c>
      <c r="F981" s="77">
        <f t="shared" si="306"/>
        <v>46113</v>
      </c>
      <c r="G981" s="77">
        <f t="shared" si="307"/>
        <v>46119</v>
      </c>
      <c r="H981" s="77">
        <f t="shared" si="308"/>
        <v>46107</v>
      </c>
      <c r="I981" s="77">
        <f t="shared" si="309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4"/>
        <v>46122</v>
      </c>
      <c r="E982" s="77">
        <f t="shared" si="305"/>
        <v>46106</v>
      </c>
      <c r="F982" s="77">
        <f t="shared" si="306"/>
        <v>46113</v>
      </c>
      <c r="G982" s="77">
        <f t="shared" si="307"/>
        <v>46119</v>
      </c>
      <c r="H982" s="77">
        <f t="shared" si="308"/>
        <v>46107</v>
      </c>
      <c r="I982" s="77">
        <f t="shared" si="309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4"/>
        <v>46122</v>
      </c>
      <c r="E983" s="77">
        <f t="shared" si="305"/>
        <v>46106</v>
      </c>
      <c r="F983" s="77">
        <f t="shared" si="306"/>
        <v>46113</v>
      </c>
      <c r="G983" s="77">
        <f t="shared" si="307"/>
        <v>46119</v>
      </c>
      <c r="H983" s="77">
        <f t="shared" si="308"/>
        <v>46107</v>
      </c>
      <c r="I983" s="77">
        <f t="shared" si="309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4"/>
        <v>46122</v>
      </c>
      <c r="E984" s="77">
        <f t="shared" si="305"/>
        <v>46106</v>
      </c>
      <c r="F984" s="77">
        <f t="shared" si="306"/>
        <v>46113</v>
      </c>
      <c r="G984" s="77">
        <f t="shared" si="307"/>
        <v>46119</v>
      </c>
      <c r="H984" s="77">
        <f t="shared" si="308"/>
        <v>46107</v>
      </c>
      <c r="I984" s="77">
        <f t="shared" si="309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4"/>
        <v>46122</v>
      </c>
      <c r="E985" s="77">
        <f t="shared" si="305"/>
        <v>46106</v>
      </c>
      <c r="F985" s="77">
        <f t="shared" si="306"/>
        <v>46113</v>
      </c>
      <c r="G985" s="77">
        <f t="shared" si="307"/>
        <v>46119</v>
      </c>
      <c r="H985" s="77">
        <f t="shared" si="308"/>
        <v>46107</v>
      </c>
      <c r="I985" s="77">
        <f t="shared" si="309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4"/>
        <v>46123</v>
      </c>
      <c r="E986" s="77">
        <f t="shared" si="305"/>
        <v>46107</v>
      </c>
      <c r="F986" s="77">
        <f t="shared" si="306"/>
        <v>46114</v>
      </c>
      <c r="G986" s="77">
        <f t="shared" si="307"/>
        <v>46120</v>
      </c>
      <c r="H986" s="77">
        <f t="shared" si="308"/>
        <v>46108</v>
      </c>
      <c r="I986" s="77">
        <f t="shared" si="309"/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4"/>
        <v>46123</v>
      </c>
      <c r="E987" s="77">
        <f t="shared" si="305"/>
        <v>46107</v>
      </c>
      <c r="F987" s="77">
        <f t="shared" si="306"/>
        <v>46114</v>
      </c>
      <c r="G987" s="77">
        <f t="shared" si="307"/>
        <v>46120</v>
      </c>
      <c r="H987" s="77">
        <f t="shared" si="308"/>
        <v>46108</v>
      </c>
      <c r="I987" s="77">
        <f t="shared" si="309"/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4"/>
        <v>46123</v>
      </c>
      <c r="E988" s="77">
        <f t="shared" si="305"/>
        <v>46107</v>
      </c>
      <c r="F988" s="77">
        <f t="shared" si="306"/>
        <v>46114</v>
      </c>
      <c r="G988" s="77">
        <f t="shared" si="307"/>
        <v>46120</v>
      </c>
      <c r="H988" s="77">
        <f t="shared" si="308"/>
        <v>46108</v>
      </c>
      <c r="I988" s="77">
        <f t="shared" si="309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4"/>
        <v>46123</v>
      </c>
      <c r="E989" s="77">
        <f t="shared" si="305"/>
        <v>46107</v>
      </c>
      <c r="F989" s="77">
        <f t="shared" si="306"/>
        <v>46114</v>
      </c>
      <c r="G989" s="77">
        <f t="shared" si="307"/>
        <v>46120</v>
      </c>
      <c r="H989" s="77">
        <f t="shared" si="308"/>
        <v>46108</v>
      </c>
      <c r="I989" s="77">
        <f t="shared" si="309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4"/>
        <v>46123</v>
      </c>
      <c r="E990" s="77">
        <f t="shared" si="305"/>
        <v>46107</v>
      </c>
      <c r="F990" s="77">
        <f t="shared" si="306"/>
        <v>46114</v>
      </c>
      <c r="G990" s="77">
        <f t="shared" si="307"/>
        <v>46120</v>
      </c>
      <c r="H990" s="77">
        <f t="shared" si="308"/>
        <v>46108</v>
      </c>
      <c r="I990" s="77">
        <f t="shared" si="309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4"/>
        <v>46123</v>
      </c>
      <c r="E991" s="77">
        <f t="shared" si="305"/>
        <v>46107</v>
      </c>
      <c r="F991" s="77">
        <f t="shared" si="306"/>
        <v>46114</v>
      </c>
      <c r="G991" s="77">
        <f t="shared" si="307"/>
        <v>46120</v>
      </c>
      <c r="H991" s="77">
        <f t="shared" si="308"/>
        <v>46108</v>
      </c>
      <c r="I991" s="77">
        <f t="shared" si="309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4"/>
        <v>46123</v>
      </c>
      <c r="E992" s="77">
        <f t="shared" si="305"/>
        <v>46107</v>
      </c>
      <c r="F992" s="77">
        <f t="shared" si="306"/>
        <v>46114</v>
      </c>
      <c r="G992" s="77">
        <f t="shared" si="307"/>
        <v>46120</v>
      </c>
      <c r="H992" s="77">
        <f t="shared" si="308"/>
        <v>46108</v>
      </c>
      <c r="I992" s="77">
        <f t="shared" si="309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4"/>
        <v>46124</v>
      </c>
      <c r="E993" s="77">
        <f t="shared" si="305"/>
        <v>46108</v>
      </c>
      <c r="F993" s="77">
        <f t="shared" si="306"/>
        <v>46115</v>
      </c>
      <c r="G993" s="77">
        <f t="shared" si="307"/>
        <v>46121</v>
      </c>
      <c r="H993" s="77">
        <f t="shared" si="308"/>
        <v>46109</v>
      </c>
      <c r="I993" s="77">
        <f t="shared" si="309"/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4"/>
        <v>46124</v>
      </c>
      <c r="E994" s="77">
        <f t="shared" si="305"/>
        <v>46108</v>
      </c>
      <c r="F994" s="77">
        <f t="shared" si="306"/>
        <v>46115</v>
      </c>
      <c r="G994" s="77">
        <f t="shared" si="307"/>
        <v>46121</v>
      </c>
      <c r="H994" s="77">
        <f t="shared" si="308"/>
        <v>46109</v>
      </c>
      <c r="I994" s="77">
        <f t="shared" si="309"/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4"/>
        <v>46124</v>
      </c>
      <c r="E995" s="77">
        <f t="shared" si="305"/>
        <v>46108</v>
      </c>
      <c r="F995" s="77">
        <f t="shared" si="306"/>
        <v>46115</v>
      </c>
      <c r="G995" s="77">
        <f t="shared" si="307"/>
        <v>46121</v>
      </c>
      <c r="H995" s="77">
        <f t="shared" si="308"/>
        <v>46109</v>
      </c>
      <c r="I995" s="77">
        <f t="shared" si="309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4"/>
        <v>46124</v>
      </c>
      <c r="E996" s="77">
        <f t="shared" si="305"/>
        <v>46108</v>
      </c>
      <c r="F996" s="77">
        <f t="shared" si="306"/>
        <v>46115</v>
      </c>
      <c r="G996" s="77">
        <f t="shared" si="307"/>
        <v>46121</v>
      </c>
      <c r="H996" s="77">
        <f t="shared" si="308"/>
        <v>46109</v>
      </c>
      <c r="I996" s="77">
        <f t="shared" si="309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4"/>
        <v>46124</v>
      </c>
      <c r="E997" s="77">
        <f t="shared" si="305"/>
        <v>46108</v>
      </c>
      <c r="F997" s="77">
        <f t="shared" si="306"/>
        <v>46115</v>
      </c>
      <c r="G997" s="77">
        <f t="shared" si="307"/>
        <v>46121</v>
      </c>
      <c r="H997" s="77">
        <f t="shared" si="308"/>
        <v>46109</v>
      </c>
      <c r="I997" s="77">
        <f t="shared" si="309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4"/>
        <v>46124</v>
      </c>
      <c r="E998" s="77">
        <f t="shared" si="305"/>
        <v>46108</v>
      </c>
      <c r="F998" s="77">
        <f t="shared" si="306"/>
        <v>46115</v>
      </c>
      <c r="G998" s="77">
        <f t="shared" si="307"/>
        <v>46121</v>
      </c>
      <c r="H998" s="77">
        <f t="shared" si="308"/>
        <v>46109</v>
      </c>
      <c r="I998" s="77">
        <f t="shared" si="309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4"/>
        <v>46124</v>
      </c>
      <c r="E999" s="77">
        <f t="shared" si="305"/>
        <v>46108</v>
      </c>
      <c r="F999" s="77">
        <f t="shared" si="306"/>
        <v>46115</v>
      </c>
      <c r="G999" s="77">
        <f t="shared" si="307"/>
        <v>46121</v>
      </c>
      <c r="H999" s="77">
        <f t="shared" si="308"/>
        <v>46109</v>
      </c>
      <c r="I999" s="77">
        <f t="shared" si="309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4"/>
        <v>46125</v>
      </c>
      <c r="E1000" s="77">
        <f t="shared" si="305"/>
        <v>46109</v>
      </c>
      <c r="F1000" s="77">
        <f t="shared" si="306"/>
        <v>46116</v>
      </c>
      <c r="G1000" s="77">
        <f t="shared" si="307"/>
        <v>46122</v>
      </c>
      <c r="H1000" s="77">
        <f t="shared" si="308"/>
        <v>46110</v>
      </c>
      <c r="I1000" s="77">
        <f t="shared" si="309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4"/>
        <v>46125</v>
      </c>
      <c r="E1001" s="77">
        <f t="shared" si="305"/>
        <v>46109</v>
      </c>
      <c r="F1001" s="77">
        <f t="shared" si="306"/>
        <v>46116</v>
      </c>
      <c r="G1001" s="77">
        <f t="shared" si="307"/>
        <v>46122</v>
      </c>
      <c r="H1001" s="77">
        <f t="shared" si="308"/>
        <v>46110</v>
      </c>
      <c r="I1001" s="77">
        <f t="shared" si="309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4"/>
        <v>46125</v>
      </c>
      <c r="E1002" s="77">
        <f t="shared" si="305"/>
        <v>46109</v>
      </c>
      <c r="F1002" s="77">
        <f t="shared" si="306"/>
        <v>46116</v>
      </c>
      <c r="G1002" s="77">
        <f t="shared" si="307"/>
        <v>46122</v>
      </c>
      <c r="H1002" s="77">
        <f t="shared" si="308"/>
        <v>46110</v>
      </c>
      <c r="I1002" s="77">
        <f t="shared" si="309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4"/>
        <v>46125</v>
      </c>
      <c r="E1003" s="77">
        <f t="shared" si="305"/>
        <v>46109</v>
      </c>
      <c r="F1003" s="77">
        <f t="shared" si="306"/>
        <v>46116</v>
      </c>
      <c r="G1003" s="77">
        <f t="shared" si="307"/>
        <v>46122</v>
      </c>
      <c r="H1003" s="77">
        <f t="shared" si="308"/>
        <v>46110</v>
      </c>
      <c r="I1003" s="77">
        <f t="shared" si="309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4"/>
        <v>46125</v>
      </c>
      <c r="E1004" s="77">
        <f t="shared" si="305"/>
        <v>46109</v>
      </c>
      <c r="F1004" s="77">
        <f t="shared" si="306"/>
        <v>46116</v>
      </c>
      <c r="G1004" s="77">
        <f t="shared" si="307"/>
        <v>46122</v>
      </c>
      <c r="H1004" s="77">
        <f t="shared" si="308"/>
        <v>46110</v>
      </c>
      <c r="I1004" s="77">
        <f t="shared" si="309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4"/>
        <v>46125</v>
      </c>
      <c r="E1005" s="77">
        <f t="shared" si="305"/>
        <v>46109</v>
      </c>
      <c r="F1005" s="77">
        <f t="shared" si="306"/>
        <v>46116</v>
      </c>
      <c r="G1005" s="77">
        <f t="shared" si="307"/>
        <v>46122</v>
      </c>
      <c r="H1005" s="77">
        <f t="shared" si="308"/>
        <v>46110</v>
      </c>
      <c r="I1005" s="77">
        <f t="shared" si="309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4"/>
        <v>46125</v>
      </c>
      <c r="E1006" s="77">
        <f t="shared" si="305"/>
        <v>46109</v>
      </c>
      <c r="F1006" s="77">
        <f t="shared" si="306"/>
        <v>46116</v>
      </c>
      <c r="G1006" s="77">
        <f t="shared" si="307"/>
        <v>46122</v>
      </c>
      <c r="H1006" s="77">
        <f t="shared" si="308"/>
        <v>46110</v>
      </c>
      <c r="I1006" s="77">
        <f t="shared" si="309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4"/>
        <v>46126</v>
      </c>
      <c r="E1007" s="77">
        <f t="shared" si="305"/>
        <v>46110</v>
      </c>
      <c r="F1007" s="77">
        <f t="shared" si="306"/>
        <v>46117</v>
      </c>
      <c r="G1007" s="77">
        <f t="shared" si="307"/>
        <v>46123</v>
      </c>
      <c r="H1007" s="77">
        <f t="shared" si="308"/>
        <v>46111</v>
      </c>
      <c r="I1007" s="77">
        <f t="shared" si="309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4"/>
        <v>46126</v>
      </c>
      <c r="E1008" s="77">
        <f t="shared" si="305"/>
        <v>46110</v>
      </c>
      <c r="F1008" s="77">
        <f t="shared" si="306"/>
        <v>46117</v>
      </c>
      <c r="G1008" s="77">
        <f t="shared" si="307"/>
        <v>46123</v>
      </c>
      <c r="H1008" s="77">
        <f t="shared" si="308"/>
        <v>46111</v>
      </c>
      <c r="I1008" s="77">
        <f t="shared" si="309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4"/>
        <v>46126</v>
      </c>
      <c r="E1009" s="77">
        <f t="shared" si="305"/>
        <v>46110</v>
      </c>
      <c r="F1009" s="77">
        <f t="shared" si="306"/>
        <v>46117</v>
      </c>
      <c r="G1009" s="77">
        <f t="shared" si="307"/>
        <v>46123</v>
      </c>
      <c r="H1009" s="77">
        <f t="shared" si="308"/>
        <v>46111</v>
      </c>
      <c r="I1009" s="77">
        <f t="shared" si="309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4"/>
        <v>46126</v>
      </c>
      <c r="E1010" s="77">
        <f t="shared" si="305"/>
        <v>46110</v>
      </c>
      <c r="F1010" s="77">
        <f t="shared" si="306"/>
        <v>46117</v>
      </c>
      <c r="G1010" s="77">
        <f t="shared" si="307"/>
        <v>46123</v>
      </c>
      <c r="H1010" s="77">
        <f t="shared" si="308"/>
        <v>46111</v>
      </c>
      <c r="I1010" s="77">
        <f t="shared" si="309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4"/>
        <v>46126</v>
      </c>
      <c r="E1011" s="77">
        <f t="shared" si="305"/>
        <v>46110</v>
      </c>
      <c r="F1011" s="77">
        <f t="shared" si="306"/>
        <v>46117</v>
      </c>
      <c r="G1011" s="77">
        <f t="shared" si="307"/>
        <v>46123</v>
      </c>
      <c r="H1011" s="77">
        <f t="shared" si="308"/>
        <v>46111</v>
      </c>
      <c r="I1011" s="77">
        <f t="shared" si="309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4"/>
        <v>46126</v>
      </c>
      <c r="E1012" s="77">
        <f t="shared" si="305"/>
        <v>46110</v>
      </c>
      <c r="F1012" s="77">
        <f t="shared" si="306"/>
        <v>46117</v>
      </c>
      <c r="G1012" s="77">
        <f t="shared" si="307"/>
        <v>46123</v>
      </c>
      <c r="H1012" s="77">
        <f t="shared" si="308"/>
        <v>46111</v>
      </c>
      <c r="I1012" s="77">
        <f t="shared" si="309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4"/>
        <v>46126</v>
      </c>
      <c r="E1013" s="77">
        <f t="shared" si="305"/>
        <v>46110</v>
      </c>
      <c r="F1013" s="77">
        <f t="shared" si="306"/>
        <v>46117</v>
      </c>
      <c r="G1013" s="77">
        <f t="shared" si="307"/>
        <v>46123</v>
      </c>
      <c r="H1013" s="77">
        <f t="shared" si="308"/>
        <v>46111</v>
      </c>
      <c r="I1013" s="77">
        <f t="shared" si="309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4"/>
        <v>46127</v>
      </c>
      <c r="E1014" s="77">
        <f t="shared" si="305"/>
        <v>46111</v>
      </c>
      <c r="F1014" s="77">
        <f t="shared" si="306"/>
        <v>46118</v>
      </c>
      <c r="G1014" s="77">
        <f t="shared" si="307"/>
        <v>46124</v>
      </c>
      <c r="H1014" s="77">
        <f t="shared" si="308"/>
        <v>46112</v>
      </c>
      <c r="I1014" s="77">
        <f t="shared" si="309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4"/>
        <v>46127</v>
      </c>
      <c r="E1015" s="77">
        <f t="shared" si="305"/>
        <v>46111</v>
      </c>
      <c r="F1015" s="77">
        <f t="shared" si="306"/>
        <v>46118</v>
      </c>
      <c r="G1015" s="77">
        <f t="shared" si="307"/>
        <v>46124</v>
      </c>
      <c r="H1015" s="77">
        <f t="shared" si="308"/>
        <v>46112</v>
      </c>
      <c r="I1015" s="77">
        <f t="shared" si="309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4"/>
        <v>46127</v>
      </c>
      <c r="E1016" s="77">
        <f t="shared" si="305"/>
        <v>46111</v>
      </c>
      <c r="F1016" s="77">
        <f t="shared" si="306"/>
        <v>46118</v>
      </c>
      <c r="G1016" s="77">
        <f t="shared" si="307"/>
        <v>46124</v>
      </c>
      <c r="H1016" s="77">
        <f t="shared" si="308"/>
        <v>46112</v>
      </c>
      <c r="I1016" s="77">
        <f t="shared" si="309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4"/>
        <v>46127</v>
      </c>
      <c r="E1017" s="77">
        <f t="shared" si="305"/>
        <v>46111</v>
      </c>
      <c r="F1017" s="77">
        <f t="shared" si="306"/>
        <v>46118</v>
      </c>
      <c r="G1017" s="77">
        <f t="shared" si="307"/>
        <v>46124</v>
      </c>
      <c r="H1017" s="77">
        <f t="shared" si="308"/>
        <v>46112</v>
      </c>
      <c r="I1017" s="77">
        <f t="shared" si="309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4"/>
        <v>46127</v>
      </c>
      <c r="E1018" s="77">
        <f t="shared" si="305"/>
        <v>46111</v>
      </c>
      <c r="F1018" s="77">
        <f t="shared" si="306"/>
        <v>46118</v>
      </c>
      <c r="G1018" s="77">
        <f t="shared" si="307"/>
        <v>46124</v>
      </c>
      <c r="H1018" s="77">
        <f t="shared" si="308"/>
        <v>46112</v>
      </c>
      <c r="I1018" s="77">
        <f t="shared" si="309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4"/>
        <v>46127</v>
      </c>
      <c r="E1019" s="77">
        <f t="shared" si="305"/>
        <v>46111</v>
      </c>
      <c r="F1019" s="77">
        <f t="shared" si="306"/>
        <v>46118</v>
      </c>
      <c r="G1019" s="77">
        <f t="shared" si="307"/>
        <v>46124</v>
      </c>
      <c r="H1019" s="77">
        <f t="shared" si="308"/>
        <v>46112</v>
      </c>
      <c r="I1019" s="77">
        <f t="shared" si="309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4"/>
        <v>46127</v>
      </c>
      <c r="E1020" s="77">
        <f t="shared" si="305"/>
        <v>46111</v>
      </c>
      <c r="F1020" s="77">
        <f t="shared" si="306"/>
        <v>46118</v>
      </c>
      <c r="G1020" s="77">
        <f t="shared" si="307"/>
        <v>46124</v>
      </c>
      <c r="H1020" s="77">
        <f t="shared" si="308"/>
        <v>46112</v>
      </c>
      <c r="I1020" s="77">
        <f t="shared" si="309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4"/>
        <v>46128</v>
      </c>
      <c r="E1021" s="77">
        <f t="shared" si="305"/>
        <v>46112</v>
      </c>
      <c r="F1021" s="77">
        <f t="shared" si="306"/>
        <v>46119</v>
      </c>
      <c r="G1021" s="77">
        <f t="shared" si="307"/>
        <v>46125</v>
      </c>
      <c r="H1021" s="77">
        <f t="shared" si="308"/>
        <v>46113</v>
      </c>
      <c r="I1021" s="77">
        <f t="shared" si="309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4"/>
        <v>46128</v>
      </c>
      <c r="E1022" s="77">
        <f t="shared" si="305"/>
        <v>46112</v>
      </c>
      <c r="F1022" s="77">
        <f t="shared" si="306"/>
        <v>46119</v>
      </c>
      <c r="G1022" s="77">
        <f t="shared" si="307"/>
        <v>46125</v>
      </c>
      <c r="H1022" s="77">
        <f t="shared" si="308"/>
        <v>46113</v>
      </c>
      <c r="I1022" s="77">
        <f t="shared" si="309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4"/>
        <v>46128</v>
      </c>
      <c r="E1023" s="77">
        <f t="shared" si="305"/>
        <v>46112</v>
      </c>
      <c r="F1023" s="77">
        <f t="shared" si="306"/>
        <v>46119</v>
      </c>
      <c r="G1023" s="77">
        <f t="shared" si="307"/>
        <v>46125</v>
      </c>
      <c r="H1023" s="77">
        <f t="shared" si="308"/>
        <v>46113</v>
      </c>
      <c r="I1023" s="77">
        <f t="shared" si="309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4"/>
        <v>46128</v>
      </c>
      <c r="E1024" s="77">
        <f t="shared" si="305"/>
        <v>46112</v>
      </c>
      <c r="F1024" s="77">
        <f t="shared" si="306"/>
        <v>46119</v>
      </c>
      <c r="G1024" s="77">
        <f t="shared" si="307"/>
        <v>46125</v>
      </c>
      <c r="H1024" s="77">
        <f t="shared" si="308"/>
        <v>46113</v>
      </c>
      <c r="I1024" s="77">
        <f t="shared" si="309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4"/>
        <v>46128</v>
      </c>
      <c r="E1025" s="77">
        <f t="shared" si="305"/>
        <v>46112</v>
      </c>
      <c r="F1025" s="77">
        <f t="shared" si="306"/>
        <v>46119</v>
      </c>
      <c r="G1025" s="77">
        <f t="shared" si="307"/>
        <v>46125</v>
      </c>
      <c r="H1025" s="77">
        <f t="shared" si="308"/>
        <v>46113</v>
      </c>
      <c r="I1025" s="77">
        <f t="shared" si="309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4"/>
        <v>46128</v>
      </c>
      <c r="E1026" s="77">
        <f t="shared" si="305"/>
        <v>46112</v>
      </c>
      <c r="F1026" s="77">
        <f t="shared" si="306"/>
        <v>46119</v>
      </c>
      <c r="G1026" s="77">
        <f t="shared" si="307"/>
        <v>46125</v>
      </c>
      <c r="H1026" s="77">
        <f t="shared" si="308"/>
        <v>46113</v>
      </c>
      <c r="I1026" s="77">
        <f t="shared" si="309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4"/>
        <v>46128</v>
      </c>
      <c r="E1027" s="77">
        <f t="shared" si="305"/>
        <v>46112</v>
      </c>
      <c r="F1027" s="77">
        <f t="shared" si="306"/>
        <v>46119</v>
      </c>
      <c r="G1027" s="77">
        <f t="shared" si="307"/>
        <v>46125</v>
      </c>
      <c r="H1027" s="77">
        <f t="shared" si="308"/>
        <v>46113</v>
      </c>
      <c r="I1027" s="77">
        <f t="shared" si="309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4"/>
        <v>46129</v>
      </c>
      <c r="E1028" s="77">
        <f t="shared" si="305"/>
        <v>46113</v>
      </c>
      <c r="F1028" s="77">
        <f t="shared" si="306"/>
        <v>46120</v>
      </c>
      <c r="G1028" s="77">
        <f t="shared" si="307"/>
        <v>46126</v>
      </c>
      <c r="H1028" s="77">
        <f t="shared" si="308"/>
        <v>46114</v>
      </c>
      <c r="I1028" s="77">
        <f t="shared" si="309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4"/>
        <v>46129</v>
      </c>
      <c r="E1029" s="77">
        <f t="shared" si="305"/>
        <v>46113</v>
      </c>
      <c r="F1029" s="77">
        <f t="shared" si="306"/>
        <v>46120</v>
      </c>
      <c r="G1029" s="77">
        <f t="shared" si="307"/>
        <v>46126</v>
      </c>
      <c r="H1029" s="77">
        <f t="shared" si="308"/>
        <v>46114</v>
      </c>
      <c r="I1029" s="77">
        <f t="shared" si="309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4"/>
        <v>46129</v>
      </c>
      <c r="E1030" s="77">
        <f t="shared" si="305"/>
        <v>46113</v>
      </c>
      <c r="F1030" s="77">
        <f t="shared" si="306"/>
        <v>46120</v>
      </c>
      <c r="G1030" s="77">
        <f t="shared" si="307"/>
        <v>46126</v>
      </c>
      <c r="H1030" s="77">
        <f t="shared" si="308"/>
        <v>46114</v>
      </c>
      <c r="I1030" s="77">
        <f t="shared" si="309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4"/>
        <v>46129</v>
      </c>
      <c r="E1031" s="77">
        <f t="shared" si="305"/>
        <v>46113</v>
      </c>
      <c r="F1031" s="77">
        <f t="shared" si="306"/>
        <v>46120</v>
      </c>
      <c r="G1031" s="77">
        <f t="shared" si="307"/>
        <v>46126</v>
      </c>
      <c r="H1031" s="77">
        <f t="shared" si="308"/>
        <v>46114</v>
      </c>
      <c r="I1031" s="77">
        <f t="shared" si="309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4"/>
        <v>46129</v>
      </c>
      <c r="E1032" s="77">
        <f t="shared" si="305"/>
        <v>46113</v>
      </c>
      <c r="F1032" s="77">
        <f t="shared" si="306"/>
        <v>46120</v>
      </c>
      <c r="G1032" s="77">
        <f t="shared" si="307"/>
        <v>46126</v>
      </c>
      <c r="H1032" s="77">
        <f t="shared" si="308"/>
        <v>46114</v>
      </c>
      <c r="I1032" s="77">
        <f t="shared" si="309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4"/>
        <v>46129</v>
      </c>
      <c r="E1033" s="77">
        <f t="shared" si="305"/>
        <v>46113</v>
      </c>
      <c r="F1033" s="77">
        <f t="shared" si="306"/>
        <v>46120</v>
      </c>
      <c r="G1033" s="77">
        <f t="shared" si="307"/>
        <v>46126</v>
      </c>
      <c r="H1033" s="77">
        <f t="shared" si="308"/>
        <v>46114</v>
      </c>
      <c r="I1033" s="77">
        <f t="shared" si="309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4"/>
        <v>46129</v>
      </c>
      <c r="E1034" s="77">
        <f t="shared" si="305"/>
        <v>46113</v>
      </c>
      <c r="F1034" s="77">
        <f t="shared" si="306"/>
        <v>46120</v>
      </c>
      <c r="G1034" s="77">
        <f t="shared" si="307"/>
        <v>46126</v>
      </c>
      <c r="H1034" s="77">
        <f t="shared" si="308"/>
        <v>46114</v>
      </c>
      <c r="I1034" s="77">
        <f t="shared" si="309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4"/>
        <v>46130</v>
      </c>
      <c r="E1035" s="77">
        <f t="shared" si="305"/>
        <v>46114</v>
      </c>
      <c r="F1035" s="77">
        <f t="shared" si="306"/>
        <v>46121</v>
      </c>
      <c r="G1035" s="77">
        <f t="shared" si="307"/>
        <v>46127</v>
      </c>
      <c r="H1035" s="77">
        <f t="shared" si="308"/>
        <v>46115</v>
      </c>
      <c r="I1035" s="77">
        <f t="shared" si="309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4"/>
        <v>46130</v>
      </c>
      <c r="E1036" s="77">
        <f t="shared" si="305"/>
        <v>46114</v>
      </c>
      <c r="F1036" s="77">
        <f t="shared" si="306"/>
        <v>46121</v>
      </c>
      <c r="G1036" s="77">
        <f t="shared" si="307"/>
        <v>46127</v>
      </c>
      <c r="H1036" s="77">
        <f t="shared" si="308"/>
        <v>46115</v>
      </c>
      <c r="I1036" s="77">
        <f t="shared" si="309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4"/>
        <v>46130</v>
      </c>
      <c r="E1037" s="77">
        <f t="shared" si="305"/>
        <v>46114</v>
      </c>
      <c r="F1037" s="77">
        <f t="shared" si="306"/>
        <v>46121</v>
      </c>
      <c r="G1037" s="77">
        <f t="shared" si="307"/>
        <v>46127</v>
      </c>
      <c r="H1037" s="77">
        <f t="shared" si="308"/>
        <v>46115</v>
      </c>
      <c r="I1037" s="77">
        <f t="shared" si="309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4"/>
        <v>46130</v>
      </c>
      <c r="E1038" s="77">
        <f t="shared" si="305"/>
        <v>46114</v>
      </c>
      <c r="F1038" s="77">
        <f t="shared" si="306"/>
        <v>46121</v>
      </c>
      <c r="G1038" s="77">
        <f t="shared" si="307"/>
        <v>46127</v>
      </c>
      <c r="H1038" s="77">
        <f t="shared" si="308"/>
        <v>46115</v>
      </c>
      <c r="I1038" s="77">
        <f t="shared" si="309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4"/>
        <v>46130</v>
      </c>
      <c r="E1039" s="77">
        <f t="shared" si="305"/>
        <v>46114</v>
      </c>
      <c r="F1039" s="77">
        <f t="shared" si="306"/>
        <v>46121</v>
      </c>
      <c r="G1039" s="77">
        <f t="shared" si="307"/>
        <v>46127</v>
      </c>
      <c r="H1039" s="77">
        <f t="shared" si="308"/>
        <v>46115</v>
      </c>
      <c r="I1039" s="77">
        <f t="shared" si="309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4"/>
        <v>46130</v>
      </c>
      <c r="E1040" s="77">
        <f t="shared" si="305"/>
        <v>46114</v>
      </c>
      <c r="F1040" s="77">
        <f t="shared" si="306"/>
        <v>46121</v>
      </c>
      <c r="G1040" s="77">
        <f t="shared" si="307"/>
        <v>46127</v>
      </c>
      <c r="H1040" s="77">
        <f t="shared" si="308"/>
        <v>46115</v>
      </c>
      <c r="I1040" s="77">
        <f t="shared" si="309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4"/>
        <v>46130</v>
      </c>
      <c r="E1041" s="77">
        <f t="shared" si="305"/>
        <v>46114</v>
      </c>
      <c r="F1041" s="77">
        <f t="shared" si="306"/>
        <v>46121</v>
      </c>
      <c r="G1041" s="77">
        <f t="shared" si="307"/>
        <v>46127</v>
      </c>
      <c r="H1041" s="77">
        <f t="shared" si="308"/>
        <v>46115</v>
      </c>
      <c r="I1041" s="77">
        <f t="shared" si="309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4"/>
        <v>46131</v>
      </c>
      <c r="E1042" s="77">
        <f t="shared" si="305"/>
        <v>46115</v>
      </c>
      <c r="F1042" s="77">
        <f t="shared" si="306"/>
        <v>46122</v>
      </c>
      <c r="G1042" s="77">
        <f t="shared" si="307"/>
        <v>46128</v>
      </c>
      <c r="H1042" s="77">
        <f t="shared" si="308"/>
        <v>46116</v>
      </c>
      <c r="I1042" s="77">
        <f t="shared" si="309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10">A1043+23</f>
        <v>46131</v>
      </c>
      <c r="E1043" s="77">
        <f t="shared" ref="E1043:E1106" si="311">A1043+7</f>
        <v>46115</v>
      </c>
      <c r="F1043" s="77">
        <f t="shared" ref="F1043:F1106" si="312">A1043+14</f>
        <v>46122</v>
      </c>
      <c r="G1043" s="77">
        <f t="shared" ref="G1043:G1106" si="313">A1043+20</f>
        <v>46128</v>
      </c>
      <c r="H1043" s="77">
        <f t="shared" ref="H1043:H1106" si="314">A1043+8</f>
        <v>46116</v>
      </c>
      <c r="I1043" s="77">
        <f t="shared" ref="I1043:I1106" si="315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10"/>
        <v>46131</v>
      </c>
      <c r="E1044" s="77">
        <f t="shared" si="311"/>
        <v>46115</v>
      </c>
      <c r="F1044" s="77">
        <f t="shared" si="312"/>
        <v>46122</v>
      </c>
      <c r="G1044" s="77">
        <f t="shared" si="313"/>
        <v>46128</v>
      </c>
      <c r="H1044" s="77">
        <f t="shared" si="314"/>
        <v>46116</v>
      </c>
      <c r="I1044" s="77">
        <f t="shared" si="315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10"/>
        <v>46131</v>
      </c>
      <c r="E1045" s="77">
        <f t="shared" si="311"/>
        <v>46115</v>
      </c>
      <c r="F1045" s="77">
        <f t="shared" si="312"/>
        <v>46122</v>
      </c>
      <c r="G1045" s="77">
        <f t="shared" si="313"/>
        <v>46128</v>
      </c>
      <c r="H1045" s="77">
        <f t="shared" si="314"/>
        <v>46116</v>
      </c>
      <c r="I1045" s="77">
        <f t="shared" si="315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10"/>
        <v>46131</v>
      </c>
      <c r="E1046" s="77">
        <f t="shared" si="311"/>
        <v>46115</v>
      </c>
      <c r="F1046" s="77">
        <f t="shared" si="312"/>
        <v>46122</v>
      </c>
      <c r="G1046" s="77">
        <f t="shared" si="313"/>
        <v>46128</v>
      </c>
      <c r="H1046" s="77">
        <f t="shared" si="314"/>
        <v>46116</v>
      </c>
      <c r="I1046" s="77">
        <f t="shared" si="315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10"/>
        <v>46131</v>
      </c>
      <c r="E1047" s="77">
        <f t="shared" si="311"/>
        <v>46115</v>
      </c>
      <c r="F1047" s="77">
        <f t="shared" si="312"/>
        <v>46122</v>
      </c>
      <c r="G1047" s="77">
        <f t="shared" si="313"/>
        <v>46128</v>
      </c>
      <c r="H1047" s="77">
        <f t="shared" si="314"/>
        <v>46116</v>
      </c>
      <c r="I1047" s="77">
        <f t="shared" si="315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10"/>
        <v>46131</v>
      </c>
      <c r="E1048" s="77">
        <f t="shared" si="311"/>
        <v>46115</v>
      </c>
      <c r="F1048" s="77">
        <f t="shared" si="312"/>
        <v>46122</v>
      </c>
      <c r="G1048" s="77">
        <f t="shared" si="313"/>
        <v>46128</v>
      </c>
      <c r="H1048" s="77">
        <f t="shared" si="314"/>
        <v>46116</v>
      </c>
      <c r="I1048" s="77">
        <f t="shared" si="315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10"/>
        <v>46132</v>
      </c>
      <c r="E1049" s="77">
        <f t="shared" si="311"/>
        <v>46116</v>
      </c>
      <c r="F1049" s="77">
        <f t="shared" si="312"/>
        <v>46123</v>
      </c>
      <c r="G1049" s="77">
        <f t="shared" si="313"/>
        <v>46129</v>
      </c>
      <c r="H1049" s="77">
        <f t="shared" si="314"/>
        <v>46117</v>
      </c>
      <c r="I1049" s="77">
        <f t="shared" si="315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10"/>
        <v>46132</v>
      </c>
      <c r="E1050" s="77">
        <f t="shared" si="311"/>
        <v>46116</v>
      </c>
      <c r="F1050" s="77">
        <f t="shared" si="312"/>
        <v>46123</v>
      </c>
      <c r="G1050" s="77">
        <f t="shared" si="313"/>
        <v>46129</v>
      </c>
      <c r="H1050" s="77">
        <f t="shared" si="314"/>
        <v>46117</v>
      </c>
      <c r="I1050" s="77">
        <f t="shared" si="315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10"/>
        <v>46132</v>
      </c>
      <c r="E1051" s="77">
        <f t="shared" si="311"/>
        <v>46116</v>
      </c>
      <c r="F1051" s="77">
        <f t="shared" si="312"/>
        <v>46123</v>
      </c>
      <c r="G1051" s="77">
        <f t="shared" si="313"/>
        <v>46129</v>
      </c>
      <c r="H1051" s="77">
        <f t="shared" si="314"/>
        <v>46117</v>
      </c>
      <c r="I1051" s="77">
        <f t="shared" si="315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10"/>
        <v>46132</v>
      </c>
      <c r="E1052" s="77">
        <f t="shared" si="311"/>
        <v>46116</v>
      </c>
      <c r="F1052" s="77">
        <f t="shared" si="312"/>
        <v>46123</v>
      </c>
      <c r="G1052" s="77">
        <f t="shared" si="313"/>
        <v>46129</v>
      </c>
      <c r="H1052" s="77">
        <f t="shared" si="314"/>
        <v>46117</v>
      </c>
      <c r="I1052" s="77">
        <f t="shared" si="315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10"/>
        <v>46132</v>
      </c>
      <c r="E1053" s="77">
        <f t="shared" si="311"/>
        <v>46116</v>
      </c>
      <c r="F1053" s="77">
        <f t="shared" si="312"/>
        <v>46123</v>
      </c>
      <c r="G1053" s="77">
        <f t="shared" si="313"/>
        <v>46129</v>
      </c>
      <c r="H1053" s="77">
        <f t="shared" si="314"/>
        <v>46117</v>
      </c>
      <c r="I1053" s="77">
        <f t="shared" si="315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10"/>
        <v>46132</v>
      </c>
      <c r="E1054" s="77">
        <f t="shared" si="311"/>
        <v>46116</v>
      </c>
      <c r="F1054" s="77">
        <f t="shared" si="312"/>
        <v>46123</v>
      </c>
      <c r="G1054" s="77">
        <f t="shared" si="313"/>
        <v>46129</v>
      </c>
      <c r="H1054" s="77">
        <f t="shared" si="314"/>
        <v>46117</v>
      </c>
      <c r="I1054" s="77">
        <f t="shared" si="315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10"/>
        <v>46132</v>
      </c>
      <c r="E1055" s="77">
        <f t="shared" si="311"/>
        <v>46116</v>
      </c>
      <c r="F1055" s="77">
        <f t="shared" si="312"/>
        <v>46123</v>
      </c>
      <c r="G1055" s="77">
        <f t="shared" si="313"/>
        <v>46129</v>
      </c>
      <c r="H1055" s="77">
        <f t="shared" si="314"/>
        <v>46117</v>
      </c>
      <c r="I1055" s="77">
        <f t="shared" si="315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10"/>
        <v>46133</v>
      </c>
      <c r="E1056" s="77">
        <f t="shared" si="311"/>
        <v>46117</v>
      </c>
      <c r="F1056" s="77">
        <f t="shared" si="312"/>
        <v>46124</v>
      </c>
      <c r="G1056" s="77">
        <f t="shared" si="313"/>
        <v>46130</v>
      </c>
      <c r="H1056" s="77">
        <f t="shared" si="314"/>
        <v>46118</v>
      </c>
      <c r="I1056" s="77">
        <f t="shared" si="315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10"/>
        <v>46133</v>
      </c>
      <c r="E1057" s="77">
        <f t="shared" si="311"/>
        <v>46117</v>
      </c>
      <c r="F1057" s="77">
        <f t="shared" si="312"/>
        <v>46124</v>
      </c>
      <c r="G1057" s="77">
        <f t="shared" si="313"/>
        <v>46130</v>
      </c>
      <c r="H1057" s="77">
        <f t="shared" si="314"/>
        <v>46118</v>
      </c>
      <c r="I1057" s="77">
        <f t="shared" si="315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10"/>
        <v>46133</v>
      </c>
      <c r="E1058" s="77">
        <f t="shared" si="311"/>
        <v>46117</v>
      </c>
      <c r="F1058" s="77">
        <f t="shared" si="312"/>
        <v>46124</v>
      </c>
      <c r="G1058" s="77">
        <f t="shared" si="313"/>
        <v>46130</v>
      </c>
      <c r="H1058" s="77">
        <f t="shared" si="314"/>
        <v>46118</v>
      </c>
      <c r="I1058" s="77">
        <f t="shared" si="315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10"/>
        <v>46133</v>
      </c>
      <c r="E1059" s="77">
        <f t="shared" si="311"/>
        <v>46117</v>
      </c>
      <c r="F1059" s="77">
        <f t="shared" si="312"/>
        <v>46124</v>
      </c>
      <c r="G1059" s="77">
        <f t="shared" si="313"/>
        <v>46130</v>
      </c>
      <c r="H1059" s="77">
        <f t="shared" si="314"/>
        <v>46118</v>
      </c>
      <c r="I1059" s="77">
        <f t="shared" si="315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10"/>
        <v>46133</v>
      </c>
      <c r="E1060" s="77">
        <f t="shared" si="311"/>
        <v>46117</v>
      </c>
      <c r="F1060" s="77">
        <f t="shared" si="312"/>
        <v>46124</v>
      </c>
      <c r="G1060" s="77">
        <f t="shared" si="313"/>
        <v>46130</v>
      </c>
      <c r="H1060" s="77">
        <f t="shared" si="314"/>
        <v>46118</v>
      </c>
      <c r="I1060" s="77">
        <f t="shared" si="315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10"/>
        <v>46133</v>
      </c>
      <c r="E1061" s="77">
        <f t="shared" si="311"/>
        <v>46117</v>
      </c>
      <c r="F1061" s="77">
        <f t="shared" si="312"/>
        <v>46124</v>
      </c>
      <c r="G1061" s="77">
        <f t="shared" si="313"/>
        <v>46130</v>
      </c>
      <c r="H1061" s="77">
        <f t="shared" si="314"/>
        <v>46118</v>
      </c>
      <c r="I1061" s="77">
        <f t="shared" si="315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10"/>
        <v>46133</v>
      </c>
      <c r="E1062" s="77">
        <f t="shared" si="311"/>
        <v>46117</v>
      </c>
      <c r="F1062" s="77">
        <f t="shared" si="312"/>
        <v>46124</v>
      </c>
      <c r="G1062" s="77">
        <f t="shared" si="313"/>
        <v>46130</v>
      </c>
      <c r="H1062" s="77">
        <f t="shared" si="314"/>
        <v>46118</v>
      </c>
      <c r="I1062" s="77">
        <f t="shared" si="315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10"/>
        <v>46134</v>
      </c>
      <c r="E1063" s="77">
        <f t="shared" si="311"/>
        <v>46118</v>
      </c>
      <c r="F1063" s="77">
        <f t="shared" si="312"/>
        <v>46125</v>
      </c>
      <c r="G1063" s="77">
        <f t="shared" si="313"/>
        <v>46131</v>
      </c>
      <c r="H1063" s="77">
        <f t="shared" si="314"/>
        <v>46119</v>
      </c>
      <c r="I1063" s="77">
        <f t="shared" si="315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10"/>
        <v>46134</v>
      </c>
      <c r="E1064" s="77">
        <f t="shared" si="311"/>
        <v>46118</v>
      </c>
      <c r="F1064" s="77">
        <f t="shared" si="312"/>
        <v>46125</v>
      </c>
      <c r="G1064" s="77">
        <f t="shared" si="313"/>
        <v>46131</v>
      </c>
      <c r="H1064" s="77">
        <f t="shared" si="314"/>
        <v>46119</v>
      </c>
      <c r="I1064" s="77">
        <f t="shared" si="315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10"/>
        <v>46134</v>
      </c>
      <c r="E1065" s="77">
        <f t="shared" si="311"/>
        <v>46118</v>
      </c>
      <c r="F1065" s="77">
        <f t="shared" si="312"/>
        <v>46125</v>
      </c>
      <c r="G1065" s="77">
        <f t="shared" si="313"/>
        <v>46131</v>
      </c>
      <c r="H1065" s="77">
        <f t="shared" si="314"/>
        <v>46119</v>
      </c>
      <c r="I1065" s="77">
        <f t="shared" si="315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10"/>
        <v>46134</v>
      </c>
      <c r="E1066" s="77">
        <f t="shared" si="311"/>
        <v>46118</v>
      </c>
      <c r="F1066" s="77">
        <f t="shared" si="312"/>
        <v>46125</v>
      </c>
      <c r="G1066" s="77">
        <f t="shared" si="313"/>
        <v>46131</v>
      </c>
      <c r="H1066" s="77">
        <f t="shared" si="314"/>
        <v>46119</v>
      </c>
      <c r="I1066" s="77">
        <f t="shared" si="315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10"/>
        <v>46134</v>
      </c>
      <c r="E1067" s="77">
        <f t="shared" si="311"/>
        <v>46118</v>
      </c>
      <c r="F1067" s="77">
        <f t="shared" si="312"/>
        <v>46125</v>
      </c>
      <c r="G1067" s="77">
        <f t="shared" si="313"/>
        <v>46131</v>
      </c>
      <c r="H1067" s="77">
        <f t="shared" si="314"/>
        <v>46119</v>
      </c>
      <c r="I1067" s="77">
        <f t="shared" si="315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10"/>
        <v>46134</v>
      </c>
      <c r="E1068" s="77">
        <f t="shared" si="311"/>
        <v>46118</v>
      </c>
      <c r="F1068" s="77">
        <f t="shared" si="312"/>
        <v>46125</v>
      </c>
      <c r="G1068" s="77">
        <f t="shared" si="313"/>
        <v>46131</v>
      </c>
      <c r="H1068" s="77">
        <f t="shared" si="314"/>
        <v>46119</v>
      </c>
      <c r="I1068" s="77">
        <f t="shared" si="315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10"/>
        <v>46134</v>
      </c>
      <c r="E1069" s="77">
        <f t="shared" si="311"/>
        <v>46118</v>
      </c>
      <c r="F1069" s="77">
        <f t="shared" si="312"/>
        <v>46125</v>
      </c>
      <c r="G1069" s="77">
        <f t="shared" si="313"/>
        <v>46131</v>
      </c>
      <c r="H1069" s="77">
        <f t="shared" si="314"/>
        <v>46119</v>
      </c>
      <c r="I1069" s="77">
        <f t="shared" si="315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10"/>
        <v>46135</v>
      </c>
      <c r="E1070" s="77">
        <f t="shared" si="311"/>
        <v>46119</v>
      </c>
      <c r="F1070" s="77">
        <f t="shared" si="312"/>
        <v>46126</v>
      </c>
      <c r="G1070" s="77">
        <f t="shared" si="313"/>
        <v>46132</v>
      </c>
      <c r="H1070" s="77">
        <f t="shared" si="314"/>
        <v>46120</v>
      </c>
      <c r="I1070" s="77">
        <f t="shared" si="315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10"/>
        <v>46135</v>
      </c>
      <c r="E1071" s="77">
        <f t="shared" si="311"/>
        <v>46119</v>
      </c>
      <c r="F1071" s="77">
        <f t="shared" si="312"/>
        <v>46126</v>
      </c>
      <c r="G1071" s="77">
        <f t="shared" si="313"/>
        <v>46132</v>
      </c>
      <c r="H1071" s="77">
        <f t="shared" si="314"/>
        <v>46120</v>
      </c>
      <c r="I1071" s="77">
        <f t="shared" si="315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10"/>
        <v>46135</v>
      </c>
      <c r="E1072" s="77">
        <f t="shared" si="311"/>
        <v>46119</v>
      </c>
      <c r="F1072" s="77">
        <f t="shared" si="312"/>
        <v>46126</v>
      </c>
      <c r="G1072" s="77">
        <f t="shared" si="313"/>
        <v>46132</v>
      </c>
      <c r="H1072" s="77">
        <f t="shared" si="314"/>
        <v>46120</v>
      </c>
      <c r="I1072" s="77">
        <f t="shared" si="315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10"/>
        <v>46135</v>
      </c>
      <c r="E1073" s="77">
        <f t="shared" si="311"/>
        <v>46119</v>
      </c>
      <c r="F1073" s="77">
        <f t="shared" si="312"/>
        <v>46126</v>
      </c>
      <c r="G1073" s="77">
        <f t="shared" si="313"/>
        <v>46132</v>
      </c>
      <c r="H1073" s="77">
        <f t="shared" si="314"/>
        <v>46120</v>
      </c>
      <c r="I1073" s="77">
        <f t="shared" si="315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10"/>
        <v>46135</v>
      </c>
      <c r="E1074" s="77">
        <f t="shared" si="311"/>
        <v>46119</v>
      </c>
      <c r="F1074" s="77">
        <f t="shared" si="312"/>
        <v>46126</v>
      </c>
      <c r="G1074" s="77">
        <f t="shared" si="313"/>
        <v>46132</v>
      </c>
      <c r="H1074" s="77">
        <f t="shared" si="314"/>
        <v>46120</v>
      </c>
      <c r="I1074" s="77">
        <f t="shared" si="315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10"/>
        <v>46135</v>
      </c>
      <c r="E1075" s="77">
        <f t="shared" si="311"/>
        <v>46119</v>
      </c>
      <c r="F1075" s="77">
        <f t="shared" si="312"/>
        <v>46126</v>
      </c>
      <c r="G1075" s="77">
        <f t="shared" si="313"/>
        <v>46132</v>
      </c>
      <c r="H1075" s="77">
        <f t="shared" si="314"/>
        <v>46120</v>
      </c>
      <c r="I1075" s="77">
        <f t="shared" si="315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10"/>
        <v>46135</v>
      </c>
      <c r="E1076" s="77">
        <f t="shared" si="311"/>
        <v>46119</v>
      </c>
      <c r="F1076" s="77">
        <f t="shared" si="312"/>
        <v>46126</v>
      </c>
      <c r="G1076" s="77">
        <f t="shared" si="313"/>
        <v>46132</v>
      </c>
      <c r="H1076" s="77">
        <f t="shared" si="314"/>
        <v>46120</v>
      </c>
      <c r="I1076" s="77">
        <f t="shared" si="315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10"/>
        <v>46136</v>
      </c>
      <c r="E1077" s="77">
        <f t="shared" si="311"/>
        <v>46120</v>
      </c>
      <c r="F1077" s="77">
        <f t="shared" si="312"/>
        <v>46127</v>
      </c>
      <c r="G1077" s="77">
        <f t="shared" si="313"/>
        <v>46133</v>
      </c>
      <c r="H1077" s="77">
        <f t="shared" si="314"/>
        <v>46121</v>
      </c>
      <c r="I1077" s="77">
        <f t="shared" si="315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10"/>
        <v>46136</v>
      </c>
      <c r="E1078" s="77">
        <f t="shared" si="311"/>
        <v>46120</v>
      </c>
      <c r="F1078" s="77">
        <f t="shared" si="312"/>
        <v>46127</v>
      </c>
      <c r="G1078" s="77">
        <f t="shared" si="313"/>
        <v>46133</v>
      </c>
      <c r="H1078" s="77">
        <f t="shared" si="314"/>
        <v>46121</v>
      </c>
      <c r="I1078" s="77">
        <f t="shared" si="315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10"/>
        <v>46136</v>
      </c>
      <c r="E1079" s="77">
        <f t="shared" si="311"/>
        <v>46120</v>
      </c>
      <c r="F1079" s="77">
        <f t="shared" si="312"/>
        <v>46127</v>
      </c>
      <c r="G1079" s="77">
        <f t="shared" si="313"/>
        <v>46133</v>
      </c>
      <c r="H1079" s="77">
        <f t="shared" si="314"/>
        <v>46121</v>
      </c>
      <c r="I1079" s="77">
        <f t="shared" si="315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10"/>
        <v>46136</v>
      </c>
      <c r="E1080" s="77">
        <f t="shared" si="311"/>
        <v>46120</v>
      </c>
      <c r="F1080" s="77">
        <f t="shared" si="312"/>
        <v>46127</v>
      </c>
      <c r="G1080" s="77">
        <f t="shared" si="313"/>
        <v>46133</v>
      </c>
      <c r="H1080" s="77">
        <f t="shared" si="314"/>
        <v>46121</v>
      </c>
      <c r="I1080" s="77">
        <f t="shared" si="315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10"/>
        <v>46136</v>
      </c>
      <c r="E1081" s="77">
        <f t="shared" si="311"/>
        <v>46120</v>
      </c>
      <c r="F1081" s="77">
        <f t="shared" si="312"/>
        <v>46127</v>
      </c>
      <c r="G1081" s="77">
        <f t="shared" si="313"/>
        <v>46133</v>
      </c>
      <c r="H1081" s="77">
        <f t="shared" si="314"/>
        <v>46121</v>
      </c>
      <c r="I1081" s="77">
        <f t="shared" si="315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10"/>
        <v>46136</v>
      </c>
      <c r="E1082" s="77">
        <f t="shared" si="311"/>
        <v>46120</v>
      </c>
      <c r="F1082" s="77">
        <f t="shared" si="312"/>
        <v>46127</v>
      </c>
      <c r="G1082" s="77">
        <f t="shared" si="313"/>
        <v>46133</v>
      </c>
      <c r="H1082" s="77">
        <f t="shared" si="314"/>
        <v>46121</v>
      </c>
      <c r="I1082" s="77">
        <f t="shared" si="315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10"/>
        <v>46136</v>
      </c>
      <c r="E1083" s="77">
        <f t="shared" si="311"/>
        <v>46120</v>
      </c>
      <c r="F1083" s="77">
        <f t="shared" si="312"/>
        <v>46127</v>
      </c>
      <c r="G1083" s="77">
        <f t="shared" si="313"/>
        <v>46133</v>
      </c>
      <c r="H1083" s="77">
        <f t="shared" si="314"/>
        <v>46121</v>
      </c>
      <c r="I1083" s="77">
        <f t="shared" si="315"/>
        <v>46128</v>
      </c>
      <c r="J1083" s="25"/>
      <c r="K1083" s="25"/>
      <c r="L1083" s="25"/>
      <c r="M1083" s="25"/>
      <c r="N1083" s="25"/>
      <c r="O1083" s="25"/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10"/>
        <v>46137</v>
      </c>
      <c r="E1084" s="77">
        <f t="shared" si="311"/>
        <v>46121</v>
      </c>
      <c r="F1084" s="77">
        <f t="shared" si="312"/>
        <v>46128</v>
      </c>
      <c r="G1084" s="77">
        <f t="shared" si="313"/>
        <v>46134</v>
      </c>
      <c r="H1084" s="77">
        <f t="shared" si="314"/>
        <v>46122</v>
      </c>
      <c r="I1084" s="77">
        <f t="shared" si="315"/>
        <v>46129</v>
      </c>
      <c r="J1084" s="25"/>
      <c r="K1084" s="25"/>
      <c r="L1084" s="25"/>
      <c r="M1084" s="25"/>
      <c r="N1084" s="25"/>
      <c r="O1084" s="25"/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10"/>
        <v>46137</v>
      </c>
      <c r="E1085" s="77">
        <f t="shared" si="311"/>
        <v>46121</v>
      </c>
      <c r="F1085" s="77">
        <f t="shared" si="312"/>
        <v>46128</v>
      </c>
      <c r="G1085" s="77">
        <f t="shared" si="313"/>
        <v>46134</v>
      </c>
      <c r="H1085" s="77">
        <f t="shared" si="314"/>
        <v>46122</v>
      </c>
      <c r="I1085" s="77">
        <f t="shared" si="315"/>
        <v>46129</v>
      </c>
      <c r="J1085" s="25"/>
      <c r="K1085" s="25"/>
      <c r="L1085" s="25"/>
      <c r="M1085" s="25"/>
      <c r="N1085" s="25"/>
      <c r="O1085" s="25"/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10"/>
        <v>46137</v>
      </c>
      <c r="E1086" s="77">
        <f t="shared" si="311"/>
        <v>46121</v>
      </c>
      <c r="F1086" s="77">
        <f t="shared" si="312"/>
        <v>46128</v>
      </c>
      <c r="G1086" s="77">
        <f t="shared" si="313"/>
        <v>46134</v>
      </c>
      <c r="H1086" s="77">
        <f t="shared" si="314"/>
        <v>46122</v>
      </c>
      <c r="I1086" s="77">
        <f t="shared" si="315"/>
        <v>46129</v>
      </c>
      <c r="J1086" s="25"/>
      <c r="K1086" s="25"/>
      <c r="L1086" s="25"/>
      <c r="M1086" s="25"/>
      <c r="N1086" s="25"/>
      <c r="O1086" s="25"/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10"/>
        <v>46137</v>
      </c>
      <c r="E1087" s="77">
        <f t="shared" si="311"/>
        <v>46121</v>
      </c>
      <c r="F1087" s="77">
        <f t="shared" si="312"/>
        <v>46128</v>
      </c>
      <c r="G1087" s="77">
        <f t="shared" si="313"/>
        <v>46134</v>
      </c>
      <c r="H1087" s="77">
        <f t="shared" si="314"/>
        <v>46122</v>
      </c>
      <c r="I1087" s="77">
        <f t="shared" si="315"/>
        <v>46129</v>
      </c>
      <c r="J1087" s="25"/>
      <c r="K1087" s="25"/>
      <c r="L1087" s="25"/>
      <c r="M1087" s="25"/>
      <c r="N1087" s="25"/>
      <c r="O1087" s="25"/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10"/>
        <v>46137</v>
      </c>
      <c r="E1088" s="77">
        <f t="shared" si="311"/>
        <v>46121</v>
      </c>
      <c r="F1088" s="77">
        <f t="shared" si="312"/>
        <v>46128</v>
      </c>
      <c r="G1088" s="77">
        <f t="shared" si="313"/>
        <v>46134</v>
      </c>
      <c r="H1088" s="77">
        <f t="shared" si="314"/>
        <v>46122</v>
      </c>
      <c r="I1088" s="77">
        <f t="shared" si="315"/>
        <v>46129</v>
      </c>
      <c r="J1088" s="25"/>
      <c r="K1088" s="25"/>
      <c r="L1088" s="25"/>
      <c r="M1088" s="25"/>
      <c r="N1088" s="25"/>
      <c r="O1088" s="25"/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10"/>
        <v>46137</v>
      </c>
      <c r="E1089" s="77">
        <f t="shared" si="311"/>
        <v>46121</v>
      </c>
      <c r="F1089" s="77">
        <f t="shared" si="312"/>
        <v>46128</v>
      </c>
      <c r="G1089" s="77">
        <f t="shared" si="313"/>
        <v>46134</v>
      </c>
      <c r="H1089" s="77">
        <f t="shared" si="314"/>
        <v>46122</v>
      </c>
      <c r="I1089" s="77">
        <f t="shared" si="315"/>
        <v>46129</v>
      </c>
      <c r="J1089" s="25"/>
      <c r="K1089" s="25"/>
      <c r="L1089" s="25"/>
      <c r="M1089" s="25"/>
      <c r="N1089" s="25"/>
      <c r="O1089" s="25"/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10"/>
        <v>46137</v>
      </c>
      <c r="E1090" s="77">
        <f t="shared" si="311"/>
        <v>46121</v>
      </c>
      <c r="F1090" s="77">
        <f t="shared" si="312"/>
        <v>46128</v>
      </c>
      <c r="G1090" s="77">
        <f t="shared" si="313"/>
        <v>46134</v>
      </c>
      <c r="H1090" s="77">
        <f t="shared" si="314"/>
        <v>46122</v>
      </c>
      <c r="I1090" s="77">
        <f t="shared" si="315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10"/>
        <v>46138</v>
      </c>
      <c r="E1091" s="77">
        <f t="shared" si="311"/>
        <v>46122</v>
      </c>
      <c r="F1091" s="77">
        <f t="shared" si="312"/>
        <v>46129</v>
      </c>
      <c r="G1091" s="77">
        <f t="shared" si="313"/>
        <v>46135</v>
      </c>
      <c r="H1091" s="77">
        <f t="shared" si="314"/>
        <v>46123</v>
      </c>
      <c r="I1091" s="77">
        <f t="shared" si="315"/>
        <v>46130</v>
      </c>
      <c r="J1091" s="25"/>
      <c r="K1091" s="25"/>
      <c r="L1091" s="25"/>
      <c r="M1091" s="25"/>
      <c r="N1091" s="25"/>
      <c r="O1091" s="25"/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10"/>
        <v>46138</v>
      </c>
      <c r="E1092" s="77">
        <f t="shared" si="311"/>
        <v>46122</v>
      </c>
      <c r="F1092" s="77">
        <f t="shared" si="312"/>
        <v>46129</v>
      </c>
      <c r="G1092" s="77">
        <f t="shared" si="313"/>
        <v>46135</v>
      </c>
      <c r="H1092" s="77">
        <f t="shared" si="314"/>
        <v>46123</v>
      </c>
      <c r="I1092" s="77">
        <f t="shared" si="315"/>
        <v>46130</v>
      </c>
      <c r="J1092" s="25"/>
      <c r="K1092" s="25"/>
      <c r="L1092" s="25"/>
      <c r="M1092" s="25"/>
      <c r="N1092" s="25"/>
      <c r="O1092" s="25"/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10"/>
        <v>46138</v>
      </c>
      <c r="E1093" s="77">
        <f t="shared" si="311"/>
        <v>46122</v>
      </c>
      <c r="F1093" s="77">
        <f t="shared" si="312"/>
        <v>46129</v>
      </c>
      <c r="G1093" s="77">
        <f t="shared" si="313"/>
        <v>46135</v>
      </c>
      <c r="H1093" s="77">
        <f t="shared" si="314"/>
        <v>46123</v>
      </c>
      <c r="I1093" s="77">
        <f t="shared" si="315"/>
        <v>46130</v>
      </c>
      <c r="J1093" s="25"/>
      <c r="K1093" s="25"/>
      <c r="L1093" s="25"/>
      <c r="M1093" s="25"/>
      <c r="N1093" s="25"/>
      <c r="O1093" s="25"/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10"/>
        <v>46138</v>
      </c>
      <c r="E1094" s="77">
        <f t="shared" si="311"/>
        <v>46122</v>
      </c>
      <c r="F1094" s="77">
        <f t="shared" si="312"/>
        <v>46129</v>
      </c>
      <c r="G1094" s="77">
        <f t="shared" si="313"/>
        <v>46135</v>
      </c>
      <c r="H1094" s="77">
        <f t="shared" si="314"/>
        <v>46123</v>
      </c>
      <c r="I1094" s="77">
        <f t="shared" si="315"/>
        <v>46130</v>
      </c>
      <c r="J1094" s="25"/>
      <c r="K1094" s="25"/>
      <c r="L1094" s="25"/>
      <c r="M1094" s="25"/>
      <c r="N1094" s="25"/>
      <c r="O1094" s="25"/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10"/>
        <v>46138</v>
      </c>
      <c r="E1095" s="77">
        <f t="shared" si="311"/>
        <v>46122</v>
      </c>
      <c r="F1095" s="77">
        <f t="shared" si="312"/>
        <v>46129</v>
      </c>
      <c r="G1095" s="77">
        <f t="shared" si="313"/>
        <v>46135</v>
      </c>
      <c r="H1095" s="77">
        <f t="shared" si="314"/>
        <v>46123</v>
      </c>
      <c r="I1095" s="77">
        <f t="shared" si="315"/>
        <v>46130</v>
      </c>
      <c r="J1095" s="25"/>
      <c r="K1095" s="25"/>
      <c r="L1095" s="25"/>
      <c r="M1095" s="25"/>
      <c r="N1095" s="25"/>
      <c r="O1095" s="25"/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10"/>
        <v>46138</v>
      </c>
      <c r="E1096" s="77">
        <f t="shared" si="311"/>
        <v>46122</v>
      </c>
      <c r="F1096" s="77">
        <f t="shared" si="312"/>
        <v>46129</v>
      </c>
      <c r="G1096" s="77">
        <f t="shared" si="313"/>
        <v>46135</v>
      </c>
      <c r="H1096" s="77">
        <f t="shared" si="314"/>
        <v>46123</v>
      </c>
      <c r="I1096" s="77">
        <f t="shared" si="315"/>
        <v>46130</v>
      </c>
      <c r="J1096" s="25"/>
      <c r="K1096" s="25"/>
      <c r="L1096" s="25"/>
      <c r="M1096" s="25"/>
      <c r="N1096" s="25"/>
      <c r="O1096" s="25"/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10"/>
        <v>46138</v>
      </c>
      <c r="E1097" s="77">
        <f t="shared" si="311"/>
        <v>46122</v>
      </c>
      <c r="F1097" s="77">
        <f t="shared" si="312"/>
        <v>46129</v>
      </c>
      <c r="G1097" s="77">
        <f t="shared" si="313"/>
        <v>46135</v>
      </c>
      <c r="H1097" s="77">
        <f t="shared" si="314"/>
        <v>46123</v>
      </c>
      <c r="I1097" s="77">
        <f t="shared" si="315"/>
        <v>46130</v>
      </c>
      <c r="J1097" s="25"/>
      <c r="K1097" s="25"/>
      <c r="L1097" s="25"/>
      <c r="M1097" s="25"/>
      <c r="N1097" s="25"/>
      <c r="O1097" s="25"/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10"/>
        <v>46139</v>
      </c>
      <c r="E1098" s="77">
        <f t="shared" si="311"/>
        <v>46123</v>
      </c>
      <c r="F1098" s="77">
        <f t="shared" si="312"/>
        <v>46130</v>
      </c>
      <c r="G1098" s="77">
        <f t="shared" si="313"/>
        <v>46136</v>
      </c>
      <c r="H1098" s="77">
        <f t="shared" si="314"/>
        <v>46124</v>
      </c>
      <c r="I1098" s="77">
        <f t="shared" si="315"/>
        <v>46131</v>
      </c>
      <c r="J1098" s="25"/>
      <c r="K1098" s="25"/>
      <c r="L1098" s="25"/>
      <c r="M1098" s="25"/>
      <c r="N1098" s="25"/>
      <c r="O1098" s="25"/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10"/>
        <v>46139</v>
      </c>
      <c r="E1099" s="77">
        <f t="shared" si="311"/>
        <v>46123</v>
      </c>
      <c r="F1099" s="77">
        <f t="shared" si="312"/>
        <v>46130</v>
      </c>
      <c r="G1099" s="77">
        <f t="shared" si="313"/>
        <v>46136</v>
      </c>
      <c r="H1099" s="77">
        <f t="shared" si="314"/>
        <v>46124</v>
      </c>
      <c r="I1099" s="77">
        <f t="shared" si="315"/>
        <v>46131</v>
      </c>
      <c r="J1099" s="25"/>
      <c r="K1099" s="25"/>
      <c r="L1099" s="25"/>
      <c r="M1099" s="25"/>
      <c r="N1099" s="25"/>
      <c r="O1099" s="25"/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10"/>
        <v>46139</v>
      </c>
      <c r="E1100" s="77">
        <f t="shared" si="311"/>
        <v>46123</v>
      </c>
      <c r="F1100" s="77">
        <f t="shared" si="312"/>
        <v>46130</v>
      </c>
      <c r="G1100" s="77">
        <f t="shared" si="313"/>
        <v>46136</v>
      </c>
      <c r="H1100" s="77">
        <f t="shared" si="314"/>
        <v>46124</v>
      </c>
      <c r="I1100" s="77">
        <f t="shared" si="315"/>
        <v>46131</v>
      </c>
      <c r="J1100" s="25"/>
      <c r="K1100" s="25"/>
      <c r="L1100" s="25"/>
      <c r="M1100" s="25"/>
      <c r="N1100" s="25"/>
      <c r="O1100" s="25"/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10"/>
        <v>46139</v>
      </c>
      <c r="E1101" s="77">
        <f t="shared" si="311"/>
        <v>46123</v>
      </c>
      <c r="F1101" s="77">
        <f t="shared" si="312"/>
        <v>46130</v>
      </c>
      <c r="G1101" s="77">
        <f t="shared" si="313"/>
        <v>46136</v>
      </c>
      <c r="H1101" s="77">
        <f t="shared" si="314"/>
        <v>46124</v>
      </c>
      <c r="I1101" s="77">
        <f t="shared" si="315"/>
        <v>46131</v>
      </c>
      <c r="J1101" s="25"/>
      <c r="K1101" s="25"/>
      <c r="L1101" s="25"/>
      <c r="M1101" s="25"/>
      <c r="N1101" s="25"/>
      <c r="O1101" s="25"/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10"/>
        <v>46139</v>
      </c>
      <c r="E1102" s="77">
        <f t="shared" si="311"/>
        <v>46123</v>
      </c>
      <c r="F1102" s="77">
        <f t="shared" si="312"/>
        <v>46130</v>
      </c>
      <c r="G1102" s="77">
        <f t="shared" si="313"/>
        <v>46136</v>
      </c>
      <c r="H1102" s="77">
        <f t="shared" si="314"/>
        <v>46124</v>
      </c>
      <c r="I1102" s="77">
        <f t="shared" si="315"/>
        <v>46131</v>
      </c>
      <c r="J1102" s="25"/>
      <c r="K1102" s="25"/>
      <c r="L1102" s="25"/>
      <c r="M1102" s="25"/>
      <c r="N1102" s="25"/>
      <c r="O1102" s="25"/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10"/>
        <v>46139</v>
      </c>
      <c r="E1103" s="77">
        <f t="shared" si="311"/>
        <v>46123</v>
      </c>
      <c r="F1103" s="77">
        <f t="shared" si="312"/>
        <v>46130</v>
      </c>
      <c r="G1103" s="77">
        <f t="shared" si="313"/>
        <v>46136</v>
      </c>
      <c r="H1103" s="77">
        <f t="shared" si="314"/>
        <v>46124</v>
      </c>
      <c r="I1103" s="77">
        <f t="shared" si="315"/>
        <v>46131</v>
      </c>
      <c r="J1103" s="25"/>
      <c r="K1103" s="25"/>
      <c r="L1103" s="25"/>
      <c r="M1103" s="25"/>
      <c r="N1103" s="25"/>
      <c r="O1103" s="25"/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10"/>
        <v>46139</v>
      </c>
      <c r="E1104" s="77">
        <f t="shared" si="311"/>
        <v>46123</v>
      </c>
      <c r="F1104" s="77">
        <f t="shared" si="312"/>
        <v>46130</v>
      </c>
      <c r="G1104" s="77">
        <f t="shared" si="313"/>
        <v>46136</v>
      </c>
      <c r="H1104" s="77">
        <f t="shared" si="314"/>
        <v>46124</v>
      </c>
      <c r="I1104" s="77">
        <f t="shared" si="315"/>
        <v>46131</v>
      </c>
      <c r="J1104" s="25"/>
      <c r="K1104" s="25"/>
      <c r="L1104" s="25"/>
      <c r="M1104" s="25"/>
      <c r="N1104" s="25"/>
      <c r="O1104" s="25"/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10"/>
        <v>46140</v>
      </c>
      <c r="E1105" s="77">
        <f t="shared" si="311"/>
        <v>46124</v>
      </c>
      <c r="F1105" s="77">
        <f t="shared" si="312"/>
        <v>46131</v>
      </c>
      <c r="G1105" s="77">
        <f t="shared" si="313"/>
        <v>46137</v>
      </c>
      <c r="H1105" s="77">
        <f t="shared" si="314"/>
        <v>46125</v>
      </c>
      <c r="I1105" s="77">
        <f t="shared" si="315"/>
        <v>46132</v>
      </c>
      <c r="J1105" s="25"/>
      <c r="K1105" s="25"/>
      <c r="L1105" s="25"/>
      <c r="M1105" s="25"/>
      <c r="N1105" s="25"/>
      <c r="O1105" s="25"/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10"/>
        <v>46140</v>
      </c>
      <c r="E1106" s="77">
        <f t="shared" si="311"/>
        <v>46124</v>
      </c>
      <c r="F1106" s="77">
        <f t="shared" si="312"/>
        <v>46131</v>
      </c>
      <c r="G1106" s="77">
        <f t="shared" si="313"/>
        <v>46137</v>
      </c>
      <c r="H1106" s="77">
        <f t="shared" si="314"/>
        <v>46125</v>
      </c>
      <c r="I1106" s="77">
        <f t="shared" si="315"/>
        <v>46132</v>
      </c>
      <c r="J1106" s="25"/>
      <c r="K1106" s="25"/>
      <c r="L1106" s="25"/>
      <c r="M1106" s="25"/>
      <c r="N1106" s="25"/>
      <c r="O1106" s="25"/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70" si="316">A1107+23</f>
        <v>46140</v>
      </c>
      <c r="E1107" s="77">
        <f t="shared" ref="E1107:E1170" si="317">A1107+7</f>
        <v>46124</v>
      </c>
      <c r="F1107" s="77">
        <f t="shared" ref="F1107:F1170" si="318">A1107+14</f>
        <v>46131</v>
      </c>
      <c r="G1107" s="77">
        <f t="shared" ref="G1107:G1170" si="319">A1107+20</f>
        <v>46137</v>
      </c>
      <c r="H1107" s="77">
        <f t="shared" ref="H1107:H1170" si="320">A1107+8</f>
        <v>46125</v>
      </c>
      <c r="I1107" s="77">
        <f t="shared" ref="I1107:I1170" si="321">A1107+15</f>
        <v>46132</v>
      </c>
      <c r="J1107" s="25"/>
      <c r="K1107" s="25"/>
      <c r="L1107" s="25"/>
      <c r="M1107" s="25"/>
      <c r="N1107" s="25"/>
      <c r="O1107" s="25"/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16"/>
        <v>46140</v>
      </c>
      <c r="E1108" s="77">
        <f t="shared" si="317"/>
        <v>46124</v>
      </c>
      <c r="F1108" s="77">
        <f t="shared" si="318"/>
        <v>46131</v>
      </c>
      <c r="G1108" s="77">
        <f t="shared" si="319"/>
        <v>46137</v>
      </c>
      <c r="H1108" s="77">
        <f t="shared" si="320"/>
        <v>46125</v>
      </c>
      <c r="I1108" s="77">
        <f t="shared" si="321"/>
        <v>46132</v>
      </c>
      <c r="J1108" s="25"/>
      <c r="K1108" s="25"/>
      <c r="L1108" s="25"/>
      <c r="M1108" s="25"/>
      <c r="N1108" s="25"/>
      <c r="O1108" s="25"/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16"/>
        <v>46140</v>
      </c>
      <c r="E1109" s="77">
        <f t="shared" si="317"/>
        <v>46124</v>
      </c>
      <c r="F1109" s="77">
        <f t="shared" si="318"/>
        <v>46131</v>
      </c>
      <c r="G1109" s="77">
        <f t="shared" si="319"/>
        <v>46137</v>
      </c>
      <c r="H1109" s="77">
        <f t="shared" si="320"/>
        <v>46125</v>
      </c>
      <c r="I1109" s="77">
        <f t="shared" si="321"/>
        <v>46132</v>
      </c>
      <c r="J1109" s="25"/>
      <c r="K1109" s="25"/>
      <c r="L1109" s="25"/>
      <c r="M1109" s="25"/>
      <c r="N1109" s="25"/>
      <c r="O1109" s="25"/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16"/>
        <v>46140</v>
      </c>
      <c r="E1110" s="77">
        <f t="shared" si="317"/>
        <v>46124</v>
      </c>
      <c r="F1110" s="77">
        <f t="shared" si="318"/>
        <v>46131</v>
      </c>
      <c r="G1110" s="77">
        <f t="shared" si="319"/>
        <v>46137</v>
      </c>
      <c r="H1110" s="77">
        <f t="shared" si="320"/>
        <v>46125</v>
      </c>
      <c r="I1110" s="77">
        <f t="shared" si="321"/>
        <v>46132</v>
      </c>
      <c r="J1110" s="25"/>
      <c r="K1110" s="25"/>
      <c r="L1110" s="25"/>
      <c r="M1110" s="25"/>
      <c r="N1110" s="25"/>
      <c r="O1110" s="25"/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16"/>
        <v>46140</v>
      </c>
      <c r="E1111" s="77">
        <f t="shared" si="317"/>
        <v>46124</v>
      </c>
      <c r="F1111" s="77">
        <f t="shared" si="318"/>
        <v>46131</v>
      </c>
      <c r="G1111" s="77">
        <f t="shared" si="319"/>
        <v>46137</v>
      </c>
      <c r="H1111" s="77">
        <f t="shared" si="320"/>
        <v>46125</v>
      </c>
      <c r="I1111" s="77">
        <f t="shared" si="321"/>
        <v>46132</v>
      </c>
      <c r="J1111" s="25"/>
      <c r="K1111" s="25"/>
      <c r="L1111" s="25"/>
      <c r="M1111" s="25"/>
      <c r="N1111" s="25"/>
      <c r="O1111" s="25"/>
    </row>
    <row r="1112" spans="1:15" x14ac:dyDescent="0.25">
      <c r="A1112" s="77">
        <v>46118</v>
      </c>
      <c r="B1112" s="25" t="s">
        <v>444</v>
      </c>
      <c r="C1112" s="25" t="s">
        <v>1200</v>
      </c>
      <c r="D1112" s="77">
        <f t="shared" si="316"/>
        <v>46141</v>
      </c>
      <c r="E1112" s="77">
        <f t="shared" si="317"/>
        <v>46125</v>
      </c>
      <c r="F1112" s="77">
        <f t="shared" si="318"/>
        <v>46132</v>
      </c>
      <c r="G1112" s="77">
        <f t="shared" si="319"/>
        <v>46138</v>
      </c>
      <c r="H1112" s="77">
        <f t="shared" si="320"/>
        <v>46126</v>
      </c>
      <c r="I1112" s="77">
        <f t="shared" si="321"/>
        <v>46133</v>
      </c>
      <c r="J1112" s="25"/>
      <c r="K1112" s="25"/>
      <c r="L1112" s="25"/>
      <c r="M1112" s="25"/>
      <c r="N1112" s="25"/>
      <c r="O1112" s="25"/>
    </row>
    <row r="1113" spans="1:15" x14ac:dyDescent="0.25">
      <c r="A1113" s="77">
        <v>46118</v>
      </c>
      <c r="B1113" s="25" t="s">
        <v>445</v>
      </c>
      <c r="C1113" s="25" t="s">
        <v>1201</v>
      </c>
      <c r="D1113" s="77">
        <f t="shared" si="316"/>
        <v>46141</v>
      </c>
      <c r="E1113" s="77">
        <f t="shared" si="317"/>
        <v>46125</v>
      </c>
      <c r="F1113" s="77">
        <f t="shared" si="318"/>
        <v>46132</v>
      </c>
      <c r="G1113" s="77">
        <f t="shared" si="319"/>
        <v>46138</v>
      </c>
      <c r="H1113" s="77">
        <f t="shared" si="320"/>
        <v>46126</v>
      </c>
      <c r="I1113" s="77">
        <f t="shared" si="321"/>
        <v>46133</v>
      </c>
      <c r="J1113" s="25"/>
      <c r="K1113" s="25"/>
      <c r="L1113" s="25"/>
      <c r="M1113" s="25"/>
      <c r="N1113" s="25"/>
      <c r="O1113" s="25"/>
    </row>
    <row r="1114" spans="1:15" x14ac:dyDescent="0.25">
      <c r="A1114" s="77">
        <v>46118</v>
      </c>
      <c r="B1114" s="25" t="s">
        <v>446</v>
      </c>
      <c r="C1114" s="25" t="s">
        <v>1202</v>
      </c>
      <c r="D1114" s="77">
        <f t="shared" si="316"/>
        <v>46141</v>
      </c>
      <c r="E1114" s="77">
        <f t="shared" si="317"/>
        <v>46125</v>
      </c>
      <c r="F1114" s="77">
        <f t="shared" si="318"/>
        <v>46132</v>
      </c>
      <c r="G1114" s="77">
        <f t="shared" si="319"/>
        <v>46138</v>
      </c>
      <c r="H1114" s="77">
        <f t="shared" si="320"/>
        <v>46126</v>
      </c>
      <c r="I1114" s="77">
        <f t="shared" si="321"/>
        <v>46133</v>
      </c>
      <c r="J1114" s="25"/>
      <c r="K1114" s="25"/>
      <c r="L1114" s="25"/>
      <c r="M1114" s="25"/>
      <c r="N1114" s="25"/>
      <c r="O1114" s="25"/>
    </row>
    <row r="1115" spans="1:15" x14ac:dyDescent="0.25">
      <c r="A1115" s="77">
        <v>46118</v>
      </c>
      <c r="B1115" s="25" t="s">
        <v>447</v>
      </c>
      <c r="C1115" s="25" t="s">
        <v>1203</v>
      </c>
      <c r="D1115" s="77">
        <f t="shared" si="316"/>
        <v>46141</v>
      </c>
      <c r="E1115" s="77">
        <f t="shared" si="317"/>
        <v>46125</v>
      </c>
      <c r="F1115" s="77">
        <f t="shared" si="318"/>
        <v>46132</v>
      </c>
      <c r="G1115" s="77">
        <f t="shared" si="319"/>
        <v>46138</v>
      </c>
      <c r="H1115" s="77">
        <f t="shared" si="320"/>
        <v>46126</v>
      </c>
      <c r="I1115" s="77">
        <f t="shared" si="321"/>
        <v>46133</v>
      </c>
      <c r="J1115" s="25"/>
      <c r="K1115" s="25"/>
      <c r="L1115" s="25"/>
      <c r="M1115" s="25"/>
      <c r="N1115" s="25"/>
      <c r="O1115" s="25"/>
    </row>
    <row r="1116" spans="1:15" x14ac:dyDescent="0.25">
      <c r="A1116" s="77">
        <v>46118</v>
      </c>
      <c r="B1116" s="25" t="s">
        <v>448</v>
      </c>
      <c r="C1116" s="25" t="s">
        <v>1204</v>
      </c>
      <c r="D1116" s="77">
        <f t="shared" si="316"/>
        <v>46141</v>
      </c>
      <c r="E1116" s="77">
        <f t="shared" si="317"/>
        <v>46125</v>
      </c>
      <c r="F1116" s="77">
        <f t="shared" si="318"/>
        <v>46132</v>
      </c>
      <c r="G1116" s="77">
        <f t="shared" si="319"/>
        <v>46138</v>
      </c>
      <c r="H1116" s="77">
        <f t="shared" si="320"/>
        <v>46126</v>
      </c>
      <c r="I1116" s="77">
        <f t="shared" si="321"/>
        <v>46133</v>
      </c>
      <c r="J1116" s="25"/>
      <c r="K1116" s="25"/>
      <c r="L1116" s="25"/>
      <c r="M1116" s="25"/>
      <c r="N1116" s="25"/>
      <c r="O1116" s="25"/>
    </row>
    <row r="1117" spans="1:15" x14ac:dyDescent="0.25">
      <c r="A1117" s="77">
        <v>46118</v>
      </c>
      <c r="B1117" s="25" t="s">
        <v>449</v>
      </c>
      <c r="C1117" s="25" t="s">
        <v>1205</v>
      </c>
      <c r="D1117" s="77">
        <f t="shared" si="316"/>
        <v>46141</v>
      </c>
      <c r="E1117" s="77">
        <f t="shared" si="317"/>
        <v>46125</v>
      </c>
      <c r="F1117" s="77">
        <f t="shared" si="318"/>
        <v>46132</v>
      </c>
      <c r="G1117" s="77">
        <f t="shared" si="319"/>
        <v>46138</v>
      </c>
      <c r="H1117" s="77">
        <f t="shared" si="320"/>
        <v>46126</v>
      </c>
      <c r="I1117" s="77">
        <f t="shared" si="321"/>
        <v>46133</v>
      </c>
      <c r="J1117" s="25"/>
      <c r="K1117" s="25"/>
      <c r="L1117" s="25"/>
      <c r="M1117" s="25"/>
      <c r="N1117" s="25"/>
      <c r="O1117" s="25"/>
    </row>
    <row r="1118" spans="1:15" x14ac:dyDescent="0.25">
      <c r="A1118" s="77">
        <v>46118</v>
      </c>
      <c r="B1118" s="25" t="s">
        <v>450</v>
      </c>
      <c r="C1118" s="25" t="s">
        <v>1206</v>
      </c>
      <c r="D1118" s="77">
        <f t="shared" si="316"/>
        <v>46141</v>
      </c>
      <c r="E1118" s="77">
        <f t="shared" si="317"/>
        <v>46125</v>
      </c>
      <c r="F1118" s="77">
        <f t="shared" si="318"/>
        <v>46132</v>
      </c>
      <c r="G1118" s="77">
        <f t="shared" si="319"/>
        <v>46138</v>
      </c>
      <c r="H1118" s="77">
        <f t="shared" si="320"/>
        <v>46126</v>
      </c>
      <c r="I1118" s="77">
        <f t="shared" si="321"/>
        <v>46133</v>
      </c>
      <c r="J1118" s="25"/>
      <c r="K1118" s="25"/>
      <c r="L1118" s="25"/>
      <c r="M1118" s="25"/>
      <c r="N1118" s="25"/>
      <c r="O1118" s="25"/>
    </row>
    <row r="1119" spans="1:15" x14ac:dyDescent="0.25">
      <c r="A1119" s="77">
        <v>46119</v>
      </c>
      <c r="B1119" s="25" t="s">
        <v>412</v>
      </c>
      <c r="C1119" s="25" t="s">
        <v>1207</v>
      </c>
      <c r="D1119" s="77">
        <f t="shared" si="316"/>
        <v>46142</v>
      </c>
      <c r="E1119" s="77">
        <f t="shared" si="317"/>
        <v>46126</v>
      </c>
      <c r="F1119" s="77">
        <f t="shared" si="318"/>
        <v>46133</v>
      </c>
      <c r="G1119" s="77">
        <f t="shared" si="319"/>
        <v>46139</v>
      </c>
      <c r="H1119" s="77">
        <f t="shared" si="320"/>
        <v>46127</v>
      </c>
      <c r="I1119" s="77">
        <f t="shared" si="321"/>
        <v>46134</v>
      </c>
      <c r="J1119" s="25"/>
      <c r="K1119" s="25"/>
      <c r="L1119" s="25"/>
      <c r="M1119" s="25"/>
      <c r="N1119" s="25"/>
      <c r="O1119" s="25"/>
    </row>
    <row r="1120" spans="1:15" x14ac:dyDescent="0.25">
      <c r="A1120" s="77">
        <v>46119</v>
      </c>
      <c r="B1120" s="25" t="s">
        <v>413</v>
      </c>
      <c r="C1120" s="25" t="s">
        <v>1208</v>
      </c>
      <c r="D1120" s="77">
        <f t="shared" si="316"/>
        <v>46142</v>
      </c>
      <c r="E1120" s="77">
        <f t="shared" si="317"/>
        <v>46126</v>
      </c>
      <c r="F1120" s="77">
        <f t="shared" si="318"/>
        <v>46133</v>
      </c>
      <c r="G1120" s="77">
        <f t="shared" si="319"/>
        <v>46139</v>
      </c>
      <c r="H1120" s="77">
        <f t="shared" si="320"/>
        <v>46127</v>
      </c>
      <c r="I1120" s="77">
        <f t="shared" si="321"/>
        <v>46134</v>
      </c>
      <c r="J1120" s="25"/>
      <c r="K1120" s="25"/>
      <c r="L1120" s="25"/>
      <c r="M1120" s="25"/>
      <c r="N1120" s="25"/>
      <c r="O1120" s="25"/>
    </row>
    <row r="1121" spans="1:15" x14ac:dyDescent="0.25">
      <c r="A1121" s="77">
        <v>46119</v>
      </c>
      <c r="B1121" s="25" t="s">
        <v>442</v>
      </c>
      <c r="C1121" s="25" t="s">
        <v>1209</v>
      </c>
      <c r="D1121" s="77">
        <f t="shared" si="316"/>
        <v>46142</v>
      </c>
      <c r="E1121" s="77">
        <f t="shared" si="317"/>
        <v>46126</v>
      </c>
      <c r="F1121" s="77">
        <f t="shared" si="318"/>
        <v>46133</v>
      </c>
      <c r="G1121" s="77">
        <f t="shared" si="319"/>
        <v>46139</v>
      </c>
      <c r="H1121" s="77">
        <f t="shared" si="320"/>
        <v>46127</v>
      </c>
      <c r="I1121" s="77">
        <f t="shared" si="321"/>
        <v>46134</v>
      </c>
      <c r="J1121" s="25"/>
      <c r="K1121" s="25"/>
      <c r="L1121" s="25"/>
      <c r="M1121" s="25"/>
      <c r="N1121" s="25"/>
      <c r="O1121" s="25"/>
    </row>
    <row r="1122" spans="1:15" x14ac:dyDescent="0.25">
      <c r="A1122" s="77">
        <v>46119</v>
      </c>
      <c r="B1122" s="25" t="s">
        <v>443</v>
      </c>
      <c r="C1122" s="25" t="s">
        <v>1210</v>
      </c>
      <c r="D1122" s="77">
        <f t="shared" si="316"/>
        <v>46142</v>
      </c>
      <c r="E1122" s="77">
        <f t="shared" si="317"/>
        <v>46126</v>
      </c>
      <c r="F1122" s="77">
        <f t="shared" si="318"/>
        <v>46133</v>
      </c>
      <c r="G1122" s="77">
        <f t="shared" si="319"/>
        <v>46139</v>
      </c>
      <c r="H1122" s="77">
        <f t="shared" si="320"/>
        <v>46127</v>
      </c>
      <c r="I1122" s="77">
        <f t="shared" si="321"/>
        <v>46134</v>
      </c>
      <c r="J1122" s="25"/>
      <c r="K1122" s="25"/>
      <c r="L1122" s="25"/>
      <c r="M1122" s="25"/>
      <c r="N1122" s="25"/>
      <c r="O1122" s="25"/>
    </row>
    <row r="1123" spans="1:15" x14ac:dyDescent="0.25">
      <c r="A1123" s="77">
        <v>46119</v>
      </c>
      <c r="B1123" s="25" t="s">
        <v>1145</v>
      </c>
      <c r="C1123" s="25" t="s">
        <v>1211</v>
      </c>
      <c r="D1123" s="77">
        <f t="shared" si="316"/>
        <v>46142</v>
      </c>
      <c r="E1123" s="77">
        <f t="shared" si="317"/>
        <v>46126</v>
      </c>
      <c r="F1123" s="77">
        <f t="shared" si="318"/>
        <v>46133</v>
      </c>
      <c r="G1123" s="77">
        <f t="shared" si="319"/>
        <v>46139</v>
      </c>
      <c r="H1123" s="77">
        <f t="shared" si="320"/>
        <v>46127</v>
      </c>
      <c r="I1123" s="77">
        <f t="shared" si="321"/>
        <v>46134</v>
      </c>
      <c r="J1123" s="25"/>
      <c r="K1123" s="25"/>
      <c r="L1123" s="25"/>
      <c r="M1123" s="25"/>
      <c r="N1123" s="25"/>
      <c r="O1123" s="25"/>
    </row>
    <row r="1124" spans="1:15" x14ac:dyDescent="0.25">
      <c r="A1124" s="77">
        <v>46119</v>
      </c>
      <c r="B1124" s="25" t="s">
        <v>1146</v>
      </c>
      <c r="C1124" s="25" t="s">
        <v>1212</v>
      </c>
      <c r="D1124" s="77">
        <f t="shared" si="316"/>
        <v>46142</v>
      </c>
      <c r="E1124" s="77">
        <f t="shared" si="317"/>
        <v>46126</v>
      </c>
      <c r="F1124" s="77">
        <f t="shared" si="318"/>
        <v>46133</v>
      </c>
      <c r="G1124" s="77">
        <f t="shared" si="319"/>
        <v>46139</v>
      </c>
      <c r="H1124" s="77">
        <f t="shared" si="320"/>
        <v>46127</v>
      </c>
      <c r="I1124" s="77">
        <f t="shared" si="321"/>
        <v>46134</v>
      </c>
      <c r="J1124" s="25"/>
      <c r="K1124" s="25"/>
      <c r="L1124" s="25"/>
      <c r="M1124" s="25"/>
      <c r="N1124" s="25"/>
      <c r="O1124" s="25"/>
    </row>
    <row r="1125" spans="1:15" x14ac:dyDescent="0.25">
      <c r="A1125" s="77">
        <v>46119</v>
      </c>
      <c r="B1125" s="25" t="s">
        <v>474</v>
      </c>
      <c r="C1125" s="25" t="s">
        <v>1213</v>
      </c>
      <c r="D1125" s="77">
        <f t="shared" si="316"/>
        <v>46142</v>
      </c>
      <c r="E1125" s="77">
        <f t="shared" si="317"/>
        <v>46126</v>
      </c>
      <c r="F1125" s="77">
        <f t="shared" si="318"/>
        <v>46133</v>
      </c>
      <c r="G1125" s="77">
        <f t="shared" si="319"/>
        <v>46139</v>
      </c>
      <c r="H1125" s="77">
        <f t="shared" si="320"/>
        <v>46127</v>
      </c>
      <c r="I1125" s="77">
        <f t="shared" si="321"/>
        <v>46134</v>
      </c>
      <c r="J1125" s="25"/>
      <c r="K1125" s="25"/>
      <c r="L1125" s="25"/>
      <c r="M1125" s="25"/>
      <c r="N1125" s="25"/>
      <c r="O1125" s="25"/>
    </row>
    <row r="1126" spans="1:15" x14ac:dyDescent="0.25">
      <c r="A1126" s="77">
        <v>46119</v>
      </c>
      <c r="B1126" s="25" t="s">
        <v>475</v>
      </c>
      <c r="C1126" s="25" t="s">
        <v>1214</v>
      </c>
      <c r="D1126" s="77">
        <f t="shared" si="316"/>
        <v>46142</v>
      </c>
      <c r="E1126" s="77">
        <f t="shared" si="317"/>
        <v>46126</v>
      </c>
      <c r="F1126" s="77">
        <f t="shared" si="318"/>
        <v>46133</v>
      </c>
      <c r="G1126" s="77">
        <f t="shared" si="319"/>
        <v>46139</v>
      </c>
      <c r="H1126" s="77">
        <f t="shared" si="320"/>
        <v>46127</v>
      </c>
      <c r="I1126" s="77">
        <f t="shared" si="321"/>
        <v>46134</v>
      </c>
      <c r="J1126" s="25"/>
      <c r="K1126" s="25"/>
      <c r="L1126" s="25"/>
      <c r="M1126" s="25"/>
      <c r="N1126" s="25"/>
      <c r="O1126" s="25"/>
    </row>
    <row r="1127" spans="1:15" x14ac:dyDescent="0.25">
      <c r="A1127" s="77">
        <v>46120</v>
      </c>
      <c r="B1127" s="25" t="s">
        <v>476</v>
      </c>
      <c r="C1127" s="25" t="s">
        <v>1215</v>
      </c>
      <c r="D1127" s="77">
        <f t="shared" si="316"/>
        <v>46143</v>
      </c>
      <c r="E1127" s="77">
        <f t="shared" si="317"/>
        <v>46127</v>
      </c>
      <c r="F1127" s="77">
        <f t="shared" si="318"/>
        <v>46134</v>
      </c>
      <c r="G1127" s="77">
        <f t="shared" si="319"/>
        <v>46140</v>
      </c>
      <c r="H1127" s="77">
        <f t="shared" si="320"/>
        <v>46128</v>
      </c>
      <c r="I1127" s="77">
        <f t="shared" si="321"/>
        <v>46135</v>
      </c>
      <c r="J1127" s="25"/>
      <c r="K1127" s="25"/>
      <c r="L1127" s="25"/>
      <c r="M1127" s="25"/>
      <c r="N1127" s="25"/>
      <c r="O1127" s="25"/>
    </row>
    <row r="1128" spans="1:15" x14ac:dyDescent="0.25">
      <c r="A1128" s="77">
        <v>46120</v>
      </c>
      <c r="B1128" s="25" t="s">
        <v>477</v>
      </c>
      <c r="C1128" s="25" t="s">
        <v>1216</v>
      </c>
      <c r="D1128" s="77">
        <f t="shared" si="316"/>
        <v>46143</v>
      </c>
      <c r="E1128" s="77">
        <f t="shared" si="317"/>
        <v>46127</v>
      </c>
      <c r="F1128" s="77">
        <f t="shared" si="318"/>
        <v>46134</v>
      </c>
      <c r="G1128" s="77">
        <f t="shared" si="319"/>
        <v>46140</v>
      </c>
      <c r="H1128" s="77">
        <f t="shared" si="320"/>
        <v>46128</v>
      </c>
      <c r="I1128" s="77">
        <f t="shared" si="321"/>
        <v>46135</v>
      </c>
      <c r="J1128" s="25"/>
      <c r="K1128" s="25"/>
      <c r="L1128" s="25"/>
      <c r="M1128" s="25"/>
      <c r="N1128" s="25"/>
      <c r="O1128" s="25"/>
    </row>
    <row r="1129" spans="1:15" x14ac:dyDescent="0.25">
      <c r="A1129" s="77">
        <v>46120</v>
      </c>
      <c r="B1129" s="25" t="s">
        <v>478</v>
      </c>
      <c r="C1129" s="25" t="s">
        <v>1217</v>
      </c>
      <c r="D1129" s="77">
        <f t="shared" si="316"/>
        <v>46143</v>
      </c>
      <c r="E1129" s="77">
        <f t="shared" si="317"/>
        <v>46127</v>
      </c>
      <c r="F1129" s="77">
        <f t="shared" si="318"/>
        <v>46134</v>
      </c>
      <c r="G1129" s="77">
        <f t="shared" si="319"/>
        <v>46140</v>
      </c>
      <c r="H1129" s="77">
        <f t="shared" si="320"/>
        <v>46128</v>
      </c>
      <c r="I1129" s="77">
        <f t="shared" si="321"/>
        <v>46135</v>
      </c>
      <c r="J1129" s="25"/>
      <c r="K1129" s="25"/>
      <c r="L1129" s="25"/>
      <c r="M1129" s="25"/>
      <c r="N1129" s="25"/>
      <c r="O1129" s="25"/>
    </row>
    <row r="1130" spans="1:15" x14ac:dyDescent="0.25">
      <c r="A1130" s="77">
        <v>46120</v>
      </c>
      <c r="B1130" s="25" t="s">
        <v>479</v>
      </c>
      <c r="C1130" s="25" t="s">
        <v>1218</v>
      </c>
      <c r="D1130" s="77">
        <f t="shared" si="316"/>
        <v>46143</v>
      </c>
      <c r="E1130" s="77">
        <f t="shared" si="317"/>
        <v>46127</v>
      </c>
      <c r="F1130" s="77">
        <f t="shared" si="318"/>
        <v>46134</v>
      </c>
      <c r="G1130" s="77">
        <f t="shared" si="319"/>
        <v>46140</v>
      </c>
      <c r="H1130" s="77">
        <f t="shared" si="320"/>
        <v>46128</v>
      </c>
      <c r="I1130" s="77">
        <f t="shared" si="321"/>
        <v>46135</v>
      </c>
      <c r="J1130" s="25"/>
      <c r="K1130" s="25"/>
      <c r="L1130" s="25"/>
      <c r="M1130" s="25"/>
      <c r="N1130" s="25"/>
      <c r="O1130" s="25"/>
    </row>
    <row r="1131" spans="1:15" x14ac:dyDescent="0.25">
      <c r="A1131" s="77">
        <v>46120</v>
      </c>
      <c r="B1131" s="25" t="s">
        <v>480</v>
      </c>
      <c r="C1131" s="25" t="s">
        <v>1219</v>
      </c>
      <c r="D1131" s="77">
        <f t="shared" si="316"/>
        <v>46143</v>
      </c>
      <c r="E1131" s="77">
        <f t="shared" si="317"/>
        <v>46127</v>
      </c>
      <c r="F1131" s="77">
        <f t="shared" si="318"/>
        <v>46134</v>
      </c>
      <c r="G1131" s="77">
        <f t="shared" si="319"/>
        <v>46140</v>
      </c>
      <c r="H1131" s="77">
        <f t="shared" si="320"/>
        <v>46128</v>
      </c>
      <c r="I1131" s="77">
        <f t="shared" si="321"/>
        <v>46135</v>
      </c>
      <c r="J1131" s="25"/>
      <c r="K1131" s="25"/>
      <c r="L1131" s="25"/>
      <c r="M1131" s="25"/>
      <c r="N1131" s="25"/>
      <c r="O1131" s="25"/>
    </row>
    <row r="1132" spans="1:15" x14ac:dyDescent="0.25">
      <c r="A1132" s="77">
        <v>46120</v>
      </c>
      <c r="B1132" s="25" t="s">
        <v>481</v>
      </c>
      <c r="C1132" s="25" t="s">
        <v>1220</v>
      </c>
      <c r="D1132" s="77">
        <f t="shared" si="316"/>
        <v>46143</v>
      </c>
      <c r="E1132" s="77">
        <f t="shared" si="317"/>
        <v>46127</v>
      </c>
      <c r="F1132" s="77">
        <f t="shared" si="318"/>
        <v>46134</v>
      </c>
      <c r="G1132" s="77">
        <f t="shared" si="319"/>
        <v>46140</v>
      </c>
      <c r="H1132" s="77">
        <f t="shared" si="320"/>
        <v>46128</v>
      </c>
      <c r="I1132" s="77">
        <f t="shared" si="321"/>
        <v>46135</v>
      </c>
      <c r="J1132" s="25"/>
      <c r="K1132" s="25"/>
      <c r="L1132" s="25"/>
      <c r="M1132" s="25"/>
      <c r="N1132" s="25"/>
      <c r="O1132" s="25"/>
    </row>
    <row r="1133" spans="1:15" x14ac:dyDescent="0.25">
      <c r="A1133" s="77">
        <v>46120</v>
      </c>
      <c r="B1133" s="25" t="s">
        <v>482</v>
      </c>
      <c r="C1133" s="25" t="s">
        <v>1221</v>
      </c>
      <c r="D1133" s="77">
        <f t="shared" si="316"/>
        <v>46143</v>
      </c>
      <c r="E1133" s="77">
        <f t="shared" si="317"/>
        <v>46127</v>
      </c>
      <c r="F1133" s="77">
        <f t="shared" si="318"/>
        <v>46134</v>
      </c>
      <c r="G1133" s="77">
        <f t="shared" si="319"/>
        <v>46140</v>
      </c>
      <c r="H1133" s="77">
        <f t="shared" si="320"/>
        <v>46128</v>
      </c>
      <c r="I1133" s="77">
        <f t="shared" si="321"/>
        <v>46135</v>
      </c>
      <c r="J1133" s="25"/>
      <c r="K1133" s="25"/>
      <c r="L1133" s="25"/>
      <c r="M1133" s="25"/>
      <c r="N1133" s="25"/>
      <c r="O1133" s="25"/>
    </row>
    <row r="1134" spans="1:15" x14ac:dyDescent="0.25">
      <c r="A1134" s="77">
        <v>46121</v>
      </c>
      <c r="B1134" s="25" t="s">
        <v>483</v>
      </c>
      <c r="C1134" s="25" t="s">
        <v>1222</v>
      </c>
      <c r="D1134" s="77">
        <f t="shared" si="316"/>
        <v>46144</v>
      </c>
      <c r="E1134" s="77">
        <f t="shared" si="317"/>
        <v>46128</v>
      </c>
      <c r="F1134" s="77">
        <f t="shared" si="318"/>
        <v>46135</v>
      </c>
      <c r="G1134" s="77">
        <f t="shared" si="319"/>
        <v>46141</v>
      </c>
      <c r="H1134" s="77">
        <f t="shared" si="320"/>
        <v>46129</v>
      </c>
      <c r="I1134" s="77">
        <f t="shared" si="321"/>
        <v>46136</v>
      </c>
      <c r="J1134" s="25"/>
      <c r="K1134" s="25"/>
      <c r="L1134" s="25"/>
      <c r="M1134" s="25"/>
      <c r="N1134" s="25"/>
      <c r="O1134" s="25"/>
    </row>
    <row r="1135" spans="1:15" x14ac:dyDescent="0.25">
      <c r="A1135" s="77">
        <v>46121</v>
      </c>
      <c r="B1135" s="25" t="s">
        <v>484</v>
      </c>
      <c r="C1135" s="25" t="s">
        <v>1223</v>
      </c>
      <c r="D1135" s="77">
        <f t="shared" si="316"/>
        <v>46144</v>
      </c>
      <c r="E1135" s="77">
        <f t="shared" si="317"/>
        <v>46128</v>
      </c>
      <c r="F1135" s="77">
        <f t="shared" si="318"/>
        <v>46135</v>
      </c>
      <c r="G1135" s="77">
        <f t="shared" si="319"/>
        <v>46141</v>
      </c>
      <c r="H1135" s="77">
        <f t="shared" si="320"/>
        <v>46129</v>
      </c>
      <c r="I1135" s="77">
        <f t="shared" si="321"/>
        <v>46136</v>
      </c>
      <c r="J1135" s="25"/>
      <c r="K1135" s="25"/>
      <c r="L1135" s="25"/>
      <c r="M1135" s="25"/>
      <c r="N1135" s="25"/>
      <c r="O1135" s="25"/>
    </row>
    <row r="1136" spans="1:15" x14ac:dyDescent="0.25">
      <c r="A1136" s="77">
        <v>46121</v>
      </c>
      <c r="B1136" s="25" t="s">
        <v>485</v>
      </c>
      <c r="C1136" s="25" t="s">
        <v>1224</v>
      </c>
      <c r="D1136" s="77">
        <f t="shared" si="316"/>
        <v>46144</v>
      </c>
      <c r="E1136" s="77">
        <f t="shared" si="317"/>
        <v>46128</v>
      </c>
      <c r="F1136" s="77">
        <f t="shared" si="318"/>
        <v>46135</v>
      </c>
      <c r="G1136" s="77">
        <f t="shared" si="319"/>
        <v>46141</v>
      </c>
      <c r="H1136" s="77">
        <f t="shared" si="320"/>
        <v>46129</v>
      </c>
      <c r="I1136" s="77">
        <f t="shared" si="321"/>
        <v>46136</v>
      </c>
      <c r="J1136" s="25"/>
      <c r="K1136" s="25"/>
      <c r="L1136" s="25"/>
      <c r="M1136" s="25"/>
      <c r="N1136" s="25"/>
      <c r="O1136" s="25"/>
    </row>
    <row r="1137" spans="1:15" x14ac:dyDescent="0.25">
      <c r="A1137" s="77">
        <v>46121</v>
      </c>
      <c r="B1137" s="25" t="s">
        <v>486</v>
      </c>
      <c r="C1137" s="25" t="s">
        <v>1225</v>
      </c>
      <c r="D1137" s="77">
        <f t="shared" si="316"/>
        <v>46144</v>
      </c>
      <c r="E1137" s="77">
        <f t="shared" si="317"/>
        <v>46128</v>
      </c>
      <c r="F1137" s="77">
        <f t="shared" si="318"/>
        <v>46135</v>
      </c>
      <c r="G1137" s="77">
        <f t="shared" si="319"/>
        <v>46141</v>
      </c>
      <c r="H1137" s="77">
        <f t="shared" si="320"/>
        <v>46129</v>
      </c>
      <c r="I1137" s="77">
        <f t="shared" si="321"/>
        <v>46136</v>
      </c>
      <c r="J1137" s="25"/>
      <c r="K1137" s="25"/>
      <c r="L1137" s="25"/>
      <c r="M1137" s="25"/>
      <c r="N1137" s="25"/>
      <c r="O1137" s="25"/>
    </row>
    <row r="1138" spans="1:15" x14ac:dyDescent="0.25">
      <c r="A1138" s="77">
        <v>46121</v>
      </c>
      <c r="B1138" s="25" t="s">
        <v>487</v>
      </c>
      <c r="C1138" s="25" t="s">
        <v>1226</v>
      </c>
      <c r="D1138" s="77">
        <f t="shared" si="316"/>
        <v>46144</v>
      </c>
      <c r="E1138" s="77">
        <f t="shared" si="317"/>
        <v>46128</v>
      </c>
      <c r="F1138" s="77">
        <f t="shared" si="318"/>
        <v>46135</v>
      </c>
      <c r="G1138" s="77">
        <f t="shared" si="319"/>
        <v>46141</v>
      </c>
      <c r="H1138" s="77">
        <f t="shared" si="320"/>
        <v>46129</v>
      </c>
      <c r="I1138" s="77">
        <f t="shared" si="321"/>
        <v>46136</v>
      </c>
      <c r="J1138" s="25"/>
      <c r="K1138" s="25"/>
      <c r="L1138" s="25"/>
      <c r="M1138" s="25"/>
      <c r="N1138" s="25"/>
      <c r="O1138" s="25"/>
    </row>
    <row r="1139" spans="1:15" x14ac:dyDescent="0.25">
      <c r="A1139" s="77">
        <v>46121</v>
      </c>
      <c r="B1139" s="25" t="s">
        <v>488</v>
      </c>
      <c r="C1139" s="25" t="s">
        <v>1227</v>
      </c>
      <c r="D1139" s="77">
        <f t="shared" si="316"/>
        <v>46144</v>
      </c>
      <c r="E1139" s="77">
        <f t="shared" si="317"/>
        <v>46128</v>
      </c>
      <c r="F1139" s="77">
        <f t="shared" si="318"/>
        <v>46135</v>
      </c>
      <c r="G1139" s="77">
        <f t="shared" si="319"/>
        <v>46141</v>
      </c>
      <c r="H1139" s="77">
        <f t="shared" si="320"/>
        <v>46129</v>
      </c>
      <c r="I1139" s="77">
        <f t="shared" si="321"/>
        <v>46136</v>
      </c>
      <c r="J1139" s="25"/>
      <c r="K1139" s="25"/>
      <c r="L1139" s="25"/>
      <c r="M1139" s="25"/>
      <c r="N1139" s="25"/>
      <c r="O1139" s="25"/>
    </row>
    <row r="1140" spans="1:15" x14ac:dyDescent="0.25">
      <c r="A1140" s="77">
        <v>46121</v>
      </c>
      <c r="B1140" s="25" t="s">
        <v>489</v>
      </c>
      <c r="C1140" s="25" t="s">
        <v>1228</v>
      </c>
      <c r="D1140" s="77">
        <f t="shared" si="316"/>
        <v>46144</v>
      </c>
      <c r="E1140" s="77">
        <f t="shared" si="317"/>
        <v>46128</v>
      </c>
      <c r="F1140" s="77">
        <f t="shared" si="318"/>
        <v>46135</v>
      </c>
      <c r="G1140" s="77">
        <f t="shared" si="319"/>
        <v>46141</v>
      </c>
      <c r="H1140" s="77">
        <f t="shared" si="320"/>
        <v>46129</v>
      </c>
      <c r="I1140" s="77">
        <f t="shared" si="321"/>
        <v>46136</v>
      </c>
      <c r="J1140" s="25"/>
      <c r="K1140" s="25"/>
      <c r="L1140" s="25"/>
      <c r="M1140" s="25"/>
      <c r="N1140" s="25"/>
      <c r="O1140" s="25"/>
    </row>
    <row r="1141" spans="1:15" x14ac:dyDescent="0.25">
      <c r="A1141" s="77">
        <v>46124</v>
      </c>
      <c r="B1141" s="25" t="s">
        <v>490</v>
      </c>
      <c r="C1141" s="25" t="s">
        <v>1245</v>
      </c>
      <c r="D1141" s="77">
        <f t="shared" si="316"/>
        <v>46147</v>
      </c>
      <c r="E1141" s="77">
        <f t="shared" si="317"/>
        <v>46131</v>
      </c>
      <c r="F1141" s="77">
        <f t="shared" si="318"/>
        <v>46138</v>
      </c>
      <c r="G1141" s="77">
        <f t="shared" si="319"/>
        <v>46144</v>
      </c>
      <c r="H1141" s="77">
        <f t="shared" si="320"/>
        <v>46132</v>
      </c>
      <c r="I1141" s="77">
        <f t="shared" si="321"/>
        <v>46139</v>
      </c>
      <c r="J1141" s="25"/>
      <c r="K1141" s="25"/>
      <c r="L1141" s="25"/>
      <c r="M1141" s="25"/>
      <c r="N1141" s="25"/>
      <c r="O1141" s="25"/>
    </row>
    <row r="1142" spans="1:15" x14ac:dyDescent="0.25">
      <c r="A1142" s="77">
        <v>46124</v>
      </c>
      <c r="B1142" s="25" t="s">
        <v>491</v>
      </c>
      <c r="C1142" s="25" t="s">
        <v>1246</v>
      </c>
      <c r="D1142" s="77">
        <f t="shared" si="316"/>
        <v>46147</v>
      </c>
      <c r="E1142" s="77">
        <f t="shared" si="317"/>
        <v>46131</v>
      </c>
      <c r="F1142" s="77">
        <f t="shared" si="318"/>
        <v>46138</v>
      </c>
      <c r="G1142" s="77">
        <f t="shared" si="319"/>
        <v>46144</v>
      </c>
      <c r="H1142" s="77">
        <f t="shared" si="320"/>
        <v>46132</v>
      </c>
      <c r="I1142" s="77">
        <f t="shared" si="321"/>
        <v>46139</v>
      </c>
      <c r="J1142" s="25"/>
      <c r="K1142" s="25"/>
      <c r="L1142" s="25"/>
      <c r="M1142" s="25"/>
      <c r="N1142" s="25"/>
      <c r="O1142" s="25"/>
    </row>
    <row r="1143" spans="1:15" x14ac:dyDescent="0.25">
      <c r="A1143" s="77">
        <v>46124</v>
      </c>
      <c r="B1143" s="25" t="s">
        <v>492</v>
      </c>
      <c r="C1143" s="25" t="s">
        <v>1247</v>
      </c>
      <c r="D1143" s="77">
        <f t="shared" si="316"/>
        <v>46147</v>
      </c>
      <c r="E1143" s="77">
        <f t="shared" si="317"/>
        <v>46131</v>
      </c>
      <c r="F1143" s="77">
        <f t="shared" si="318"/>
        <v>46138</v>
      </c>
      <c r="G1143" s="77">
        <f t="shared" si="319"/>
        <v>46144</v>
      </c>
      <c r="H1143" s="77">
        <f t="shared" si="320"/>
        <v>46132</v>
      </c>
      <c r="I1143" s="77">
        <f t="shared" si="321"/>
        <v>46139</v>
      </c>
      <c r="J1143" s="25"/>
      <c r="K1143" s="25"/>
      <c r="L1143" s="25"/>
      <c r="M1143" s="25"/>
      <c r="N1143" s="25"/>
      <c r="O1143" s="25"/>
    </row>
    <row r="1144" spans="1:15" x14ac:dyDescent="0.25">
      <c r="A1144" s="77">
        <v>46124</v>
      </c>
      <c r="B1144" s="25" t="s">
        <v>493</v>
      </c>
      <c r="C1144" s="25" t="s">
        <v>1191</v>
      </c>
      <c r="D1144" s="77">
        <f t="shared" si="316"/>
        <v>46147</v>
      </c>
      <c r="E1144" s="77">
        <f t="shared" si="317"/>
        <v>46131</v>
      </c>
      <c r="F1144" s="77">
        <f t="shared" si="318"/>
        <v>46138</v>
      </c>
      <c r="G1144" s="77">
        <f t="shared" si="319"/>
        <v>46144</v>
      </c>
      <c r="H1144" s="77">
        <f t="shared" si="320"/>
        <v>46132</v>
      </c>
      <c r="I1144" s="77">
        <f t="shared" si="321"/>
        <v>46139</v>
      </c>
      <c r="J1144" s="25"/>
      <c r="K1144" s="25"/>
      <c r="L1144" s="25"/>
      <c r="M1144" s="25"/>
      <c r="N1144" s="25"/>
      <c r="O1144" s="25"/>
    </row>
    <row r="1145" spans="1:15" x14ac:dyDescent="0.25">
      <c r="A1145" s="77">
        <v>46124</v>
      </c>
      <c r="B1145" s="25" t="s">
        <v>494</v>
      </c>
      <c r="C1145" s="25" t="s">
        <v>1192</v>
      </c>
      <c r="D1145" s="77">
        <f t="shared" si="316"/>
        <v>46147</v>
      </c>
      <c r="E1145" s="77">
        <f t="shared" si="317"/>
        <v>46131</v>
      </c>
      <c r="F1145" s="77">
        <f t="shared" si="318"/>
        <v>46138</v>
      </c>
      <c r="G1145" s="77">
        <f t="shared" si="319"/>
        <v>46144</v>
      </c>
      <c r="H1145" s="77">
        <f t="shared" si="320"/>
        <v>46132</v>
      </c>
      <c r="I1145" s="77">
        <f t="shared" si="321"/>
        <v>46139</v>
      </c>
      <c r="J1145" s="25"/>
      <c r="K1145" s="25"/>
      <c r="L1145" s="25"/>
      <c r="M1145" s="25"/>
      <c r="N1145" s="25"/>
      <c r="O1145" s="25"/>
    </row>
    <row r="1146" spans="1:15" x14ac:dyDescent="0.25">
      <c r="A1146" s="77">
        <v>46124</v>
      </c>
      <c r="B1146" s="25" t="s">
        <v>777</v>
      </c>
      <c r="C1146" s="25" t="s">
        <v>1229</v>
      </c>
      <c r="D1146" s="77">
        <f t="shared" si="316"/>
        <v>46147</v>
      </c>
      <c r="E1146" s="77">
        <f t="shared" si="317"/>
        <v>46131</v>
      </c>
      <c r="F1146" s="77">
        <f t="shared" si="318"/>
        <v>46138</v>
      </c>
      <c r="G1146" s="77">
        <f t="shared" si="319"/>
        <v>46144</v>
      </c>
      <c r="H1146" s="77">
        <f t="shared" si="320"/>
        <v>46132</v>
      </c>
      <c r="I1146" s="77">
        <f t="shared" si="321"/>
        <v>46139</v>
      </c>
      <c r="J1146" s="25"/>
      <c r="K1146" s="25"/>
      <c r="L1146" s="25"/>
      <c r="M1146" s="25"/>
      <c r="N1146" s="25"/>
      <c r="O1146" s="25"/>
    </row>
    <row r="1147" spans="1:15" x14ac:dyDescent="0.25">
      <c r="A1147" s="77">
        <v>46124</v>
      </c>
      <c r="B1147" s="25" t="s">
        <v>778</v>
      </c>
      <c r="C1147" s="25" t="s">
        <v>1230</v>
      </c>
      <c r="D1147" s="77">
        <f t="shared" si="316"/>
        <v>46147</v>
      </c>
      <c r="E1147" s="77">
        <f t="shared" si="317"/>
        <v>46131</v>
      </c>
      <c r="F1147" s="77">
        <f t="shared" si="318"/>
        <v>46138</v>
      </c>
      <c r="G1147" s="77">
        <f t="shared" si="319"/>
        <v>46144</v>
      </c>
      <c r="H1147" s="77">
        <f t="shared" si="320"/>
        <v>46132</v>
      </c>
      <c r="I1147" s="77">
        <f t="shared" si="321"/>
        <v>46139</v>
      </c>
      <c r="J1147" s="25"/>
      <c r="K1147" s="25"/>
      <c r="L1147" s="25"/>
      <c r="M1147" s="25"/>
      <c r="N1147" s="25"/>
      <c r="O1147" s="25"/>
    </row>
    <row r="1148" spans="1:15" x14ac:dyDescent="0.25">
      <c r="A1148" s="77">
        <v>46124</v>
      </c>
      <c r="B1148" s="25" t="s">
        <v>779</v>
      </c>
      <c r="C1148" s="25" t="s">
        <v>1231</v>
      </c>
      <c r="D1148" s="77">
        <f t="shared" si="316"/>
        <v>46147</v>
      </c>
      <c r="E1148" s="77">
        <f t="shared" si="317"/>
        <v>46131</v>
      </c>
      <c r="F1148" s="77">
        <f t="shared" si="318"/>
        <v>46138</v>
      </c>
      <c r="G1148" s="77">
        <f t="shared" si="319"/>
        <v>46144</v>
      </c>
      <c r="H1148" s="77">
        <f t="shared" si="320"/>
        <v>46132</v>
      </c>
      <c r="I1148" s="77">
        <f t="shared" si="321"/>
        <v>46139</v>
      </c>
      <c r="J1148" s="25"/>
      <c r="K1148" s="25"/>
      <c r="L1148" s="25"/>
      <c r="M1148" s="25"/>
      <c r="N1148" s="25"/>
      <c r="O1148" s="25"/>
    </row>
    <row r="1149" spans="1:15" x14ac:dyDescent="0.25">
      <c r="A1149" s="77">
        <v>46125</v>
      </c>
      <c r="B1149" s="25" t="s">
        <v>780</v>
      </c>
      <c r="C1149" s="25" t="s">
        <v>1232</v>
      </c>
      <c r="D1149" s="77">
        <f t="shared" si="316"/>
        <v>46148</v>
      </c>
      <c r="E1149" s="77">
        <f t="shared" si="317"/>
        <v>46132</v>
      </c>
      <c r="F1149" s="77">
        <f t="shared" si="318"/>
        <v>46139</v>
      </c>
      <c r="G1149" s="77">
        <f t="shared" si="319"/>
        <v>46145</v>
      </c>
      <c r="H1149" s="77">
        <f t="shared" si="320"/>
        <v>46133</v>
      </c>
      <c r="I1149" s="77">
        <f t="shared" si="321"/>
        <v>46140</v>
      </c>
      <c r="J1149" s="25"/>
      <c r="K1149" s="25"/>
      <c r="L1149" s="25"/>
      <c r="M1149" s="25"/>
      <c r="N1149" s="25"/>
      <c r="O1149" s="25"/>
    </row>
    <row r="1150" spans="1:15" x14ac:dyDescent="0.25">
      <c r="A1150" s="77">
        <v>46125</v>
      </c>
      <c r="B1150" s="25" t="s">
        <v>781</v>
      </c>
      <c r="C1150" s="25" t="s">
        <v>1233</v>
      </c>
      <c r="D1150" s="77">
        <f t="shared" si="316"/>
        <v>46148</v>
      </c>
      <c r="E1150" s="77">
        <f t="shared" si="317"/>
        <v>46132</v>
      </c>
      <c r="F1150" s="77">
        <f t="shared" si="318"/>
        <v>46139</v>
      </c>
      <c r="G1150" s="77">
        <f t="shared" si="319"/>
        <v>46145</v>
      </c>
      <c r="H1150" s="77">
        <f t="shared" si="320"/>
        <v>46133</v>
      </c>
      <c r="I1150" s="77">
        <f t="shared" si="321"/>
        <v>46140</v>
      </c>
      <c r="J1150" s="25"/>
      <c r="K1150" s="25"/>
      <c r="L1150" s="25"/>
      <c r="M1150" s="25"/>
      <c r="N1150" s="25"/>
      <c r="O1150" s="25"/>
    </row>
    <row r="1151" spans="1:15" x14ac:dyDescent="0.25">
      <c r="A1151" s="77">
        <v>46125</v>
      </c>
      <c r="B1151" s="25" t="s">
        <v>782</v>
      </c>
      <c r="C1151" s="25" t="s">
        <v>1234</v>
      </c>
      <c r="D1151" s="77">
        <f t="shared" si="316"/>
        <v>46148</v>
      </c>
      <c r="E1151" s="77">
        <f t="shared" si="317"/>
        <v>46132</v>
      </c>
      <c r="F1151" s="77">
        <f t="shared" si="318"/>
        <v>46139</v>
      </c>
      <c r="G1151" s="77">
        <f t="shared" si="319"/>
        <v>46145</v>
      </c>
      <c r="H1151" s="77">
        <f t="shared" si="320"/>
        <v>46133</v>
      </c>
      <c r="I1151" s="77">
        <f t="shared" si="321"/>
        <v>46140</v>
      </c>
      <c r="J1151" s="25"/>
      <c r="K1151" s="25"/>
      <c r="L1151" s="25"/>
      <c r="M1151" s="25"/>
      <c r="N1151" s="25"/>
      <c r="O1151" s="25"/>
    </row>
    <row r="1152" spans="1:15" x14ac:dyDescent="0.25">
      <c r="A1152" s="77">
        <v>46125</v>
      </c>
      <c r="B1152" s="25" t="s">
        <v>783</v>
      </c>
      <c r="C1152" s="25" t="s">
        <v>1235</v>
      </c>
      <c r="D1152" s="77">
        <f t="shared" si="316"/>
        <v>46148</v>
      </c>
      <c r="E1152" s="77">
        <f t="shared" si="317"/>
        <v>46132</v>
      </c>
      <c r="F1152" s="77">
        <f t="shared" si="318"/>
        <v>46139</v>
      </c>
      <c r="G1152" s="77">
        <f t="shared" si="319"/>
        <v>46145</v>
      </c>
      <c r="H1152" s="77">
        <f t="shared" si="320"/>
        <v>46133</v>
      </c>
      <c r="I1152" s="77">
        <f t="shared" si="321"/>
        <v>46140</v>
      </c>
      <c r="J1152" s="25"/>
      <c r="K1152" s="25"/>
      <c r="L1152" s="25"/>
      <c r="M1152" s="25"/>
      <c r="N1152" s="25"/>
      <c r="O1152" s="25"/>
    </row>
    <row r="1153" spans="1:15" x14ac:dyDescent="0.25">
      <c r="A1153" s="77">
        <v>46125</v>
      </c>
      <c r="B1153" s="25" t="s">
        <v>784</v>
      </c>
      <c r="C1153" s="25" t="s">
        <v>1236</v>
      </c>
      <c r="D1153" s="77">
        <f t="shared" si="316"/>
        <v>46148</v>
      </c>
      <c r="E1153" s="77">
        <f t="shared" si="317"/>
        <v>46132</v>
      </c>
      <c r="F1153" s="77">
        <f t="shared" si="318"/>
        <v>46139</v>
      </c>
      <c r="G1153" s="77">
        <f t="shared" si="319"/>
        <v>46145</v>
      </c>
      <c r="H1153" s="77">
        <f t="shared" si="320"/>
        <v>46133</v>
      </c>
      <c r="I1153" s="77">
        <f t="shared" si="321"/>
        <v>46140</v>
      </c>
      <c r="J1153" s="25"/>
      <c r="K1153" s="25"/>
      <c r="L1153" s="25"/>
      <c r="M1153" s="25"/>
      <c r="N1153" s="25"/>
      <c r="O1153" s="25"/>
    </row>
    <row r="1154" spans="1:15" x14ac:dyDescent="0.25">
      <c r="A1154" s="77">
        <v>46125</v>
      </c>
      <c r="B1154" s="25" t="s">
        <v>785</v>
      </c>
      <c r="C1154" s="25" t="s">
        <v>1237</v>
      </c>
      <c r="D1154" s="77">
        <f t="shared" si="316"/>
        <v>46148</v>
      </c>
      <c r="E1154" s="77">
        <f t="shared" si="317"/>
        <v>46132</v>
      </c>
      <c r="F1154" s="77">
        <f t="shared" si="318"/>
        <v>46139</v>
      </c>
      <c r="G1154" s="77">
        <f t="shared" si="319"/>
        <v>46145</v>
      </c>
      <c r="H1154" s="77">
        <f t="shared" si="320"/>
        <v>46133</v>
      </c>
      <c r="I1154" s="77">
        <f t="shared" si="321"/>
        <v>46140</v>
      </c>
      <c r="J1154" s="25"/>
      <c r="K1154" s="25"/>
      <c r="L1154" s="25"/>
      <c r="M1154" s="25"/>
      <c r="N1154" s="25"/>
      <c r="O1154" s="25"/>
    </row>
    <row r="1155" spans="1:15" x14ac:dyDescent="0.25">
      <c r="A1155" s="77">
        <v>46125</v>
      </c>
      <c r="B1155" s="25" t="s">
        <v>786</v>
      </c>
      <c r="C1155" s="25" t="s">
        <v>1238</v>
      </c>
      <c r="D1155" s="77">
        <f t="shared" si="316"/>
        <v>46148</v>
      </c>
      <c r="E1155" s="77">
        <f t="shared" si="317"/>
        <v>46132</v>
      </c>
      <c r="F1155" s="77">
        <f t="shared" si="318"/>
        <v>46139</v>
      </c>
      <c r="G1155" s="77">
        <f t="shared" si="319"/>
        <v>46145</v>
      </c>
      <c r="H1155" s="77">
        <f t="shared" si="320"/>
        <v>46133</v>
      </c>
      <c r="I1155" s="77">
        <f t="shared" si="321"/>
        <v>46140</v>
      </c>
      <c r="J1155" s="25"/>
      <c r="K1155" s="25"/>
      <c r="L1155" s="25"/>
      <c r="M1155" s="25"/>
      <c r="N1155" s="25"/>
      <c r="O1155" s="25"/>
    </row>
    <row r="1156" spans="1:15" x14ac:dyDescent="0.25">
      <c r="A1156" s="77">
        <v>46126</v>
      </c>
      <c r="B1156" s="25" t="s">
        <v>554</v>
      </c>
      <c r="C1156" s="25" t="s">
        <v>1195</v>
      </c>
      <c r="D1156" s="77">
        <f t="shared" si="316"/>
        <v>46149</v>
      </c>
      <c r="E1156" s="77">
        <f t="shared" si="317"/>
        <v>46133</v>
      </c>
      <c r="F1156" s="77">
        <f t="shared" si="318"/>
        <v>46140</v>
      </c>
      <c r="G1156" s="77">
        <f t="shared" si="319"/>
        <v>46146</v>
      </c>
      <c r="H1156" s="77">
        <f t="shared" si="320"/>
        <v>46134</v>
      </c>
      <c r="I1156" s="77">
        <f t="shared" si="321"/>
        <v>46141</v>
      </c>
      <c r="J1156" s="25"/>
      <c r="K1156" s="25"/>
      <c r="L1156" s="25"/>
      <c r="M1156" s="25"/>
      <c r="N1156" s="25"/>
      <c r="O1156" s="25"/>
    </row>
    <row r="1157" spans="1:15" x14ac:dyDescent="0.25">
      <c r="A1157" s="77">
        <v>46126</v>
      </c>
      <c r="B1157" s="25" t="s">
        <v>555</v>
      </c>
      <c r="C1157" s="25" t="s">
        <v>1196</v>
      </c>
      <c r="D1157" s="77">
        <f t="shared" si="316"/>
        <v>46149</v>
      </c>
      <c r="E1157" s="77">
        <f t="shared" si="317"/>
        <v>46133</v>
      </c>
      <c r="F1157" s="77">
        <f t="shared" si="318"/>
        <v>46140</v>
      </c>
      <c r="G1157" s="77">
        <f t="shared" si="319"/>
        <v>46146</v>
      </c>
      <c r="H1157" s="77">
        <f t="shared" si="320"/>
        <v>46134</v>
      </c>
      <c r="I1157" s="77">
        <f t="shared" si="321"/>
        <v>46141</v>
      </c>
      <c r="J1157" s="25"/>
      <c r="K1157" s="25"/>
      <c r="L1157" s="25"/>
      <c r="M1157" s="25"/>
      <c r="N1157" s="25"/>
      <c r="O1157" s="25"/>
    </row>
    <row r="1158" spans="1:15" x14ac:dyDescent="0.25">
      <c r="A1158" s="77">
        <v>46126</v>
      </c>
      <c r="B1158" s="25" t="s">
        <v>556</v>
      </c>
      <c r="C1158" s="25" t="s">
        <v>1197</v>
      </c>
      <c r="D1158" s="77">
        <f t="shared" si="316"/>
        <v>46149</v>
      </c>
      <c r="E1158" s="77">
        <f t="shared" si="317"/>
        <v>46133</v>
      </c>
      <c r="F1158" s="77">
        <f t="shared" si="318"/>
        <v>46140</v>
      </c>
      <c r="G1158" s="77">
        <f t="shared" si="319"/>
        <v>46146</v>
      </c>
      <c r="H1158" s="77">
        <f t="shared" si="320"/>
        <v>46134</v>
      </c>
      <c r="I1158" s="77">
        <f t="shared" si="321"/>
        <v>46141</v>
      </c>
      <c r="J1158" s="25"/>
      <c r="K1158" s="25"/>
      <c r="L1158" s="25"/>
      <c r="M1158" s="25"/>
      <c r="N1158" s="25"/>
      <c r="O1158" s="25"/>
    </row>
    <row r="1159" spans="1:15" x14ac:dyDescent="0.25">
      <c r="A1159" s="77">
        <v>46126</v>
      </c>
      <c r="B1159" s="25" t="s">
        <v>557</v>
      </c>
      <c r="C1159" s="25" t="s">
        <v>1198</v>
      </c>
      <c r="D1159" s="77">
        <f t="shared" si="316"/>
        <v>46149</v>
      </c>
      <c r="E1159" s="77">
        <f t="shared" si="317"/>
        <v>46133</v>
      </c>
      <c r="F1159" s="77">
        <f t="shared" si="318"/>
        <v>46140</v>
      </c>
      <c r="G1159" s="77">
        <f t="shared" si="319"/>
        <v>46146</v>
      </c>
      <c r="H1159" s="77">
        <f t="shared" si="320"/>
        <v>46134</v>
      </c>
      <c r="I1159" s="77">
        <f t="shared" si="321"/>
        <v>46141</v>
      </c>
      <c r="J1159" s="25"/>
      <c r="K1159" s="25"/>
      <c r="L1159" s="25"/>
      <c r="M1159" s="25"/>
      <c r="N1159" s="25"/>
      <c r="O1159" s="25"/>
    </row>
    <row r="1160" spans="1:15" x14ac:dyDescent="0.25">
      <c r="A1160" s="77">
        <v>46126</v>
      </c>
      <c r="B1160" s="25" t="s">
        <v>558</v>
      </c>
      <c r="C1160" s="25" t="s">
        <v>1199</v>
      </c>
      <c r="D1160" s="77">
        <f t="shared" si="316"/>
        <v>46149</v>
      </c>
      <c r="E1160" s="77">
        <f t="shared" si="317"/>
        <v>46133</v>
      </c>
      <c r="F1160" s="77">
        <f t="shared" si="318"/>
        <v>46140</v>
      </c>
      <c r="G1160" s="77">
        <f t="shared" si="319"/>
        <v>46146</v>
      </c>
      <c r="H1160" s="77">
        <f t="shared" si="320"/>
        <v>46134</v>
      </c>
      <c r="I1160" s="77">
        <f t="shared" si="321"/>
        <v>46141</v>
      </c>
      <c r="J1160" s="25"/>
      <c r="K1160" s="25"/>
      <c r="L1160" s="25"/>
      <c r="M1160" s="25"/>
      <c r="N1160" s="25"/>
      <c r="O1160" s="25"/>
    </row>
    <row r="1161" spans="1:15" x14ac:dyDescent="0.25">
      <c r="A1161" s="77">
        <v>46127</v>
      </c>
      <c r="B1161" s="25" t="s">
        <v>547</v>
      </c>
      <c r="C1161" s="25" t="s">
        <v>1250</v>
      </c>
      <c r="D1161" s="77">
        <f t="shared" si="316"/>
        <v>46150</v>
      </c>
      <c r="E1161" s="77">
        <f t="shared" si="317"/>
        <v>46134</v>
      </c>
      <c r="F1161" s="77">
        <f t="shared" si="318"/>
        <v>46141</v>
      </c>
      <c r="G1161" s="77">
        <f t="shared" si="319"/>
        <v>46147</v>
      </c>
      <c r="H1161" s="77">
        <f t="shared" si="320"/>
        <v>46135</v>
      </c>
      <c r="I1161" s="77">
        <f t="shared" si="321"/>
        <v>46142</v>
      </c>
      <c r="J1161" s="25"/>
      <c r="K1161" s="25"/>
      <c r="L1161" s="25"/>
      <c r="M1161" s="25"/>
      <c r="N1161" s="25"/>
      <c r="O1161" s="25"/>
    </row>
    <row r="1162" spans="1:15" x14ac:dyDescent="0.25">
      <c r="A1162" s="77">
        <v>46127</v>
      </c>
      <c r="B1162" s="25" t="s">
        <v>548</v>
      </c>
      <c r="C1162" s="25" t="s">
        <v>1251</v>
      </c>
      <c r="D1162" s="77">
        <f t="shared" si="316"/>
        <v>46150</v>
      </c>
      <c r="E1162" s="77">
        <f t="shared" si="317"/>
        <v>46134</v>
      </c>
      <c r="F1162" s="77">
        <f t="shared" si="318"/>
        <v>46141</v>
      </c>
      <c r="G1162" s="77">
        <f t="shared" si="319"/>
        <v>46147</v>
      </c>
      <c r="H1162" s="77">
        <f t="shared" si="320"/>
        <v>46135</v>
      </c>
      <c r="I1162" s="77">
        <f t="shared" si="321"/>
        <v>46142</v>
      </c>
      <c r="J1162" s="25"/>
      <c r="K1162" s="25"/>
      <c r="L1162" s="25"/>
      <c r="M1162" s="25"/>
      <c r="N1162" s="25"/>
      <c r="O1162" s="25"/>
    </row>
    <row r="1163" spans="1:15" x14ac:dyDescent="0.25">
      <c r="A1163" s="77">
        <v>46127</v>
      </c>
      <c r="B1163" s="25" t="s">
        <v>549</v>
      </c>
      <c r="C1163" s="25" t="s">
        <v>1252</v>
      </c>
      <c r="D1163" s="77">
        <f t="shared" si="316"/>
        <v>46150</v>
      </c>
      <c r="E1163" s="77">
        <f t="shared" si="317"/>
        <v>46134</v>
      </c>
      <c r="F1163" s="77">
        <f t="shared" si="318"/>
        <v>46141</v>
      </c>
      <c r="G1163" s="77">
        <f t="shared" si="319"/>
        <v>46147</v>
      </c>
      <c r="H1163" s="77">
        <f t="shared" si="320"/>
        <v>46135</v>
      </c>
      <c r="I1163" s="77">
        <f t="shared" si="321"/>
        <v>46142</v>
      </c>
      <c r="J1163" s="25"/>
      <c r="K1163" s="25"/>
      <c r="L1163" s="25"/>
      <c r="M1163" s="25"/>
      <c r="N1163" s="25"/>
      <c r="O1163" s="25"/>
    </row>
    <row r="1164" spans="1:15" x14ac:dyDescent="0.25">
      <c r="A1164" s="77">
        <v>46127</v>
      </c>
      <c r="B1164" s="25" t="s">
        <v>550</v>
      </c>
      <c r="C1164" s="25" t="s">
        <v>1253</v>
      </c>
      <c r="D1164" s="77">
        <f t="shared" si="316"/>
        <v>46150</v>
      </c>
      <c r="E1164" s="77">
        <f t="shared" si="317"/>
        <v>46134</v>
      </c>
      <c r="F1164" s="77">
        <f t="shared" si="318"/>
        <v>46141</v>
      </c>
      <c r="G1164" s="77">
        <f t="shared" si="319"/>
        <v>46147</v>
      </c>
      <c r="H1164" s="77">
        <f t="shared" si="320"/>
        <v>46135</v>
      </c>
      <c r="I1164" s="77">
        <f t="shared" si="321"/>
        <v>46142</v>
      </c>
      <c r="J1164" s="25"/>
      <c r="K1164" s="25"/>
      <c r="L1164" s="25"/>
      <c r="M1164" s="25"/>
      <c r="N1164" s="25"/>
      <c r="O1164" s="25"/>
    </row>
    <row r="1165" spans="1:15" x14ac:dyDescent="0.25">
      <c r="A1165" s="77">
        <v>46127</v>
      </c>
      <c r="B1165" s="25" t="s">
        <v>551</v>
      </c>
      <c r="C1165" s="25" t="s">
        <v>1254</v>
      </c>
      <c r="D1165" s="77">
        <f t="shared" si="316"/>
        <v>46150</v>
      </c>
      <c r="E1165" s="77">
        <f t="shared" si="317"/>
        <v>46134</v>
      </c>
      <c r="F1165" s="77">
        <f t="shared" si="318"/>
        <v>46141</v>
      </c>
      <c r="G1165" s="77">
        <f t="shared" si="319"/>
        <v>46147</v>
      </c>
      <c r="H1165" s="77">
        <f t="shared" si="320"/>
        <v>46135</v>
      </c>
      <c r="I1165" s="77">
        <f t="shared" si="321"/>
        <v>46142</v>
      </c>
      <c r="J1165" s="25"/>
      <c r="K1165" s="25"/>
      <c r="L1165" s="25"/>
      <c r="M1165" s="25"/>
      <c r="N1165" s="25"/>
      <c r="O1165" s="25"/>
    </row>
    <row r="1166" spans="1:15" x14ac:dyDescent="0.25">
      <c r="A1166" s="77">
        <v>46127</v>
      </c>
      <c r="B1166" s="25" t="s">
        <v>552</v>
      </c>
      <c r="C1166" s="25" t="s">
        <v>1193</v>
      </c>
      <c r="D1166" s="77">
        <f t="shared" si="316"/>
        <v>46150</v>
      </c>
      <c r="E1166" s="77">
        <f t="shared" si="317"/>
        <v>46134</v>
      </c>
      <c r="F1166" s="77">
        <f t="shared" si="318"/>
        <v>46141</v>
      </c>
      <c r="G1166" s="77">
        <f t="shared" si="319"/>
        <v>46147</v>
      </c>
      <c r="H1166" s="77">
        <f t="shared" si="320"/>
        <v>46135</v>
      </c>
      <c r="I1166" s="77">
        <f t="shared" si="321"/>
        <v>46142</v>
      </c>
      <c r="J1166" s="25"/>
      <c r="K1166" s="25"/>
      <c r="L1166" s="25"/>
      <c r="M1166" s="25"/>
      <c r="N1166" s="25"/>
      <c r="O1166" s="25"/>
    </row>
    <row r="1167" spans="1:15" x14ac:dyDescent="0.25">
      <c r="A1167" s="77">
        <v>46127</v>
      </c>
      <c r="B1167" s="25" t="s">
        <v>553</v>
      </c>
      <c r="C1167" s="25" t="s">
        <v>1194</v>
      </c>
      <c r="D1167" s="77">
        <f t="shared" si="316"/>
        <v>46150</v>
      </c>
      <c r="E1167" s="77">
        <f t="shared" si="317"/>
        <v>46134</v>
      </c>
      <c r="F1167" s="77">
        <f t="shared" si="318"/>
        <v>46141</v>
      </c>
      <c r="G1167" s="77">
        <f t="shared" si="319"/>
        <v>46147</v>
      </c>
      <c r="H1167" s="77">
        <f t="shared" si="320"/>
        <v>46135</v>
      </c>
      <c r="I1167" s="77">
        <f t="shared" si="321"/>
        <v>46142</v>
      </c>
      <c r="J1167" s="25"/>
      <c r="K1167" s="25"/>
      <c r="L1167" s="25"/>
      <c r="M1167" s="25"/>
      <c r="N1167" s="25"/>
      <c r="O1167" s="25"/>
    </row>
    <row r="1168" spans="1:15" x14ac:dyDescent="0.25">
      <c r="A1168" s="77">
        <v>46128</v>
      </c>
      <c r="B1168" s="25" t="s">
        <v>540</v>
      </c>
      <c r="C1168" s="25" t="s">
        <v>1258</v>
      </c>
      <c r="D1168" s="77">
        <f t="shared" si="316"/>
        <v>46151</v>
      </c>
      <c r="E1168" s="77">
        <f t="shared" si="317"/>
        <v>46135</v>
      </c>
      <c r="F1168" s="77">
        <f t="shared" si="318"/>
        <v>46142</v>
      </c>
      <c r="G1168" s="77">
        <f t="shared" si="319"/>
        <v>46148</v>
      </c>
      <c r="H1168" s="77">
        <f t="shared" si="320"/>
        <v>46136</v>
      </c>
      <c r="I1168" s="77">
        <f t="shared" si="321"/>
        <v>46143</v>
      </c>
      <c r="J1168" s="25"/>
      <c r="K1168" s="25"/>
      <c r="L1168" s="25"/>
      <c r="M1168" s="25"/>
      <c r="N1168" s="25"/>
      <c r="O1168" s="25"/>
    </row>
    <row r="1169" spans="1:15" x14ac:dyDescent="0.25">
      <c r="A1169" s="77">
        <v>46128</v>
      </c>
      <c r="B1169" s="25" t="s">
        <v>541</v>
      </c>
      <c r="C1169" s="25" t="s">
        <v>1259</v>
      </c>
      <c r="D1169" s="77">
        <f t="shared" si="316"/>
        <v>46151</v>
      </c>
      <c r="E1169" s="77">
        <f t="shared" si="317"/>
        <v>46135</v>
      </c>
      <c r="F1169" s="77">
        <f t="shared" si="318"/>
        <v>46142</v>
      </c>
      <c r="G1169" s="77">
        <f t="shared" si="319"/>
        <v>46148</v>
      </c>
      <c r="H1169" s="77">
        <f t="shared" si="320"/>
        <v>46136</v>
      </c>
      <c r="I1169" s="77">
        <f t="shared" si="321"/>
        <v>46143</v>
      </c>
      <c r="J1169" s="25"/>
      <c r="K1169" s="25"/>
      <c r="L1169" s="25"/>
      <c r="M1169" s="25"/>
      <c r="N1169" s="25"/>
      <c r="O1169" s="25"/>
    </row>
    <row r="1170" spans="1:15" x14ac:dyDescent="0.25">
      <c r="A1170" s="77">
        <v>46128</v>
      </c>
      <c r="B1170" s="25" t="s">
        <v>542</v>
      </c>
      <c r="C1170" s="25" t="s">
        <v>1260</v>
      </c>
      <c r="D1170" s="77">
        <f t="shared" si="316"/>
        <v>46151</v>
      </c>
      <c r="E1170" s="77">
        <f t="shared" si="317"/>
        <v>46135</v>
      </c>
      <c r="F1170" s="77">
        <f t="shared" si="318"/>
        <v>46142</v>
      </c>
      <c r="G1170" s="77">
        <f t="shared" si="319"/>
        <v>46148</v>
      </c>
      <c r="H1170" s="77">
        <f t="shared" si="320"/>
        <v>46136</v>
      </c>
      <c r="I1170" s="77">
        <f t="shared" si="321"/>
        <v>46143</v>
      </c>
      <c r="J1170" s="25"/>
      <c r="K1170" s="25"/>
      <c r="L1170" s="25"/>
      <c r="M1170" s="25"/>
      <c r="N1170" s="25"/>
      <c r="O1170" s="25"/>
    </row>
    <row r="1171" spans="1:15" x14ac:dyDescent="0.25">
      <c r="A1171" s="77">
        <v>46128</v>
      </c>
      <c r="B1171" s="25" t="s">
        <v>543</v>
      </c>
      <c r="C1171" s="25" t="s">
        <v>1261</v>
      </c>
      <c r="D1171" s="77">
        <f t="shared" ref="D1171:D1188" si="322">A1171+23</f>
        <v>46151</v>
      </c>
      <c r="E1171" s="77">
        <f t="shared" ref="E1171:E1188" si="323">A1171+7</f>
        <v>46135</v>
      </c>
      <c r="F1171" s="77">
        <f t="shared" ref="F1171:F1188" si="324">A1171+14</f>
        <v>46142</v>
      </c>
      <c r="G1171" s="77">
        <f t="shared" ref="G1171:G1188" si="325">A1171+20</f>
        <v>46148</v>
      </c>
      <c r="H1171" s="77">
        <f t="shared" ref="H1171:H1188" si="326">A1171+8</f>
        <v>46136</v>
      </c>
      <c r="I1171" s="77">
        <f t="shared" ref="I1171:I1188" si="327">A1171+15</f>
        <v>46143</v>
      </c>
      <c r="J1171" s="25"/>
      <c r="K1171" s="25"/>
      <c r="L1171" s="25"/>
      <c r="M1171" s="25"/>
      <c r="N1171" s="25"/>
      <c r="O1171" s="25"/>
    </row>
    <row r="1172" spans="1:15" x14ac:dyDescent="0.25">
      <c r="A1172" s="77">
        <v>46128</v>
      </c>
      <c r="B1172" s="25" t="s">
        <v>544</v>
      </c>
      <c r="C1172" s="25" t="s">
        <v>1262</v>
      </c>
      <c r="D1172" s="77">
        <f t="shared" si="322"/>
        <v>46151</v>
      </c>
      <c r="E1172" s="77">
        <f t="shared" si="323"/>
        <v>46135</v>
      </c>
      <c r="F1172" s="77">
        <f t="shared" si="324"/>
        <v>46142</v>
      </c>
      <c r="G1172" s="77">
        <f t="shared" si="325"/>
        <v>46148</v>
      </c>
      <c r="H1172" s="77">
        <f t="shared" si="326"/>
        <v>46136</v>
      </c>
      <c r="I1172" s="77">
        <f t="shared" si="327"/>
        <v>46143</v>
      </c>
      <c r="J1172" s="25"/>
      <c r="K1172" s="25"/>
      <c r="L1172" s="25"/>
      <c r="M1172" s="25"/>
      <c r="N1172" s="25"/>
      <c r="O1172" s="25"/>
    </row>
    <row r="1173" spans="1:15" x14ac:dyDescent="0.25">
      <c r="A1173" s="77">
        <v>46128</v>
      </c>
      <c r="B1173" s="25" t="s">
        <v>545</v>
      </c>
      <c r="C1173" s="25" t="s">
        <v>1248</v>
      </c>
      <c r="D1173" s="77">
        <f t="shared" si="322"/>
        <v>46151</v>
      </c>
      <c r="E1173" s="77">
        <f t="shared" si="323"/>
        <v>46135</v>
      </c>
      <c r="F1173" s="77">
        <f t="shared" si="324"/>
        <v>46142</v>
      </c>
      <c r="G1173" s="77">
        <f t="shared" si="325"/>
        <v>46148</v>
      </c>
      <c r="H1173" s="77">
        <f t="shared" si="326"/>
        <v>46136</v>
      </c>
      <c r="I1173" s="77">
        <f t="shared" si="327"/>
        <v>46143</v>
      </c>
      <c r="J1173" s="25"/>
      <c r="K1173" s="25"/>
      <c r="L1173" s="25"/>
      <c r="M1173" s="25"/>
      <c r="N1173" s="25"/>
      <c r="O1173" s="25"/>
    </row>
    <row r="1174" spans="1:15" x14ac:dyDescent="0.25">
      <c r="A1174" s="77">
        <v>46128</v>
      </c>
      <c r="B1174" s="25" t="s">
        <v>546</v>
      </c>
      <c r="C1174" s="25" t="s">
        <v>1249</v>
      </c>
      <c r="D1174" s="77">
        <f t="shared" si="322"/>
        <v>46151</v>
      </c>
      <c r="E1174" s="77">
        <f t="shared" si="323"/>
        <v>46135</v>
      </c>
      <c r="F1174" s="77">
        <f t="shared" si="324"/>
        <v>46142</v>
      </c>
      <c r="G1174" s="77">
        <f t="shared" si="325"/>
        <v>46148</v>
      </c>
      <c r="H1174" s="77">
        <f t="shared" si="326"/>
        <v>46136</v>
      </c>
      <c r="I1174" s="77">
        <f t="shared" si="327"/>
        <v>46143</v>
      </c>
      <c r="J1174" s="25"/>
      <c r="K1174" s="25"/>
      <c r="L1174" s="25"/>
      <c r="M1174" s="25"/>
      <c r="N1174" s="25"/>
      <c r="O1174" s="25"/>
    </row>
    <row r="1175" spans="1:15" x14ac:dyDescent="0.25">
      <c r="A1175" s="77">
        <v>46129</v>
      </c>
      <c r="B1175" s="25" t="s">
        <v>537</v>
      </c>
      <c r="C1175" s="25" t="s">
        <v>1255</v>
      </c>
      <c r="D1175" s="77">
        <f t="shared" si="322"/>
        <v>46152</v>
      </c>
      <c r="E1175" s="77">
        <f t="shared" si="323"/>
        <v>46136</v>
      </c>
      <c r="F1175" s="77">
        <f t="shared" si="324"/>
        <v>46143</v>
      </c>
      <c r="G1175" s="77">
        <f t="shared" si="325"/>
        <v>46149</v>
      </c>
      <c r="H1175" s="77">
        <f t="shared" si="326"/>
        <v>46137</v>
      </c>
      <c r="I1175" s="77">
        <f t="shared" si="327"/>
        <v>46144</v>
      </c>
      <c r="J1175" s="25"/>
      <c r="K1175" s="25"/>
      <c r="L1175" s="25"/>
      <c r="M1175" s="25"/>
      <c r="N1175" s="25"/>
      <c r="O1175" s="25"/>
    </row>
    <row r="1176" spans="1:15" x14ac:dyDescent="0.25">
      <c r="A1176" s="77">
        <v>46129</v>
      </c>
      <c r="B1176" s="25" t="s">
        <v>538</v>
      </c>
      <c r="C1176" s="25" t="s">
        <v>1256</v>
      </c>
      <c r="D1176" s="77">
        <f t="shared" si="322"/>
        <v>46152</v>
      </c>
      <c r="E1176" s="77">
        <f t="shared" si="323"/>
        <v>46136</v>
      </c>
      <c r="F1176" s="77">
        <f t="shared" si="324"/>
        <v>46143</v>
      </c>
      <c r="G1176" s="77">
        <f t="shared" si="325"/>
        <v>46149</v>
      </c>
      <c r="H1176" s="77">
        <f t="shared" si="326"/>
        <v>46137</v>
      </c>
      <c r="I1176" s="77">
        <f t="shared" si="327"/>
        <v>46144</v>
      </c>
      <c r="J1176" s="25"/>
      <c r="K1176" s="25"/>
      <c r="L1176" s="25"/>
      <c r="M1176" s="25"/>
      <c r="N1176" s="25"/>
      <c r="O1176" s="25"/>
    </row>
    <row r="1177" spans="1:15" x14ac:dyDescent="0.25">
      <c r="A1177" s="77">
        <v>46129</v>
      </c>
      <c r="B1177" s="25" t="s">
        <v>539</v>
      </c>
      <c r="C1177" s="25" t="s">
        <v>1257</v>
      </c>
      <c r="D1177" s="77">
        <f t="shared" si="322"/>
        <v>46152</v>
      </c>
      <c r="E1177" s="77">
        <f t="shared" si="323"/>
        <v>46136</v>
      </c>
      <c r="F1177" s="77">
        <f t="shared" si="324"/>
        <v>46143</v>
      </c>
      <c r="G1177" s="77">
        <f t="shared" si="325"/>
        <v>46149</v>
      </c>
      <c r="H1177" s="77">
        <f t="shared" si="326"/>
        <v>46137</v>
      </c>
      <c r="I1177" s="77">
        <f t="shared" si="327"/>
        <v>46144</v>
      </c>
      <c r="J1177" s="25"/>
      <c r="K1177" s="25"/>
      <c r="L1177" s="25"/>
      <c r="M1177" s="25"/>
      <c r="N1177" s="25"/>
      <c r="O1177" s="25"/>
    </row>
    <row r="1178" spans="1:15" x14ac:dyDescent="0.25">
      <c r="A1178" s="77">
        <v>46129</v>
      </c>
      <c r="B1178" s="25" t="s">
        <v>513</v>
      </c>
      <c r="C1178" s="25" t="s">
        <v>1263</v>
      </c>
      <c r="D1178" s="77">
        <f t="shared" si="322"/>
        <v>46152</v>
      </c>
      <c r="E1178" s="77">
        <f t="shared" si="323"/>
        <v>46136</v>
      </c>
      <c r="F1178" s="77">
        <f t="shared" si="324"/>
        <v>46143</v>
      </c>
      <c r="G1178" s="77">
        <f t="shared" si="325"/>
        <v>46149</v>
      </c>
      <c r="H1178" s="77">
        <f t="shared" si="326"/>
        <v>46137</v>
      </c>
      <c r="I1178" s="77">
        <f t="shared" si="327"/>
        <v>46144</v>
      </c>
      <c r="J1178" s="25"/>
      <c r="K1178" s="25"/>
      <c r="L1178" s="25"/>
      <c r="M1178" s="25"/>
      <c r="N1178" s="25"/>
      <c r="O1178" s="25"/>
    </row>
    <row r="1179" spans="1:15" x14ac:dyDescent="0.25">
      <c r="A1179" s="77">
        <v>46129</v>
      </c>
      <c r="B1179" s="25" t="s">
        <v>514</v>
      </c>
      <c r="C1179" s="25" t="s">
        <v>1264</v>
      </c>
      <c r="D1179" s="77">
        <f t="shared" si="322"/>
        <v>46152</v>
      </c>
      <c r="E1179" s="77">
        <f t="shared" si="323"/>
        <v>46136</v>
      </c>
      <c r="F1179" s="77">
        <f t="shared" si="324"/>
        <v>46143</v>
      </c>
      <c r="G1179" s="77">
        <f t="shared" si="325"/>
        <v>46149</v>
      </c>
      <c r="H1179" s="77">
        <f t="shared" si="326"/>
        <v>46137</v>
      </c>
      <c r="I1179" s="77">
        <f t="shared" si="327"/>
        <v>46144</v>
      </c>
      <c r="J1179" s="25"/>
      <c r="K1179" s="25"/>
      <c r="L1179" s="25"/>
      <c r="M1179" s="25"/>
      <c r="N1179" s="25"/>
      <c r="O1179" s="25"/>
    </row>
    <row r="1180" spans="1:15" x14ac:dyDescent="0.25">
      <c r="A1180" s="77">
        <v>46129</v>
      </c>
      <c r="B1180" s="25" t="s">
        <v>515</v>
      </c>
      <c r="C1180" s="25" t="s">
        <v>1265</v>
      </c>
      <c r="D1180" s="77">
        <f t="shared" si="322"/>
        <v>46152</v>
      </c>
      <c r="E1180" s="77">
        <f t="shared" si="323"/>
        <v>46136</v>
      </c>
      <c r="F1180" s="77">
        <f t="shared" si="324"/>
        <v>46143</v>
      </c>
      <c r="G1180" s="77">
        <f t="shared" si="325"/>
        <v>46149</v>
      </c>
      <c r="H1180" s="77">
        <f t="shared" si="326"/>
        <v>46137</v>
      </c>
      <c r="I1180" s="77">
        <f t="shared" si="327"/>
        <v>46144</v>
      </c>
      <c r="J1180" s="25"/>
      <c r="K1180" s="25"/>
      <c r="L1180" s="25"/>
      <c r="M1180" s="25"/>
      <c r="N1180" s="25"/>
      <c r="O1180" s="25"/>
    </row>
    <row r="1181" spans="1:15" x14ac:dyDescent="0.25">
      <c r="A1181" s="77">
        <v>46129</v>
      </c>
      <c r="B1181" s="25" t="s">
        <v>516</v>
      </c>
      <c r="C1181" s="25" t="s">
        <v>1266</v>
      </c>
      <c r="D1181" s="77">
        <f t="shared" si="322"/>
        <v>46152</v>
      </c>
      <c r="E1181" s="77">
        <f t="shared" si="323"/>
        <v>46136</v>
      </c>
      <c r="F1181" s="77">
        <f t="shared" si="324"/>
        <v>46143</v>
      </c>
      <c r="G1181" s="77">
        <f t="shared" si="325"/>
        <v>46149</v>
      </c>
      <c r="H1181" s="77">
        <f t="shared" si="326"/>
        <v>46137</v>
      </c>
      <c r="I1181" s="77">
        <f t="shared" si="327"/>
        <v>46144</v>
      </c>
      <c r="J1181" s="25"/>
      <c r="K1181" s="25"/>
      <c r="L1181" s="25"/>
      <c r="M1181" s="25"/>
      <c r="N1181" s="25"/>
      <c r="O1181" s="25"/>
    </row>
    <row r="1182" spans="1:15" x14ac:dyDescent="0.25">
      <c r="A1182" s="77">
        <v>46130</v>
      </c>
      <c r="B1182" s="25" t="s">
        <v>517</v>
      </c>
      <c r="C1182" s="25" t="s">
        <v>1267</v>
      </c>
      <c r="D1182" s="77">
        <f t="shared" si="322"/>
        <v>46153</v>
      </c>
      <c r="E1182" s="77">
        <f t="shared" si="323"/>
        <v>46137</v>
      </c>
      <c r="F1182" s="77">
        <f t="shared" si="324"/>
        <v>46144</v>
      </c>
      <c r="G1182" s="77">
        <f t="shared" si="325"/>
        <v>46150</v>
      </c>
      <c r="H1182" s="77">
        <f t="shared" si="326"/>
        <v>46138</v>
      </c>
      <c r="I1182" s="77">
        <f t="shared" si="327"/>
        <v>46145</v>
      </c>
      <c r="J1182" s="25"/>
      <c r="K1182" s="25"/>
      <c r="L1182" s="25"/>
      <c r="M1182" s="25"/>
      <c r="N1182" s="25"/>
      <c r="O1182" s="25"/>
    </row>
    <row r="1183" spans="1:15" x14ac:dyDescent="0.25">
      <c r="A1183" s="77">
        <v>46130</v>
      </c>
      <c r="B1183" s="25" t="s">
        <v>518</v>
      </c>
      <c r="C1183" s="25" t="s">
        <v>1268</v>
      </c>
      <c r="D1183" s="77">
        <f t="shared" si="322"/>
        <v>46153</v>
      </c>
      <c r="E1183" s="77">
        <f t="shared" si="323"/>
        <v>46137</v>
      </c>
      <c r="F1183" s="77">
        <f t="shared" si="324"/>
        <v>46144</v>
      </c>
      <c r="G1183" s="77">
        <f t="shared" si="325"/>
        <v>46150</v>
      </c>
      <c r="H1183" s="77">
        <f t="shared" si="326"/>
        <v>46138</v>
      </c>
      <c r="I1183" s="77">
        <f t="shared" si="327"/>
        <v>46145</v>
      </c>
      <c r="J1183" s="25"/>
      <c r="K1183" s="25"/>
      <c r="L1183" s="25"/>
      <c r="M1183" s="25"/>
      <c r="N1183" s="25"/>
      <c r="O1183" s="25"/>
    </row>
    <row r="1184" spans="1:15" x14ac:dyDescent="0.25">
      <c r="A1184" s="77">
        <v>46130</v>
      </c>
      <c r="B1184" s="25" t="s">
        <v>519</v>
      </c>
      <c r="C1184" s="25" t="s">
        <v>1269</v>
      </c>
      <c r="D1184" s="77">
        <f t="shared" si="322"/>
        <v>46153</v>
      </c>
      <c r="E1184" s="77">
        <f t="shared" si="323"/>
        <v>46137</v>
      </c>
      <c r="F1184" s="77">
        <f t="shared" si="324"/>
        <v>46144</v>
      </c>
      <c r="G1184" s="77">
        <f t="shared" si="325"/>
        <v>46150</v>
      </c>
      <c r="H1184" s="77">
        <f t="shared" si="326"/>
        <v>46138</v>
      </c>
      <c r="I1184" s="77">
        <f t="shared" si="327"/>
        <v>46145</v>
      </c>
      <c r="J1184" s="25"/>
      <c r="K1184" s="25"/>
      <c r="L1184" s="25"/>
      <c r="M1184" s="25"/>
      <c r="N1184" s="25"/>
      <c r="O1184" s="25"/>
    </row>
    <row r="1185" spans="1:15" x14ac:dyDescent="0.25">
      <c r="A1185" s="77">
        <v>46130</v>
      </c>
      <c r="B1185" s="25" t="s">
        <v>520</v>
      </c>
      <c r="C1185" s="25" t="s">
        <v>1270</v>
      </c>
      <c r="D1185" s="77">
        <f t="shared" si="322"/>
        <v>46153</v>
      </c>
      <c r="E1185" s="77">
        <f t="shared" si="323"/>
        <v>46137</v>
      </c>
      <c r="F1185" s="77">
        <f t="shared" si="324"/>
        <v>46144</v>
      </c>
      <c r="G1185" s="77">
        <f t="shared" si="325"/>
        <v>46150</v>
      </c>
      <c r="H1185" s="77">
        <f t="shared" si="326"/>
        <v>46138</v>
      </c>
      <c r="I1185" s="77">
        <f t="shared" si="327"/>
        <v>46145</v>
      </c>
      <c r="J1185" s="25"/>
      <c r="K1185" s="25"/>
      <c r="L1185" s="25"/>
      <c r="M1185" s="25"/>
      <c r="N1185" s="25"/>
      <c r="O1185" s="25"/>
    </row>
    <row r="1186" spans="1:15" x14ac:dyDescent="0.25">
      <c r="A1186" s="77">
        <v>46130</v>
      </c>
      <c r="B1186" s="25" t="s">
        <v>521</v>
      </c>
      <c r="C1186" s="25" t="s">
        <v>1271</v>
      </c>
      <c r="D1186" s="77">
        <f t="shared" si="322"/>
        <v>46153</v>
      </c>
      <c r="E1186" s="77">
        <f t="shared" si="323"/>
        <v>46137</v>
      </c>
      <c r="F1186" s="77">
        <f t="shared" si="324"/>
        <v>46144</v>
      </c>
      <c r="G1186" s="77">
        <f t="shared" si="325"/>
        <v>46150</v>
      </c>
      <c r="H1186" s="77">
        <f t="shared" si="326"/>
        <v>46138</v>
      </c>
      <c r="I1186" s="77">
        <f t="shared" si="327"/>
        <v>46145</v>
      </c>
      <c r="J1186" s="25"/>
      <c r="K1186" s="25"/>
      <c r="L1186" s="25"/>
      <c r="M1186" s="25"/>
      <c r="N1186" s="25"/>
      <c r="O1186" s="25"/>
    </row>
    <row r="1187" spans="1:15" x14ac:dyDescent="0.25">
      <c r="A1187" s="77">
        <v>46130</v>
      </c>
      <c r="B1187" s="25" t="s">
        <v>522</v>
      </c>
      <c r="C1187" s="25" t="s">
        <v>1272</v>
      </c>
      <c r="D1187" s="77">
        <f t="shared" si="322"/>
        <v>46153</v>
      </c>
      <c r="E1187" s="77">
        <f t="shared" si="323"/>
        <v>46137</v>
      </c>
      <c r="F1187" s="77">
        <f t="shared" si="324"/>
        <v>46144</v>
      </c>
      <c r="G1187" s="77">
        <f t="shared" si="325"/>
        <v>46150</v>
      </c>
      <c r="H1187" s="77">
        <f t="shared" si="326"/>
        <v>46138</v>
      </c>
      <c r="I1187" s="77">
        <f t="shared" si="327"/>
        <v>46145</v>
      </c>
      <c r="J1187" s="25"/>
      <c r="K1187" s="25"/>
      <c r="L1187" s="25"/>
      <c r="M1187" s="25"/>
      <c r="N1187" s="25"/>
      <c r="O1187" s="25"/>
    </row>
    <row r="1188" spans="1:15" x14ac:dyDescent="0.25">
      <c r="A1188" s="77">
        <v>46130</v>
      </c>
      <c r="B1188" s="25" t="s">
        <v>523</v>
      </c>
      <c r="C1188" s="25" t="s">
        <v>1273</v>
      </c>
      <c r="D1188" s="77">
        <f t="shared" si="322"/>
        <v>46153</v>
      </c>
      <c r="E1188" s="77">
        <f t="shared" si="323"/>
        <v>46137</v>
      </c>
      <c r="F1188" s="77">
        <f t="shared" si="324"/>
        <v>46144</v>
      </c>
      <c r="G1188" s="77">
        <f t="shared" si="325"/>
        <v>46150</v>
      </c>
      <c r="H1188" s="77">
        <f t="shared" si="326"/>
        <v>46138</v>
      </c>
      <c r="I1188" s="77">
        <f t="shared" si="327"/>
        <v>46145</v>
      </c>
      <c r="J1188" s="25"/>
      <c r="K1188" s="25"/>
      <c r="L1188" s="25"/>
      <c r="M1188" s="25"/>
      <c r="N1188" s="25"/>
      <c r="O1188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802:A922">
    <cfRule type="expression" dxfId="55" priority="22">
      <formula>$L802&gt;0</formula>
    </cfRule>
  </conditionalFormatting>
  <conditionalFormatting sqref="A579:B710 J610:J713 A1189:C1048576">
    <cfRule type="expression" dxfId="53" priority="93">
      <formula>$L579&gt;0</formula>
    </cfRule>
  </conditionalFormatting>
  <conditionalFormatting sqref="A711:B715 J712:J715">
    <cfRule type="expression" dxfId="52" priority="97">
      <formula>$N715&gt;0</formula>
    </cfRule>
  </conditionalFormatting>
  <conditionalFormatting sqref="A716:B801">
    <cfRule type="expression" dxfId="51" priority="54">
      <formula>$L716&gt;0</formula>
    </cfRule>
  </conditionalFormatting>
  <conditionalFormatting sqref="A885:B922">
    <cfRule type="expression" dxfId="50" priority="21">
      <formula>$K885&gt;0</formula>
    </cfRule>
  </conditionalFormatting>
  <conditionalFormatting sqref="A1:C169 D349:I369 D370:J370 D373:K373 A373:C376 D374:I376 K374:K376 A381:K414 A416:I422 A463:I463 D483:I483 A483:C578">
    <cfRule type="expression" dxfId="49" priority="157">
      <formula>$L1&gt;0</formula>
    </cfRule>
  </conditionalFormatting>
  <conditionalFormatting sqref="A189:C370">
    <cfRule type="expression" dxfId="48" priority="145">
      <formula>$L189&gt;0</formula>
    </cfRule>
  </conditionalFormatting>
  <conditionalFormatting sqref="A415:I415 A423:I429 B430:I430 A430:A434 A431:K434 A435:I437 A438:K462 A464:K482">
    <cfRule type="expression" dxfId="47" priority="8980">
      <formula>#REF!&gt;0</formula>
    </cfRule>
  </conditionalFormatting>
  <conditionalFormatting sqref="A814:J884">
    <cfRule type="expression" dxfId="46" priority="45">
      <formula>$K814&gt;0</formula>
    </cfRule>
  </conditionalFormatting>
  <conditionalFormatting sqref="A371:K372 K372:K376 A377:K380">
    <cfRule type="expression" dxfId="45" priority="8978">
      <formula>#REF!&gt;0</formula>
    </cfRule>
  </conditionalFormatting>
  <conditionalFormatting sqref="B802:I802">
    <cfRule type="expression" dxfId="43" priority="57">
      <formula>$K802&gt;0</formula>
    </cfRule>
  </conditionalFormatting>
  <conditionalFormatting sqref="C579:I813 A803:B813">
    <cfRule type="expression" dxfId="42" priority="56">
      <formula>$K579&gt;0</formula>
    </cfRule>
  </conditionalFormatting>
  <conditionalFormatting sqref="C885:J922">
    <cfRule type="expression" dxfId="41" priority="27">
      <formula>$K885&gt;0</formula>
    </cfRule>
  </conditionalFormatting>
  <conditionalFormatting sqref="D1:I169 A170:J188 D189:I348 D363:I578">
    <cfRule type="expression" dxfId="40" priority="160">
      <formula>$K1&gt;0</formula>
    </cfRule>
  </conditionalFormatting>
  <conditionalFormatting sqref="D1189:I1048576">
    <cfRule type="expression" dxfId="39" priority="69">
      <formula>$K1189&gt;0</formula>
    </cfRule>
  </conditionalFormatting>
  <conditionalFormatting sqref="D484:K609">
    <cfRule type="expression" dxfId="38" priority="119">
      <formula>$L484&gt;0</formula>
    </cfRule>
  </conditionalFormatting>
  <conditionalFormatting sqref="J1:J247">
    <cfRule type="expression" dxfId="37" priority="149">
      <formula>$L1&gt;0</formula>
    </cfRule>
  </conditionalFormatting>
  <conditionalFormatting sqref="J248:J249">
    <cfRule type="expression" dxfId="36" priority="8943">
      <formula>$L247&gt;0</formula>
    </cfRule>
  </conditionalFormatting>
  <conditionalFormatting sqref="J250:J380">
    <cfRule type="expression" dxfId="35" priority="144">
      <formula>$L250&gt;0</formula>
    </cfRule>
  </conditionalFormatting>
  <conditionalFormatting sqref="J450:J578">
    <cfRule type="expression" dxfId="34" priority="120">
      <formula>$L450&gt;0</formula>
    </cfRule>
  </conditionalFormatting>
  <conditionalFormatting sqref="J716:J922 J1189:J1048576">
    <cfRule type="expression" dxfId="33" priority="26">
      <formula>$L716&gt;0</formula>
    </cfRule>
  </conditionalFormatting>
  <conditionalFormatting sqref="J723:J922">
    <cfRule type="expression" dxfId="32" priority="16">
      <formula>$N727&gt;0</formula>
    </cfRule>
  </conditionalFormatting>
  <conditionalFormatting sqref="J885:J922">
    <cfRule type="expression" dxfId="31" priority="17">
      <formula>$K885&gt;0</formula>
    </cfRule>
  </conditionalFormatting>
  <conditionalFormatting sqref="J415:K450">
    <cfRule type="expression" dxfId="28" priority="137">
      <formula>$L415&gt;0</formula>
    </cfRule>
  </conditionalFormatting>
  <conditionalFormatting sqref="J456:K457">
    <cfRule type="expression" dxfId="27" priority="136">
      <formula>$L456&gt;0</formula>
    </cfRule>
  </conditionalFormatting>
  <conditionalFormatting sqref="J463:K463">
    <cfRule type="expression" dxfId="26" priority="125">
      <formula>#REF!&gt;0</formula>
    </cfRule>
  </conditionalFormatting>
  <conditionalFormatting sqref="J483:K489">
    <cfRule type="expression" dxfId="25" priority="124">
      <formula>#REF!&gt;0</formula>
    </cfRule>
  </conditionalFormatting>
  <conditionalFormatting sqref="J501:K501 J501:J504">
    <cfRule type="expression" dxfId="24" priority="123">
      <formula>#REF!&gt;0</formula>
    </cfRule>
  </conditionalFormatting>
  <conditionalFormatting sqref="K450:K456">
    <cfRule type="expression" dxfId="23" priority="139">
      <formula>$L450&gt;0</formula>
    </cfRule>
  </conditionalFormatting>
  <conditionalFormatting sqref="K458:K489">
    <cfRule type="expression" dxfId="22" priority="129">
      <formula>$L458&gt;0</formula>
    </cfRule>
  </conditionalFormatting>
  <conditionalFormatting sqref="K501">
    <cfRule type="expression" dxfId="21" priority="122">
      <formula>$L501&gt;0</formula>
    </cfRule>
  </conditionalFormatting>
  <conditionalFormatting sqref="K609:K628">
    <cfRule type="expression" dxfId="20" priority="108">
      <formula>$L609&gt;0</formula>
    </cfRule>
  </conditionalFormatting>
  <conditionalFormatting sqref="K636:K642">
    <cfRule type="expression" dxfId="19" priority="109">
      <formula>$L636&gt;0</formula>
    </cfRule>
  </conditionalFormatting>
  <conditionalFormatting sqref="A923:A1188">
    <cfRule type="expression" dxfId="14" priority="8">
      <formula>$L923&gt;0</formula>
    </cfRule>
  </conditionalFormatting>
  <conditionalFormatting sqref="C1181:C1188">
    <cfRule type="expression" dxfId="13" priority="13">
      <formula>$K1181&gt;0</formula>
    </cfRule>
  </conditionalFormatting>
  <conditionalFormatting sqref="J923:J1188">
    <cfRule type="expression" dxfId="12" priority="12">
      <formula>$L923&gt;0</formula>
    </cfRule>
  </conditionalFormatting>
  <conditionalFormatting sqref="J961:J967">
    <cfRule type="expression" dxfId="11" priority="14">
      <formula>$N965&gt;0</formula>
    </cfRule>
  </conditionalFormatting>
  <conditionalFormatting sqref="A923:B942">
    <cfRule type="expression" dxfId="10" priority="11">
      <formula>$K923&gt;0</formula>
    </cfRule>
  </conditionalFormatting>
  <conditionalFormatting sqref="A943:B971">
    <cfRule type="expression" dxfId="9" priority="10">
      <formula>$K943&gt;0</formula>
    </cfRule>
  </conditionalFormatting>
  <conditionalFormatting sqref="A972:B1063">
    <cfRule type="expression" dxfId="8" priority="7">
      <formula>$K972&gt;0</formula>
    </cfRule>
  </conditionalFormatting>
  <conditionalFormatting sqref="B1123:B1188">
    <cfRule type="expression" dxfId="7" priority="6">
      <formula>$L1123&gt;0</formula>
    </cfRule>
  </conditionalFormatting>
  <conditionalFormatting sqref="C923:J1188 A1063:A1118 B1064:B1118 A1119:B1119 B1120:B1122 A1120:A1188">
    <cfRule type="expression" dxfId="6" priority="9">
      <formula>$K923&gt;0</formula>
    </cfRule>
  </conditionalFormatting>
  <conditionalFormatting sqref="D1182:J1188">
    <cfRule type="expression" dxfId="5" priority="3">
      <formula>$K1182&gt;0</formula>
    </cfRule>
  </conditionalFormatting>
  <conditionalFormatting sqref="J923:J959">
    <cfRule type="expression" dxfId="4" priority="5">
      <formula>$N927&gt;0</formula>
    </cfRule>
  </conditionalFormatting>
  <conditionalFormatting sqref="J923:J967">
    <cfRule type="expression" dxfId="3" priority="4">
      <formula>$K923&gt;0</formula>
    </cfRule>
  </conditionalFormatting>
  <conditionalFormatting sqref="J960">
    <cfRule type="expression" dxfId="2" priority="15">
      <formula>$N972&gt;0</formula>
    </cfRule>
  </conditionalFormatting>
  <conditionalFormatting sqref="J972:J978">
    <cfRule type="expression" dxfId="0" priority="1">
      <formula>$K972&gt;0</formula>
    </cfRule>
    <cfRule type="expression" dxfId="1" priority="2">
      <formula>$N976&gt;0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8" priority="10">
      <formula>$K2&gt;0</formula>
    </cfRule>
  </conditionalFormatting>
  <conditionalFormatting sqref="C2:C111">
    <cfRule type="expression" dxfId="17" priority="4">
      <formula>$K2&gt;0</formula>
    </cfRule>
  </conditionalFormatting>
  <conditionalFormatting sqref="C115:C119">
    <cfRule type="expression" dxfId="16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5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2026-04-19T13:26:36Z</dcterms:modified>
</cp:coreProperties>
</file>