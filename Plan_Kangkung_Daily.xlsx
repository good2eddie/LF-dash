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429951D4-2157-462F-905C-E6042DB2253B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externalReferences>
    <externalReference r:id="rId7"/>
  </externalReference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8" i="3" l="1"/>
  <c r="H898" i="3"/>
  <c r="G898" i="3"/>
  <c r="F898" i="3"/>
  <c r="E898" i="3"/>
  <c r="D898" i="3"/>
  <c r="C898" i="3"/>
  <c r="I897" i="3"/>
  <c r="H897" i="3"/>
  <c r="G897" i="3"/>
  <c r="F897" i="3"/>
  <c r="E897" i="3"/>
  <c r="D897" i="3"/>
  <c r="C897" i="3"/>
  <c r="I896" i="3"/>
  <c r="H896" i="3"/>
  <c r="G896" i="3"/>
  <c r="F896" i="3"/>
  <c r="E896" i="3"/>
  <c r="D896" i="3"/>
  <c r="C896" i="3"/>
  <c r="I895" i="3"/>
  <c r="H895" i="3"/>
  <c r="G895" i="3"/>
  <c r="F895" i="3"/>
  <c r="E895" i="3"/>
  <c r="D895" i="3"/>
  <c r="C895" i="3"/>
  <c r="I894" i="3"/>
  <c r="H894" i="3"/>
  <c r="G894" i="3"/>
  <c r="F894" i="3"/>
  <c r="E894" i="3"/>
  <c r="D894" i="3"/>
  <c r="C894" i="3"/>
  <c r="I893" i="3"/>
  <c r="H893" i="3"/>
  <c r="G893" i="3"/>
  <c r="F893" i="3"/>
  <c r="E893" i="3"/>
  <c r="D893" i="3"/>
  <c r="C893" i="3"/>
  <c r="C892" i="3"/>
  <c r="D892" i="3"/>
  <c r="E892" i="3"/>
  <c r="F892" i="3"/>
  <c r="G892" i="3"/>
  <c r="H892" i="3"/>
  <c r="I892" i="3"/>
  <c r="N690" i="3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I891" i="3"/>
  <c r="H891" i="3"/>
  <c r="G891" i="3"/>
  <c r="F891" i="3"/>
  <c r="E891" i="3"/>
  <c r="D891" i="3"/>
  <c r="C891" i="3"/>
  <c r="I890" i="3"/>
  <c r="H890" i="3"/>
  <c r="G890" i="3"/>
  <c r="F890" i="3"/>
  <c r="E890" i="3"/>
  <c r="D890" i="3"/>
  <c r="C890" i="3"/>
  <c r="I889" i="3"/>
  <c r="H889" i="3"/>
  <c r="G889" i="3"/>
  <c r="F889" i="3"/>
  <c r="E889" i="3"/>
  <c r="D889" i="3"/>
  <c r="C889" i="3"/>
  <c r="I888" i="3"/>
  <c r="H888" i="3"/>
  <c r="G888" i="3"/>
  <c r="F888" i="3"/>
  <c r="E888" i="3"/>
  <c r="D888" i="3"/>
  <c r="C888" i="3"/>
  <c r="I887" i="3"/>
  <c r="H887" i="3"/>
  <c r="G887" i="3"/>
  <c r="F887" i="3"/>
  <c r="E887" i="3"/>
  <c r="D887" i="3"/>
  <c r="C887" i="3"/>
  <c r="I886" i="3"/>
  <c r="H886" i="3"/>
  <c r="G886" i="3"/>
  <c r="F886" i="3"/>
  <c r="E886" i="3"/>
  <c r="D886" i="3"/>
  <c r="C886" i="3"/>
  <c r="C885" i="3"/>
  <c r="D885" i="3"/>
  <c r="E885" i="3"/>
  <c r="F885" i="3"/>
  <c r="G885" i="3"/>
  <c r="H885" i="3"/>
  <c r="I885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884" i="3"/>
  <c r="H884" i="3"/>
  <c r="G884" i="3"/>
  <c r="F884" i="3"/>
  <c r="E884" i="3"/>
  <c r="D884" i="3"/>
  <c r="C884" i="3"/>
  <c r="I883" i="3"/>
  <c r="H883" i="3"/>
  <c r="G883" i="3"/>
  <c r="F883" i="3"/>
  <c r="E883" i="3"/>
  <c r="D883" i="3"/>
  <c r="C883" i="3"/>
  <c r="I882" i="3"/>
  <c r="H882" i="3"/>
  <c r="G882" i="3"/>
  <c r="F882" i="3"/>
  <c r="E882" i="3"/>
  <c r="D882" i="3"/>
  <c r="C882" i="3"/>
  <c r="I881" i="3"/>
  <c r="H881" i="3"/>
  <c r="G881" i="3"/>
  <c r="F881" i="3"/>
  <c r="E881" i="3"/>
  <c r="D881" i="3"/>
  <c r="C881" i="3"/>
  <c r="I880" i="3"/>
  <c r="H880" i="3"/>
  <c r="G880" i="3"/>
  <c r="F880" i="3"/>
  <c r="E880" i="3"/>
  <c r="D880" i="3"/>
  <c r="C880" i="3"/>
  <c r="I879" i="3"/>
  <c r="H879" i="3"/>
  <c r="G879" i="3"/>
  <c r="F879" i="3"/>
  <c r="E879" i="3"/>
  <c r="D879" i="3"/>
  <c r="C879" i="3"/>
  <c r="I878" i="3"/>
  <c r="H878" i="3"/>
  <c r="G878" i="3"/>
  <c r="F878" i="3"/>
  <c r="E878" i="3"/>
  <c r="D878" i="3"/>
  <c r="C878" i="3"/>
  <c r="I877" i="3"/>
  <c r="H877" i="3"/>
  <c r="G877" i="3"/>
  <c r="F877" i="3"/>
  <c r="E877" i="3"/>
  <c r="D877" i="3"/>
  <c r="C877" i="3"/>
  <c r="I876" i="3"/>
  <c r="H876" i="3"/>
  <c r="G876" i="3"/>
  <c r="F876" i="3"/>
  <c r="E876" i="3"/>
  <c r="D876" i="3"/>
  <c r="C876" i="3"/>
  <c r="I875" i="3"/>
  <c r="H875" i="3"/>
  <c r="G875" i="3"/>
  <c r="F875" i="3"/>
  <c r="E875" i="3"/>
  <c r="D875" i="3"/>
  <c r="C875" i="3"/>
  <c r="I874" i="3"/>
  <c r="H874" i="3"/>
  <c r="G874" i="3"/>
  <c r="F874" i="3"/>
  <c r="E874" i="3"/>
  <c r="D874" i="3"/>
  <c r="C874" i="3"/>
  <c r="I873" i="3"/>
  <c r="H873" i="3"/>
  <c r="G873" i="3"/>
  <c r="F873" i="3"/>
  <c r="E873" i="3"/>
  <c r="D873" i="3"/>
  <c r="C873" i="3"/>
  <c r="I872" i="3"/>
  <c r="H872" i="3"/>
  <c r="G872" i="3"/>
  <c r="F872" i="3"/>
  <c r="E872" i="3"/>
  <c r="D872" i="3"/>
  <c r="C872" i="3"/>
  <c r="I871" i="3"/>
  <c r="H871" i="3"/>
  <c r="G871" i="3"/>
  <c r="F871" i="3"/>
  <c r="E871" i="3"/>
  <c r="D871" i="3"/>
  <c r="C871" i="3"/>
  <c r="I870" i="3"/>
  <c r="H870" i="3"/>
  <c r="G870" i="3"/>
  <c r="F870" i="3"/>
  <c r="E870" i="3"/>
  <c r="D870" i="3"/>
  <c r="C870" i="3"/>
  <c r="I869" i="3"/>
  <c r="H869" i="3"/>
  <c r="G869" i="3"/>
  <c r="F869" i="3"/>
  <c r="E869" i="3"/>
  <c r="D869" i="3"/>
  <c r="C869" i="3"/>
  <c r="I868" i="3"/>
  <c r="H868" i="3"/>
  <c r="G868" i="3"/>
  <c r="F868" i="3"/>
  <c r="E868" i="3"/>
  <c r="D868" i="3"/>
  <c r="C868" i="3"/>
  <c r="I867" i="3"/>
  <c r="H867" i="3"/>
  <c r="G867" i="3"/>
  <c r="F867" i="3"/>
  <c r="E867" i="3"/>
  <c r="D867" i="3"/>
  <c r="C867" i="3"/>
  <c r="I866" i="3"/>
  <c r="H866" i="3"/>
  <c r="G866" i="3"/>
  <c r="F866" i="3"/>
  <c r="E866" i="3"/>
  <c r="D866" i="3"/>
  <c r="C866" i="3"/>
  <c r="I865" i="3"/>
  <c r="H865" i="3"/>
  <c r="G865" i="3"/>
  <c r="F865" i="3"/>
  <c r="E865" i="3"/>
  <c r="D865" i="3"/>
  <c r="C865" i="3"/>
  <c r="I864" i="3"/>
  <c r="H864" i="3"/>
  <c r="G864" i="3"/>
  <c r="F864" i="3"/>
  <c r="E864" i="3"/>
  <c r="D864" i="3"/>
  <c r="C864" i="3"/>
  <c r="I863" i="3"/>
  <c r="H863" i="3"/>
  <c r="G863" i="3"/>
  <c r="F863" i="3"/>
  <c r="E863" i="3"/>
  <c r="D863" i="3"/>
  <c r="C863" i="3"/>
  <c r="I862" i="3"/>
  <c r="H862" i="3"/>
  <c r="G862" i="3"/>
  <c r="F862" i="3"/>
  <c r="E862" i="3"/>
  <c r="D862" i="3"/>
  <c r="C862" i="3"/>
  <c r="I861" i="3"/>
  <c r="H861" i="3"/>
  <c r="G861" i="3"/>
  <c r="F861" i="3"/>
  <c r="E861" i="3"/>
  <c r="D861" i="3"/>
  <c r="C861" i="3"/>
  <c r="I860" i="3"/>
  <c r="H860" i="3"/>
  <c r="G860" i="3"/>
  <c r="F860" i="3"/>
  <c r="E860" i="3"/>
  <c r="D860" i="3"/>
  <c r="C860" i="3"/>
  <c r="I859" i="3"/>
  <c r="H859" i="3"/>
  <c r="G859" i="3"/>
  <c r="F859" i="3"/>
  <c r="E859" i="3"/>
  <c r="D859" i="3"/>
  <c r="C859" i="3"/>
  <c r="I858" i="3"/>
  <c r="H858" i="3"/>
  <c r="G858" i="3"/>
  <c r="F858" i="3"/>
  <c r="E858" i="3"/>
  <c r="D858" i="3"/>
  <c r="C858" i="3"/>
  <c r="I857" i="3"/>
  <c r="H857" i="3"/>
  <c r="G857" i="3"/>
  <c r="F857" i="3"/>
  <c r="E857" i="3"/>
  <c r="D857" i="3"/>
  <c r="C857" i="3"/>
  <c r="I856" i="3"/>
  <c r="H856" i="3"/>
  <c r="G856" i="3"/>
  <c r="F856" i="3"/>
  <c r="E856" i="3"/>
  <c r="D856" i="3"/>
  <c r="C856" i="3"/>
  <c r="I855" i="3"/>
  <c r="H855" i="3"/>
  <c r="G855" i="3"/>
  <c r="F855" i="3"/>
  <c r="E855" i="3"/>
  <c r="D855" i="3"/>
  <c r="C855" i="3"/>
  <c r="I854" i="3"/>
  <c r="H854" i="3"/>
  <c r="G854" i="3"/>
  <c r="F854" i="3"/>
  <c r="E854" i="3"/>
  <c r="D854" i="3"/>
  <c r="C854" i="3"/>
  <c r="I853" i="3"/>
  <c r="H853" i="3"/>
  <c r="G853" i="3"/>
  <c r="F853" i="3"/>
  <c r="E853" i="3"/>
  <c r="D853" i="3"/>
  <c r="C853" i="3"/>
  <c r="I852" i="3"/>
  <c r="H852" i="3"/>
  <c r="G852" i="3"/>
  <c r="F852" i="3"/>
  <c r="E852" i="3"/>
  <c r="D852" i="3"/>
  <c r="C852" i="3"/>
  <c r="I851" i="3"/>
  <c r="H851" i="3"/>
  <c r="G851" i="3"/>
  <c r="F851" i="3"/>
  <c r="E851" i="3"/>
  <c r="D851" i="3"/>
  <c r="C851" i="3"/>
  <c r="I850" i="3"/>
  <c r="H850" i="3"/>
  <c r="G850" i="3"/>
  <c r="F850" i="3"/>
  <c r="E850" i="3"/>
  <c r="D850" i="3"/>
  <c r="C850" i="3"/>
  <c r="I849" i="3"/>
  <c r="H849" i="3"/>
  <c r="G849" i="3"/>
  <c r="F849" i="3"/>
  <c r="E849" i="3"/>
  <c r="D849" i="3"/>
  <c r="C849" i="3"/>
  <c r="I848" i="3"/>
  <c r="H848" i="3"/>
  <c r="G848" i="3"/>
  <c r="F848" i="3"/>
  <c r="E848" i="3"/>
  <c r="D848" i="3"/>
  <c r="C848" i="3"/>
  <c r="I847" i="3"/>
  <c r="H847" i="3"/>
  <c r="G847" i="3"/>
  <c r="F847" i="3"/>
  <c r="E847" i="3"/>
  <c r="D847" i="3"/>
  <c r="C847" i="3"/>
  <c r="I846" i="3"/>
  <c r="H846" i="3"/>
  <c r="G846" i="3"/>
  <c r="F846" i="3"/>
  <c r="E846" i="3"/>
  <c r="D846" i="3"/>
  <c r="C846" i="3"/>
  <c r="I845" i="3"/>
  <c r="H845" i="3"/>
  <c r="G845" i="3"/>
  <c r="F845" i="3"/>
  <c r="E845" i="3"/>
  <c r="D845" i="3"/>
  <c r="C845" i="3"/>
  <c r="I844" i="3"/>
  <c r="H844" i="3"/>
  <c r="G844" i="3"/>
  <c r="F844" i="3"/>
  <c r="E844" i="3"/>
  <c r="D844" i="3"/>
  <c r="C844" i="3"/>
  <c r="I843" i="3"/>
  <c r="H843" i="3"/>
  <c r="G843" i="3"/>
  <c r="F843" i="3"/>
  <c r="E843" i="3"/>
  <c r="D843" i="3"/>
  <c r="C843" i="3"/>
  <c r="I842" i="3"/>
  <c r="H842" i="3"/>
  <c r="G842" i="3"/>
  <c r="F842" i="3"/>
  <c r="E842" i="3"/>
  <c r="D842" i="3"/>
  <c r="C842" i="3"/>
  <c r="I841" i="3"/>
  <c r="H841" i="3"/>
  <c r="G841" i="3"/>
  <c r="F841" i="3"/>
  <c r="E841" i="3"/>
  <c r="D841" i="3"/>
  <c r="C841" i="3"/>
  <c r="I840" i="3"/>
  <c r="H840" i="3"/>
  <c r="G840" i="3"/>
  <c r="F840" i="3"/>
  <c r="E840" i="3"/>
  <c r="D840" i="3"/>
  <c r="C840" i="3"/>
  <c r="I839" i="3"/>
  <c r="H839" i="3"/>
  <c r="G839" i="3"/>
  <c r="F839" i="3"/>
  <c r="E839" i="3"/>
  <c r="D839" i="3"/>
  <c r="C839" i="3"/>
  <c r="I838" i="3"/>
  <c r="H838" i="3"/>
  <c r="G838" i="3"/>
  <c r="F838" i="3"/>
  <c r="E838" i="3"/>
  <c r="D838" i="3"/>
  <c r="C838" i="3"/>
  <c r="I837" i="3"/>
  <c r="H837" i="3"/>
  <c r="G837" i="3"/>
  <c r="F837" i="3"/>
  <c r="E837" i="3"/>
  <c r="D837" i="3"/>
  <c r="C837" i="3"/>
  <c r="I836" i="3"/>
  <c r="H836" i="3"/>
  <c r="G836" i="3"/>
  <c r="F836" i="3"/>
  <c r="E836" i="3"/>
  <c r="D836" i="3"/>
  <c r="C836" i="3"/>
  <c r="I835" i="3"/>
  <c r="H835" i="3"/>
  <c r="G835" i="3"/>
  <c r="F835" i="3"/>
  <c r="E835" i="3"/>
  <c r="D835" i="3"/>
  <c r="C835" i="3"/>
  <c r="I834" i="3"/>
  <c r="H834" i="3"/>
  <c r="G834" i="3"/>
  <c r="F834" i="3"/>
  <c r="E834" i="3"/>
  <c r="D834" i="3"/>
  <c r="C834" i="3"/>
  <c r="I833" i="3"/>
  <c r="H833" i="3"/>
  <c r="G833" i="3"/>
  <c r="F833" i="3"/>
  <c r="E833" i="3"/>
  <c r="D833" i="3"/>
  <c r="C833" i="3"/>
  <c r="I832" i="3"/>
  <c r="H832" i="3"/>
  <c r="G832" i="3"/>
  <c r="F832" i="3"/>
  <c r="E832" i="3"/>
  <c r="D832" i="3"/>
  <c r="C832" i="3"/>
  <c r="I831" i="3"/>
  <c r="H831" i="3"/>
  <c r="G831" i="3"/>
  <c r="F831" i="3"/>
  <c r="E831" i="3"/>
  <c r="D831" i="3"/>
  <c r="C831" i="3"/>
  <c r="I830" i="3"/>
  <c r="H830" i="3"/>
  <c r="G830" i="3"/>
  <c r="F830" i="3"/>
  <c r="E830" i="3"/>
  <c r="D830" i="3"/>
  <c r="C830" i="3"/>
  <c r="I829" i="3"/>
  <c r="H829" i="3"/>
  <c r="G829" i="3"/>
  <c r="F829" i="3"/>
  <c r="E829" i="3"/>
  <c r="D829" i="3"/>
  <c r="C829" i="3"/>
  <c r="I828" i="3"/>
  <c r="H828" i="3"/>
  <c r="G828" i="3"/>
  <c r="F828" i="3"/>
  <c r="E828" i="3"/>
  <c r="D828" i="3"/>
  <c r="C828" i="3"/>
  <c r="I827" i="3"/>
  <c r="H827" i="3"/>
  <c r="G827" i="3"/>
  <c r="F827" i="3"/>
  <c r="E827" i="3"/>
  <c r="D827" i="3"/>
  <c r="C827" i="3"/>
  <c r="I826" i="3"/>
  <c r="H826" i="3"/>
  <c r="G826" i="3"/>
  <c r="F826" i="3"/>
  <c r="E826" i="3"/>
  <c r="D826" i="3"/>
  <c r="C826" i="3"/>
  <c r="I825" i="3"/>
  <c r="H825" i="3"/>
  <c r="G825" i="3"/>
  <c r="F825" i="3"/>
  <c r="E825" i="3"/>
  <c r="D825" i="3"/>
  <c r="C825" i="3"/>
  <c r="I824" i="3"/>
  <c r="H824" i="3"/>
  <c r="G824" i="3"/>
  <c r="F824" i="3"/>
  <c r="E824" i="3"/>
  <c r="D824" i="3"/>
  <c r="C824" i="3"/>
  <c r="I823" i="3"/>
  <c r="H823" i="3"/>
  <c r="G823" i="3"/>
  <c r="F823" i="3"/>
  <c r="E823" i="3"/>
  <c r="D823" i="3"/>
  <c r="C823" i="3"/>
  <c r="I822" i="3"/>
  <c r="H822" i="3"/>
  <c r="G822" i="3"/>
  <c r="F822" i="3"/>
  <c r="E822" i="3"/>
  <c r="D822" i="3"/>
  <c r="C822" i="3"/>
  <c r="I821" i="3"/>
  <c r="H821" i="3"/>
  <c r="G821" i="3"/>
  <c r="F821" i="3"/>
  <c r="E821" i="3"/>
  <c r="D821" i="3"/>
  <c r="C821" i="3"/>
  <c r="I820" i="3"/>
  <c r="H820" i="3"/>
  <c r="G820" i="3"/>
  <c r="F820" i="3"/>
  <c r="E820" i="3"/>
  <c r="D820" i="3"/>
  <c r="C820" i="3"/>
  <c r="I819" i="3"/>
  <c r="H819" i="3"/>
  <c r="G819" i="3"/>
  <c r="F819" i="3"/>
  <c r="E819" i="3"/>
  <c r="D819" i="3"/>
  <c r="C819" i="3"/>
  <c r="I818" i="3"/>
  <c r="H818" i="3"/>
  <c r="G818" i="3"/>
  <c r="F818" i="3"/>
  <c r="E818" i="3"/>
  <c r="D818" i="3"/>
  <c r="C818" i="3"/>
  <c r="I817" i="3"/>
  <c r="H817" i="3"/>
  <c r="G817" i="3"/>
  <c r="F817" i="3"/>
  <c r="E817" i="3"/>
  <c r="D817" i="3"/>
  <c r="C817" i="3"/>
  <c r="I816" i="3"/>
  <c r="H816" i="3"/>
  <c r="G816" i="3"/>
  <c r="F816" i="3"/>
  <c r="E816" i="3"/>
  <c r="D816" i="3"/>
  <c r="C816" i="3"/>
  <c r="I815" i="3"/>
  <c r="H815" i="3"/>
  <c r="G815" i="3"/>
  <c r="F815" i="3"/>
  <c r="E815" i="3"/>
  <c r="D815" i="3"/>
  <c r="C815" i="3"/>
  <c r="I814" i="3"/>
  <c r="H814" i="3"/>
  <c r="G814" i="3"/>
  <c r="F814" i="3"/>
  <c r="E814" i="3"/>
  <c r="D814" i="3"/>
  <c r="C814" i="3"/>
  <c r="I813" i="3"/>
  <c r="H813" i="3"/>
  <c r="G813" i="3"/>
  <c r="F813" i="3"/>
  <c r="E813" i="3"/>
  <c r="D813" i="3"/>
  <c r="C813" i="3"/>
  <c r="I812" i="3"/>
  <c r="H812" i="3"/>
  <c r="G812" i="3"/>
  <c r="F812" i="3"/>
  <c r="E812" i="3"/>
  <c r="D812" i="3"/>
  <c r="C812" i="3"/>
  <c r="I811" i="3"/>
  <c r="H811" i="3"/>
  <c r="G811" i="3"/>
  <c r="F811" i="3"/>
  <c r="E811" i="3"/>
  <c r="D811" i="3"/>
  <c r="C811" i="3"/>
  <c r="I810" i="3"/>
  <c r="H810" i="3"/>
  <c r="G810" i="3"/>
  <c r="F810" i="3"/>
  <c r="E810" i="3"/>
  <c r="D810" i="3"/>
  <c r="C810" i="3"/>
  <c r="I809" i="3"/>
  <c r="H809" i="3"/>
  <c r="G809" i="3"/>
  <c r="F809" i="3"/>
  <c r="E809" i="3"/>
  <c r="D809" i="3"/>
  <c r="C809" i="3"/>
  <c r="I808" i="3"/>
  <c r="H808" i="3"/>
  <c r="G808" i="3"/>
  <c r="F808" i="3"/>
  <c r="E808" i="3"/>
  <c r="D808" i="3"/>
  <c r="C808" i="3"/>
  <c r="I807" i="3"/>
  <c r="H807" i="3"/>
  <c r="G807" i="3"/>
  <c r="F807" i="3"/>
  <c r="E807" i="3"/>
  <c r="D807" i="3"/>
  <c r="C807" i="3"/>
  <c r="I806" i="3"/>
  <c r="H806" i="3"/>
  <c r="G806" i="3"/>
  <c r="F806" i="3"/>
  <c r="E806" i="3"/>
  <c r="D806" i="3"/>
  <c r="C806" i="3"/>
  <c r="I805" i="3"/>
  <c r="H805" i="3"/>
  <c r="G805" i="3"/>
  <c r="F805" i="3"/>
  <c r="E805" i="3"/>
  <c r="D805" i="3"/>
  <c r="C805" i="3"/>
  <c r="I804" i="3"/>
  <c r="H804" i="3"/>
  <c r="G804" i="3"/>
  <c r="F804" i="3"/>
  <c r="E804" i="3"/>
  <c r="D804" i="3"/>
  <c r="C804" i="3"/>
  <c r="I803" i="3"/>
  <c r="H803" i="3"/>
  <c r="G803" i="3"/>
  <c r="F803" i="3"/>
  <c r="E803" i="3"/>
  <c r="D803" i="3"/>
  <c r="C803" i="3"/>
  <c r="I802" i="3"/>
  <c r="H802" i="3"/>
  <c r="G802" i="3"/>
  <c r="F802" i="3"/>
  <c r="E802" i="3"/>
  <c r="D802" i="3"/>
  <c r="C802" i="3"/>
  <c r="I801" i="3"/>
  <c r="H801" i="3"/>
  <c r="G801" i="3"/>
  <c r="F801" i="3"/>
  <c r="E801" i="3"/>
  <c r="D801" i="3"/>
  <c r="C801" i="3"/>
  <c r="I800" i="3"/>
  <c r="H800" i="3"/>
  <c r="G800" i="3"/>
  <c r="F800" i="3"/>
  <c r="E800" i="3"/>
  <c r="D800" i="3"/>
  <c r="C800" i="3"/>
  <c r="I799" i="3"/>
  <c r="H799" i="3"/>
  <c r="G799" i="3"/>
  <c r="F799" i="3"/>
  <c r="E799" i="3"/>
  <c r="D799" i="3"/>
  <c r="C799" i="3"/>
  <c r="I798" i="3"/>
  <c r="H798" i="3"/>
  <c r="G798" i="3"/>
  <c r="F798" i="3"/>
  <c r="E798" i="3"/>
  <c r="D798" i="3"/>
  <c r="C798" i="3"/>
  <c r="I797" i="3"/>
  <c r="H797" i="3"/>
  <c r="G797" i="3"/>
  <c r="F797" i="3"/>
  <c r="E797" i="3"/>
  <c r="D797" i="3"/>
  <c r="C797" i="3"/>
  <c r="I796" i="3"/>
  <c r="H796" i="3"/>
  <c r="G796" i="3"/>
  <c r="F796" i="3"/>
  <c r="E796" i="3"/>
  <c r="D796" i="3"/>
  <c r="C796" i="3"/>
  <c r="I795" i="3"/>
  <c r="H795" i="3"/>
  <c r="G795" i="3"/>
  <c r="F795" i="3"/>
  <c r="E795" i="3"/>
  <c r="D795" i="3"/>
  <c r="C795" i="3"/>
  <c r="I794" i="3"/>
  <c r="H794" i="3"/>
  <c r="G794" i="3"/>
  <c r="F794" i="3"/>
  <c r="E794" i="3"/>
  <c r="D794" i="3"/>
  <c r="C794" i="3"/>
  <c r="I793" i="3"/>
  <c r="H793" i="3"/>
  <c r="G793" i="3"/>
  <c r="F793" i="3"/>
  <c r="E793" i="3"/>
  <c r="D793" i="3"/>
  <c r="C793" i="3"/>
  <c r="I792" i="3"/>
  <c r="H792" i="3"/>
  <c r="G792" i="3"/>
  <c r="F792" i="3"/>
  <c r="E792" i="3"/>
  <c r="D792" i="3"/>
  <c r="C792" i="3"/>
  <c r="I791" i="3"/>
  <c r="H791" i="3"/>
  <c r="G791" i="3"/>
  <c r="F791" i="3"/>
  <c r="E791" i="3"/>
  <c r="D791" i="3"/>
  <c r="C791" i="3"/>
  <c r="I790" i="3"/>
  <c r="H790" i="3"/>
  <c r="G790" i="3"/>
  <c r="F790" i="3"/>
  <c r="E790" i="3"/>
  <c r="D790" i="3"/>
  <c r="C790" i="3"/>
  <c r="I789" i="3"/>
  <c r="H789" i="3"/>
  <c r="G789" i="3"/>
  <c r="F789" i="3"/>
  <c r="E789" i="3"/>
  <c r="D789" i="3"/>
  <c r="C789" i="3"/>
  <c r="I788" i="3"/>
  <c r="H788" i="3"/>
  <c r="G788" i="3"/>
  <c r="F788" i="3"/>
  <c r="E788" i="3"/>
  <c r="D788" i="3"/>
  <c r="C788" i="3"/>
  <c r="I787" i="3"/>
  <c r="H787" i="3"/>
  <c r="G787" i="3"/>
  <c r="F787" i="3"/>
  <c r="E787" i="3"/>
  <c r="D787" i="3"/>
  <c r="C787" i="3"/>
  <c r="I786" i="3"/>
  <c r="H786" i="3"/>
  <c r="G786" i="3"/>
  <c r="F786" i="3"/>
  <c r="E786" i="3"/>
  <c r="D786" i="3"/>
  <c r="C786" i="3"/>
  <c r="I785" i="3"/>
  <c r="H785" i="3"/>
  <c r="G785" i="3"/>
  <c r="F785" i="3"/>
  <c r="E785" i="3"/>
  <c r="D785" i="3"/>
  <c r="C785" i="3"/>
  <c r="I784" i="3"/>
  <c r="H784" i="3"/>
  <c r="G784" i="3"/>
  <c r="F784" i="3"/>
  <c r="E784" i="3"/>
  <c r="D784" i="3"/>
  <c r="C784" i="3"/>
  <c r="I783" i="3"/>
  <c r="H783" i="3"/>
  <c r="G783" i="3"/>
  <c r="F783" i="3"/>
  <c r="E783" i="3"/>
  <c r="D783" i="3"/>
  <c r="C783" i="3"/>
  <c r="I782" i="3"/>
  <c r="H782" i="3"/>
  <c r="G782" i="3"/>
  <c r="F782" i="3"/>
  <c r="E782" i="3"/>
  <c r="D782" i="3"/>
  <c r="C782" i="3"/>
  <c r="I781" i="3"/>
  <c r="H781" i="3"/>
  <c r="G781" i="3"/>
  <c r="F781" i="3"/>
  <c r="E781" i="3"/>
  <c r="D781" i="3"/>
  <c r="C781" i="3"/>
  <c r="I780" i="3"/>
  <c r="H780" i="3"/>
  <c r="G780" i="3"/>
  <c r="F780" i="3"/>
  <c r="E780" i="3"/>
  <c r="D780" i="3"/>
  <c r="C780" i="3"/>
  <c r="I779" i="3"/>
  <c r="H779" i="3"/>
  <c r="G779" i="3"/>
  <c r="F779" i="3"/>
  <c r="E779" i="3"/>
  <c r="D779" i="3"/>
  <c r="C779" i="3"/>
  <c r="I778" i="3"/>
  <c r="H778" i="3"/>
  <c r="G778" i="3"/>
  <c r="F778" i="3"/>
  <c r="E778" i="3"/>
  <c r="D778" i="3"/>
  <c r="C778" i="3"/>
  <c r="I777" i="3"/>
  <c r="H777" i="3"/>
  <c r="G777" i="3"/>
  <c r="F777" i="3"/>
  <c r="E777" i="3"/>
  <c r="D777" i="3"/>
  <c r="C777" i="3"/>
  <c r="I776" i="3"/>
  <c r="H776" i="3"/>
  <c r="G776" i="3"/>
  <c r="F776" i="3"/>
  <c r="E776" i="3"/>
  <c r="D776" i="3"/>
  <c r="C776" i="3"/>
  <c r="I775" i="3"/>
  <c r="H775" i="3"/>
  <c r="G775" i="3"/>
  <c r="F775" i="3"/>
  <c r="E775" i="3"/>
  <c r="D775" i="3"/>
  <c r="C775" i="3"/>
  <c r="I774" i="3"/>
  <c r="H774" i="3"/>
  <c r="G774" i="3"/>
  <c r="F774" i="3"/>
  <c r="E774" i="3"/>
  <c r="D774" i="3"/>
  <c r="C774" i="3"/>
  <c r="I773" i="3"/>
  <c r="H773" i="3"/>
  <c r="G773" i="3"/>
  <c r="F773" i="3"/>
  <c r="E773" i="3"/>
  <c r="D773" i="3"/>
  <c r="C773" i="3"/>
  <c r="I772" i="3"/>
  <c r="H772" i="3"/>
  <c r="G772" i="3"/>
  <c r="F772" i="3"/>
  <c r="E772" i="3"/>
  <c r="D772" i="3"/>
  <c r="C772" i="3"/>
  <c r="I771" i="3"/>
  <c r="H771" i="3"/>
  <c r="G771" i="3"/>
  <c r="F771" i="3"/>
  <c r="E771" i="3"/>
  <c r="D771" i="3"/>
  <c r="C771" i="3"/>
  <c r="I770" i="3"/>
  <c r="H770" i="3"/>
  <c r="G770" i="3"/>
  <c r="F770" i="3"/>
  <c r="E770" i="3"/>
  <c r="D770" i="3"/>
  <c r="C770" i="3"/>
  <c r="I769" i="3"/>
  <c r="H769" i="3"/>
  <c r="G769" i="3"/>
  <c r="F769" i="3"/>
  <c r="E769" i="3"/>
  <c r="D769" i="3"/>
  <c r="C769" i="3"/>
  <c r="I768" i="3"/>
  <c r="H768" i="3"/>
  <c r="G768" i="3"/>
  <c r="F768" i="3"/>
  <c r="E768" i="3"/>
  <c r="D768" i="3"/>
  <c r="C768" i="3"/>
  <c r="I767" i="3"/>
  <c r="H767" i="3"/>
  <c r="G767" i="3"/>
  <c r="F767" i="3"/>
  <c r="E767" i="3"/>
  <c r="D767" i="3"/>
  <c r="C767" i="3"/>
  <c r="I766" i="3"/>
  <c r="H766" i="3"/>
  <c r="G766" i="3"/>
  <c r="F766" i="3"/>
  <c r="E766" i="3"/>
  <c r="D766" i="3"/>
  <c r="C766" i="3"/>
  <c r="I765" i="3"/>
  <c r="H765" i="3"/>
  <c r="G765" i="3"/>
  <c r="F765" i="3"/>
  <c r="E765" i="3"/>
  <c r="D765" i="3"/>
  <c r="C765" i="3"/>
  <c r="I764" i="3"/>
  <c r="H764" i="3"/>
  <c r="G764" i="3"/>
  <c r="F764" i="3"/>
  <c r="E764" i="3"/>
  <c r="D764" i="3"/>
  <c r="C764" i="3"/>
  <c r="I763" i="3"/>
  <c r="H763" i="3"/>
  <c r="G763" i="3"/>
  <c r="F763" i="3"/>
  <c r="E763" i="3"/>
  <c r="D763" i="3"/>
  <c r="C763" i="3"/>
  <c r="I762" i="3"/>
  <c r="H762" i="3"/>
  <c r="G762" i="3"/>
  <c r="F762" i="3"/>
  <c r="E762" i="3"/>
  <c r="D762" i="3"/>
  <c r="C762" i="3"/>
  <c r="I761" i="3"/>
  <c r="H761" i="3"/>
  <c r="G761" i="3"/>
  <c r="F761" i="3"/>
  <c r="E761" i="3"/>
  <c r="D761" i="3"/>
  <c r="C761" i="3"/>
  <c r="I760" i="3"/>
  <c r="H760" i="3"/>
  <c r="G760" i="3"/>
  <c r="F760" i="3"/>
  <c r="E760" i="3"/>
  <c r="D760" i="3"/>
  <c r="C760" i="3"/>
  <c r="I759" i="3"/>
  <c r="H759" i="3"/>
  <c r="G759" i="3"/>
  <c r="F759" i="3"/>
  <c r="E759" i="3"/>
  <c r="D759" i="3"/>
  <c r="C759" i="3"/>
  <c r="I758" i="3"/>
  <c r="H758" i="3"/>
  <c r="G758" i="3"/>
  <c r="F758" i="3"/>
  <c r="E758" i="3"/>
  <c r="D758" i="3"/>
  <c r="C758" i="3"/>
  <c r="I757" i="3"/>
  <c r="H757" i="3"/>
  <c r="G757" i="3"/>
  <c r="F757" i="3"/>
  <c r="E757" i="3"/>
  <c r="D757" i="3"/>
  <c r="C757" i="3"/>
  <c r="I756" i="3"/>
  <c r="H756" i="3"/>
  <c r="G756" i="3"/>
  <c r="F756" i="3"/>
  <c r="E756" i="3"/>
  <c r="D756" i="3"/>
  <c r="C756" i="3"/>
  <c r="I755" i="3"/>
  <c r="H755" i="3"/>
  <c r="G755" i="3"/>
  <c r="F755" i="3"/>
  <c r="E755" i="3"/>
  <c r="D755" i="3"/>
  <c r="C755" i="3"/>
  <c r="I754" i="3"/>
  <c r="H754" i="3"/>
  <c r="G754" i="3"/>
  <c r="F754" i="3"/>
  <c r="E754" i="3"/>
  <c r="D754" i="3"/>
  <c r="C754" i="3"/>
  <c r="I753" i="3"/>
  <c r="H753" i="3"/>
  <c r="G753" i="3"/>
  <c r="F753" i="3"/>
  <c r="E753" i="3"/>
  <c r="D753" i="3"/>
  <c r="C753" i="3"/>
  <c r="I752" i="3"/>
  <c r="H752" i="3"/>
  <c r="G752" i="3"/>
  <c r="F752" i="3"/>
  <c r="E752" i="3"/>
  <c r="D752" i="3"/>
  <c r="C752" i="3"/>
  <c r="I751" i="3"/>
  <c r="H751" i="3"/>
  <c r="G751" i="3"/>
  <c r="F751" i="3"/>
  <c r="E751" i="3"/>
  <c r="D751" i="3"/>
  <c r="C751" i="3"/>
  <c r="I750" i="3"/>
  <c r="H750" i="3"/>
  <c r="G750" i="3"/>
  <c r="F750" i="3"/>
  <c r="E750" i="3"/>
  <c r="D750" i="3"/>
  <c r="C750" i="3"/>
  <c r="I749" i="3"/>
  <c r="H749" i="3"/>
  <c r="G749" i="3"/>
  <c r="F749" i="3"/>
  <c r="E749" i="3"/>
  <c r="D749" i="3"/>
  <c r="C749" i="3"/>
  <c r="I748" i="3"/>
  <c r="H748" i="3"/>
  <c r="G748" i="3"/>
  <c r="F748" i="3"/>
  <c r="E748" i="3"/>
  <c r="D748" i="3"/>
  <c r="C748" i="3"/>
  <c r="I747" i="3"/>
  <c r="H747" i="3"/>
  <c r="G747" i="3"/>
  <c r="F747" i="3"/>
  <c r="E747" i="3"/>
  <c r="D747" i="3"/>
  <c r="C747" i="3"/>
  <c r="I746" i="3"/>
  <c r="H746" i="3"/>
  <c r="G746" i="3"/>
  <c r="F746" i="3"/>
  <c r="E746" i="3"/>
  <c r="D746" i="3"/>
  <c r="C746" i="3"/>
  <c r="I745" i="3"/>
  <c r="H745" i="3"/>
  <c r="G745" i="3"/>
  <c r="F745" i="3"/>
  <c r="E745" i="3"/>
  <c r="D745" i="3"/>
  <c r="C745" i="3"/>
  <c r="I744" i="3"/>
  <c r="H744" i="3"/>
  <c r="G744" i="3"/>
  <c r="F744" i="3"/>
  <c r="E744" i="3"/>
  <c r="D744" i="3"/>
  <c r="C744" i="3"/>
  <c r="I743" i="3"/>
  <c r="H743" i="3"/>
  <c r="G743" i="3"/>
  <c r="F743" i="3"/>
  <c r="E743" i="3"/>
  <c r="D743" i="3"/>
  <c r="C743" i="3"/>
  <c r="I742" i="3"/>
  <c r="H742" i="3"/>
  <c r="G742" i="3"/>
  <c r="F742" i="3"/>
  <c r="E742" i="3"/>
  <c r="D742" i="3"/>
  <c r="C742" i="3"/>
  <c r="I741" i="3"/>
  <c r="H741" i="3"/>
  <c r="G741" i="3"/>
  <c r="F741" i="3"/>
  <c r="E741" i="3"/>
  <c r="D741" i="3"/>
  <c r="C741" i="3"/>
  <c r="I740" i="3"/>
  <c r="H740" i="3"/>
  <c r="G740" i="3"/>
  <c r="F740" i="3"/>
  <c r="E740" i="3"/>
  <c r="D740" i="3"/>
  <c r="C740" i="3"/>
  <c r="I739" i="3"/>
  <c r="H739" i="3"/>
  <c r="G739" i="3"/>
  <c r="F739" i="3"/>
  <c r="E739" i="3"/>
  <c r="D739" i="3"/>
  <c r="C739" i="3"/>
  <c r="I738" i="3"/>
  <c r="H738" i="3"/>
  <c r="G738" i="3"/>
  <c r="F738" i="3"/>
  <c r="E738" i="3"/>
  <c r="D738" i="3"/>
  <c r="C738" i="3"/>
  <c r="I737" i="3"/>
  <c r="H737" i="3"/>
  <c r="G737" i="3"/>
  <c r="F737" i="3"/>
  <c r="E737" i="3"/>
  <c r="D737" i="3"/>
  <c r="C737" i="3"/>
  <c r="I736" i="3"/>
  <c r="H736" i="3"/>
  <c r="G736" i="3"/>
  <c r="F736" i="3"/>
  <c r="E736" i="3"/>
  <c r="D736" i="3"/>
  <c r="C736" i="3"/>
  <c r="I735" i="3"/>
  <c r="H735" i="3"/>
  <c r="G735" i="3"/>
  <c r="F735" i="3"/>
  <c r="E735" i="3"/>
  <c r="D735" i="3"/>
  <c r="C735" i="3"/>
  <c r="I734" i="3"/>
  <c r="H734" i="3"/>
  <c r="G734" i="3"/>
  <c r="F734" i="3"/>
  <c r="E734" i="3"/>
  <c r="D734" i="3"/>
  <c r="C734" i="3"/>
  <c r="I733" i="3"/>
  <c r="H733" i="3"/>
  <c r="G733" i="3"/>
  <c r="F733" i="3"/>
  <c r="E733" i="3"/>
  <c r="D733" i="3"/>
  <c r="C733" i="3"/>
  <c r="I732" i="3"/>
  <c r="H732" i="3"/>
  <c r="G732" i="3"/>
  <c r="F732" i="3"/>
  <c r="E732" i="3"/>
  <c r="D732" i="3"/>
  <c r="C732" i="3"/>
  <c r="I731" i="3"/>
  <c r="H731" i="3"/>
  <c r="G731" i="3"/>
  <c r="F731" i="3"/>
  <c r="E731" i="3"/>
  <c r="D731" i="3"/>
  <c r="C731" i="3"/>
  <c r="I730" i="3"/>
  <c r="H730" i="3"/>
  <c r="G730" i="3"/>
  <c r="F730" i="3"/>
  <c r="E730" i="3"/>
  <c r="D730" i="3"/>
  <c r="C730" i="3"/>
  <c r="I729" i="3"/>
  <c r="H729" i="3"/>
  <c r="G729" i="3"/>
  <c r="F729" i="3"/>
  <c r="E729" i="3"/>
  <c r="D729" i="3"/>
  <c r="C729" i="3"/>
  <c r="I728" i="3"/>
  <c r="H728" i="3"/>
  <c r="G728" i="3"/>
  <c r="F728" i="3"/>
  <c r="E728" i="3"/>
  <c r="D728" i="3"/>
  <c r="C728" i="3"/>
  <c r="I727" i="3"/>
  <c r="H727" i="3"/>
  <c r="G727" i="3"/>
  <c r="F727" i="3"/>
  <c r="E727" i="3"/>
  <c r="D727" i="3"/>
  <c r="C727" i="3"/>
  <c r="I726" i="3"/>
  <c r="H726" i="3"/>
  <c r="G726" i="3"/>
  <c r="F726" i="3"/>
  <c r="E726" i="3"/>
  <c r="D726" i="3"/>
  <c r="C726" i="3"/>
  <c r="I725" i="3"/>
  <c r="H725" i="3"/>
  <c r="G725" i="3"/>
  <c r="F725" i="3"/>
  <c r="E725" i="3"/>
  <c r="D725" i="3"/>
  <c r="C725" i="3"/>
  <c r="I724" i="3"/>
  <c r="H724" i="3"/>
  <c r="G724" i="3"/>
  <c r="F724" i="3"/>
  <c r="E724" i="3"/>
  <c r="D724" i="3"/>
  <c r="C724" i="3"/>
  <c r="I723" i="3"/>
  <c r="H723" i="3"/>
  <c r="G723" i="3"/>
  <c r="F723" i="3"/>
  <c r="E723" i="3"/>
  <c r="D723" i="3"/>
  <c r="C723" i="3"/>
  <c r="I722" i="3"/>
  <c r="H722" i="3"/>
  <c r="G722" i="3"/>
  <c r="F722" i="3"/>
  <c r="E722" i="3"/>
  <c r="D722" i="3"/>
  <c r="C722" i="3"/>
  <c r="I721" i="3"/>
  <c r="H721" i="3"/>
  <c r="G721" i="3"/>
  <c r="F721" i="3"/>
  <c r="E721" i="3"/>
  <c r="D721" i="3"/>
  <c r="C721" i="3"/>
  <c r="I720" i="3"/>
  <c r="H720" i="3"/>
  <c r="G720" i="3"/>
  <c r="F720" i="3"/>
  <c r="E720" i="3"/>
  <c r="D720" i="3"/>
  <c r="C720" i="3"/>
  <c r="I719" i="3"/>
  <c r="H719" i="3"/>
  <c r="G719" i="3"/>
  <c r="F719" i="3"/>
  <c r="E719" i="3"/>
  <c r="D719" i="3"/>
  <c r="C719" i="3"/>
  <c r="I718" i="3"/>
  <c r="H718" i="3"/>
  <c r="G718" i="3"/>
  <c r="F718" i="3"/>
  <c r="E718" i="3"/>
  <c r="D718" i="3"/>
  <c r="C718" i="3"/>
  <c r="I717" i="3"/>
  <c r="H717" i="3"/>
  <c r="G717" i="3"/>
  <c r="F717" i="3"/>
  <c r="E717" i="3"/>
  <c r="D717" i="3"/>
  <c r="C717" i="3"/>
  <c r="I716" i="3"/>
  <c r="H716" i="3"/>
  <c r="G716" i="3"/>
  <c r="F716" i="3"/>
  <c r="E716" i="3"/>
  <c r="D716" i="3"/>
  <c r="C716" i="3"/>
  <c r="I715" i="3"/>
  <c r="H715" i="3"/>
  <c r="G715" i="3"/>
  <c r="F715" i="3"/>
  <c r="E715" i="3"/>
  <c r="D715" i="3"/>
  <c r="C715" i="3"/>
  <c r="I714" i="3"/>
  <c r="H714" i="3"/>
  <c r="G714" i="3"/>
  <c r="F714" i="3"/>
  <c r="E714" i="3"/>
  <c r="D714" i="3"/>
  <c r="C714" i="3"/>
  <c r="I713" i="3"/>
  <c r="H713" i="3"/>
  <c r="G713" i="3"/>
  <c r="F713" i="3"/>
  <c r="E713" i="3"/>
  <c r="D713" i="3"/>
  <c r="C713" i="3"/>
  <c r="I712" i="3"/>
  <c r="H712" i="3"/>
  <c r="G712" i="3"/>
  <c r="F712" i="3"/>
  <c r="E712" i="3"/>
  <c r="D712" i="3"/>
  <c r="C712" i="3"/>
  <c r="I711" i="3"/>
  <c r="H711" i="3"/>
  <c r="G711" i="3"/>
  <c r="F711" i="3"/>
  <c r="E711" i="3"/>
  <c r="D711" i="3"/>
  <c r="C711" i="3"/>
  <c r="I710" i="3"/>
  <c r="H710" i="3"/>
  <c r="G710" i="3"/>
  <c r="F710" i="3"/>
  <c r="E710" i="3"/>
  <c r="D710" i="3"/>
  <c r="C710" i="3"/>
  <c r="I709" i="3"/>
  <c r="H709" i="3"/>
  <c r="G709" i="3"/>
  <c r="F709" i="3"/>
  <c r="E709" i="3"/>
  <c r="D709" i="3"/>
  <c r="C709" i="3"/>
  <c r="I708" i="3"/>
  <c r="H708" i="3"/>
  <c r="G708" i="3"/>
  <c r="F708" i="3"/>
  <c r="E708" i="3"/>
  <c r="D708" i="3"/>
  <c r="C708" i="3"/>
  <c r="I707" i="3"/>
  <c r="H707" i="3"/>
  <c r="G707" i="3"/>
  <c r="F707" i="3"/>
  <c r="E707" i="3"/>
  <c r="D707" i="3"/>
  <c r="C707" i="3"/>
  <c r="I706" i="3"/>
  <c r="H706" i="3"/>
  <c r="G706" i="3"/>
  <c r="F706" i="3"/>
  <c r="E706" i="3"/>
  <c r="D706" i="3"/>
  <c r="C706" i="3"/>
  <c r="I705" i="3"/>
  <c r="H705" i="3"/>
  <c r="G705" i="3"/>
  <c r="F705" i="3"/>
  <c r="E705" i="3"/>
  <c r="D705" i="3"/>
  <c r="C705" i="3"/>
  <c r="I704" i="3"/>
  <c r="H704" i="3"/>
  <c r="G704" i="3"/>
  <c r="F704" i="3"/>
  <c r="E704" i="3"/>
  <c r="D704" i="3"/>
  <c r="C704" i="3"/>
  <c r="I703" i="3"/>
  <c r="H703" i="3"/>
  <c r="G703" i="3"/>
  <c r="F703" i="3"/>
  <c r="E703" i="3"/>
  <c r="D703" i="3"/>
  <c r="C703" i="3"/>
  <c r="I702" i="3"/>
  <c r="H702" i="3"/>
  <c r="G702" i="3"/>
  <c r="F702" i="3"/>
  <c r="E702" i="3"/>
  <c r="D702" i="3"/>
  <c r="C702" i="3"/>
  <c r="I701" i="3"/>
  <c r="H701" i="3"/>
  <c r="G701" i="3"/>
  <c r="F701" i="3"/>
  <c r="E701" i="3"/>
  <c r="D701" i="3"/>
  <c r="C701" i="3"/>
  <c r="I700" i="3"/>
  <c r="H700" i="3"/>
  <c r="G700" i="3"/>
  <c r="F700" i="3"/>
  <c r="E700" i="3"/>
  <c r="D700" i="3"/>
  <c r="C700" i="3"/>
  <c r="I699" i="3"/>
  <c r="H699" i="3"/>
  <c r="G699" i="3"/>
  <c r="F699" i="3"/>
  <c r="E699" i="3"/>
  <c r="D699" i="3"/>
  <c r="C699" i="3"/>
  <c r="I698" i="3"/>
  <c r="H698" i="3"/>
  <c r="G698" i="3"/>
  <c r="F698" i="3"/>
  <c r="E698" i="3"/>
  <c r="D698" i="3"/>
  <c r="C698" i="3"/>
  <c r="I697" i="3"/>
  <c r="H697" i="3"/>
  <c r="G697" i="3"/>
  <c r="F697" i="3"/>
  <c r="E697" i="3"/>
  <c r="D697" i="3"/>
  <c r="C697" i="3"/>
  <c r="I696" i="3"/>
  <c r="H696" i="3"/>
  <c r="G696" i="3"/>
  <c r="F696" i="3"/>
  <c r="E696" i="3"/>
  <c r="D696" i="3"/>
  <c r="C696" i="3"/>
  <c r="I695" i="3"/>
  <c r="H695" i="3"/>
  <c r="G695" i="3"/>
  <c r="F695" i="3"/>
  <c r="E695" i="3"/>
  <c r="D695" i="3"/>
  <c r="C695" i="3"/>
  <c r="I694" i="3"/>
  <c r="H694" i="3"/>
  <c r="G694" i="3"/>
  <c r="F694" i="3"/>
  <c r="E694" i="3"/>
  <c r="D694" i="3"/>
  <c r="C694" i="3"/>
  <c r="I693" i="3"/>
  <c r="H693" i="3"/>
  <c r="G693" i="3"/>
  <c r="F693" i="3"/>
  <c r="E693" i="3"/>
  <c r="D693" i="3"/>
  <c r="C693" i="3"/>
  <c r="I692" i="3"/>
  <c r="H692" i="3"/>
  <c r="G692" i="3"/>
  <c r="F692" i="3"/>
  <c r="E692" i="3"/>
  <c r="D692" i="3"/>
  <c r="C692" i="3"/>
  <c r="I691" i="3"/>
  <c r="H691" i="3"/>
  <c r="G691" i="3"/>
  <c r="F691" i="3"/>
  <c r="E691" i="3"/>
  <c r="D691" i="3"/>
  <c r="C691" i="3"/>
  <c r="I690" i="3"/>
  <c r="H690" i="3"/>
  <c r="G690" i="3"/>
  <c r="F690" i="3"/>
  <c r="E690" i="3"/>
  <c r="D690" i="3"/>
  <c r="C690" i="3"/>
  <c r="I689" i="3"/>
  <c r="H689" i="3"/>
  <c r="G689" i="3"/>
  <c r="F689" i="3"/>
  <c r="E689" i="3"/>
  <c r="D689" i="3"/>
  <c r="C689" i="3"/>
  <c r="I688" i="3"/>
  <c r="H688" i="3"/>
  <c r="G688" i="3"/>
  <c r="F688" i="3"/>
  <c r="E688" i="3"/>
  <c r="D688" i="3"/>
  <c r="C688" i="3"/>
  <c r="I687" i="3"/>
  <c r="H687" i="3"/>
  <c r="G687" i="3"/>
  <c r="F687" i="3"/>
  <c r="E687" i="3"/>
  <c r="D687" i="3"/>
  <c r="C687" i="3"/>
  <c r="I686" i="3"/>
  <c r="H686" i="3"/>
  <c r="G686" i="3"/>
  <c r="F686" i="3"/>
  <c r="E686" i="3"/>
  <c r="D686" i="3"/>
  <c r="C686" i="3"/>
  <c r="I685" i="3"/>
  <c r="H685" i="3"/>
  <c r="G685" i="3"/>
  <c r="F685" i="3"/>
  <c r="E685" i="3"/>
  <c r="D685" i="3"/>
  <c r="C685" i="3"/>
  <c r="I684" i="3"/>
  <c r="H684" i="3"/>
  <c r="G684" i="3"/>
  <c r="F684" i="3"/>
  <c r="E684" i="3"/>
  <c r="D684" i="3"/>
  <c r="C684" i="3"/>
  <c r="I683" i="3"/>
  <c r="H683" i="3"/>
  <c r="G683" i="3"/>
  <c r="F683" i="3"/>
  <c r="E683" i="3"/>
  <c r="D683" i="3"/>
  <c r="C683" i="3"/>
  <c r="I682" i="3"/>
  <c r="H682" i="3"/>
  <c r="G682" i="3"/>
  <c r="F682" i="3"/>
  <c r="E682" i="3"/>
  <c r="D682" i="3"/>
  <c r="C682" i="3"/>
  <c r="I681" i="3"/>
  <c r="H681" i="3"/>
  <c r="G681" i="3"/>
  <c r="F681" i="3"/>
  <c r="E681" i="3"/>
  <c r="D681" i="3"/>
  <c r="C681" i="3"/>
  <c r="N680" i="3"/>
  <c r="K680" i="3"/>
  <c r="I680" i="3"/>
  <c r="H680" i="3"/>
  <c r="G680" i="3"/>
  <c r="F680" i="3"/>
  <c r="E680" i="3"/>
  <c r="D680" i="3"/>
  <c r="C680" i="3"/>
  <c r="N679" i="3"/>
  <c r="K679" i="3"/>
  <c r="I679" i="3"/>
  <c r="H679" i="3"/>
  <c r="G679" i="3"/>
  <c r="F679" i="3"/>
  <c r="E679" i="3"/>
  <c r="D679" i="3"/>
  <c r="C679" i="3"/>
  <c r="I678" i="3"/>
  <c r="H678" i="3"/>
  <c r="G678" i="3"/>
  <c r="F678" i="3"/>
  <c r="E678" i="3"/>
  <c r="D678" i="3"/>
  <c r="C678" i="3"/>
  <c r="I677" i="3"/>
  <c r="H677" i="3"/>
  <c r="G677" i="3"/>
  <c r="F677" i="3"/>
  <c r="E677" i="3"/>
  <c r="D677" i="3"/>
  <c r="C677" i="3"/>
  <c r="I676" i="3"/>
  <c r="H676" i="3"/>
  <c r="G676" i="3"/>
  <c r="F676" i="3"/>
  <c r="E676" i="3"/>
  <c r="D676" i="3"/>
  <c r="C676" i="3"/>
  <c r="I675" i="3"/>
  <c r="H675" i="3"/>
  <c r="G675" i="3"/>
  <c r="F675" i="3"/>
  <c r="E675" i="3"/>
  <c r="D675" i="3"/>
  <c r="C675" i="3"/>
  <c r="I674" i="3"/>
  <c r="H674" i="3"/>
  <c r="G674" i="3"/>
  <c r="F674" i="3"/>
  <c r="E674" i="3"/>
  <c r="D674" i="3"/>
  <c r="C674" i="3"/>
  <c r="I673" i="3"/>
  <c r="H673" i="3"/>
  <c r="G673" i="3"/>
  <c r="F673" i="3"/>
  <c r="E673" i="3"/>
  <c r="D673" i="3"/>
  <c r="C673" i="3"/>
  <c r="N672" i="3"/>
  <c r="K672" i="3"/>
  <c r="I672" i="3"/>
  <c r="H672" i="3"/>
  <c r="G672" i="3"/>
  <c r="F672" i="3"/>
  <c r="E672" i="3"/>
  <c r="D672" i="3"/>
  <c r="C672" i="3"/>
  <c r="N671" i="3"/>
  <c r="K671" i="3"/>
  <c r="I671" i="3"/>
  <c r="H671" i="3"/>
  <c r="G671" i="3"/>
  <c r="F671" i="3"/>
  <c r="E671" i="3"/>
  <c r="D671" i="3"/>
  <c r="C671" i="3"/>
  <c r="N670" i="3"/>
  <c r="K670" i="3"/>
  <c r="I670" i="3"/>
  <c r="H670" i="3"/>
  <c r="G670" i="3"/>
  <c r="F670" i="3"/>
  <c r="E670" i="3"/>
  <c r="D670" i="3"/>
  <c r="C670" i="3"/>
  <c r="N669" i="3"/>
  <c r="K669" i="3"/>
  <c r="I669" i="3"/>
  <c r="H669" i="3"/>
  <c r="G669" i="3"/>
  <c r="F669" i="3"/>
  <c r="E669" i="3"/>
  <c r="D669" i="3"/>
  <c r="C669" i="3"/>
  <c r="N668" i="3"/>
  <c r="K668" i="3"/>
  <c r="I668" i="3"/>
  <c r="H668" i="3"/>
  <c r="G668" i="3"/>
  <c r="F668" i="3"/>
  <c r="E668" i="3"/>
  <c r="D668" i="3"/>
  <c r="C668" i="3"/>
  <c r="N667" i="3"/>
  <c r="K667" i="3"/>
  <c r="I667" i="3"/>
  <c r="H667" i="3"/>
  <c r="G667" i="3"/>
  <c r="F667" i="3"/>
  <c r="E667" i="3"/>
  <c r="D667" i="3"/>
  <c r="C667" i="3"/>
  <c r="N666" i="3"/>
  <c r="K666" i="3"/>
  <c r="I666" i="3"/>
  <c r="H666" i="3"/>
  <c r="G666" i="3"/>
  <c r="F666" i="3"/>
  <c r="E666" i="3"/>
  <c r="D666" i="3"/>
  <c r="C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<sst xmlns="http://schemas.openxmlformats.org/spreadsheetml/2006/main" count="7362" uniqueCount="1191">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</sst>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42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050326.xlsx" TargetMode="External"/><Relationship Id="rId1" Type="http://schemas.openxmlformats.org/officeDocument/2006/relationships/externalLinkPath" Target="Sawangan_Update_0503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 refreshError="1"/>
      <sheetData sheetId="1" refreshError="1"/>
      <sheetData sheetId="2" refreshError="1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46089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102</v>
      </c>
      <c r="R6" s="25">
        <f t="shared" ca="1" si="1"/>
        <v>102</v>
      </c>
      <c r="S6" s="25">
        <f t="shared" ca="1" si="1"/>
        <v>102</v>
      </c>
      <c r="T6" s="25">
        <f t="shared" ca="1" si="1"/>
        <v>102</v>
      </c>
      <c r="U6" s="25">
        <f t="shared" ca="1" si="1"/>
        <v>103</v>
      </c>
      <c r="V6" s="25">
        <f ca="1">IF(V7="","",$B$1-V7)</f>
        <v>103</v>
      </c>
      <c r="W6" s="25">
        <f ca="1">IF(W7="","",$B$1-W7)</f>
        <v>103</v>
      </c>
      <c r="X6" s="25">
        <f ca="1">IF(X7="","",$B$1-X7)</f>
        <v>103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2">IF(C11="","",$B$1-C11)</f>
        <v>107</v>
      </c>
      <c r="D10" s="25">
        <f t="shared" ca="1" si="2"/>
        <v>107</v>
      </c>
      <c r="E10" s="25">
        <f t="shared" ca="1" si="2"/>
        <v>107</v>
      </c>
      <c r="F10" s="25">
        <f t="shared" ca="1" si="2"/>
        <v>107</v>
      </c>
      <c r="G10" s="25">
        <f t="shared" ca="1" si="2"/>
        <v>107</v>
      </c>
      <c r="H10" s="25">
        <f t="shared" ca="1" si="2"/>
        <v>107</v>
      </c>
      <c r="J10" s="25">
        <f t="shared" ref="J10:P10" ca="1" si="3">IF(J11="","",$B$1-J11)</f>
        <v>107</v>
      </c>
      <c r="K10" s="25">
        <f t="shared" ca="1" si="3"/>
        <v>105</v>
      </c>
      <c r="L10" s="25">
        <f t="shared" ca="1" si="3"/>
        <v>105</v>
      </c>
      <c r="M10" s="25">
        <f t="shared" ca="1" si="3"/>
        <v>105</v>
      </c>
      <c r="N10" s="25">
        <f t="shared" ca="1" si="3"/>
        <v>105</v>
      </c>
      <c r="O10" s="25">
        <f t="shared" ca="1" si="3"/>
        <v>105</v>
      </c>
      <c r="P10" s="25">
        <f t="shared" ca="1" si="3"/>
        <v>105</v>
      </c>
      <c r="R10" s="25">
        <f t="shared" ref="R10:W10" ca="1" si="4">IF(R11="","",$B$1-R11)</f>
        <v>105</v>
      </c>
      <c r="S10" s="25">
        <f t="shared" ca="1" si="4"/>
        <v>104</v>
      </c>
      <c r="T10" s="25">
        <f t="shared" ca="1" si="4"/>
        <v>104</v>
      </c>
      <c r="U10" s="25">
        <f t="shared" ca="1" si="4"/>
        <v>103</v>
      </c>
      <c r="V10" s="25">
        <f t="shared" ca="1" si="4"/>
        <v>103</v>
      </c>
      <c r="W10" s="25">
        <f t="shared" ca="1" si="4"/>
        <v>103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108</v>
      </c>
      <c r="D14" s="25">
        <f t="shared" ca="1" si="5"/>
        <v>108</v>
      </c>
      <c r="E14" s="25">
        <f t="shared" ca="1" si="5"/>
        <v>108</v>
      </c>
      <c r="F14" s="25">
        <f t="shared" ca="1" si="5"/>
        <v>108</v>
      </c>
      <c r="G14" s="25">
        <f t="shared" ca="1" si="5"/>
        <v>108</v>
      </c>
      <c r="H14" s="25">
        <f t="shared" ca="1" si="5"/>
        <v>108</v>
      </c>
      <c r="J14" s="25">
        <f t="shared" ref="J14:P14" ca="1" si="6">IF(J15="","",$B$1-J15)</f>
        <v>108</v>
      </c>
      <c r="K14" s="25">
        <f t="shared" ca="1" si="6"/>
        <v>106</v>
      </c>
      <c r="L14" s="25">
        <f t="shared" ca="1" si="6"/>
        <v>106</v>
      </c>
      <c r="M14" s="25">
        <f t="shared" ca="1" si="6"/>
        <v>106</v>
      </c>
      <c r="N14" s="25">
        <f t="shared" ca="1" si="6"/>
        <v>106</v>
      </c>
      <c r="O14" s="25">
        <f t="shared" ca="1" si="6"/>
        <v>106</v>
      </c>
      <c r="P14" s="25">
        <f t="shared" ca="1" si="6"/>
        <v>106</v>
      </c>
      <c r="R14" s="25">
        <f t="shared" ref="R14:W14" ca="1" si="7">IF(R15="","",$B$1-R15)</f>
        <v>106</v>
      </c>
      <c r="S14" s="25">
        <f t="shared" ca="1" si="7"/>
        <v>104</v>
      </c>
      <c r="T14" s="25">
        <f t="shared" ca="1" si="7"/>
        <v>104</v>
      </c>
      <c r="U14" s="25">
        <f t="shared" ca="1" si="7"/>
        <v>104</v>
      </c>
      <c r="V14" s="25">
        <f t="shared" ca="1" si="7"/>
        <v>104</v>
      </c>
      <c r="W14" s="25">
        <f t="shared" ca="1" si="7"/>
        <v>104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42</v>
      </c>
      <c r="D24" s="25">
        <f t="shared" ca="1" si="8"/>
        <v>42</v>
      </c>
      <c r="E24" s="25">
        <f t="shared" ca="1" si="8"/>
        <v>42</v>
      </c>
      <c r="F24" s="25">
        <f t="shared" ca="1" si="8"/>
        <v>42</v>
      </c>
      <c r="G24" s="25">
        <f t="shared" ca="1" si="8"/>
        <v>42</v>
      </c>
      <c r="H24" s="25">
        <f t="shared" ca="1" si="8"/>
        <v>42</v>
      </c>
      <c r="J24" s="25">
        <f ca="1">IF(J25="","",$B$1-J25)</f>
        <v>42</v>
      </c>
      <c r="K24" s="25">
        <f t="shared" ref="K24:AI24" ca="1" si="9">IF(K25="","",$B$1-K25)</f>
        <v>38</v>
      </c>
      <c r="L24" s="25">
        <f t="shared" ca="1" si="9"/>
        <v>38</v>
      </c>
      <c r="M24" s="25">
        <f t="shared" ca="1" si="9"/>
        <v>38</v>
      </c>
      <c r="N24" s="25">
        <f t="shared" ca="1" si="9"/>
        <v>38</v>
      </c>
      <c r="O24" s="25">
        <f t="shared" ca="1" si="9"/>
        <v>38</v>
      </c>
      <c r="P24" s="25">
        <f t="shared" ca="1" si="9"/>
        <v>38</v>
      </c>
      <c r="R24" s="25">
        <f t="shared" ca="1" si="9"/>
        <v>38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43</v>
      </c>
      <c r="L28" s="25">
        <f t="shared" ca="1" si="11"/>
        <v>43</v>
      </c>
      <c r="M28" s="25">
        <f t="shared" ca="1" si="11"/>
        <v>43</v>
      </c>
      <c r="N28" s="25">
        <f t="shared" ca="1" si="11"/>
        <v>43</v>
      </c>
      <c r="O28" s="25">
        <f t="shared" ca="1" si="11"/>
        <v>43</v>
      </c>
      <c r="P28" s="25">
        <f t="shared" ca="1" si="11"/>
        <v>43</v>
      </c>
      <c r="R28" s="25">
        <f t="shared" ref="R28:X28" ca="1" si="12">IF(R29="","",$B$1-R29)</f>
        <v>43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117</v>
      </c>
      <c r="D41" s="25">
        <f t="shared" ca="1" si="14"/>
        <v>117</v>
      </c>
      <c r="E41" s="25">
        <f t="shared" ca="1" si="14"/>
        <v>117</v>
      </c>
      <c r="F41" s="25">
        <f t="shared" ca="1" si="14"/>
        <v>117</v>
      </c>
      <c r="G41" s="25">
        <f t="shared" ca="1" si="14"/>
        <v>116</v>
      </c>
      <c r="H41" s="25">
        <f t="shared" ca="1" si="14"/>
        <v>116</v>
      </c>
      <c r="J41" s="25">
        <f t="shared" ca="1" si="14"/>
        <v>116</v>
      </c>
      <c r="K41" s="25">
        <f t="shared" ca="1" si="14"/>
        <v>116</v>
      </c>
      <c r="L41" s="25">
        <f t="shared" ca="1" si="14"/>
        <v>116</v>
      </c>
      <c r="M41" s="25">
        <f t="shared" ca="1" si="14"/>
        <v>116</v>
      </c>
      <c r="N41" s="25">
        <f t="shared" ca="1" si="14"/>
        <v>116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119</v>
      </c>
      <c r="D45" s="25">
        <f ca="1">IF(D46="","",$B$1-D46)</f>
        <v>119</v>
      </c>
      <c r="E45" s="25">
        <f ca="1">IF(E46="","",$B$1-E46)</f>
        <v>118</v>
      </c>
      <c r="F45" s="25">
        <f ca="1">IF(F46="","",$B$1-F46)</f>
        <v>118</v>
      </c>
      <c r="H45" s="25">
        <f ca="1">IF(H46="","",$B$1-H46)</f>
        <v>118</v>
      </c>
      <c r="J45" s="25">
        <f t="shared" ref="J45:P45" ca="1" si="15">IF(J46="","",$B$1-J46)</f>
        <v>118</v>
      </c>
      <c r="K45" s="25">
        <f t="shared" ca="1" si="15"/>
        <v>118</v>
      </c>
      <c r="L45" s="25">
        <f t="shared" ca="1" si="15"/>
        <v>118</v>
      </c>
      <c r="M45" s="25">
        <f t="shared" ca="1" si="15"/>
        <v>118</v>
      </c>
      <c r="N45" s="25">
        <f t="shared" ca="1" si="15"/>
        <v>117</v>
      </c>
      <c r="O45" s="25">
        <f t="shared" ca="1" si="15"/>
        <v>117</v>
      </c>
      <c r="P45" s="25">
        <f t="shared" ca="1" si="15"/>
        <v>117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120</v>
      </c>
      <c r="D49" s="25">
        <f ca="1">IF(D50="","",$B$1-D50)</f>
        <v>120</v>
      </c>
      <c r="E49" s="25">
        <f ca="1">IF(E50="","",$B$1-E50)</f>
        <v>120</v>
      </c>
      <c r="F49" s="25">
        <f ca="1">IF(F50="","",$B$1-F50)</f>
        <v>120</v>
      </c>
      <c r="H49" s="25">
        <f ca="1">IF(H50="","",$B$1-H50)</f>
        <v>120</v>
      </c>
      <c r="J49" s="25">
        <f t="shared" ref="J49:P49" ca="1" si="16">IF(J50="","",$B$1-J50)</f>
        <v>120</v>
      </c>
      <c r="K49" s="25">
        <f t="shared" ca="1" si="16"/>
        <v>120</v>
      </c>
      <c r="L49" s="25">
        <f t="shared" ca="1" si="16"/>
        <v>119</v>
      </c>
      <c r="M49" s="25">
        <f t="shared" ca="1" si="16"/>
        <v>119</v>
      </c>
      <c r="N49" s="25">
        <f t="shared" ca="1" si="16"/>
        <v>119</v>
      </c>
      <c r="O49" s="25">
        <f t="shared" ca="1" si="16"/>
        <v>119</v>
      </c>
      <c r="P49" s="25">
        <f t="shared" ca="1" si="16"/>
        <v>119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112</v>
      </c>
      <c r="D58" s="25">
        <f t="shared" ca="1" si="17"/>
        <v>112</v>
      </c>
      <c r="E58" s="25">
        <f t="shared" ca="1" si="17"/>
        <v>112</v>
      </c>
      <c r="F58" s="25">
        <f t="shared" ca="1" si="17"/>
        <v>112</v>
      </c>
      <c r="G58" s="25">
        <f t="shared" ca="1" si="17"/>
        <v>112</v>
      </c>
      <c r="H58" s="25">
        <f t="shared" ca="1" si="17"/>
        <v>112</v>
      </c>
      <c r="J58" s="25">
        <f t="shared" ref="J58:P58" ca="1" si="18">IF(J59="","",$B$1-J59)</f>
        <v>112</v>
      </c>
      <c r="K58" s="25">
        <f t="shared" ca="1" si="18"/>
        <v>111</v>
      </c>
      <c r="L58" s="25">
        <f t="shared" ca="1" si="18"/>
        <v>111</v>
      </c>
      <c r="M58" s="25">
        <f t="shared" ca="1" si="18"/>
        <v>111</v>
      </c>
      <c r="N58" s="25">
        <f t="shared" ca="1" si="18"/>
        <v>111</v>
      </c>
      <c r="O58" s="25">
        <f t="shared" ca="1" si="18"/>
        <v>111</v>
      </c>
      <c r="P58" s="25">
        <f t="shared" ca="1" si="18"/>
        <v>111</v>
      </c>
      <c r="R58" s="25">
        <f t="shared" ref="R58:X58" ca="1" si="19">IF(R59="","",$B$1-R59)</f>
        <v>111</v>
      </c>
      <c r="S58" s="25">
        <f t="shared" ca="1" si="19"/>
        <v>110</v>
      </c>
      <c r="T58" s="25">
        <f t="shared" ca="1" si="19"/>
        <v>110</v>
      </c>
      <c r="U58" s="25">
        <f t="shared" ca="1" si="19"/>
        <v>110</v>
      </c>
      <c r="V58" s="25">
        <f t="shared" ca="1" si="19"/>
        <v>110</v>
      </c>
      <c r="W58" s="25">
        <f t="shared" ca="1" si="19"/>
        <v>110</v>
      </c>
      <c r="X58" s="25">
        <f t="shared" ca="1" si="19"/>
        <v>110</v>
      </c>
      <c r="Z58" s="25">
        <f ca="1">IF(Z59="","",$B$1-Z59)</f>
        <v>110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20">IF(C63="","",$B$1-C63)</f>
        <v/>
      </c>
      <c r="D62" s="25">
        <f t="shared" ca="1" si="20"/>
        <v>113</v>
      </c>
      <c r="E62" s="25">
        <f t="shared" ca="1" si="20"/>
        <v>113</v>
      </c>
      <c r="F62" s="25">
        <f t="shared" ca="1" si="20"/>
        <v>113</v>
      </c>
      <c r="G62" s="25">
        <f t="shared" ca="1" si="20"/>
        <v>113</v>
      </c>
      <c r="H62" s="25">
        <f t="shared" ca="1" si="20"/>
        <v>113</v>
      </c>
      <c r="J62" s="25">
        <f t="shared" ref="J62:P62" ca="1" si="21">IF(J63="","",$B$1-J63)</f>
        <v>113</v>
      </c>
      <c r="K62" s="25">
        <f t="shared" ca="1" si="21"/>
        <v>113</v>
      </c>
      <c r="L62" s="25">
        <f t="shared" ca="1" si="21"/>
        <v>113</v>
      </c>
      <c r="M62" s="25">
        <f t="shared" ca="1" si="21"/>
        <v>114</v>
      </c>
      <c r="N62" s="25">
        <f t="shared" ca="1" si="21"/>
        <v>114</v>
      </c>
      <c r="O62" s="25">
        <f t="shared" ca="1" si="21"/>
        <v>114</v>
      </c>
      <c r="P62" s="25">
        <f t="shared" ca="1" si="21"/>
        <v>114</v>
      </c>
      <c r="R62" s="25">
        <f t="shared" ref="R62:X62" ca="1" si="22">IF(R63="","",$B$1-R63)</f>
        <v>114</v>
      </c>
      <c r="S62" s="25">
        <f t="shared" ca="1" si="22"/>
        <v>114</v>
      </c>
      <c r="T62" s="25">
        <f t="shared" ca="1" si="22"/>
        <v>114</v>
      </c>
      <c r="U62" s="25">
        <f t="shared" ca="1" si="22"/>
        <v>115</v>
      </c>
      <c r="V62" s="25">
        <f t="shared" ca="1" si="22"/>
        <v>115</v>
      </c>
      <c r="W62" s="25">
        <f t="shared" ca="1" si="22"/>
        <v>115</v>
      </c>
      <c r="X62" s="25">
        <f t="shared" ca="1" si="22"/>
        <v>115</v>
      </c>
      <c r="Z62" s="25">
        <f ca="1">IF(Z63="","",$B$1-Z63)</f>
        <v>115</v>
      </c>
      <c r="AA62" s="25">
        <f ca="1">IF(AA63="","",$B$1-AA63)</f>
        <v>115</v>
      </c>
      <c r="AB62" s="25">
        <f ca="1">IF(AB63="","",$B$1-AB63)</f>
        <v>115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98</v>
      </c>
      <c r="D71" s="25">
        <f t="shared" ca="1" si="23"/>
        <v>98</v>
      </c>
      <c r="E71" s="25">
        <f t="shared" ca="1" si="23"/>
        <v>98</v>
      </c>
      <c r="F71" s="25">
        <f t="shared" ca="1" si="23"/>
        <v>99</v>
      </c>
      <c r="G71" s="25">
        <f t="shared" ca="1" si="23"/>
        <v>99</v>
      </c>
      <c r="H71" s="25">
        <f t="shared" ca="1" si="23"/>
        <v>99</v>
      </c>
      <c r="J71" s="25">
        <f ca="1">IF(J72="","",$B$1-J72)</f>
        <v>99</v>
      </c>
      <c r="K71" s="25">
        <f t="shared" ref="K71:P71" ca="1" si="24">IF(K72="","",$B$1-K72)</f>
        <v>99</v>
      </c>
      <c r="L71" s="25">
        <f t="shared" ca="1" si="24"/>
        <v>99</v>
      </c>
      <c r="M71" s="25">
        <f t="shared" ca="1" si="24"/>
        <v>99</v>
      </c>
      <c r="N71" s="25">
        <f t="shared" ca="1" si="24"/>
        <v>100</v>
      </c>
      <c r="O71" s="25">
        <f t="shared" ca="1" si="24"/>
        <v>100</v>
      </c>
      <c r="P71" s="25">
        <f t="shared" ca="1" si="24"/>
        <v>100</v>
      </c>
      <c r="R71" s="25">
        <f t="shared" ref="R71:X71" ca="1" si="25">IF(R72="","",$B$1-R72)</f>
        <v>100</v>
      </c>
      <c r="S71" s="25">
        <f t="shared" ca="1" si="25"/>
        <v>100</v>
      </c>
      <c r="T71" s="25">
        <f t="shared" ca="1" si="25"/>
        <v>100</v>
      </c>
      <c r="U71" s="25">
        <f t="shared" ca="1" si="25"/>
        <v>100</v>
      </c>
      <c r="V71" s="25">
        <f t="shared" ca="1" si="25"/>
        <v>101</v>
      </c>
      <c r="W71" s="25">
        <f t="shared" ca="1" si="25"/>
        <v>101</v>
      </c>
      <c r="X71" s="25">
        <f t="shared" ca="1" si="25"/>
        <v>101</v>
      </c>
      <c r="Z71" s="25">
        <f ca="1">IF(Z72="","",$B$1-Z72)</f>
        <v>101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41" priority="129">
      <formula>LEN(TRIM(C72))=0</formula>
    </cfRule>
    <cfRule type="notContainsBlanks" dxfId="1240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39" priority="95">
      <formula>LEN(TRIM(C42))=0</formula>
    </cfRule>
    <cfRule type="notContainsBlanks" dxfId="1238" priority="98">
      <formula>LEN(TRIM(C42))&gt;0</formula>
    </cfRule>
    <cfRule type="notContainsBlanks" dxfId="1237" priority="96">
      <formula>LEN(TRIM(C42))&gt;0</formula>
    </cfRule>
    <cfRule type="containsBlanks" dxfId="1236" priority="97">
      <formula>LEN(TRIM(C42))=0</formula>
    </cfRule>
  </conditionalFormatting>
  <conditionalFormatting sqref="C46:F46">
    <cfRule type="notContainsBlanks" dxfId="1235" priority="110">
      <formula>LEN(TRIM(C46))&gt;0</formula>
    </cfRule>
    <cfRule type="containsBlanks" dxfId="1234" priority="109">
      <formula>LEN(TRIM(C46))=0</formula>
    </cfRule>
  </conditionalFormatting>
  <conditionalFormatting sqref="C50:F50">
    <cfRule type="notContainsBlanks" dxfId="1233" priority="250">
      <formula>LEN(TRIM(C50))&gt;0</formula>
    </cfRule>
    <cfRule type="containsBlanks" dxfId="1232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31" priority="197">
      <formula>LEN(TRIM(C7))&gt;0</formula>
    </cfRule>
    <cfRule type="containsBlanks" dxfId="1230" priority="196">
      <formula>LEN(TRIM(C7))=0</formula>
    </cfRule>
  </conditionalFormatting>
  <conditionalFormatting sqref="C11:H11">
    <cfRule type="containsBlanks" dxfId="1229" priority="242">
      <formula>LEN(TRIM(C11))=0</formula>
    </cfRule>
    <cfRule type="notContainsBlanks" dxfId="1228" priority="243">
      <formula>LEN(TRIM(C11))&gt;0</formula>
    </cfRule>
  </conditionalFormatting>
  <conditionalFormatting sqref="C15:H15">
    <cfRule type="notContainsBlanks" dxfId="1227" priority="62">
      <formula>LEN(TRIM(C15))&gt;0</formula>
    </cfRule>
    <cfRule type="containsBlanks" dxfId="1226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25" priority="3">
      <formula>LEN(TRIM(C25))=0</formula>
    </cfRule>
    <cfRule type="notContainsBlanks" dxfId="1224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23" priority="64">
      <formula>LEN(TRIM(C29))&gt;0</formula>
    </cfRule>
    <cfRule type="containsBlanks" dxfId="1222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21" priority="100">
      <formula>LEN(TRIM(C42))&gt;0</formula>
    </cfRule>
    <cfRule type="containsBlanks" dxfId="1220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19" priority="163">
      <formula>LEN(TRIM(C59))=0</formula>
    </cfRule>
    <cfRule type="notContainsBlanks" dxfId="1218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17" priority="80">
      <formula>LEN(TRIM(C63))&gt;0</formula>
    </cfRule>
    <cfRule type="containsBlanks" dxfId="1216" priority="79">
      <formula>LEN(TRIM(C63))=0</formula>
    </cfRule>
  </conditionalFormatting>
  <conditionalFormatting sqref="C72:H72">
    <cfRule type="notContainsBlanks" dxfId="1215" priority="16">
      <formula>LEN(TRIM(C72))&gt;0</formula>
    </cfRule>
    <cfRule type="containsBlanks" dxfId="1214" priority="15">
      <formula>LEN(TRIM(C72))=0</formula>
    </cfRule>
  </conditionalFormatting>
  <conditionalFormatting sqref="C76:H76">
    <cfRule type="containsBlanks" dxfId="1213" priority="194">
      <formula>LEN(TRIM(C76))=0</formula>
    </cfRule>
    <cfRule type="notContainsBlanks" dxfId="1212" priority="195">
      <formula>LEN(TRIM(C76))&gt;0</formula>
    </cfRule>
  </conditionalFormatting>
  <conditionalFormatting sqref="D63:H63">
    <cfRule type="notContainsBlanks" dxfId="1211" priority="78">
      <formula>LEN(TRIM(D63))&gt;0</formula>
    </cfRule>
    <cfRule type="containsBlanks" dxfId="1210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09" priority="228">
      <formula>LEN(TRIM(E46))=0</formula>
    </cfRule>
    <cfRule type="notContainsBlanks" dxfId="1208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07" priority="13">
      <formula>LEN(TRIM(F72))=0</formula>
    </cfRule>
    <cfRule type="notContainsBlanks" dxfId="1206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05" priority="183">
      <formula>LEN(TRIM(G42))&gt;0</formula>
    </cfRule>
    <cfRule type="containsBlanks" dxfId="1204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03" priority="108">
      <formula>LEN(TRIM(H46))&gt;0</formula>
    </cfRule>
    <cfRule type="containsBlanks" dxfId="1202" priority="107">
      <formula>LEN(TRIM(H46))=0</formula>
    </cfRule>
    <cfRule type="notContainsBlanks" dxfId="1201" priority="106">
      <formula>LEN(TRIM(H46))&gt;0</formula>
    </cfRule>
    <cfRule type="containsBlanks" dxfId="1200" priority="105">
      <formula>LEN(TRIM(H46))=0</formula>
    </cfRule>
  </conditionalFormatting>
  <conditionalFormatting sqref="H50">
    <cfRule type="notContainsBlanks" dxfId="1199" priority="114">
      <formula>LEN(TRIM(H50))&gt;0</formula>
    </cfRule>
    <cfRule type="containsBlanks" dxfId="1198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97" priority="220">
      <formula>LEN(TRIM(J72))=0</formula>
    </cfRule>
    <cfRule type="notContainsBlanks" dxfId="1196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195" priority="116">
      <formula>LEN(TRIM(J21))&gt;0</formula>
    </cfRule>
    <cfRule type="containsBlanks" dxfId="1194" priority="115">
      <formula>LEN(TRIM(J21))=0</formula>
    </cfRule>
  </conditionalFormatting>
  <conditionalFormatting sqref="J63:L63">
    <cfRule type="notContainsBlanks" dxfId="1193" priority="162">
      <formula>LEN(TRIM(J63))&gt;0</formula>
    </cfRule>
    <cfRule type="containsBlanks" dxfId="1192" priority="161">
      <formula>LEN(TRIM(J63))=0</formula>
    </cfRule>
  </conditionalFormatting>
  <conditionalFormatting sqref="J46:M46">
    <cfRule type="containsBlanks" dxfId="1191" priority="101">
      <formula>LEN(TRIM(J46))=0</formula>
    </cfRule>
    <cfRule type="notContainsBlanks" dxfId="1190" priority="102">
      <formula>LEN(TRIM(J46))&gt;0</formula>
    </cfRule>
  </conditionalFormatting>
  <conditionalFormatting sqref="J72:M72">
    <cfRule type="notContainsBlanks" dxfId="1189" priority="134">
      <formula>LEN(TRIM(J72))&gt;0</formula>
    </cfRule>
    <cfRule type="containsBlanks" dxfId="1188" priority="133">
      <formula>LEN(TRIM(J72))=0</formula>
    </cfRule>
  </conditionalFormatting>
  <conditionalFormatting sqref="J42:N42">
    <cfRule type="notContainsBlanks" dxfId="1187" priority="92">
      <formula>LEN(TRIM(J42))&gt;0</formula>
    </cfRule>
    <cfRule type="containsBlanks" dxfId="1186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85" priority="155">
      <formula>LEN(TRIM(J7))=0</formula>
    </cfRule>
    <cfRule type="notContainsBlanks" dxfId="1184" priority="156">
      <formula>LEN(TRIM(J7))&gt;0</formula>
    </cfRule>
  </conditionalFormatting>
  <conditionalFormatting sqref="J11:P11">
    <cfRule type="notContainsBlanks" dxfId="1183" priority="58">
      <formula>LEN(TRIM(J11))&gt;0</formula>
    </cfRule>
    <cfRule type="containsBlanks" dxfId="1182" priority="57">
      <formula>LEN(TRIM(J11))=0</formula>
    </cfRule>
  </conditionalFormatting>
  <conditionalFormatting sqref="J15:P15">
    <cfRule type="notContainsBlanks" dxfId="1181" priority="60">
      <formula>LEN(TRIM(J15))&gt;0</formula>
    </cfRule>
    <cfRule type="containsBlanks" dxfId="1180" priority="59">
      <formula>LEN(TRIM(J15))=0</formula>
    </cfRule>
  </conditionalFormatting>
  <conditionalFormatting sqref="J25:P25">
    <cfRule type="containsBlanks" dxfId="1179" priority="5">
      <formula>LEN(TRIM(J25))=0</formula>
    </cfRule>
    <cfRule type="notContainsBlanks" dxfId="1178" priority="6">
      <formula>LEN(TRIM(J25))&gt;0</formula>
    </cfRule>
  </conditionalFormatting>
  <conditionalFormatting sqref="J29:P29">
    <cfRule type="notContainsBlanks" dxfId="1177" priority="2">
      <formula>LEN(TRIM(J29))&gt;0</formula>
    </cfRule>
    <cfRule type="containsBlanks" dxfId="1176" priority="1">
      <formula>LEN(TRIM(J29))=0</formula>
    </cfRule>
  </conditionalFormatting>
  <conditionalFormatting sqref="J42:P42">
    <cfRule type="notContainsBlanks" dxfId="1175" priority="94">
      <formula>LEN(TRIM(J42))&gt;0</formula>
    </cfRule>
    <cfRule type="containsBlanks" dxfId="1174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73" priority="103">
      <formula>LEN(TRIM(J46))=0</formula>
    </cfRule>
    <cfRule type="notContainsBlanks" dxfId="1172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71" priority="112">
      <formula>LEN(TRIM(J50))&gt;0</formula>
    </cfRule>
    <cfRule type="containsBlanks" dxfId="1170" priority="111">
      <formula>LEN(TRIM(J50))=0</formula>
    </cfRule>
  </conditionalFormatting>
  <conditionalFormatting sqref="J59:P59">
    <cfRule type="containsBlanks" dxfId="1169" priority="75">
      <formula>LEN(TRIM(J59))=0</formula>
    </cfRule>
    <cfRule type="notContainsBlanks" dxfId="1168" priority="76">
      <formula>LEN(TRIM(J59))&gt;0</formula>
    </cfRule>
  </conditionalFormatting>
  <conditionalFormatting sqref="J63:P63">
    <cfRule type="containsBlanks" dxfId="1167" priority="83">
      <formula>LEN(TRIM(J63))=0</formula>
    </cfRule>
    <cfRule type="notContainsBlanks" dxfId="1166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65" priority="18">
      <formula>LEN(TRIM(J72))&gt;0</formula>
    </cfRule>
    <cfRule type="containsBlanks" dxfId="1164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63" priority="193">
      <formula>LEN(TRIM(J76))&gt;0</formula>
    </cfRule>
    <cfRule type="containsBlanks" dxfId="1162" priority="192">
      <formula>LEN(TRIM(J76))=0</formula>
    </cfRule>
  </conditionalFormatting>
  <conditionalFormatting sqref="K11:P11">
    <cfRule type="notContainsBlanks" dxfId="1161" priority="160">
      <formula>LEN(TRIM(K11))&gt;0</formula>
    </cfRule>
    <cfRule type="containsBlanks" dxfId="1160" priority="159">
      <formula>LEN(TRIM(K11))=0</formula>
    </cfRule>
  </conditionalFormatting>
  <conditionalFormatting sqref="K59:P59">
    <cfRule type="notContainsBlanks" dxfId="1159" priority="168">
      <formula>LEN(TRIM(K59))&gt;0</formula>
    </cfRule>
    <cfRule type="notContainsBlanks" dxfId="1158" priority="166">
      <formula>LEN(TRIM(K59))&gt;0</formula>
    </cfRule>
    <cfRule type="containsBlanks" dxfId="1157" priority="165">
      <formula>LEN(TRIM(K59))=0</formula>
    </cfRule>
    <cfRule type="containsBlanks" dxfId="1156" priority="167">
      <formula>LEN(TRIM(K59))=0</formula>
    </cfRule>
  </conditionalFormatting>
  <conditionalFormatting sqref="L76:P76">
    <cfRule type="notContainsBlanks" dxfId="1155" priority="206">
      <formula>LEN(TRIM(L76))&gt;0</formula>
    </cfRule>
    <cfRule type="containsBlanks" dxfId="1154" priority="205">
      <formula>LEN(TRIM(L76))=0</formula>
    </cfRule>
  </conditionalFormatting>
  <conditionalFormatting sqref="M50:P50">
    <cfRule type="containsBlanks" dxfId="1153" priority="232">
      <formula>LEN(TRIM(M50))=0</formula>
    </cfRule>
    <cfRule type="notContainsBlanks" dxfId="1152" priority="233">
      <formula>LEN(TRIM(M50))&gt;0</formula>
    </cfRule>
  </conditionalFormatting>
  <conditionalFormatting sqref="M63:P63">
    <cfRule type="notContainsBlanks" dxfId="1151" priority="82">
      <formula>LEN(TRIM(M63))&gt;0</formula>
    </cfRule>
    <cfRule type="containsBlanks" dxfId="1150" priority="81">
      <formula>LEN(TRIM(M63))=0</formula>
    </cfRule>
  </conditionalFormatting>
  <conditionalFormatting sqref="N46:P46">
    <cfRule type="notContainsBlanks" dxfId="1149" priority="227">
      <formula>LEN(TRIM(N46))&gt;0</formula>
    </cfRule>
    <cfRule type="containsBlanks" dxfId="1148" priority="184">
      <formula>LEN(TRIM(N46))=0</formula>
    </cfRule>
    <cfRule type="containsBlanks" dxfId="1147" priority="226">
      <formula>LEN(TRIM(N46))=0</formula>
    </cfRule>
    <cfRule type="notContainsBlanks" dxfId="1146" priority="185">
      <formula>LEN(TRIM(N46))&gt;0</formula>
    </cfRule>
  </conditionalFormatting>
  <conditionalFormatting sqref="O46:P46">
    <cfRule type="notContainsBlanks" dxfId="1145" priority="231">
      <formula>LEN(TRIM(O46))&gt;0</formula>
    </cfRule>
    <cfRule type="containsBlanks" dxfId="1144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43" priority="154">
      <formula>LEN(TRIM(P7))&gt;0</formula>
    </cfRule>
    <cfRule type="containsBlanks" dxfId="1142" priority="153">
      <formula>LEN(TRIM(P7))=0</formula>
    </cfRule>
    <cfRule type="notContainsBlanks" dxfId="1141" priority="152">
      <formula>LEN(TRIM(P7))&gt;0</formula>
    </cfRule>
    <cfRule type="containsBlanks" dxfId="1140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39" priority="54">
      <formula>LEN(TRIM(R11))&gt;0</formula>
    </cfRule>
  </conditionalFormatting>
  <conditionalFormatting sqref="R15">
    <cfRule type="containsBlanks" dxfId="1138" priority="55">
      <formula>LEN(TRIM(R15))=0</formula>
    </cfRule>
    <cfRule type="notContainsBlanks" dxfId="1137" priority="56">
      <formula>LEN(TRIM(R15))&gt;0</formula>
    </cfRule>
  </conditionalFormatting>
  <conditionalFormatting sqref="R59">
    <cfRule type="notContainsBlanks" dxfId="1136" priority="72">
      <formula>LEN(TRIM(R59))&gt;0</formula>
    </cfRule>
    <cfRule type="containsBlanks" dxfId="1135" priority="71">
      <formula>LEN(TRIM(R59))=0</formula>
    </cfRule>
    <cfRule type="notContainsBlanks" dxfId="1134" priority="70">
      <formula>LEN(TRIM(R59))&gt;0</formula>
    </cfRule>
    <cfRule type="containsBlanks" dxfId="1133" priority="69">
      <formula>LEN(TRIM(R59))=0</formula>
    </cfRule>
  </conditionalFormatting>
  <conditionalFormatting sqref="R72">
    <cfRule type="containsBlanks" dxfId="1132" priority="218">
      <formula>LEN(TRIM(R72))=0</formula>
    </cfRule>
    <cfRule type="notContainsBlanks" dxfId="1131" priority="219">
      <formula>LEN(TRIM(R72))&gt;0</formula>
    </cfRule>
  </conditionalFormatting>
  <conditionalFormatting sqref="R63:S63">
    <cfRule type="notContainsBlanks" dxfId="1130" priority="173">
      <formula>LEN(TRIM(R63))&gt;0</formula>
    </cfRule>
    <cfRule type="containsBlanks" dxfId="1129" priority="172">
      <formula>LEN(TRIM(R63))=0</formula>
    </cfRule>
  </conditionalFormatting>
  <conditionalFormatting sqref="R76:S76">
    <cfRule type="notContainsBlanks" dxfId="1128" priority="189">
      <formula>LEN(TRIM(R76))&gt;0</formula>
    </cfRule>
    <cfRule type="containsBlanks" dxfId="1127" priority="188">
      <formula>LEN(TRIM(R76))=0</formula>
    </cfRule>
  </conditionalFormatting>
  <conditionalFormatting sqref="R7:T7">
    <cfRule type="notContainsBlanks" dxfId="1126" priority="26">
      <formula>LEN(TRIM(R7))&gt;0</formula>
    </cfRule>
    <cfRule type="containsBlanks" dxfId="1125" priority="23">
      <formula>LEN(TRIM(R7))=0</formula>
    </cfRule>
    <cfRule type="containsBlanks" dxfId="1124" priority="25">
      <formula>LEN(TRIM(R7))=0</formula>
    </cfRule>
    <cfRule type="notContainsBlanks" dxfId="1123" priority="24">
      <formula>LEN(TRIM(R7))&gt;0</formula>
    </cfRule>
  </conditionalFormatting>
  <conditionalFormatting sqref="R11:T11">
    <cfRule type="notContainsBlanks" dxfId="1122" priority="48">
      <formula>LEN(TRIM(R11))&gt;0</formula>
    </cfRule>
    <cfRule type="containsBlanks" dxfId="1121" priority="47">
      <formula>LEN(TRIM(R11))=0</formula>
    </cfRule>
  </conditionalFormatting>
  <conditionalFormatting sqref="R63:T63">
    <cfRule type="containsBlanks" dxfId="1120" priority="180">
      <formula>LEN(TRIM(R63))=0</formula>
    </cfRule>
    <cfRule type="notContainsBlanks" dxfId="1119" priority="181">
      <formula>LEN(TRIM(R63))&gt;0</formula>
    </cfRule>
    <cfRule type="notContainsBlanks" dxfId="1118" priority="175">
      <formula>LEN(TRIM(R63))&gt;0</formula>
    </cfRule>
    <cfRule type="containsBlanks" dxfId="1117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16" priority="27">
      <formula>LEN(TRIM(R7))=0</formula>
    </cfRule>
    <cfRule type="notContainsBlanks" dxfId="1115" priority="28">
      <formula>LEN(TRIM(R7))&gt;0</formula>
    </cfRule>
  </conditionalFormatting>
  <conditionalFormatting sqref="R25:X25">
    <cfRule type="notContainsBlanks" dxfId="1114" priority="40">
      <formula>LEN(TRIM(R25))&gt;0</formula>
    </cfRule>
    <cfRule type="containsBlanks" dxfId="1113" priority="39">
      <formula>LEN(TRIM(R25))=0</formula>
    </cfRule>
  </conditionalFormatting>
  <conditionalFormatting sqref="R29:X29">
    <cfRule type="containsBlanks" dxfId="1112" priority="9">
      <formula>LEN(TRIM(R29))=0</formula>
    </cfRule>
    <cfRule type="notContainsBlanks" dxfId="1111" priority="10">
      <formula>LEN(TRIM(R29))&gt;0</formula>
    </cfRule>
  </conditionalFormatting>
  <conditionalFormatting sqref="R59:X59">
    <cfRule type="containsBlanks" dxfId="1110" priority="73">
      <formula>LEN(TRIM(R59))=0</formula>
    </cfRule>
    <cfRule type="notContainsBlanks" dxfId="1109" priority="74">
      <formula>LEN(TRIM(R59))&gt;0</formula>
    </cfRule>
  </conditionalFormatting>
  <conditionalFormatting sqref="R72:X72">
    <cfRule type="notContainsBlanks" dxfId="1108" priority="20">
      <formula>LEN(TRIM(R72))&gt;0</formula>
    </cfRule>
    <cfRule type="containsBlanks" dxfId="1107" priority="19">
      <formula>LEN(TRIM(R72))=0</formula>
    </cfRule>
  </conditionalFormatting>
  <conditionalFormatting sqref="R76:X76">
    <cfRule type="containsBlanks" dxfId="1106" priority="190">
      <formula>LEN(TRIM(R76))=0</formula>
    </cfRule>
    <cfRule type="notContainsBlanks" dxfId="1105" priority="191">
      <formula>LEN(TRIM(R76))&gt;0</formula>
    </cfRule>
  </conditionalFormatting>
  <conditionalFormatting sqref="S15:W15">
    <cfRule type="containsBlanks" dxfId="1104" priority="211">
      <formula>LEN(TRIM(S15))=0</formula>
    </cfRule>
    <cfRule type="notContainsBlanks" dxfId="1103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02" priority="171">
      <formula>LEN(TRIM(S59))&gt;0</formula>
    </cfRule>
    <cfRule type="containsBlanks" dxfId="1101" priority="170">
      <formula>LEN(TRIM(S59))=0</formula>
    </cfRule>
  </conditionalFormatting>
  <conditionalFormatting sqref="U11:X11 R11">
    <cfRule type="containsBlanks" dxfId="1100" priority="53">
      <formula>LEN(TRIM(R11))=0</formula>
    </cfRule>
  </conditionalFormatting>
  <conditionalFormatting sqref="U63:X63">
    <cfRule type="notContainsBlanks" dxfId="1099" priority="88">
      <formula>LEN(TRIM(U63))&gt;0</formula>
    </cfRule>
    <cfRule type="containsBlanks" dxfId="1098" priority="87">
      <formula>LEN(TRIM(U63))=0</formula>
    </cfRule>
    <cfRule type="notContainsBlanks" dxfId="1097" priority="86">
      <formula>LEN(TRIM(U63))&gt;0</formula>
    </cfRule>
    <cfRule type="notContainsBlanks" dxfId="1096" priority="90">
      <formula>LEN(TRIM(U63))&gt;0</formula>
    </cfRule>
    <cfRule type="containsBlanks" dxfId="1095" priority="85">
      <formula>LEN(TRIM(U63))=0</formula>
    </cfRule>
    <cfRule type="containsBlanks" dxfId="1094" priority="89">
      <formula>LEN(TRIM(U63))=0</formula>
    </cfRule>
  </conditionalFormatting>
  <conditionalFormatting sqref="V11:W11">
    <cfRule type="notContainsBlanks" dxfId="1093" priority="50">
      <formula>LEN(TRIM(V11))&gt;0</formula>
    </cfRule>
    <cfRule type="containsBlanks" dxfId="1092" priority="49">
      <formula>LEN(TRIM(V11))=0</formula>
    </cfRule>
  </conditionalFormatting>
  <conditionalFormatting sqref="W15:X15">
    <cfRule type="containsBlanks" dxfId="1091" priority="201">
      <formula>LEN(TRIM(W15))=0</formula>
    </cfRule>
    <cfRule type="notContainsBlanks" dxfId="1090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89" priority="214">
      <formula>LEN(TRIM(W33))&gt;0</formula>
    </cfRule>
    <cfRule type="containsBlanks" dxfId="1088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87" priority="288">
      <formula>LEN(TRIM(X21))=0</formula>
    </cfRule>
    <cfRule type="notContainsBlanks" dxfId="1086" priority="283">
      <formula>LEN(TRIM(X21))&gt;0</formula>
    </cfRule>
    <cfRule type="containsBlanks" dxfId="1085" priority="284">
      <formula>LEN(TRIM(X21))=0</formula>
    </cfRule>
    <cfRule type="notContainsBlanks" dxfId="1084" priority="285">
      <formula>LEN(TRIM(X21))&gt;0</formula>
    </cfRule>
    <cfRule type="containsBlanks" dxfId="1083" priority="286">
      <formula>LEN(TRIM(X21))=0</formula>
    </cfRule>
    <cfRule type="notContainsBlanks" dxfId="1082" priority="287">
      <formula>LEN(TRIM(X21))&gt;0</formula>
    </cfRule>
    <cfRule type="notContainsBlanks" dxfId="1081" priority="289">
      <formula>LEN(TRIM(X21))&gt;0</formula>
    </cfRule>
    <cfRule type="containsBlanks" dxfId="1080" priority="290">
      <formula>LEN(TRIM(X21))=0</formula>
    </cfRule>
    <cfRule type="notContainsBlanks" dxfId="1079" priority="291">
      <formula>LEN(TRIM(X21))&gt;0</formula>
    </cfRule>
    <cfRule type="containsBlanks" dxfId="1078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77" priority="66">
      <formula>LEN(TRIM(Z59))&gt;0</formula>
    </cfRule>
    <cfRule type="containsBlanks" dxfId="1076" priority="65">
      <formula>LEN(TRIM(Z59))=0</formula>
    </cfRule>
  </conditionalFormatting>
  <conditionalFormatting sqref="Z72">
    <cfRule type="containsBlanks" dxfId="1075" priority="135">
      <formula>LEN(TRIM(Z72))=0</formula>
    </cfRule>
    <cfRule type="notContainsBlanks" dxfId="1074" priority="136">
      <formula>LEN(TRIM(Z72))&gt;0</formula>
    </cfRule>
  </conditionalFormatting>
  <conditionalFormatting sqref="Z76">
    <cfRule type="containsBlanks" dxfId="1073" priority="216">
      <formula>LEN(TRIM(Z76))=0</formula>
    </cfRule>
    <cfRule type="notContainsBlanks" dxfId="1072" priority="217">
      <formula>LEN(TRIM(Z76))&gt;0</formula>
    </cfRule>
  </conditionalFormatting>
  <conditionalFormatting sqref="Z63:AA63">
    <cfRule type="containsBlanks" dxfId="1071" priority="176">
      <formula>LEN(TRIM(Z63))=0</formula>
    </cfRule>
    <cfRule type="notContainsBlanks" dxfId="1070" priority="177">
      <formula>LEN(TRIM(Z63))&gt;0</formula>
    </cfRule>
  </conditionalFormatting>
  <conditionalFormatting sqref="Z59:AB59">
    <cfRule type="containsBlanks" dxfId="1069" priority="67">
      <formula>LEN(TRIM(Z59))=0</formula>
    </cfRule>
    <cfRule type="notContainsBlanks" dxfId="1068" priority="68">
      <formula>LEN(TRIM(Z59))&gt;0</formula>
    </cfRule>
  </conditionalFormatting>
  <conditionalFormatting sqref="Z63:AB63">
    <cfRule type="containsBlanks" dxfId="1067" priority="186">
      <formula>LEN(TRIM(Z63))=0</formula>
    </cfRule>
    <cfRule type="notContainsBlanks" dxfId="1066" priority="187">
      <formula>LEN(TRIM(Z63))&gt;0</formula>
    </cfRule>
    <cfRule type="containsBlanks" dxfId="1065" priority="178">
      <formula>LEN(TRIM(Z63))=0</formula>
    </cfRule>
    <cfRule type="notContainsBlanks" dxfId="1064" priority="179">
      <formula>LEN(TRIM(Z63))&gt;0</formula>
    </cfRule>
  </conditionalFormatting>
  <conditionalFormatting sqref="Z25:AI25">
    <cfRule type="notContainsBlanks" dxfId="1063" priority="122">
      <formula>LEN(TRIM(Z25))&gt;0</formula>
    </cfRule>
    <cfRule type="containsBlanks" dxfId="1062" priority="121">
      <formula>LEN(TRIM(Z25))=0</formula>
    </cfRule>
  </conditionalFormatting>
  <conditionalFormatting sqref="Z29:AI29">
    <cfRule type="notContainsBlanks" dxfId="1061" priority="8">
      <formula>LEN(TRIM(Z29))&gt;0</formula>
    </cfRule>
    <cfRule type="containsBlanks" dxfId="1060" priority="7">
      <formula>LEN(TRIM(Z29))=0</formula>
    </cfRule>
  </conditionalFormatting>
  <conditionalFormatting sqref="AA59:AB59">
    <cfRule type="notContainsBlanks" dxfId="1059" priority="148">
      <formula>LEN(TRIM(AA59))&gt;0</formula>
    </cfRule>
    <cfRule type="containsBlanks" dxfId="1058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57" priority="274">
      <formula>LEN(TRIM(AF21))=0</formula>
    </cfRule>
    <cfRule type="notContainsBlanks" dxfId="1056" priority="275">
      <formula>LEN(TRIM(AF21))&gt;0</formula>
    </cfRule>
    <cfRule type="containsBlanks" dxfId="1055" priority="276">
      <formula>LEN(TRIM(AF21))=0</formula>
    </cfRule>
    <cfRule type="notContainsBlanks" dxfId="1054" priority="277">
      <formula>LEN(TRIM(AF21))&gt;0</formula>
    </cfRule>
    <cfRule type="containsBlanks" dxfId="1053" priority="278">
      <formula>LEN(TRIM(AF21))=0</formula>
    </cfRule>
    <cfRule type="notContainsBlanks" dxfId="1052" priority="279">
      <formula>LEN(TRIM(AF21))&gt;0</formula>
    </cfRule>
    <cfRule type="containsBlanks" dxfId="1051" priority="280">
      <formula>LEN(TRIM(AF21))=0</formula>
    </cfRule>
    <cfRule type="notContainsBlanks" dxfId="1050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49" priority="118">
      <formula>LEN(TRIM(AF21))&gt;0</formula>
    </cfRule>
    <cfRule type="containsBlanks" dxfId="1048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47" priority="292">
      <formula>LEN(TRIM(AG33))=0</formula>
    </cfRule>
    <cfRule type="notContainsBlanks" dxfId="1046" priority="293">
      <formula>LEN(TRIM(AG33))&gt;0</formula>
    </cfRule>
    <cfRule type="containsBlanks" dxfId="1045" priority="294">
      <formula>LEN(TRIM(AG33))=0</formula>
    </cfRule>
    <cfRule type="notContainsBlanks" dxfId="1044" priority="295">
      <formula>LEN(TRIM(AG33))&gt;0</formula>
    </cfRule>
    <cfRule type="containsBlanks" dxfId="1043" priority="296">
      <formula>LEN(TRIM(AG33))=0</formula>
    </cfRule>
    <cfRule type="notContainsBlanks" dxfId="1042" priority="297">
      <formula>LEN(TRIM(AG33))&gt;0</formula>
    </cfRule>
    <cfRule type="containsBlanks" dxfId="1041" priority="298">
      <formula>LEN(TRIM(AG33))=0</formula>
    </cfRule>
    <cfRule type="notContainsBlanks" dxfId="1040" priority="299">
      <formula>LEN(TRIM(AG33))&gt;0</formula>
    </cfRule>
    <cfRule type="containsBlanks" dxfId="1039" priority="300">
      <formula>LEN(TRIM(AG33))=0</formula>
    </cfRule>
    <cfRule type="notContainsBlanks" dxfId="1038" priority="301">
      <formula>LEN(TRIM(AG33))&gt;0</formula>
    </cfRule>
    <cfRule type="containsBlanks" dxfId="1037" priority="302">
      <formula>LEN(TRIM(AG33))=0</formula>
    </cfRule>
    <cfRule type="notContainsBlanks" dxfId="1036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35" priority="911">
      <formula>LEN(TRIM(E14))=0</formula>
    </cfRule>
  </conditionalFormatting>
  <conditionalFormatting sqref="J114:J119 BT207:BV213 AW168:BA174 BZ168:CP174">
    <cfRule type="containsText" dxfId="1034" priority="906" operator="containsText" text="T">
      <formula>NOT(ISERROR(SEARCH("T",J114)))</formula>
    </cfRule>
  </conditionalFormatting>
  <conditionalFormatting sqref="J120:M126">
    <cfRule type="containsText" dxfId="1033" priority="447" operator="containsText" text="T">
      <formula>NOT(ISERROR(SEARCH("T",J120)))</formula>
    </cfRule>
  </conditionalFormatting>
  <conditionalFormatting sqref="J113:T113">
    <cfRule type="containsText" dxfId="1032" priority="898" operator="containsText" text="17">
      <formula>NOT(ISERROR(SEARCH("17",J113)))</formula>
    </cfRule>
    <cfRule type="containsText" dxfId="1031" priority="899" operator="containsText" text="T">
      <formula>NOT(ISERROR(SEARCH("T",J113)))</formula>
    </cfRule>
  </conditionalFormatting>
  <conditionalFormatting sqref="J67:X68 BT207:BV213">
    <cfRule type="containsText" dxfId="1030" priority="843" operator="containsText" text="17">
      <formula>NOT(ISERROR(SEARCH("17",J67)))</formula>
    </cfRule>
  </conditionalFormatting>
  <conditionalFormatting sqref="J97:X98">
    <cfRule type="containsText" dxfId="1029" priority="833" operator="containsText" text="17">
      <formula>NOT(ISERROR(SEARCH("17",J97)))</formula>
    </cfRule>
  </conditionalFormatting>
  <conditionalFormatting sqref="J67:Z68">
    <cfRule type="containsText" dxfId="1028" priority="837" operator="containsText" text="T">
      <formula>NOT(ISERROR(SEARCH("T",J67)))</formula>
    </cfRule>
  </conditionalFormatting>
  <conditionalFormatting sqref="J97:Z98">
    <cfRule type="containsText" dxfId="1027" priority="827" operator="containsText" text="T">
      <formula>NOT(ISERROR(SEARCH("T",J97)))</formula>
    </cfRule>
  </conditionalFormatting>
  <conditionalFormatting sqref="J127:Z130">
    <cfRule type="containsText" dxfId="1026" priority="807" operator="containsText" text="T">
      <formula>NOT(ISERROR(SEARCH("T",J127)))</formula>
    </cfRule>
  </conditionalFormatting>
  <conditionalFormatting sqref="J114:AD119 J113:R113">
    <cfRule type="containsText" dxfId="1025" priority="905" operator="containsText" text="17">
      <formula>NOT(ISERROR(SEARCH("17",J113)))</formula>
    </cfRule>
  </conditionalFormatting>
  <conditionalFormatting sqref="J48:AO49">
    <cfRule type="containsText" dxfId="1024" priority="580" operator="containsText" text="17">
      <formula>NOT(ISERROR(SEARCH("17",J48)))</formula>
    </cfRule>
  </conditionalFormatting>
  <conditionalFormatting sqref="J63:AP66">
    <cfRule type="containsText" dxfId="1023" priority="560" operator="containsText" text="17">
      <formula>NOT(ISERROR(SEARCH("17",J63)))</formula>
    </cfRule>
  </conditionalFormatting>
  <conditionalFormatting sqref="J48:AQ49">
    <cfRule type="containsText" dxfId="1022" priority="574" operator="containsText" text="T">
      <formula>NOT(ISERROR(SEARCH("T",J48)))</formula>
    </cfRule>
  </conditionalFormatting>
  <conditionalFormatting sqref="J59:AQ62">
    <cfRule type="containsText" dxfId="1021" priority="546" operator="containsText" text="17">
      <formula>NOT(ISERROR(SEARCH("17",J59)))</formula>
    </cfRule>
  </conditionalFormatting>
  <conditionalFormatting sqref="J86:AQ89">
    <cfRule type="containsText" dxfId="1020" priority="536" operator="containsText" text="17">
      <formula>NOT(ISERROR(SEARCH("17",J86)))</formula>
    </cfRule>
  </conditionalFormatting>
  <conditionalFormatting sqref="J50:AR53">
    <cfRule type="containsText" dxfId="1019" priority="564" operator="containsText" text="T">
      <formula>NOT(ISERROR(SEARCH("T",J50)))</formula>
    </cfRule>
  </conditionalFormatting>
  <conditionalFormatting sqref="J63:AR66">
    <cfRule type="containsText" dxfId="1018" priority="554" operator="containsText" text="T">
      <formula>NOT(ISERROR(SEARCH("T",J63)))</formula>
    </cfRule>
  </conditionalFormatting>
  <conditionalFormatting sqref="J83:AR85">
    <cfRule type="containsText" dxfId="1017" priority="526" operator="containsText" text="17">
      <formula>NOT(ISERROR(SEARCH("17",J83)))</formula>
    </cfRule>
  </conditionalFormatting>
  <conditionalFormatting sqref="J214:AR217">
    <cfRule type="containsText" dxfId="1016" priority="516" operator="containsText" text="17">
      <formula>NOT(ISERROR(SEARCH("17",J214)))</formula>
    </cfRule>
  </conditionalFormatting>
  <conditionalFormatting sqref="J59:AS62">
    <cfRule type="containsText" dxfId="1015" priority="540" operator="containsText" text="T">
      <formula>NOT(ISERROR(SEARCH("T",J59)))</formula>
    </cfRule>
  </conditionalFormatting>
  <conditionalFormatting sqref="J86:AS89">
    <cfRule type="containsText" dxfId="1014" priority="530" operator="containsText" text="T">
      <formula>NOT(ISERROR(SEARCH("T",J86)))</formula>
    </cfRule>
  </conditionalFormatting>
  <conditionalFormatting sqref="J218:AS224">
    <cfRule type="containsText" dxfId="1013" priority="506" operator="containsText" text="17">
      <formula>NOT(ISERROR(SEARCH("17",J218)))</formula>
    </cfRule>
  </conditionalFormatting>
  <conditionalFormatting sqref="J83:AT85">
    <cfRule type="containsText" dxfId="1012" priority="520" operator="containsText" text="T">
      <formula>NOT(ISERROR(SEARCH("T",J83)))</formula>
    </cfRule>
  </conditionalFormatting>
  <conditionalFormatting sqref="J214:AT217">
    <cfRule type="containsText" dxfId="1011" priority="510" operator="containsText" text="T">
      <formula>NOT(ISERROR(SEARCH("T",J214)))</formula>
    </cfRule>
  </conditionalFormatting>
  <conditionalFormatting sqref="J225:AT231">
    <cfRule type="containsText" dxfId="1010" priority="496" operator="containsText" text="17">
      <formula>NOT(ISERROR(SEARCH("17",J225)))</formula>
    </cfRule>
  </conditionalFormatting>
  <conditionalFormatting sqref="J218:AU224">
    <cfRule type="containsText" dxfId="1009" priority="500" operator="containsText" text="T">
      <formula>NOT(ISERROR(SEARCH("T",J218)))</formula>
    </cfRule>
  </conditionalFormatting>
  <conditionalFormatting sqref="J232:AU234">
    <cfRule type="containsText" dxfId="1008" priority="486" operator="containsText" text="17">
      <formula>NOT(ISERROR(SEARCH("17",J232)))</formula>
    </cfRule>
  </conditionalFormatting>
  <conditionalFormatting sqref="J225:AV231">
    <cfRule type="containsText" dxfId="1007" priority="490" operator="containsText" text="T">
      <formula>NOT(ISERROR(SEARCH("T",J225)))</formula>
    </cfRule>
  </conditionalFormatting>
  <conditionalFormatting sqref="J232:AW234">
    <cfRule type="containsText" dxfId="1006" priority="480" operator="containsText" text="T">
      <formula>NOT(ISERROR(SEARCH("T",J232)))</formula>
    </cfRule>
  </conditionalFormatting>
  <conditionalFormatting sqref="J33:CP33">
    <cfRule type="containsText" dxfId="1005" priority="1058" operator="containsText" text="T">
      <formula>NOT(ISERROR(SEARCH("T",J33)))</formula>
    </cfRule>
  </conditionalFormatting>
  <conditionalFormatting sqref="K77:K82">
    <cfRule type="containsText" dxfId="1004" priority="893" operator="containsText" text="T">
      <formula>NOT(ISERROR(SEARCH("T",K77)))</formula>
    </cfRule>
  </conditionalFormatting>
  <conditionalFormatting sqref="K76:U76">
    <cfRule type="containsText" dxfId="1003" priority="886" operator="containsText" text="T">
      <formula>NOT(ISERROR(SEARCH("T",K76)))</formula>
    </cfRule>
    <cfRule type="containsText" dxfId="1002" priority="885" operator="containsText" text="17">
      <formula>NOT(ISERROR(SEARCH("17",K76)))</formula>
    </cfRule>
  </conditionalFormatting>
  <conditionalFormatting sqref="K77:AE82 K76:S76">
    <cfRule type="containsText" dxfId="1001" priority="892" operator="containsText" text="17">
      <formula>NOT(ISERROR(SEARCH("17",K76)))</formula>
    </cfRule>
  </conditionalFormatting>
  <conditionalFormatting sqref="L107:L112">
    <cfRule type="containsText" dxfId="1000" priority="880" operator="containsText" text="T">
      <formula>NOT(ISERROR(SEARCH("T",L107)))</formula>
    </cfRule>
  </conditionalFormatting>
  <conditionalFormatting sqref="L106:V106">
    <cfRule type="containsText" dxfId="999" priority="872" operator="containsText" text="17">
      <formula>NOT(ISERROR(SEARCH("17",L106)))</formula>
    </cfRule>
    <cfRule type="containsText" dxfId="998" priority="873" operator="containsText" text="T">
      <formula>NOT(ISERROR(SEARCH("T",L106)))</formula>
    </cfRule>
  </conditionalFormatting>
  <conditionalFormatting sqref="L107:AF112 L106:T106">
    <cfRule type="containsText" dxfId="997" priority="879" operator="containsText" text="17">
      <formula>NOT(ISERROR(SEARCH("17",L106)))</formula>
    </cfRule>
  </conditionalFormatting>
  <conditionalFormatting sqref="M120:AG126 AJ120:AJ126">
    <cfRule type="containsText" dxfId="996" priority="444" operator="containsText" text="T">
      <formula>NOT(ISERROR(SEARCH("T",M120)))</formula>
    </cfRule>
  </conditionalFormatting>
  <conditionalFormatting sqref="M120:AG126">
    <cfRule type="containsText" dxfId="995" priority="446" operator="containsText" text="17">
      <formula>NOT(ISERROR(SEARCH("17",M120)))</formula>
    </cfRule>
  </conditionalFormatting>
  <conditionalFormatting sqref="N70:N75">
    <cfRule type="containsText" dxfId="994" priority="867" operator="containsText" text="T">
      <formula>NOT(ISERROR(SEARCH("T",N70)))</formula>
    </cfRule>
  </conditionalFormatting>
  <conditionalFormatting sqref="N69:X69">
    <cfRule type="containsText" dxfId="993" priority="860" operator="containsText" text="T">
      <formula>NOT(ISERROR(SEARCH("T",N69)))</formula>
    </cfRule>
    <cfRule type="containsText" dxfId="992" priority="859" operator="containsText" text="17">
      <formula>NOT(ISERROR(SEARCH("17",N69)))</formula>
    </cfRule>
  </conditionalFormatting>
  <conditionalFormatting sqref="N70:AH75 N69:V69">
    <cfRule type="containsText" dxfId="991" priority="866" operator="containsText" text="17">
      <formula>NOT(ISERROR(SEARCH("17",N69)))</formula>
    </cfRule>
  </conditionalFormatting>
  <conditionalFormatting sqref="O100:O105">
    <cfRule type="containsText" dxfId="990" priority="854" operator="containsText" text="T">
      <formula>NOT(ISERROR(SEARCH("T",O100)))</formula>
    </cfRule>
  </conditionalFormatting>
  <conditionalFormatting sqref="O99:Y99">
    <cfRule type="containsText" dxfId="989" priority="846" operator="containsText" text="17">
      <formula>NOT(ISERROR(SEARCH("17",O99)))</formula>
    </cfRule>
    <cfRule type="containsText" dxfId="988" priority="847" operator="containsText" text="T">
      <formula>NOT(ISERROR(SEARCH("T",O99)))</formula>
    </cfRule>
  </conditionalFormatting>
  <conditionalFormatting sqref="O100:AI105 O99:W99">
    <cfRule type="containsText" dxfId="987" priority="853" operator="containsText" text="17">
      <formula>NOT(ISERROR(SEARCH("17",O99)))</formula>
    </cfRule>
  </conditionalFormatting>
  <conditionalFormatting sqref="P67:Z68">
    <cfRule type="containsText" dxfId="986" priority="836" operator="containsText" text="17">
      <formula>NOT(ISERROR(SEARCH("17",P67)))</formula>
    </cfRule>
  </conditionalFormatting>
  <conditionalFormatting sqref="P97:Z98">
    <cfRule type="containsText" dxfId="985" priority="826" operator="containsText" text="17">
      <formula>NOT(ISERROR(SEARCH("17",P97)))</formula>
    </cfRule>
  </conditionalFormatting>
  <conditionalFormatting sqref="P127:Z130">
    <cfRule type="containsText" dxfId="984" priority="806" operator="containsText" text="17">
      <formula>NOT(ISERROR(SEARCH("17",P127)))</formula>
    </cfRule>
  </conditionalFormatting>
  <conditionalFormatting sqref="Q132:Q137">
    <cfRule type="containsText" dxfId="983" priority="801" operator="containsText" text="T">
      <formula>NOT(ISERROR(SEARCH("T",Q132)))</formula>
    </cfRule>
  </conditionalFormatting>
  <conditionalFormatting sqref="Q131:AA131">
    <cfRule type="containsText" dxfId="982" priority="794" operator="containsText" text="T">
      <formula>NOT(ISERROR(SEARCH("T",Q131)))</formula>
    </cfRule>
    <cfRule type="containsText" dxfId="981" priority="793" operator="containsText" text="17">
      <formula>NOT(ISERROR(SEARCH("17",Q131)))</formula>
    </cfRule>
  </conditionalFormatting>
  <conditionalFormatting sqref="Q132:AK137 Q131:Y131">
    <cfRule type="containsText" dxfId="980" priority="800" operator="containsText" text="17">
      <formula>NOT(ISERROR(SEARCH("17",Q131)))</formula>
    </cfRule>
  </conditionalFormatting>
  <conditionalFormatting sqref="R139:R144">
    <cfRule type="containsText" dxfId="979" priority="788" operator="containsText" text="T">
      <formula>NOT(ISERROR(SEARCH("T",R139)))</formula>
    </cfRule>
  </conditionalFormatting>
  <conditionalFormatting sqref="R138:AB138">
    <cfRule type="containsText" dxfId="978" priority="780" operator="containsText" text="17">
      <formula>NOT(ISERROR(SEARCH("17",R138)))</formula>
    </cfRule>
    <cfRule type="containsText" dxfId="977" priority="781" operator="containsText" text="T">
      <formula>NOT(ISERROR(SEARCH("T",R138)))</formula>
    </cfRule>
  </conditionalFormatting>
  <conditionalFormatting sqref="R139:AL144 R138:Z138">
    <cfRule type="containsText" dxfId="976" priority="787" operator="containsText" text="17">
      <formula>NOT(ISERROR(SEARCH("17",R138)))</formula>
    </cfRule>
  </conditionalFormatting>
  <conditionalFormatting sqref="S146:S151">
    <cfRule type="containsText" dxfId="975" priority="775" operator="containsText" text="T">
      <formula>NOT(ISERROR(SEARCH("T",S146)))</formula>
    </cfRule>
  </conditionalFormatting>
  <conditionalFormatting sqref="S145:AC145">
    <cfRule type="containsText" dxfId="974" priority="768" operator="containsText" text="T">
      <formula>NOT(ISERROR(SEARCH("T",S145)))</formula>
    </cfRule>
    <cfRule type="containsText" dxfId="973" priority="767" operator="containsText" text="17">
      <formula>NOT(ISERROR(SEARCH("17",S145)))</formula>
    </cfRule>
  </conditionalFormatting>
  <conditionalFormatting sqref="S146:AM151 S145:AA145">
    <cfRule type="containsText" dxfId="972" priority="774" operator="containsText" text="17">
      <formula>NOT(ISERROR(SEARCH("17",S145)))</formula>
    </cfRule>
  </conditionalFormatting>
  <conditionalFormatting sqref="T153:T158">
    <cfRule type="containsText" dxfId="971" priority="762" operator="containsText" text="T">
      <formula>NOT(ISERROR(SEARCH("T",T153)))</formula>
    </cfRule>
  </conditionalFormatting>
  <conditionalFormatting sqref="T152:AD152">
    <cfRule type="containsText" dxfId="970" priority="754" operator="containsText" text="17">
      <formula>NOT(ISERROR(SEARCH("17",T152)))</formula>
    </cfRule>
    <cfRule type="containsText" dxfId="969" priority="755" operator="containsText" text="T">
      <formula>NOT(ISERROR(SEARCH("T",T152)))</formula>
    </cfRule>
  </conditionalFormatting>
  <conditionalFormatting sqref="T153:AN158 T152:AB152">
    <cfRule type="containsText" dxfId="968" priority="761" operator="containsText" text="17">
      <formula>NOT(ISERROR(SEARCH("17",T152)))</formula>
    </cfRule>
  </conditionalFormatting>
  <conditionalFormatting sqref="U160:U165">
    <cfRule type="containsText" dxfId="967" priority="749" operator="containsText" text="T">
      <formula>NOT(ISERROR(SEARCH("T",U160)))</formula>
    </cfRule>
  </conditionalFormatting>
  <conditionalFormatting sqref="U113:AA113">
    <cfRule type="containsText" dxfId="966" priority="907" operator="containsText" text="17">
      <formula>NOT(ISERROR(SEARCH("17",U113)))</formula>
    </cfRule>
    <cfRule type="containsText" dxfId="965" priority="908" operator="containsText" text="T">
      <formula>NOT(ISERROR(SEARCH("T",U113)))</formula>
    </cfRule>
  </conditionalFormatting>
  <conditionalFormatting sqref="U159:AE159">
    <cfRule type="containsText" dxfId="964" priority="742" operator="containsText" text="T">
      <formula>NOT(ISERROR(SEARCH("T",U159)))</formula>
    </cfRule>
    <cfRule type="containsText" dxfId="963" priority="741" operator="containsText" text="17">
      <formula>NOT(ISERROR(SEARCH("17",U159)))</formula>
    </cfRule>
  </conditionalFormatting>
  <conditionalFormatting sqref="U160:AO165 U159:AC159">
    <cfRule type="containsText" dxfId="962" priority="748" operator="containsText" text="17">
      <formula>NOT(ISERROR(SEARCH("17",U159)))</formula>
    </cfRule>
  </conditionalFormatting>
  <conditionalFormatting sqref="V113">
    <cfRule type="containsText" dxfId="961" priority="903" operator="containsText" text="17">
      <formula>NOT(ISERROR(SEARCH("17",V113)))</formula>
    </cfRule>
    <cfRule type="containsText" dxfId="960" priority="904" operator="containsText" text="T">
      <formula>NOT(ISERROR(SEARCH("T",V113)))</formula>
    </cfRule>
  </conditionalFormatting>
  <conditionalFormatting sqref="V208:V213">
    <cfRule type="containsText" dxfId="959" priority="736" operator="containsText" text="T">
      <formula>NOT(ISERROR(SEARCH("T",V208)))</formula>
    </cfRule>
  </conditionalFormatting>
  <conditionalFormatting sqref="V76:AB76">
    <cfRule type="containsText" dxfId="958" priority="894" operator="containsText" text="17">
      <formula>NOT(ISERROR(SEARCH("17",V76)))</formula>
    </cfRule>
    <cfRule type="containsText" dxfId="957" priority="895" operator="containsText" text="T">
      <formula>NOT(ISERROR(SEARCH("T",V76)))</formula>
    </cfRule>
  </conditionalFormatting>
  <conditionalFormatting sqref="V207:AF207">
    <cfRule type="containsText" dxfId="956" priority="728" operator="containsText" text="17">
      <formula>NOT(ISERROR(SEARCH("17",V207)))</formula>
    </cfRule>
    <cfRule type="containsText" dxfId="955" priority="729" operator="containsText" text="T">
      <formula>NOT(ISERROR(SEARCH("T",V207)))</formula>
    </cfRule>
  </conditionalFormatting>
  <conditionalFormatting sqref="V208:AP213 V207:AD207">
    <cfRule type="containsText" dxfId="954" priority="735" operator="containsText" text="17">
      <formula>NOT(ISERROR(SEARCH("17",V207)))</formula>
    </cfRule>
  </conditionalFormatting>
  <conditionalFormatting sqref="W76">
    <cfRule type="containsText" dxfId="953" priority="890" operator="containsText" text="17">
      <formula>NOT(ISERROR(SEARCH("17",W76)))</formula>
    </cfRule>
    <cfRule type="containsText" dxfId="952" priority="891" operator="containsText" text="T">
      <formula>NOT(ISERROR(SEARCH("T",W76)))</formula>
    </cfRule>
  </conditionalFormatting>
  <conditionalFormatting sqref="W201:W206">
    <cfRule type="containsText" dxfId="951" priority="723" operator="containsText" text="T">
      <formula>NOT(ISERROR(SEARCH("T",W201)))</formula>
    </cfRule>
  </conditionalFormatting>
  <conditionalFormatting sqref="W106:AC106">
    <cfRule type="containsText" dxfId="950" priority="882" operator="containsText" text="T">
      <formula>NOT(ISERROR(SEARCH("T",W106)))</formula>
    </cfRule>
    <cfRule type="containsText" dxfId="949" priority="881" operator="containsText" text="17">
      <formula>NOT(ISERROR(SEARCH("17",W106)))</formula>
    </cfRule>
  </conditionalFormatting>
  <conditionalFormatting sqref="W200:AG200">
    <cfRule type="containsText" dxfId="948" priority="716" operator="containsText" text="T">
      <formula>NOT(ISERROR(SEARCH("T",W200)))</formula>
    </cfRule>
    <cfRule type="containsText" dxfId="947" priority="715" operator="containsText" text="17">
      <formula>NOT(ISERROR(SEARCH("17",W200)))</formula>
    </cfRule>
  </conditionalFormatting>
  <conditionalFormatting sqref="W201:AQ206 W200:AE200">
    <cfRule type="containsText" dxfId="946" priority="722" operator="containsText" text="17">
      <formula>NOT(ISERROR(SEARCH("17",W200)))</formula>
    </cfRule>
  </conditionalFormatting>
  <conditionalFormatting sqref="X106">
    <cfRule type="containsText" dxfId="945" priority="878" operator="containsText" text="T">
      <formula>NOT(ISERROR(SEARCH("T",X106)))</formula>
    </cfRule>
    <cfRule type="containsText" dxfId="944" priority="877" operator="containsText" text="17">
      <formula>NOT(ISERROR(SEARCH("17",X106)))</formula>
    </cfRule>
  </conditionalFormatting>
  <conditionalFormatting sqref="X194:X199">
    <cfRule type="containsText" dxfId="943" priority="710" operator="containsText" text="T">
      <formula>NOT(ISERROR(SEARCH("T",X194)))</formula>
    </cfRule>
  </conditionalFormatting>
  <conditionalFormatting sqref="X192:AH193">
    <cfRule type="containsText" dxfId="942" priority="697" operator="containsText" text="17">
      <formula>NOT(ISERROR(SEARCH("17",X192)))</formula>
    </cfRule>
    <cfRule type="containsText" dxfId="941" priority="698" operator="containsText" text="T">
      <formula>NOT(ISERROR(SEARCH("T",X192)))</formula>
    </cfRule>
  </conditionalFormatting>
  <conditionalFormatting sqref="Y169:Y174">
    <cfRule type="containsText" dxfId="940" priority="692" operator="containsText" text="T">
      <formula>NOT(ISERROR(SEARCH("T",Y169)))</formula>
    </cfRule>
  </conditionalFormatting>
  <conditionalFormatting sqref="Y69:AE69">
    <cfRule type="containsText" dxfId="939" priority="869" operator="containsText" text="T">
      <formula>NOT(ISERROR(SEARCH("T",Y69)))</formula>
    </cfRule>
    <cfRule type="containsText" dxfId="938" priority="868" operator="containsText" text="17">
      <formula>NOT(ISERROR(SEARCH("17",Y69)))</formula>
    </cfRule>
  </conditionalFormatting>
  <conditionalFormatting sqref="Y168:AI168">
    <cfRule type="containsText" dxfId="937" priority="684" operator="containsText" text="17">
      <formula>NOT(ISERROR(SEARCH("17",Y168)))</formula>
    </cfRule>
    <cfRule type="containsText" dxfId="936" priority="685" operator="containsText" text="T">
      <formula>NOT(ISERROR(SEARCH("T",Y168)))</formula>
    </cfRule>
  </conditionalFormatting>
  <conditionalFormatting sqref="Y169:AS174 Y168:AG168">
    <cfRule type="containsText" dxfId="935" priority="691" operator="containsText" text="17">
      <formula>NOT(ISERROR(SEARCH("17",Y168)))</formula>
    </cfRule>
  </conditionalFormatting>
  <conditionalFormatting sqref="Z69">
    <cfRule type="containsText" dxfId="934" priority="864" operator="containsText" text="17">
      <formula>NOT(ISERROR(SEARCH("17",Z69)))</formula>
    </cfRule>
    <cfRule type="containsText" dxfId="933" priority="865" operator="containsText" text="T">
      <formula>NOT(ISERROR(SEARCH("T",Z69)))</formula>
    </cfRule>
  </conditionalFormatting>
  <conditionalFormatting sqref="Z176:Z181">
    <cfRule type="containsText" dxfId="932" priority="679" operator="containsText" text="T">
      <formula>NOT(ISERROR(SEARCH("T",Z176)))</formula>
    </cfRule>
  </conditionalFormatting>
  <conditionalFormatting sqref="Z99:AF99">
    <cfRule type="containsText" dxfId="931" priority="856" operator="containsText" text="T">
      <formula>NOT(ISERROR(SEARCH("T",Z99)))</formula>
    </cfRule>
    <cfRule type="containsText" dxfId="930" priority="855" operator="containsText" text="17">
      <formula>NOT(ISERROR(SEARCH("17",Z99)))</formula>
    </cfRule>
  </conditionalFormatting>
  <conditionalFormatting sqref="Z175:AJ175">
    <cfRule type="containsText" dxfId="929" priority="671" operator="containsText" text="17">
      <formula>NOT(ISERROR(SEARCH("17",Z175)))</formula>
    </cfRule>
    <cfRule type="containsText" dxfId="928" priority="672" operator="containsText" text="T">
      <formula>NOT(ISERROR(SEARCH("T",Z175)))</formula>
    </cfRule>
  </conditionalFormatting>
  <conditionalFormatting sqref="Z176:AT181 Z175:AH175">
    <cfRule type="containsText" dxfId="927" priority="678" operator="containsText" text="17">
      <formula>NOT(ISERROR(SEARCH("17",Z175)))</formula>
    </cfRule>
  </conditionalFormatting>
  <conditionalFormatting sqref="AA99">
    <cfRule type="containsText" dxfId="926" priority="851" operator="containsText" text="17">
      <formula>NOT(ISERROR(SEARCH("17",AA99)))</formula>
    </cfRule>
    <cfRule type="containsText" dxfId="925" priority="852" operator="containsText" text="T">
      <formula>NOT(ISERROR(SEARCH("T",AA99)))</formula>
    </cfRule>
  </conditionalFormatting>
  <conditionalFormatting sqref="AA113 AE113:AG113 J114:AD119 AG114:AG119">
    <cfRule type="containsText" dxfId="924" priority="900" operator="containsText" text="T">
      <formula>NOT(ISERROR(SEARCH("T",J113)))</formula>
    </cfRule>
  </conditionalFormatting>
  <conditionalFormatting sqref="AA183:AA190">
    <cfRule type="containsText" dxfId="923" priority="666" operator="containsText" text="T">
      <formula>NOT(ISERROR(SEARCH("T",AA183)))</formula>
    </cfRule>
  </conditionalFormatting>
  <conditionalFormatting sqref="AA113:AB113 AE113:AG113 AG114:AG119">
    <cfRule type="containsText" dxfId="922" priority="901" operator="containsText" text="17">
      <formula>NOT(ISERROR(SEARCH("17",AA113)))</formula>
    </cfRule>
  </conditionalFormatting>
  <conditionalFormatting sqref="AA67:AG68">
    <cfRule type="containsText" dxfId="921" priority="845" operator="containsText" text="T">
      <formula>NOT(ISERROR(SEARCH("T",AA67)))</formula>
    </cfRule>
    <cfRule type="containsText" dxfId="920" priority="844" operator="containsText" text="17">
      <formula>NOT(ISERROR(SEARCH("17",AA67)))</formula>
    </cfRule>
  </conditionalFormatting>
  <conditionalFormatting sqref="AA97:AG98">
    <cfRule type="containsText" dxfId="919" priority="835" operator="containsText" text="T">
      <formula>NOT(ISERROR(SEARCH("T",AA97)))</formula>
    </cfRule>
    <cfRule type="containsText" dxfId="918" priority="834" operator="containsText" text="17">
      <formula>NOT(ISERROR(SEARCH("17",AA97)))</formula>
    </cfRule>
  </conditionalFormatting>
  <conditionalFormatting sqref="AA127:AG130">
    <cfRule type="containsText" dxfId="917" priority="814" operator="containsText" text="17">
      <formula>NOT(ISERROR(SEARCH("17",AA127)))</formula>
    </cfRule>
    <cfRule type="containsText" dxfId="916" priority="815" operator="containsText" text="T">
      <formula>NOT(ISERROR(SEARCH("T",AA127)))</formula>
    </cfRule>
  </conditionalFormatting>
  <conditionalFormatting sqref="AA182:AK182">
    <cfRule type="containsText" dxfId="915" priority="659" operator="containsText" text="T">
      <formula>NOT(ISERROR(SEARCH("T",AA182)))</formula>
    </cfRule>
    <cfRule type="containsText" dxfId="914" priority="658" operator="containsText" text="17">
      <formula>NOT(ISERROR(SEARCH("17",AA182)))</formula>
    </cfRule>
  </conditionalFormatting>
  <conditionalFormatting sqref="AA183:AU190 AA182:AI182">
    <cfRule type="containsText" dxfId="913" priority="665" operator="containsText" text="17">
      <formula>NOT(ISERROR(SEARCH("17",AA182)))</formula>
    </cfRule>
  </conditionalFormatting>
  <conditionalFormatting sqref="AB67:AB68">
    <cfRule type="containsText" dxfId="912" priority="842" operator="containsText" text="T">
      <formula>NOT(ISERROR(SEARCH("T",AB67)))</formula>
    </cfRule>
    <cfRule type="containsText" dxfId="911" priority="841" operator="containsText" text="17">
      <formula>NOT(ISERROR(SEARCH("17",AB67)))</formula>
    </cfRule>
  </conditionalFormatting>
  <conditionalFormatting sqref="AB76 AF76:AH76 K77:AE82 AH77:AH82">
    <cfRule type="containsText" dxfId="910" priority="887" operator="containsText" text="T">
      <formula>NOT(ISERROR(SEARCH("T",K76)))</formula>
    </cfRule>
  </conditionalFormatting>
  <conditionalFormatting sqref="AB91:AB96">
    <cfRule type="containsText" dxfId="909" priority="653" operator="containsText" text="T">
      <formula>NOT(ISERROR(SEARCH("T",AB91)))</formula>
    </cfRule>
  </conditionalFormatting>
  <conditionalFormatting sqref="AB97:AB98">
    <cfRule type="containsText" dxfId="908" priority="831" operator="containsText" text="17">
      <formula>NOT(ISERROR(SEARCH("17",AB97)))</formula>
    </cfRule>
    <cfRule type="containsText" dxfId="907" priority="832" operator="containsText" text="T">
      <formula>NOT(ISERROR(SEARCH("T",AB97)))</formula>
    </cfRule>
  </conditionalFormatting>
  <conditionalFormatting sqref="AB113">
    <cfRule type="containsText" dxfId="906" priority="902" operator="containsText" text="T">
      <formula>NOT(ISERROR(SEARCH("T",AB113)))</formula>
    </cfRule>
  </conditionalFormatting>
  <conditionalFormatting sqref="AB127:AB130">
    <cfRule type="containsText" dxfId="905" priority="811" operator="containsText" text="17">
      <formula>NOT(ISERROR(SEARCH("17",AB127)))</formula>
    </cfRule>
    <cfRule type="containsText" dxfId="904" priority="812" operator="containsText" text="T">
      <formula>NOT(ISERROR(SEARCH("T",AB127)))</formula>
    </cfRule>
  </conditionalFormatting>
  <conditionalFormatting sqref="AB76:AC76 AF76:AH76 AH77:AH82">
    <cfRule type="containsText" dxfId="903" priority="888" operator="containsText" text="17">
      <formula>NOT(ISERROR(SEARCH("17",AB76)))</formula>
    </cfRule>
  </conditionalFormatting>
  <conditionalFormatting sqref="AB131:AH131">
    <cfRule type="containsText" dxfId="902" priority="802" operator="containsText" text="17">
      <formula>NOT(ISERROR(SEARCH("17",AB131)))</formula>
    </cfRule>
    <cfRule type="containsText" dxfId="901" priority="803" operator="containsText" text="T">
      <formula>NOT(ISERROR(SEARCH("T",AB131)))</formula>
    </cfRule>
  </conditionalFormatting>
  <conditionalFormatting sqref="AB90:AL90">
    <cfRule type="containsText" dxfId="900" priority="645" operator="containsText" text="17">
      <formula>NOT(ISERROR(SEARCH("17",AB90)))</formula>
    </cfRule>
    <cfRule type="containsText" dxfId="899" priority="646" operator="containsText" text="T">
      <formula>NOT(ISERROR(SEARCH("T",AB90)))</formula>
    </cfRule>
  </conditionalFormatting>
  <conditionalFormatting sqref="AB91:AV96 AB90:AJ90">
    <cfRule type="containsText" dxfId="898" priority="652" operator="containsText" text="17">
      <formula>NOT(ISERROR(SEARCH("17",AB90)))</formula>
    </cfRule>
  </conditionalFormatting>
  <conditionalFormatting sqref="AC15:AC20">
    <cfRule type="containsText" dxfId="897" priority="640" operator="containsText" text="T">
      <formula>NOT(ISERROR(SEARCH("T",AC15)))</formula>
    </cfRule>
  </conditionalFormatting>
  <conditionalFormatting sqref="AC76">
    <cfRule type="containsText" dxfId="896" priority="889" operator="containsText" text="T">
      <formula>NOT(ISERROR(SEARCH("T",AC76)))</formula>
    </cfRule>
  </conditionalFormatting>
  <conditionalFormatting sqref="AC106 L107:AF112 AI107:AI112">
    <cfRule type="containsText" dxfId="895" priority="874" operator="containsText" text="T">
      <formula>NOT(ISERROR(SEARCH("T",L106)))</formula>
    </cfRule>
  </conditionalFormatting>
  <conditionalFormatting sqref="AC131">
    <cfRule type="containsText" dxfId="894" priority="798" operator="containsText" text="17">
      <formula>NOT(ISERROR(SEARCH("17",AC131)))</formula>
    </cfRule>
    <cfRule type="containsText" dxfId="893" priority="799" operator="containsText" text="T">
      <formula>NOT(ISERROR(SEARCH("T",AC131)))</formula>
    </cfRule>
  </conditionalFormatting>
  <conditionalFormatting sqref="AC106:AD106 AI107:AI112">
    <cfRule type="containsText" dxfId="892" priority="875" operator="containsText" text="17">
      <formula>NOT(ISERROR(SEARCH("17",AC106)))</formula>
    </cfRule>
  </conditionalFormatting>
  <conditionalFormatting sqref="AC138:AI138">
    <cfRule type="containsText" dxfId="891" priority="790" operator="containsText" text="T">
      <formula>NOT(ISERROR(SEARCH("T",AC138)))</formula>
    </cfRule>
    <cfRule type="containsText" dxfId="890" priority="789" operator="containsText" text="17">
      <formula>NOT(ISERROR(SEARCH("17",AC138)))</formula>
    </cfRule>
  </conditionalFormatting>
  <conditionalFormatting sqref="AC14:AM14">
    <cfRule type="containsText" dxfId="889" priority="632" operator="containsText" text="17">
      <formula>NOT(ISERROR(SEARCH("17",AC14)))</formula>
    </cfRule>
    <cfRule type="containsText" dxfId="888" priority="633" operator="containsText" text="T">
      <formula>NOT(ISERROR(SEARCH("T",AC14)))</formula>
    </cfRule>
  </conditionalFormatting>
  <conditionalFormatting sqref="AC15:AW20 AC14:AK14">
    <cfRule type="containsText" dxfId="887" priority="639" operator="containsText" text="17">
      <formula>NOT(ISERROR(SEARCH("17",AC14)))</formula>
    </cfRule>
  </conditionalFormatting>
  <conditionalFormatting sqref="AD35:AD40">
    <cfRule type="containsText" dxfId="886" priority="627" operator="containsText" text="T">
      <formula>NOT(ISERROR(SEARCH("T",AD35)))</formula>
    </cfRule>
  </conditionalFormatting>
  <conditionalFormatting sqref="AD106">
    <cfRule type="containsText" dxfId="885" priority="876" operator="containsText" text="T">
      <formula>NOT(ISERROR(SEARCH("T",AD106)))</formula>
    </cfRule>
  </conditionalFormatting>
  <conditionalFormatting sqref="AD138">
    <cfRule type="containsText" dxfId="884" priority="786" operator="containsText" text="T">
      <formula>NOT(ISERROR(SEARCH("T",AD138)))</formula>
    </cfRule>
    <cfRule type="containsText" dxfId="883" priority="785" operator="containsText" text="17">
      <formula>NOT(ISERROR(SEARCH("17",AD138)))</formula>
    </cfRule>
  </conditionalFormatting>
  <conditionalFormatting sqref="AD145:AJ145">
    <cfRule type="containsText" dxfId="882" priority="776" operator="containsText" text="17">
      <formula>NOT(ISERROR(SEARCH("17",AD145)))</formula>
    </cfRule>
    <cfRule type="containsText" dxfId="881" priority="777" operator="containsText" text="T">
      <formula>NOT(ISERROR(SEARCH("T",AD145)))</formula>
    </cfRule>
  </conditionalFormatting>
  <conditionalFormatting sqref="AD34:AN34">
    <cfRule type="containsText" dxfId="880" priority="620" operator="containsText" text="T">
      <formula>NOT(ISERROR(SEARCH("T",AD34)))</formula>
    </cfRule>
    <cfRule type="containsText" dxfId="879" priority="619" operator="containsText" text="17">
      <formula>NOT(ISERROR(SEARCH("17",AD34)))</formula>
    </cfRule>
  </conditionalFormatting>
  <conditionalFormatting sqref="AD35:AX40 AD34:AL34">
    <cfRule type="containsText" dxfId="878" priority="626" operator="containsText" text="17">
      <formula>NOT(ISERROR(SEARCH("17",AD34)))</formula>
    </cfRule>
  </conditionalFormatting>
  <conditionalFormatting sqref="AE22:AE27">
    <cfRule type="containsText" dxfId="877" priority="614" operator="containsText" text="T">
      <formula>NOT(ISERROR(SEARCH("T",AE22)))</formula>
    </cfRule>
  </conditionalFormatting>
  <conditionalFormatting sqref="AE69 AI69:AK69 N70:AH75 AK70:AK75">
    <cfRule type="containsText" dxfId="876" priority="861" operator="containsText" text="T">
      <formula>NOT(ISERROR(SEARCH("T",N69)))</formula>
    </cfRule>
  </conditionalFormatting>
  <conditionalFormatting sqref="AE145">
    <cfRule type="containsText" dxfId="875" priority="772" operator="containsText" text="17">
      <formula>NOT(ISERROR(SEARCH("17",AE145)))</formula>
    </cfRule>
    <cfRule type="containsText" dxfId="874" priority="773" operator="containsText" text="T">
      <formula>NOT(ISERROR(SEARCH("T",AE145)))</formula>
    </cfRule>
  </conditionalFormatting>
  <conditionalFormatting sqref="AE69:AF69 AI69:AK69 AK70:AK75">
    <cfRule type="containsText" dxfId="873" priority="862" operator="containsText" text="17">
      <formula>NOT(ISERROR(SEARCH("17",AE69)))</formula>
    </cfRule>
  </conditionalFormatting>
  <conditionalFormatting sqref="AE152:AK152">
    <cfRule type="containsText" dxfId="872" priority="763" operator="containsText" text="17">
      <formula>NOT(ISERROR(SEARCH("17",AE152)))</formula>
    </cfRule>
    <cfRule type="containsText" dxfId="871" priority="764" operator="containsText" text="T">
      <formula>NOT(ISERROR(SEARCH("T",AE152)))</formula>
    </cfRule>
  </conditionalFormatting>
  <conditionalFormatting sqref="AE21:AO21">
    <cfRule type="containsText" dxfId="870" priority="606" operator="containsText" text="17">
      <formula>NOT(ISERROR(SEARCH("17",AE21)))</formula>
    </cfRule>
    <cfRule type="containsText" dxfId="869" priority="607" operator="containsText" text="T">
      <formula>NOT(ISERROR(SEARCH("T",AE21)))</formula>
    </cfRule>
  </conditionalFormatting>
  <conditionalFormatting sqref="AE22:AY27 AE21:AM21">
    <cfRule type="containsText" dxfId="868" priority="613" operator="containsText" text="17">
      <formula>NOT(ISERROR(SEARCH("17",AE21)))</formula>
    </cfRule>
  </conditionalFormatting>
  <conditionalFormatting sqref="AF42:AF47">
    <cfRule type="containsText" dxfId="867" priority="601" operator="containsText" text="T">
      <formula>NOT(ISERROR(SEARCH("T",AF42)))</formula>
    </cfRule>
  </conditionalFormatting>
  <conditionalFormatting sqref="AF69">
    <cfRule type="containsText" dxfId="866" priority="863" operator="containsText" text="T">
      <formula>NOT(ISERROR(SEARCH("T",AF69)))</formula>
    </cfRule>
  </conditionalFormatting>
  <conditionalFormatting sqref="AF99 AJ99:AL99 O100:AI105 AL100:AL105">
    <cfRule type="containsText" dxfId="865" priority="848" operator="containsText" text="T">
      <formula>NOT(ISERROR(SEARCH("T",O99)))</formula>
    </cfRule>
  </conditionalFormatting>
  <conditionalFormatting sqref="AF152">
    <cfRule type="containsText" dxfId="864" priority="759" operator="containsText" text="17">
      <formula>NOT(ISERROR(SEARCH("17",AF152)))</formula>
    </cfRule>
    <cfRule type="containsText" dxfId="863" priority="760" operator="containsText" text="T">
      <formula>NOT(ISERROR(SEARCH("T",AF152)))</formula>
    </cfRule>
  </conditionalFormatting>
  <conditionalFormatting sqref="AF99:AG99 AJ99:AL99 AL100:AL105">
    <cfRule type="containsText" dxfId="862" priority="849" operator="containsText" text="17">
      <formula>NOT(ISERROR(SEARCH("17",AF99)))</formula>
    </cfRule>
  </conditionalFormatting>
  <conditionalFormatting sqref="AF159:AL159">
    <cfRule type="containsText" dxfId="861" priority="750" operator="containsText" text="17">
      <formula>NOT(ISERROR(SEARCH("17",AF159)))</formula>
    </cfRule>
    <cfRule type="containsText" dxfId="860" priority="751" operator="containsText" text="T">
      <formula>NOT(ISERROR(SEARCH("T",AF159)))</formula>
    </cfRule>
  </conditionalFormatting>
  <conditionalFormatting sqref="AF41:AP41">
    <cfRule type="containsText" dxfId="859" priority="593" operator="containsText" text="17">
      <formula>NOT(ISERROR(SEARCH("17",AF41)))</formula>
    </cfRule>
    <cfRule type="containsText" dxfId="858" priority="594" operator="containsText" text="T">
      <formula>NOT(ISERROR(SEARCH("T",AF41)))</formula>
    </cfRule>
  </conditionalFormatting>
  <conditionalFormatting sqref="AF42:AZ47 AF41:AN41">
    <cfRule type="containsText" dxfId="857" priority="600" operator="containsText" text="17">
      <formula>NOT(ISERROR(SEARCH("17",AF41)))</formula>
    </cfRule>
  </conditionalFormatting>
  <conditionalFormatting sqref="AG67:AG68">
    <cfRule type="containsText" dxfId="856" priority="838" operator="containsText" text="T">
      <formula>NOT(ISERROR(SEARCH("T",AG67)))</formula>
    </cfRule>
  </conditionalFormatting>
  <conditionalFormatting sqref="AG97:AG98">
    <cfRule type="containsText" dxfId="855" priority="828" operator="containsText" text="T">
      <formula>NOT(ISERROR(SEARCH("T",AG97)))</formula>
    </cfRule>
  </conditionalFormatting>
  <conditionalFormatting sqref="AG99">
    <cfRule type="containsText" dxfId="854" priority="850" operator="containsText" text="T">
      <formula>NOT(ISERROR(SEARCH("T",AG99)))</formula>
    </cfRule>
  </conditionalFormatting>
  <conditionalFormatting sqref="AG114:AG119">
    <cfRule type="containsText" dxfId="853" priority="910" operator="containsText" text="T">
      <formula>NOT(ISERROR(SEARCH("T",AG114)))</formula>
    </cfRule>
  </conditionalFormatting>
  <conditionalFormatting sqref="AG127:AG130 AK127:AM130">
    <cfRule type="containsText" dxfId="852" priority="808" operator="containsText" text="T">
      <formula>NOT(ISERROR(SEARCH("T",AG127)))</formula>
    </cfRule>
  </conditionalFormatting>
  <conditionalFormatting sqref="AG159">
    <cfRule type="containsText" dxfId="851" priority="746" operator="containsText" text="17">
      <formula>NOT(ISERROR(SEARCH("17",AG159)))</formula>
    </cfRule>
    <cfRule type="containsText" dxfId="850" priority="747" operator="containsText" text="T">
      <formula>NOT(ISERROR(SEARCH("T",AG159)))</formula>
    </cfRule>
  </conditionalFormatting>
  <conditionalFormatting sqref="AG67:AH68">
    <cfRule type="containsText" dxfId="849" priority="839" operator="containsText" text="17">
      <formula>NOT(ISERROR(SEARCH("17",AG67)))</formula>
    </cfRule>
  </conditionalFormatting>
  <conditionalFormatting sqref="AG97:AH98">
    <cfRule type="containsText" dxfId="848" priority="829" operator="containsText" text="17">
      <formula>NOT(ISERROR(SEARCH("17",AG97)))</formula>
    </cfRule>
  </conditionalFormatting>
  <conditionalFormatting sqref="AG127:AH130 AK127:AM130">
    <cfRule type="containsText" dxfId="847" priority="809" operator="containsText" text="17">
      <formula>NOT(ISERROR(SEARCH("17",AG127)))</formula>
    </cfRule>
  </conditionalFormatting>
  <conditionalFormatting sqref="AG207:AM207">
    <cfRule type="containsText" dxfId="846" priority="738" operator="containsText" text="T">
      <formula>NOT(ISERROR(SEARCH("T",AG207)))</formula>
    </cfRule>
    <cfRule type="containsText" dxfId="845" priority="737" operator="containsText" text="17">
      <formula>NOT(ISERROR(SEARCH("17",AG207)))</formula>
    </cfRule>
  </conditionalFormatting>
  <conditionalFormatting sqref="AG28:AO32">
    <cfRule type="containsText" dxfId="844" priority="590" operator="containsText" text="17">
      <formula>NOT(ISERROR(SEARCH("17",AG28)))</formula>
    </cfRule>
  </conditionalFormatting>
  <conditionalFormatting sqref="AG28:AQ32">
    <cfRule type="containsText" dxfId="843" priority="584" operator="containsText" text="T">
      <formula>NOT(ISERROR(SEARCH("T",AG28)))</formula>
    </cfRule>
    <cfRule type="containsText" dxfId="842" priority="583" operator="containsText" text="17">
      <formula>NOT(ISERROR(SEARCH("17",AG28)))</formula>
    </cfRule>
  </conditionalFormatting>
  <conditionalFormatting sqref="AG48:AQ49">
    <cfRule type="containsText" dxfId="841" priority="573" operator="containsText" text="17">
      <formula>NOT(ISERROR(SEARCH("17",AG48)))</formula>
    </cfRule>
  </conditionalFormatting>
  <conditionalFormatting sqref="AG106:AY106">
    <cfRule type="containsText" dxfId="840" priority="411" operator="containsText" text="17">
      <formula>NOT(ISERROR(SEARCH("17",AG106)))</formula>
    </cfRule>
  </conditionalFormatting>
  <conditionalFormatting sqref="AG106:BA106">
    <cfRule type="containsText" dxfId="839" priority="405" operator="containsText" text="T">
      <formula>NOT(ISERROR(SEARCH("T",AG106)))</formula>
    </cfRule>
  </conditionalFormatting>
  <conditionalFormatting sqref="AH67:AH68">
    <cfRule type="containsText" dxfId="838" priority="840" operator="containsText" text="T">
      <formula>NOT(ISERROR(SEARCH("T",AH67)))</formula>
    </cfRule>
  </conditionalFormatting>
  <conditionalFormatting sqref="AH77:AH82">
    <cfRule type="containsText" dxfId="837" priority="897" operator="containsText" text="T">
      <formula>NOT(ISERROR(SEARCH("T",AH77)))</formula>
    </cfRule>
  </conditionalFormatting>
  <conditionalFormatting sqref="AH97:AH98">
    <cfRule type="containsText" dxfId="836" priority="830" operator="containsText" text="T">
      <formula>NOT(ISERROR(SEARCH("T",AH97)))</formula>
    </cfRule>
  </conditionalFormatting>
  <conditionalFormatting sqref="AH127:AH130">
    <cfRule type="containsText" dxfId="835" priority="810" operator="containsText" text="T">
      <formula>NOT(ISERROR(SEARCH("T",AH127)))</formula>
    </cfRule>
  </conditionalFormatting>
  <conditionalFormatting sqref="AH131 AL131:AN131 Q132:AK137 AN132:AN137">
    <cfRule type="containsText" dxfId="834" priority="795" operator="containsText" text="T">
      <formula>NOT(ISERROR(SEARCH("T",Q131)))</formula>
    </cfRule>
  </conditionalFormatting>
  <conditionalFormatting sqref="AH207">
    <cfRule type="containsText" dxfId="833" priority="733" operator="containsText" text="17">
      <formula>NOT(ISERROR(SEARCH("17",AH207)))</formula>
    </cfRule>
    <cfRule type="containsText" dxfId="832" priority="734" operator="containsText" text="T">
      <formula>NOT(ISERROR(SEARCH("T",AH207)))</formula>
    </cfRule>
  </conditionalFormatting>
  <conditionalFormatting sqref="AH131:AI131 AL131:AN131 AN132:AN137">
    <cfRule type="containsText" dxfId="831" priority="796" operator="containsText" text="17">
      <formula>NOT(ISERROR(SEARCH("17",AH131)))</formula>
    </cfRule>
  </conditionalFormatting>
  <conditionalFormatting sqref="AH200:AN200">
    <cfRule type="containsText" dxfId="830" priority="724" operator="containsText" text="17">
      <formula>NOT(ISERROR(SEARCH("17",AH200)))</formula>
    </cfRule>
    <cfRule type="containsText" dxfId="829" priority="725" operator="containsText" text="T">
      <formula>NOT(ISERROR(SEARCH("T",AH200)))</formula>
    </cfRule>
  </conditionalFormatting>
  <conditionalFormatting sqref="AH50:AP53">
    <cfRule type="containsText" dxfId="828" priority="570" operator="containsText" text="17">
      <formula>NOT(ISERROR(SEARCH("17",AH50)))</formula>
    </cfRule>
  </conditionalFormatting>
  <conditionalFormatting sqref="AH50:AR53">
    <cfRule type="containsText" dxfId="827" priority="563" operator="containsText" text="17">
      <formula>NOT(ISERROR(SEARCH("17",AH50)))</formula>
    </cfRule>
  </conditionalFormatting>
  <conditionalFormatting sqref="AH63:AR66">
    <cfRule type="containsText" dxfId="826" priority="553" operator="containsText" text="17">
      <formula>NOT(ISERROR(SEARCH("17",AH63)))</formula>
    </cfRule>
  </conditionalFormatting>
  <conditionalFormatting sqref="AH113:AU116">
    <cfRule type="containsText" dxfId="825" priority="476" operator="containsText" text="17">
      <formula>NOT(ISERROR(SEARCH("17",AH113)))</formula>
    </cfRule>
  </conditionalFormatting>
  <conditionalFormatting sqref="AH117:AV119">
    <cfRule type="containsText" dxfId="824" priority="466" operator="containsText" text="17">
      <formula>NOT(ISERROR(SEARCH("17",AH117)))</formula>
    </cfRule>
  </conditionalFormatting>
  <conditionalFormatting sqref="AH113:AW116">
    <cfRule type="containsText" dxfId="823" priority="470" operator="containsText" text="T">
      <formula>NOT(ISERROR(SEARCH("T",AH113)))</formula>
    </cfRule>
  </conditionalFormatting>
  <conditionalFormatting sqref="AH117:AX119">
    <cfRule type="containsText" dxfId="822" priority="460" operator="containsText" text="T">
      <formula>NOT(ISERROR(SEARCH("T",AH117)))</formula>
    </cfRule>
  </conditionalFormatting>
  <conditionalFormatting sqref="AI131">
    <cfRule type="containsText" dxfId="821" priority="797" operator="containsText" text="T">
      <formula>NOT(ISERROR(SEARCH("T",AI131)))</formula>
    </cfRule>
  </conditionalFormatting>
  <conditionalFormatting sqref="AI138 AM138:AO138 R139:AL144 AO139:AO144">
    <cfRule type="containsText" dxfId="820" priority="782" operator="containsText" text="T">
      <formula>NOT(ISERROR(SEARCH("T",R138)))</formula>
    </cfRule>
  </conditionalFormatting>
  <conditionalFormatting sqref="AI200">
    <cfRule type="containsText" dxfId="819" priority="721" operator="containsText" text="T">
      <formula>NOT(ISERROR(SEARCH("T",AI200)))</formula>
    </cfRule>
    <cfRule type="containsText" dxfId="818" priority="720" operator="containsText" text="17">
      <formula>NOT(ISERROR(SEARCH("17",AI200)))</formula>
    </cfRule>
  </conditionalFormatting>
  <conditionalFormatting sqref="AI138:AJ138 AM138:AO138 AO139:AO144">
    <cfRule type="containsText" dxfId="817" priority="783" operator="containsText" text="17">
      <formula>NOT(ISERROR(SEARCH("17",AI138)))</formula>
    </cfRule>
  </conditionalFormatting>
  <conditionalFormatting sqref="AI107:AO112">
    <cfRule type="containsText" dxfId="816" priority="884" operator="containsText" text="T">
      <formula>NOT(ISERROR(SEARCH("T",AI107)))</formula>
    </cfRule>
  </conditionalFormatting>
  <conditionalFormatting sqref="AI192:AO192">
    <cfRule type="containsText" dxfId="815" priority="701" operator="containsText" text="T">
      <formula>NOT(ISERROR(SEARCH("T",AI192)))</formula>
    </cfRule>
  </conditionalFormatting>
  <conditionalFormatting sqref="AI193:AO193">
    <cfRule type="containsText" dxfId="814" priority="712" operator="containsText" text="T">
      <formula>NOT(ISERROR(SEARCH("T",AI193)))</formula>
    </cfRule>
    <cfRule type="containsText" dxfId="813" priority="711" operator="containsText" text="17">
      <formula>NOT(ISERROR(SEARCH("17",AI193)))</formula>
    </cfRule>
  </conditionalFormatting>
  <conditionalFormatting sqref="AI192:AP192 AS192:AU192">
    <cfRule type="containsText" dxfId="812" priority="699" operator="containsText" text="17">
      <formula>NOT(ISERROR(SEARCH("17",AI192)))</formula>
    </cfRule>
  </conditionalFormatting>
  <conditionalFormatting sqref="AI59:AS62">
    <cfRule type="containsText" dxfId="811" priority="539" operator="containsText" text="17">
      <formula>NOT(ISERROR(SEARCH("17",AI59)))</formula>
    </cfRule>
  </conditionalFormatting>
  <conditionalFormatting sqref="AI86:AS89">
    <cfRule type="containsText" dxfId="810" priority="529" operator="containsText" text="17">
      <formula>NOT(ISERROR(SEARCH("17",AI86)))</formula>
    </cfRule>
  </conditionalFormatting>
  <conditionalFormatting sqref="AI79:AV82">
    <cfRule type="containsText" dxfId="809" priority="456" operator="containsText" text="17">
      <formula>NOT(ISERROR(SEARCH("17",AI79)))</formula>
    </cfRule>
  </conditionalFormatting>
  <conditionalFormatting sqref="AI76:AX78">
    <cfRule type="containsText" dxfId="808" priority="431" operator="containsText" text="17">
      <formula>NOT(ISERROR(SEARCH("17",AI76)))</formula>
    </cfRule>
  </conditionalFormatting>
  <conditionalFormatting sqref="AI79:AX82">
    <cfRule type="containsText" dxfId="807" priority="450" operator="containsText" text="T">
      <formula>NOT(ISERROR(SEARCH("T",AI79)))</formula>
    </cfRule>
  </conditionalFormatting>
  <conditionalFormatting sqref="AI76:AZ78">
    <cfRule type="containsText" dxfId="806" priority="425" operator="containsText" text="T">
      <formula>NOT(ISERROR(SEARCH("T",AI76)))</formula>
    </cfRule>
  </conditionalFormatting>
  <conditionalFormatting sqref="AJ120:AJ126">
    <cfRule type="containsText" dxfId="805" priority="445" operator="containsText" text="17">
      <formula>NOT(ISERROR(SEARCH("17",AJ120)))</formula>
    </cfRule>
    <cfRule type="containsText" dxfId="804" priority="448" operator="containsText" text="T">
      <formula>NOT(ISERROR(SEARCH("T",AJ120)))</formula>
    </cfRule>
  </conditionalFormatting>
  <conditionalFormatting sqref="AJ138">
    <cfRule type="containsText" dxfId="803" priority="784" operator="containsText" text="T">
      <formula>NOT(ISERROR(SEARCH("T",AJ138)))</formula>
    </cfRule>
  </conditionalFormatting>
  <conditionalFormatting sqref="AJ145 AN145:AP145 S146:AM151 AP146:AP151">
    <cfRule type="containsText" dxfId="802" priority="769" operator="containsText" text="T">
      <formula>NOT(ISERROR(SEARCH("T",S145)))</formula>
    </cfRule>
  </conditionalFormatting>
  <conditionalFormatting sqref="AJ192:AJ193">
    <cfRule type="containsText" dxfId="801" priority="707" operator="containsText" text="17">
      <formula>NOT(ISERROR(SEARCH("17",AJ192)))</formula>
    </cfRule>
    <cfRule type="containsText" dxfId="800" priority="708" operator="containsText" text="T">
      <formula>NOT(ISERROR(SEARCH("T",AJ192)))</formula>
    </cfRule>
  </conditionalFormatting>
  <conditionalFormatting sqref="AJ145:AK145 AN145:AP145 AP146:AP151">
    <cfRule type="containsText" dxfId="799" priority="770" operator="containsText" text="17">
      <formula>NOT(ISERROR(SEARCH("17",AJ145)))</formula>
    </cfRule>
  </conditionalFormatting>
  <conditionalFormatting sqref="AJ168:AP168">
    <cfRule type="containsText" dxfId="798" priority="693" operator="containsText" text="17">
      <formula>NOT(ISERROR(SEARCH("17",AJ168)))</formula>
    </cfRule>
    <cfRule type="containsText" dxfId="797" priority="694" operator="containsText" text="T">
      <formula>NOT(ISERROR(SEARCH("T",AJ168)))</formula>
    </cfRule>
  </conditionalFormatting>
  <conditionalFormatting sqref="AJ83:AT85">
    <cfRule type="containsText" dxfId="796" priority="519" operator="containsText" text="17">
      <formula>NOT(ISERROR(SEARCH("17",AJ83)))</formula>
    </cfRule>
  </conditionalFormatting>
  <conditionalFormatting sqref="AJ214:AT217">
    <cfRule type="containsText" dxfId="795" priority="509" operator="containsText" text="17">
      <formula>NOT(ISERROR(SEARCH("17",AJ214)))</formula>
    </cfRule>
  </conditionalFormatting>
  <conditionalFormatting sqref="AK70:AK75">
    <cfRule type="containsText" dxfId="794" priority="871" operator="containsText" text="T">
      <formula>NOT(ISERROR(SEARCH("T",AK70)))</formula>
    </cfRule>
  </conditionalFormatting>
  <conditionalFormatting sqref="AK129:AK130 P127:X130">
    <cfRule type="containsText" dxfId="793" priority="813" operator="containsText" text="17">
      <formula>NOT(ISERROR(SEARCH("17",P127)))</formula>
    </cfRule>
  </conditionalFormatting>
  <conditionalFormatting sqref="AK145">
    <cfRule type="containsText" dxfId="792" priority="771" operator="containsText" text="T">
      <formula>NOT(ISERROR(SEARCH("T",AK145)))</formula>
    </cfRule>
  </conditionalFormatting>
  <conditionalFormatting sqref="AK152 AO152:AQ152 T153:AN158 AQ153:AQ158">
    <cfRule type="containsText" dxfId="791" priority="756" operator="containsText" text="T">
      <formula>NOT(ISERROR(SEARCH("T",T152)))</formula>
    </cfRule>
  </conditionalFormatting>
  <conditionalFormatting sqref="AK168">
    <cfRule type="containsText" dxfId="790" priority="689" operator="containsText" text="17">
      <formula>NOT(ISERROR(SEARCH("17",AK168)))</formula>
    </cfRule>
    <cfRule type="containsText" dxfId="789" priority="690" operator="containsText" text="T">
      <formula>NOT(ISERROR(SEARCH("T",AK168)))</formula>
    </cfRule>
  </conditionalFormatting>
  <conditionalFormatting sqref="AK152:AL152 AO152:AQ152 AQ153:AQ158">
    <cfRule type="containsText" dxfId="788" priority="757" operator="containsText" text="17">
      <formula>NOT(ISERROR(SEARCH("17",AK152)))</formula>
    </cfRule>
  </conditionalFormatting>
  <conditionalFormatting sqref="AK175:AQ175">
    <cfRule type="containsText" dxfId="787" priority="681" operator="containsText" text="T">
      <formula>NOT(ISERROR(SEARCH("T",AK175)))</formula>
    </cfRule>
    <cfRule type="containsText" dxfId="786" priority="680" operator="containsText" text="17">
      <formula>NOT(ISERROR(SEARCH("17",AK175)))</formula>
    </cfRule>
  </conditionalFormatting>
  <conditionalFormatting sqref="AK218:AU224">
    <cfRule type="containsText" dxfId="785" priority="499" operator="containsText" text="17">
      <formula>NOT(ISERROR(SEARCH("17",AK218)))</formula>
    </cfRule>
  </conditionalFormatting>
  <conditionalFormatting sqref="AK120:AY120">
    <cfRule type="containsText" dxfId="784" priority="391" operator="containsText" text="17">
      <formula>NOT(ISERROR(SEARCH("17",AK120)))</formula>
    </cfRule>
  </conditionalFormatting>
  <conditionalFormatting sqref="AK122:AY122">
    <cfRule type="containsText" dxfId="783" priority="381" operator="containsText" text="17">
      <formula>NOT(ISERROR(SEARCH("17",AK122)))</formula>
    </cfRule>
  </conditionalFormatting>
  <conditionalFormatting sqref="AK124:AY126">
    <cfRule type="containsText" dxfId="782" priority="401" operator="containsText" text="17">
      <formula>NOT(ISERROR(SEARCH("17",AK124)))</formula>
    </cfRule>
  </conditionalFormatting>
  <conditionalFormatting sqref="AK121:AZ121">
    <cfRule type="containsText" dxfId="781" priority="361" operator="containsText" text="17">
      <formula>NOT(ISERROR(SEARCH("17",AK121)))</formula>
    </cfRule>
  </conditionalFormatting>
  <conditionalFormatting sqref="AK123:AZ123">
    <cfRule type="containsText" dxfId="780" priority="351" operator="containsText" text="17">
      <formula>NOT(ISERROR(SEARCH("17",AK123)))</formula>
    </cfRule>
  </conditionalFormatting>
  <conditionalFormatting sqref="AK67:BA68">
    <cfRule type="containsText" dxfId="779" priority="311" operator="containsText" text="17">
      <formula>NOT(ISERROR(SEARCH("17",AK67)))</formula>
    </cfRule>
  </conditionalFormatting>
  <conditionalFormatting sqref="AK120:BA120">
    <cfRule type="containsText" dxfId="778" priority="385" operator="containsText" text="T">
      <formula>NOT(ISERROR(SEARCH("T",AK120)))</formula>
    </cfRule>
  </conditionalFormatting>
  <conditionalFormatting sqref="AK122:BA122">
    <cfRule type="containsText" dxfId="777" priority="375" operator="containsText" text="T">
      <formula>NOT(ISERROR(SEARCH("T",AK122)))</formula>
    </cfRule>
  </conditionalFormatting>
  <conditionalFormatting sqref="AK124:BA126">
    <cfRule type="containsText" dxfId="776" priority="395" operator="containsText" text="T">
      <formula>NOT(ISERROR(SEARCH("T",AK124)))</formula>
    </cfRule>
  </conditionalFormatting>
  <conditionalFormatting sqref="AK97:BB98">
    <cfRule type="containsText" dxfId="775" priority="301" operator="containsText" text="17">
      <formula>NOT(ISERROR(SEARCH("17",AK97)))</formula>
    </cfRule>
  </conditionalFormatting>
  <conditionalFormatting sqref="AK121:BB121">
    <cfRule type="containsText" dxfId="774" priority="355" operator="containsText" text="T">
      <formula>NOT(ISERROR(SEARCH("T",AK121)))</formula>
    </cfRule>
  </conditionalFormatting>
  <conditionalFormatting sqref="AK123:BB123">
    <cfRule type="containsText" dxfId="773" priority="345" operator="containsText" text="T">
      <formula>NOT(ISERROR(SEARCH("T",AK123)))</formula>
    </cfRule>
  </conditionalFormatting>
  <conditionalFormatting sqref="AK67:BC68">
    <cfRule type="containsText" dxfId="772" priority="305" operator="containsText" text="T">
      <formula>NOT(ISERROR(SEARCH("T",AK67)))</formula>
    </cfRule>
  </conditionalFormatting>
  <conditionalFormatting sqref="AK97:BD98">
    <cfRule type="containsText" dxfId="771" priority="295" operator="containsText" text="T">
      <formula>NOT(ISERROR(SEARCH("T",AK97)))</formula>
    </cfRule>
  </conditionalFormatting>
  <conditionalFormatting sqref="AL100:AL105">
    <cfRule type="containsText" dxfId="770" priority="858" operator="containsText" text="T">
      <formula>NOT(ISERROR(SEARCH("T",AL100)))</formula>
    </cfRule>
  </conditionalFormatting>
  <conditionalFormatting sqref="AL152">
    <cfRule type="containsText" dxfId="769" priority="758" operator="containsText" text="T">
      <formula>NOT(ISERROR(SEARCH("T",AL152)))</formula>
    </cfRule>
  </conditionalFormatting>
  <conditionalFormatting sqref="AL159 AP159:AR159 U160:AO165 AR160:AR165">
    <cfRule type="containsText" dxfId="768" priority="743" operator="containsText" text="T">
      <formula>NOT(ISERROR(SEARCH("T",U159)))</formula>
    </cfRule>
  </conditionalFormatting>
  <conditionalFormatting sqref="AL175">
    <cfRule type="containsText" dxfId="767" priority="677" operator="containsText" text="T">
      <formula>NOT(ISERROR(SEARCH("T",AL175)))</formula>
    </cfRule>
    <cfRule type="containsText" dxfId="766" priority="676" operator="containsText" text="17">
      <formula>NOT(ISERROR(SEARCH("17",AL175)))</formula>
    </cfRule>
  </conditionalFormatting>
  <conditionalFormatting sqref="AL159:AM159 AP159:AR159 AR160:AR165">
    <cfRule type="containsText" dxfId="765" priority="744" operator="containsText" text="17">
      <formula>NOT(ISERROR(SEARCH("17",AL159)))</formula>
    </cfRule>
  </conditionalFormatting>
  <conditionalFormatting sqref="AL182:AR182">
    <cfRule type="containsText" dxfId="764" priority="668" operator="containsText" text="T">
      <formula>NOT(ISERROR(SEARCH("T",AL182)))</formula>
    </cfRule>
    <cfRule type="containsText" dxfId="763" priority="667" operator="containsText" text="17">
      <formula>NOT(ISERROR(SEARCH("17",AL182)))</formula>
    </cfRule>
  </conditionalFormatting>
  <conditionalFormatting sqref="AL225:AV231">
    <cfRule type="containsText" dxfId="762" priority="489" operator="containsText" text="17">
      <formula>NOT(ISERROR(SEARCH("17",AL225)))</formula>
    </cfRule>
  </conditionalFormatting>
  <conditionalFormatting sqref="AL72:AY75">
    <cfRule type="containsText" dxfId="761" priority="421" operator="containsText" text="17">
      <formula>NOT(ISERROR(SEARCH("17",AL72)))</formula>
    </cfRule>
  </conditionalFormatting>
  <conditionalFormatting sqref="AL69:AZ71">
    <cfRule type="containsText" dxfId="760" priority="341" operator="containsText" text="17">
      <formula>NOT(ISERROR(SEARCH("17",AL69)))</formula>
    </cfRule>
  </conditionalFormatting>
  <conditionalFormatting sqref="AL72:BA75">
    <cfRule type="containsText" dxfId="759" priority="415" operator="containsText" text="T">
      <formula>NOT(ISERROR(SEARCH("T",AL72)))</formula>
    </cfRule>
  </conditionalFormatting>
  <conditionalFormatting sqref="AL69:BB71">
    <cfRule type="containsText" dxfId="758" priority="335" operator="containsText" text="T">
      <formula>NOT(ISERROR(SEARCH("T",AL69)))</formula>
    </cfRule>
  </conditionalFormatting>
  <conditionalFormatting sqref="AM159">
    <cfRule type="containsText" dxfId="757" priority="745" operator="containsText" text="T">
      <formula>NOT(ISERROR(SEARCH("T",AM159)))</formula>
    </cfRule>
  </conditionalFormatting>
  <conditionalFormatting sqref="AM182">
    <cfRule type="containsText" dxfId="756" priority="663" operator="containsText" text="17">
      <formula>NOT(ISERROR(SEARCH("17",AM182)))</formula>
    </cfRule>
    <cfRule type="containsText" dxfId="755" priority="664" operator="containsText" text="T">
      <formula>NOT(ISERROR(SEARCH("T",AM182)))</formula>
    </cfRule>
  </conditionalFormatting>
  <conditionalFormatting sqref="AM207 AQ207:AS207 V208:AP213 AS208:AS213">
    <cfRule type="containsText" dxfId="754" priority="730" operator="containsText" text="T">
      <formula>NOT(ISERROR(SEARCH("T",V207)))</formula>
    </cfRule>
  </conditionalFormatting>
  <conditionalFormatting sqref="AM207:AN207 AQ207:AS207 AS208:AS213">
    <cfRule type="containsText" dxfId="753" priority="731" operator="containsText" text="17">
      <formula>NOT(ISERROR(SEARCH("17",AM207)))</formula>
    </cfRule>
  </conditionalFormatting>
  <conditionalFormatting sqref="AM90:AS90">
    <cfRule type="containsText" dxfId="752" priority="655" operator="containsText" text="T">
      <formula>NOT(ISERROR(SEARCH("T",AM90)))</formula>
    </cfRule>
    <cfRule type="containsText" dxfId="751" priority="654" operator="containsText" text="17">
      <formula>NOT(ISERROR(SEARCH("17",AM90)))</formula>
    </cfRule>
  </conditionalFormatting>
  <conditionalFormatting sqref="AM113:AW116">
    <cfRule type="containsText" dxfId="750" priority="469" operator="containsText" text="17">
      <formula>NOT(ISERROR(SEARCH("17",AM113)))</formula>
    </cfRule>
  </conditionalFormatting>
  <conditionalFormatting sqref="AM232:AW234">
    <cfRule type="containsText" dxfId="749" priority="479" operator="containsText" text="17">
      <formula>NOT(ISERROR(SEARCH("17",AM232)))</formula>
    </cfRule>
  </conditionalFormatting>
  <conditionalFormatting sqref="AM103:AZ104">
    <cfRule type="containsText" dxfId="748" priority="371" operator="containsText" text="17">
      <formula>NOT(ISERROR(SEARCH("17",AM103)))</formula>
    </cfRule>
  </conditionalFormatting>
  <conditionalFormatting sqref="AM99:BA102">
    <cfRule type="containsText" dxfId="747" priority="331" operator="containsText" text="17">
      <formula>NOT(ISERROR(SEARCH("17",AM99)))</formula>
    </cfRule>
  </conditionalFormatting>
  <conditionalFormatting sqref="AM105:BA105">
    <cfRule type="containsText" dxfId="746" priority="321" operator="containsText" text="17">
      <formula>NOT(ISERROR(SEARCH("17",AM105)))</formula>
    </cfRule>
  </conditionalFormatting>
  <conditionalFormatting sqref="AM103:BB104">
    <cfRule type="containsText" dxfId="745" priority="365" operator="containsText" text="T">
      <formula>NOT(ISERROR(SEARCH("T",AM103)))</formula>
    </cfRule>
  </conditionalFormatting>
  <conditionalFormatting sqref="AM99:BC102">
    <cfRule type="containsText" dxfId="744" priority="325" operator="containsText" text="T">
      <formula>NOT(ISERROR(SEARCH("T",AM99)))</formula>
    </cfRule>
  </conditionalFormatting>
  <conditionalFormatting sqref="AM105:BC105">
    <cfRule type="containsText" dxfId="743" priority="315" operator="containsText" text="T">
      <formula>NOT(ISERROR(SEARCH("T",AM105)))</formula>
    </cfRule>
  </conditionalFormatting>
  <conditionalFormatting sqref="AN90">
    <cfRule type="containsText" dxfId="742" priority="651" operator="containsText" text="T">
      <formula>NOT(ISERROR(SEARCH("T",AN90)))</formula>
    </cfRule>
    <cfRule type="containsText" dxfId="741" priority="650" operator="containsText" text="17">
      <formula>NOT(ISERROR(SEARCH("17",AN90)))</formula>
    </cfRule>
  </conditionalFormatting>
  <conditionalFormatting sqref="AN132:AN137">
    <cfRule type="containsText" dxfId="740" priority="805" operator="containsText" text="T">
      <formula>NOT(ISERROR(SEARCH("T",AN132)))</formula>
    </cfRule>
  </conditionalFormatting>
  <conditionalFormatting sqref="AN200 AR200:AT200 W201:AQ206 AT201:AT206">
    <cfRule type="containsText" dxfId="739" priority="717" operator="containsText" text="T">
      <formula>NOT(ISERROR(SEARCH("T",W200)))</formula>
    </cfRule>
  </conditionalFormatting>
  <conditionalFormatting sqref="AN207">
    <cfRule type="containsText" dxfId="738" priority="732" operator="containsText" text="T">
      <formula>NOT(ISERROR(SEARCH("T",AN207)))</formula>
    </cfRule>
  </conditionalFormatting>
  <conditionalFormatting sqref="AN200:AO200 AR200:AT200 AT201:AT206">
    <cfRule type="containsText" dxfId="737" priority="718" operator="containsText" text="17">
      <formula>NOT(ISERROR(SEARCH("17",AN200)))</formula>
    </cfRule>
  </conditionalFormatting>
  <conditionalFormatting sqref="AN14:AT14">
    <cfRule type="containsText" dxfId="736" priority="641" operator="containsText" text="17">
      <formula>NOT(ISERROR(SEARCH("17",AN14)))</formula>
    </cfRule>
    <cfRule type="containsText" dxfId="735" priority="642" operator="containsText" text="T">
      <formula>NOT(ISERROR(SEARCH("T",AN14)))</formula>
    </cfRule>
  </conditionalFormatting>
  <conditionalFormatting sqref="AN79:AX82">
    <cfRule type="containsText" dxfId="734" priority="449" operator="containsText" text="17">
      <formula>NOT(ISERROR(SEARCH("17",AN79)))</formula>
    </cfRule>
  </conditionalFormatting>
  <conditionalFormatting sqref="AN117:AX119">
    <cfRule type="containsText" dxfId="733" priority="459" operator="containsText" text="17">
      <formula>NOT(ISERROR(SEARCH("17",AN117)))</formula>
    </cfRule>
  </conditionalFormatting>
  <conditionalFormatting sqref="AO14">
    <cfRule type="containsText" dxfId="732" priority="637" operator="containsText" text="17">
      <formula>NOT(ISERROR(SEARCH("17",AO14)))</formula>
    </cfRule>
    <cfRule type="containsText" dxfId="731" priority="638" operator="containsText" text="T">
      <formula>NOT(ISERROR(SEARCH("T",AO14)))</formula>
    </cfRule>
  </conditionalFormatting>
  <conditionalFormatting sqref="AO139:AO144">
    <cfRule type="containsText" dxfId="730" priority="792" operator="containsText" text="T">
      <formula>NOT(ISERROR(SEARCH("T",AO139)))</formula>
    </cfRule>
  </conditionalFormatting>
  <conditionalFormatting sqref="AO192:AO193 AS192:AU193 X194:AR199 AU194:AU199">
    <cfRule type="containsText" dxfId="729" priority="704" operator="containsText" text="T">
      <formula>NOT(ISERROR(SEARCH("T",X192)))</formula>
    </cfRule>
  </conditionalFormatting>
  <conditionalFormatting sqref="AO200">
    <cfRule type="containsText" dxfId="728" priority="719" operator="containsText" text="T">
      <formula>NOT(ISERROR(SEARCH("T",AO200)))</formula>
    </cfRule>
  </conditionalFormatting>
  <conditionalFormatting sqref="AO193:AP193 AS193:AU193 AU194:AU199">
    <cfRule type="containsText" dxfId="727" priority="705" operator="containsText" text="17">
      <formula>NOT(ISERROR(SEARCH("17",AO193)))</formula>
    </cfRule>
  </conditionalFormatting>
  <conditionalFormatting sqref="AO34:AU34">
    <cfRule type="containsText" dxfId="726" priority="629" operator="containsText" text="T">
      <formula>NOT(ISERROR(SEARCH("T",AO34)))</formula>
    </cfRule>
    <cfRule type="containsText" dxfId="725" priority="628" operator="containsText" text="17">
      <formula>NOT(ISERROR(SEARCH("17",AO34)))</formula>
    </cfRule>
  </conditionalFormatting>
  <conditionalFormatting sqref="AO131:BB137">
    <cfRule type="containsText" dxfId="724" priority="291" operator="containsText" text="17">
      <formula>NOT(ISERROR(SEARCH("17",AO131)))</formula>
    </cfRule>
  </conditionalFormatting>
  <conditionalFormatting sqref="AO131:BD137">
    <cfRule type="containsText" dxfId="723" priority="285" operator="containsText" text="T">
      <formula>NOT(ISERROR(SEARCH("T",AO131)))</formula>
    </cfRule>
  </conditionalFormatting>
  <conditionalFormatting sqref="AP34">
    <cfRule type="containsText" dxfId="722" priority="625" operator="containsText" text="T">
      <formula>NOT(ISERROR(SEARCH("T",AP34)))</formula>
    </cfRule>
    <cfRule type="containsText" dxfId="721" priority="624" operator="containsText" text="17">
      <formula>NOT(ISERROR(SEARCH("17",AP34)))</formula>
    </cfRule>
  </conditionalFormatting>
  <conditionalFormatting sqref="AP146:AP151">
    <cfRule type="containsText" dxfId="720" priority="779" operator="containsText" text="T">
      <formula>NOT(ISERROR(SEARCH("T",AP146)))</formula>
    </cfRule>
  </conditionalFormatting>
  <conditionalFormatting sqref="AP168 AT168:AV168 Y169:AS174 AV169:AV174">
    <cfRule type="containsText" dxfId="719" priority="686" operator="containsText" text="T">
      <formula>NOT(ISERROR(SEARCH("T",Y168)))</formula>
    </cfRule>
  </conditionalFormatting>
  <conditionalFormatting sqref="AP192:AP193">
    <cfRule type="containsText" dxfId="718" priority="706" operator="containsText" text="T">
      <formula>NOT(ISERROR(SEARCH("T",AP192)))</formula>
    </cfRule>
  </conditionalFormatting>
  <conditionalFormatting sqref="AP168:AQ168 AT168:AV168 AV169:AV174">
    <cfRule type="containsText" dxfId="717" priority="687" operator="containsText" text="17">
      <formula>NOT(ISERROR(SEARCH("17",AP168)))</formula>
    </cfRule>
  </conditionalFormatting>
  <conditionalFormatting sqref="AP21:AV21">
    <cfRule type="containsText" dxfId="716" priority="616" operator="containsText" text="T">
      <formula>NOT(ISERROR(SEARCH("T",AP21)))</formula>
    </cfRule>
    <cfRule type="containsText" dxfId="715" priority="615" operator="containsText" text="17">
      <formula>NOT(ISERROR(SEARCH("17",AP21)))</formula>
    </cfRule>
  </conditionalFormatting>
  <conditionalFormatting sqref="AP107:AX112">
    <cfRule type="containsText" dxfId="714" priority="441" operator="containsText" text="17">
      <formula>NOT(ISERROR(SEARCH("17",AP107)))</formula>
    </cfRule>
  </conditionalFormatting>
  <conditionalFormatting sqref="AP76:AZ78">
    <cfRule type="containsText" dxfId="713" priority="424" operator="containsText" text="17">
      <formula>NOT(ISERROR(SEARCH("17",AP76)))</formula>
    </cfRule>
  </conditionalFormatting>
  <conditionalFormatting sqref="AP107:AZ112">
    <cfRule type="containsText" dxfId="712" priority="434" operator="containsText" text="17">
      <formula>NOT(ISERROR(SEARCH("17",AP107)))</formula>
    </cfRule>
    <cfRule type="containsText" dxfId="711" priority="435" operator="containsText" text="T">
      <formula>NOT(ISERROR(SEARCH("T",AP107)))</formula>
    </cfRule>
  </conditionalFormatting>
  <conditionalFormatting sqref="AP138:BC144">
    <cfRule type="containsText" dxfId="710" priority="281" operator="containsText" text="17">
      <formula>NOT(ISERROR(SEARCH("17",AP138)))</formula>
    </cfRule>
  </conditionalFormatting>
  <conditionalFormatting sqref="AP138:BE144">
    <cfRule type="containsText" dxfId="709" priority="275" operator="containsText" text="T">
      <formula>NOT(ISERROR(SEARCH("T",AP138)))</formula>
    </cfRule>
  </conditionalFormatting>
  <conditionalFormatting sqref="AQ21">
    <cfRule type="containsText" dxfId="708" priority="611" operator="containsText" text="17">
      <formula>NOT(ISERROR(SEARCH("17",AQ21)))</formula>
    </cfRule>
    <cfRule type="containsText" dxfId="707" priority="612" operator="containsText" text="T">
      <formula>NOT(ISERROR(SEARCH("T",AQ21)))</formula>
    </cfRule>
  </conditionalFormatting>
  <conditionalFormatting sqref="AQ153:AQ158">
    <cfRule type="containsText" dxfId="706" priority="766" operator="containsText" text="T">
      <formula>NOT(ISERROR(SEARCH("T",AQ153)))</formula>
    </cfRule>
  </conditionalFormatting>
  <conditionalFormatting sqref="AQ168">
    <cfRule type="containsText" dxfId="705" priority="688" operator="containsText" text="T">
      <formula>NOT(ISERROR(SEARCH("T",AQ168)))</formula>
    </cfRule>
  </conditionalFormatting>
  <conditionalFormatting sqref="AQ175 AU175:AW175 Z176:AT181 AW176:AW181">
    <cfRule type="containsText" dxfId="704" priority="673" operator="containsText" text="T">
      <formula>NOT(ISERROR(SEARCH("T",Z175)))</formula>
    </cfRule>
  </conditionalFormatting>
  <conditionalFormatting sqref="AQ175:AR175 AU175:AW175 AW176:AW181">
    <cfRule type="containsText" dxfId="703" priority="674" operator="containsText" text="17">
      <formula>NOT(ISERROR(SEARCH("17",AQ175)))</formula>
    </cfRule>
  </conditionalFormatting>
  <conditionalFormatting sqref="AQ41:AW41">
    <cfRule type="containsText" dxfId="702" priority="602" operator="containsText" text="17">
      <formula>NOT(ISERROR(SEARCH("17",AQ41)))</formula>
    </cfRule>
    <cfRule type="containsText" dxfId="701" priority="603" operator="containsText" text="T">
      <formula>NOT(ISERROR(SEARCH("T",AQ41)))</formula>
    </cfRule>
  </conditionalFormatting>
  <conditionalFormatting sqref="AQ72:BA75">
    <cfRule type="containsText" dxfId="700" priority="414" operator="containsText" text="17">
      <formula>NOT(ISERROR(SEARCH("17",AQ72)))</formula>
    </cfRule>
  </conditionalFormatting>
  <conditionalFormatting sqref="AQ106:BA106">
    <cfRule type="containsText" dxfId="699" priority="404" operator="containsText" text="17">
      <formula>NOT(ISERROR(SEARCH("17",AQ106)))</formula>
    </cfRule>
  </conditionalFormatting>
  <conditionalFormatting sqref="AQ120:BA120">
    <cfRule type="containsText" dxfId="698" priority="384" operator="containsText" text="17">
      <formula>NOT(ISERROR(SEARCH("17",AQ120)))</formula>
    </cfRule>
  </conditionalFormatting>
  <conditionalFormatting sqref="AQ122:BA122">
    <cfRule type="containsText" dxfId="697" priority="374" operator="containsText" text="17">
      <formula>NOT(ISERROR(SEARCH("17",AQ122)))</formula>
    </cfRule>
  </conditionalFormatting>
  <conditionalFormatting sqref="AQ124:BA126">
    <cfRule type="containsText" dxfId="696" priority="394" operator="containsText" text="17">
      <formula>NOT(ISERROR(SEARCH("17",AQ124)))</formula>
    </cfRule>
  </conditionalFormatting>
  <conditionalFormatting sqref="AQ145:BD151">
    <cfRule type="containsText" dxfId="695" priority="271" operator="containsText" text="17">
      <formula>NOT(ISERROR(SEARCH("17",AQ145)))</formula>
    </cfRule>
  </conditionalFormatting>
  <conditionalFormatting sqref="AQ145:BF151">
    <cfRule type="containsText" dxfId="694" priority="265" operator="containsText" text="T">
      <formula>NOT(ISERROR(SEARCH("T",AQ145)))</formula>
    </cfRule>
  </conditionalFormatting>
  <conditionalFormatting sqref="AR41">
    <cfRule type="containsText" dxfId="693" priority="598" operator="containsText" text="17">
      <formula>NOT(ISERROR(SEARCH("17",AR41)))</formula>
    </cfRule>
    <cfRule type="containsText" dxfId="692" priority="599" operator="containsText" text="T">
      <formula>NOT(ISERROR(SEARCH("T",AR41)))</formula>
    </cfRule>
  </conditionalFormatting>
  <conditionalFormatting sqref="AR160:AR165">
    <cfRule type="containsText" dxfId="691" priority="753" operator="containsText" text="T">
      <formula>NOT(ISERROR(SEARCH("T",AR160)))</formula>
    </cfRule>
  </conditionalFormatting>
  <conditionalFormatting sqref="AR175">
    <cfRule type="containsText" dxfId="690" priority="675" operator="containsText" text="T">
      <formula>NOT(ISERROR(SEARCH("T",AR175)))</formula>
    </cfRule>
  </conditionalFormatting>
  <conditionalFormatting sqref="AR182 AV182:AX182 AA183:AU190 AX183:AX190">
    <cfRule type="containsText" dxfId="689" priority="660" operator="containsText" text="T">
      <formula>NOT(ISERROR(SEARCH("T",AA182)))</formula>
    </cfRule>
  </conditionalFormatting>
  <conditionalFormatting sqref="AR182:AS182 AV182:AX182 AX183:AX190">
    <cfRule type="containsText" dxfId="688" priority="661" operator="containsText" text="17">
      <formula>NOT(ISERROR(SEARCH("17",AR182)))</formula>
    </cfRule>
  </conditionalFormatting>
  <conditionalFormatting sqref="AR28:AX32">
    <cfRule type="containsText" dxfId="687" priority="591" operator="containsText" text="17">
      <formula>NOT(ISERROR(SEARCH("17",AR28)))</formula>
    </cfRule>
    <cfRule type="containsText" dxfId="686" priority="592" operator="containsText" text="T">
      <formula>NOT(ISERROR(SEARCH("T",AR28)))</formula>
    </cfRule>
  </conditionalFormatting>
  <conditionalFormatting sqref="AR48:AX49">
    <cfRule type="containsText" dxfId="685" priority="581" operator="containsText" text="17">
      <formula>NOT(ISERROR(SEARCH("17",AR48)))</formula>
    </cfRule>
    <cfRule type="containsText" dxfId="684" priority="582" operator="containsText" text="T">
      <formula>NOT(ISERROR(SEARCH("T",AR48)))</formula>
    </cfRule>
  </conditionalFormatting>
  <conditionalFormatting sqref="AR69:BB71">
    <cfRule type="containsText" dxfId="683" priority="334" operator="containsText" text="17">
      <formula>NOT(ISERROR(SEARCH("17",AR69)))</formula>
    </cfRule>
  </conditionalFormatting>
  <conditionalFormatting sqref="AR103:BB104">
    <cfRule type="containsText" dxfId="682" priority="364" operator="containsText" text="17">
      <formula>NOT(ISERROR(SEARCH("17",AR103)))</formula>
    </cfRule>
  </conditionalFormatting>
  <conditionalFormatting sqref="AR121:BB121">
    <cfRule type="containsText" dxfId="681" priority="354" operator="containsText" text="17">
      <formula>NOT(ISERROR(SEARCH("17",AR121)))</formula>
    </cfRule>
  </conditionalFormatting>
  <conditionalFormatting sqref="AR123:BB123">
    <cfRule type="containsText" dxfId="680" priority="344" operator="containsText" text="17">
      <formula>NOT(ISERROR(SEARCH("17",AR123)))</formula>
    </cfRule>
  </conditionalFormatting>
  <conditionalFormatting sqref="AR152:BE158">
    <cfRule type="containsText" dxfId="679" priority="261" operator="containsText" text="17">
      <formula>NOT(ISERROR(SEARCH("17",AR152)))</formula>
    </cfRule>
  </conditionalFormatting>
  <conditionalFormatting sqref="AR152:BG158">
    <cfRule type="containsText" dxfId="678" priority="255" operator="containsText" text="T">
      <formula>NOT(ISERROR(SEARCH("T",AR152)))</formula>
    </cfRule>
  </conditionalFormatting>
  <conditionalFormatting sqref="AS28:AS32">
    <cfRule type="containsText" dxfId="677" priority="589" operator="containsText" text="T">
      <formula>NOT(ISERROR(SEARCH("T",AS28)))</formula>
    </cfRule>
    <cfRule type="containsText" dxfId="676" priority="588" operator="containsText" text="17">
      <formula>NOT(ISERROR(SEARCH("17",AS28)))</formula>
    </cfRule>
  </conditionalFormatting>
  <conditionalFormatting sqref="AS48:AS49">
    <cfRule type="containsText" dxfId="675" priority="578" operator="containsText" text="17">
      <formula>NOT(ISERROR(SEARCH("17",AS48)))</formula>
    </cfRule>
    <cfRule type="containsText" dxfId="674" priority="579" operator="containsText" text="T">
      <formula>NOT(ISERROR(SEARCH("T",AS48)))</formula>
    </cfRule>
  </conditionalFormatting>
  <conditionalFormatting sqref="AS90 AW90:AY90 AB91:AV96 AY91:AY96">
    <cfRule type="containsText" dxfId="673" priority="647" operator="containsText" text="T">
      <formula>NOT(ISERROR(SEARCH("T",AB90)))</formula>
    </cfRule>
  </conditionalFormatting>
  <conditionalFormatting sqref="AS182">
    <cfRule type="containsText" dxfId="672" priority="662" operator="containsText" text="T">
      <formula>NOT(ISERROR(SEARCH("T",AS182)))</formula>
    </cfRule>
  </conditionalFormatting>
  <conditionalFormatting sqref="AS192:AS193 X194:AR199 X192:AF193">
    <cfRule type="containsText" dxfId="671" priority="709" operator="containsText" text="17">
      <formula>NOT(ISERROR(SEARCH("17",X192)))</formula>
    </cfRule>
  </conditionalFormatting>
  <conditionalFormatting sqref="AS208:AS213">
    <cfRule type="containsText" dxfId="670" priority="740" operator="containsText" text="T">
      <formula>NOT(ISERROR(SEARCH("T",AS208)))</formula>
    </cfRule>
  </conditionalFormatting>
  <conditionalFormatting sqref="AS90:AT90 AW90:AY90 AY91:AY96">
    <cfRule type="containsText" dxfId="669" priority="648" operator="containsText" text="17">
      <formula>NOT(ISERROR(SEARCH("17",AS90)))</formula>
    </cfRule>
  </conditionalFormatting>
  <conditionalFormatting sqref="AS50:AY53">
    <cfRule type="containsText" dxfId="668" priority="572" operator="containsText" text="T">
      <formula>NOT(ISERROR(SEARCH("T",AS50)))</formula>
    </cfRule>
    <cfRule type="containsText" dxfId="667" priority="571" operator="containsText" text="17">
      <formula>NOT(ISERROR(SEARCH("17",AS50)))</formula>
    </cfRule>
  </conditionalFormatting>
  <conditionalFormatting sqref="AS63:AY66">
    <cfRule type="containsText" dxfId="666" priority="562" operator="containsText" text="T">
      <formula>NOT(ISERROR(SEARCH("T",AS63)))</formula>
    </cfRule>
    <cfRule type="containsText" dxfId="665" priority="561" operator="containsText" text="17">
      <formula>NOT(ISERROR(SEARCH("17",AS63)))</formula>
    </cfRule>
  </conditionalFormatting>
  <conditionalFormatting sqref="AS67:BC68">
    <cfRule type="containsText" dxfId="664" priority="304" operator="containsText" text="17">
      <formula>NOT(ISERROR(SEARCH("17",AS67)))</formula>
    </cfRule>
  </conditionalFormatting>
  <conditionalFormatting sqref="AS99:BC102">
    <cfRule type="containsText" dxfId="663" priority="324" operator="containsText" text="17">
      <formula>NOT(ISERROR(SEARCH("17",AS99)))</formula>
    </cfRule>
  </conditionalFormatting>
  <conditionalFormatting sqref="AS105:BC105">
    <cfRule type="containsText" dxfId="662" priority="314" operator="containsText" text="17">
      <formula>NOT(ISERROR(SEARCH("17",AS105)))</formula>
    </cfRule>
  </conditionalFormatting>
  <conditionalFormatting sqref="AS159:BF165">
    <cfRule type="containsText" dxfId="661" priority="251" operator="containsText" text="17">
      <formula>NOT(ISERROR(SEARCH("17",AS159)))</formula>
    </cfRule>
  </conditionalFormatting>
  <conditionalFormatting sqref="AS159:BH165">
    <cfRule type="containsText" dxfId="660" priority="245" operator="containsText" text="T">
      <formula>NOT(ISERROR(SEARCH("T",AS159)))</formula>
    </cfRule>
  </conditionalFormatting>
  <conditionalFormatting sqref="AT14 AX14:AZ14 AC15:AW20 AZ15:AZ20">
    <cfRule type="containsText" dxfId="659" priority="634" operator="containsText" text="T">
      <formula>NOT(ISERROR(SEARCH("T",AC14)))</formula>
    </cfRule>
  </conditionalFormatting>
  <conditionalFormatting sqref="AT50:AT53">
    <cfRule type="containsText" dxfId="658" priority="568" operator="containsText" text="17">
      <formula>NOT(ISERROR(SEARCH("17",AT50)))</formula>
    </cfRule>
    <cfRule type="containsText" dxfId="657" priority="569" operator="containsText" text="T">
      <formula>NOT(ISERROR(SEARCH("T",AT50)))</formula>
    </cfRule>
  </conditionalFormatting>
  <conditionalFormatting sqref="AT63:AT66">
    <cfRule type="containsText" dxfId="656" priority="558" operator="containsText" text="17">
      <formula>NOT(ISERROR(SEARCH("17",AT63)))</formula>
    </cfRule>
    <cfRule type="containsText" dxfId="655" priority="559" operator="containsText" text="T">
      <formula>NOT(ISERROR(SEARCH("T",AT63)))</formula>
    </cfRule>
  </conditionalFormatting>
  <conditionalFormatting sqref="AT90">
    <cfRule type="containsText" dxfId="654" priority="649" operator="containsText" text="T">
      <formula>NOT(ISERROR(SEARCH("T",AT90)))</formula>
    </cfRule>
  </conditionalFormatting>
  <conditionalFormatting sqref="AT201:AT206">
    <cfRule type="containsText" dxfId="653" priority="727" operator="containsText" text="T">
      <formula>NOT(ISERROR(SEARCH("T",AT201)))</formula>
    </cfRule>
  </conditionalFormatting>
  <conditionalFormatting sqref="AT14:AU14 AX14:AZ14 AZ15:AZ20">
    <cfRule type="containsText" dxfId="652" priority="635" operator="containsText" text="17">
      <formula>NOT(ISERROR(SEARCH("17",AT14)))</formula>
    </cfRule>
  </conditionalFormatting>
  <conditionalFormatting sqref="AT59:AZ62">
    <cfRule type="containsText" dxfId="651" priority="548" operator="containsText" text="T">
      <formula>NOT(ISERROR(SEARCH("T",AT59)))</formula>
    </cfRule>
    <cfRule type="containsText" dxfId="650" priority="547" operator="containsText" text="17">
      <formula>NOT(ISERROR(SEARCH("17",AT59)))</formula>
    </cfRule>
  </conditionalFormatting>
  <conditionalFormatting sqref="AT86:AZ89">
    <cfRule type="containsText" dxfId="649" priority="538" operator="containsText" text="T">
      <formula>NOT(ISERROR(SEARCH("T",AT86)))</formula>
    </cfRule>
    <cfRule type="containsText" dxfId="648" priority="537" operator="containsText" text="17">
      <formula>NOT(ISERROR(SEARCH("17",AT86)))</formula>
    </cfRule>
  </conditionalFormatting>
  <conditionalFormatting sqref="AT97:BD98">
    <cfRule type="containsText" dxfId="647" priority="294" operator="containsText" text="17">
      <formula>NOT(ISERROR(SEARCH("17",AT97)))</formula>
    </cfRule>
  </conditionalFormatting>
  <conditionalFormatting sqref="AT131:BD137">
    <cfRule type="containsText" dxfId="646" priority="284" operator="containsText" text="17">
      <formula>NOT(ISERROR(SEARCH("17",AT131)))</formula>
    </cfRule>
  </conditionalFormatting>
  <conditionalFormatting sqref="AU14">
    <cfRule type="containsText" dxfId="645" priority="636" operator="containsText" text="T">
      <formula>NOT(ISERROR(SEARCH("T",AU14)))</formula>
    </cfRule>
  </conditionalFormatting>
  <conditionalFormatting sqref="AU34 AY34:BA34 AD35:AX40 BA35:BA40">
    <cfRule type="containsText" dxfId="644" priority="621" operator="containsText" text="T">
      <formula>NOT(ISERROR(SEARCH("T",AD34)))</formula>
    </cfRule>
  </conditionalFormatting>
  <conditionalFormatting sqref="AU59:AU62">
    <cfRule type="containsText" dxfId="643" priority="544" operator="containsText" text="17">
      <formula>NOT(ISERROR(SEARCH("17",AU59)))</formula>
    </cfRule>
    <cfRule type="containsText" dxfId="642" priority="545" operator="containsText" text="T">
      <formula>NOT(ISERROR(SEARCH("T",AU59)))</formula>
    </cfRule>
  </conditionalFormatting>
  <conditionalFormatting sqref="AU86:AU89">
    <cfRule type="containsText" dxfId="641" priority="535" operator="containsText" text="T">
      <formula>NOT(ISERROR(SEARCH("T",AU86)))</formula>
    </cfRule>
    <cfRule type="containsText" dxfId="640" priority="534" operator="containsText" text="17">
      <formula>NOT(ISERROR(SEARCH("17",AU86)))</formula>
    </cfRule>
  </conditionalFormatting>
  <conditionalFormatting sqref="AU194:AU199">
    <cfRule type="containsText" dxfId="639" priority="714" operator="containsText" text="T">
      <formula>NOT(ISERROR(SEARCH("T",AU194)))</formula>
    </cfRule>
  </conditionalFormatting>
  <conditionalFormatting sqref="AU34:AV34 AY34:BA34 BA35:BA40">
    <cfRule type="containsText" dxfId="638" priority="622" operator="containsText" text="17">
      <formula>NOT(ISERROR(SEARCH("17",AU34)))</formula>
    </cfRule>
  </conditionalFormatting>
  <conditionalFormatting sqref="AU83:BA85">
    <cfRule type="containsText" dxfId="637" priority="528" operator="containsText" text="T">
      <formula>NOT(ISERROR(SEARCH("T",AU83)))</formula>
    </cfRule>
    <cfRule type="containsText" dxfId="636" priority="527" operator="containsText" text="17">
      <formula>NOT(ISERROR(SEARCH("17",AU83)))</formula>
    </cfRule>
  </conditionalFormatting>
  <conditionalFormatting sqref="AU214:BA217">
    <cfRule type="containsText" dxfId="635" priority="518" operator="containsText" text="T">
      <formula>NOT(ISERROR(SEARCH("T",AU214)))</formula>
    </cfRule>
    <cfRule type="containsText" dxfId="634" priority="517" operator="containsText" text="17">
      <formula>NOT(ISERROR(SEARCH("17",AU214)))</formula>
    </cfRule>
  </conditionalFormatting>
  <conditionalFormatting sqref="AU138:BE144">
    <cfRule type="containsText" dxfId="633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32" priority="8533" operator="containsText" text="17">
      <formula>NOT(ISERROR(SEARCH("17",J14)))</formula>
    </cfRule>
  </conditionalFormatting>
  <conditionalFormatting sqref="AV21 AZ21:BB21 AE22:AY27">
    <cfRule type="containsText" dxfId="631" priority="608" operator="containsText" text="T">
      <formula>NOT(ISERROR(SEARCH("T",AE21)))</formula>
    </cfRule>
  </conditionalFormatting>
  <conditionalFormatting sqref="AV34">
    <cfRule type="containsText" dxfId="630" priority="623" operator="containsText" text="T">
      <formula>NOT(ISERROR(SEARCH("T",AV34)))</formula>
    </cfRule>
  </conditionalFormatting>
  <conditionalFormatting sqref="AV83:AV85">
    <cfRule type="containsText" dxfId="629" priority="524" operator="containsText" text="17">
      <formula>NOT(ISERROR(SEARCH("17",AV83)))</formula>
    </cfRule>
    <cfRule type="containsText" dxfId="628" priority="525" operator="containsText" text="T">
      <formula>NOT(ISERROR(SEARCH("T",AV83)))</formula>
    </cfRule>
  </conditionalFormatting>
  <conditionalFormatting sqref="AV169:AV174">
    <cfRule type="containsText" dxfId="627" priority="696" operator="containsText" text="T">
      <formula>NOT(ISERROR(SEARCH("T",AV169)))</formula>
    </cfRule>
  </conditionalFormatting>
  <conditionalFormatting sqref="AV214:AV217">
    <cfRule type="containsText" dxfId="626" priority="514" operator="containsText" text="17">
      <formula>NOT(ISERROR(SEARCH("17",AV214)))</formula>
    </cfRule>
    <cfRule type="containsText" dxfId="625" priority="515" operator="containsText" text="T">
      <formula>NOT(ISERROR(SEARCH("T",AV214)))</formula>
    </cfRule>
  </conditionalFormatting>
  <conditionalFormatting sqref="AV21:AW21 AZ21:BB21 BB22:BF27">
    <cfRule type="containsText" dxfId="624" priority="609" operator="containsText" text="17">
      <formula>NOT(ISERROR(SEARCH("17",AV21)))</formula>
    </cfRule>
  </conditionalFormatting>
  <conditionalFormatting sqref="AV218:BB224">
    <cfRule type="containsText" dxfId="623" priority="507" operator="containsText" text="17">
      <formula>NOT(ISERROR(SEARCH("17",AV218)))</formula>
    </cfRule>
    <cfRule type="containsText" dxfId="622" priority="508" operator="containsText" text="T">
      <formula>NOT(ISERROR(SEARCH("T",AV218)))</formula>
    </cfRule>
  </conditionalFormatting>
  <conditionalFormatting sqref="AV145:BF151">
    <cfRule type="containsText" dxfId="621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20" priority="7303" operator="containsText" text="T">
      <formula>NOT(ISERROR(SEARCH("T",J14)))</formula>
    </cfRule>
  </conditionalFormatting>
  <conditionalFormatting sqref="AW21">
    <cfRule type="containsText" dxfId="619" priority="610" operator="containsText" text="T">
      <formula>NOT(ISERROR(SEARCH("T",AW21)))</formula>
    </cfRule>
  </conditionalFormatting>
  <conditionalFormatting sqref="AW41 BA41:BC41 AF42:AZ47 BC42:BC47">
    <cfRule type="containsText" dxfId="618" priority="595" operator="containsText" text="T">
      <formula>NOT(ISERROR(SEARCH("T",AF41)))</formula>
    </cfRule>
  </conditionalFormatting>
  <conditionalFormatting sqref="AW176:AW181">
    <cfRule type="containsText" dxfId="617" priority="683" operator="containsText" text="T">
      <formula>NOT(ISERROR(SEARCH("T",AW176)))</formula>
    </cfRule>
  </conditionalFormatting>
  <conditionalFormatting sqref="AW218:AW224">
    <cfRule type="containsText" dxfId="616" priority="505" operator="containsText" text="T">
      <formula>NOT(ISERROR(SEARCH("T",AW218)))</formula>
    </cfRule>
    <cfRule type="containsText" dxfId="615" priority="504" operator="containsText" text="17">
      <formula>NOT(ISERROR(SEARCH("17",AW218)))</formula>
    </cfRule>
  </conditionalFormatting>
  <conditionalFormatting sqref="AW41:AX41 BA41:BC41 BC42:BC47">
    <cfRule type="containsText" dxfId="614" priority="596" operator="containsText" text="17">
      <formula>NOT(ISERROR(SEARCH("17",AW41)))</formula>
    </cfRule>
  </conditionalFormatting>
  <conditionalFormatting sqref="AW225:BC231">
    <cfRule type="containsText" dxfId="613" priority="498" operator="containsText" text="T">
      <formula>NOT(ISERROR(SEARCH("T",AW225)))</formula>
    </cfRule>
    <cfRule type="containsText" dxfId="612" priority="497" operator="containsText" text="17">
      <formula>NOT(ISERROR(SEARCH("17",AW225)))</formula>
    </cfRule>
  </conditionalFormatting>
  <conditionalFormatting sqref="AW152:BG158">
    <cfRule type="containsText" dxfId="611" priority="254" operator="containsText" text="17">
      <formula>NOT(ISERROR(SEARCH("17",AW152)))</formula>
    </cfRule>
  </conditionalFormatting>
  <conditionalFormatting sqref="AW168:CP174">
    <cfRule type="containsText" dxfId="610" priority="205" operator="containsText" text="17">
      <formula>NOT(ISERROR(SEARCH("17",AW168)))</formula>
    </cfRule>
  </conditionalFormatting>
  <conditionalFormatting sqref="AX28:AX32 BB28:BD32">
    <cfRule type="containsText" dxfId="609" priority="585" operator="containsText" text="T">
      <formula>NOT(ISERROR(SEARCH("T",AX28)))</formula>
    </cfRule>
  </conditionalFormatting>
  <conditionalFormatting sqref="AX41">
    <cfRule type="containsText" dxfId="608" priority="597" operator="containsText" text="T">
      <formula>NOT(ISERROR(SEARCH("T",AX41)))</formula>
    </cfRule>
  </conditionalFormatting>
  <conditionalFormatting sqref="AX48:AX49 BB48:BD49">
    <cfRule type="containsText" dxfId="607" priority="575" operator="containsText" text="T">
      <formula>NOT(ISERROR(SEARCH("T",AX48)))</formula>
    </cfRule>
  </conditionalFormatting>
  <conditionalFormatting sqref="AX180:AX181 AY182:AY185 BM191 BU200:BU202 BV203:BV205">
    <cfRule type="containsText" dxfId="606" priority="7319" operator="containsText" text="T">
      <formula>NOT(ISERROR(SEARCH("T",AX180)))</formula>
    </cfRule>
    <cfRule type="containsText" dxfId="605" priority="7321" operator="containsText" text="T">
      <formula>NOT(ISERROR(SEARCH("T",AX180)))</formula>
    </cfRule>
    <cfRule type="containsText" dxfId="604" priority="7320" operator="containsText" text="17">
      <formula>NOT(ISERROR(SEARCH("17",AX180)))</formula>
    </cfRule>
  </conditionalFormatting>
  <conditionalFormatting sqref="AX183:AX190">
    <cfRule type="containsText" dxfId="603" priority="670" operator="containsText" text="T">
      <formula>NOT(ISERROR(SEARCH("T",AX183)))</formula>
    </cfRule>
  </conditionalFormatting>
  <conditionalFormatting sqref="AX192">
    <cfRule type="containsText" dxfId="602" priority="6267" operator="containsText" text="T">
      <formula>NOT(ISERROR(SEARCH("T",AX192)))</formula>
    </cfRule>
    <cfRule type="containsText" dxfId="601" priority="6266" operator="containsText" text="17">
      <formula>NOT(ISERROR(SEARCH("17",AX192)))</formula>
    </cfRule>
    <cfRule type="containsText" dxfId="600" priority="2370" operator="containsText" text="T">
      <formula>NOT(ISERROR(SEARCH("T",AX192)))</formula>
    </cfRule>
    <cfRule type="containsText" dxfId="599" priority="2369" operator="containsText" text="17">
      <formula>NOT(ISERROR(SEARCH("17",AX192)))</formula>
    </cfRule>
  </conditionalFormatting>
  <conditionalFormatting sqref="AX196:AX198">
    <cfRule type="containsText" dxfId="598" priority="7295" operator="containsText" text="T">
      <formula>NOT(ISERROR(SEARCH("T",AX196)))</formula>
    </cfRule>
    <cfRule type="containsText" dxfId="597" priority="7294" operator="containsText" text="17">
      <formula>NOT(ISERROR(SEARCH("17",AX196)))</formula>
    </cfRule>
  </conditionalFormatting>
  <conditionalFormatting sqref="AX225:AX231">
    <cfRule type="containsText" dxfId="596" priority="494" operator="containsText" text="17">
      <formula>NOT(ISERROR(SEARCH("17",AX225)))</formula>
    </cfRule>
    <cfRule type="containsText" dxfId="595" priority="495" operator="containsText" text="T">
      <formula>NOT(ISERROR(SEARCH("T",AX225)))</formula>
    </cfRule>
  </conditionalFormatting>
  <conditionalFormatting sqref="AX28:AY32 BB28:BD32">
    <cfRule type="containsText" dxfId="594" priority="586" operator="containsText" text="17">
      <formula>NOT(ISERROR(SEARCH("17",AX28)))</formula>
    </cfRule>
  </conditionalFormatting>
  <conditionalFormatting sqref="AX48:AY49 BB48:BD49">
    <cfRule type="containsText" dxfId="593" priority="576" operator="containsText" text="17">
      <formula>NOT(ISERROR(SEARCH("17",AX48)))</formula>
    </cfRule>
  </conditionalFormatting>
  <conditionalFormatting sqref="AX170:BA170">
    <cfRule type="containsText" dxfId="592" priority="8728" operator="containsText" text="17">
      <formula>NOT(ISERROR(SEARCH("17",AX170)))</formula>
    </cfRule>
    <cfRule type="containsText" dxfId="591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90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89" priority="5061" operator="containsText" text="T">
      <formula>NOT(ISERROR(SEARCH("T",AX199)))</formula>
    </cfRule>
  </conditionalFormatting>
  <conditionalFormatting sqref="AX33:BC33">
    <cfRule type="containsText" dxfId="588" priority="8832" operator="containsText" text="T">
      <formula>NOT(ISERROR(SEARCH("T",AX33)))</formula>
    </cfRule>
  </conditionalFormatting>
  <conditionalFormatting sqref="AX113:BD116">
    <cfRule type="containsText" dxfId="587" priority="478" operator="containsText" text="T">
      <formula>NOT(ISERROR(SEARCH("T",AX113)))</formula>
    </cfRule>
    <cfRule type="containsText" dxfId="586" priority="477" operator="containsText" text="17">
      <formula>NOT(ISERROR(SEARCH("17",AX113)))</formula>
    </cfRule>
  </conditionalFormatting>
  <conditionalFormatting sqref="AX232:BD234">
    <cfRule type="containsText" dxfId="585" priority="487" operator="containsText" text="17">
      <formula>NOT(ISERROR(SEARCH("17",AX232)))</formula>
    </cfRule>
    <cfRule type="containsText" dxfId="584" priority="488" operator="containsText" text="T">
      <formula>NOT(ISERROR(SEARCH("T",AX232)))</formula>
    </cfRule>
  </conditionalFormatting>
  <conditionalFormatting sqref="AX199:BE199 AX206:BD206 AX213">
    <cfRule type="containsText" dxfId="583" priority="5068" operator="containsText" text="17">
      <formula>NOT(ISERROR(SEARCH("17",AX199)))</formula>
    </cfRule>
    <cfRule type="containsText" dxfId="582" priority="5069" operator="containsText" text="T">
      <formula>NOT(ISERROR(SEARCH("T",AX199)))</formula>
    </cfRule>
  </conditionalFormatting>
  <conditionalFormatting sqref="AX159:BH165">
    <cfRule type="containsText" dxfId="581" priority="244" operator="containsText" text="17">
      <formula>NOT(ISERROR(SEARCH("17",AX159)))</formula>
    </cfRule>
  </conditionalFormatting>
  <conditionalFormatting sqref="AX175:CP181">
    <cfRule type="containsText" dxfId="580" priority="172" operator="containsText" text="T">
      <formula>NOT(ISERROR(SEARCH("T",AX175)))</formula>
    </cfRule>
  </conditionalFormatting>
  <conditionalFormatting sqref="AY28:AY32">
    <cfRule type="containsText" dxfId="579" priority="587" operator="containsText" text="T">
      <formula>NOT(ISERROR(SEARCH("T",AY28)))</formula>
    </cfRule>
  </conditionalFormatting>
  <conditionalFormatting sqref="AY33">
    <cfRule type="containsText" dxfId="578" priority="8206" operator="containsText" text="17">
      <formula>NOT(ISERROR(SEARCH("17",AY33)))</formula>
    </cfRule>
    <cfRule type="containsText" dxfId="577" priority="8207" operator="containsText" text="T">
      <formula>NOT(ISERROR(SEARCH("T",AY33)))</formula>
    </cfRule>
  </conditionalFormatting>
  <conditionalFormatting sqref="AY48:AY49">
    <cfRule type="containsText" dxfId="576" priority="577" operator="containsText" text="T">
      <formula>NOT(ISERROR(SEARCH("T",AY48)))</formula>
    </cfRule>
  </conditionalFormatting>
  <conditionalFormatting sqref="AY50:AY53 BC50:BE53">
    <cfRule type="containsText" dxfId="575" priority="565" operator="containsText" text="T">
      <formula>NOT(ISERROR(SEARCH("T",AY50)))</formula>
    </cfRule>
  </conditionalFormatting>
  <conditionalFormatting sqref="AY63:AY66 BC63:BI66">
    <cfRule type="containsText" dxfId="574" priority="555" operator="containsText" text="T">
      <formula>NOT(ISERROR(SEARCH("T",AY63)))</formula>
    </cfRule>
  </conditionalFormatting>
  <conditionalFormatting sqref="AY91:AY96">
    <cfRule type="containsText" dxfId="573" priority="657" operator="containsText" text="T">
      <formula>NOT(ISERROR(SEARCH("T",AY91)))</formula>
    </cfRule>
  </conditionalFormatting>
  <conditionalFormatting sqref="AY113:AY116">
    <cfRule type="containsText" dxfId="572" priority="474" operator="containsText" text="17">
      <formula>NOT(ISERROR(SEARCH("17",AY113)))</formula>
    </cfRule>
    <cfRule type="containsText" dxfId="571" priority="475" operator="containsText" text="T">
      <formula>NOT(ISERROR(SEARCH("T",AY113)))</formula>
    </cfRule>
  </conditionalFormatting>
  <conditionalFormatting sqref="AY182:AY185 BM191 BU200:BU202 BV203:BV205 AX180:AX181">
    <cfRule type="containsText" dxfId="570" priority="7318" operator="containsText" text="17">
      <formula>NOT(ISERROR(SEARCH("17",AX180)))</formula>
    </cfRule>
  </conditionalFormatting>
  <conditionalFormatting sqref="AY189">
    <cfRule type="containsText" dxfId="569" priority="4911" operator="containsText" text="T">
      <formula>NOT(ISERROR(SEARCH("T",AY189)))</formula>
    </cfRule>
    <cfRule type="containsText" dxfId="568" priority="4910" operator="containsText" text="17">
      <formula>NOT(ISERROR(SEARCH("17",AY189)))</formula>
    </cfRule>
    <cfRule type="containsText" dxfId="567" priority="4892" operator="containsText" text="17">
      <formula>NOT(ISERROR(SEARCH("17",AY189)))</formula>
    </cfRule>
    <cfRule type="containsText" dxfId="566" priority="4893" operator="containsText" text="T">
      <formula>NOT(ISERROR(SEARCH("T",AY189)))</formula>
    </cfRule>
  </conditionalFormatting>
  <conditionalFormatting sqref="AY190 AX191:BH191 BK191 BO191:BS191">
    <cfRule type="containsText" dxfId="565" priority="8514" operator="containsText" text="T">
      <formula>NOT(ISERROR(SEARCH("T",AX190)))</formula>
    </cfRule>
  </conditionalFormatting>
  <conditionalFormatting sqref="AY199 AX206">
    <cfRule type="containsText" dxfId="564" priority="2143" operator="containsText" text="17">
      <formula>NOT(ISERROR(SEARCH("17",AX199)))</formula>
    </cfRule>
    <cfRule type="containsText" dxfId="563" priority="2144" operator="containsText" text="T">
      <formula>NOT(ISERROR(SEARCH("T",AX199)))</formula>
    </cfRule>
  </conditionalFormatting>
  <conditionalFormatting sqref="AY232:AY234">
    <cfRule type="containsText" dxfId="562" priority="484" operator="containsText" text="17">
      <formula>NOT(ISERROR(SEARCH("17",AY232)))</formula>
    </cfRule>
    <cfRule type="containsText" dxfId="561" priority="485" operator="containsText" text="T">
      <formula>NOT(ISERROR(SEARCH("T",AY232)))</formula>
    </cfRule>
  </conditionalFormatting>
  <conditionalFormatting sqref="AY50:AZ53 BC50:BE53">
    <cfRule type="containsText" dxfId="560" priority="566" operator="containsText" text="17">
      <formula>NOT(ISERROR(SEARCH("17",AY50)))</formula>
    </cfRule>
  </conditionalFormatting>
  <conditionalFormatting sqref="AY63:AZ66 BC63:BE66">
    <cfRule type="containsText" dxfId="559" priority="556" operator="containsText" text="17">
      <formula>NOT(ISERROR(SEARCH("17",AY63)))</formula>
    </cfRule>
  </conditionalFormatting>
  <conditionalFormatting sqref="AY79:BE82">
    <cfRule type="containsText" dxfId="558" priority="458" operator="containsText" text="T">
      <formula>NOT(ISERROR(SEARCH("T",AY79)))</formula>
    </cfRule>
    <cfRule type="containsText" dxfId="557" priority="457" operator="containsText" text="17">
      <formula>NOT(ISERROR(SEARCH("17",AY79)))</formula>
    </cfRule>
  </conditionalFormatting>
  <conditionalFormatting sqref="AY117:BE119">
    <cfRule type="containsText" dxfId="556" priority="468" operator="containsText" text="T">
      <formula>NOT(ISERROR(SEARCH("T",AY117)))</formula>
    </cfRule>
    <cfRule type="containsText" dxfId="555" priority="467" operator="containsText" text="17">
      <formula>NOT(ISERROR(SEARCH("17",AY117)))</formula>
    </cfRule>
  </conditionalFormatting>
  <conditionalFormatting sqref="AY207:BI213">
    <cfRule type="containsText" dxfId="554" priority="234" operator="containsText" text="17">
      <formula>NOT(ISERROR(SEARCH("17",AY207)))</formula>
    </cfRule>
  </conditionalFormatting>
  <conditionalFormatting sqref="AY207:BP213">
    <cfRule type="containsText" dxfId="553" priority="243" operator="containsText" text="T">
      <formula>NOT(ISERROR(SEARCH("T",AY207)))</formula>
    </cfRule>
  </conditionalFormatting>
  <conditionalFormatting sqref="AY193:BV213 AX195:BV195 BH214:BL215">
    <cfRule type="containsText" dxfId="552" priority="914" operator="containsText" text="T">
      <formula>NOT(ISERROR(SEARCH("T",AX193)))</formula>
    </cfRule>
  </conditionalFormatting>
  <conditionalFormatting sqref="AZ15:AZ20">
    <cfRule type="containsText" dxfId="551" priority="644" operator="containsText" text="T">
      <formula>NOT(ISERROR(SEARCH("T",AZ15)))</formula>
    </cfRule>
  </conditionalFormatting>
  <conditionalFormatting sqref="AZ50:AZ53">
    <cfRule type="containsText" dxfId="550" priority="567" operator="containsText" text="T">
      <formula>NOT(ISERROR(SEARCH("T",AZ50)))</formula>
    </cfRule>
  </conditionalFormatting>
  <conditionalFormatting sqref="AZ63:AZ66">
    <cfRule type="containsText" dxfId="549" priority="557" operator="containsText" text="T">
      <formula>NOT(ISERROR(SEARCH("T",AZ63)))</formula>
    </cfRule>
  </conditionalFormatting>
  <conditionalFormatting sqref="AZ79:AZ82">
    <cfRule type="containsText" dxfId="548" priority="455" operator="containsText" text="T">
      <formula>NOT(ISERROR(SEARCH("T",AZ79)))</formula>
    </cfRule>
    <cfRule type="containsText" dxfId="547" priority="454" operator="containsText" text="17">
      <formula>NOT(ISERROR(SEARCH("17",AZ79)))</formula>
    </cfRule>
  </conditionalFormatting>
  <conditionalFormatting sqref="AZ86:AZ89 BD86:BF89">
    <cfRule type="containsText" dxfId="546" priority="531" operator="containsText" text="T">
      <formula>NOT(ISERROR(SEARCH("T",AZ86)))</formula>
    </cfRule>
  </conditionalFormatting>
  <conditionalFormatting sqref="AZ117:AZ119">
    <cfRule type="containsText" dxfId="545" priority="465" operator="containsText" text="T">
      <formula>NOT(ISERROR(SEARCH("T",AZ117)))</formula>
    </cfRule>
    <cfRule type="containsText" dxfId="544" priority="464" operator="containsText" text="17">
      <formula>NOT(ISERROR(SEARCH("17",AZ117)))</formula>
    </cfRule>
  </conditionalFormatting>
  <conditionalFormatting sqref="AZ59:BA62 BD59:BF62">
    <cfRule type="containsText" dxfId="543" priority="542" operator="containsText" text="17">
      <formula>NOT(ISERROR(SEARCH("17",AZ59)))</formula>
    </cfRule>
  </conditionalFormatting>
  <conditionalFormatting sqref="AZ86:BA89 BD86:BF89">
    <cfRule type="containsText" dxfId="542" priority="532" operator="containsText" text="17">
      <formula>NOT(ISERROR(SEARCH("17",AZ86)))</formula>
    </cfRule>
  </conditionalFormatting>
  <conditionalFormatting sqref="AZ93:BB93">
    <cfRule type="containsText" dxfId="541" priority="4057" operator="containsText" text="T">
      <formula>NOT(ISERROR(SEARCH("T",AZ93)))</formula>
    </cfRule>
    <cfRule type="containsText" dxfId="540" priority="4056" operator="containsText" text="17">
      <formula>NOT(ISERROR(SEARCH("17",AZ93)))</formula>
    </cfRule>
  </conditionalFormatting>
  <conditionalFormatting sqref="AZ175:BB178">
    <cfRule type="containsText" dxfId="539" priority="933" operator="containsText" text="T">
      <formula>NOT(ISERROR(SEARCH("T",AZ175)))</formula>
    </cfRule>
  </conditionalFormatting>
  <conditionalFormatting sqref="AZ180:BB181 AZ182:BC183">
    <cfRule type="containsText" dxfId="538" priority="927" operator="containsText" text="T">
      <formula>NOT(ISERROR(SEARCH("T",AZ180)))</formula>
    </cfRule>
  </conditionalFormatting>
  <conditionalFormatting sqref="AZ185:BC188 AZ189:BW190">
    <cfRule type="containsText" dxfId="537" priority="921" operator="containsText" text="T">
      <formula>NOT(ISERROR(SEARCH("T",AZ185)))</formula>
    </cfRule>
  </conditionalFormatting>
  <conditionalFormatting sqref="AZ200:BJ206">
    <cfRule type="containsText" dxfId="536" priority="223" operator="containsText" text="17">
      <formula>NOT(ISERROR(SEARCH("17",AZ200)))</formula>
    </cfRule>
  </conditionalFormatting>
  <conditionalFormatting sqref="AZ200:BW206">
    <cfRule type="containsText" dxfId="535" priority="232" operator="containsText" text="T">
      <formula>NOT(ISERROR(SEARCH("T",AZ200)))</formula>
    </cfRule>
  </conditionalFormatting>
  <conditionalFormatting sqref="BA22:BA27">
    <cfRule type="containsText" dxfId="534" priority="550" operator="containsText" text="17">
      <formula>NOT(ISERROR(SEARCH("17",BA22)))</formula>
    </cfRule>
    <cfRule type="containsText" dxfId="533" priority="549" operator="containsText" text="T">
      <formula>NOT(ISERROR(SEARCH("T",BA22)))</formula>
    </cfRule>
  </conditionalFormatting>
  <conditionalFormatting sqref="BA35:BA40">
    <cfRule type="containsText" dxfId="532" priority="631" operator="containsText" text="T">
      <formula>NOT(ISERROR(SEARCH("T",BA35)))</formula>
    </cfRule>
  </conditionalFormatting>
  <conditionalFormatting sqref="BA59:BA62">
    <cfRule type="containsText" dxfId="531" priority="543" operator="containsText" text="T">
      <formula>NOT(ISERROR(SEARCH("T",BA59)))</formula>
    </cfRule>
  </conditionalFormatting>
  <conditionalFormatting sqref="BA83:BA85 BE83:BG85">
    <cfRule type="containsText" dxfId="530" priority="521" operator="containsText" text="T">
      <formula>NOT(ISERROR(SEARCH("T",BA83)))</formula>
    </cfRule>
  </conditionalFormatting>
  <conditionalFormatting sqref="BA86:BA89">
    <cfRule type="containsText" dxfId="529" priority="533" operator="containsText" text="T">
      <formula>NOT(ISERROR(SEARCH("T",BA86)))</formula>
    </cfRule>
  </conditionalFormatting>
  <conditionalFormatting sqref="BA199 AZ206">
    <cfRule type="containsText" dxfId="528" priority="5057" operator="containsText" text="T">
      <formula>NOT(ISERROR(SEARCH("T",AZ199)))</formula>
    </cfRule>
    <cfRule type="containsText" dxfId="527" priority="5056" operator="containsText" text="17">
      <formula>NOT(ISERROR(SEARCH("17",AZ199)))</formula>
    </cfRule>
  </conditionalFormatting>
  <conditionalFormatting sqref="BA214:BA217 BE214:BG217">
    <cfRule type="containsText" dxfId="526" priority="511" operator="containsText" text="T">
      <formula>NOT(ISERROR(SEARCH("T",BA214)))</formula>
    </cfRule>
  </conditionalFormatting>
  <conditionalFormatting sqref="BA22:BB27">
    <cfRule type="containsText" dxfId="525" priority="552" operator="containsText" text="T">
      <formula>NOT(ISERROR(SEARCH("T",BA22)))</formula>
    </cfRule>
  </conditionalFormatting>
  <conditionalFormatting sqref="BA83:BB85 BE83:BG85">
    <cfRule type="containsText" dxfId="524" priority="522" operator="containsText" text="17">
      <formula>NOT(ISERROR(SEARCH("17",BA83)))</formula>
    </cfRule>
  </conditionalFormatting>
  <conditionalFormatting sqref="BA214:BB217 BE214:BG217">
    <cfRule type="containsText" dxfId="523" priority="512" operator="containsText" text="17">
      <formula>NOT(ISERROR(SEARCH("17",BA214)))</formula>
    </cfRule>
  </conditionalFormatting>
  <conditionalFormatting sqref="BA76:BG78">
    <cfRule type="containsText" dxfId="522" priority="433" operator="containsText" text="T">
      <formula>NOT(ISERROR(SEARCH("T",BA76)))</formula>
    </cfRule>
    <cfRule type="containsText" dxfId="521" priority="432" operator="containsText" text="17">
      <formula>NOT(ISERROR(SEARCH("17",BA76)))</formula>
    </cfRule>
  </conditionalFormatting>
  <conditionalFormatting sqref="BA107:BG112">
    <cfRule type="containsText" dxfId="520" priority="443" operator="containsText" text="T">
      <formula>NOT(ISERROR(SEARCH("T",BA107)))</formula>
    </cfRule>
    <cfRule type="containsText" dxfId="519" priority="442" operator="containsText" text="17">
      <formula>NOT(ISERROR(SEARCH("17",BA107)))</formula>
    </cfRule>
  </conditionalFormatting>
  <conditionalFormatting sqref="BA192:BK199">
    <cfRule type="containsText" dxfId="518" priority="206" operator="containsText" text="17">
      <formula>NOT(ISERROR(SEARCH("17",BA192)))</formula>
    </cfRule>
  </conditionalFormatting>
  <conditionalFormatting sqref="BA192:BR199">
    <cfRule type="containsText" dxfId="517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16" priority="915" operator="containsText" text="17">
      <formula>NOT(ISERROR(SEARCH("17",AX192)))</formula>
    </cfRule>
  </conditionalFormatting>
  <conditionalFormatting sqref="BA192:BX199">
    <cfRule type="containsText" dxfId="515" priority="222" operator="containsText" text="T">
      <formula>NOT(ISERROR(SEARCH("T",BA192)))</formula>
    </cfRule>
  </conditionalFormatting>
  <conditionalFormatting sqref="BB22:BB27">
    <cfRule type="containsText" dxfId="514" priority="618" operator="containsText" text="T">
      <formula>NOT(ISERROR(SEARCH("T",BB22)))</formula>
    </cfRule>
  </conditionalFormatting>
  <conditionalFormatting sqref="BB76:BB78">
    <cfRule type="containsText" dxfId="513" priority="429" operator="containsText" text="17">
      <formula>NOT(ISERROR(SEARCH("17",BB76)))</formula>
    </cfRule>
    <cfRule type="containsText" dxfId="512" priority="430" operator="containsText" text="T">
      <formula>NOT(ISERROR(SEARCH("T",BB76)))</formula>
    </cfRule>
  </conditionalFormatting>
  <conditionalFormatting sqref="BB83:BB85">
    <cfRule type="containsText" dxfId="511" priority="523" operator="containsText" text="T">
      <formula>NOT(ISERROR(SEARCH("T",BB83)))</formula>
    </cfRule>
  </conditionalFormatting>
  <conditionalFormatting sqref="BB107:BB112">
    <cfRule type="containsText" dxfId="510" priority="440" operator="containsText" text="T">
      <formula>NOT(ISERROR(SEARCH("T",BB107)))</formula>
    </cfRule>
    <cfRule type="containsText" dxfId="509" priority="439" operator="containsText" text="17">
      <formula>NOT(ISERROR(SEARCH("17",BB107)))</formula>
    </cfRule>
  </conditionalFormatting>
  <conditionalFormatting sqref="BB199 BD199:BI199 BA206 BC206:BH206">
    <cfRule type="containsText" dxfId="508" priority="5071" operator="containsText" text="T">
      <formula>NOT(ISERROR(SEARCH("T",BA199)))</formula>
    </cfRule>
    <cfRule type="containsText" dxfId="507" priority="5070" operator="containsText" text="17">
      <formula>NOT(ISERROR(SEARCH("17",BA199)))</formula>
    </cfRule>
  </conditionalFormatting>
  <conditionalFormatting sqref="BB214:BB217">
    <cfRule type="containsText" dxfId="506" priority="513" operator="containsText" text="T">
      <formula>NOT(ISERROR(SEARCH("T",BB214)))</formula>
    </cfRule>
  </conditionalFormatting>
  <conditionalFormatting sqref="BB218:BB224 BF218:BH224">
    <cfRule type="containsText" dxfId="505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04" priority="8546" operator="containsText" text="T">
      <formula>NOT(ISERROR(SEARCH("T",AX35)))</formula>
    </cfRule>
  </conditionalFormatting>
  <conditionalFormatting sqref="BB218:BC224 BF218:BH224">
    <cfRule type="containsText" dxfId="503" priority="502" operator="containsText" text="17">
      <formula>NOT(ISERROR(SEARCH("17",BB218)))</formula>
    </cfRule>
  </conditionalFormatting>
  <conditionalFormatting sqref="BB72:BH75">
    <cfRule type="containsText" dxfId="502" priority="423" operator="containsText" text="T">
      <formula>NOT(ISERROR(SEARCH("T",BB72)))</formula>
    </cfRule>
    <cfRule type="containsText" dxfId="501" priority="422" operator="containsText" text="17">
      <formula>NOT(ISERROR(SEARCH("17",BB72)))</formula>
    </cfRule>
  </conditionalFormatting>
  <conditionalFormatting sqref="BB106:BH106">
    <cfRule type="containsText" dxfId="500" priority="412" operator="containsText" text="17">
      <formula>NOT(ISERROR(SEARCH("17",BB106)))</formula>
    </cfRule>
    <cfRule type="containsText" dxfId="499" priority="413" operator="containsText" text="T">
      <formula>NOT(ISERROR(SEARCH("T",BB106)))</formula>
    </cfRule>
  </conditionalFormatting>
  <conditionalFormatting sqref="BB120:BH120">
    <cfRule type="containsText" dxfId="498" priority="393" operator="containsText" text="T">
      <formula>NOT(ISERROR(SEARCH("T",BB120)))</formula>
    </cfRule>
    <cfRule type="containsText" dxfId="497" priority="392" operator="containsText" text="17">
      <formula>NOT(ISERROR(SEARCH("17",BB120)))</formula>
    </cfRule>
  </conditionalFormatting>
  <conditionalFormatting sqref="BB122:BH122">
    <cfRule type="containsText" dxfId="496" priority="383" operator="containsText" text="T">
      <formula>NOT(ISERROR(SEARCH("T",BB122)))</formula>
    </cfRule>
    <cfRule type="containsText" dxfId="495" priority="382" operator="containsText" text="17">
      <formula>NOT(ISERROR(SEARCH("17",BB122)))</formula>
    </cfRule>
  </conditionalFormatting>
  <conditionalFormatting sqref="BB124:BH126">
    <cfRule type="containsText" dxfId="494" priority="402" operator="containsText" text="17">
      <formula>NOT(ISERROR(SEARCH("17",BB124)))</formula>
    </cfRule>
    <cfRule type="containsText" dxfId="493" priority="403" operator="containsText" text="T">
      <formula>NOT(ISERROR(SEARCH("T",BB124)))</formula>
    </cfRule>
  </conditionalFormatting>
  <conditionalFormatting sqref="BB168:BL174">
    <cfRule type="containsText" dxfId="492" priority="182" operator="containsText" text="17">
      <formula>NOT(ISERROR(SEARCH("17",BB168)))</formula>
    </cfRule>
  </conditionalFormatting>
  <conditionalFormatting sqref="BB194:BN194 BB196:BN198">
    <cfRule type="containsText" dxfId="491" priority="916" operator="containsText" text="17">
      <formula>NOT(ISERROR(SEARCH("17",BB194)))</formula>
    </cfRule>
  </conditionalFormatting>
  <conditionalFormatting sqref="BB168:BY174">
    <cfRule type="containsText" dxfId="490" priority="194" operator="containsText" text="17">
      <formula>NOT(ISERROR(SEARCH("17",BB168)))</formula>
    </cfRule>
    <cfRule type="containsText" dxfId="489" priority="196" operator="containsText" text="T">
      <formula>NOT(ISERROR(SEARCH("T",BB168)))</formula>
    </cfRule>
    <cfRule type="containsText" dxfId="488" priority="191" operator="containsText" text="T">
      <formula>NOT(ISERROR(SEARCH("T",BB168)))</formula>
    </cfRule>
  </conditionalFormatting>
  <conditionalFormatting sqref="BC34">
    <cfRule type="containsText" dxfId="487" priority="8060" operator="containsText" text="17">
      <formula>NOT(ISERROR(SEARCH("17",BC34)))</formula>
    </cfRule>
    <cfRule type="containsText" dxfId="486" priority="8061" operator="containsText" text="T">
      <formula>NOT(ISERROR(SEARCH("T",BC34)))</formula>
    </cfRule>
    <cfRule type="containsText" dxfId="485" priority="8062" operator="containsText" text="17">
      <formula>NOT(ISERROR(SEARCH("17",BC34)))</formula>
    </cfRule>
    <cfRule type="containsText" dxfId="484" priority="8063" operator="containsText" text="T">
      <formula>NOT(ISERROR(SEARCH("T",BC34)))</formula>
    </cfRule>
  </conditionalFormatting>
  <conditionalFormatting sqref="BC42:BC47">
    <cfRule type="containsText" dxfId="483" priority="605" operator="containsText" text="T">
      <formula>NOT(ISERROR(SEARCH("T",BC42)))</formula>
    </cfRule>
  </conditionalFormatting>
  <conditionalFormatting sqref="BC72:BC75">
    <cfRule type="containsText" dxfId="482" priority="420" operator="containsText" text="T">
      <formula>NOT(ISERROR(SEARCH("T",BC72)))</formula>
    </cfRule>
    <cfRule type="containsText" dxfId="481" priority="419" operator="containsText" text="17">
      <formula>NOT(ISERROR(SEARCH("17",BC72)))</formula>
    </cfRule>
  </conditionalFormatting>
  <conditionalFormatting sqref="BC106">
    <cfRule type="containsText" dxfId="480" priority="410" operator="containsText" text="T">
      <formula>NOT(ISERROR(SEARCH("T",BC106)))</formula>
    </cfRule>
    <cfRule type="containsText" dxfId="479" priority="409" operator="containsText" text="17">
      <formula>NOT(ISERROR(SEARCH("17",BC106)))</formula>
    </cfRule>
  </conditionalFormatting>
  <conditionalFormatting sqref="BC120">
    <cfRule type="containsText" dxfId="478" priority="390" operator="containsText" text="T">
      <formula>NOT(ISERROR(SEARCH("T",BC120)))</formula>
    </cfRule>
    <cfRule type="containsText" dxfId="477" priority="389" operator="containsText" text="17">
      <formula>NOT(ISERROR(SEARCH("17",BC120)))</formula>
    </cfRule>
  </conditionalFormatting>
  <conditionalFormatting sqref="BC122">
    <cfRule type="containsText" dxfId="476" priority="380" operator="containsText" text="T">
      <formula>NOT(ISERROR(SEARCH("T",BC122)))</formula>
    </cfRule>
    <cfRule type="containsText" dxfId="475" priority="379" operator="containsText" text="17">
      <formula>NOT(ISERROR(SEARCH("17",BC122)))</formula>
    </cfRule>
  </conditionalFormatting>
  <conditionalFormatting sqref="BC124:BC126">
    <cfRule type="containsText" dxfId="474" priority="399" operator="containsText" text="17">
      <formula>NOT(ISERROR(SEARCH("17",BC124)))</formula>
    </cfRule>
    <cfRule type="containsText" dxfId="473" priority="400" operator="containsText" text="T">
      <formula>NOT(ISERROR(SEARCH("T",BC124)))</formula>
    </cfRule>
  </conditionalFormatting>
  <conditionalFormatting sqref="BC182:BC183">
    <cfRule type="containsText" dxfId="472" priority="928" operator="containsText" text="17">
      <formula>NOT(ISERROR(SEARCH("17",BC182)))</formula>
    </cfRule>
  </conditionalFormatting>
  <conditionalFormatting sqref="BC186:BC188 BC189:BV190">
    <cfRule type="containsText" dxfId="471" priority="922" operator="containsText" text="17">
      <formula>NOT(ISERROR(SEARCH("17",BC186)))</formula>
    </cfRule>
  </conditionalFormatting>
  <conditionalFormatting sqref="BC199 BB206 BS127">
    <cfRule type="containsText" dxfId="470" priority="2145" operator="containsText" text="17">
      <formula>NOT(ISERROR(SEARCH("17",BB127)))</formula>
    </cfRule>
  </conditionalFormatting>
  <conditionalFormatting sqref="BC218:BC224">
    <cfRule type="containsText" dxfId="469" priority="503" operator="containsText" text="T">
      <formula>NOT(ISERROR(SEARCH("T",BC218)))</formula>
    </cfRule>
  </conditionalFormatting>
  <conditionalFormatting sqref="BC225:BC231 BG225:BI231">
    <cfRule type="containsText" dxfId="468" priority="491" operator="containsText" text="T">
      <formula>NOT(ISERROR(SEARCH("T",BC225)))</formula>
    </cfRule>
  </conditionalFormatting>
  <conditionalFormatting sqref="BC16:BD20">
    <cfRule type="containsText" dxfId="467" priority="8379" operator="containsText" text="17">
      <formula>NOT(ISERROR(SEARCH("17",BC16)))</formula>
    </cfRule>
  </conditionalFormatting>
  <conditionalFormatting sqref="BC225:BD231 BG225:BI231">
    <cfRule type="containsText" dxfId="466" priority="492" operator="containsText" text="17">
      <formula>NOT(ISERROR(SEARCH("17",BC225)))</formula>
    </cfRule>
  </conditionalFormatting>
  <conditionalFormatting sqref="BC69:BI71">
    <cfRule type="containsText" dxfId="465" priority="343" operator="containsText" text="T">
      <formula>NOT(ISERROR(SEARCH("T",BC69)))</formula>
    </cfRule>
    <cfRule type="containsText" dxfId="464" priority="342" operator="containsText" text="17">
      <formula>NOT(ISERROR(SEARCH("17",BC69)))</formula>
    </cfRule>
  </conditionalFormatting>
  <conditionalFormatting sqref="BC103:BI104">
    <cfRule type="containsText" dxfId="463" priority="372" operator="containsText" text="17">
      <formula>NOT(ISERROR(SEARCH("17",BC103)))</formula>
    </cfRule>
    <cfRule type="containsText" dxfId="462" priority="373" operator="containsText" text="T">
      <formula>NOT(ISERROR(SEARCH("T",BC103)))</formula>
    </cfRule>
  </conditionalFormatting>
  <conditionalFormatting sqref="BC121:BI121">
    <cfRule type="containsText" dxfId="461" priority="362" operator="containsText" text="17">
      <formula>NOT(ISERROR(SEARCH("17",BC121)))</formula>
    </cfRule>
    <cfRule type="containsText" dxfId="460" priority="363" operator="containsText" text="T">
      <formula>NOT(ISERROR(SEARCH("T",BC121)))</formula>
    </cfRule>
  </conditionalFormatting>
  <conditionalFormatting sqref="BC123:BI123">
    <cfRule type="containsText" dxfId="459" priority="352" operator="containsText" text="17">
      <formula>NOT(ISERROR(SEARCH("17",BC123)))</formula>
    </cfRule>
    <cfRule type="containsText" dxfId="458" priority="353" operator="containsText" text="T">
      <formula>NOT(ISERROR(SEARCH("T",BC123)))</formula>
    </cfRule>
  </conditionalFormatting>
  <conditionalFormatting sqref="BC175:BM181">
    <cfRule type="containsText" dxfId="457" priority="158" operator="containsText" text="17">
      <formula>NOT(ISERROR(SEARCH("17",BC175)))</formula>
    </cfRule>
  </conditionalFormatting>
  <conditionalFormatting sqref="BC199:BR199 BB206:BQ206 BS127">
    <cfRule type="containsText" dxfId="456" priority="5050" operator="containsText" text="17">
      <formula>NOT(ISERROR(SEARCH("17",BB127)))</formula>
    </cfRule>
  </conditionalFormatting>
  <conditionalFormatting sqref="BC175:BZ181">
    <cfRule type="containsText" dxfId="455" priority="167" operator="containsText" text="T">
      <formula>NOT(ISERROR(SEARCH("T",BC175)))</formula>
    </cfRule>
    <cfRule type="containsText" dxfId="454" priority="170" operator="containsText" text="17">
      <formula>NOT(ISERROR(SEARCH("17",BC175)))</formula>
    </cfRule>
  </conditionalFormatting>
  <conditionalFormatting sqref="BC175:CP181">
    <cfRule type="containsText" dxfId="453" priority="181" operator="containsText" text="17">
      <formula>NOT(ISERROR(SEARCH("17",BC175)))</formula>
    </cfRule>
  </conditionalFormatting>
  <conditionalFormatting sqref="BD69:BD71">
    <cfRule type="containsText" dxfId="452" priority="339" operator="containsText" text="17">
      <formula>NOT(ISERROR(SEARCH("17",BD69)))</formula>
    </cfRule>
    <cfRule type="containsText" dxfId="451" priority="340" operator="containsText" text="T">
      <formula>NOT(ISERROR(SEARCH("T",BD69)))</formula>
    </cfRule>
  </conditionalFormatting>
  <conditionalFormatting sqref="BD103:BD104">
    <cfRule type="containsText" dxfId="450" priority="370" operator="containsText" text="T">
      <formula>NOT(ISERROR(SEARCH("T",BD103)))</formula>
    </cfRule>
    <cfRule type="containsText" dxfId="449" priority="369" operator="containsText" text="17">
      <formula>NOT(ISERROR(SEARCH("17",BD103)))</formula>
    </cfRule>
  </conditionalFormatting>
  <conditionalFormatting sqref="BD113:BD116 BH113:BJ116">
    <cfRule type="containsText" dxfId="448" priority="471" operator="containsText" text="T">
      <formula>NOT(ISERROR(SEARCH("T",BD113)))</formula>
    </cfRule>
  </conditionalFormatting>
  <conditionalFormatting sqref="BD121">
    <cfRule type="containsText" dxfId="447" priority="360" operator="containsText" text="T">
      <formula>NOT(ISERROR(SEARCH("T",BD121)))</formula>
    </cfRule>
    <cfRule type="containsText" dxfId="446" priority="359" operator="containsText" text="17">
      <formula>NOT(ISERROR(SEARCH("17",BD121)))</formula>
    </cfRule>
  </conditionalFormatting>
  <conditionalFormatting sqref="BD123">
    <cfRule type="containsText" dxfId="445" priority="349" operator="containsText" text="17">
      <formula>NOT(ISERROR(SEARCH("17",BD123)))</formula>
    </cfRule>
    <cfRule type="containsText" dxfId="444" priority="350" operator="containsText" text="T">
      <formula>NOT(ISERROR(SEARCH("T",BD123)))</formula>
    </cfRule>
  </conditionalFormatting>
  <conditionalFormatting sqref="BD225:BD231">
    <cfRule type="containsText" dxfId="443" priority="493" operator="containsText" text="T">
      <formula>NOT(ISERROR(SEARCH("T",BD225)))</formula>
    </cfRule>
  </conditionalFormatting>
  <conditionalFormatting sqref="BD232:BD234 BH232:BJ234">
    <cfRule type="containsText" dxfId="442" priority="481" operator="containsText" text="T">
      <formula>NOT(ISERROR(SEARCH("T",BD232)))</formula>
    </cfRule>
  </conditionalFormatting>
  <conditionalFormatting sqref="BD35:BE39">
    <cfRule type="containsText" dxfId="441" priority="1049" operator="containsText" text="T">
      <formula>NOT(ISERROR(SEARCH("T",BD35)))</formula>
    </cfRule>
  </conditionalFormatting>
  <conditionalFormatting sqref="BD113:BE116 BH113:BJ116">
    <cfRule type="containsText" dxfId="440" priority="472" operator="containsText" text="17">
      <formula>NOT(ISERROR(SEARCH("17",BD113)))</formula>
    </cfRule>
  </conditionalFormatting>
  <conditionalFormatting sqref="BD232:BE234 BH232:BN234">
    <cfRule type="containsText" dxfId="439" priority="482" operator="containsText" text="17">
      <formula>NOT(ISERROR(SEARCH("17",BD232)))</formula>
    </cfRule>
  </conditionalFormatting>
  <conditionalFormatting sqref="BD41:BG45">
    <cfRule type="containsText" dxfId="438" priority="1042" operator="containsText" text="T">
      <formula>NOT(ISERROR(SEARCH("T",BD41)))</formula>
    </cfRule>
  </conditionalFormatting>
  <conditionalFormatting sqref="BD47:BG47 BE48:BH48">
    <cfRule type="containsText" dxfId="437" priority="1037" operator="containsText" text="T">
      <formula>NOT(ISERROR(SEARCH("T",BD47)))</formula>
    </cfRule>
  </conditionalFormatting>
  <conditionalFormatting sqref="BD67:BJ68">
    <cfRule type="containsText" dxfId="436" priority="313" operator="containsText" text="T">
      <formula>NOT(ISERROR(SEARCH("T",BD67)))</formula>
    </cfRule>
    <cfRule type="containsText" dxfId="435" priority="312" operator="containsText" text="17">
      <formula>NOT(ISERROR(SEARCH("17",BD67)))</formula>
    </cfRule>
  </conditionalFormatting>
  <conditionalFormatting sqref="BD99:BJ102">
    <cfRule type="containsText" dxfId="434" priority="333" operator="containsText" text="T">
      <formula>NOT(ISERROR(SEARCH("T",BD99)))</formula>
    </cfRule>
    <cfRule type="containsText" dxfId="433" priority="332" operator="containsText" text="17">
      <formula>NOT(ISERROR(SEARCH("17",BD99)))</formula>
    </cfRule>
  </conditionalFormatting>
  <conditionalFormatting sqref="BD105:BJ105">
    <cfRule type="containsText" dxfId="432" priority="323" operator="containsText" text="T">
      <formula>NOT(ISERROR(SEARCH("T",BD105)))</formula>
    </cfRule>
    <cfRule type="containsText" dxfId="431" priority="322" operator="containsText" text="17">
      <formula>NOT(ISERROR(SEARCH("17",BD105)))</formula>
    </cfRule>
  </conditionalFormatting>
  <conditionalFormatting sqref="BD54:BN59 AZ59:AZ62 BD60:BI62">
    <cfRule type="containsText" dxfId="430" priority="541" operator="containsText" text="T">
      <formula>NOT(ISERROR(SEARCH("T",AZ54)))</formula>
    </cfRule>
  </conditionalFormatting>
  <conditionalFormatting sqref="BD182:BN188">
    <cfRule type="containsText" dxfId="429" priority="134" operator="containsText" text="17">
      <formula>NOT(ISERROR(SEARCH("17",BD182)))</formula>
    </cfRule>
  </conditionalFormatting>
  <conditionalFormatting sqref="BD182:CA188">
    <cfRule type="containsText" dxfId="428" priority="143" operator="containsText" text="T">
      <formula>NOT(ISERROR(SEARCH("T",BD182)))</formula>
    </cfRule>
    <cfRule type="containsText" dxfId="427" priority="146" operator="containsText" text="17">
      <formula>NOT(ISERROR(SEARCH("17",BD182)))</formula>
    </cfRule>
  </conditionalFormatting>
  <conditionalFormatting sqref="BD182:CP188">
    <cfRule type="containsText" dxfId="426" priority="148" operator="containsText" text="T">
      <formula>NOT(ISERROR(SEARCH("T",BD182)))</formula>
    </cfRule>
    <cfRule type="containsText" dxfId="425" priority="157" operator="containsText" text="17">
      <formula>NOT(ISERROR(SEARCH("17",BD182)))</formula>
    </cfRule>
  </conditionalFormatting>
  <conditionalFormatting sqref="BE15:BE20">
    <cfRule type="containsText" dxfId="424" priority="130" operator="containsText" text="T">
      <formula>NOT(ISERROR(SEARCH("T",BE15)))</formula>
    </cfRule>
  </conditionalFormatting>
  <conditionalFormatting sqref="BE67:BE68">
    <cfRule type="containsText" dxfId="423" priority="309" operator="containsText" text="17">
      <formula>NOT(ISERROR(SEARCH("17",BE67)))</formula>
    </cfRule>
    <cfRule type="containsText" dxfId="422" priority="310" operator="containsText" text="T">
      <formula>NOT(ISERROR(SEARCH("T",BE67)))</formula>
    </cfRule>
  </conditionalFormatting>
  <conditionalFormatting sqref="BE79:BE82 BI79:BK82">
    <cfRule type="containsText" dxfId="421" priority="451" operator="containsText" text="T">
      <formula>NOT(ISERROR(SEARCH("T",BE79)))</formula>
    </cfRule>
  </conditionalFormatting>
  <conditionalFormatting sqref="BE99:BE102">
    <cfRule type="containsText" dxfId="420" priority="330" operator="containsText" text="T">
      <formula>NOT(ISERROR(SEARCH("T",BE99)))</formula>
    </cfRule>
    <cfRule type="containsText" dxfId="419" priority="329" operator="containsText" text="17">
      <formula>NOT(ISERROR(SEARCH("17",BE99)))</formula>
    </cfRule>
  </conditionalFormatting>
  <conditionalFormatting sqref="BE105">
    <cfRule type="containsText" dxfId="418" priority="320" operator="containsText" text="T">
      <formula>NOT(ISERROR(SEARCH("T",BE105)))</formula>
    </cfRule>
    <cfRule type="containsText" dxfId="417" priority="319" operator="containsText" text="17">
      <formula>NOT(ISERROR(SEARCH("17",BE105)))</formula>
    </cfRule>
  </conditionalFormatting>
  <conditionalFormatting sqref="BE113:BE116">
    <cfRule type="containsText" dxfId="416" priority="473" operator="containsText" text="T">
      <formula>NOT(ISERROR(SEARCH("T",BE113)))</formula>
    </cfRule>
  </conditionalFormatting>
  <conditionalFormatting sqref="BE117:BE119 BI117:BK119">
    <cfRule type="containsText" dxfId="415" priority="461" operator="containsText" text="T">
      <formula>NOT(ISERROR(SEARCH("T",BE117)))</formula>
    </cfRule>
  </conditionalFormatting>
  <conditionalFormatting sqref="BE232:BE234">
    <cfRule type="containsText" dxfId="414" priority="483" operator="containsText" text="T">
      <formula>NOT(ISERROR(SEARCH("T",BE232)))</formula>
    </cfRule>
  </conditionalFormatting>
  <conditionalFormatting sqref="BE23:BF27">
    <cfRule type="containsText" dxfId="413" priority="1062" operator="containsText" text="17">
      <formula>NOT(ISERROR(SEARCH("17",BE23)))</formula>
    </cfRule>
  </conditionalFormatting>
  <conditionalFormatting sqref="BE79:BF82 BI79:BK82">
    <cfRule type="containsText" dxfId="412" priority="452" operator="containsText" text="17">
      <formula>NOT(ISERROR(SEARCH("17",BE79)))</formula>
    </cfRule>
  </conditionalFormatting>
  <conditionalFormatting sqref="BE117:BF119 BI117:BP119">
    <cfRule type="containsText" dxfId="411" priority="462" operator="containsText" text="17">
      <formula>NOT(ISERROR(SEARCH("17",BE117)))</formula>
    </cfRule>
  </conditionalFormatting>
  <conditionalFormatting sqref="BE199:BF199 BD206:BE206">
    <cfRule type="containsText" dxfId="410" priority="2142" operator="containsText" text="T">
      <formula>NOT(ISERROR(SEARCH("T",BD199)))</formula>
    </cfRule>
    <cfRule type="containsText" dxfId="409" priority="2141" operator="containsText" text="17">
      <formula>NOT(ISERROR(SEARCH("17",BD199)))</formula>
    </cfRule>
  </conditionalFormatting>
  <conditionalFormatting sqref="BE97:BK98">
    <cfRule type="containsText" dxfId="408" priority="302" operator="containsText" text="17">
      <formula>NOT(ISERROR(SEARCH("17",BE97)))</formula>
    </cfRule>
    <cfRule type="containsText" dxfId="407" priority="303" operator="containsText" text="T">
      <formula>NOT(ISERROR(SEARCH("T",BE97)))</formula>
    </cfRule>
  </conditionalFormatting>
  <conditionalFormatting sqref="BE131:BK137">
    <cfRule type="containsText" dxfId="406" priority="293" operator="containsText" text="T">
      <formula>NOT(ISERROR(SEARCH("T",BE131)))</formula>
    </cfRule>
    <cfRule type="containsText" dxfId="405" priority="292" operator="containsText" text="17">
      <formula>NOT(ISERROR(SEARCH("17",BE131)))</formula>
    </cfRule>
  </conditionalFormatting>
  <conditionalFormatting sqref="BE14:BO14">
    <cfRule type="containsText" dxfId="404" priority="122" operator="containsText" text="17">
      <formula>NOT(ISERROR(SEARCH("17",BE14)))</formula>
    </cfRule>
    <cfRule type="containsText" dxfId="403" priority="123" operator="containsText" text="T">
      <formula>NOT(ISERROR(SEARCH("T",BE14)))</formula>
    </cfRule>
  </conditionalFormatting>
  <conditionalFormatting sqref="BE15:BY20 BE14:BM14">
    <cfRule type="containsText" dxfId="402" priority="129" operator="containsText" text="17">
      <formula>NOT(ISERROR(SEARCH("17",BE14)))</formula>
    </cfRule>
  </conditionalFormatting>
  <conditionalFormatting sqref="BF35:BF40">
    <cfRule type="containsText" dxfId="401" priority="118" operator="containsText" text="T">
      <formula>NOT(ISERROR(SEARCH("T",BF35)))</formula>
    </cfRule>
  </conditionalFormatting>
  <conditionalFormatting sqref="BF79:BF82">
    <cfRule type="containsText" dxfId="400" priority="453" operator="containsText" text="T">
      <formula>NOT(ISERROR(SEARCH("T",BF79)))</formula>
    </cfRule>
  </conditionalFormatting>
  <conditionalFormatting sqref="BF93:BF96 AZ94:BB96 BG94:BI96 BS97 BM231:BN234">
    <cfRule type="containsText" dxfId="399" priority="8576" operator="containsText" text="T">
      <formula>NOT(ISERROR(SEARCH("T",AZ93)))</formula>
    </cfRule>
  </conditionalFormatting>
  <conditionalFormatting sqref="BF93:BF96 AZ94:BB96 BS97 BG94:BI96 BM231:BN234">
    <cfRule type="containsText" dxfId="398" priority="8575" operator="containsText" text="17">
      <formula>NOT(ISERROR(SEARCH("17",AZ93)))</formula>
    </cfRule>
  </conditionalFormatting>
  <conditionalFormatting sqref="BF97:BF98">
    <cfRule type="containsText" dxfId="397" priority="300" operator="containsText" text="T">
      <formula>NOT(ISERROR(SEARCH("T",BF97)))</formula>
    </cfRule>
    <cfRule type="containsText" dxfId="396" priority="299" operator="containsText" text="17">
      <formula>NOT(ISERROR(SEARCH("17",BF97)))</formula>
    </cfRule>
  </conditionalFormatting>
  <conditionalFormatting sqref="BF117:BF119">
    <cfRule type="containsText" dxfId="395" priority="463" operator="containsText" text="T">
      <formula>NOT(ISERROR(SEARCH("T",BF117)))</formula>
    </cfRule>
  </conditionalFormatting>
  <conditionalFormatting sqref="BF131:BF137">
    <cfRule type="containsText" dxfId="394" priority="289" operator="containsText" text="17">
      <formula>NOT(ISERROR(SEARCH("17",BF131)))</formula>
    </cfRule>
    <cfRule type="containsText" dxfId="393" priority="290" operator="containsText" text="T">
      <formula>NOT(ISERROR(SEARCH("T",BF131)))</formula>
    </cfRule>
  </conditionalFormatting>
  <conditionalFormatting sqref="BF138:BL144">
    <cfRule type="containsText" dxfId="392" priority="283" operator="containsText" text="T">
      <formula>NOT(ISERROR(SEARCH("T",BF138)))</formula>
    </cfRule>
    <cfRule type="containsText" dxfId="391" priority="282" operator="containsText" text="17">
      <formula>NOT(ISERROR(SEARCH("17",BF138)))</formula>
    </cfRule>
  </conditionalFormatting>
  <conditionalFormatting sqref="BF34:BP34">
    <cfRule type="containsText" dxfId="390" priority="110" operator="containsText" text="17">
      <formula>NOT(ISERROR(SEARCH("17",BF34)))</formula>
    </cfRule>
    <cfRule type="containsText" dxfId="389" priority="111" operator="containsText" text="T">
      <formula>NOT(ISERROR(SEARCH("T",BF34)))</formula>
    </cfRule>
  </conditionalFormatting>
  <conditionalFormatting sqref="BF35:BZ40 BF34:BN34">
    <cfRule type="containsText" dxfId="388" priority="117" operator="containsText" text="17">
      <formula>NOT(ISERROR(SEARCH("17",BF34)))</formula>
    </cfRule>
  </conditionalFormatting>
  <conditionalFormatting sqref="BF50:CA52 BF53:BN53">
    <cfRule type="containsText" dxfId="387" priority="1032" operator="containsText" text="T">
      <formula>NOT(ISERROR(SEARCH("T",BF50)))</formula>
    </cfRule>
  </conditionalFormatting>
  <conditionalFormatting sqref="BG22:BG27">
    <cfRule type="containsText" dxfId="386" priority="106" operator="containsText" text="T">
      <formula>NOT(ISERROR(SEARCH("T",BG22)))</formula>
    </cfRule>
  </conditionalFormatting>
  <conditionalFormatting sqref="BG41:BG45">
    <cfRule type="containsText" dxfId="385" priority="1043" operator="containsText" text="17">
      <formula>NOT(ISERROR(SEARCH("17",BG41)))</formula>
    </cfRule>
  </conditionalFormatting>
  <conditionalFormatting sqref="BG47">
    <cfRule type="containsText" dxfId="384" priority="1041" operator="containsText" text="17">
      <formula>NOT(ISERROR(SEARCH("17",BG47)))</formula>
    </cfRule>
  </conditionalFormatting>
  <conditionalFormatting sqref="BG76:BG78 BK76:BM78">
    <cfRule type="containsText" dxfId="383" priority="426" operator="containsText" text="T">
      <formula>NOT(ISERROR(SEARCH("T",BG76)))</formula>
    </cfRule>
  </conditionalFormatting>
  <conditionalFormatting sqref="BG86 BG93:BI93">
    <cfRule type="containsText" dxfId="382" priority="4101" operator="containsText" text="T">
      <formula>NOT(ISERROR(SEARCH("T",BG86)))</formula>
    </cfRule>
    <cfRule type="containsText" dxfId="381" priority="4100" operator="containsText" text="17">
      <formula>NOT(ISERROR(SEARCH("17",BG86)))</formula>
    </cfRule>
  </conditionalFormatting>
  <conditionalFormatting sqref="BG107:BG112 BK107:BM112">
    <cfRule type="containsText" dxfId="380" priority="436" operator="containsText" text="T">
      <formula>NOT(ISERROR(SEARCH("T",BG107)))</formula>
    </cfRule>
  </conditionalFormatting>
  <conditionalFormatting sqref="BG138:BG144">
    <cfRule type="containsText" dxfId="379" priority="279" operator="containsText" text="17">
      <formula>NOT(ISERROR(SEARCH("17",BG138)))</formula>
    </cfRule>
    <cfRule type="containsText" dxfId="378" priority="280" operator="containsText" text="T">
      <formula>NOT(ISERROR(SEARCH("T",BG138)))</formula>
    </cfRule>
  </conditionalFormatting>
  <conditionalFormatting sqref="BG30:BH32 BG33:BZ33">
    <cfRule type="containsText" dxfId="377" priority="1056" operator="containsText" text="17">
      <formula>NOT(ISERROR(SEARCH("17",BG30)))</formula>
    </cfRule>
  </conditionalFormatting>
  <conditionalFormatting sqref="BG48:BH48">
    <cfRule type="containsText" dxfId="376" priority="1038" operator="containsText" text="17">
      <formula>NOT(ISERROR(SEARCH("17",BG48)))</formula>
    </cfRule>
  </conditionalFormatting>
  <conditionalFormatting sqref="BG76:BH78 BK76:BM78">
    <cfRule type="containsText" dxfId="375" priority="427" operator="containsText" text="17">
      <formula>NOT(ISERROR(SEARCH("17",BG76)))</formula>
    </cfRule>
  </conditionalFormatting>
  <conditionalFormatting sqref="BG107:BH112 BK107:BM112">
    <cfRule type="containsText" dxfId="374" priority="437" operator="containsText" text="17">
      <formula>NOT(ISERROR(SEARCH("17",BG107)))</formula>
    </cfRule>
  </conditionalFormatting>
  <conditionalFormatting sqref="BG145:BM151">
    <cfRule type="containsText" dxfId="373" priority="272" operator="containsText" text="17">
      <formula>NOT(ISERROR(SEARCH("17",BG145)))</formula>
    </cfRule>
    <cfRule type="containsText" dxfId="372" priority="273" operator="containsText" text="T">
      <formula>NOT(ISERROR(SEARCH("T",BG145)))</formula>
    </cfRule>
  </conditionalFormatting>
  <conditionalFormatting sqref="BG21:BQ21">
    <cfRule type="containsText" dxfId="371" priority="98" operator="containsText" text="17">
      <formula>NOT(ISERROR(SEARCH("17",BG21)))</formula>
    </cfRule>
    <cfRule type="containsText" dxfId="370" priority="99" operator="containsText" text="T">
      <formula>NOT(ISERROR(SEARCH("T",BG21)))</formula>
    </cfRule>
  </conditionalFormatting>
  <conditionalFormatting sqref="BG50:BQ52">
    <cfRule type="containsText" dxfId="369" priority="1036" operator="containsText" text="17">
      <formula>NOT(ISERROR(SEARCH("17",BG50)))</formula>
    </cfRule>
  </conditionalFormatting>
  <conditionalFormatting sqref="BG51:BS52 BG53:BN59 BG60:BI66">
    <cfRule type="containsText" dxfId="368" priority="1033" operator="containsText" text="17">
      <formula>NOT(ISERROR(SEARCH("17",BG51)))</formula>
    </cfRule>
  </conditionalFormatting>
  <conditionalFormatting sqref="BG22:CA27 BG21:BO21">
    <cfRule type="containsText" dxfId="367" priority="105" operator="containsText" text="17">
      <formula>NOT(ISERROR(SEARCH("17",BG21)))</formula>
    </cfRule>
  </conditionalFormatting>
  <conditionalFormatting sqref="BH42:BH47">
    <cfRule type="containsText" dxfId="366" priority="94" operator="containsText" text="T">
      <formula>NOT(ISERROR(SEARCH("T",BH42)))</formula>
    </cfRule>
  </conditionalFormatting>
  <conditionalFormatting sqref="BH72:BH75 BL72:BN75">
    <cfRule type="containsText" dxfId="365" priority="416" operator="containsText" text="T">
      <formula>NOT(ISERROR(SEARCH("T",BH72)))</formula>
    </cfRule>
  </conditionalFormatting>
  <conditionalFormatting sqref="BH76:BH78">
    <cfRule type="containsText" dxfId="364" priority="428" operator="containsText" text="T">
      <formula>NOT(ISERROR(SEARCH("T",BH76)))</formula>
    </cfRule>
  </conditionalFormatting>
  <conditionalFormatting sqref="BH106 BL106:BN106">
    <cfRule type="containsText" dxfId="363" priority="406" operator="containsText" text="T">
      <formula>NOT(ISERROR(SEARCH("T",BH106)))</formula>
    </cfRule>
  </conditionalFormatting>
  <conditionalFormatting sqref="BH107:BH112">
    <cfRule type="containsText" dxfId="362" priority="438" operator="containsText" text="T">
      <formula>NOT(ISERROR(SEARCH("T",BH107)))</formula>
    </cfRule>
  </conditionalFormatting>
  <conditionalFormatting sqref="BH120 BL120:BN120">
    <cfRule type="containsText" dxfId="361" priority="386" operator="containsText" text="T">
      <formula>NOT(ISERROR(SEARCH("T",BH120)))</formula>
    </cfRule>
  </conditionalFormatting>
  <conditionalFormatting sqref="BH122 BL122:BO122">
    <cfRule type="containsText" dxfId="360" priority="376" operator="containsText" text="T">
      <formula>NOT(ISERROR(SEARCH("T",BH122)))</formula>
    </cfRule>
  </conditionalFormatting>
  <conditionalFormatting sqref="BH124:BH126 BL124:BN126">
    <cfRule type="containsText" dxfId="359" priority="396" operator="containsText" text="T">
      <formula>NOT(ISERROR(SEARCH("T",BH124)))</formula>
    </cfRule>
  </conditionalFormatting>
  <conditionalFormatting sqref="BH145:BH151">
    <cfRule type="containsText" dxfId="358" priority="269" operator="containsText" text="17">
      <formula>NOT(ISERROR(SEARCH("17",BH145)))</formula>
    </cfRule>
    <cfRule type="containsText" dxfId="357" priority="270" operator="containsText" text="T">
      <formula>NOT(ISERROR(SEARCH("T",BH145)))</formula>
    </cfRule>
  </conditionalFormatting>
  <conditionalFormatting sqref="BH72:BI75 BL72:BN75">
    <cfRule type="containsText" dxfId="356" priority="417" operator="containsText" text="17">
      <formula>NOT(ISERROR(SEARCH("17",BH72)))</formula>
    </cfRule>
  </conditionalFormatting>
  <conditionalFormatting sqref="BH106:BI106 BL106:CJ106">
    <cfRule type="containsText" dxfId="355" priority="407" operator="containsText" text="17">
      <formula>NOT(ISERROR(SEARCH("17",BH106)))</formula>
    </cfRule>
  </conditionalFormatting>
  <conditionalFormatting sqref="BH120:BI120 BL120:BO120">
    <cfRule type="containsText" dxfId="354" priority="387" operator="containsText" text="17">
      <formula>NOT(ISERROR(SEARCH("17",BH120)))</formula>
    </cfRule>
  </conditionalFormatting>
  <conditionalFormatting sqref="BH122:BI122 BL122:BO122">
    <cfRule type="containsText" dxfId="353" priority="377" operator="containsText" text="17">
      <formula>NOT(ISERROR(SEARCH("17",BH122)))</formula>
    </cfRule>
  </conditionalFormatting>
  <conditionalFormatting sqref="BH124:BI126 BL124:BO126">
    <cfRule type="containsText" dxfId="352" priority="397" operator="containsText" text="17">
      <formula>NOT(ISERROR(SEARCH("17",BH124)))</formula>
    </cfRule>
  </conditionalFormatting>
  <conditionalFormatting sqref="BH214:BI216">
    <cfRule type="containsText" dxfId="351" priority="5856" operator="containsText" text="17">
      <formula>NOT(ISERROR(SEARCH("17",BH214)))</formula>
    </cfRule>
    <cfRule type="containsText" dxfId="350" priority="5857" operator="containsText" text="T">
      <formula>NOT(ISERROR(SEARCH("T",BH214)))</formula>
    </cfRule>
  </conditionalFormatting>
  <conditionalFormatting sqref="BH84:BK89">
    <cfRule type="containsText" dxfId="349" priority="1009" operator="containsText" text="17">
      <formula>NOT(ISERROR(SEARCH("17",BH84)))</formula>
    </cfRule>
  </conditionalFormatting>
  <conditionalFormatting sqref="BH152:BN158">
    <cfRule type="containsText" dxfId="348" priority="262" operator="containsText" text="17">
      <formula>NOT(ISERROR(SEARCH("17",BH152)))</formula>
    </cfRule>
    <cfRule type="containsText" dxfId="347" priority="263" operator="containsText" text="T">
      <formula>NOT(ISERROR(SEARCH("T",BH152)))</formula>
    </cfRule>
  </conditionalFormatting>
  <conditionalFormatting sqref="BH41:BR41">
    <cfRule type="containsText" dxfId="346" priority="87" operator="containsText" text="T">
      <formula>NOT(ISERROR(SEARCH("T",BH41)))</formula>
    </cfRule>
    <cfRule type="containsText" dxfId="345" priority="86" operator="containsText" text="17">
      <formula>NOT(ISERROR(SEARCH("17",BH41)))</formula>
    </cfRule>
  </conditionalFormatting>
  <conditionalFormatting sqref="BH42:CB47 BH41:BP41">
    <cfRule type="containsText" dxfId="344" priority="93" operator="containsText" text="17">
      <formula>NOT(ISERROR(SEARCH("17",BH41)))</formula>
    </cfRule>
  </conditionalFormatting>
  <conditionalFormatting sqref="BI28:BI32">
    <cfRule type="containsText" dxfId="343" priority="79" operator="containsText" text="T">
      <formula>NOT(ISERROR(SEARCH("T",BI28)))</formula>
    </cfRule>
  </conditionalFormatting>
  <conditionalFormatting sqref="BI48:BI49">
    <cfRule type="containsText" dxfId="342" priority="74" operator="containsText" text="T">
      <formula>NOT(ISERROR(SEARCH("T",BI48)))</formula>
    </cfRule>
  </conditionalFormatting>
  <conditionalFormatting sqref="BI69:BI71 BM69:BO71">
    <cfRule type="containsText" dxfId="341" priority="336" operator="containsText" text="T">
      <formula>NOT(ISERROR(SEARCH("T",BI69)))</formula>
    </cfRule>
  </conditionalFormatting>
  <conditionalFormatting sqref="BI72:BI75">
    <cfRule type="containsText" dxfId="340" priority="418" operator="containsText" text="T">
      <formula>NOT(ISERROR(SEARCH("T",BI72)))</formula>
    </cfRule>
  </conditionalFormatting>
  <conditionalFormatting sqref="BI103:BI104 BM103:BO104">
    <cfRule type="containsText" dxfId="339" priority="366" operator="containsText" text="T">
      <formula>NOT(ISERROR(SEARCH("T",BI103)))</formula>
    </cfRule>
  </conditionalFormatting>
  <conditionalFormatting sqref="BI106">
    <cfRule type="containsText" dxfId="338" priority="408" operator="containsText" text="T">
      <formula>NOT(ISERROR(SEARCH("T",BI106)))</formula>
    </cfRule>
  </conditionalFormatting>
  <conditionalFormatting sqref="BI120">
    <cfRule type="containsText" dxfId="337" priority="388" operator="containsText" text="T">
      <formula>NOT(ISERROR(SEARCH("T",BI120)))</formula>
    </cfRule>
  </conditionalFormatting>
  <conditionalFormatting sqref="BI121 BM121:BO121">
    <cfRule type="containsText" dxfId="336" priority="356" operator="containsText" text="T">
      <formula>NOT(ISERROR(SEARCH("T",BI121)))</formula>
    </cfRule>
  </conditionalFormatting>
  <conditionalFormatting sqref="BI122">
    <cfRule type="containsText" dxfId="335" priority="378" operator="containsText" text="T">
      <formula>NOT(ISERROR(SEARCH("T",BI122)))</formula>
    </cfRule>
  </conditionalFormatting>
  <conditionalFormatting sqref="BI123 BM123:BO123">
    <cfRule type="containsText" dxfId="334" priority="346" operator="containsText" text="T">
      <formula>NOT(ISERROR(SEARCH("T",BI123)))</formula>
    </cfRule>
  </conditionalFormatting>
  <conditionalFormatting sqref="BI124:BI126">
    <cfRule type="containsText" dxfId="333" priority="398" operator="containsText" text="T">
      <formula>NOT(ISERROR(SEARCH("T",BI124)))</formula>
    </cfRule>
  </conditionalFormatting>
  <conditionalFormatting sqref="BI152:BI158">
    <cfRule type="containsText" dxfId="332" priority="259" operator="containsText" text="17">
      <formula>NOT(ISERROR(SEARCH("17",BI152)))</formula>
    </cfRule>
    <cfRule type="containsText" dxfId="331" priority="260" operator="containsText" text="T">
      <formula>NOT(ISERROR(SEARCH("T",BI152)))</formula>
    </cfRule>
  </conditionalFormatting>
  <conditionalFormatting sqref="BI69:BJ71 BM69:BO71">
    <cfRule type="containsText" dxfId="330" priority="337" operator="containsText" text="17">
      <formula>NOT(ISERROR(SEARCH("17",BI69)))</formula>
    </cfRule>
  </conditionalFormatting>
  <conditionalFormatting sqref="BI103:BJ104 BM103:BO104">
    <cfRule type="containsText" dxfId="329" priority="367" operator="containsText" text="17">
      <formula>NOT(ISERROR(SEARCH("17",BI103)))</formula>
    </cfRule>
  </conditionalFormatting>
  <conditionalFormatting sqref="BI121:BJ121 BM121:BO121">
    <cfRule type="containsText" dxfId="328" priority="357" operator="containsText" text="17">
      <formula>NOT(ISERROR(SEARCH("17",BI121)))</formula>
    </cfRule>
  </conditionalFormatting>
  <conditionalFormatting sqref="BI123:BJ123 BM123:BO123">
    <cfRule type="containsText" dxfId="327" priority="347" operator="containsText" text="17">
      <formula>NOT(ISERROR(SEARCH("17",BI123)))</formula>
    </cfRule>
  </conditionalFormatting>
  <conditionalFormatting sqref="BI214:BJ216">
    <cfRule type="containsText" dxfId="326" priority="5863" operator="containsText" text="T">
      <formula>NOT(ISERROR(SEARCH("T",BI214)))</formula>
    </cfRule>
    <cfRule type="containsText" dxfId="325" priority="5862" operator="containsText" text="17">
      <formula>NOT(ISERROR(SEARCH("17",BI214)))</formula>
    </cfRule>
  </conditionalFormatting>
  <conditionalFormatting sqref="BI218:BL220 BL221:BM223 BM224:BM227 BM228:BN230">
    <cfRule type="containsText" dxfId="324" priority="5627" operator="containsText" text="T">
      <formula>NOT(ISERROR(SEARCH("T",BI218)))</formula>
    </cfRule>
  </conditionalFormatting>
  <conditionalFormatting sqref="BI159:BO165">
    <cfRule type="containsText" dxfId="323" priority="253" operator="containsText" text="T">
      <formula>NOT(ISERROR(SEARCH("T",BI159)))</formula>
    </cfRule>
    <cfRule type="containsText" dxfId="322" priority="252" operator="containsText" text="17">
      <formula>NOT(ISERROR(SEARCH("17",BI159)))</formula>
    </cfRule>
  </conditionalFormatting>
  <conditionalFormatting sqref="BI28:CC32 CF28:CF32">
    <cfRule type="containsText" dxfId="321" priority="76" operator="containsText" text="T">
      <formula>NOT(ISERROR(SEARCH("T",BI28)))</formula>
    </cfRule>
  </conditionalFormatting>
  <conditionalFormatting sqref="BI28:CC32">
    <cfRule type="containsText" dxfId="320" priority="78" operator="containsText" text="17">
      <formula>NOT(ISERROR(SEARCH("17",BI28)))</formula>
    </cfRule>
  </conditionalFormatting>
  <conditionalFormatting sqref="BI48:CC49 CF48:CF49">
    <cfRule type="containsText" dxfId="319" priority="71" operator="containsText" text="T">
      <formula>NOT(ISERROR(SEARCH("T",BI48)))</formula>
    </cfRule>
  </conditionalFormatting>
  <conditionalFormatting sqref="BI48:CC49">
    <cfRule type="containsText" dxfId="318" priority="73" operator="containsText" text="17">
      <formula>NOT(ISERROR(SEARCH("17",BI48)))</formula>
    </cfRule>
  </conditionalFormatting>
  <conditionalFormatting sqref="BJ60:BJ68">
    <cfRule type="containsText" dxfId="317" priority="69" operator="containsText" text="T">
      <formula>NOT(ISERROR(SEARCH("T",BJ60)))</formula>
    </cfRule>
  </conditionalFormatting>
  <conditionalFormatting sqref="BJ69:BJ71">
    <cfRule type="containsText" dxfId="316" priority="338" operator="containsText" text="T">
      <formula>NOT(ISERROR(SEARCH("T",BJ69)))</formula>
    </cfRule>
  </conditionalFormatting>
  <conditionalFormatting sqref="BJ99:BJ102 BN99:BP102">
    <cfRule type="containsText" dxfId="315" priority="326" operator="containsText" text="T">
      <formula>NOT(ISERROR(SEARCH("T",BJ99)))</formula>
    </cfRule>
  </conditionalFormatting>
  <conditionalFormatting sqref="BJ103:BJ104">
    <cfRule type="containsText" dxfId="314" priority="368" operator="containsText" text="T">
      <formula>NOT(ISERROR(SEARCH("T",BJ103)))</formula>
    </cfRule>
  </conditionalFormatting>
  <conditionalFormatting sqref="BJ105 BN105:BP105">
    <cfRule type="containsText" dxfId="313" priority="316" operator="containsText" text="T">
      <formula>NOT(ISERROR(SEARCH("T",BJ105)))</formula>
    </cfRule>
  </conditionalFormatting>
  <conditionalFormatting sqref="BJ121">
    <cfRule type="containsText" dxfId="312" priority="358" operator="containsText" text="T">
      <formula>NOT(ISERROR(SEARCH("T",BJ121)))</formula>
    </cfRule>
  </conditionalFormatting>
  <conditionalFormatting sqref="BJ123">
    <cfRule type="containsText" dxfId="311" priority="348" operator="containsText" text="T">
      <formula>NOT(ISERROR(SEARCH("T",BJ123)))</formula>
    </cfRule>
  </conditionalFormatting>
  <conditionalFormatting sqref="BJ159:BJ165">
    <cfRule type="containsText" dxfId="310" priority="249" operator="containsText" text="17">
      <formula>NOT(ISERROR(SEARCH("17",BJ159)))</formula>
    </cfRule>
    <cfRule type="containsText" dxfId="309" priority="250" operator="containsText" text="T">
      <formula>NOT(ISERROR(SEARCH("T",BJ159)))</formula>
    </cfRule>
  </conditionalFormatting>
  <conditionalFormatting sqref="BJ199 BI206">
    <cfRule type="containsText" dxfId="308" priority="5048" operator="containsText" text="17">
      <formula>NOT(ISERROR(SEARCH("17",BI199)))</formula>
    </cfRule>
    <cfRule type="containsText" dxfId="307" priority="5049" operator="containsText" text="T">
      <formula>NOT(ISERROR(SEARCH("T",BI199)))</formula>
    </cfRule>
  </conditionalFormatting>
  <conditionalFormatting sqref="BJ99:BK102 BN99:BP102">
    <cfRule type="containsText" dxfId="306" priority="327" operator="containsText" text="17">
      <formula>NOT(ISERROR(SEARCH("17",BJ99)))</formula>
    </cfRule>
  </conditionalFormatting>
  <conditionalFormatting sqref="BJ105:BK105 BN105:CJ105">
    <cfRule type="containsText" dxfId="305" priority="317" operator="containsText" text="17">
      <formula>NOT(ISERROR(SEARCH("17",BJ105)))</formula>
    </cfRule>
  </conditionalFormatting>
  <conditionalFormatting sqref="BJ228:BN231 BK232:BN234">
    <cfRule type="containsText" dxfId="304" priority="5687" operator="containsText" text="T">
      <formula>NOT(ISERROR(SEARCH("T",BJ228)))</formula>
    </cfRule>
    <cfRule type="containsText" dxfId="303" priority="5690" operator="containsText" text="17">
      <formula>NOT(ISERROR(SEARCH("17",BJ228)))</formula>
    </cfRule>
    <cfRule type="containsText" dxfId="302" priority="5691" operator="containsText" text="T">
      <formula>NOT(ISERROR(SEARCH("T",BJ228)))</formula>
    </cfRule>
  </conditionalFormatting>
  <conditionalFormatting sqref="BJ228:BN231">
    <cfRule type="containsText" dxfId="301" priority="5686" operator="containsText" text="17">
      <formula>NOT(ISERROR(SEARCH("17",BJ228)))</formula>
    </cfRule>
  </conditionalFormatting>
  <conditionalFormatting sqref="BJ207:BP213">
    <cfRule type="containsText" dxfId="300" priority="242" operator="containsText" text="17">
      <formula>NOT(ISERROR(SEARCH("17",BJ207)))</formula>
    </cfRule>
  </conditionalFormatting>
  <conditionalFormatting sqref="BJ60:CD66 CG60:CG66">
    <cfRule type="containsText" dxfId="299" priority="66" operator="containsText" text="T">
      <formula>NOT(ISERROR(SEARCH("T",BJ60)))</formula>
    </cfRule>
  </conditionalFormatting>
  <conditionalFormatting sqref="BJ60:CD66">
    <cfRule type="containsText" dxfId="298" priority="68" operator="containsText" text="17">
      <formula>NOT(ISERROR(SEARCH("17",BJ60)))</formula>
    </cfRule>
  </conditionalFormatting>
  <conditionalFormatting sqref="BK67:BK68">
    <cfRule type="containsText" dxfId="297" priority="308" operator="containsText" text="T">
      <formula>NOT(ISERROR(SEARCH("T",BK67)))</formula>
    </cfRule>
  </conditionalFormatting>
  <conditionalFormatting sqref="BK85:BK89">
    <cfRule type="containsText" dxfId="296" priority="1010" operator="containsText" text="17">
      <formula>NOT(ISERROR(SEARCH("17",BK85)))</formula>
    </cfRule>
  </conditionalFormatting>
  <conditionalFormatting sqref="BK90:BK98">
    <cfRule type="containsText" dxfId="295" priority="64" operator="containsText" text="T">
      <formula>NOT(ISERROR(SEARCH("T",BK90)))</formula>
    </cfRule>
  </conditionalFormatting>
  <conditionalFormatting sqref="BK99:BK102">
    <cfRule type="containsText" dxfId="294" priority="328" operator="containsText" text="T">
      <formula>NOT(ISERROR(SEARCH("T",BK99)))</formula>
    </cfRule>
  </conditionalFormatting>
  <conditionalFormatting sqref="BK105">
    <cfRule type="containsText" dxfId="293" priority="318" operator="containsText" text="T">
      <formula>NOT(ISERROR(SEARCH("T",BK105)))</formula>
    </cfRule>
  </conditionalFormatting>
  <conditionalFormatting sqref="BK131:BK137 BO131:BQ137">
    <cfRule type="containsText" dxfId="292" priority="286" operator="containsText" text="T">
      <formula>NOT(ISERROR(SEARCH("T",BK131)))</formula>
    </cfRule>
  </conditionalFormatting>
  <conditionalFormatting sqref="BK199 BJ206">
    <cfRule type="containsText" dxfId="291" priority="5064" operator="containsText" text="17">
      <formula>NOT(ISERROR(SEARCH("17",BJ199)))</formula>
    </cfRule>
    <cfRule type="containsText" dxfId="290" priority="5065" operator="containsText" text="T">
      <formula>NOT(ISERROR(SEARCH("T",BJ199)))</formula>
    </cfRule>
  </conditionalFormatting>
  <conditionalFormatting sqref="BK207:BK213">
    <cfRule type="containsText" dxfId="289" priority="239" operator="containsText" text="17">
      <formula>NOT(ISERROR(SEARCH("17",BK207)))</formula>
    </cfRule>
    <cfRule type="containsText" dxfId="288" priority="240" operator="containsText" text="T">
      <formula>NOT(ISERROR(SEARCH("T",BK207)))</formula>
    </cfRule>
  </conditionalFormatting>
  <conditionalFormatting sqref="BK217:BK223 BL224:BL230">
    <cfRule type="containsText" dxfId="287" priority="5614" operator="containsText" text="17">
      <formula>NOT(ISERROR(SEARCH("17",BK217)))</formula>
    </cfRule>
    <cfRule type="containsText" dxfId="286" priority="5615" operator="containsText" text="T">
      <formula>NOT(ISERROR(SEARCH("T",BK217)))</formula>
    </cfRule>
  </conditionalFormatting>
  <conditionalFormatting sqref="BK131:BL137 BO131:BQ137">
    <cfRule type="containsText" dxfId="285" priority="287" operator="containsText" text="17">
      <formula>NOT(ISERROR(SEARCH("17",BK131)))</formula>
    </cfRule>
  </conditionalFormatting>
  <conditionalFormatting sqref="BK217:BL217">
    <cfRule type="containsText" dxfId="284" priority="5313" operator="containsText" text="T">
      <formula>NOT(ISERROR(SEARCH("T",BK217)))</formula>
    </cfRule>
    <cfRule type="containsText" dxfId="283" priority="5312" operator="containsText" text="17">
      <formula>NOT(ISERROR(SEARCH("17",BK217)))</formula>
    </cfRule>
  </conditionalFormatting>
  <conditionalFormatting sqref="BK218:BL220 BK221:BM223">
    <cfRule type="containsText" dxfId="282" priority="5620" operator="containsText" text="17">
      <formula>NOT(ISERROR(SEARCH("17",BK218)))</formula>
    </cfRule>
    <cfRule type="containsText" dxfId="281" priority="5621" operator="containsText" text="T">
      <formula>NOT(ISERROR(SEARCH("T",BK218)))</formula>
    </cfRule>
  </conditionalFormatting>
  <conditionalFormatting sqref="BK200:BQ206">
    <cfRule type="containsText" dxfId="280" priority="229" operator="containsText" text="17">
      <formula>NOT(ISERROR(SEARCH("17",BK200)))</formula>
    </cfRule>
    <cfRule type="containsText" dxfId="279" priority="230" operator="containsText" text="T">
      <formula>NOT(ISERROR(SEARCH("T",BK200)))</formula>
    </cfRule>
  </conditionalFormatting>
  <conditionalFormatting sqref="BK90:CE96 CH90:CH96">
    <cfRule type="containsText" dxfId="278" priority="61" operator="containsText" text="T">
      <formula>NOT(ISERROR(SEARCH("T",BK90)))</formula>
    </cfRule>
  </conditionalFormatting>
  <conditionalFormatting sqref="BK90:CE96">
    <cfRule type="containsText" dxfId="277" priority="63" operator="containsText" text="17">
      <formula>NOT(ISERROR(SEARCH("17",BK90)))</formula>
    </cfRule>
  </conditionalFormatting>
  <conditionalFormatting sqref="BL79">
    <cfRule type="containsText" dxfId="276" priority="3869" operator="containsText" text="T">
      <formula>NOT(ISERROR(SEARCH("T",BL79)))</formula>
    </cfRule>
    <cfRule type="containsText" dxfId="275" priority="3868" operator="containsText" text="17">
      <formula>NOT(ISERROR(SEARCH("17",BL79)))</formula>
    </cfRule>
  </conditionalFormatting>
  <conditionalFormatting sqref="BL83:BL89">
    <cfRule type="containsText" dxfId="274" priority="59" operator="containsText" text="T">
      <formula>NOT(ISERROR(SEARCH("T",BL83)))</formula>
    </cfRule>
  </conditionalFormatting>
  <conditionalFormatting sqref="BL97:BL98">
    <cfRule type="containsText" dxfId="273" priority="298" operator="containsText" text="T">
      <formula>NOT(ISERROR(SEARCH("T",BL97)))</formula>
    </cfRule>
  </conditionalFormatting>
  <conditionalFormatting sqref="BL131:BL137">
    <cfRule type="containsText" dxfId="272" priority="288" operator="containsText" text="T">
      <formula>NOT(ISERROR(SEARCH("T",BL131)))</formula>
    </cfRule>
  </conditionalFormatting>
  <conditionalFormatting sqref="BL138:BL144 BP138:BR144">
    <cfRule type="containsText" dxfId="271" priority="276" operator="containsText" text="T">
      <formula>NOT(ISERROR(SEARCH("T",BL138)))</formula>
    </cfRule>
  </conditionalFormatting>
  <conditionalFormatting sqref="BL200:BL206">
    <cfRule type="containsText" dxfId="270" priority="227" operator="containsText" text="17">
      <formula>NOT(ISERROR(SEARCH("17",BL200)))</formula>
    </cfRule>
    <cfRule type="containsText" dxfId="269" priority="228" operator="containsText" text="T">
      <formula>NOT(ISERROR(SEARCH("T",BL200)))</formula>
    </cfRule>
  </conditionalFormatting>
  <conditionalFormatting sqref="BL217">
    <cfRule type="containsText" dxfId="268" priority="5315" operator="containsText" text="T">
      <formula>NOT(ISERROR(SEARCH("T",BL217)))</formula>
    </cfRule>
    <cfRule type="containsText" dxfId="267" priority="5314" operator="containsText" text="17">
      <formula>NOT(ISERROR(SEARCH("17",BL217)))</formula>
    </cfRule>
  </conditionalFormatting>
  <conditionalFormatting sqref="BL218:BL220 BL221:BM223 BM224:BM227 BM228:BN230">
    <cfRule type="containsText" dxfId="266" priority="5626" operator="containsText" text="17">
      <formula>NOT(ISERROR(SEARCH("17",BL218)))</formula>
    </cfRule>
  </conditionalFormatting>
  <conditionalFormatting sqref="BL138:BM144 BP138:BR144">
    <cfRule type="containsText" dxfId="265" priority="277" operator="containsText" text="17">
      <formula>NOT(ISERROR(SEARCH("17",BL138)))</formula>
    </cfRule>
  </conditionalFormatting>
  <conditionalFormatting sqref="BL199:BM199 BK206:BL206">
    <cfRule type="containsText" dxfId="264" priority="2139" operator="containsText" text="17">
      <formula>NOT(ISERROR(SEARCH("17",BK199)))</formula>
    </cfRule>
    <cfRule type="containsText" dxfId="263" priority="2140" operator="containsText" text="T">
      <formula>NOT(ISERROR(SEARCH("T",BK199)))</formula>
    </cfRule>
  </conditionalFormatting>
  <conditionalFormatting sqref="BL224:BM227 BL228:BN230">
    <cfRule type="containsText" dxfId="262" priority="5619" operator="containsText" text="T">
      <formula>NOT(ISERROR(SEARCH("T",BL224)))</formula>
    </cfRule>
    <cfRule type="containsText" dxfId="261" priority="5618" operator="containsText" text="17">
      <formula>NOT(ISERROR(SEARCH("17",BL224)))</formula>
    </cfRule>
  </conditionalFormatting>
  <conditionalFormatting sqref="BL192:BR199">
    <cfRule type="containsText" dxfId="260" priority="212" operator="containsText" text="17">
      <formula>NOT(ISERROR(SEARCH("17",BL192)))</formula>
    </cfRule>
  </conditionalFormatting>
  <conditionalFormatting sqref="BL83:CF89 CI83:CI89">
    <cfRule type="containsText" dxfId="259" priority="56" operator="containsText" text="T">
      <formula>NOT(ISERROR(SEARCH("T",BL83)))</formula>
    </cfRule>
  </conditionalFormatting>
  <conditionalFormatting sqref="BL83:CF89">
    <cfRule type="containsText" dxfId="258" priority="58" operator="containsText" text="17">
      <formula>NOT(ISERROR(SEARCH("17",BL83)))</formula>
    </cfRule>
  </conditionalFormatting>
  <conditionalFormatting sqref="BM138:BM144">
    <cfRule type="containsText" dxfId="257" priority="278" operator="containsText" text="T">
      <formula>NOT(ISERROR(SEARCH("T",BM138)))</formula>
    </cfRule>
  </conditionalFormatting>
  <conditionalFormatting sqref="BM145:BM151 BQ145:BS151">
    <cfRule type="containsText" dxfId="256" priority="266" operator="containsText" text="T">
      <formula>NOT(ISERROR(SEARCH("T",BM145)))</formula>
    </cfRule>
  </conditionalFormatting>
  <conditionalFormatting sqref="BM192:BM199">
    <cfRule type="containsText" dxfId="255" priority="211" operator="containsText" text="T">
      <formula>NOT(ISERROR(SEARCH("T",BM192)))</formula>
    </cfRule>
    <cfRule type="containsText" dxfId="254" priority="210" operator="containsText" text="17">
      <formula>NOT(ISERROR(SEARCH("17",BM192)))</formula>
    </cfRule>
  </conditionalFormatting>
  <conditionalFormatting sqref="BM214:BM220">
    <cfRule type="containsText" dxfId="253" priority="54" operator="containsText" text="T">
      <formula>NOT(ISERROR(SEARCH("T",BM214)))</formula>
    </cfRule>
  </conditionalFormatting>
  <conditionalFormatting sqref="BM145:BN151 BQ145:BS151">
    <cfRule type="containsText" dxfId="252" priority="267" operator="containsText" text="17">
      <formula>NOT(ISERROR(SEARCH("17",BM145)))</formula>
    </cfRule>
  </conditionalFormatting>
  <conditionalFormatting sqref="BM168:BS174">
    <cfRule type="containsText" dxfId="251" priority="188" operator="containsText" text="17">
      <formula>NOT(ISERROR(SEARCH("17",BM168)))</formula>
    </cfRule>
    <cfRule type="containsText" dxfId="250" priority="189" operator="containsText" text="T">
      <formula>NOT(ISERROR(SEARCH("T",BM168)))</formula>
    </cfRule>
  </conditionalFormatting>
  <conditionalFormatting sqref="BM214:CG220 CJ214:CJ220">
    <cfRule type="containsText" dxfId="249" priority="51" operator="containsText" text="T">
      <formula>NOT(ISERROR(SEARCH("T",BM214)))</formula>
    </cfRule>
  </conditionalFormatting>
  <conditionalFormatting sqref="BM214:CG220">
    <cfRule type="containsText" dxfId="248" priority="53" operator="containsText" text="17">
      <formula>NOT(ISERROR(SEARCH("17",BM214)))</formula>
    </cfRule>
  </conditionalFormatting>
  <conditionalFormatting sqref="BM79:CJ82 CJ83:CJ84">
    <cfRule type="containsText" dxfId="247" priority="1015" operator="containsText" text="17">
      <formula>NOT(ISERROR(SEARCH("17",BM79)))</formula>
    </cfRule>
  </conditionalFormatting>
  <conditionalFormatting sqref="BN145:BN151">
    <cfRule type="containsText" dxfId="246" priority="268" operator="containsText" text="T">
      <formula>NOT(ISERROR(SEARCH("T",BN145)))</formula>
    </cfRule>
  </conditionalFormatting>
  <conditionalFormatting sqref="BN152:BN158 BR152:BT158">
    <cfRule type="containsText" dxfId="245" priority="256" operator="containsText" text="T">
      <formula>NOT(ISERROR(SEARCH("T",BN152)))</formula>
    </cfRule>
  </conditionalFormatting>
  <conditionalFormatting sqref="BN168:BN174">
    <cfRule type="containsText" dxfId="244" priority="187" operator="containsText" text="T">
      <formula>NOT(ISERROR(SEARCH("T",BN168)))</formula>
    </cfRule>
    <cfRule type="containsText" dxfId="243" priority="186" operator="containsText" text="17">
      <formula>NOT(ISERROR(SEARCH("17",BN168)))</formula>
    </cfRule>
  </conditionalFormatting>
  <conditionalFormatting sqref="BN221:BN227">
    <cfRule type="containsText" dxfId="242" priority="49" operator="containsText" text="T">
      <formula>NOT(ISERROR(SEARCH("T",BN221)))</formula>
    </cfRule>
  </conditionalFormatting>
  <conditionalFormatting sqref="BN152:BO158 BR152:BT158">
    <cfRule type="containsText" dxfId="241" priority="257" operator="containsText" text="17">
      <formula>NOT(ISERROR(SEARCH("17",BN152)))</formula>
    </cfRule>
  </conditionalFormatting>
  <conditionalFormatting sqref="BN67:BP68 BJ67:BK68">
    <cfRule type="containsText" dxfId="240" priority="307" operator="containsText" text="17">
      <formula>NOT(ISERROR(SEARCH("17",BJ67)))</formula>
    </cfRule>
  </conditionalFormatting>
  <conditionalFormatting sqref="BN67:BP68">
    <cfRule type="containsText" dxfId="239" priority="306" operator="containsText" text="T">
      <formula>NOT(ISERROR(SEARCH("T",BN67)))</formula>
    </cfRule>
  </conditionalFormatting>
  <conditionalFormatting sqref="BN175:BT181">
    <cfRule type="containsText" dxfId="238" priority="165" operator="containsText" text="T">
      <formula>NOT(ISERROR(SEARCH("T",BN175)))</formula>
    </cfRule>
    <cfRule type="containsText" dxfId="237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36" priority="918" operator="containsText" text="T">
      <formula>NOT(ISERROR(SEARCH("T",BM192)))</formula>
    </cfRule>
  </conditionalFormatting>
  <conditionalFormatting sqref="BN221:CH227 CK221:CK227">
    <cfRule type="containsText" dxfId="235" priority="46" operator="containsText" text="T">
      <formula>NOT(ISERROR(SEARCH("T",BN221)))</formula>
    </cfRule>
  </conditionalFormatting>
  <conditionalFormatting sqref="BN221:CH227">
    <cfRule type="containsText" dxfId="234" priority="48" operator="containsText" text="17">
      <formula>NOT(ISERROR(SEARCH("17",BN221)))</formula>
    </cfRule>
  </conditionalFormatting>
  <conditionalFormatting sqref="BN107:CJ109">
    <cfRule type="containsText" dxfId="233" priority="993" operator="containsText" text="17">
      <formula>NOT(ISERROR(SEARCH("17",BN107)))</formula>
    </cfRule>
  </conditionalFormatting>
  <conditionalFormatting sqref="BN111:CJ112 BM113:BP115">
    <cfRule type="containsText" dxfId="232" priority="987" operator="containsText" text="17">
      <formula>NOT(ISERROR(SEARCH("17",BM111)))</formula>
    </cfRule>
  </conditionalFormatting>
  <conditionalFormatting sqref="BO152:BO158">
    <cfRule type="containsText" dxfId="231" priority="258" operator="containsText" text="T">
      <formula>NOT(ISERROR(SEARCH("T",BO152)))</formula>
    </cfRule>
  </conditionalFormatting>
  <conditionalFormatting sqref="BO159:BO165 BS159:BU165">
    <cfRule type="containsText" dxfId="230" priority="246" operator="containsText" text="T">
      <formula>NOT(ISERROR(SEARCH("T",BO159)))</formula>
    </cfRule>
  </conditionalFormatting>
  <conditionalFormatting sqref="BO175:BO181">
    <cfRule type="containsText" dxfId="229" priority="163" operator="containsText" text="T">
      <formula>NOT(ISERROR(SEARCH("T",BO175)))</formula>
    </cfRule>
    <cfRule type="containsText" dxfId="228" priority="162" operator="containsText" text="17">
      <formula>NOT(ISERROR(SEARCH("17",BO175)))</formula>
    </cfRule>
  </conditionalFormatting>
  <conditionalFormatting sqref="BO228:BO234">
    <cfRule type="containsText" dxfId="227" priority="44" operator="containsText" text="T">
      <formula>NOT(ISERROR(SEARCH("T",BO228)))</formula>
    </cfRule>
  </conditionalFormatting>
  <conditionalFormatting sqref="BO118:BP119">
    <cfRule type="containsText" dxfId="226" priority="982" operator="containsText" text="17">
      <formula>NOT(ISERROR(SEARCH("17",BO118)))</formula>
    </cfRule>
  </conditionalFormatting>
  <conditionalFormatting sqref="BO159:BP165 BS159:BU165">
    <cfRule type="containsText" dxfId="225" priority="247" operator="containsText" text="17">
      <formula>NOT(ISERROR(SEARCH("17",BO159)))</formula>
    </cfRule>
  </conditionalFormatting>
  <conditionalFormatting sqref="BO182:BU188">
    <cfRule type="containsText" dxfId="224" priority="140" operator="containsText" text="17">
      <formula>NOT(ISERROR(SEARCH("17",BO182)))</formula>
    </cfRule>
    <cfRule type="containsText" dxfId="223" priority="141" operator="containsText" text="T">
      <formula>NOT(ISERROR(SEARCH("T",BO182)))</formula>
    </cfRule>
  </conditionalFormatting>
  <conditionalFormatting sqref="BO228:CI234 CL228:CL234">
    <cfRule type="containsText" dxfId="222" priority="41" operator="containsText" text="T">
      <formula>NOT(ISERROR(SEARCH("T",BO228)))</formula>
    </cfRule>
  </conditionalFormatting>
  <conditionalFormatting sqref="BO228:CI234">
    <cfRule type="containsText" dxfId="221" priority="43" operator="containsText" text="17">
      <formula>NOT(ISERROR(SEARCH("17",BO228)))</formula>
    </cfRule>
  </conditionalFormatting>
  <conditionalFormatting sqref="BO73:CK75 BN76:CK77 CK78">
    <cfRule type="containsText" dxfId="220" priority="1021" operator="containsText" text="17">
      <formula>NOT(ISERROR(SEARCH("17",BN73)))</formula>
    </cfRule>
  </conditionalFormatting>
  <conditionalFormatting sqref="BO97:CP98 BK97:BL98">
    <cfRule type="containsText" dxfId="219" priority="297" operator="containsText" text="17">
      <formula>NOT(ISERROR(SEARCH("17",BK97)))</formula>
    </cfRule>
  </conditionalFormatting>
  <conditionalFormatting sqref="BO97:CP98">
    <cfRule type="containsText" dxfId="218" priority="296" operator="containsText" text="T">
      <formula>NOT(ISERROR(SEARCH("T",BO97)))</formula>
    </cfRule>
  </conditionalFormatting>
  <conditionalFormatting sqref="BP159:BP165">
    <cfRule type="containsText" dxfId="217" priority="248" operator="containsText" text="T">
      <formula>NOT(ISERROR(SEARCH("T",BP159)))</formula>
    </cfRule>
  </conditionalFormatting>
  <conditionalFormatting sqref="BP182:BP188">
    <cfRule type="containsText" dxfId="216" priority="139" operator="containsText" text="T">
      <formula>NOT(ISERROR(SEARCH("T",BP182)))</formula>
    </cfRule>
    <cfRule type="containsText" dxfId="215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14" priority="920" operator="containsText" text="T">
      <formula>NOT(ISERROR(SEARCH("T",BM192)))</formula>
    </cfRule>
  </conditionalFormatting>
  <conditionalFormatting sqref="BP200:BP213">
    <cfRule type="containsText" dxfId="213" priority="233" operator="containsText" text="T">
      <formula>NOT(ISERROR(SEARCH("T",BP200)))</formula>
    </cfRule>
  </conditionalFormatting>
  <conditionalFormatting sqref="BP207:BQ213">
    <cfRule type="containsText" dxfId="212" priority="237" operator="containsText" text="17">
      <formula>NOT(ISERROR(SEARCH("17",BP207)))</formula>
    </cfRule>
  </conditionalFormatting>
  <conditionalFormatting sqref="BP194:BT194 BM195:BS195 BO196:BT198">
    <cfRule type="containsText" dxfId="211" priority="919" operator="containsText" text="17">
      <formula>NOT(ISERROR(SEARCH("17",BM194)))</formula>
    </cfRule>
  </conditionalFormatting>
  <conditionalFormatting sqref="BP14:BV14">
    <cfRule type="containsText" dxfId="210" priority="131" operator="containsText" text="17">
      <formula>NOT(ISERROR(SEARCH("17",BP14)))</formula>
    </cfRule>
    <cfRule type="containsText" dxfId="209" priority="132" operator="containsText" text="T">
      <formula>NOT(ISERROR(SEARCH("T",BP14)))</formula>
    </cfRule>
  </conditionalFormatting>
  <conditionalFormatting sqref="BP189:BV190">
    <cfRule type="containsText" dxfId="208" priority="924" operator="containsText" text="T">
      <formula>NOT(ISERROR(SEARCH("T",BP189)))</formula>
    </cfRule>
  </conditionalFormatting>
  <conditionalFormatting sqref="BP120:BZ126">
    <cfRule type="containsText" dxfId="207" priority="21" operator="containsText" text="17">
      <formula>NOT(ISERROR(SEARCH("17",BP120)))</formula>
    </cfRule>
  </conditionalFormatting>
  <conditionalFormatting sqref="BP80:CB82">
    <cfRule type="containsText" dxfId="206" priority="1016" operator="containsText" text="17">
      <formula>NOT(ISERROR(SEARCH("17",BP80)))</formula>
    </cfRule>
  </conditionalFormatting>
  <conditionalFormatting sqref="BP106:CB109">
    <cfRule type="containsText" dxfId="205" priority="994" operator="containsText" text="17">
      <formula>NOT(ISERROR(SEARCH("17",BP106)))</formula>
    </cfRule>
  </conditionalFormatting>
  <conditionalFormatting sqref="BP112:CB112">
    <cfRule type="containsText" dxfId="204" priority="988" operator="containsText" text="17">
      <formula>NOT(ISERROR(SEARCH("17",BP112)))</formula>
    </cfRule>
  </conditionalFormatting>
  <conditionalFormatting sqref="BP120:CM126">
    <cfRule type="containsText" dxfId="203" priority="30" operator="containsText" text="T">
      <formula>NOT(ISERROR(SEARCH("T",BP120)))</formula>
    </cfRule>
    <cfRule type="containsText" dxfId="202" priority="32" operator="containsText" text="17">
      <formula>NOT(ISERROR(SEARCH("17",BP120)))</formula>
    </cfRule>
  </conditionalFormatting>
  <conditionalFormatting sqref="BP120:CP126">
    <cfRule type="containsText" dxfId="201" priority="40" operator="containsText" text="17">
      <formula>NOT(ISERROR(SEARCH("17",BP120)))</formula>
    </cfRule>
    <cfRule type="containsText" dxfId="200" priority="33" operator="containsText" text="T">
      <formula>NOT(ISERROR(SEARCH("T",BP120)))</formula>
    </cfRule>
  </conditionalFormatting>
  <conditionalFormatting sqref="BQ14">
    <cfRule type="containsText" dxfId="199" priority="127" operator="containsText" text="17">
      <formula>NOT(ISERROR(SEARCH("17",BQ14)))</formula>
    </cfRule>
    <cfRule type="containsText" dxfId="198" priority="128" operator="containsText" text="T">
      <formula>NOT(ISERROR(SEARCH("T",BQ14)))</formula>
    </cfRule>
  </conditionalFormatting>
  <conditionalFormatting sqref="BQ192:BQ206">
    <cfRule type="containsText" dxfId="197" priority="216" operator="containsText" text="T">
      <formula>NOT(ISERROR(SEARCH("T",BQ192)))</formula>
    </cfRule>
  </conditionalFormatting>
  <conditionalFormatting sqref="BQ207:BQ213">
    <cfRule type="containsText" dxfId="196" priority="238" operator="containsText" text="T">
      <formula>NOT(ISERROR(SEARCH("T",BQ207)))</formula>
    </cfRule>
  </conditionalFormatting>
  <conditionalFormatting sqref="BQ200:BR206">
    <cfRule type="containsText" dxfId="195" priority="225" operator="containsText" text="17">
      <formula>NOT(ISERROR(SEARCH("17",BQ200)))</formula>
    </cfRule>
  </conditionalFormatting>
  <conditionalFormatting sqref="BQ34:BW34">
    <cfRule type="containsText" dxfId="194" priority="120" operator="containsText" text="T">
      <formula>NOT(ISERROR(SEARCH("T",BQ34)))</formula>
    </cfRule>
    <cfRule type="containsText" dxfId="193" priority="119" operator="containsText" text="17">
      <formula>NOT(ISERROR(SEARCH("17",BQ34)))</formula>
    </cfRule>
  </conditionalFormatting>
  <conditionalFormatting sqref="BQ113:CA119">
    <cfRule type="containsText" dxfId="192" priority="1" operator="containsText" text="17">
      <formula>NOT(ISERROR(SEARCH("17",BQ113)))</formula>
    </cfRule>
  </conditionalFormatting>
  <conditionalFormatting sqref="BQ100:CB102 BP103:CB103">
    <cfRule type="containsText" dxfId="191" priority="999" operator="containsText" text="17">
      <formula>NOT(ISERROR(SEARCH("17",BP100)))</formula>
    </cfRule>
  </conditionalFormatting>
  <conditionalFormatting sqref="BQ113:CN119">
    <cfRule type="containsText" dxfId="190" priority="12" operator="containsText" text="17">
      <formula>NOT(ISERROR(SEARCH("17",BQ113)))</formula>
    </cfRule>
    <cfRule type="containsText" dxfId="189" priority="10" operator="containsText" text="T">
      <formula>NOT(ISERROR(SEARCH("T",BQ113)))</formula>
    </cfRule>
  </conditionalFormatting>
  <conditionalFormatting sqref="BQ113:CP119">
    <cfRule type="containsText" dxfId="188" priority="13" operator="containsText" text="T">
      <formula>NOT(ISERROR(SEARCH("T",BQ113)))</formula>
    </cfRule>
    <cfRule type="containsText" dxfId="187" priority="20" operator="containsText" text="17">
      <formula>NOT(ISERROR(SEARCH("17",BQ113)))</formula>
    </cfRule>
  </conditionalFormatting>
  <conditionalFormatting sqref="BR34">
    <cfRule type="containsText" dxfId="186" priority="115" operator="containsText" text="17">
      <formula>NOT(ISERROR(SEARCH("17",BR34)))</formula>
    </cfRule>
    <cfRule type="containsText" dxfId="185" priority="116" operator="containsText" text="T">
      <formula>NOT(ISERROR(SEARCH("T",BR34)))</formula>
    </cfRule>
  </conditionalFormatting>
  <conditionalFormatting sqref="BR192:BR199">
    <cfRule type="containsText" dxfId="184" priority="207" operator="containsText" text="T">
      <formula>NOT(ISERROR(SEARCH("T",BR192)))</formula>
    </cfRule>
  </conditionalFormatting>
  <conditionalFormatting sqref="BR200:BR206">
    <cfRule type="containsText" dxfId="183" priority="226" operator="containsText" text="T">
      <formula>NOT(ISERROR(SEARCH("T",BR200)))</formula>
    </cfRule>
  </conditionalFormatting>
  <conditionalFormatting sqref="BR50:BS50 BU50:BY50">
    <cfRule type="containsText" dxfId="182" priority="1034" operator="containsText" text="17">
      <formula>NOT(ISERROR(SEARCH("17",BR50)))</formula>
    </cfRule>
    <cfRule type="containsText" dxfId="181" priority="1035" operator="containsText" text="T">
      <formula>NOT(ISERROR(SEARCH("T",BR50)))</formula>
    </cfRule>
  </conditionalFormatting>
  <conditionalFormatting sqref="BR192:BS199">
    <cfRule type="containsText" dxfId="180" priority="208" operator="containsText" text="17">
      <formula>NOT(ISERROR(SEARCH("17",BR192)))</formula>
    </cfRule>
  </conditionalFormatting>
  <conditionalFormatting sqref="BR21:BX21">
    <cfRule type="containsText" dxfId="179" priority="108" operator="containsText" text="T">
      <formula>NOT(ISERROR(SEARCH("T",BR21)))</formula>
    </cfRule>
    <cfRule type="containsText" dxfId="178" priority="107" operator="containsText" text="17">
      <formula>NOT(ISERROR(SEARCH("17",BR21)))</formula>
    </cfRule>
  </conditionalFormatting>
  <conditionalFormatting sqref="BR68:CD71 BQ74:CC77">
    <cfRule type="containsText" dxfId="177" priority="1022" operator="containsText" text="17">
      <formula>NOT(ISERROR(SEARCH("17",BQ68)))</formula>
    </cfRule>
  </conditionalFormatting>
  <conditionalFormatting sqref="BS21">
    <cfRule type="containsText" dxfId="176" priority="104" operator="containsText" text="T">
      <formula>NOT(ISERROR(SEARCH("T",BS21)))</formula>
    </cfRule>
    <cfRule type="containsText" dxfId="175" priority="103" operator="containsText" text="17">
      <formula>NOT(ISERROR(SEARCH("17",BS21)))</formula>
    </cfRule>
  </conditionalFormatting>
  <conditionalFormatting sqref="BS127 BC199 BB206">
    <cfRule type="containsText" dxfId="174" priority="2146" operator="containsText" text="T">
      <formula>NOT(ISERROR(SEARCH("T",BB127)))</formula>
    </cfRule>
  </conditionalFormatting>
  <conditionalFormatting sqref="BS127 BC199:BR199 BB206:BQ206">
    <cfRule type="containsText" dxfId="173" priority="5051" operator="containsText" text="T">
      <formula>NOT(ISERROR(SEARCH("T",BB127)))</formula>
    </cfRule>
  </conditionalFormatting>
  <conditionalFormatting sqref="BS168:BS181">
    <cfRule type="containsText" dxfId="172" priority="168" operator="containsText" text="T">
      <formula>NOT(ISERROR(SEARCH("T",BS168)))</formula>
    </cfRule>
  </conditionalFormatting>
  <conditionalFormatting sqref="BS192:BS199">
    <cfRule type="containsText" dxfId="171" priority="209" operator="containsText" text="T">
      <formula>NOT(ISERROR(SEARCH("T",BS192)))</formula>
    </cfRule>
  </conditionalFormatting>
  <conditionalFormatting sqref="BS168:BT174">
    <cfRule type="containsText" dxfId="170" priority="184" operator="containsText" text="17">
      <formula>NOT(ISERROR(SEARCH("17",BS168)))</formula>
    </cfRule>
  </conditionalFormatting>
  <conditionalFormatting sqref="BS199:BT199 BR206:BS206">
    <cfRule type="containsText" dxfId="169" priority="2150" operator="containsText" text="T">
      <formula>NOT(ISERROR(SEARCH("T",BR199)))</formula>
    </cfRule>
    <cfRule type="containsText" dxfId="168" priority="2149" operator="containsText" text="17">
      <formula>NOT(ISERROR(SEARCH("17",BR199)))</formula>
    </cfRule>
  </conditionalFormatting>
  <conditionalFormatting sqref="BS41:BY41">
    <cfRule type="containsText" dxfId="167" priority="96" operator="containsText" text="T">
      <formula>NOT(ISERROR(SEARCH("T",BS41)))</formula>
    </cfRule>
    <cfRule type="containsText" dxfId="166" priority="95" operator="containsText" text="17">
      <formula>NOT(ISERROR(SEARCH("17",BS41)))</formula>
    </cfRule>
  </conditionalFormatting>
  <conditionalFormatting sqref="BT41">
    <cfRule type="containsText" dxfId="165" priority="92" operator="containsText" text="T">
      <formula>NOT(ISERROR(SEARCH("T",BT41)))</formula>
    </cfRule>
    <cfRule type="containsText" dxfId="164" priority="91" operator="containsText" text="17">
      <formula>NOT(ISERROR(SEARCH("17",BT41)))</formula>
    </cfRule>
  </conditionalFormatting>
  <conditionalFormatting sqref="BT50:BT52 BZ50:BZ52 BU51:BY52">
    <cfRule type="containsText" dxfId="163" priority="8559" operator="containsText" text="17">
      <formula>NOT(ISERROR(SEARCH("17",BT50)))</formula>
    </cfRule>
    <cfRule type="containsText" dxfId="162" priority="8560" operator="containsText" text="T">
      <formula>NOT(ISERROR(SEARCH("T",BT50)))</formula>
    </cfRule>
  </conditionalFormatting>
  <conditionalFormatting sqref="BT145:BT148">
    <cfRule type="containsText" dxfId="161" priority="1589" operator="containsText" text="17">
      <formula>NOT(ISERROR(SEARCH("17",BT145)))</formula>
    </cfRule>
    <cfRule type="containsText" dxfId="160" priority="8534" operator="containsText" text="T">
      <formula>NOT(ISERROR(SEARCH("T",BT145)))</formula>
    </cfRule>
    <cfRule type="containsText" dxfId="159" priority="1590" operator="containsText" text="T">
      <formula>NOT(ISERROR(SEARCH("T",BT145)))</formula>
    </cfRule>
  </conditionalFormatting>
  <conditionalFormatting sqref="BT168:BT174">
    <cfRule type="containsText" dxfId="158" priority="185" operator="containsText" text="T">
      <formula>NOT(ISERROR(SEARCH("T",BT168)))</formula>
    </cfRule>
  </conditionalFormatting>
  <conditionalFormatting sqref="BT175:BT188">
    <cfRule type="containsText" dxfId="157" priority="144" operator="containsText" text="T">
      <formula>NOT(ISERROR(SEARCH("T",BT175)))</formula>
    </cfRule>
  </conditionalFormatting>
  <conditionalFormatting sqref="BT175:BU181">
    <cfRule type="containsText" dxfId="156" priority="160" operator="containsText" text="17">
      <formula>NOT(ISERROR(SEARCH("17",BT175)))</formula>
    </cfRule>
  </conditionalFormatting>
  <conditionalFormatting sqref="BT139:CQ144">
    <cfRule type="containsText" dxfId="155" priority="968" operator="containsText" text="T">
      <formula>NOT(ISERROR(SEARCH("T",BT139)))</formula>
    </cfRule>
    <cfRule type="containsText" dxfId="154" priority="965" operator="containsText" text="17">
      <formula>NOT(ISERROR(SEARCH("17",BT139)))</formula>
    </cfRule>
  </conditionalFormatting>
  <conditionalFormatting sqref="BU175:BU181">
    <cfRule type="containsText" dxfId="153" priority="161" operator="containsText" text="T">
      <formula>NOT(ISERROR(SEARCH("T",BU175)))</formula>
    </cfRule>
  </conditionalFormatting>
  <conditionalFormatting sqref="BU182:BU188">
    <cfRule type="containsText" dxfId="152" priority="135" operator="containsText" text="T">
      <formula>NOT(ISERROR(SEARCH("T",BU182)))</formula>
    </cfRule>
  </conditionalFormatting>
  <conditionalFormatting sqref="BU200:BU202 AX210:AX211">
    <cfRule type="containsText" dxfId="151" priority="8520" operator="containsText" text="T">
      <formula>NOT(ISERROR(SEARCH("T",AX200)))</formula>
    </cfRule>
  </conditionalFormatting>
  <conditionalFormatting sqref="BU200:BU202 AY190 AX191:BH191 BK191 BO191:BS191">
    <cfRule type="containsText" dxfId="150" priority="8513" operator="containsText" text="17">
      <formula>NOT(ISERROR(SEARCH("17",AX190)))</formula>
    </cfRule>
  </conditionalFormatting>
  <conditionalFormatting sqref="BU182:BV188">
    <cfRule type="containsText" dxfId="149" priority="136" operator="containsText" text="17">
      <formula>NOT(ISERROR(SEARCH("17",BU182)))</formula>
    </cfRule>
  </conditionalFormatting>
  <conditionalFormatting sqref="BU200:BW206">
    <cfRule type="containsText" dxfId="148" priority="231" operator="containsText" text="17">
      <formula>NOT(ISERROR(SEARCH("17",BU200)))</formula>
    </cfRule>
  </conditionalFormatting>
  <conditionalFormatting sqref="BU153:CQ158">
    <cfRule type="containsText" dxfId="147" priority="952" operator="containsText" text="17">
      <formula>NOT(ISERROR(SEARCH("17",BU153)))</formula>
    </cfRule>
    <cfRule type="containsText" dxfId="146" priority="955" operator="containsText" text="T">
      <formula>NOT(ISERROR(SEARCH("T",BU153)))</formula>
    </cfRule>
  </conditionalFormatting>
  <conditionalFormatting sqref="BU146:CR151 BV160:CQ165">
    <cfRule type="containsText" dxfId="145" priority="8367" operator="containsText" text="17">
      <formula>NOT(ISERROR(SEARCH("17",BU146)))</formula>
    </cfRule>
  </conditionalFormatting>
  <conditionalFormatting sqref="BU146:CR151">
    <cfRule type="containsText" dxfId="144" priority="964" operator="containsText" text="T">
      <formula>NOT(ISERROR(SEARCH("T",BU146)))</formula>
    </cfRule>
  </conditionalFormatting>
  <conditionalFormatting sqref="BV14 BZ14:CB14 BE15:BY20 CB15:CB20">
    <cfRule type="containsText" dxfId="143" priority="124" operator="containsText" text="T">
      <formula>NOT(ISERROR(SEARCH("T",BE14)))</formula>
    </cfRule>
  </conditionalFormatting>
  <conditionalFormatting sqref="BV182:BV188">
    <cfRule type="containsText" dxfId="142" priority="137" operator="containsText" text="T">
      <formula>NOT(ISERROR(SEARCH("T",BV182)))</formula>
    </cfRule>
  </conditionalFormatting>
  <conditionalFormatting sqref="BV192:BV199">
    <cfRule type="containsText" dxfId="141" priority="221" operator="containsText" text="17">
      <formula>NOT(ISERROR(SEARCH("17",BV192)))</formula>
    </cfRule>
    <cfRule type="containsText" dxfId="140" priority="217" operator="containsText" text="17">
      <formula>NOT(ISERROR(SEARCH("17",BV192)))</formula>
    </cfRule>
    <cfRule type="containsText" dxfId="139" priority="220" operator="containsText" text="T">
      <formula>NOT(ISERROR(SEARCH("T",BV192)))</formula>
    </cfRule>
    <cfRule type="containsText" dxfId="138" priority="219" operator="containsText" text="17">
      <formula>NOT(ISERROR(SEARCH("17",BV192)))</formula>
    </cfRule>
    <cfRule type="containsText" dxfId="137" priority="218" operator="containsText" text="T">
      <formula>NOT(ISERROR(SEARCH("T",BV192)))</formula>
    </cfRule>
  </conditionalFormatting>
  <conditionalFormatting sqref="BV199 BU206">
    <cfRule type="containsText" dxfId="136" priority="2148" operator="containsText" text="T">
      <formula>NOT(ISERROR(SEARCH("T",BU199)))</formula>
    </cfRule>
    <cfRule type="containsText" dxfId="135" priority="2147" operator="containsText" text="17">
      <formula>NOT(ISERROR(SEARCH("17",BU199)))</formula>
    </cfRule>
  </conditionalFormatting>
  <conditionalFormatting sqref="BV14:BW14 BZ14:CB14 CB15:CB20">
    <cfRule type="containsText" dxfId="134" priority="125" operator="containsText" text="17">
      <formula>NOT(ISERROR(SEARCH("17",BV14)))</formula>
    </cfRule>
  </conditionalFormatting>
  <conditionalFormatting sqref="BV192:BX199">
    <cfRule type="containsText" dxfId="133" priority="214" operator="containsText" text="17">
      <formula>NOT(ISERROR(SEARCH("17",BV192)))</formula>
    </cfRule>
    <cfRule type="containsText" dxfId="132" priority="215" operator="containsText" text="T">
      <formula>NOT(ISERROR(SEARCH("T",BV192)))</formula>
    </cfRule>
  </conditionalFormatting>
  <conditionalFormatting sqref="BV133:CH137">
    <cfRule type="containsText" dxfId="131" priority="971" operator="containsText" text="17">
      <formula>NOT(ISERROR(SEARCH("17",BV133)))</formula>
    </cfRule>
  </conditionalFormatting>
  <conditionalFormatting sqref="BV160:CQ165">
    <cfRule type="containsText" dxfId="130" priority="951" operator="containsText" text="T">
      <formula>NOT(ISERROR(SEARCH("T",BV160)))</formula>
    </cfRule>
  </conditionalFormatting>
  <conditionalFormatting sqref="BW14">
    <cfRule type="containsText" dxfId="129" priority="126" operator="containsText" text="T">
      <formula>NOT(ISERROR(SEARCH("T",BW14)))</formula>
    </cfRule>
  </conditionalFormatting>
  <conditionalFormatting sqref="BW34 CA34:CC34 BF35:BZ40 CC35:CC40">
    <cfRule type="containsText" dxfId="128" priority="112" operator="containsText" text="T">
      <formula>NOT(ISERROR(SEARCH("T",BF34)))</formula>
    </cfRule>
  </conditionalFormatting>
  <conditionalFormatting sqref="BW168:BW174">
    <cfRule type="containsText" dxfId="127" priority="204" operator="containsText" text="T">
      <formula>NOT(ISERROR(SEARCH("T",BW168)))</formula>
    </cfRule>
    <cfRule type="containsText" dxfId="126" priority="203" operator="containsText" text="17">
      <formula>NOT(ISERROR(SEARCH("17",BW168)))</formula>
    </cfRule>
    <cfRule type="containsText" dxfId="125" priority="199" operator="containsText" text="17">
      <formula>NOT(ISERROR(SEARCH("17",BW168)))</formula>
    </cfRule>
    <cfRule type="containsText" dxfId="124" priority="200" operator="containsText" text="T">
      <formula>NOT(ISERROR(SEARCH("T",BW168)))</formula>
    </cfRule>
    <cfRule type="containsText" dxfId="123" priority="201" operator="containsText" text="17">
      <formula>NOT(ISERROR(SEARCH("17",BW168)))</formula>
    </cfRule>
    <cfRule type="containsText" dxfId="122" priority="202" operator="containsText" text="T">
      <formula>NOT(ISERROR(SEARCH("T",BW168)))</formula>
    </cfRule>
  </conditionalFormatting>
  <conditionalFormatting sqref="BW34:BX34 CA34:CC34 CC35:CC40">
    <cfRule type="containsText" dxfId="121" priority="113" operator="containsText" text="17">
      <formula>NOT(ISERROR(SEARCH("17",BW34)))</formula>
    </cfRule>
  </conditionalFormatting>
  <conditionalFormatting sqref="BW168:BY174">
    <cfRule type="containsText" dxfId="120" priority="190" operator="containsText" text="17">
      <formula>NOT(ISERROR(SEARCH("17",BW168)))</formula>
    </cfRule>
  </conditionalFormatting>
  <conditionalFormatting sqref="BW160:CG165">
    <cfRule type="containsText" dxfId="119" priority="949" operator="containsText" text="17">
      <formula>NOT(ISERROR(SEARCH("17",BW160)))</formula>
    </cfRule>
  </conditionalFormatting>
  <conditionalFormatting sqref="BW140:CI144">
    <cfRule type="containsText" dxfId="118" priority="966" operator="containsText" text="17">
      <formula>NOT(ISERROR(SEARCH("17",BW140)))</formula>
    </cfRule>
  </conditionalFormatting>
  <conditionalFormatting sqref="BW154:CI158">
    <cfRule type="containsText" dxfId="117" priority="953" operator="containsText" text="17">
      <formula>NOT(ISERROR(SEARCH("17",BW154)))</formula>
    </cfRule>
  </conditionalFormatting>
  <conditionalFormatting sqref="BW161:CI165">
    <cfRule type="containsText" dxfId="116" priority="946" operator="containsText" text="17">
      <formula>NOT(ISERROR(SEARCH("17",BW161)))</formula>
    </cfRule>
  </conditionalFormatting>
  <conditionalFormatting sqref="BX21 CB21:CD21 BG22:CA27 CD22:CD27">
    <cfRule type="containsText" dxfId="115" priority="100" operator="containsText" text="T">
      <formula>NOT(ISERROR(SEARCH("T",BG21)))</formula>
    </cfRule>
  </conditionalFormatting>
  <conditionalFormatting sqref="BX34">
    <cfRule type="containsText" dxfId="114" priority="114" operator="containsText" text="T">
      <formula>NOT(ISERROR(SEARCH("T",BX34)))</formula>
    </cfRule>
  </conditionalFormatting>
  <conditionalFormatting sqref="BX175:BX181">
    <cfRule type="containsText" dxfId="113" priority="178" operator="containsText" text="T">
      <formula>NOT(ISERROR(SEARCH("T",BX175)))</formula>
    </cfRule>
    <cfRule type="containsText" dxfId="112" priority="176" operator="containsText" text="T">
      <formula>NOT(ISERROR(SEARCH("T",BX175)))</formula>
    </cfRule>
    <cfRule type="containsText" dxfId="111" priority="177" operator="containsText" text="17">
      <formula>NOT(ISERROR(SEARCH("17",BX175)))</formula>
    </cfRule>
    <cfRule type="containsText" dxfId="110" priority="175" operator="containsText" text="17">
      <formula>NOT(ISERROR(SEARCH("17",BX175)))</formula>
    </cfRule>
    <cfRule type="containsText" dxfId="109" priority="180" operator="containsText" text="T">
      <formula>NOT(ISERROR(SEARCH("T",BX175)))</formula>
    </cfRule>
    <cfRule type="containsText" dxfId="108" priority="179" operator="containsText" text="17">
      <formula>NOT(ISERROR(SEARCH("17",BX175)))</formula>
    </cfRule>
  </conditionalFormatting>
  <conditionalFormatting sqref="BX21:BY21 CB21:CD21 CD22:CD27">
    <cfRule type="containsText" dxfId="107" priority="101" operator="containsText" text="17">
      <formula>NOT(ISERROR(SEARCH("17",BX21)))</formula>
    </cfRule>
  </conditionalFormatting>
  <conditionalFormatting sqref="BX175:BZ181">
    <cfRule type="containsText" dxfId="106" priority="166" operator="containsText" text="17">
      <formula>NOT(ISERROR(SEARCH("17",BX175)))</formula>
    </cfRule>
  </conditionalFormatting>
  <conditionalFormatting sqref="BX146:CH151">
    <cfRule type="containsText" dxfId="105" priority="962" operator="containsText" text="17">
      <formula>NOT(ISERROR(SEARCH("17",BX146)))</formula>
    </cfRule>
  </conditionalFormatting>
  <conditionalFormatting sqref="BX147:CJ151">
    <cfRule type="containsText" dxfId="104" priority="959" operator="containsText" text="17">
      <formula>NOT(ISERROR(SEARCH("17",BX147)))</formula>
    </cfRule>
  </conditionalFormatting>
  <conditionalFormatting sqref="BY21">
    <cfRule type="containsText" dxfId="103" priority="102" operator="containsText" text="T">
      <formula>NOT(ISERROR(SEARCH("T",BY21)))</formula>
    </cfRule>
  </conditionalFormatting>
  <conditionalFormatting sqref="BY41 CC41:CE41 BH42:CB47 CE42:CE47">
    <cfRule type="containsText" dxfId="102" priority="88" operator="containsText" text="T">
      <formula>NOT(ISERROR(SEARCH("T",BH41)))</formula>
    </cfRule>
  </conditionalFormatting>
  <conditionalFormatting sqref="BY182:BY188">
    <cfRule type="containsText" dxfId="101" priority="156" operator="containsText" text="T">
      <formula>NOT(ISERROR(SEARCH("T",BY182)))</formula>
    </cfRule>
    <cfRule type="containsText" dxfId="100" priority="155" operator="containsText" text="17">
      <formula>NOT(ISERROR(SEARCH("17",BY182)))</formula>
    </cfRule>
    <cfRule type="containsText" dxfId="99" priority="154" operator="containsText" text="T">
      <formula>NOT(ISERROR(SEARCH("T",BY182)))</formula>
    </cfRule>
    <cfRule type="containsText" dxfId="98" priority="153" operator="containsText" text="17">
      <formula>NOT(ISERROR(SEARCH("17",BY182)))</formula>
    </cfRule>
    <cfRule type="containsText" dxfId="97" priority="152" operator="containsText" text="T">
      <formula>NOT(ISERROR(SEARCH("T",BY182)))</formula>
    </cfRule>
    <cfRule type="containsText" dxfId="96" priority="151" operator="containsText" text="17">
      <formula>NOT(ISERROR(SEARCH("17",BY182)))</formula>
    </cfRule>
  </conditionalFormatting>
  <conditionalFormatting sqref="BY41:BZ41 CC41:CE41 CE42:CE47">
    <cfRule type="containsText" dxfId="95" priority="89" operator="containsText" text="17">
      <formula>NOT(ISERROR(SEARCH("17",BY41)))</formula>
    </cfRule>
  </conditionalFormatting>
  <conditionalFormatting sqref="BY182:CA188">
    <cfRule type="containsText" dxfId="94" priority="142" operator="containsText" text="17">
      <formula>NOT(ISERROR(SEARCH("17",BY182)))</formula>
    </cfRule>
  </conditionalFormatting>
  <conditionalFormatting sqref="BZ41">
    <cfRule type="containsText" dxfId="93" priority="90" operator="containsText" text="T">
      <formula>NOT(ISERROR(SEARCH("T",BZ41)))</formula>
    </cfRule>
  </conditionalFormatting>
  <conditionalFormatting sqref="CA79:CB79 CC79:CI82">
    <cfRule type="containsText" dxfId="92" priority="1018" operator="containsText" text="T">
      <formula>NOT(ISERROR(SEARCH("T",CA79)))</formula>
    </cfRule>
  </conditionalFormatting>
  <conditionalFormatting sqref="CA79:CB79">
    <cfRule type="containsText" dxfId="91" priority="1017" operator="containsText" text="17">
      <formula>NOT(ISERROR(SEARCH("17",CA79)))</formula>
    </cfRule>
  </conditionalFormatting>
  <conditionalFormatting sqref="CA99:CB99 CC99:CI103">
    <cfRule type="containsText" dxfId="90" priority="1001" operator="containsText" text="T">
      <formula>NOT(ISERROR(SEARCH("T",CA99)))</formula>
    </cfRule>
    <cfRule type="containsText" dxfId="89" priority="1000" operator="containsText" text="17">
      <formula>NOT(ISERROR(SEARCH("17",CA99)))</formula>
    </cfRule>
  </conditionalFormatting>
  <conditionalFormatting sqref="CA111:CB111 CC111:CI112">
    <cfRule type="containsText" dxfId="88" priority="990" operator="containsText" text="T">
      <formula>NOT(ISERROR(SEARCH("T",CA111)))</formula>
    </cfRule>
  </conditionalFormatting>
  <conditionalFormatting sqref="CA111:CB111">
    <cfRule type="containsText" dxfId="87" priority="989" operator="containsText" text="17">
      <formula>NOT(ISERROR(SEARCH("17",CA111)))</formula>
    </cfRule>
  </conditionalFormatting>
  <conditionalFormatting sqref="CA120:CG126">
    <cfRule type="containsText" dxfId="86" priority="27" operator="containsText" text="17">
      <formula>NOT(ISERROR(SEARCH("17",CA120)))</formula>
    </cfRule>
    <cfRule type="containsText" dxfId="85" priority="28" operator="containsText" text="T">
      <formula>NOT(ISERROR(SEARCH("T",CA120)))</formula>
    </cfRule>
  </conditionalFormatting>
  <conditionalFormatting sqref="CB15:CB20">
    <cfRule type="containsText" dxfId="84" priority="133" operator="containsText" text="T">
      <formula>NOT(ISERROR(SEARCH("T",CB15)))</formula>
    </cfRule>
  </conditionalFormatting>
  <conditionalFormatting sqref="CB120:CB126">
    <cfRule type="containsText" dxfId="83" priority="25" operator="containsText" text="17">
      <formula>NOT(ISERROR(SEARCH("17",CB120)))</formula>
    </cfRule>
    <cfRule type="containsText" dxfId="82" priority="26" operator="containsText" text="T">
      <formula>NOT(ISERROR(SEARCH("T",CB120)))</formula>
    </cfRule>
  </conditionalFormatting>
  <conditionalFormatting sqref="CB113:CH119">
    <cfRule type="containsText" dxfId="81" priority="8" operator="containsText" text="T">
      <formula>NOT(ISERROR(SEARCH("T",CB113)))</formula>
    </cfRule>
    <cfRule type="containsText" dxfId="80" priority="7" operator="containsText" text="17">
      <formula>NOT(ISERROR(SEARCH("17",CB113)))</formula>
    </cfRule>
  </conditionalFormatting>
  <conditionalFormatting sqref="CC35:CC40">
    <cfRule type="containsText" dxfId="79" priority="121" operator="containsText" text="T">
      <formula>NOT(ISERROR(SEARCH("T",CC35)))</formula>
    </cfRule>
  </conditionalFormatting>
  <conditionalFormatting sqref="CC113:CC119">
    <cfRule type="containsText" dxfId="78" priority="5" operator="containsText" text="17">
      <formula>NOT(ISERROR(SEARCH("17",CC113)))</formula>
    </cfRule>
    <cfRule type="containsText" dxfId="77" priority="6" operator="containsText" text="T">
      <formula>NOT(ISERROR(SEARCH("T",CC113)))</formula>
    </cfRule>
  </conditionalFormatting>
  <conditionalFormatting sqref="CC67:CD67 CE67:CK71 CB73:CC73 CD73:CJ77">
    <cfRule type="containsText" dxfId="76" priority="1024" operator="containsText" text="T">
      <formula>NOT(ISERROR(SEARCH("T",CB67)))</formula>
    </cfRule>
  </conditionalFormatting>
  <conditionalFormatting sqref="CC67:CD67 CE67:CK71 CB73:CC73">
    <cfRule type="containsText" dxfId="75" priority="1023" operator="containsText" text="17">
      <formula>NOT(ISERROR(SEARCH("17",CB67)))</formula>
    </cfRule>
  </conditionalFormatting>
  <conditionalFormatting sqref="CC105:CI109 BQ105:CP105">
    <cfRule type="containsText" dxfId="74" priority="996" operator="containsText" text="T">
      <formula>NOT(ISERROR(SEARCH("T",BQ105)))</formula>
    </cfRule>
  </conditionalFormatting>
  <conditionalFormatting sqref="CD22:CD27">
    <cfRule type="containsText" dxfId="73" priority="109" operator="containsText" text="T">
      <formula>NOT(ISERROR(SEARCH("T",CD22)))</formula>
    </cfRule>
  </conditionalFormatting>
  <conditionalFormatting sqref="CE42:CE47">
    <cfRule type="containsText" dxfId="72" priority="97" operator="containsText" text="T">
      <formula>NOT(ISERROR(SEARCH("T",CE42)))</formula>
    </cfRule>
  </conditionalFormatting>
  <conditionalFormatting sqref="CF28:CF32">
    <cfRule type="containsText" dxfId="71" priority="77" operator="containsText" text="17">
      <formula>NOT(ISERROR(SEARCH("17",CF28)))</formula>
    </cfRule>
  </conditionalFormatting>
  <conditionalFormatting sqref="CF48:CF49">
    <cfRule type="containsText" dxfId="70" priority="72" operator="containsText" text="17">
      <formula>NOT(ISERROR(SEARCH("17",CF48)))</formula>
    </cfRule>
  </conditionalFormatting>
  <conditionalFormatting sqref="CF28:CP32">
    <cfRule type="containsText" dxfId="69" priority="80" operator="containsText" text="T">
      <formula>NOT(ISERROR(SEARCH("T",CF28)))</formula>
    </cfRule>
  </conditionalFormatting>
  <conditionalFormatting sqref="CF41:CP49">
    <cfRule type="containsText" dxfId="68" priority="75" operator="containsText" text="T">
      <formula>NOT(ISERROR(SEARCH("T",CF41)))</formula>
    </cfRule>
  </conditionalFormatting>
  <conditionalFormatting sqref="CG60:CG66">
    <cfRule type="containsText" dxfId="67" priority="67" operator="containsText" text="17">
      <formula>NOT(ISERROR(SEARCH("17",CG60)))</formula>
    </cfRule>
  </conditionalFormatting>
  <conditionalFormatting sqref="CG113:CG126">
    <cfRule type="containsText" dxfId="66" priority="11" operator="containsText" text="T">
      <formula>NOT(ISERROR(SEARCH("T",CG113)))</formula>
    </cfRule>
  </conditionalFormatting>
  <conditionalFormatting sqref="CG120:CH126">
    <cfRule type="containsText" dxfId="65" priority="23" operator="containsText" text="17">
      <formula>NOT(ISERROR(SEARCH("17",CG120)))</formula>
    </cfRule>
  </conditionalFormatting>
  <conditionalFormatting sqref="CG132:CH132 CI132:CO137">
    <cfRule type="containsText" dxfId="64" priority="972" operator="containsText" text="17">
      <formula>NOT(ISERROR(SEARCH("17",CG132)))</formula>
    </cfRule>
    <cfRule type="containsText" dxfId="63" priority="973" operator="containsText" text="T">
      <formula>NOT(ISERROR(SEARCH("T",CG132)))</formula>
    </cfRule>
  </conditionalFormatting>
  <conditionalFormatting sqref="CG60:CP66">
    <cfRule type="containsText" dxfId="62" priority="70" operator="containsText" text="T">
      <formula>NOT(ISERROR(SEARCH("T",CG60)))</formula>
    </cfRule>
  </conditionalFormatting>
  <conditionalFormatting sqref="CH90:CH96">
    <cfRule type="containsText" dxfId="61" priority="62" operator="containsText" text="17">
      <formula>NOT(ISERROR(SEARCH("17",CH90)))</formula>
    </cfRule>
  </conditionalFormatting>
  <conditionalFormatting sqref="CH113:CH119">
    <cfRule type="containsText" dxfId="60" priority="2" operator="containsText" text="T">
      <formula>NOT(ISERROR(SEARCH("T",CH113)))</formula>
    </cfRule>
  </conditionalFormatting>
  <conditionalFormatting sqref="CH120:CH126">
    <cfRule type="containsText" dxfId="59" priority="24" operator="containsText" text="T">
      <formula>NOT(ISERROR(SEARCH("T",CH120)))</formula>
    </cfRule>
  </conditionalFormatting>
  <conditionalFormatting sqref="CH113:CI119">
    <cfRule type="containsText" dxfId="58" priority="3" operator="containsText" text="17">
      <formula>NOT(ISERROR(SEARCH("17",CH113)))</formula>
    </cfRule>
  </conditionalFormatting>
  <conditionalFormatting sqref="CH139:CI139">
    <cfRule type="containsText" dxfId="57" priority="967" operator="containsText" text="17">
      <formula>NOT(ISERROR(SEARCH("17",CH139)))</formula>
    </cfRule>
  </conditionalFormatting>
  <conditionalFormatting sqref="CH153:CI153">
    <cfRule type="containsText" dxfId="56" priority="954" operator="containsText" text="17">
      <formula>NOT(ISERROR(SEARCH("17",CH153)))</formula>
    </cfRule>
  </conditionalFormatting>
  <conditionalFormatting sqref="CH160:CI160 CJ160:CP165">
    <cfRule type="containsText" dxfId="55" priority="947" operator="containsText" text="17">
      <formula>NOT(ISERROR(SEARCH("17",CH160)))</formula>
    </cfRule>
  </conditionalFormatting>
  <conditionalFormatting sqref="CH160:CI160 CK160:CO165">
    <cfRule type="containsText" dxfId="54" priority="948" operator="containsText" text="T">
      <formula>NOT(ISERROR(SEARCH("T",CH160)))</formula>
    </cfRule>
  </conditionalFormatting>
  <conditionalFormatting sqref="CH90:CP96">
    <cfRule type="containsText" dxfId="53" priority="65" operator="containsText" text="T">
      <formula>NOT(ISERROR(SEARCH("T",CH90)))</formula>
    </cfRule>
  </conditionalFormatting>
  <conditionalFormatting sqref="CI83:CI89">
    <cfRule type="containsText" dxfId="52" priority="57" operator="containsText" text="17">
      <formula>NOT(ISERROR(SEARCH("17",CI83)))</formula>
    </cfRule>
    <cfRule type="containsText" dxfId="51" priority="60" operator="containsText" text="T">
      <formula>NOT(ISERROR(SEARCH("T",CI83)))</formula>
    </cfRule>
  </conditionalFormatting>
  <conditionalFormatting sqref="CI113:CI119">
    <cfRule type="containsText" dxfId="50" priority="4" operator="containsText" text="T">
      <formula>NOT(ISERROR(SEARCH("T",CI113)))</formula>
    </cfRule>
  </conditionalFormatting>
  <conditionalFormatting sqref="CI146:CJ146 CK146:CQ151">
    <cfRule type="containsText" dxfId="49" priority="960" operator="containsText" text="17">
      <formula>NOT(ISERROR(SEARCH("17",CI146)))</formula>
    </cfRule>
  </conditionalFormatting>
  <conditionalFormatting sqref="CI146:CJ146 CL146:CP151">
    <cfRule type="containsText" dxfId="48" priority="961" operator="containsText" text="T">
      <formula>NOT(ISERROR(SEARCH("T",CI146)))</formula>
    </cfRule>
  </conditionalFormatting>
  <conditionalFormatting sqref="CJ214:CJ220">
    <cfRule type="containsText" dxfId="47" priority="52" operator="containsText" text="17">
      <formula>NOT(ISERROR(SEARCH("17",CJ214)))</formula>
    </cfRule>
  </conditionalFormatting>
  <conditionalFormatting sqref="CJ214:XFD220">
    <cfRule type="containsText" dxfId="46" priority="55" operator="containsText" text="T">
      <formula>NOT(ISERROR(SEARCH("T",CJ214)))</formula>
    </cfRule>
  </conditionalFormatting>
  <conditionalFormatting sqref="CK120:CK126">
    <cfRule type="containsText" dxfId="45" priority="37" operator="containsText" text="T">
      <formula>NOT(ISERROR(SEARCH("T",CK120)))</formula>
    </cfRule>
    <cfRule type="containsText" dxfId="44" priority="35" operator="containsText" text="T">
      <formula>NOT(ISERROR(SEARCH("T",CK120)))</formula>
    </cfRule>
    <cfRule type="containsText" dxfId="43" priority="34" operator="containsText" text="17">
      <formula>NOT(ISERROR(SEARCH("17",CK120)))</formula>
    </cfRule>
    <cfRule type="containsText" dxfId="42" priority="39" operator="containsText" text="T">
      <formula>NOT(ISERROR(SEARCH("T",CK120)))</formula>
    </cfRule>
    <cfRule type="containsText" dxfId="41" priority="36" operator="containsText" text="17">
      <formula>NOT(ISERROR(SEARCH("17",CK120)))</formula>
    </cfRule>
    <cfRule type="containsText" dxfId="40" priority="38" operator="containsText" text="17">
      <formula>NOT(ISERROR(SEARCH("17",CK120)))</formula>
    </cfRule>
  </conditionalFormatting>
  <conditionalFormatting sqref="CK221:CK227">
    <cfRule type="containsText" dxfId="39" priority="47" operator="containsText" text="17">
      <formula>NOT(ISERROR(SEARCH("17",CK221)))</formula>
    </cfRule>
  </conditionalFormatting>
  <conditionalFormatting sqref="CK120:CM126">
    <cfRule type="containsText" dxfId="38" priority="29" operator="containsText" text="17">
      <formula>NOT(ISERROR(SEARCH("17",CK120)))</formula>
    </cfRule>
  </conditionalFormatting>
  <conditionalFormatting sqref="CK221:CP227">
    <cfRule type="containsText" dxfId="37" priority="50" operator="containsText" text="T">
      <formula>NOT(ISERROR(SEARCH("T",CK221)))</formula>
    </cfRule>
  </conditionalFormatting>
  <conditionalFormatting sqref="CL113:CL119">
    <cfRule type="containsText" dxfId="36" priority="15" operator="containsText" text="T">
      <formula>NOT(ISERROR(SEARCH("T",CL113)))</formula>
    </cfRule>
    <cfRule type="containsText" dxfId="35" priority="18" operator="containsText" text="17">
      <formula>NOT(ISERROR(SEARCH("17",CL113)))</formula>
    </cfRule>
    <cfRule type="containsText" dxfId="34" priority="19" operator="containsText" text="T">
      <formula>NOT(ISERROR(SEARCH("T",CL113)))</formula>
    </cfRule>
    <cfRule type="containsText" dxfId="33" priority="14" operator="containsText" text="17">
      <formula>NOT(ISERROR(SEARCH("17",CL113)))</formula>
    </cfRule>
    <cfRule type="containsText" dxfId="32" priority="16" operator="containsText" text="17">
      <formula>NOT(ISERROR(SEARCH("17",CL113)))</formula>
    </cfRule>
    <cfRule type="containsText" dxfId="31" priority="17" operator="containsText" text="T">
      <formula>NOT(ISERROR(SEARCH("T",CL113)))</formula>
    </cfRule>
  </conditionalFormatting>
  <conditionalFormatting sqref="CL228:CL234">
    <cfRule type="containsText" dxfId="30" priority="42" operator="containsText" text="17">
      <formula>NOT(ISERROR(SEARCH("17",CL228)))</formula>
    </cfRule>
  </conditionalFormatting>
  <conditionalFormatting sqref="CL113:CN119">
    <cfRule type="containsText" dxfId="29" priority="9" operator="containsText" text="17">
      <formula>NOT(ISERROR(SEARCH("17",CL113)))</formula>
    </cfRule>
  </conditionalFormatting>
  <conditionalFormatting sqref="CL228:CP234">
    <cfRule type="containsText" dxfId="28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898"/>
  <sheetViews>
    <sheetView tabSelected="1" workbookViewId="0">
      <pane xSplit="2" ySplit="1" topLeftCell="C868" activePane="bottomRight" state="frozen"/>
      <selection pane="topRight" activeCell="C1" sqref="C1"/>
      <selection pane="bottomLeft" activeCell="A2" sqref="A2"/>
      <selection pane="bottomRight" activeCell="N890" sqref="N890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6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6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315">A575+23</f>
        <v>46065</v>
      </c>
      <c r="E575" s="77">
        <f t="shared" ref="E575:E627" si="316">A575+7</f>
        <v>46049</v>
      </c>
      <c r="F575" s="77">
        <f t="shared" ref="F575:F627" si="317">A575+14</f>
        <v>46056</v>
      </c>
      <c r="G575" s="77">
        <f t="shared" ref="G575:G627" si="318">A575+20</f>
        <v>46062</v>
      </c>
      <c r="H575" s="77">
        <f t="shared" ref="H575:H627" si="319">A575+8</f>
        <v>46050</v>
      </c>
      <c r="I575" s="77">
        <f t="shared" ref="I575:I627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88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>
        <v>46079</v>
      </c>
      <c r="K614" s="83">
        <f t="shared" si="307"/>
        <v>32</v>
      </c>
      <c r="L614" s="89">
        <v>11.73</v>
      </c>
      <c r="M614" s="89">
        <v>10.58</v>
      </c>
      <c r="N614" s="90">
        <f t="shared" si="314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>
        <v>46079</v>
      </c>
      <c r="K615" s="83">
        <f t="shared" si="307"/>
        <v>32</v>
      </c>
      <c r="L615" s="89">
        <v>12.38</v>
      </c>
      <c r="M615" s="89">
        <v>11.21</v>
      </c>
      <c r="N615" s="90">
        <f t="shared" si="314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>
        <v>46079</v>
      </c>
      <c r="K616" s="83">
        <f t="shared" si="307"/>
        <v>32</v>
      </c>
      <c r="L616" s="89">
        <v>11.84</v>
      </c>
      <c r="M616" s="89">
        <v>10.63</v>
      </c>
      <c r="N616" s="90">
        <f t="shared" si="314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>
        <v>46080</v>
      </c>
      <c r="K619" s="83">
        <f t="shared" ref="K619:K627" si="321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>
        <v>46080</v>
      </c>
      <c r="K620" s="83">
        <f t="shared" si="321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>
        <v>46080</v>
      </c>
      <c r="K621" s="83">
        <f t="shared" si="321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>
        <v>46080</v>
      </c>
      <c r="K622" s="83">
        <f t="shared" si="321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>
        <v>46080</v>
      </c>
      <c r="K623" s="83">
        <f t="shared" si="321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>
        <v>46080</v>
      </c>
      <c r="K624" s="83">
        <f t="shared" si="321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>
        <v>46080</v>
      </c>
      <c r="K625" s="83">
        <f t="shared" si="321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>
        <v>46080</v>
      </c>
      <c r="K626" s="83">
        <f t="shared" si="321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>
        <v>46080</v>
      </c>
      <c r="K627" s="83">
        <f t="shared" si="321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tr">
        <f>VLOOKUP(B666,'[1]Migrasi Bed'!$B$4:$E$521,4,0)</f>
        <v>SV.B003</v>
      </c>
      <c r="D666" s="77">
        <f t="shared" ref="D666:D729" si="322">A666+23</f>
        <v>46078</v>
      </c>
      <c r="E666" s="77">
        <f t="shared" ref="E666:E729" si="323">A666+7</f>
        <v>46062</v>
      </c>
      <c r="F666" s="77">
        <f t="shared" ref="F666:F729" si="324">A666+14</f>
        <v>46069</v>
      </c>
      <c r="G666" s="77">
        <f t="shared" ref="G666:G729" si="325">A666+20</f>
        <v>46075</v>
      </c>
      <c r="H666" s="77">
        <f t="shared" ref="H666:H729" si="326">A666+8</f>
        <v>46063</v>
      </c>
      <c r="I666" s="77">
        <f t="shared" ref="I666:I729" si="327">A666+15</f>
        <v>46070</v>
      </c>
      <c r="J666" s="77">
        <v>46085</v>
      </c>
      <c r="K666" s="25">
        <f t="shared" ref="K666:K673" si="328">J666-A666</f>
        <v>30</v>
      </c>
      <c r="L666" s="81">
        <v>13.82</v>
      </c>
      <c r="M666" s="81">
        <v>12.93</v>
      </c>
      <c r="N666" s="25">
        <f t="shared" ref="N666:N678" si="329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tr">
        <f>VLOOKUP(B667,'[1]Migrasi Bed'!$B$4:$E$521,4,0)</f>
        <v>SV.B004</v>
      </c>
      <c r="D667" s="77">
        <f t="shared" si="322"/>
        <v>46078</v>
      </c>
      <c r="E667" s="77">
        <f t="shared" si="323"/>
        <v>46062</v>
      </c>
      <c r="F667" s="77">
        <f t="shared" si="324"/>
        <v>46069</v>
      </c>
      <c r="G667" s="77">
        <f t="shared" si="325"/>
        <v>46075</v>
      </c>
      <c r="H667" s="77">
        <f t="shared" si="326"/>
        <v>46063</v>
      </c>
      <c r="I667" s="77">
        <f t="shared" si="327"/>
        <v>46070</v>
      </c>
      <c r="J667" s="77">
        <v>46085</v>
      </c>
      <c r="K667" s="25">
        <f t="shared" si="328"/>
        <v>30</v>
      </c>
      <c r="L667" s="81">
        <v>14.55</v>
      </c>
      <c r="M667" s="81">
        <v>13.78</v>
      </c>
      <c r="N667" s="25">
        <f t="shared" si="329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tr">
        <f>VLOOKUP(B668,'[1]Migrasi Bed'!$B$4:$E$521,4,0)</f>
        <v>SV.B005</v>
      </c>
      <c r="D668" s="77">
        <f t="shared" si="322"/>
        <v>46078</v>
      </c>
      <c r="E668" s="77">
        <f t="shared" si="323"/>
        <v>46062</v>
      </c>
      <c r="F668" s="77">
        <f t="shared" si="324"/>
        <v>46069</v>
      </c>
      <c r="G668" s="77">
        <f t="shared" si="325"/>
        <v>46075</v>
      </c>
      <c r="H668" s="77">
        <f t="shared" si="326"/>
        <v>46063</v>
      </c>
      <c r="I668" s="77">
        <f t="shared" si="327"/>
        <v>46070</v>
      </c>
      <c r="J668" s="77">
        <v>46085</v>
      </c>
      <c r="K668" s="25">
        <f t="shared" si="328"/>
        <v>30</v>
      </c>
      <c r="L668" s="81">
        <v>14.1</v>
      </c>
      <c r="M668" s="81">
        <v>13.23</v>
      </c>
      <c r="N668" s="25">
        <f t="shared" si="329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tr">
        <f>VLOOKUP(B669,'[1]Migrasi Bed'!$B$4:$E$521,4,0)</f>
        <v>SV.B006</v>
      </c>
      <c r="D669" s="77">
        <f t="shared" si="322"/>
        <v>46078</v>
      </c>
      <c r="E669" s="77">
        <f t="shared" si="323"/>
        <v>46062</v>
      </c>
      <c r="F669" s="77">
        <f t="shared" si="324"/>
        <v>46069</v>
      </c>
      <c r="G669" s="77">
        <f t="shared" si="325"/>
        <v>46075</v>
      </c>
      <c r="H669" s="77">
        <f t="shared" si="326"/>
        <v>46063</v>
      </c>
      <c r="I669" s="77">
        <f t="shared" si="327"/>
        <v>46070</v>
      </c>
      <c r="J669" s="77">
        <v>46085</v>
      </c>
      <c r="K669" s="25">
        <f t="shared" si="328"/>
        <v>30</v>
      </c>
      <c r="L669" s="81">
        <v>14.23</v>
      </c>
      <c r="M669" s="81">
        <v>13.58</v>
      </c>
      <c r="N669" s="25">
        <f t="shared" si="329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tr">
        <f>VLOOKUP(B670,'[1]Migrasi Bed'!$B$4:$E$521,4,0)</f>
        <v>SV.B007</v>
      </c>
      <c r="D670" s="77">
        <f t="shared" si="322"/>
        <v>46078</v>
      </c>
      <c r="E670" s="77">
        <f t="shared" si="323"/>
        <v>46062</v>
      </c>
      <c r="F670" s="77">
        <f t="shared" si="324"/>
        <v>46069</v>
      </c>
      <c r="G670" s="77">
        <f t="shared" si="325"/>
        <v>46075</v>
      </c>
      <c r="H670" s="77">
        <f t="shared" si="326"/>
        <v>46063</v>
      </c>
      <c r="I670" s="77">
        <f t="shared" si="327"/>
        <v>46070</v>
      </c>
      <c r="J670" s="77">
        <v>46085</v>
      </c>
      <c r="K670" s="25">
        <f t="shared" si="328"/>
        <v>30</v>
      </c>
      <c r="L670" s="81">
        <v>15.32</v>
      </c>
      <c r="M670" s="81">
        <v>14.1</v>
      </c>
      <c r="N670" s="25">
        <f t="shared" si="329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tr">
        <f>VLOOKUP(B671,'[1]Migrasi Bed'!$B$4:$E$521,4,0)</f>
        <v>SV.B008</v>
      </c>
      <c r="D671" s="77">
        <f t="shared" si="322"/>
        <v>46078</v>
      </c>
      <c r="E671" s="77">
        <f t="shared" si="323"/>
        <v>46062</v>
      </c>
      <c r="F671" s="77">
        <f t="shared" si="324"/>
        <v>46069</v>
      </c>
      <c r="G671" s="77">
        <f t="shared" si="325"/>
        <v>46075</v>
      </c>
      <c r="H671" s="77">
        <f t="shared" si="326"/>
        <v>46063</v>
      </c>
      <c r="I671" s="77">
        <f t="shared" si="327"/>
        <v>46070</v>
      </c>
      <c r="J671" s="77">
        <v>46085</v>
      </c>
      <c r="K671" s="25">
        <f t="shared" si="328"/>
        <v>30</v>
      </c>
      <c r="L671" s="81">
        <v>13.26</v>
      </c>
      <c r="M671" s="81">
        <v>12.54</v>
      </c>
      <c r="N671" s="25">
        <f t="shared" si="329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tr">
        <f>VLOOKUP(B672,'[1]Migrasi Bed'!$B$4:$E$521,4,0)</f>
        <v>SV.B009</v>
      </c>
      <c r="D672" s="77">
        <f t="shared" si="322"/>
        <v>46078</v>
      </c>
      <c r="E672" s="77">
        <f t="shared" si="323"/>
        <v>46062</v>
      </c>
      <c r="F672" s="77">
        <f t="shared" si="324"/>
        <v>46069</v>
      </c>
      <c r="G672" s="77">
        <f t="shared" si="325"/>
        <v>46075</v>
      </c>
      <c r="H672" s="77">
        <f t="shared" si="326"/>
        <v>46063</v>
      </c>
      <c r="I672" s="77">
        <f t="shared" si="327"/>
        <v>46070</v>
      </c>
      <c r="J672" s="77">
        <v>46085</v>
      </c>
      <c r="K672" s="25">
        <f t="shared" si="328"/>
        <v>30</v>
      </c>
      <c r="L672" s="81">
        <v>15.41</v>
      </c>
      <c r="M672" s="81">
        <v>14.76</v>
      </c>
      <c r="N672" s="25">
        <f t="shared" si="329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tr">
        <f>VLOOKUP(B673,'[1]Migrasi Bed'!$B$4:$E$521,4,0)</f>
        <v>SV.A001</v>
      </c>
      <c r="D673" s="77">
        <f t="shared" si="322"/>
        <v>46079</v>
      </c>
      <c r="E673" s="77">
        <f t="shared" si="323"/>
        <v>46063</v>
      </c>
      <c r="F673" s="77">
        <f t="shared" si="324"/>
        <v>46070</v>
      </c>
      <c r="G673" s="77">
        <f t="shared" si="325"/>
        <v>46076</v>
      </c>
      <c r="H673" s="77">
        <f t="shared" si="326"/>
        <v>46064</v>
      </c>
      <c r="I673" s="77">
        <f t="shared" si="327"/>
        <v>46071</v>
      </c>
      <c r="J673" s="77">
        <v>46086</v>
      </c>
      <c r="K673" s="25">
        <f t="shared" si="328"/>
        <v>30</v>
      </c>
      <c r="L673" s="81">
        <v>14.52</v>
      </c>
      <c r="M673" s="81">
        <v>13.67</v>
      </c>
      <c r="N673" s="25">
        <f t="shared" si="329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tr">
        <f>VLOOKUP(B674,'[1]Migrasi Bed'!$B$4:$E$521,4,0)</f>
        <v>SV.A002</v>
      </c>
      <c r="D674" s="77">
        <f t="shared" si="322"/>
        <v>46079</v>
      </c>
      <c r="E674" s="77">
        <f t="shared" si="323"/>
        <v>46063</v>
      </c>
      <c r="F674" s="77">
        <f t="shared" si="324"/>
        <v>46070</v>
      </c>
      <c r="G674" s="77">
        <f t="shared" si="325"/>
        <v>46076</v>
      </c>
      <c r="H674" s="77">
        <f t="shared" si="326"/>
        <v>46064</v>
      </c>
      <c r="I674" s="77">
        <f t="shared" si="327"/>
        <v>46071</v>
      </c>
      <c r="J674" s="77">
        <v>46086</v>
      </c>
      <c r="K674" s="25">
        <f t="shared" ref="K674:K676" si="330">J674-A674</f>
        <v>30</v>
      </c>
      <c r="L674" s="81">
        <v>15.31</v>
      </c>
      <c r="M674" s="81">
        <v>14.28</v>
      </c>
      <c r="N674" s="25">
        <f t="shared" si="329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tr">
        <f>VLOOKUP(B675,'[1]Migrasi Bed'!$B$4:$E$521,4,0)</f>
        <v>SV.B001</v>
      </c>
      <c r="D675" s="77">
        <f t="shared" si="322"/>
        <v>46079</v>
      </c>
      <c r="E675" s="77">
        <f t="shared" si="323"/>
        <v>46063</v>
      </c>
      <c r="F675" s="77">
        <f t="shared" si="324"/>
        <v>46070</v>
      </c>
      <c r="G675" s="77">
        <f t="shared" si="325"/>
        <v>46076</v>
      </c>
      <c r="H675" s="77">
        <f t="shared" si="326"/>
        <v>46064</v>
      </c>
      <c r="I675" s="77">
        <f t="shared" si="327"/>
        <v>46071</v>
      </c>
      <c r="J675" s="77">
        <v>46086</v>
      </c>
      <c r="K675" s="25">
        <f t="shared" si="330"/>
        <v>30</v>
      </c>
      <c r="L675" s="81">
        <v>15.63</v>
      </c>
      <c r="M675" s="81">
        <v>14.21</v>
      </c>
      <c r="N675" s="25">
        <f t="shared" si="329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tr">
        <f>VLOOKUP(B676,'[1]Migrasi Bed'!$B$4:$E$521,4,0)</f>
        <v>SV.B002</v>
      </c>
      <c r="D676" s="77">
        <f t="shared" si="322"/>
        <v>46079</v>
      </c>
      <c r="E676" s="77">
        <f t="shared" si="323"/>
        <v>46063</v>
      </c>
      <c r="F676" s="77">
        <f t="shared" si="324"/>
        <v>46070</v>
      </c>
      <c r="G676" s="77">
        <f t="shared" si="325"/>
        <v>46076</v>
      </c>
      <c r="H676" s="77">
        <f t="shared" si="326"/>
        <v>46064</v>
      </c>
      <c r="I676" s="77">
        <f t="shared" si="327"/>
        <v>46071</v>
      </c>
      <c r="J676" s="77">
        <v>46086</v>
      </c>
      <c r="K676" s="25">
        <f t="shared" si="330"/>
        <v>30</v>
      </c>
      <c r="L676" s="81">
        <v>14.87</v>
      </c>
      <c r="M676" s="81">
        <v>13.98</v>
      </c>
      <c r="N676" s="25">
        <f t="shared" si="329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tr">
        <f>VLOOKUP(B677,'[1]Migrasi Bed'!$B$4:$E$521,4,0)</f>
        <v>SV.C003</v>
      </c>
      <c r="D677" s="77">
        <f t="shared" si="322"/>
        <v>46079</v>
      </c>
      <c r="E677" s="77">
        <f t="shared" si="323"/>
        <v>46063</v>
      </c>
      <c r="F677" s="77">
        <f t="shared" si="324"/>
        <v>46070</v>
      </c>
      <c r="G677" s="77">
        <f t="shared" si="325"/>
        <v>46076</v>
      </c>
      <c r="H677" s="77">
        <f t="shared" si="326"/>
        <v>46064</v>
      </c>
      <c r="I677" s="77">
        <f t="shared" si="327"/>
        <v>46071</v>
      </c>
      <c r="J677" s="77">
        <v>46086</v>
      </c>
      <c r="K677" s="25">
        <f t="shared" ref="K677:K678" si="331">J677-A677</f>
        <v>30</v>
      </c>
      <c r="L677" s="81">
        <v>15.74</v>
      </c>
      <c r="M677" s="81">
        <v>14.91</v>
      </c>
      <c r="N677" s="25">
        <f t="shared" si="329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tr">
        <f>VLOOKUP(B678,'[1]Migrasi Bed'!$B$4:$E$521,4,0)</f>
        <v>SV.C004</v>
      </c>
      <c r="D678" s="77">
        <f t="shared" si="322"/>
        <v>46079</v>
      </c>
      <c r="E678" s="77">
        <f t="shared" si="323"/>
        <v>46063</v>
      </c>
      <c r="F678" s="77">
        <f t="shared" si="324"/>
        <v>46070</v>
      </c>
      <c r="G678" s="77">
        <f t="shared" si="325"/>
        <v>46076</v>
      </c>
      <c r="H678" s="77">
        <f t="shared" si="326"/>
        <v>46064</v>
      </c>
      <c r="I678" s="77">
        <f t="shared" si="327"/>
        <v>46071</v>
      </c>
      <c r="J678" s="77">
        <v>46086</v>
      </c>
      <c r="K678" s="25">
        <f t="shared" si="331"/>
        <v>30</v>
      </c>
      <c r="L678" s="81">
        <v>14.29</v>
      </c>
      <c r="M678" s="81">
        <v>13.34</v>
      </c>
      <c r="N678" s="25">
        <f t="shared" si="329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tr">
        <f>VLOOKUP(B679,'[1]Migrasi Bed'!$B$4:$E$521,4,0)</f>
        <v>SV.C006</v>
      </c>
      <c r="D679" s="77">
        <f t="shared" si="322"/>
        <v>46079</v>
      </c>
      <c r="E679" s="77">
        <f t="shared" si="323"/>
        <v>46063</v>
      </c>
      <c r="F679" s="77">
        <f t="shared" si="324"/>
        <v>46070</v>
      </c>
      <c r="G679" s="77">
        <f t="shared" si="325"/>
        <v>46076</v>
      </c>
      <c r="H679" s="77">
        <f t="shared" si="326"/>
        <v>46064</v>
      </c>
      <c r="I679" s="77">
        <f t="shared" si="327"/>
        <v>46071</v>
      </c>
      <c r="J679" s="77">
        <v>46085</v>
      </c>
      <c r="K679" s="25">
        <f t="shared" ref="K679:K686" si="332">J679-A679</f>
        <v>29</v>
      </c>
      <c r="L679" s="81">
        <v>15.29</v>
      </c>
      <c r="M679" s="81">
        <v>14.51</v>
      </c>
      <c r="N679" s="25">
        <f t="shared" ref="N679:N686" si="333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tr">
        <f>VLOOKUP(B680,'[1]Migrasi Bed'!$B$4:$E$521,4,0)</f>
        <v>SV.C007</v>
      </c>
      <c r="D680" s="77">
        <f t="shared" si="322"/>
        <v>46079</v>
      </c>
      <c r="E680" s="77">
        <f t="shared" si="323"/>
        <v>46063</v>
      </c>
      <c r="F680" s="77">
        <f t="shared" si="324"/>
        <v>46070</v>
      </c>
      <c r="G680" s="77">
        <f t="shared" si="325"/>
        <v>46076</v>
      </c>
      <c r="H680" s="77">
        <f t="shared" si="326"/>
        <v>46064</v>
      </c>
      <c r="I680" s="77">
        <f t="shared" si="327"/>
        <v>46071</v>
      </c>
      <c r="J680" s="77">
        <v>46085</v>
      </c>
      <c r="K680" s="25">
        <f t="shared" si="332"/>
        <v>29</v>
      </c>
      <c r="L680" s="81">
        <v>14.64</v>
      </c>
      <c r="M680" s="81">
        <v>13.81</v>
      </c>
      <c r="N680" s="25">
        <f t="shared" si="333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tr">
        <f>VLOOKUP(B681,'[1]Migrasi Bed'!$B$4:$E$521,4,0)</f>
        <v>ST.F001</v>
      </c>
      <c r="D681" s="77">
        <f t="shared" si="322"/>
        <v>46080</v>
      </c>
      <c r="E681" s="77">
        <f t="shared" si="323"/>
        <v>46064</v>
      </c>
      <c r="F681" s="77">
        <f t="shared" si="324"/>
        <v>46071</v>
      </c>
      <c r="G681" s="77">
        <f t="shared" si="325"/>
        <v>46077</v>
      </c>
      <c r="H681" s="77">
        <f t="shared" si="326"/>
        <v>46065</v>
      </c>
      <c r="I681" s="77">
        <f t="shared" si="327"/>
        <v>46072</v>
      </c>
      <c r="J681" s="77">
        <v>46087</v>
      </c>
      <c r="K681" s="25">
        <f t="shared" si="332"/>
        <v>30</v>
      </c>
      <c r="L681" s="81">
        <v>16.62</v>
      </c>
      <c r="M681" s="81">
        <v>15.51</v>
      </c>
      <c r="N681" s="25">
        <f t="shared" si="333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tr">
        <f>VLOOKUP(B682,'[1]Migrasi Bed'!$B$4:$E$521,4,0)</f>
        <v>ST.F002</v>
      </c>
      <c r="D682" s="77">
        <f t="shared" si="322"/>
        <v>46080</v>
      </c>
      <c r="E682" s="77">
        <f t="shared" si="323"/>
        <v>46064</v>
      </c>
      <c r="F682" s="77">
        <f t="shared" si="324"/>
        <v>46071</v>
      </c>
      <c r="G682" s="77">
        <f t="shared" si="325"/>
        <v>46077</v>
      </c>
      <c r="H682" s="77">
        <f t="shared" si="326"/>
        <v>46065</v>
      </c>
      <c r="I682" s="77">
        <f t="shared" si="327"/>
        <v>46072</v>
      </c>
      <c r="J682" s="77">
        <v>46087</v>
      </c>
      <c r="K682" s="25">
        <f t="shared" si="332"/>
        <v>30</v>
      </c>
      <c r="L682" s="81">
        <v>15.87</v>
      </c>
      <c r="M682" s="81">
        <v>14.73</v>
      </c>
      <c r="N682" s="25">
        <f t="shared" si="333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tr">
        <f>VLOOKUP(B683,'[1]Migrasi Bed'!$B$4:$E$521,4,0)</f>
        <v>ST.F003</v>
      </c>
      <c r="D683" s="77">
        <f t="shared" si="322"/>
        <v>46080</v>
      </c>
      <c r="E683" s="77">
        <f t="shared" si="323"/>
        <v>46064</v>
      </c>
      <c r="F683" s="77">
        <f t="shared" si="324"/>
        <v>46071</v>
      </c>
      <c r="G683" s="77">
        <f t="shared" si="325"/>
        <v>46077</v>
      </c>
      <c r="H683" s="77">
        <f t="shared" si="326"/>
        <v>46065</v>
      </c>
      <c r="I683" s="77">
        <f t="shared" si="327"/>
        <v>46072</v>
      </c>
      <c r="J683" s="77">
        <v>46087</v>
      </c>
      <c r="K683" s="25">
        <f t="shared" si="332"/>
        <v>30</v>
      </c>
      <c r="L683" s="81">
        <v>14.66</v>
      </c>
      <c r="M683" s="81">
        <v>13.58</v>
      </c>
      <c r="N683" s="25">
        <f t="shared" si="333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tr">
        <f>VLOOKUP(B684,'[1]Migrasi Bed'!$B$4:$E$521,4,0)</f>
        <v>ST.F004</v>
      </c>
      <c r="D684" s="77">
        <f t="shared" si="322"/>
        <v>46080</v>
      </c>
      <c r="E684" s="77">
        <f t="shared" si="323"/>
        <v>46064</v>
      </c>
      <c r="F684" s="77">
        <f t="shared" si="324"/>
        <v>46071</v>
      </c>
      <c r="G684" s="77">
        <f t="shared" si="325"/>
        <v>46077</v>
      </c>
      <c r="H684" s="77">
        <f t="shared" si="326"/>
        <v>46065</v>
      </c>
      <c r="I684" s="77">
        <f t="shared" si="327"/>
        <v>46072</v>
      </c>
      <c r="J684" s="77">
        <v>46087</v>
      </c>
      <c r="K684" s="25">
        <f t="shared" si="332"/>
        <v>30</v>
      </c>
      <c r="L684" s="81">
        <v>15.9</v>
      </c>
      <c r="M684" s="81">
        <v>14.71</v>
      </c>
      <c r="N684" s="25">
        <f t="shared" si="333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tr">
        <f>VLOOKUP(B685,'[1]Migrasi Bed'!$B$4:$E$521,4,0)</f>
        <v>ST.F005</v>
      </c>
      <c r="D685" s="77">
        <f t="shared" si="322"/>
        <v>46080</v>
      </c>
      <c r="E685" s="77">
        <f t="shared" si="323"/>
        <v>46064</v>
      </c>
      <c r="F685" s="77">
        <f t="shared" si="324"/>
        <v>46071</v>
      </c>
      <c r="G685" s="77">
        <f t="shared" si="325"/>
        <v>46077</v>
      </c>
      <c r="H685" s="77">
        <f t="shared" si="326"/>
        <v>46065</v>
      </c>
      <c r="I685" s="77">
        <f t="shared" si="327"/>
        <v>46072</v>
      </c>
      <c r="J685" s="77">
        <v>46087</v>
      </c>
      <c r="K685" s="25">
        <f t="shared" si="332"/>
        <v>30</v>
      </c>
      <c r="L685" s="81">
        <v>14.78</v>
      </c>
      <c r="M685" s="81">
        <v>13.63</v>
      </c>
      <c r="N685" s="25">
        <f t="shared" si="333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tr">
        <f>VLOOKUP(B686,'[1]Migrasi Bed'!$B$4:$E$521,4,0)</f>
        <v>ST.F006</v>
      </c>
      <c r="D686" s="77">
        <f t="shared" si="322"/>
        <v>46080</v>
      </c>
      <c r="E686" s="77">
        <f t="shared" si="323"/>
        <v>46064</v>
      </c>
      <c r="F686" s="77">
        <f t="shared" si="324"/>
        <v>46071</v>
      </c>
      <c r="G686" s="77">
        <f t="shared" si="325"/>
        <v>46077</v>
      </c>
      <c r="H686" s="77">
        <f t="shared" si="326"/>
        <v>46065</v>
      </c>
      <c r="I686" s="77">
        <f t="shared" si="327"/>
        <v>46072</v>
      </c>
      <c r="J686" s="77">
        <v>46087</v>
      </c>
      <c r="K686" s="25">
        <f t="shared" si="332"/>
        <v>30</v>
      </c>
      <c r="L686" s="81">
        <v>15.1</v>
      </c>
      <c r="M686" s="81">
        <v>14.19</v>
      </c>
      <c r="N686" s="25">
        <f t="shared" si="333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tr">
        <f>VLOOKUP(B687,'[1]Migrasi Bed'!$B$4:$E$521,4,0)</f>
        <v>ST.F007</v>
      </c>
      <c r="D687" s="77">
        <f t="shared" si="322"/>
        <v>46080</v>
      </c>
      <c r="E687" s="77">
        <f t="shared" si="323"/>
        <v>46064</v>
      </c>
      <c r="F687" s="77">
        <f t="shared" si="324"/>
        <v>46071</v>
      </c>
      <c r="G687" s="77">
        <f t="shared" si="325"/>
        <v>46077</v>
      </c>
      <c r="H687" s="77">
        <f t="shared" si="326"/>
        <v>46065</v>
      </c>
      <c r="I687" s="77">
        <f t="shared" si="327"/>
        <v>46072</v>
      </c>
      <c r="J687" s="77">
        <v>46086</v>
      </c>
      <c r="K687" s="25">
        <f t="shared" ref="K687:K690" si="334">J687-A687</f>
        <v>29</v>
      </c>
      <c r="L687" s="81">
        <v>15.16</v>
      </c>
      <c r="M687" s="81">
        <v>14.12</v>
      </c>
      <c r="N687" s="25">
        <f t="shared" ref="N687:N690" si="335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tr">
        <f>VLOOKUP(B688,'[1]Migrasi Bed'!$B$4:$E$521,4,0)</f>
        <v>ST.F008</v>
      </c>
      <c r="D688" s="77">
        <f t="shared" si="322"/>
        <v>46081</v>
      </c>
      <c r="E688" s="77">
        <f t="shared" si="323"/>
        <v>46065</v>
      </c>
      <c r="F688" s="77">
        <f t="shared" si="324"/>
        <v>46072</v>
      </c>
      <c r="G688" s="77">
        <f t="shared" si="325"/>
        <v>46078</v>
      </c>
      <c r="H688" s="77">
        <f t="shared" si="326"/>
        <v>46066</v>
      </c>
      <c r="I688" s="77">
        <f t="shared" si="327"/>
        <v>46073</v>
      </c>
      <c r="J688" s="77">
        <v>46087</v>
      </c>
      <c r="K688" s="25">
        <f t="shared" si="334"/>
        <v>29</v>
      </c>
      <c r="L688" s="81">
        <v>14.36</v>
      </c>
      <c r="M688" s="81">
        <v>13.24</v>
      </c>
      <c r="N688" s="25">
        <f t="shared" si="335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tr">
        <f>VLOOKUP(B689,'[1]Migrasi Bed'!$B$4:$E$521,4,0)</f>
        <v>ST.F009</v>
      </c>
      <c r="D689" s="77">
        <f t="shared" si="322"/>
        <v>46081</v>
      </c>
      <c r="E689" s="77">
        <f t="shared" si="323"/>
        <v>46065</v>
      </c>
      <c r="F689" s="77">
        <f t="shared" si="324"/>
        <v>46072</v>
      </c>
      <c r="G689" s="77">
        <f t="shared" si="325"/>
        <v>46078</v>
      </c>
      <c r="H689" s="77">
        <f t="shared" si="326"/>
        <v>46066</v>
      </c>
      <c r="I689" s="77">
        <f t="shared" si="327"/>
        <v>46073</v>
      </c>
      <c r="J689" s="77">
        <v>46087</v>
      </c>
      <c r="K689" s="25">
        <f t="shared" si="334"/>
        <v>29</v>
      </c>
      <c r="L689" s="81">
        <v>15.08</v>
      </c>
      <c r="M689" s="81">
        <v>14.1</v>
      </c>
      <c r="N689" s="25">
        <f t="shared" si="335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tr">
        <f>VLOOKUP(B690,'[1]Migrasi Bed'!$B$4:$E$521,4,0)</f>
        <v>ST.F010</v>
      </c>
      <c r="D690" s="77">
        <f t="shared" si="322"/>
        <v>46081</v>
      </c>
      <c r="E690" s="77">
        <f t="shared" si="323"/>
        <v>46065</v>
      </c>
      <c r="F690" s="77">
        <f t="shared" si="324"/>
        <v>46072</v>
      </c>
      <c r="G690" s="77">
        <f t="shared" si="325"/>
        <v>46078</v>
      </c>
      <c r="H690" s="77">
        <f t="shared" si="326"/>
        <v>46066</v>
      </c>
      <c r="I690" s="77">
        <f t="shared" si="327"/>
        <v>46073</v>
      </c>
      <c r="J690" s="77">
        <v>46087</v>
      </c>
      <c r="K690" s="25">
        <f t="shared" si="334"/>
        <v>29</v>
      </c>
      <c r="L690" s="81">
        <v>14.59</v>
      </c>
      <c r="M690" s="81">
        <v>13.24</v>
      </c>
      <c r="N690" s="25">
        <f t="shared" si="335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tr">
        <f>VLOOKUP(B691,'[1]Migrasi Bed'!$B$4:$E$521,4,0)</f>
        <v>ST.F011</v>
      </c>
      <c r="D691" s="77">
        <f t="shared" si="322"/>
        <v>46081</v>
      </c>
      <c r="E691" s="77">
        <f t="shared" si="323"/>
        <v>46065</v>
      </c>
      <c r="F691" s="77">
        <f t="shared" si="324"/>
        <v>46072</v>
      </c>
      <c r="G691" s="77">
        <f t="shared" si="325"/>
        <v>46078</v>
      </c>
      <c r="H691" s="77">
        <f t="shared" si="326"/>
        <v>46066</v>
      </c>
      <c r="I691" s="77">
        <f t="shared" si="327"/>
        <v>46073</v>
      </c>
      <c r="J691" s="77"/>
      <c r="K691" s="25"/>
      <c r="L691" s="81"/>
      <c r="M691" s="81"/>
      <c r="N691" s="25"/>
      <c r="O691" s="25"/>
    </row>
    <row r="692" spans="1:15" x14ac:dyDescent="0.25">
      <c r="A692" s="77">
        <v>46058</v>
      </c>
      <c r="B692" s="25" t="s">
        <v>487</v>
      </c>
      <c r="C692" s="25" t="str">
        <f>VLOOKUP(B692,'[1]Migrasi Bed'!$B$4:$E$521,4,0)</f>
        <v>ST.F012</v>
      </c>
      <c r="D692" s="77">
        <f t="shared" si="322"/>
        <v>46081</v>
      </c>
      <c r="E692" s="77">
        <f t="shared" si="323"/>
        <v>46065</v>
      </c>
      <c r="F692" s="77">
        <f t="shared" si="324"/>
        <v>46072</v>
      </c>
      <c r="G692" s="77">
        <f t="shared" si="325"/>
        <v>46078</v>
      </c>
      <c r="H692" s="77">
        <f t="shared" si="326"/>
        <v>46066</v>
      </c>
      <c r="I692" s="77">
        <f t="shared" si="327"/>
        <v>46073</v>
      </c>
      <c r="J692" s="77"/>
      <c r="K692" s="25"/>
      <c r="L692" s="81"/>
      <c r="M692" s="81"/>
      <c r="N692" s="25"/>
      <c r="O692" s="25"/>
    </row>
    <row r="693" spans="1:15" x14ac:dyDescent="0.25">
      <c r="A693" s="77">
        <v>46058</v>
      </c>
      <c r="B693" s="25" t="s">
        <v>488</v>
      </c>
      <c r="C693" s="25" t="str">
        <f>VLOOKUP(B693,'[1]Migrasi Bed'!$B$4:$E$521,4,0)</f>
        <v>ST.G001</v>
      </c>
      <c r="D693" s="77">
        <f t="shared" si="322"/>
        <v>46081</v>
      </c>
      <c r="E693" s="77">
        <f t="shared" si="323"/>
        <v>46065</v>
      </c>
      <c r="F693" s="77">
        <f t="shared" si="324"/>
        <v>46072</v>
      </c>
      <c r="G693" s="77">
        <f t="shared" si="325"/>
        <v>46078</v>
      </c>
      <c r="H693" s="77">
        <f t="shared" si="326"/>
        <v>46066</v>
      </c>
      <c r="I693" s="77">
        <f t="shared" si="327"/>
        <v>46073</v>
      </c>
      <c r="J693" s="77"/>
      <c r="K693" s="25"/>
      <c r="L693" s="81"/>
      <c r="M693" s="81"/>
      <c r="N693" s="25"/>
      <c r="O693" s="25"/>
    </row>
    <row r="694" spans="1:15" x14ac:dyDescent="0.25">
      <c r="A694" s="77">
        <v>46058</v>
      </c>
      <c r="B694" s="25" t="s">
        <v>489</v>
      </c>
      <c r="C694" s="25" t="str">
        <f>VLOOKUP(B694,'[1]Migrasi Bed'!$B$4:$E$521,4,0)</f>
        <v>ST.G002</v>
      </c>
      <c r="D694" s="77">
        <f t="shared" si="322"/>
        <v>46081</v>
      </c>
      <c r="E694" s="77">
        <f t="shared" si="323"/>
        <v>46065</v>
      </c>
      <c r="F694" s="77">
        <f t="shared" si="324"/>
        <v>46072</v>
      </c>
      <c r="G694" s="77">
        <f t="shared" si="325"/>
        <v>46078</v>
      </c>
      <c r="H694" s="77">
        <f t="shared" si="326"/>
        <v>46066</v>
      </c>
      <c r="I694" s="77">
        <f t="shared" si="327"/>
        <v>46073</v>
      </c>
      <c r="J694" s="77"/>
      <c r="K694" s="25"/>
      <c r="L694" s="81"/>
      <c r="M694" s="81"/>
      <c r="N694" s="25"/>
      <c r="O694" s="25"/>
    </row>
    <row r="695" spans="1:15" x14ac:dyDescent="0.25">
      <c r="A695" s="77">
        <v>46059</v>
      </c>
      <c r="B695" s="25" t="s">
        <v>777</v>
      </c>
      <c r="C695" s="25" t="str">
        <f>VLOOKUP(B695,'[1]Migrasi Bed'!$B$4:$E$521,4,0)</f>
        <v>BJ.H021</v>
      </c>
      <c r="D695" s="77">
        <f t="shared" si="322"/>
        <v>46082</v>
      </c>
      <c r="E695" s="77">
        <f t="shared" si="323"/>
        <v>46066</v>
      </c>
      <c r="F695" s="77">
        <f t="shared" si="324"/>
        <v>46073</v>
      </c>
      <c r="G695" s="77">
        <f t="shared" si="325"/>
        <v>46079</v>
      </c>
      <c r="H695" s="77">
        <f t="shared" si="326"/>
        <v>46067</v>
      </c>
      <c r="I695" s="77">
        <f t="shared" si="327"/>
        <v>46074</v>
      </c>
      <c r="J695" s="77"/>
      <c r="K695" s="25"/>
      <c r="L695" s="81"/>
      <c r="M695" s="81"/>
      <c r="N695" s="25"/>
      <c r="O695" s="25"/>
    </row>
    <row r="696" spans="1:15" x14ac:dyDescent="0.25">
      <c r="A696" s="77">
        <v>46059</v>
      </c>
      <c r="B696" s="25" t="s">
        <v>778</v>
      </c>
      <c r="C696" s="25" t="str">
        <f>VLOOKUP(B696,'[1]Migrasi Bed'!$B$4:$E$521,4,0)</f>
        <v>BJ.H022</v>
      </c>
      <c r="D696" s="77">
        <f t="shared" si="322"/>
        <v>46082</v>
      </c>
      <c r="E696" s="77">
        <f t="shared" si="323"/>
        <v>46066</v>
      </c>
      <c r="F696" s="77">
        <f t="shared" si="324"/>
        <v>46073</v>
      </c>
      <c r="G696" s="77">
        <f t="shared" si="325"/>
        <v>46079</v>
      </c>
      <c r="H696" s="77">
        <f t="shared" si="326"/>
        <v>46067</v>
      </c>
      <c r="I696" s="77">
        <f t="shared" si="327"/>
        <v>46074</v>
      </c>
      <c r="J696" s="77"/>
      <c r="K696" s="25"/>
      <c r="L696" s="81"/>
      <c r="M696" s="81"/>
      <c r="N696" s="25"/>
      <c r="O696" s="25"/>
    </row>
    <row r="697" spans="1:15" x14ac:dyDescent="0.25">
      <c r="A697" s="77">
        <v>46059</v>
      </c>
      <c r="B697" s="25" t="s">
        <v>779</v>
      </c>
      <c r="C697" s="25" t="str">
        <f>VLOOKUP(B697,'[1]Migrasi Bed'!$B$4:$E$521,4,0)</f>
        <v>BJ.H023</v>
      </c>
      <c r="D697" s="77">
        <f t="shared" si="322"/>
        <v>46082</v>
      </c>
      <c r="E697" s="77">
        <f t="shared" si="323"/>
        <v>46066</v>
      </c>
      <c r="F697" s="77">
        <f t="shared" si="324"/>
        <v>46073</v>
      </c>
      <c r="G697" s="77">
        <f t="shared" si="325"/>
        <v>46079</v>
      </c>
      <c r="H697" s="77">
        <f t="shared" si="326"/>
        <v>46067</v>
      </c>
      <c r="I697" s="77">
        <f t="shared" si="327"/>
        <v>46074</v>
      </c>
      <c r="J697" s="77"/>
      <c r="K697" s="25"/>
      <c r="L697" s="81"/>
      <c r="M697" s="81"/>
      <c r="N697" s="25"/>
      <c r="O697" s="25"/>
    </row>
    <row r="698" spans="1:15" x14ac:dyDescent="0.25">
      <c r="A698" s="77">
        <v>46059</v>
      </c>
      <c r="B698" s="25" t="s">
        <v>780</v>
      </c>
      <c r="C698" s="25" t="str">
        <f>VLOOKUP(B698,'[1]Migrasi Bed'!$B$4:$E$521,4,0)</f>
        <v>BJ.H024</v>
      </c>
      <c r="D698" s="77">
        <f t="shared" si="322"/>
        <v>46082</v>
      </c>
      <c r="E698" s="77">
        <f t="shared" si="323"/>
        <v>46066</v>
      </c>
      <c r="F698" s="77">
        <f t="shared" si="324"/>
        <v>46073</v>
      </c>
      <c r="G698" s="77">
        <f t="shared" si="325"/>
        <v>46079</v>
      </c>
      <c r="H698" s="77">
        <f t="shared" si="326"/>
        <v>46067</v>
      </c>
      <c r="I698" s="77">
        <f t="shared" si="327"/>
        <v>46074</v>
      </c>
      <c r="J698" s="77"/>
      <c r="K698" s="25"/>
      <c r="L698" s="81"/>
      <c r="M698" s="81"/>
      <c r="N698" s="25"/>
      <c r="O698" s="25"/>
    </row>
    <row r="699" spans="1:15" x14ac:dyDescent="0.25">
      <c r="A699" s="77">
        <v>46059</v>
      </c>
      <c r="B699" s="25" t="s">
        <v>781</v>
      </c>
      <c r="C699" s="25" t="str">
        <f>VLOOKUP(B699,'[1]Migrasi Bed'!$B$4:$E$521,4,0)</f>
        <v>BJ.H025</v>
      </c>
      <c r="D699" s="77">
        <f t="shared" si="322"/>
        <v>46082</v>
      </c>
      <c r="E699" s="77">
        <f t="shared" si="323"/>
        <v>46066</v>
      </c>
      <c r="F699" s="77">
        <f t="shared" si="324"/>
        <v>46073</v>
      </c>
      <c r="G699" s="77">
        <f t="shared" si="325"/>
        <v>46079</v>
      </c>
      <c r="H699" s="77">
        <f t="shared" si="326"/>
        <v>46067</v>
      </c>
      <c r="I699" s="77">
        <f t="shared" si="327"/>
        <v>46074</v>
      </c>
      <c r="J699" s="77"/>
      <c r="K699" s="25"/>
      <c r="L699" s="81"/>
      <c r="M699" s="81"/>
      <c r="N699" s="25"/>
      <c r="O699" s="25"/>
    </row>
    <row r="700" spans="1:15" x14ac:dyDescent="0.25">
      <c r="A700" s="77">
        <v>46059</v>
      </c>
      <c r="B700" s="25" t="s">
        <v>782</v>
      </c>
      <c r="C700" s="25" t="str">
        <f>VLOOKUP(B700,'[1]Migrasi Bed'!$B$4:$E$521,4,0)</f>
        <v>BJ.H026</v>
      </c>
      <c r="D700" s="77">
        <f t="shared" si="322"/>
        <v>46082</v>
      </c>
      <c r="E700" s="77">
        <f t="shared" si="323"/>
        <v>46066</v>
      </c>
      <c r="F700" s="77">
        <f t="shared" si="324"/>
        <v>46073</v>
      </c>
      <c r="G700" s="77">
        <f t="shared" si="325"/>
        <v>46079</v>
      </c>
      <c r="H700" s="77">
        <f t="shared" si="326"/>
        <v>46067</v>
      </c>
      <c r="I700" s="77">
        <f t="shared" si="327"/>
        <v>46074</v>
      </c>
      <c r="J700" s="77"/>
      <c r="K700" s="25"/>
      <c r="L700" s="81"/>
      <c r="M700" s="81"/>
      <c r="N700" s="25"/>
      <c r="O700" s="25"/>
    </row>
    <row r="701" spans="1:15" x14ac:dyDescent="0.25">
      <c r="A701" s="77">
        <v>46059</v>
      </c>
      <c r="B701" s="25" t="s">
        <v>783</v>
      </c>
      <c r="C701" s="25" t="str">
        <f>VLOOKUP(B701,'[1]Migrasi Bed'!$B$4:$E$521,4,0)</f>
        <v>BJ.H027</v>
      </c>
      <c r="D701" s="77">
        <f t="shared" si="322"/>
        <v>46082</v>
      </c>
      <c r="E701" s="77">
        <f t="shared" si="323"/>
        <v>46066</v>
      </c>
      <c r="F701" s="77">
        <f t="shared" si="324"/>
        <v>46073</v>
      </c>
      <c r="G701" s="77">
        <f t="shared" si="325"/>
        <v>46079</v>
      </c>
      <c r="H701" s="77">
        <f t="shared" si="326"/>
        <v>46067</v>
      </c>
      <c r="I701" s="77">
        <f t="shared" si="327"/>
        <v>46074</v>
      </c>
      <c r="J701" s="77"/>
      <c r="K701" s="25"/>
      <c r="L701" s="81"/>
      <c r="M701" s="81"/>
      <c r="N701" s="25"/>
      <c r="O701" s="25"/>
    </row>
    <row r="702" spans="1:15" x14ac:dyDescent="0.25">
      <c r="A702" s="77">
        <v>46060</v>
      </c>
      <c r="B702" s="25" t="s">
        <v>784</v>
      </c>
      <c r="C702" s="25" t="str">
        <f>VLOOKUP(B702,'[1]Migrasi Bed'!$B$4:$E$521,4,0)</f>
        <v>BJ.H028</v>
      </c>
      <c r="D702" s="77">
        <f t="shared" si="322"/>
        <v>46083</v>
      </c>
      <c r="E702" s="77">
        <f t="shared" si="323"/>
        <v>46067</v>
      </c>
      <c r="F702" s="77">
        <f t="shared" si="324"/>
        <v>46074</v>
      </c>
      <c r="G702" s="77">
        <f t="shared" si="325"/>
        <v>46080</v>
      </c>
      <c r="H702" s="77">
        <f t="shared" si="326"/>
        <v>46068</v>
      </c>
      <c r="I702" s="77">
        <f t="shared" si="327"/>
        <v>46075</v>
      </c>
      <c r="J702" s="77"/>
      <c r="K702" s="25"/>
      <c r="L702" s="81"/>
      <c r="M702" s="81"/>
      <c r="N702" s="25"/>
      <c r="O702" s="25"/>
    </row>
    <row r="703" spans="1:15" x14ac:dyDescent="0.25">
      <c r="A703" s="77">
        <v>46060</v>
      </c>
      <c r="B703" s="25" t="s">
        <v>785</v>
      </c>
      <c r="C703" s="25" t="str">
        <f>VLOOKUP(B703,'[1]Migrasi Bed'!$B$4:$E$521,4,0)</f>
        <v>BJ.H029</v>
      </c>
      <c r="D703" s="77">
        <f t="shared" si="322"/>
        <v>46083</v>
      </c>
      <c r="E703" s="77">
        <f t="shared" si="323"/>
        <v>46067</v>
      </c>
      <c r="F703" s="77">
        <f t="shared" si="324"/>
        <v>46074</v>
      </c>
      <c r="G703" s="77">
        <f t="shared" si="325"/>
        <v>46080</v>
      </c>
      <c r="H703" s="77">
        <f t="shared" si="326"/>
        <v>46068</v>
      </c>
      <c r="I703" s="77">
        <f t="shared" si="327"/>
        <v>46075</v>
      </c>
      <c r="J703" s="77"/>
      <c r="K703" s="25"/>
      <c r="L703" s="81"/>
      <c r="M703" s="81"/>
      <c r="N703" s="25"/>
      <c r="O703" s="25"/>
    </row>
    <row r="704" spans="1:15" x14ac:dyDescent="0.25">
      <c r="A704" s="77">
        <v>46060</v>
      </c>
      <c r="B704" s="25" t="s">
        <v>786</v>
      </c>
      <c r="C704" s="25" t="str">
        <f>VLOOKUP(B704,'[1]Migrasi Bed'!$B$4:$E$521,4,0)</f>
        <v>BJ.H030</v>
      </c>
      <c r="D704" s="77">
        <f t="shared" si="322"/>
        <v>46083</v>
      </c>
      <c r="E704" s="77">
        <f t="shared" si="323"/>
        <v>46067</v>
      </c>
      <c r="F704" s="77">
        <f t="shared" si="324"/>
        <v>46074</v>
      </c>
      <c r="G704" s="77">
        <f t="shared" si="325"/>
        <v>46080</v>
      </c>
      <c r="H704" s="77">
        <f t="shared" si="326"/>
        <v>46068</v>
      </c>
      <c r="I704" s="77">
        <f t="shared" si="327"/>
        <v>46075</v>
      </c>
      <c r="J704" s="77"/>
      <c r="K704" s="25"/>
      <c r="L704" s="81"/>
      <c r="M704" s="81"/>
      <c r="N704" s="25"/>
      <c r="O704" s="25"/>
    </row>
    <row r="705" spans="1:15" x14ac:dyDescent="0.25">
      <c r="A705" s="77">
        <v>46060</v>
      </c>
      <c r="B705" s="25" t="s">
        <v>1147</v>
      </c>
      <c r="C705" s="25" t="str">
        <f>VLOOKUP(B705,'[1]Migrasi Bed'!$B$4:$E$521,4,0)</f>
        <v>BJ.L001</v>
      </c>
      <c r="D705" s="77">
        <f t="shared" si="322"/>
        <v>46083</v>
      </c>
      <c r="E705" s="77">
        <f t="shared" si="323"/>
        <v>46067</v>
      </c>
      <c r="F705" s="77">
        <f t="shared" si="324"/>
        <v>46074</v>
      </c>
      <c r="G705" s="77">
        <f t="shared" si="325"/>
        <v>46080</v>
      </c>
      <c r="H705" s="77">
        <f t="shared" si="326"/>
        <v>46068</v>
      </c>
      <c r="I705" s="77">
        <f t="shared" si="327"/>
        <v>46075</v>
      </c>
      <c r="J705" s="77"/>
      <c r="K705" s="25"/>
      <c r="L705" s="81"/>
      <c r="M705" s="81"/>
      <c r="N705" s="25"/>
      <c r="O705" s="25"/>
    </row>
    <row r="706" spans="1:15" x14ac:dyDescent="0.25">
      <c r="A706" s="77">
        <v>46060</v>
      </c>
      <c r="B706" s="25" t="s">
        <v>1148</v>
      </c>
      <c r="C706" s="25" t="str">
        <f>VLOOKUP(B706,'[1]Migrasi Bed'!$B$4:$E$521,4,0)</f>
        <v>BJ.L002</v>
      </c>
      <c r="D706" s="77">
        <f t="shared" si="322"/>
        <v>46083</v>
      </c>
      <c r="E706" s="77">
        <f t="shared" si="323"/>
        <v>46067</v>
      </c>
      <c r="F706" s="77">
        <f t="shared" si="324"/>
        <v>46074</v>
      </c>
      <c r="G706" s="77">
        <f t="shared" si="325"/>
        <v>46080</v>
      </c>
      <c r="H706" s="77">
        <f t="shared" si="326"/>
        <v>46068</v>
      </c>
      <c r="I706" s="77">
        <f t="shared" si="327"/>
        <v>46075</v>
      </c>
      <c r="J706" s="77"/>
      <c r="K706" s="25"/>
      <c r="L706" s="81"/>
      <c r="M706" s="81"/>
      <c r="N706" s="25"/>
      <c r="O706" s="25"/>
    </row>
    <row r="707" spans="1:15" x14ac:dyDescent="0.25">
      <c r="A707" s="77">
        <v>46060</v>
      </c>
      <c r="B707" s="25" t="s">
        <v>1149</v>
      </c>
      <c r="C707" s="25" t="str">
        <f>VLOOKUP(B707,'[1]Migrasi Bed'!$B$4:$E$521,4,0)</f>
        <v>BJ.L003</v>
      </c>
      <c r="D707" s="77">
        <f t="shared" si="322"/>
        <v>46083</v>
      </c>
      <c r="E707" s="77">
        <f t="shared" si="323"/>
        <v>46067</v>
      </c>
      <c r="F707" s="77">
        <f t="shared" si="324"/>
        <v>46074</v>
      </c>
      <c r="G707" s="77">
        <f t="shared" si="325"/>
        <v>46080</v>
      </c>
      <c r="H707" s="77">
        <f t="shared" si="326"/>
        <v>46068</v>
      </c>
      <c r="I707" s="77">
        <f t="shared" si="327"/>
        <v>46075</v>
      </c>
      <c r="J707" s="77"/>
      <c r="K707" s="25"/>
      <c r="L707" s="81"/>
      <c r="M707" s="81"/>
      <c r="N707" s="25"/>
      <c r="O707" s="25"/>
    </row>
    <row r="708" spans="1:15" x14ac:dyDescent="0.25">
      <c r="A708" s="77">
        <v>46060</v>
      </c>
      <c r="B708" s="25" t="s">
        <v>1150</v>
      </c>
      <c r="C708" s="25" t="str">
        <f>VLOOKUP(B708,'[1]Migrasi Bed'!$B$4:$E$521,4,0)</f>
        <v>BJ.L004</v>
      </c>
      <c r="D708" s="77">
        <f t="shared" si="322"/>
        <v>46083</v>
      </c>
      <c r="E708" s="77">
        <f t="shared" si="323"/>
        <v>46067</v>
      </c>
      <c r="F708" s="77">
        <f t="shared" si="324"/>
        <v>46074</v>
      </c>
      <c r="G708" s="77">
        <f t="shared" si="325"/>
        <v>46080</v>
      </c>
      <c r="H708" s="77">
        <f t="shared" si="326"/>
        <v>46068</v>
      </c>
      <c r="I708" s="77">
        <f t="shared" si="327"/>
        <v>46075</v>
      </c>
      <c r="J708" s="77"/>
      <c r="K708" s="25"/>
      <c r="L708" s="81"/>
      <c r="M708" s="81"/>
      <c r="N708" s="25"/>
      <c r="O708" s="25"/>
    </row>
    <row r="709" spans="1:15" x14ac:dyDescent="0.25">
      <c r="A709" s="77">
        <v>46061</v>
      </c>
      <c r="B709" s="25" t="s">
        <v>1151</v>
      </c>
      <c r="C709" s="25" t="str">
        <f>VLOOKUP(B709,'[1]Migrasi Bed'!$B$4:$E$521,4,0)</f>
        <v>BJ.L005</v>
      </c>
      <c r="D709" s="77">
        <f t="shared" si="322"/>
        <v>46084</v>
      </c>
      <c r="E709" s="77">
        <f t="shared" si="323"/>
        <v>46068</v>
      </c>
      <c r="F709" s="77">
        <f t="shared" si="324"/>
        <v>46075</v>
      </c>
      <c r="G709" s="77">
        <f t="shared" si="325"/>
        <v>46081</v>
      </c>
      <c r="H709" s="77">
        <f t="shared" si="326"/>
        <v>46069</v>
      </c>
      <c r="I709" s="77">
        <f t="shared" si="327"/>
        <v>46076</v>
      </c>
      <c r="J709" s="77"/>
      <c r="K709" s="25"/>
      <c r="L709" s="81"/>
      <c r="M709" s="81"/>
      <c r="N709" s="25"/>
      <c r="O709" s="25"/>
    </row>
    <row r="710" spans="1:15" x14ac:dyDescent="0.25">
      <c r="A710" s="77">
        <v>46061</v>
      </c>
      <c r="B710" s="25" t="s">
        <v>1152</v>
      </c>
      <c r="C710" s="25" t="str">
        <f>VLOOKUP(B710,'[1]Migrasi Bed'!$B$4:$E$521,4,0)</f>
        <v>BJ.L006</v>
      </c>
      <c r="D710" s="77">
        <f t="shared" si="322"/>
        <v>46084</v>
      </c>
      <c r="E710" s="77">
        <f t="shared" si="323"/>
        <v>46068</v>
      </c>
      <c r="F710" s="77">
        <f t="shared" si="324"/>
        <v>46075</v>
      </c>
      <c r="G710" s="77">
        <f t="shared" si="325"/>
        <v>46081</v>
      </c>
      <c r="H710" s="77">
        <f t="shared" si="326"/>
        <v>46069</v>
      </c>
      <c r="I710" s="77">
        <f t="shared" si="327"/>
        <v>46076</v>
      </c>
      <c r="J710" s="77"/>
      <c r="K710" s="25"/>
      <c r="L710" s="81"/>
      <c r="M710" s="81"/>
      <c r="N710" s="25"/>
      <c r="O710" s="25"/>
    </row>
    <row r="711" spans="1:15" x14ac:dyDescent="0.25">
      <c r="A711" s="77">
        <v>46061</v>
      </c>
      <c r="B711" s="25" t="s">
        <v>490</v>
      </c>
      <c r="C711" s="25" t="str">
        <f>VLOOKUP(B711,'[1]Migrasi Bed'!$B$4:$E$521,4,0)</f>
        <v>ST.G003</v>
      </c>
      <c r="D711" s="77">
        <f t="shared" si="322"/>
        <v>46084</v>
      </c>
      <c r="E711" s="77">
        <f t="shared" si="323"/>
        <v>46068</v>
      </c>
      <c r="F711" s="77">
        <f t="shared" si="324"/>
        <v>46075</v>
      </c>
      <c r="G711" s="77">
        <f t="shared" si="325"/>
        <v>46081</v>
      </c>
      <c r="H711" s="77">
        <f t="shared" si="326"/>
        <v>46069</v>
      </c>
      <c r="I711" s="77">
        <f t="shared" si="327"/>
        <v>46076</v>
      </c>
      <c r="J711" s="77"/>
      <c r="K711" s="25"/>
      <c r="L711" s="81"/>
      <c r="M711" s="81"/>
      <c r="N711" s="25"/>
      <c r="O711" s="25"/>
    </row>
    <row r="712" spans="1:15" x14ac:dyDescent="0.25">
      <c r="A712" s="77">
        <v>46061</v>
      </c>
      <c r="B712" s="25" t="s">
        <v>491</v>
      </c>
      <c r="C712" s="25" t="str">
        <f>VLOOKUP(B712,'[1]Migrasi Bed'!$B$4:$E$521,4,0)</f>
        <v>ST.G004</v>
      </c>
      <c r="D712" s="77">
        <f t="shared" si="322"/>
        <v>46084</v>
      </c>
      <c r="E712" s="77">
        <f t="shared" si="323"/>
        <v>46068</v>
      </c>
      <c r="F712" s="77">
        <f t="shared" si="324"/>
        <v>46075</v>
      </c>
      <c r="G712" s="77">
        <f t="shared" si="325"/>
        <v>46081</v>
      </c>
      <c r="H712" s="77">
        <f t="shared" si="326"/>
        <v>46069</v>
      </c>
      <c r="I712" s="77">
        <f t="shared" si="327"/>
        <v>46076</v>
      </c>
      <c r="J712" s="77"/>
      <c r="K712" s="25"/>
      <c r="L712" s="81"/>
      <c r="M712" s="81"/>
      <c r="N712" s="25"/>
      <c r="O712" s="25"/>
    </row>
    <row r="713" spans="1:15" x14ac:dyDescent="0.25">
      <c r="A713" s="77">
        <v>46061</v>
      </c>
      <c r="B713" s="25" t="s">
        <v>492</v>
      </c>
      <c r="C713" s="25" t="str">
        <f>VLOOKUP(B713,'[1]Migrasi Bed'!$B$4:$E$521,4,0)</f>
        <v>ST.G005</v>
      </c>
      <c r="D713" s="77">
        <f t="shared" si="322"/>
        <v>46084</v>
      </c>
      <c r="E713" s="77">
        <f t="shared" si="323"/>
        <v>46068</v>
      </c>
      <c r="F713" s="77">
        <f t="shared" si="324"/>
        <v>46075</v>
      </c>
      <c r="G713" s="77">
        <f t="shared" si="325"/>
        <v>46081</v>
      </c>
      <c r="H713" s="77">
        <f t="shared" si="326"/>
        <v>46069</v>
      </c>
      <c r="I713" s="77">
        <f t="shared" si="327"/>
        <v>46076</v>
      </c>
      <c r="J713" s="77"/>
      <c r="K713" s="25"/>
      <c r="L713" s="81"/>
      <c r="M713" s="81"/>
      <c r="N713" s="25"/>
      <c r="O713" s="25"/>
    </row>
    <row r="714" spans="1:15" x14ac:dyDescent="0.25">
      <c r="A714" s="77">
        <v>46061</v>
      </c>
      <c r="B714" s="25" t="s">
        <v>493</v>
      </c>
      <c r="C714" s="25" t="str">
        <f>VLOOKUP(B714,'[1]Migrasi Bed'!$B$4:$E$521,4,0)</f>
        <v>ST.G006</v>
      </c>
      <c r="D714" s="77">
        <f t="shared" si="322"/>
        <v>46084</v>
      </c>
      <c r="E714" s="77">
        <f t="shared" si="323"/>
        <v>46068</v>
      </c>
      <c r="F714" s="77">
        <f t="shared" si="324"/>
        <v>46075</v>
      </c>
      <c r="G714" s="77">
        <f t="shared" si="325"/>
        <v>46081</v>
      </c>
      <c r="H714" s="77">
        <f t="shared" si="326"/>
        <v>46069</v>
      </c>
      <c r="I714" s="77">
        <f t="shared" si="327"/>
        <v>46076</v>
      </c>
      <c r="J714" s="77"/>
      <c r="K714" s="25"/>
      <c r="L714" s="81"/>
      <c r="M714" s="81"/>
      <c r="N714" s="25"/>
      <c r="O714" s="25"/>
    </row>
    <row r="715" spans="1:15" x14ac:dyDescent="0.25">
      <c r="A715" s="77">
        <v>46061</v>
      </c>
      <c r="B715" s="25" t="s">
        <v>494</v>
      </c>
      <c r="C715" s="25" t="str">
        <f>VLOOKUP(B715,'[1]Migrasi Bed'!$B$4:$E$521,4,0)</f>
        <v>ST.G007</v>
      </c>
      <c r="D715" s="77">
        <f t="shared" si="322"/>
        <v>46084</v>
      </c>
      <c r="E715" s="77">
        <f t="shared" si="323"/>
        <v>46068</v>
      </c>
      <c r="F715" s="77">
        <f t="shared" si="324"/>
        <v>46075</v>
      </c>
      <c r="G715" s="77">
        <f t="shared" si="325"/>
        <v>46081</v>
      </c>
      <c r="H715" s="77">
        <f t="shared" si="326"/>
        <v>46069</v>
      </c>
      <c r="I715" s="77">
        <f t="shared" si="327"/>
        <v>46076</v>
      </c>
      <c r="J715" s="77"/>
      <c r="K715" s="25"/>
      <c r="L715" s="81"/>
      <c r="M715" s="81"/>
      <c r="N715" s="25"/>
      <c r="O715" s="25"/>
    </row>
    <row r="716" spans="1:15" x14ac:dyDescent="0.25">
      <c r="A716" s="77">
        <v>46062</v>
      </c>
      <c r="B716" s="25" t="s">
        <v>552</v>
      </c>
      <c r="C716" s="25" t="str">
        <f>VLOOKUP(B716,'[1]Migrasi Bed'!$B$4:$E$521,4,0)</f>
        <v>ST.B017</v>
      </c>
      <c r="D716" s="77">
        <f t="shared" si="322"/>
        <v>46085</v>
      </c>
      <c r="E716" s="77">
        <f t="shared" si="323"/>
        <v>46069</v>
      </c>
      <c r="F716" s="77">
        <f t="shared" si="324"/>
        <v>46076</v>
      </c>
      <c r="G716" s="77">
        <f t="shared" si="325"/>
        <v>46082</v>
      </c>
      <c r="H716" s="77">
        <f t="shared" si="326"/>
        <v>46070</v>
      </c>
      <c r="I716" s="77">
        <f t="shared" si="327"/>
        <v>46077</v>
      </c>
      <c r="J716" s="77"/>
      <c r="K716" s="25"/>
      <c r="L716" s="81"/>
      <c r="M716" s="81"/>
      <c r="N716" s="25"/>
      <c r="O716" s="25"/>
    </row>
    <row r="717" spans="1:15" x14ac:dyDescent="0.25">
      <c r="A717" s="77">
        <v>46062</v>
      </c>
      <c r="B717" s="25" t="s">
        <v>553</v>
      </c>
      <c r="C717" s="25" t="str">
        <f>VLOOKUP(B717,'[1]Migrasi Bed'!$B$4:$E$521,4,0)</f>
        <v>ST.B018</v>
      </c>
      <c r="D717" s="77">
        <f t="shared" si="322"/>
        <v>46085</v>
      </c>
      <c r="E717" s="77">
        <f t="shared" si="323"/>
        <v>46069</v>
      </c>
      <c r="F717" s="77">
        <f t="shared" si="324"/>
        <v>46076</v>
      </c>
      <c r="G717" s="77">
        <f t="shared" si="325"/>
        <v>46082</v>
      </c>
      <c r="H717" s="77">
        <f t="shared" si="326"/>
        <v>46070</v>
      </c>
      <c r="I717" s="77">
        <f t="shared" si="327"/>
        <v>46077</v>
      </c>
      <c r="J717" s="25"/>
      <c r="K717" s="25"/>
      <c r="L717" s="81"/>
      <c r="M717" s="81"/>
      <c r="N717" s="25"/>
      <c r="O717" s="25"/>
    </row>
    <row r="718" spans="1:15" x14ac:dyDescent="0.25">
      <c r="A718" s="77">
        <v>46062</v>
      </c>
      <c r="B718" s="25" t="s">
        <v>554</v>
      </c>
      <c r="C718" s="25" t="str">
        <f>VLOOKUP(B718,'[1]Migrasi Bed'!$B$4:$E$521,4,0)</f>
        <v>ST.B019</v>
      </c>
      <c r="D718" s="77">
        <f t="shared" si="322"/>
        <v>46085</v>
      </c>
      <c r="E718" s="77">
        <f t="shared" si="323"/>
        <v>46069</v>
      </c>
      <c r="F718" s="77">
        <f t="shared" si="324"/>
        <v>46076</v>
      </c>
      <c r="G718" s="77">
        <f t="shared" si="325"/>
        <v>46082</v>
      </c>
      <c r="H718" s="77">
        <f t="shared" si="326"/>
        <v>46070</v>
      </c>
      <c r="I718" s="77">
        <f t="shared" si="327"/>
        <v>46077</v>
      </c>
      <c r="J718" s="25"/>
      <c r="K718" s="25"/>
      <c r="L718" s="81"/>
      <c r="M718" s="81"/>
      <c r="N718" s="25"/>
      <c r="O718" s="25"/>
    </row>
    <row r="719" spans="1:15" x14ac:dyDescent="0.25">
      <c r="A719" s="77">
        <v>46062</v>
      </c>
      <c r="B719" s="25" t="s">
        <v>555</v>
      </c>
      <c r="C719" s="25" t="str">
        <f>VLOOKUP(B719,'[1]Migrasi Bed'!$B$4:$E$521,4,0)</f>
        <v>ST.B020</v>
      </c>
      <c r="D719" s="77">
        <f t="shared" si="322"/>
        <v>46085</v>
      </c>
      <c r="E719" s="77">
        <f t="shared" si="323"/>
        <v>46069</v>
      </c>
      <c r="F719" s="77">
        <f t="shared" si="324"/>
        <v>46076</v>
      </c>
      <c r="G719" s="77">
        <f t="shared" si="325"/>
        <v>46082</v>
      </c>
      <c r="H719" s="77">
        <f t="shared" si="326"/>
        <v>46070</v>
      </c>
      <c r="I719" s="77">
        <f t="shared" si="327"/>
        <v>46077</v>
      </c>
      <c r="J719" s="25"/>
      <c r="K719" s="25"/>
      <c r="L719" s="81"/>
      <c r="M719" s="81"/>
      <c r="N719" s="25"/>
      <c r="O719" s="25"/>
    </row>
    <row r="720" spans="1:15" x14ac:dyDescent="0.25">
      <c r="A720" s="77">
        <v>46062</v>
      </c>
      <c r="B720" s="25" t="s">
        <v>556</v>
      </c>
      <c r="C720" s="25" t="str">
        <f>VLOOKUP(B720,'[1]Migrasi Bed'!$B$4:$E$521,4,0)</f>
        <v>ST.B021</v>
      </c>
      <c r="D720" s="77">
        <f t="shared" si="322"/>
        <v>46085</v>
      </c>
      <c r="E720" s="77">
        <f t="shared" si="323"/>
        <v>46069</v>
      </c>
      <c r="F720" s="77">
        <f t="shared" si="324"/>
        <v>46076</v>
      </c>
      <c r="G720" s="77">
        <f t="shared" si="325"/>
        <v>46082</v>
      </c>
      <c r="H720" s="77">
        <f t="shared" si="326"/>
        <v>46070</v>
      </c>
      <c r="I720" s="77">
        <f t="shared" si="327"/>
        <v>46077</v>
      </c>
      <c r="J720" s="25"/>
      <c r="K720" s="25"/>
      <c r="L720" s="81"/>
      <c r="M720" s="81"/>
      <c r="N720" s="25"/>
      <c r="O720" s="25"/>
    </row>
    <row r="721" spans="1:15" x14ac:dyDescent="0.25">
      <c r="A721" s="77">
        <v>46062</v>
      </c>
      <c r="B721" s="25" t="s">
        <v>557</v>
      </c>
      <c r="C721" s="25" t="str">
        <f>VLOOKUP(B721,'[1]Migrasi Bed'!$B$4:$E$521,4,0)</f>
        <v>ST.B022</v>
      </c>
      <c r="D721" s="77">
        <f t="shared" si="322"/>
        <v>46085</v>
      </c>
      <c r="E721" s="77">
        <f t="shared" si="323"/>
        <v>46069</v>
      </c>
      <c r="F721" s="77">
        <f t="shared" si="324"/>
        <v>46076</v>
      </c>
      <c r="G721" s="77">
        <f t="shared" si="325"/>
        <v>46082</v>
      </c>
      <c r="H721" s="77">
        <f t="shared" si="326"/>
        <v>46070</v>
      </c>
      <c r="I721" s="77">
        <f t="shared" si="327"/>
        <v>46077</v>
      </c>
      <c r="J721" s="25"/>
      <c r="K721" s="25"/>
      <c r="L721" s="81"/>
      <c r="M721" s="81"/>
      <c r="N721" s="25"/>
      <c r="O721" s="25"/>
    </row>
    <row r="722" spans="1:15" x14ac:dyDescent="0.25">
      <c r="A722" s="77">
        <v>46062</v>
      </c>
      <c r="B722" s="25" t="s">
        <v>558</v>
      </c>
      <c r="C722" s="25" t="str">
        <f>VLOOKUP(B722,'[1]Migrasi Bed'!$B$4:$E$521,4,0)</f>
        <v>ST.B023</v>
      </c>
      <c r="D722" s="77">
        <f t="shared" si="322"/>
        <v>46085</v>
      </c>
      <c r="E722" s="77">
        <f t="shared" si="323"/>
        <v>46069</v>
      </c>
      <c r="F722" s="77">
        <f t="shared" si="324"/>
        <v>46076</v>
      </c>
      <c r="G722" s="77">
        <f t="shared" si="325"/>
        <v>46082</v>
      </c>
      <c r="H722" s="77">
        <f t="shared" si="326"/>
        <v>46070</v>
      </c>
      <c r="I722" s="77">
        <f t="shared" si="327"/>
        <v>46077</v>
      </c>
      <c r="J722" s="25"/>
      <c r="K722" s="25"/>
      <c r="L722" s="81"/>
      <c r="M722" s="81"/>
      <c r="N722" s="25"/>
      <c r="O722" s="25"/>
    </row>
    <row r="723" spans="1:15" x14ac:dyDescent="0.25">
      <c r="A723" s="77">
        <v>46063</v>
      </c>
      <c r="B723" s="25" t="s">
        <v>545</v>
      </c>
      <c r="C723" s="25" t="str">
        <f>VLOOKUP(B723,'[1]Migrasi Bed'!$B$4:$E$521,4,0)</f>
        <v>ST.B010</v>
      </c>
      <c r="D723" s="77">
        <f t="shared" si="322"/>
        <v>46086</v>
      </c>
      <c r="E723" s="77">
        <f t="shared" si="323"/>
        <v>46070</v>
      </c>
      <c r="F723" s="77">
        <f t="shared" si="324"/>
        <v>46077</v>
      </c>
      <c r="G723" s="77">
        <f t="shared" si="325"/>
        <v>46083</v>
      </c>
      <c r="H723" s="77">
        <f t="shared" si="326"/>
        <v>46071</v>
      </c>
      <c r="I723" s="77">
        <f t="shared" si="327"/>
        <v>46078</v>
      </c>
      <c r="J723" s="25"/>
      <c r="K723" s="25"/>
      <c r="L723" s="81"/>
      <c r="M723" s="81"/>
      <c r="N723" s="25"/>
      <c r="O723" s="25"/>
    </row>
    <row r="724" spans="1:15" x14ac:dyDescent="0.25">
      <c r="A724" s="77">
        <v>46063</v>
      </c>
      <c r="B724" s="25" t="s">
        <v>546</v>
      </c>
      <c r="C724" s="25" t="str">
        <f>VLOOKUP(B724,'[1]Migrasi Bed'!$B$4:$E$521,4,0)</f>
        <v>ST.B011</v>
      </c>
      <c r="D724" s="77">
        <f t="shared" si="322"/>
        <v>46086</v>
      </c>
      <c r="E724" s="77">
        <f t="shared" si="323"/>
        <v>46070</v>
      </c>
      <c r="F724" s="77">
        <f t="shared" si="324"/>
        <v>46077</v>
      </c>
      <c r="G724" s="77">
        <f t="shared" si="325"/>
        <v>46083</v>
      </c>
      <c r="H724" s="77">
        <f t="shared" si="326"/>
        <v>46071</v>
      </c>
      <c r="I724" s="77">
        <f t="shared" si="327"/>
        <v>46078</v>
      </c>
      <c r="J724" s="25"/>
      <c r="K724" s="25"/>
      <c r="L724" s="81"/>
      <c r="M724" s="81"/>
      <c r="N724" s="25"/>
      <c r="O724" s="25"/>
    </row>
    <row r="725" spans="1:15" x14ac:dyDescent="0.25">
      <c r="A725" s="77">
        <v>46063</v>
      </c>
      <c r="B725" s="25" t="s">
        <v>547</v>
      </c>
      <c r="C725" s="25" t="str">
        <f>VLOOKUP(B725,'[1]Migrasi Bed'!$B$4:$E$521,4,0)</f>
        <v>ST.B012</v>
      </c>
      <c r="D725" s="77">
        <f t="shared" si="322"/>
        <v>46086</v>
      </c>
      <c r="E725" s="77">
        <f t="shared" si="323"/>
        <v>46070</v>
      </c>
      <c r="F725" s="77">
        <f t="shared" si="324"/>
        <v>46077</v>
      </c>
      <c r="G725" s="77">
        <f t="shared" si="325"/>
        <v>46083</v>
      </c>
      <c r="H725" s="77">
        <f t="shared" si="326"/>
        <v>46071</v>
      </c>
      <c r="I725" s="77">
        <f t="shared" si="327"/>
        <v>46078</v>
      </c>
      <c r="J725" s="25"/>
      <c r="K725" s="25"/>
      <c r="L725" s="81"/>
      <c r="M725" s="81"/>
      <c r="N725" s="25"/>
      <c r="O725" s="25"/>
    </row>
    <row r="726" spans="1:15" x14ac:dyDescent="0.25">
      <c r="A726" s="77">
        <v>46063</v>
      </c>
      <c r="B726" s="25" t="s">
        <v>548</v>
      </c>
      <c r="C726" s="25" t="str">
        <f>VLOOKUP(B726,'[1]Migrasi Bed'!$B$4:$E$521,4,0)</f>
        <v>ST.B013</v>
      </c>
      <c r="D726" s="77">
        <f t="shared" si="322"/>
        <v>46086</v>
      </c>
      <c r="E726" s="77">
        <f t="shared" si="323"/>
        <v>46070</v>
      </c>
      <c r="F726" s="77">
        <f t="shared" si="324"/>
        <v>46077</v>
      </c>
      <c r="G726" s="77">
        <f t="shared" si="325"/>
        <v>46083</v>
      </c>
      <c r="H726" s="77">
        <f t="shared" si="326"/>
        <v>46071</v>
      </c>
      <c r="I726" s="77">
        <f t="shared" si="327"/>
        <v>46078</v>
      </c>
      <c r="J726" s="25"/>
      <c r="K726" s="25"/>
      <c r="L726" s="81"/>
      <c r="M726" s="81"/>
      <c r="N726" s="25"/>
      <c r="O726" s="25"/>
    </row>
    <row r="727" spans="1:15" x14ac:dyDescent="0.25">
      <c r="A727" s="77">
        <v>46063</v>
      </c>
      <c r="B727" s="25" t="s">
        <v>549</v>
      </c>
      <c r="C727" s="25" t="str">
        <f>VLOOKUP(B727,'[1]Migrasi Bed'!$B$4:$E$521,4,0)</f>
        <v>ST.B014</v>
      </c>
      <c r="D727" s="77">
        <f t="shared" si="322"/>
        <v>46086</v>
      </c>
      <c r="E727" s="77">
        <f t="shared" si="323"/>
        <v>46070</v>
      </c>
      <c r="F727" s="77">
        <f t="shared" si="324"/>
        <v>46077</v>
      </c>
      <c r="G727" s="77">
        <f t="shared" si="325"/>
        <v>46083</v>
      </c>
      <c r="H727" s="77">
        <f t="shared" si="326"/>
        <v>46071</v>
      </c>
      <c r="I727" s="77">
        <f t="shared" si="327"/>
        <v>46078</v>
      </c>
      <c r="J727" s="25"/>
      <c r="K727" s="25"/>
      <c r="L727" s="81"/>
      <c r="M727" s="81"/>
      <c r="N727" s="25"/>
      <c r="O727" s="25"/>
    </row>
    <row r="728" spans="1:15" x14ac:dyDescent="0.25">
      <c r="A728" s="77">
        <v>46063</v>
      </c>
      <c r="B728" s="25" t="s">
        <v>550</v>
      </c>
      <c r="C728" s="25" t="str">
        <f>VLOOKUP(B728,'[1]Migrasi Bed'!$B$4:$E$521,4,0)</f>
        <v>ST.B015</v>
      </c>
      <c r="D728" s="77">
        <f t="shared" si="322"/>
        <v>46086</v>
      </c>
      <c r="E728" s="77">
        <f t="shared" si="323"/>
        <v>46070</v>
      </c>
      <c r="F728" s="77">
        <f t="shared" si="324"/>
        <v>46077</v>
      </c>
      <c r="G728" s="77">
        <f t="shared" si="325"/>
        <v>46083</v>
      </c>
      <c r="H728" s="77">
        <f t="shared" si="326"/>
        <v>46071</v>
      </c>
      <c r="I728" s="77">
        <f t="shared" si="327"/>
        <v>46078</v>
      </c>
      <c r="J728" s="25"/>
      <c r="K728" s="25"/>
      <c r="L728" s="81"/>
      <c r="M728" s="81"/>
      <c r="N728" s="25"/>
      <c r="O728" s="25"/>
    </row>
    <row r="729" spans="1:15" x14ac:dyDescent="0.25">
      <c r="A729" s="77">
        <v>46063</v>
      </c>
      <c r="B729" s="25" t="s">
        <v>551</v>
      </c>
      <c r="C729" s="25" t="str">
        <f>VLOOKUP(B729,'[1]Migrasi Bed'!$B$4:$E$521,4,0)</f>
        <v>ST.B016</v>
      </c>
      <c r="D729" s="77">
        <f t="shared" si="322"/>
        <v>46086</v>
      </c>
      <c r="E729" s="77">
        <f t="shared" si="323"/>
        <v>46070</v>
      </c>
      <c r="F729" s="77">
        <f t="shared" si="324"/>
        <v>46077</v>
      </c>
      <c r="G729" s="77">
        <f t="shared" si="325"/>
        <v>46083</v>
      </c>
      <c r="H729" s="77">
        <f t="shared" si="326"/>
        <v>46071</v>
      </c>
      <c r="I729" s="77">
        <f t="shared" si="327"/>
        <v>46078</v>
      </c>
      <c r="J729" s="25"/>
      <c r="K729" s="25"/>
      <c r="L729" s="81"/>
      <c r="M729" s="81"/>
      <c r="N729" s="25"/>
      <c r="O729" s="25"/>
    </row>
    <row r="730" spans="1:15" x14ac:dyDescent="0.25">
      <c r="A730" s="77">
        <v>46064</v>
      </c>
      <c r="B730" s="25" t="s">
        <v>537</v>
      </c>
      <c r="C730" s="25" t="str">
        <f>VLOOKUP(B730,'[1]Migrasi Bed'!$B$4:$E$521,4,0)</f>
        <v>ST.B002</v>
      </c>
      <c r="D730" s="77">
        <f t="shared" ref="D730:D793" si="336">A730+23</f>
        <v>46087</v>
      </c>
      <c r="E730" s="77">
        <f t="shared" ref="E730:E793" si="337">A730+7</f>
        <v>46071</v>
      </c>
      <c r="F730" s="77">
        <f t="shared" ref="F730:F793" si="338">A730+14</f>
        <v>46078</v>
      </c>
      <c r="G730" s="77">
        <f t="shared" ref="G730:G793" si="339">A730+20</f>
        <v>46084</v>
      </c>
      <c r="H730" s="77">
        <f t="shared" ref="H730:H793" si="340">A730+8</f>
        <v>46072</v>
      </c>
      <c r="I730" s="77">
        <f t="shared" ref="I730:I793" si="341">A730+15</f>
        <v>46079</v>
      </c>
      <c r="J730" s="25"/>
      <c r="K730" s="25"/>
      <c r="L730" s="81"/>
      <c r="M730" s="81"/>
      <c r="N730" s="25"/>
      <c r="O730" s="25"/>
    </row>
    <row r="731" spans="1:15" x14ac:dyDescent="0.25">
      <c r="A731" s="77">
        <v>46064</v>
      </c>
      <c r="B731" s="25" t="s">
        <v>538</v>
      </c>
      <c r="C731" s="25" t="str">
        <f>VLOOKUP(B731,'[1]Migrasi Bed'!$B$4:$E$521,4,0)</f>
        <v>ST.B003</v>
      </c>
      <c r="D731" s="77">
        <f t="shared" si="336"/>
        <v>46087</v>
      </c>
      <c r="E731" s="77">
        <f t="shared" si="337"/>
        <v>46071</v>
      </c>
      <c r="F731" s="77">
        <f t="shared" si="338"/>
        <v>46078</v>
      </c>
      <c r="G731" s="77">
        <f t="shared" si="339"/>
        <v>46084</v>
      </c>
      <c r="H731" s="77">
        <f t="shared" si="340"/>
        <v>46072</v>
      </c>
      <c r="I731" s="77">
        <f t="shared" si="341"/>
        <v>46079</v>
      </c>
      <c r="J731" s="25"/>
      <c r="K731" s="25"/>
      <c r="L731" s="81"/>
      <c r="M731" s="81"/>
      <c r="N731" s="25"/>
      <c r="O731" s="25"/>
    </row>
    <row r="732" spans="1:15" x14ac:dyDescent="0.25">
      <c r="A732" s="77">
        <v>46064</v>
      </c>
      <c r="B732" s="25" t="s">
        <v>539</v>
      </c>
      <c r="C732" s="25" t="str">
        <f>VLOOKUP(B732,'[1]Migrasi Bed'!$B$4:$E$521,4,0)</f>
        <v>ST.B004</v>
      </c>
      <c r="D732" s="77">
        <f t="shared" si="336"/>
        <v>46087</v>
      </c>
      <c r="E732" s="77">
        <f t="shared" si="337"/>
        <v>46071</v>
      </c>
      <c r="F732" s="77">
        <f t="shared" si="338"/>
        <v>46078</v>
      </c>
      <c r="G732" s="77">
        <f t="shared" si="339"/>
        <v>46084</v>
      </c>
      <c r="H732" s="77">
        <f t="shared" si="340"/>
        <v>46072</v>
      </c>
      <c r="I732" s="77">
        <f t="shared" si="341"/>
        <v>46079</v>
      </c>
      <c r="J732" s="25"/>
      <c r="K732" s="25"/>
      <c r="L732" s="81"/>
      <c r="M732" s="81"/>
      <c r="N732" s="25"/>
      <c r="O732" s="25"/>
    </row>
    <row r="733" spans="1:15" x14ac:dyDescent="0.25">
      <c r="A733" s="77">
        <v>46064</v>
      </c>
      <c r="B733" s="25" t="s">
        <v>540</v>
      </c>
      <c r="C733" s="25" t="str">
        <f>VLOOKUP(B733,'[1]Migrasi Bed'!$B$4:$E$521,4,0)</f>
        <v>ST.B005</v>
      </c>
      <c r="D733" s="77">
        <f t="shared" si="336"/>
        <v>46087</v>
      </c>
      <c r="E733" s="77">
        <f t="shared" si="337"/>
        <v>46071</v>
      </c>
      <c r="F733" s="77">
        <f t="shared" si="338"/>
        <v>46078</v>
      </c>
      <c r="G733" s="77">
        <f t="shared" si="339"/>
        <v>46084</v>
      </c>
      <c r="H733" s="77">
        <f t="shared" si="340"/>
        <v>46072</v>
      </c>
      <c r="I733" s="77">
        <f t="shared" si="341"/>
        <v>46079</v>
      </c>
      <c r="J733" s="25"/>
      <c r="K733" s="25"/>
      <c r="L733" s="25"/>
      <c r="M733" s="25"/>
      <c r="N733" s="25"/>
      <c r="O733" s="25"/>
    </row>
    <row r="734" spans="1:15" x14ac:dyDescent="0.25">
      <c r="A734" s="77">
        <v>46064</v>
      </c>
      <c r="B734" s="25" t="s">
        <v>541</v>
      </c>
      <c r="C734" s="25" t="str">
        <f>VLOOKUP(B734,'[1]Migrasi Bed'!$B$4:$E$521,4,0)</f>
        <v>ST.B006</v>
      </c>
      <c r="D734" s="77">
        <f t="shared" si="336"/>
        <v>46087</v>
      </c>
      <c r="E734" s="77">
        <f t="shared" si="337"/>
        <v>46071</v>
      </c>
      <c r="F734" s="77">
        <f t="shared" si="338"/>
        <v>46078</v>
      </c>
      <c r="G734" s="77">
        <f t="shared" si="339"/>
        <v>46084</v>
      </c>
      <c r="H734" s="77">
        <f t="shared" si="340"/>
        <v>46072</v>
      </c>
      <c r="I734" s="77">
        <f t="shared" si="341"/>
        <v>46079</v>
      </c>
      <c r="J734" s="25"/>
      <c r="K734" s="25"/>
      <c r="L734" s="25"/>
      <c r="M734" s="25"/>
      <c r="N734" s="25"/>
      <c r="O734" s="25"/>
    </row>
    <row r="735" spans="1:15" x14ac:dyDescent="0.25">
      <c r="A735" s="77">
        <v>46064</v>
      </c>
      <c r="B735" s="25" t="s">
        <v>542</v>
      </c>
      <c r="C735" s="25" t="str">
        <f>VLOOKUP(B735,'[1]Migrasi Bed'!$B$4:$E$521,4,0)</f>
        <v>ST.B007</v>
      </c>
      <c r="D735" s="77">
        <f t="shared" si="336"/>
        <v>46087</v>
      </c>
      <c r="E735" s="77">
        <f t="shared" si="337"/>
        <v>46071</v>
      </c>
      <c r="F735" s="77">
        <f t="shared" si="338"/>
        <v>46078</v>
      </c>
      <c r="G735" s="77">
        <f t="shared" si="339"/>
        <v>46084</v>
      </c>
      <c r="H735" s="77">
        <f t="shared" si="340"/>
        <v>46072</v>
      </c>
      <c r="I735" s="77">
        <f t="shared" si="341"/>
        <v>46079</v>
      </c>
      <c r="J735" s="25"/>
      <c r="K735" s="25"/>
      <c r="L735" s="25"/>
      <c r="M735" s="25"/>
      <c r="N735" s="25"/>
      <c r="O735" s="25"/>
    </row>
    <row r="736" spans="1:15" x14ac:dyDescent="0.25">
      <c r="A736" s="77">
        <v>46064</v>
      </c>
      <c r="B736" s="25" t="s">
        <v>543</v>
      </c>
      <c r="C736" s="25" t="str">
        <f>VLOOKUP(B736,'[1]Migrasi Bed'!$B$4:$E$521,4,0)</f>
        <v>ST.B008</v>
      </c>
      <c r="D736" s="77">
        <f t="shared" si="336"/>
        <v>46087</v>
      </c>
      <c r="E736" s="77">
        <f t="shared" si="337"/>
        <v>46071</v>
      </c>
      <c r="F736" s="77">
        <f t="shared" si="338"/>
        <v>46078</v>
      </c>
      <c r="G736" s="77">
        <f t="shared" si="339"/>
        <v>46084</v>
      </c>
      <c r="H736" s="77">
        <f t="shared" si="340"/>
        <v>46072</v>
      </c>
      <c r="I736" s="77">
        <f t="shared" si="341"/>
        <v>46079</v>
      </c>
      <c r="J736" s="25"/>
      <c r="K736" s="25"/>
      <c r="L736" s="25"/>
      <c r="M736" s="25"/>
      <c r="N736" s="25"/>
      <c r="O736" s="25"/>
    </row>
    <row r="737" spans="1:15" x14ac:dyDescent="0.25">
      <c r="A737" s="77">
        <v>46064</v>
      </c>
      <c r="B737" s="25" t="s">
        <v>544</v>
      </c>
      <c r="C737" s="25" t="str">
        <f>VLOOKUP(B737,'[1]Migrasi Bed'!$B$4:$E$521,4,0)</f>
        <v>ST.B009</v>
      </c>
      <c r="D737" s="77">
        <f t="shared" si="336"/>
        <v>46087</v>
      </c>
      <c r="E737" s="77">
        <f t="shared" si="337"/>
        <v>46071</v>
      </c>
      <c r="F737" s="77">
        <f t="shared" si="338"/>
        <v>46078</v>
      </c>
      <c r="G737" s="77">
        <f t="shared" si="339"/>
        <v>46084</v>
      </c>
      <c r="H737" s="77">
        <f t="shared" si="340"/>
        <v>46072</v>
      </c>
      <c r="I737" s="77">
        <f t="shared" si="341"/>
        <v>46079</v>
      </c>
      <c r="J737" s="25"/>
      <c r="K737" s="25"/>
      <c r="L737" s="25"/>
      <c r="M737" s="25"/>
      <c r="N737" s="25"/>
      <c r="O737" s="25"/>
    </row>
    <row r="738" spans="1:15" x14ac:dyDescent="0.25">
      <c r="A738" s="77">
        <v>46065</v>
      </c>
      <c r="B738" s="25" t="s">
        <v>513</v>
      </c>
      <c r="C738" s="25" t="str">
        <f>VLOOKUP(B738,'[1]Migrasi Bed'!$B$4:$E$521,4,0)</f>
        <v>ST.A001</v>
      </c>
      <c r="D738" s="77">
        <f t="shared" si="336"/>
        <v>46088</v>
      </c>
      <c r="E738" s="77">
        <f t="shared" si="337"/>
        <v>46072</v>
      </c>
      <c r="F738" s="77">
        <f t="shared" si="338"/>
        <v>46079</v>
      </c>
      <c r="G738" s="77">
        <f t="shared" si="339"/>
        <v>46085</v>
      </c>
      <c r="H738" s="77">
        <f t="shared" si="340"/>
        <v>46073</v>
      </c>
      <c r="I738" s="77">
        <f t="shared" si="341"/>
        <v>46080</v>
      </c>
      <c r="J738" s="25"/>
      <c r="K738" s="25"/>
      <c r="L738" s="25"/>
      <c r="M738" s="25"/>
      <c r="N738" s="25"/>
      <c r="O738" s="25"/>
    </row>
    <row r="739" spans="1:15" x14ac:dyDescent="0.25">
      <c r="A739" s="77">
        <v>46065</v>
      </c>
      <c r="B739" s="25" t="s">
        <v>514</v>
      </c>
      <c r="C739" s="25" t="str">
        <f>VLOOKUP(B739,'[1]Migrasi Bed'!$B$4:$E$521,4,0)</f>
        <v>ST.A002</v>
      </c>
      <c r="D739" s="77">
        <f t="shared" si="336"/>
        <v>46088</v>
      </c>
      <c r="E739" s="77">
        <f t="shared" si="337"/>
        <v>46072</v>
      </c>
      <c r="F739" s="77">
        <f t="shared" si="338"/>
        <v>46079</v>
      </c>
      <c r="G739" s="77">
        <f t="shared" si="339"/>
        <v>46085</v>
      </c>
      <c r="H739" s="77">
        <f t="shared" si="340"/>
        <v>46073</v>
      </c>
      <c r="I739" s="77">
        <f t="shared" si="341"/>
        <v>46080</v>
      </c>
      <c r="J739" s="25"/>
      <c r="K739" s="25"/>
      <c r="L739" s="25"/>
      <c r="M739" s="25"/>
      <c r="N739" s="25"/>
      <c r="O739" s="25"/>
    </row>
    <row r="740" spans="1:15" x14ac:dyDescent="0.25">
      <c r="A740" s="77">
        <v>46065</v>
      </c>
      <c r="B740" s="25" t="s">
        <v>515</v>
      </c>
      <c r="C740" s="25" t="str">
        <f>VLOOKUP(B740,'[1]Migrasi Bed'!$B$4:$E$521,4,0)</f>
        <v>ST.A003</v>
      </c>
      <c r="D740" s="77">
        <f t="shared" si="336"/>
        <v>46088</v>
      </c>
      <c r="E740" s="77">
        <f t="shared" si="337"/>
        <v>46072</v>
      </c>
      <c r="F740" s="77">
        <f t="shared" si="338"/>
        <v>46079</v>
      </c>
      <c r="G740" s="77">
        <f t="shared" si="339"/>
        <v>46085</v>
      </c>
      <c r="H740" s="77">
        <f t="shared" si="340"/>
        <v>46073</v>
      </c>
      <c r="I740" s="77">
        <f t="shared" si="341"/>
        <v>46080</v>
      </c>
      <c r="J740" s="25"/>
      <c r="K740" s="25"/>
      <c r="L740" s="25"/>
      <c r="M740" s="25"/>
      <c r="N740" s="25"/>
      <c r="O740" s="25"/>
    </row>
    <row r="741" spans="1:15" x14ac:dyDescent="0.25">
      <c r="A741" s="77">
        <v>46065</v>
      </c>
      <c r="B741" s="25" t="s">
        <v>516</v>
      </c>
      <c r="C741" s="25" t="str">
        <f>VLOOKUP(B741,'[1]Migrasi Bed'!$B$4:$E$521,4,0)</f>
        <v>ST.A004</v>
      </c>
      <c r="D741" s="77">
        <f t="shared" si="336"/>
        <v>46088</v>
      </c>
      <c r="E741" s="77">
        <f t="shared" si="337"/>
        <v>46072</v>
      </c>
      <c r="F741" s="77">
        <f t="shared" si="338"/>
        <v>46079</v>
      </c>
      <c r="G741" s="77">
        <f t="shared" si="339"/>
        <v>46085</v>
      </c>
      <c r="H741" s="77">
        <f t="shared" si="340"/>
        <v>46073</v>
      </c>
      <c r="I741" s="77">
        <f t="shared" si="341"/>
        <v>46080</v>
      </c>
      <c r="J741" s="25"/>
      <c r="K741" s="25"/>
      <c r="L741" s="25"/>
      <c r="M741" s="25"/>
      <c r="N741" s="25"/>
      <c r="O741" s="25"/>
    </row>
    <row r="742" spans="1:15" x14ac:dyDescent="0.25">
      <c r="A742" s="77">
        <v>46065</v>
      </c>
      <c r="B742" s="25" t="s">
        <v>517</v>
      </c>
      <c r="C742" s="25" t="str">
        <f>VLOOKUP(B742,'[1]Migrasi Bed'!$B$4:$E$521,4,0)</f>
        <v>ST.A005</v>
      </c>
      <c r="D742" s="77">
        <f t="shared" si="336"/>
        <v>46088</v>
      </c>
      <c r="E742" s="77">
        <f t="shared" si="337"/>
        <v>46072</v>
      </c>
      <c r="F742" s="77">
        <f t="shared" si="338"/>
        <v>46079</v>
      </c>
      <c r="G742" s="77">
        <f t="shared" si="339"/>
        <v>46085</v>
      </c>
      <c r="H742" s="77">
        <f t="shared" si="340"/>
        <v>46073</v>
      </c>
      <c r="I742" s="77">
        <f t="shared" si="341"/>
        <v>46080</v>
      </c>
      <c r="J742" s="25"/>
      <c r="K742" s="25"/>
      <c r="L742" s="25"/>
      <c r="M742" s="25"/>
      <c r="N742" s="25"/>
      <c r="O742" s="25"/>
    </row>
    <row r="743" spans="1:15" x14ac:dyDescent="0.25">
      <c r="A743" s="77">
        <v>46065</v>
      </c>
      <c r="B743" s="25" t="s">
        <v>518</v>
      </c>
      <c r="C743" s="25" t="str">
        <f>VLOOKUP(B743,'[1]Migrasi Bed'!$B$4:$E$521,4,0)</f>
        <v>ST.A006</v>
      </c>
      <c r="D743" s="77">
        <f t="shared" si="336"/>
        <v>46088</v>
      </c>
      <c r="E743" s="77">
        <f t="shared" si="337"/>
        <v>46072</v>
      </c>
      <c r="F743" s="77">
        <f t="shared" si="338"/>
        <v>46079</v>
      </c>
      <c r="G743" s="77">
        <f t="shared" si="339"/>
        <v>46085</v>
      </c>
      <c r="H743" s="77">
        <f t="shared" si="340"/>
        <v>46073</v>
      </c>
      <c r="I743" s="77">
        <f t="shared" si="341"/>
        <v>46080</v>
      </c>
      <c r="J743" s="25"/>
      <c r="K743" s="25"/>
      <c r="L743" s="25"/>
      <c r="M743" s="25"/>
      <c r="N743" s="25"/>
      <c r="O743" s="25"/>
    </row>
    <row r="744" spans="1:15" x14ac:dyDescent="0.25">
      <c r="A744" s="77">
        <v>46065</v>
      </c>
      <c r="B744" s="25" t="s">
        <v>519</v>
      </c>
      <c r="C744" s="25" t="str">
        <f>VLOOKUP(B744,'[1]Migrasi Bed'!$B$4:$E$521,4,0)</f>
        <v>ST.A007</v>
      </c>
      <c r="D744" s="77">
        <f t="shared" si="336"/>
        <v>46088</v>
      </c>
      <c r="E744" s="77">
        <f t="shared" si="337"/>
        <v>46072</v>
      </c>
      <c r="F744" s="77">
        <f t="shared" si="338"/>
        <v>46079</v>
      </c>
      <c r="G744" s="77">
        <f t="shared" si="339"/>
        <v>46085</v>
      </c>
      <c r="H744" s="77">
        <f t="shared" si="340"/>
        <v>46073</v>
      </c>
      <c r="I744" s="77">
        <f t="shared" si="341"/>
        <v>46080</v>
      </c>
      <c r="J744" s="25"/>
      <c r="K744" s="25"/>
      <c r="L744" s="25"/>
      <c r="M744" s="25"/>
      <c r="N744" s="25"/>
      <c r="O744" s="25"/>
    </row>
    <row r="745" spans="1:15" x14ac:dyDescent="0.25">
      <c r="A745" s="77">
        <v>46066</v>
      </c>
      <c r="B745" s="25" t="s">
        <v>520</v>
      </c>
      <c r="C745" s="25" t="str">
        <f>VLOOKUP(B745,'[1]Migrasi Bed'!$B$4:$E$521,4,0)</f>
        <v>ST.A008</v>
      </c>
      <c r="D745" s="77">
        <f t="shared" si="336"/>
        <v>46089</v>
      </c>
      <c r="E745" s="77">
        <f t="shared" si="337"/>
        <v>46073</v>
      </c>
      <c r="F745" s="77">
        <f t="shared" si="338"/>
        <v>46080</v>
      </c>
      <c r="G745" s="77">
        <f t="shared" si="339"/>
        <v>46086</v>
      </c>
      <c r="H745" s="77">
        <f t="shared" si="340"/>
        <v>46074</v>
      </c>
      <c r="I745" s="77">
        <f t="shared" si="341"/>
        <v>46081</v>
      </c>
      <c r="J745" s="25"/>
      <c r="K745" s="25"/>
      <c r="L745" s="25"/>
      <c r="M745" s="25"/>
      <c r="N745" s="25"/>
      <c r="O745" s="25"/>
    </row>
    <row r="746" spans="1:15" x14ac:dyDescent="0.25">
      <c r="A746" s="77">
        <v>46066</v>
      </c>
      <c r="B746" s="25" t="s">
        <v>521</v>
      </c>
      <c r="C746" s="25" t="str">
        <f>VLOOKUP(B746,'[1]Migrasi Bed'!$B$4:$E$521,4,0)</f>
        <v>ST.A009</v>
      </c>
      <c r="D746" s="77">
        <f t="shared" si="336"/>
        <v>46089</v>
      </c>
      <c r="E746" s="77">
        <f t="shared" si="337"/>
        <v>46073</v>
      </c>
      <c r="F746" s="77">
        <f t="shared" si="338"/>
        <v>46080</v>
      </c>
      <c r="G746" s="77">
        <f t="shared" si="339"/>
        <v>46086</v>
      </c>
      <c r="H746" s="77">
        <f t="shared" si="340"/>
        <v>46074</v>
      </c>
      <c r="I746" s="77">
        <f t="shared" si="341"/>
        <v>46081</v>
      </c>
      <c r="J746" s="25"/>
      <c r="K746" s="25"/>
      <c r="L746" s="25"/>
      <c r="M746" s="25"/>
      <c r="N746" s="25"/>
      <c r="O746" s="25"/>
    </row>
    <row r="747" spans="1:15" x14ac:dyDescent="0.25">
      <c r="A747" s="77">
        <v>46066</v>
      </c>
      <c r="B747" s="25" t="s">
        <v>522</v>
      </c>
      <c r="C747" s="25" t="str">
        <f>VLOOKUP(B747,'[1]Migrasi Bed'!$B$4:$E$521,4,0)</f>
        <v>ST.A010</v>
      </c>
      <c r="D747" s="77">
        <f t="shared" si="336"/>
        <v>46089</v>
      </c>
      <c r="E747" s="77">
        <f t="shared" si="337"/>
        <v>46073</v>
      </c>
      <c r="F747" s="77">
        <f t="shared" si="338"/>
        <v>46080</v>
      </c>
      <c r="G747" s="77">
        <f t="shared" si="339"/>
        <v>46086</v>
      </c>
      <c r="H747" s="77">
        <f t="shared" si="340"/>
        <v>46074</v>
      </c>
      <c r="I747" s="77">
        <f t="shared" si="341"/>
        <v>46081</v>
      </c>
      <c r="J747" s="25"/>
      <c r="K747" s="25"/>
      <c r="L747" s="25"/>
      <c r="M747" s="25"/>
      <c r="N747" s="25"/>
      <c r="O747" s="25"/>
    </row>
    <row r="748" spans="1:15" x14ac:dyDescent="0.25">
      <c r="A748" s="77">
        <v>46066</v>
      </c>
      <c r="B748" s="25" t="s">
        <v>523</v>
      </c>
      <c r="C748" s="25" t="str">
        <f>VLOOKUP(B748,'[1]Migrasi Bed'!$B$4:$E$521,4,0)</f>
        <v>ST.A011</v>
      </c>
      <c r="D748" s="77">
        <f t="shared" si="336"/>
        <v>46089</v>
      </c>
      <c r="E748" s="77">
        <f t="shared" si="337"/>
        <v>46073</v>
      </c>
      <c r="F748" s="77">
        <f t="shared" si="338"/>
        <v>46080</v>
      </c>
      <c r="G748" s="77">
        <f t="shared" si="339"/>
        <v>46086</v>
      </c>
      <c r="H748" s="77">
        <f t="shared" si="340"/>
        <v>46074</v>
      </c>
      <c r="I748" s="77">
        <f t="shared" si="341"/>
        <v>46081</v>
      </c>
      <c r="J748" s="25"/>
      <c r="K748" s="25"/>
      <c r="L748" s="25"/>
      <c r="M748" s="25"/>
      <c r="N748" s="25"/>
      <c r="O748" s="25"/>
    </row>
    <row r="749" spans="1:15" x14ac:dyDescent="0.25">
      <c r="A749" s="77">
        <v>46066</v>
      </c>
      <c r="B749" s="25" t="s">
        <v>524</v>
      </c>
      <c r="C749" s="25" t="str">
        <f>VLOOKUP(B749,'[1]Migrasi Bed'!$B$4:$E$521,4,0)</f>
        <v>ST.A012</v>
      </c>
      <c r="D749" s="77">
        <f t="shared" si="336"/>
        <v>46089</v>
      </c>
      <c r="E749" s="77">
        <f t="shared" si="337"/>
        <v>46073</v>
      </c>
      <c r="F749" s="77">
        <f t="shared" si="338"/>
        <v>46080</v>
      </c>
      <c r="G749" s="77">
        <f t="shared" si="339"/>
        <v>46086</v>
      </c>
      <c r="H749" s="77">
        <f t="shared" si="340"/>
        <v>46074</v>
      </c>
      <c r="I749" s="77">
        <f t="shared" si="341"/>
        <v>46081</v>
      </c>
      <c r="J749" s="25"/>
      <c r="K749" s="25"/>
      <c r="L749" s="25"/>
      <c r="M749" s="25"/>
      <c r="N749" s="25"/>
      <c r="O749" s="25"/>
    </row>
    <row r="750" spans="1:15" x14ac:dyDescent="0.25">
      <c r="A750" s="77">
        <v>46066</v>
      </c>
      <c r="B750" s="25" t="s">
        <v>525</v>
      </c>
      <c r="C750" s="25" t="str">
        <f>VLOOKUP(B750,'[1]Migrasi Bed'!$B$4:$E$521,4,0)</f>
        <v>ST.A013</v>
      </c>
      <c r="D750" s="77">
        <f t="shared" si="336"/>
        <v>46089</v>
      </c>
      <c r="E750" s="77">
        <f t="shared" si="337"/>
        <v>46073</v>
      </c>
      <c r="F750" s="77">
        <f t="shared" si="338"/>
        <v>46080</v>
      </c>
      <c r="G750" s="77">
        <f t="shared" si="339"/>
        <v>46086</v>
      </c>
      <c r="H750" s="77">
        <f t="shared" si="340"/>
        <v>46074</v>
      </c>
      <c r="I750" s="77">
        <f t="shared" si="341"/>
        <v>46081</v>
      </c>
      <c r="J750" s="25"/>
      <c r="K750" s="25"/>
      <c r="L750" s="25"/>
      <c r="M750" s="25"/>
      <c r="N750" s="25"/>
      <c r="O750" s="25"/>
    </row>
    <row r="751" spans="1:15" x14ac:dyDescent="0.25">
      <c r="A751" s="77">
        <v>46066</v>
      </c>
      <c r="B751" s="25" t="s">
        <v>526</v>
      </c>
      <c r="C751" s="25" t="str">
        <f>VLOOKUP(B751,'[1]Migrasi Bed'!$B$4:$E$521,4,0)</f>
        <v>ST.A014</v>
      </c>
      <c r="D751" s="77">
        <f t="shared" si="336"/>
        <v>46089</v>
      </c>
      <c r="E751" s="77">
        <f t="shared" si="337"/>
        <v>46073</v>
      </c>
      <c r="F751" s="77">
        <f t="shared" si="338"/>
        <v>46080</v>
      </c>
      <c r="G751" s="77">
        <f t="shared" si="339"/>
        <v>46086</v>
      </c>
      <c r="H751" s="77">
        <f t="shared" si="340"/>
        <v>46074</v>
      </c>
      <c r="I751" s="77">
        <f t="shared" si="341"/>
        <v>46081</v>
      </c>
      <c r="J751" s="25"/>
      <c r="K751" s="25"/>
      <c r="L751" s="25"/>
      <c r="M751" s="25"/>
      <c r="N751" s="25"/>
      <c r="O751" s="25"/>
    </row>
    <row r="752" spans="1:15" x14ac:dyDescent="0.25">
      <c r="A752" s="77">
        <v>46067</v>
      </c>
      <c r="B752" s="25" t="s">
        <v>527</v>
      </c>
      <c r="C752" s="25" t="str">
        <f>VLOOKUP(B752,'[1]Migrasi Bed'!$B$4:$E$521,4,0)</f>
        <v>ST.A015</v>
      </c>
      <c r="D752" s="77">
        <f t="shared" si="336"/>
        <v>46090</v>
      </c>
      <c r="E752" s="77">
        <f t="shared" si="337"/>
        <v>46074</v>
      </c>
      <c r="F752" s="77">
        <f t="shared" si="338"/>
        <v>46081</v>
      </c>
      <c r="G752" s="77">
        <f t="shared" si="339"/>
        <v>46087</v>
      </c>
      <c r="H752" s="77">
        <f t="shared" si="340"/>
        <v>46075</v>
      </c>
      <c r="I752" s="77">
        <f t="shared" si="341"/>
        <v>46082</v>
      </c>
      <c r="J752" s="25"/>
      <c r="K752" s="25"/>
      <c r="L752" s="25"/>
      <c r="M752" s="25"/>
      <c r="N752" s="25"/>
      <c r="O752" s="25"/>
    </row>
    <row r="753" spans="1:15" x14ac:dyDescent="0.25">
      <c r="A753" s="77">
        <v>46067</v>
      </c>
      <c r="B753" s="25" t="s">
        <v>528</v>
      </c>
      <c r="C753" s="25" t="str">
        <f>VLOOKUP(B753,'[1]Migrasi Bed'!$B$4:$E$521,4,0)</f>
        <v>ST.A016</v>
      </c>
      <c r="D753" s="77">
        <f t="shared" si="336"/>
        <v>46090</v>
      </c>
      <c r="E753" s="77">
        <f t="shared" si="337"/>
        <v>46074</v>
      </c>
      <c r="F753" s="77">
        <f t="shared" si="338"/>
        <v>46081</v>
      </c>
      <c r="G753" s="77">
        <f t="shared" si="339"/>
        <v>46087</v>
      </c>
      <c r="H753" s="77">
        <f t="shared" si="340"/>
        <v>46075</v>
      </c>
      <c r="I753" s="77">
        <f t="shared" si="341"/>
        <v>46082</v>
      </c>
      <c r="J753" s="25"/>
      <c r="K753" s="25"/>
      <c r="L753" s="25"/>
      <c r="M753" s="25"/>
      <c r="N753" s="25"/>
      <c r="O753" s="25"/>
    </row>
    <row r="754" spans="1:15" x14ac:dyDescent="0.25">
      <c r="A754" s="77">
        <v>46067</v>
      </c>
      <c r="B754" s="25" t="s">
        <v>529</v>
      </c>
      <c r="C754" s="25" t="str">
        <f>VLOOKUP(B754,'[1]Migrasi Bed'!$B$4:$E$521,4,0)</f>
        <v>ST.A017</v>
      </c>
      <c r="D754" s="77">
        <f t="shared" si="336"/>
        <v>46090</v>
      </c>
      <c r="E754" s="77">
        <f t="shared" si="337"/>
        <v>46074</v>
      </c>
      <c r="F754" s="77">
        <f t="shared" si="338"/>
        <v>46081</v>
      </c>
      <c r="G754" s="77">
        <f t="shared" si="339"/>
        <v>46087</v>
      </c>
      <c r="H754" s="77">
        <f t="shared" si="340"/>
        <v>46075</v>
      </c>
      <c r="I754" s="77">
        <f t="shared" si="341"/>
        <v>46082</v>
      </c>
      <c r="J754" s="25"/>
      <c r="K754" s="25"/>
      <c r="L754" s="25"/>
      <c r="M754" s="25"/>
      <c r="N754" s="25"/>
      <c r="O754" s="25"/>
    </row>
    <row r="755" spans="1:15" x14ac:dyDescent="0.25">
      <c r="A755" s="77">
        <v>46067</v>
      </c>
      <c r="B755" s="25" t="s">
        <v>530</v>
      </c>
      <c r="C755" s="25" t="str">
        <f>VLOOKUP(B755,'[1]Migrasi Bed'!$B$4:$E$521,4,0)</f>
        <v>ST.A018</v>
      </c>
      <c r="D755" s="77">
        <f t="shared" si="336"/>
        <v>46090</v>
      </c>
      <c r="E755" s="77">
        <f t="shared" si="337"/>
        <v>46074</v>
      </c>
      <c r="F755" s="77">
        <f t="shared" si="338"/>
        <v>46081</v>
      </c>
      <c r="G755" s="77">
        <f t="shared" si="339"/>
        <v>46087</v>
      </c>
      <c r="H755" s="77">
        <f t="shared" si="340"/>
        <v>46075</v>
      </c>
      <c r="I755" s="77">
        <f t="shared" si="341"/>
        <v>46082</v>
      </c>
      <c r="J755" s="25"/>
      <c r="K755" s="25"/>
      <c r="L755" s="25"/>
      <c r="M755" s="25"/>
      <c r="N755" s="25"/>
      <c r="O755" s="25"/>
    </row>
    <row r="756" spans="1:15" x14ac:dyDescent="0.25">
      <c r="A756" s="77">
        <v>46067</v>
      </c>
      <c r="B756" s="25" t="s">
        <v>531</v>
      </c>
      <c r="C756" s="25" t="str">
        <f>VLOOKUP(B756,'[1]Migrasi Bed'!$B$4:$E$521,4,0)</f>
        <v>ST.A019</v>
      </c>
      <c r="D756" s="77">
        <f t="shared" si="336"/>
        <v>46090</v>
      </c>
      <c r="E756" s="77">
        <f t="shared" si="337"/>
        <v>46074</v>
      </c>
      <c r="F756" s="77">
        <f t="shared" si="338"/>
        <v>46081</v>
      </c>
      <c r="G756" s="77">
        <f t="shared" si="339"/>
        <v>46087</v>
      </c>
      <c r="H756" s="77">
        <f t="shared" si="340"/>
        <v>46075</v>
      </c>
      <c r="I756" s="77">
        <f t="shared" si="341"/>
        <v>46082</v>
      </c>
      <c r="J756" s="25"/>
      <c r="K756" s="25"/>
      <c r="L756" s="25"/>
      <c r="M756" s="25"/>
      <c r="N756" s="25"/>
      <c r="O756" s="25"/>
    </row>
    <row r="757" spans="1:15" x14ac:dyDescent="0.25">
      <c r="A757" s="77">
        <v>46067</v>
      </c>
      <c r="B757" s="25" t="s">
        <v>532</v>
      </c>
      <c r="C757" s="25" t="str">
        <f>VLOOKUP(B757,'[1]Migrasi Bed'!$B$4:$E$521,4,0)</f>
        <v>ST.A020</v>
      </c>
      <c r="D757" s="77">
        <f t="shared" si="336"/>
        <v>46090</v>
      </c>
      <c r="E757" s="77">
        <f t="shared" si="337"/>
        <v>46074</v>
      </c>
      <c r="F757" s="77">
        <f t="shared" si="338"/>
        <v>46081</v>
      </c>
      <c r="G757" s="77">
        <f t="shared" si="339"/>
        <v>46087</v>
      </c>
      <c r="H757" s="77">
        <f t="shared" si="340"/>
        <v>46075</v>
      </c>
      <c r="I757" s="77">
        <f t="shared" si="341"/>
        <v>46082</v>
      </c>
      <c r="J757" s="25"/>
      <c r="K757" s="25"/>
      <c r="L757" s="25"/>
      <c r="M757" s="25"/>
      <c r="N757" s="25"/>
      <c r="O757" s="25"/>
    </row>
    <row r="758" spans="1:15" x14ac:dyDescent="0.25">
      <c r="A758" s="77">
        <v>46067</v>
      </c>
      <c r="B758" s="25" t="s">
        <v>533</v>
      </c>
      <c r="C758" s="25" t="str">
        <f>VLOOKUP(B758,'[1]Migrasi Bed'!$B$4:$E$521,4,0)</f>
        <v>ST.A021</v>
      </c>
      <c r="D758" s="77">
        <f t="shared" si="336"/>
        <v>46090</v>
      </c>
      <c r="E758" s="77">
        <f t="shared" si="337"/>
        <v>46074</v>
      </c>
      <c r="F758" s="77">
        <f t="shared" si="338"/>
        <v>46081</v>
      </c>
      <c r="G758" s="77">
        <f t="shared" si="339"/>
        <v>46087</v>
      </c>
      <c r="H758" s="77">
        <f t="shared" si="340"/>
        <v>46075</v>
      </c>
      <c r="I758" s="77">
        <f t="shared" si="341"/>
        <v>46082</v>
      </c>
      <c r="J758" s="25"/>
      <c r="K758" s="25"/>
      <c r="L758" s="25"/>
      <c r="M758" s="25"/>
      <c r="N758" s="25"/>
      <c r="O758" s="25"/>
    </row>
    <row r="759" spans="1:15" x14ac:dyDescent="0.25">
      <c r="A759" s="77">
        <v>46068</v>
      </c>
      <c r="B759" s="25" t="s">
        <v>359</v>
      </c>
      <c r="C759" s="25" t="str">
        <f>VLOOKUP(B759,'[1]Migrasi Bed'!$B$4:$E$521,4,0)</f>
        <v>SV.F001</v>
      </c>
      <c r="D759" s="77">
        <f t="shared" si="336"/>
        <v>46091</v>
      </c>
      <c r="E759" s="77">
        <f t="shared" si="337"/>
        <v>46075</v>
      </c>
      <c r="F759" s="77">
        <f t="shared" si="338"/>
        <v>46082</v>
      </c>
      <c r="G759" s="77">
        <f t="shared" si="339"/>
        <v>46088</v>
      </c>
      <c r="H759" s="77">
        <f t="shared" si="340"/>
        <v>46076</v>
      </c>
      <c r="I759" s="77">
        <f t="shared" si="341"/>
        <v>46083</v>
      </c>
      <c r="J759" s="25"/>
      <c r="K759" s="25"/>
      <c r="L759" s="25"/>
      <c r="M759" s="25"/>
      <c r="N759" s="25"/>
      <c r="O759" s="25"/>
    </row>
    <row r="760" spans="1:15" x14ac:dyDescent="0.25">
      <c r="A760" s="77">
        <v>46068</v>
      </c>
      <c r="B760" s="25" t="s">
        <v>360</v>
      </c>
      <c r="C760" s="25" t="str">
        <f>VLOOKUP(B760,'[1]Migrasi Bed'!$B$4:$E$521,4,0)</f>
        <v>SV.F002</v>
      </c>
      <c r="D760" s="77">
        <f t="shared" si="336"/>
        <v>46091</v>
      </c>
      <c r="E760" s="77">
        <f t="shared" si="337"/>
        <v>46075</v>
      </c>
      <c r="F760" s="77">
        <f t="shared" si="338"/>
        <v>46082</v>
      </c>
      <c r="G760" s="77">
        <f t="shared" si="339"/>
        <v>46088</v>
      </c>
      <c r="H760" s="77">
        <f t="shared" si="340"/>
        <v>46076</v>
      </c>
      <c r="I760" s="77">
        <f t="shared" si="341"/>
        <v>46083</v>
      </c>
      <c r="J760" s="25"/>
      <c r="K760" s="25"/>
      <c r="L760" s="25"/>
      <c r="M760" s="25"/>
      <c r="N760" s="25"/>
      <c r="O760" s="25"/>
    </row>
    <row r="761" spans="1:15" x14ac:dyDescent="0.25">
      <c r="A761" s="77">
        <v>46068</v>
      </c>
      <c r="B761" s="25" t="s">
        <v>361</v>
      </c>
      <c r="C761" s="25" t="str">
        <f>VLOOKUP(B761,'[1]Migrasi Bed'!$B$4:$E$521,4,0)</f>
        <v>SV.F003</v>
      </c>
      <c r="D761" s="77">
        <f t="shared" si="336"/>
        <v>46091</v>
      </c>
      <c r="E761" s="77">
        <f t="shared" si="337"/>
        <v>46075</v>
      </c>
      <c r="F761" s="77">
        <f t="shared" si="338"/>
        <v>46082</v>
      </c>
      <c r="G761" s="77">
        <f t="shared" si="339"/>
        <v>46088</v>
      </c>
      <c r="H761" s="77">
        <f t="shared" si="340"/>
        <v>46076</v>
      </c>
      <c r="I761" s="77">
        <f t="shared" si="341"/>
        <v>46083</v>
      </c>
      <c r="J761" s="25"/>
      <c r="K761" s="25"/>
      <c r="L761" s="25"/>
      <c r="M761" s="25"/>
      <c r="N761" s="25"/>
      <c r="O761" s="25"/>
    </row>
    <row r="762" spans="1:15" x14ac:dyDescent="0.25">
      <c r="A762" s="77">
        <v>46068</v>
      </c>
      <c r="B762" s="25" t="s">
        <v>362</v>
      </c>
      <c r="C762" s="25" t="str">
        <f>VLOOKUP(B762,'[1]Migrasi Bed'!$B$4:$E$521,4,0)</f>
        <v>SV.F004</v>
      </c>
      <c r="D762" s="77">
        <f t="shared" si="336"/>
        <v>46091</v>
      </c>
      <c r="E762" s="77">
        <f t="shared" si="337"/>
        <v>46075</v>
      </c>
      <c r="F762" s="77">
        <f t="shared" si="338"/>
        <v>46082</v>
      </c>
      <c r="G762" s="77">
        <f t="shared" si="339"/>
        <v>46088</v>
      </c>
      <c r="H762" s="77">
        <f t="shared" si="340"/>
        <v>46076</v>
      </c>
      <c r="I762" s="77">
        <f t="shared" si="341"/>
        <v>46083</v>
      </c>
      <c r="J762" s="25"/>
      <c r="K762" s="25"/>
      <c r="L762" s="25"/>
      <c r="M762" s="25"/>
      <c r="N762" s="25"/>
      <c r="O762" s="25"/>
    </row>
    <row r="763" spans="1:15" x14ac:dyDescent="0.25">
      <c r="A763" s="77">
        <v>46068</v>
      </c>
      <c r="B763" s="25" t="s">
        <v>363</v>
      </c>
      <c r="C763" s="25" t="str">
        <f>VLOOKUP(B763,'[1]Migrasi Bed'!$B$4:$E$521,4,0)</f>
        <v>SV.F005</v>
      </c>
      <c r="D763" s="77">
        <f t="shared" si="336"/>
        <v>46091</v>
      </c>
      <c r="E763" s="77">
        <f t="shared" si="337"/>
        <v>46075</v>
      </c>
      <c r="F763" s="77">
        <f t="shared" si="338"/>
        <v>46082</v>
      </c>
      <c r="G763" s="77">
        <f t="shared" si="339"/>
        <v>46088</v>
      </c>
      <c r="H763" s="77">
        <f t="shared" si="340"/>
        <v>46076</v>
      </c>
      <c r="I763" s="77">
        <f t="shared" si="341"/>
        <v>46083</v>
      </c>
      <c r="J763" s="25"/>
      <c r="K763" s="25"/>
      <c r="L763" s="25"/>
      <c r="M763" s="25"/>
      <c r="N763" s="25"/>
      <c r="O763" s="25"/>
    </row>
    <row r="764" spans="1:15" x14ac:dyDescent="0.25">
      <c r="A764" s="77">
        <v>46068</v>
      </c>
      <c r="B764" s="25" t="s">
        <v>364</v>
      </c>
      <c r="C764" s="25" t="str">
        <f>VLOOKUP(B764,'[1]Migrasi Bed'!$B$4:$E$521,4,0)</f>
        <v>SV.F006</v>
      </c>
      <c r="D764" s="77">
        <f t="shared" si="336"/>
        <v>46091</v>
      </c>
      <c r="E764" s="77">
        <f t="shared" si="337"/>
        <v>46075</v>
      </c>
      <c r="F764" s="77">
        <f t="shared" si="338"/>
        <v>46082</v>
      </c>
      <c r="G764" s="77">
        <f t="shared" si="339"/>
        <v>46088</v>
      </c>
      <c r="H764" s="77">
        <f t="shared" si="340"/>
        <v>46076</v>
      </c>
      <c r="I764" s="77">
        <f t="shared" si="341"/>
        <v>46083</v>
      </c>
      <c r="J764" s="25"/>
      <c r="K764" s="25"/>
      <c r="L764" s="25"/>
      <c r="M764" s="25"/>
      <c r="N764" s="25"/>
      <c r="O764" s="25"/>
    </row>
    <row r="765" spans="1:15" x14ac:dyDescent="0.25">
      <c r="A765" s="77">
        <v>46068</v>
      </c>
      <c r="B765" s="25" t="s">
        <v>365</v>
      </c>
      <c r="C765" s="25" t="str">
        <f>VLOOKUP(B765,'[1]Migrasi Bed'!$B$4:$E$521,4,0)</f>
        <v>SV.F007</v>
      </c>
      <c r="D765" s="77">
        <f t="shared" si="336"/>
        <v>46091</v>
      </c>
      <c r="E765" s="77">
        <f t="shared" si="337"/>
        <v>46075</v>
      </c>
      <c r="F765" s="77">
        <f t="shared" si="338"/>
        <v>46082</v>
      </c>
      <c r="G765" s="77">
        <f t="shared" si="339"/>
        <v>46088</v>
      </c>
      <c r="H765" s="77">
        <f t="shared" si="340"/>
        <v>46076</v>
      </c>
      <c r="I765" s="77">
        <f t="shared" si="341"/>
        <v>46083</v>
      </c>
      <c r="J765" s="25"/>
      <c r="K765" s="25"/>
      <c r="L765" s="25"/>
      <c r="M765" s="25"/>
      <c r="N765" s="25"/>
      <c r="O765" s="25"/>
    </row>
    <row r="766" spans="1:15" x14ac:dyDescent="0.25">
      <c r="A766" s="77">
        <v>46069</v>
      </c>
      <c r="B766" s="25" t="s">
        <v>379</v>
      </c>
      <c r="C766" s="25" t="str">
        <f>VLOOKUP(B766,'[1]Migrasi Bed'!$B$4:$E$521,4,0)</f>
        <v>SV.G001</v>
      </c>
      <c r="D766" s="77">
        <f t="shared" si="336"/>
        <v>46092</v>
      </c>
      <c r="E766" s="77">
        <f t="shared" si="337"/>
        <v>46076</v>
      </c>
      <c r="F766" s="77">
        <f t="shared" si="338"/>
        <v>46083</v>
      </c>
      <c r="G766" s="77">
        <f t="shared" si="339"/>
        <v>46089</v>
      </c>
      <c r="H766" s="77">
        <f t="shared" si="340"/>
        <v>46077</v>
      </c>
      <c r="I766" s="77">
        <f t="shared" si="341"/>
        <v>46084</v>
      </c>
      <c r="J766" s="25"/>
      <c r="K766" s="25"/>
      <c r="L766" s="25"/>
      <c r="M766" s="25"/>
      <c r="N766" s="25"/>
      <c r="O766" s="25"/>
    </row>
    <row r="767" spans="1:15" x14ac:dyDescent="0.25">
      <c r="A767" s="77">
        <v>46069</v>
      </c>
      <c r="B767" s="25" t="s">
        <v>380</v>
      </c>
      <c r="C767" s="25" t="str">
        <f>VLOOKUP(B767,'[1]Migrasi Bed'!$B$4:$E$521,4,0)</f>
        <v>SV.G002</v>
      </c>
      <c r="D767" s="77">
        <f t="shared" si="336"/>
        <v>46092</v>
      </c>
      <c r="E767" s="77">
        <f t="shared" si="337"/>
        <v>46076</v>
      </c>
      <c r="F767" s="77">
        <f t="shared" si="338"/>
        <v>46083</v>
      </c>
      <c r="G767" s="77">
        <f t="shared" si="339"/>
        <v>46089</v>
      </c>
      <c r="H767" s="77">
        <f t="shared" si="340"/>
        <v>46077</v>
      </c>
      <c r="I767" s="77">
        <f t="shared" si="341"/>
        <v>46084</v>
      </c>
      <c r="J767" s="25"/>
      <c r="K767" s="25"/>
      <c r="L767" s="25"/>
      <c r="M767" s="25"/>
      <c r="N767" s="25"/>
      <c r="O767" s="25"/>
    </row>
    <row r="768" spans="1:15" x14ac:dyDescent="0.25">
      <c r="A768" s="77">
        <v>46069</v>
      </c>
      <c r="B768" s="25" t="s">
        <v>381</v>
      </c>
      <c r="C768" s="25" t="str">
        <f>VLOOKUP(B768,'[1]Migrasi Bed'!$B$4:$E$521,4,0)</f>
        <v>SV.G003</v>
      </c>
      <c r="D768" s="77">
        <f t="shared" si="336"/>
        <v>46092</v>
      </c>
      <c r="E768" s="77">
        <f t="shared" si="337"/>
        <v>46076</v>
      </c>
      <c r="F768" s="77">
        <f t="shared" si="338"/>
        <v>46083</v>
      </c>
      <c r="G768" s="77">
        <f t="shared" si="339"/>
        <v>46089</v>
      </c>
      <c r="H768" s="77">
        <f t="shared" si="340"/>
        <v>46077</v>
      </c>
      <c r="I768" s="77">
        <f t="shared" si="341"/>
        <v>46084</v>
      </c>
      <c r="J768" s="25"/>
      <c r="K768" s="25"/>
      <c r="L768" s="25"/>
      <c r="M768" s="25"/>
      <c r="N768" s="25"/>
      <c r="O768" s="25"/>
    </row>
    <row r="769" spans="1:15" x14ac:dyDescent="0.25">
      <c r="A769" s="77">
        <v>46069</v>
      </c>
      <c r="B769" s="25" t="s">
        <v>382</v>
      </c>
      <c r="C769" s="25" t="str">
        <f>VLOOKUP(B769,'[1]Migrasi Bed'!$B$4:$E$521,4,0)</f>
        <v>SV.G004</v>
      </c>
      <c r="D769" s="77">
        <f t="shared" si="336"/>
        <v>46092</v>
      </c>
      <c r="E769" s="77">
        <f t="shared" si="337"/>
        <v>46076</v>
      </c>
      <c r="F769" s="77">
        <f t="shared" si="338"/>
        <v>46083</v>
      </c>
      <c r="G769" s="77">
        <f t="shared" si="339"/>
        <v>46089</v>
      </c>
      <c r="H769" s="77">
        <f t="shared" si="340"/>
        <v>46077</v>
      </c>
      <c r="I769" s="77">
        <f t="shared" si="341"/>
        <v>46084</v>
      </c>
      <c r="J769" s="25"/>
      <c r="K769" s="25"/>
      <c r="L769" s="25"/>
      <c r="M769" s="25"/>
      <c r="N769" s="25"/>
      <c r="O769" s="25"/>
    </row>
    <row r="770" spans="1:15" x14ac:dyDescent="0.25">
      <c r="A770" s="77">
        <v>46069</v>
      </c>
      <c r="B770" s="25" t="s">
        <v>383</v>
      </c>
      <c r="C770" s="25" t="str">
        <f>VLOOKUP(B770,'[1]Migrasi Bed'!$B$4:$E$521,4,0)</f>
        <v>SV.G005</v>
      </c>
      <c r="D770" s="77">
        <f t="shared" si="336"/>
        <v>46092</v>
      </c>
      <c r="E770" s="77">
        <f t="shared" si="337"/>
        <v>46076</v>
      </c>
      <c r="F770" s="77">
        <f t="shared" si="338"/>
        <v>46083</v>
      </c>
      <c r="G770" s="77">
        <f t="shared" si="339"/>
        <v>46089</v>
      </c>
      <c r="H770" s="77">
        <f t="shared" si="340"/>
        <v>46077</v>
      </c>
      <c r="I770" s="77">
        <f t="shared" si="341"/>
        <v>46084</v>
      </c>
      <c r="J770" s="25"/>
      <c r="K770" s="25"/>
      <c r="L770" s="25"/>
      <c r="M770" s="25"/>
      <c r="N770" s="25"/>
      <c r="O770" s="25"/>
    </row>
    <row r="771" spans="1:15" x14ac:dyDescent="0.25">
      <c r="A771" s="77">
        <v>46069</v>
      </c>
      <c r="B771" s="25" t="s">
        <v>384</v>
      </c>
      <c r="C771" s="25" t="str">
        <f>VLOOKUP(B771,'[1]Migrasi Bed'!$B$4:$E$521,4,0)</f>
        <v>SV.G006</v>
      </c>
      <c r="D771" s="77">
        <f t="shared" si="336"/>
        <v>46092</v>
      </c>
      <c r="E771" s="77">
        <f t="shared" si="337"/>
        <v>46076</v>
      </c>
      <c r="F771" s="77">
        <f t="shared" si="338"/>
        <v>46083</v>
      </c>
      <c r="G771" s="77">
        <f t="shared" si="339"/>
        <v>46089</v>
      </c>
      <c r="H771" s="77">
        <f t="shared" si="340"/>
        <v>46077</v>
      </c>
      <c r="I771" s="77">
        <f t="shared" si="341"/>
        <v>46084</v>
      </c>
      <c r="J771" s="25"/>
      <c r="K771" s="25"/>
      <c r="L771" s="25"/>
      <c r="M771" s="25"/>
      <c r="N771" s="25"/>
      <c r="O771" s="25"/>
    </row>
    <row r="772" spans="1:15" x14ac:dyDescent="0.25">
      <c r="A772" s="77">
        <v>46069</v>
      </c>
      <c r="B772" s="25" t="s">
        <v>385</v>
      </c>
      <c r="C772" s="25" t="str">
        <f>VLOOKUP(B772,'[1]Migrasi Bed'!$B$4:$E$521,4,0)</f>
        <v>SV.G007</v>
      </c>
      <c r="D772" s="77">
        <f t="shared" si="336"/>
        <v>46092</v>
      </c>
      <c r="E772" s="77">
        <f t="shared" si="337"/>
        <v>46076</v>
      </c>
      <c r="F772" s="77">
        <f t="shared" si="338"/>
        <v>46083</v>
      </c>
      <c r="G772" s="77">
        <f t="shared" si="339"/>
        <v>46089</v>
      </c>
      <c r="H772" s="77">
        <f t="shared" si="340"/>
        <v>46077</v>
      </c>
      <c r="I772" s="77">
        <f t="shared" si="341"/>
        <v>46084</v>
      </c>
      <c r="J772" s="25"/>
      <c r="K772" s="25"/>
      <c r="L772" s="25"/>
      <c r="M772" s="25"/>
      <c r="N772" s="25"/>
      <c r="O772" s="25"/>
    </row>
    <row r="773" spans="1:15" x14ac:dyDescent="0.25">
      <c r="A773" s="77">
        <v>46070</v>
      </c>
      <c r="B773" s="25" t="s">
        <v>366</v>
      </c>
      <c r="C773" s="25" t="str">
        <f>VLOOKUP(B773,'[1]Migrasi Bed'!$B$4:$E$521,4,0)</f>
        <v>SV.F008</v>
      </c>
      <c r="D773" s="77">
        <f t="shared" si="336"/>
        <v>46093</v>
      </c>
      <c r="E773" s="77">
        <f t="shared" si="337"/>
        <v>46077</v>
      </c>
      <c r="F773" s="77">
        <f t="shared" si="338"/>
        <v>46084</v>
      </c>
      <c r="G773" s="77">
        <f t="shared" si="339"/>
        <v>46090</v>
      </c>
      <c r="H773" s="77">
        <f t="shared" si="340"/>
        <v>46078</v>
      </c>
      <c r="I773" s="77">
        <f t="shared" si="341"/>
        <v>46085</v>
      </c>
      <c r="J773" s="25"/>
      <c r="K773" s="25"/>
      <c r="L773" s="25"/>
      <c r="M773" s="25"/>
      <c r="N773" s="25"/>
      <c r="O773" s="25"/>
    </row>
    <row r="774" spans="1:15" x14ac:dyDescent="0.25">
      <c r="A774" s="77">
        <v>46070</v>
      </c>
      <c r="B774" s="25" t="s">
        <v>367</v>
      </c>
      <c r="C774" s="25" t="str">
        <f>VLOOKUP(B774,'[1]Migrasi Bed'!$B$4:$E$521,4,0)</f>
        <v>SV.F009</v>
      </c>
      <c r="D774" s="77">
        <f t="shared" si="336"/>
        <v>46093</v>
      </c>
      <c r="E774" s="77">
        <f t="shared" si="337"/>
        <v>46077</v>
      </c>
      <c r="F774" s="77">
        <f t="shared" si="338"/>
        <v>46084</v>
      </c>
      <c r="G774" s="77">
        <f t="shared" si="339"/>
        <v>46090</v>
      </c>
      <c r="H774" s="77">
        <f t="shared" si="340"/>
        <v>46078</v>
      </c>
      <c r="I774" s="77">
        <f t="shared" si="341"/>
        <v>46085</v>
      </c>
      <c r="J774" s="25"/>
      <c r="K774" s="25"/>
      <c r="L774" s="25"/>
      <c r="M774" s="25"/>
      <c r="N774" s="25"/>
      <c r="O774" s="25"/>
    </row>
    <row r="775" spans="1:15" x14ac:dyDescent="0.25">
      <c r="A775" s="77">
        <v>46070</v>
      </c>
      <c r="B775" s="25" t="s">
        <v>368</v>
      </c>
      <c r="C775" s="25" t="str">
        <f>VLOOKUP(B775,'[1]Migrasi Bed'!$B$4:$E$521,4,0)</f>
        <v>SV.F010</v>
      </c>
      <c r="D775" s="77">
        <f t="shared" si="336"/>
        <v>46093</v>
      </c>
      <c r="E775" s="77">
        <f t="shared" si="337"/>
        <v>46077</v>
      </c>
      <c r="F775" s="77">
        <f t="shared" si="338"/>
        <v>46084</v>
      </c>
      <c r="G775" s="77">
        <f t="shared" si="339"/>
        <v>46090</v>
      </c>
      <c r="H775" s="77">
        <f t="shared" si="340"/>
        <v>46078</v>
      </c>
      <c r="I775" s="77">
        <f t="shared" si="341"/>
        <v>46085</v>
      </c>
      <c r="J775" s="25"/>
      <c r="K775" s="25"/>
      <c r="L775" s="25"/>
      <c r="M775" s="25"/>
      <c r="N775" s="25"/>
      <c r="O775" s="25"/>
    </row>
    <row r="776" spans="1:15" x14ac:dyDescent="0.25">
      <c r="A776" s="77">
        <v>46070</v>
      </c>
      <c r="B776" s="25" t="s">
        <v>369</v>
      </c>
      <c r="C776" s="25" t="str">
        <f>VLOOKUP(B776,'[1]Migrasi Bed'!$B$4:$E$521,4,0)</f>
        <v>SV.F011</v>
      </c>
      <c r="D776" s="77">
        <f t="shared" si="336"/>
        <v>46093</v>
      </c>
      <c r="E776" s="77">
        <f t="shared" si="337"/>
        <v>46077</v>
      </c>
      <c r="F776" s="77">
        <f t="shared" si="338"/>
        <v>46084</v>
      </c>
      <c r="G776" s="77">
        <f t="shared" si="339"/>
        <v>46090</v>
      </c>
      <c r="H776" s="77">
        <f t="shared" si="340"/>
        <v>46078</v>
      </c>
      <c r="I776" s="77">
        <f t="shared" si="341"/>
        <v>46085</v>
      </c>
      <c r="J776" s="25"/>
      <c r="K776" s="25"/>
      <c r="L776" s="25"/>
      <c r="M776" s="25"/>
      <c r="N776" s="25"/>
      <c r="O776" s="25"/>
    </row>
    <row r="777" spans="1:15" x14ac:dyDescent="0.25">
      <c r="A777" s="77">
        <v>46070</v>
      </c>
      <c r="B777" s="25" t="s">
        <v>370</v>
      </c>
      <c r="C777" s="25" t="str">
        <f>VLOOKUP(B777,'[1]Migrasi Bed'!$B$4:$E$521,4,0)</f>
        <v>SV.F012</v>
      </c>
      <c r="D777" s="77">
        <f t="shared" si="336"/>
        <v>46093</v>
      </c>
      <c r="E777" s="77">
        <f t="shared" si="337"/>
        <v>46077</v>
      </c>
      <c r="F777" s="77">
        <f t="shared" si="338"/>
        <v>46084</v>
      </c>
      <c r="G777" s="77">
        <f t="shared" si="339"/>
        <v>46090</v>
      </c>
      <c r="H777" s="77">
        <f t="shared" si="340"/>
        <v>46078</v>
      </c>
      <c r="I777" s="77">
        <f t="shared" si="341"/>
        <v>46085</v>
      </c>
      <c r="J777" s="25"/>
      <c r="K777" s="25"/>
      <c r="L777" s="25"/>
      <c r="M777" s="25"/>
      <c r="N777" s="25"/>
      <c r="O777" s="25"/>
    </row>
    <row r="778" spans="1:15" x14ac:dyDescent="0.25">
      <c r="A778" s="77">
        <v>46070</v>
      </c>
      <c r="B778" s="25" t="s">
        <v>371</v>
      </c>
      <c r="C778" s="25" t="str">
        <f>VLOOKUP(B778,'[1]Migrasi Bed'!$B$4:$E$521,4,0)</f>
        <v>SV.F013</v>
      </c>
      <c r="D778" s="77">
        <f t="shared" si="336"/>
        <v>46093</v>
      </c>
      <c r="E778" s="77">
        <f t="shared" si="337"/>
        <v>46077</v>
      </c>
      <c r="F778" s="77">
        <f t="shared" si="338"/>
        <v>46084</v>
      </c>
      <c r="G778" s="77">
        <f t="shared" si="339"/>
        <v>46090</v>
      </c>
      <c r="H778" s="77">
        <f t="shared" si="340"/>
        <v>46078</v>
      </c>
      <c r="I778" s="77">
        <f t="shared" si="341"/>
        <v>46085</v>
      </c>
      <c r="J778" s="25"/>
      <c r="K778" s="25"/>
      <c r="L778" s="25"/>
      <c r="M778" s="25"/>
      <c r="N778" s="25"/>
      <c r="O778" s="25"/>
    </row>
    <row r="779" spans="1:15" x14ac:dyDescent="0.25">
      <c r="A779" s="77">
        <v>46070</v>
      </c>
      <c r="B779" s="25" t="s">
        <v>372</v>
      </c>
      <c r="C779" s="25" t="str">
        <f>VLOOKUP(B779,'[1]Migrasi Bed'!$B$4:$E$521,4,0)</f>
        <v>SV.F014</v>
      </c>
      <c r="D779" s="77">
        <f t="shared" si="336"/>
        <v>46093</v>
      </c>
      <c r="E779" s="77">
        <f t="shared" si="337"/>
        <v>46077</v>
      </c>
      <c r="F779" s="77">
        <f t="shared" si="338"/>
        <v>46084</v>
      </c>
      <c r="G779" s="77">
        <f t="shared" si="339"/>
        <v>46090</v>
      </c>
      <c r="H779" s="77">
        <f t="shared" si="340"/>
        <v>46078</v>
      </c>
      <c r="I779" s="77">
        <f t="shared" si="341"/>
        <v>46085</v>
      </c>
      <c r="J779" s="25"/>
      <c r="K779" s="25"/>
      <c r="L779" s="25"/>
      <c r="M779" s="25"/>
      <c r="N779" s="25"/>
      <c r="O779" s="25"/>
    </row>
    <row r="780" spans="1:15" x14ac:dyDescent="0.25">
      <c r="A780" s="77">
        <v>46071</v>
      </c>
      <c r="B780" s="25" t="s">
        <v>386</v>
      </c>
      <c r="C780" s="25" t="str">
        <f>VLOOKUP(B780,'[1]Migrasi Bed'!$B$4:$E$521,4,0)</f>
        <v>SV.G008</v>
      </c>
      <c r="D780" s="77">
        <f t="shared" si="336"/>
        <v>46094</v>
      </c>
      <c r="E780" s="77">
        <f t="shared" si="337"/>
        <v>46078</v>
      </c>
      <c r="F780" s="77">
        <f t="shared" si="338"/>
        <v>46085</v>
      </c>
      <c r="G780" s="77">
        <f t="shared" si="339"/>
        <v>46091</v>
      </c>
      <c r="H780" s="77">
        <f t="shared" si="340"/>
        <v>46079</v>
      </c>
      <c r="I780" s="77">
        <f t="shared" si="341"/>
        <v>46086</v>
      </c>
      <c r="J780" s="25"/>
      <c r="K780" s="25"/>
      <c r="L780" s="25"/>
      <c r="M780" s="25"/>
      <c r="N780" s="25"/>
      <c r="O780" s="25"/>
    </row>
    <row r="781" spans="1:15" x14ac:dyDescent="0.25">
      <c r="A781" s="77">
        <v>46071</v>
      </c>
      <c r="B781" s="25" t="s">
        <v>387</v>
      </c>
      <c r="C781" s="25" t="str">
        <f>VLOOKUP(B781,'[1]Migrasi Bed'!$B$4:$E$521,4,0)</f>
        <v>SV.G009</v>
      </c>
      <c r="D781" s="77">
        <f t="shared" si="336"/>
        <v>46094</v>
      </c>
      <c r="E781" s="77">
        <f t="shared" si="337"/>
        <v>46078</v>
      </c>
      <c r="F781" s="77">
        <f t="shared" si="338"/>
        <v>46085</v>
      </c>
      <c r="G781" s="77">
        <f t="shared" si="339"/>
        <v>46091</v>
      </c>
      <c r="H781" s="77">
        <f t="shared" si="340"/>
        <v>46079</v>
      </c>
      <c r="I781" s="77">
        <f t="shared" si="341"/>
        <v>46086</v>
      </c>
      <c r="J781" s="25"/>
      <c r="K781" s="25"/>
      <c r="L781" s="25"/>
      <c r="M781" s="25"/>
      <c r="N781" s="25"/>
      <c r="O781" s="25"/>
    </row>
    <row r="782" spans="1:15" x14ac:dyDescent="0.25">
      <c r="A782" s="77">
        <v>46071</v>
      </c>
      <c r="B782" s="25" t="s">
        <v>388</v>
      </c>
      <c r="C782" s="25" t="str">
        <f>VLOOKUP(B782,'[1]Migrasi Bed'!$B$4:$E$521,4,0)</f>
        <v>SV.G010</v>
      </c>
      <c r="D782" s="77">
        <f t="shared" si="336"/>
        <v>46094</v>
      </c>
      <c r="E782" s="77">
        <f t="shared" si="337"/>
        <v>46078</v>
      </c>
      <c r="F782" s="77">
        <f t="shared" si="338"/>
        <v>46085</v>
      </c>
      <c r="G782" s="77">
        <f t="shared" si="339"/>
        <v>46091</v>
      </c>
      <c r="H782" s="77">
        <f t="shared" si="340"/>
        <v>46079</v>
      </c>
      <c r="I782" s="77">
        <f t="shared" si="341"/>
        <v>46086</v>
      </c>
      <c r="J782" s="25"/>
      <c r="K782" s="25"/>
      <c r="L782" s="25"/>
      <c r="M782" s="25"/>
      <c r="N782" s="25"/>
      <c r="O782" s="25"/>
    </row>
    <row r="783" spans="1:15" x14ac:dyDescent="0.25">
      <c r="A783" s="77">
        <v>46071</v>
      </c>
      <c r="B783" s="25" t="s">
        <v>389</v>
      </c>
      <c r="C783" s="25" t="str">
        <f>VLOOKUP(B783,'[1]Migrasi Bed'!$B$4:$E$521,4,0)</f>
        <v>SV.G011</v>
      </c>
      <c r="D783" s="77">
        <f t="shared" si="336"/>
        <v>46094</v>
      </c>
      <c r="E783" s="77">
        <f t="shared" si="337"/>
        <v>46078</v>
      </c>
      <c r="F783" s="77">
        <f t="shared" si="338"/>
        <v>46085</v>
      </c>
      <c r="G783" s="77">
        <f t="shared" si="339"/>
        <v>46091</v>
      </c>
      <c r="H783" s="77">
        <f t="shared" si="340"/>
        <v>46079</v>
      </c>
      <c r="I783" s="77">
        <f t="shared" si="341"/>
        <v>46086</v>
      </c>
      <c r="J783" s="25"/>
      <c r="K783" s="25"/>
      <c r="L783" s="25"/>
      <c r="M783" s="25"/>
      <c r="N783" s="25"/>
      <c r="O783" s="25"/>
    </row>
    <row r="784" spans="1:15" x14ac:dyDescent="0.25">
      <c r="A784" s="77">
        <v>46071</v>
      </c>
      <c r="B784" s="25" t="s">
        <v>390</v>
      </c>
      <c r="C784" s="25" t="str">
        <f>VLOOKUP(B784,'[1]Migrasi Bed'!$B$4:$E$521,4,0)</f>
        <v>SV.G012</v>
      </c>
      <c r="D784" s="77">
        <f t="shared" si="336"/>
        <v>46094</v>
      </c>
      <c r="E784" s="77">
        <f t="shared" si="337"/>
        <v>46078</v>
      </c>
      <c r="F784" s="77">
        <f t="shared" si="338"/>
        <v>46085</v>
      </c>
      <c r="G784" s="77">
        <f t="shared" si="339"/>
        <v>46091</v>
      </c>
      <c r="H784" s="77">
        <f t="shared" si="340"/>
        <v>46079</v>
      </c>
      <c r="I784" s="77">
        <f t="shared" si="341"/>
        <v>46086</v>
      </c>
      <c r="J784" s="25"/>
      <c r="K784" s="25"/>
      <c r="L784" s="25"/>
      <c r="M784" s="25"/>
      <c r="N784" s="25"/>
      <c r="O784" s="25"/>
    </row>
    <row r="785" spans="1:15" x14ac:dyDescent="0.25">
      <c r="A785" s="77">
        <v>46071</v>
      </c>
      <c r="B785" s="25" t="s">
        <v>391</v>
      </c>
      <c r="C785" s="25" t="str">
        <f>VLOOKUP(B785,'[1]Migrasi Bed'!$B$4:$E$521,4,0)</f>
        <v>SV.G013</v>
      </c>
      <c r="D785" s="77">
        <f t="shared" si="336"/>
        <v>46094</v>
      </c>
      <c r="E785" s="77">
        <f t="shared" si="337"/>
        <v>46078</v>
      </c>
      <c r="F785" s="77">
        <f t="shared" si="338"/>
        <v>46085</v>
      </c>
      <c r="G785" s="77">
        <f t="shared" si="339"/>
        <v>46091</v>
      </c>
      <c r="H785" s="77">
        <f t="shared" si="340"/>
        <v>46079</v>
      </c>
      <c r="I785" s="77">
        <f t="shared" si="341"/>
        <v>46086</v>
      </c>
      <c r="J785" s="25"/>
      <c r="K785" s="25"/>
      <c r="L785" s="25"/>
      <c r="M785" s="25"/>
      <c r="N785" s="25"/>
      <c r="O785" s="25"/>
    </row>
    <row r="786" spans="1:15" x14ac:dyDescent="0.25">
      <c r="A786" s="77">
        <v>46071</v>
      </c>
      <c r="B786" s="25" t="s">
        <v>392</v>
      </c>
      <c r="C786" s="25" t="str">
        <f>VLOOKUP(B786,'[1]Migrasi Bed'!$B$4:$E$521,4,0)</f>
        <v>SV.G014</v>
      </c>
      <c r="D786" s="77">
        <f t="shared" si="336"/>
        <v>46094</v>
      </c>
      <c r="E786" s="77">
        <f t="shared" si="337"/>
        <v>46078</v>
      </c>
      <c r="F786" s="77">
        <f t="shared" si="338"/>
        <v>46085</v>
      </c>
      <c r="G786" s="77">
        <f t="shared" si="339"/>
        <v>46091</v>
      </c>
      <c r="H786" s="77">
        <f t="shared" si="340"/>
        <v>46079</v>
      </c>
      <c r="I786" s="77">
        <f t="shared" si="341"/>
        <v>46086</v>
      </c>
      <c r="J786" s="25"/>
      <c r="K786" s="25"/>
      <c r="L786" s="25"/>
      <c r="M786" s="25"/>
      <c r="N786" s="25"/>
      <c r="O786" s="25"/>
    </row>
    <row r="787" spans="1:15" x14ac:dyDescent="0.25">
      <c r="A787" s="77">
        <v>46072</v>
      </c>
      <c r="B787" s="25" t="s">
        <v>373</v>
      </c>
      <c r="C787" s="25" t="str">
        <f>VLOOKUP(B787,'[1]Migrasi Bed'!$B$4:$E$521,4,0)</f>
        <v>SV.F015</v>
      </c>
      <c r="D787" s="77">
        <f t="shared" si="336"/>
        <v>46095</v>
      </c>
      <c r="E787" s="77">
        <f t="shared" si="337"/>
        <v>46079</v>
      </c>
      <c r="F787" s="77">
        <f t="shared" si="338"/>
        <v>46086</v>
      </c>
      <c r="G787" s="77">
        <f t="shared" si="339"/>
        <v>46092</v>
      </c>
      <c r="H787" s="77">
        <f t="shared" si="340"/>
        <v>46080</v>
      </c>
      <c r="I787" s="77">
        <f t="shared" si="341"/>
        <v>46087</v>
      </c>
      <c r="J787" s="25"/>
      <c r="K787" s="25"/>
      <c r="L787" s="25"/>
      <c r="M787" s="25"/>
      <c r="N787" s="25"/>
      <c r="O787" s="25"/>
    </row>
    <row r="788" spans="1:15" x14ac:dyDescent="0.25">
      <c r="A788" s="77">
        <v>46072</v>
      </c>
      <c r="B788" s="25" t="s">
        <v>374</v>
      </c>
      <c r="C788" s="25" t="str">
        <f>VLOOKUP(B788,'[1]Migrasi Bed'!$B$4:$E$521,4,0)</f>
        <v>SV.F016</v>
      </c>
      <c r="D788" s="77">
        <f t="shared" si="336"/>
        <v>46095</v>
      </c>
      <c r="E788" s="77">
        <f t="shared" si="337"/>
        <v>46079</v>
      </c>
      <c r="F788" s="77">
        <f t="shared" si="338"/>
        <v>46086</v>
      </c>
      <c r="G788" s="77">
        <f t="shared" si="339"/>
        <v>46092</v>
      </c>
      <c r="H788" s="77">
        <f t="shared" si="340"/>
        <v>46080</v>
      </c>
      <c r="I788" s="77">
        <f t="shared" si="341"/>
        <v>46087</v>
      </c>
      <c r="J788" s="25"/>
      <c r="K788" s="25"/>
      <c r="L788" s="25"/>
      <c r="M788" s="25"/>
      <c r="N788" s="25"/>
      <c r="O788" s="25"/>
    </row>
    <row r="789" spans="1:15" x14ac:dyDescent="0.25">
      <c r="A789" s="77">
        <v>46072</v>
      </c>
      <c r="B789" s="25" t="s">
        <v>375</v>
      </c>
      <c r="C789" s="25" t="str">
        <f>VLOOKUP(B789,'[1]Migrasi Bed'!$B$4:$E$521,4,0)</f>
        <v>SV.F017</v>
      </c>
      <c r="D789" s="77">
        <f t="shared" si="336"/>
        <v>46095</v>
      </c>
      <c r="E789" s="77">
        <f t="shared" si="337"/>
        <v>46079</v>
      </c>
      <c r="F789" s="77">
        <f t="shared" si="338"/>
        <v>46086</v>
      </c>
      <c r="G789" s="77">
        <f t="shared" si="339"/>
        <v>46092</v>
      </c>
      <c r="H789" s="77">
        <f t="shared" si="340"/>
        <v>46080</v>
      </c>
      <c r="I789" s="77">
        <f t="shared" si="341"/>
        <v>46087</v>
      </c>
      <c r="J789" s="25"/>
      <c r="K789" s="25"/>
      <c r="L789" s="25"/>
      <c r="M789" s="25"/>
      <c r="N789" s="25"/>
      <c r="O789" s="25"/>
    </row>
    <row r="790" spans="1:15" x14ac:dyDescent="0.25">
      <c r="A790" s="77">
        <v>46072</v>
      </c>
      <c r="B790" s="25" t="s">
        <v>376</v>
      </c>
      <c r="C790" s="25" t="str">
        <f>VLOOKUP(B790,'[1]Migrasi Bed'!$B$4:$E$521,4,0)</f>
        <v>SV.F018</v>
      </c>
      <c r="D790" s="77">
        <f t="shared" si="336"/>
        <v>46095</v>
      </c>
      <c r="E790" s="77">
        <f t="shared" si="337"/>
        <v>46079</v>
      </c>
      <c r="F790" s="77">
        <f t="shared" si="338"/>
        <v>46086</v>
      </c>
      <c r="G790" s="77">
        <f t="shared" si="339"/>
        <v>46092</v>
      </c>
      <c r="H790" s="77">
        <f t="shared" si="340"/>
        <v>46080</v>
      </c>
      <c r="I790" s="77">
        <f t="shared" si="341"/>
        <v>46087</v>
      </c>
      <c r="J790" s="25"/>
      <c r="K790" s="25"/>
      <c r="L790" s="25"/>
      <c r="M790" s="25"/>
      <c r="N790" s="25"/>
      <c r="O790" s="25"/>
    </row>
    <row r="791" spans="1:15" x14ac:dyDescent="0.25">
      <c r="A791" s="77">
        <v>46072</v>
      </c>
      <c r="B791" s="25" t="s">
        <v>377</v>
      </c>
      <c r="C791" s="25" t="str">
        <f>VLOOKUP(B791,'[1]Migrasi Bed'!$B$4:$E$521,4,0)</f>
        <v>SV.F019</v>
      </c>
      <c r="D791" s="77">
        <f t="shared" si="336"/>
        <v>46095</v>
      </c>
      <c r="E791" s="77">
        <f t="shared" si="337"/>
        <v>46079</v>
      </c>
      <c r="F791" s="77">
        <f t="shared" si="338"/>
        <v>46086</v>
      </c>
      <c r="G791" s="77">
        <f t="shared" si="339"/>
        <v>46092</v>
      </c>
      <c r="H791" s="77">
        <f t="shared" si="340"/>
        <v>46080</v>
      </c>
      <c r="I791" s="77">
        <f t="shared" si="341"/>
        <v>46087</v>
      </c>
      <c r="J791" s="25"/>
      <c r="K791" s="25"/>
      <c r="L791" s="25"/>
      <c r="M791" s="25"/>
      <c r="N791" s="25"/>
      <c r="O791" s="25"/>
    </row>
    <row r="792" spans="1:15" x14ac:dyDescent="0.25">
      <c r="A792" s="77">
        <v>46072</v>
      </c>
      <c r="B792" s="25" t="s">
        <v>393</v>
      </c>
      <c r="C792" s="25" t="str">
        <f>VLOOKUP(B792,'[1]Migrasi Bed'!$B$4:$E$521,4,0)</f>
        <v>SV.G015</v>
      </c>
      <c r="D792" s="77">
        <f t="shared" si="336"/>
        <v>46095</v>
      </c>
      <c r="E792" s="77">
        <f t="shared" si="337"/>
        <v>46079</v>
      </c>
      <c r="F792" s="77">
        <f t="shared" si="338"/>
        <v>46086</v>
      </c>
      <c r="G792" s="77">
        <f t="shared" si="339"/>
        <v>46092</v>
      </c>
      <c r="H792" s="77">
        <f t="shared" si="340"/>
        <v>46080</v>
      </c>
      <c r="I792" s="77">
        <f t="shared" si="341"/>
        <v>46087</v>
      </c>
      <c r="J792" s="25"/>
      <c r="K792" s="25"/>
      <c r="L792" s="25"/>
      <c r="M792" s="25"/>
      <c r="N792" s="25"/>
      <c r="O792" s="25"/>
    </row>
    <row r="793" spans="1:15" x14ac:dyDescent="0.25">
      <c r="A793" s="77">
        <v>46072</v>
      </c>
      <c r="B793" s="25" t="s">
        <v>394</v>
      </c>
      <c r="C793" s="25" t="str">
        <f>VLOOKUP(B793,'[1]Migrasi Bed'!$B$4:$E$521,4,0)</f>
        <v>SV.G016</v>
      </c>
      <c r="D793" s="77">
        <f t="shared" si="336"/>
        <v>46095</v>
      </c>
      <c r="E793" s="77">
        <f t="shared" si="337"/>
        <v>46079</v>
      </c>
      <c r="F793" s="77">
        <f t="shared" si="338"/>
        <v>46086</v>
      </c>
      <c r="G793" s="77">
        <f t="shared" si="339"/>
        <v>46092</v>
      </c>
      <c r="H793" s="77">
        <f t="shared" si="340"/>
        <v>46080</v>
      </c>
      <c r="I793" s="77">
        <f t="shared" si="341"/>
        <v>46087</v>
      </c>
      <c r="J793" s="25"/>
      <c r="K793" s="25"/>
      <c r="L793" s="25"/>
      <c r="M793" s="25"/>
      <c r="N793" s="25"/>
      <c r="O793" s="25"/>
    </row>
    <row r="794" spans="1:15" x14ac:dyDescent="0.25">
      <c r="A794" s="77">
        <v>46073</v>
      </c>
      <c r="B794" s="25" t="s">
        <v>404</v>
      </c>
      <c r="C794" s="25" t="str">
        <f>VLOOKUP(B794,'[1]Migrasi Bed'!$B$4:$E$521,4,0)</f>
        <v>SV.H013</v>
      </c>
      <c r="D794" s="77">
        <f t="shared" ref="D794:D857" si="342">A794+23</f>
        <v>46096</v>
      </c>
      <c r="E794" s="77">
        <f t="shared" ref="E794:E857" si="343">A794+7</f>
        <v>46080</v>
      </c>
      <c r="F794" s="77">
        <f t="shared" ref="F794:F857" si="344">A794+14</f>
        <v>46087</v>
      </c>
      <c r="G794" s="77">
        <f t="shared" ref="G794:G857" si="345">A794+20</f>
        <v>46093</v>
      </c>
      <c r="H794" s="77">
        <f t="shared" ref="H794:H857" si="346">A794+8</f>
        <v>46081</v>
      </c>
      <c r="I794" s="77">
        <f t="shared" ref="I794:I857" si="347">A794+15</f>
        <v>46088</v>
      </c>
      <c r="J794" s="25"/>
      <c r="K794" s="25"/>
      <c r="L794" s="25"/>
      <c r="M794" s="25"/>
      <c r="N794" s="25"/>
      <c r="O794" s="25"/>
    </row>
    <row r="795" spans="1:15" x14ac:dyDescent="0.25">
      <c r="A795" s="77">
        <v>46073</v>
      </c>
      <c r="B795" s="25" t="s">
        <v>405</v>
      </c>
      <c r="C795" s="25" t="str">
        <f>VLOOKUP(B795,'[1]Migrasi Bed'!$B$4:$E$521,4,0)</f>
        <v>SV.H014</v>
      </c>
      <c r="D795" s="77">
        <f t="shared" si="342"/>
        <v>46096</v>
      </c>
      <c r="E795" s="77">
        <f t="shared" si="343"/>
        <v>46080</v>
      </c>
      <c r="F795" s="77">
        <f t="shared" si="344"/>
        <v>46087</v>
      </c>
      <c r="G795" s="77">
        <f t="shared" si="345"/>
        <v>46093</v>
      </c>
      <c r="H795" s="77">
        <f t="shared" si="346"/>
        <v>46081</v>
      </c>
      <c r="I795" s="77">
        <f t="shared" si="347"/>
        <v>46088</v>
      </c>
      <c r="J795" s="25"/>
      <c r="K795" s="25"/>
      <c r="L795" s="25"/>
      <c r="M795" s="25"/>
      <c r="N795" s="25"/>
      <c r="O795" s="25"/>
    </row>
    <row r="796" spans="1:15" x14ac:dyDescent="0.25">
      <c r="A796" s="77">
        <v>46073</v>
      </c>
      <c r="B796" s="25" t="s">
        <v>406</v>
      </c>
      <c r="C796" s="25" t="str">
        <f>VLOOKUP(B796,'[1]Migrasi Bed'!$B$4:$E$521,4,0)</f>
        <v>SV.H015</v>
      </c>
      <c r="D796" s="77">
        <f t="shared" si="342"/>
        <v>46096</v>
      </c>
      <c r="E796" s="77">
        <f t="shared" si="343"/>
        <v>46080</v>
      </c>
      <c r="F796" s="77">
        <f t="shared" si="344"/>
        <v>46087</v>
      </c>
      <c r="G796" s="77">
        <f t="shared" si="345"/>
        <v>46093</v>
      </c>
      <c r="H796" s="77">
        <f t="shared" si="346"/>
        <v>46081</v>
      </c>
      <c r="I796" s="77">
        <f t="shared" si="347"/>
        <v>46088</v>
      </c>
      <c r="J796" s="25"/>
      <c r="K796" s="25"/>
      <c r="L796" s="25"/>
      <c r="M796" s="25"/>
      <c r="N796" s="25"/>
      <c r="O796" s="25"/>
    </row>
    <row r="797" spans="1:15" x14ac:dyDescent="0.25">
      <c r="A797" s="77">
        <v>46073</v>
      </c>
      <c r="B797" s="25" t="s">
        <v>407</v>
      </c>
      <c r="C797" s="25" t="str">
        <f>VLOOKUP(B797,'[1]Migrasi Bed'!$B$4:$E$521,4,0)</f>
        <v>SV.H016</v>
      </c>
      <c r="D797" s="77">
        <f t="shared" si="342"/>
        <v>46096</v>
      </c>
      <c r="E797" s="77">
        <f t="shared" si="343"/>
        <v>46080</v>
      </c>
      <c r="F797" s="77">
        <f t="shared" si="344"/>
        <v>46087</v>
      </c>
      <c r="G797" s="77">
        <f t="shared" si="345"/>
        <v>46093</v>
      </c>
      <c r="H797" s="77">
        <f t="shared" si="346"/>
        <v>46081</v>
      </c>
      <c r="I797" s="77">
        <f t="shared" si="347"/>
        <v>46088</v>
      </c>
      <c r="J797" s="25"/>
      <c r="K797" s="25"/>
      <c r="L797" s="25"/>
      <c r="M797" s="25"/>
      <c r="N797" s="25"/>
      <c r="O797" s="25"/>
    </row>
    <row r="798" spans="1:15" x14ac:dyDescent="0.25">
      <c r="A798" s="77">
        <v>46073</v>
      </c>
      <c r="B798" s="25" t="s">
        <v>408</v>
      </c>
      <c r="C798" s="25" t="str">
        <f>VLOOKUP(B798,'[1]Migrasi Bed'!$B$4:$E$521,4,0)</f>
        <v>SV.H017</v>
      </c>
      <c r="D798" s="77">
        <f t="shared" si="342"/>
        <v>46096</v>
      </c>
      <c r="E798" s="77">
        <f t="shared" si="343"/>
        <v>46080</v>
      </c>
      <c r="F798" s="77">
        <f t="shared" si="344"/>
        <v>46087</v>
      </c>
      <c r="G798" s="77">
        <f t="shared" si="345"/>
        <v>46093</v>
      </c>
      <c r="H798" s="77">
        <f t="shared" si="346"/>
        <v>46081</v>
      </c>
      <c r="I798" s="77">
        <f t="shared" si="347"/>
        <v>46088</v>
      </c>
      <c r="J798" s="25"/>
      <c r="K798" s="25"/>
      <c r="L798" s="25"/>
      <c r="M798" s="25"/>
      <c r="N798" s="25"/>
      <c r="O798" s="25"/>
    </row>
    <row r="799" spans="1:15" x14ac:dyDescent="0.25">
      <c r="A799" s="77">
        <v>46073</v>
      </c>
      <c r="B799" s="25" t="s">
        <v>409</v>
      </c>
      <c r="C799" s="25" t="str">
        <f>VLOOKUP(B799,'[1]Migrasi Bed'!$B$4:$E$521,4,0)</f>
        <v>SV.H018</v>
      </c>
      <c r="D799" s="77">
        <f t="shared" si="342"/>
        <v>46096</v>
      </c>
      <c r="E799" s="77">
        <f t="shared" si="343"/>
        <v>46080</v>
      </c>
      <c r="F799" s="77">
        <f t="shared" si="344"/>
        <v>46087</v>
      </c>
      <c r="G799" s="77">
        <f t="shared" si="345"/>
        <v>46093</v>
      </c>
      <c r="H799" s="77">
        <f t="shared" si="346"/>
        <v>46081</v>
      </c>
      <c r="I799" s="77">
        <f t="shared" si="347"/>
        <v>46088</v>
      </c>
      <c r="J799" s="25"/>
      <c r="K799" s="25"/>
      <c r="L799" s="25"/>
      <c r="M799" s="25"/>
      <c r="N799" s="25"/>
      <c r="O799" s="25"/>
    </row>
    <row r="800" spans="1:15" x14ac:dyDescent="0.25">
      <c r="A800" s="77">
        <v>46073</v>
      </c>
      <c r="B800" s="25" t="s">
        <v>410</v>
      </c>
      <c r="C800" s="25" t="str">
        <f>VLOOKUP(B800,'[1]Migrasi Bed'!$B$4:$E$521,4,0)</f>
        <v>SV.H019</v>
      </c>
      <c r="D800" s="77">
        <f t="shared" si="342"/>
        <v>46096</v>
      </c>
      <c r="E800" s="77">
        <f t="shared" si="343"/>
        <v>46080</v>
      </c>
      <c r="F800" s="77">
        <f t="shared" si="344"/>
        <v>46087</v>
      </c>
      <c r="G800" s="77">
        <f t="shared" si="345"/>
        <v>46093</v>
      </c>
      <c r="H800" s="77">
        <f t="shared" si="346"/>
        <v>46081</v>
      </c>
      <c r="I800" s="77">
        <f t="shared" si="347"/>
        <v>46088</v>
      </c>
      <c r="J800" s="25"/>
      <c r="K800" s="25"/>
      <c r="L800" s="25"/>
      <c r="M800" s="25"/>
      <c r="N800" s="25"/>
      <c r="O800" s="25"/>
    </row>
    <row r="801" spans="1:15" x14ac:dyDescent="0.25">
      <c r="A801" s="77">
        <v>46073</v>
      </c>
      <c r="B801" s="25" t="s">
        <v>411</v>
      </c>
      <c r="C801" s="25" t="str">
        <f>VLOOKUP(B801,'[1]Migrasi Bed'!$B$4:$E$521,4,0)</f>
        <v>SV.H020</v>
      </c>
      <c r="D801" s="77">
        <f t="shared" si="342"/>
        <v>46096</v>
      </c>
      <c r="E801" s="77">
        <f t="shared" si="343"/>
        <v>46080</v>
      </c>
      <c r="F801" s="77">
        <f t="shared" si="344"/>
        <v>46087</v>
      </c>
      <c r="G801" s="77">
        <f t="shared" si="345"/>
        <v>46093</v>
      </c>
      <c r="H801" s="77">
        <f t="shared" si="346"/>
        <v>46081</v>
      </c>
      <c r="I801" s="77">
        <f t="shared" si="347"/>
        <v>46088</v>
      </c>
      <c r="J801" s="25"/>
      <c r="K801" s="25"/>
      <c r="L801" s="25"/>
      <c r="M801" s="25"/>
      <c r="N801" s="25"/>
      <c r="O801" s="25"/>
    </row>
    <row r="802" spans="1:15" x14ac:dyDescent="0.25">
      <c r="A802" s="77">
        <v>46074</v>
      </c>
      <c r="B802" s="25" t="s">
        <v>395</v>
      </c>
      <c r="C802" s="25" t="str">
        <f>VLOOKUP(B802,'[1]Migrasi Bed'!$B$4:$E$521,4,0)</f>
        <v>SV.G017</v>
      </c>
      <c r="D802" s="77">
        <f t="shared" si="342"/>
        <v>46097</v>
      </c>
      <c r="E802" s="77">
        <f t="shared" si="343"/>
        <v>46081</v>
      </c>
      <c r="F802" s="77">
        <f t="shared" si="344"/>
        <v>46088</v>
      </c>
      <c r="G802" s="77">
        <f t="shared" si="345"/>
        <v>46094</v>
      </c>
      <c r="H802" s="77">
        <f t="shared" si="346"/>
        <v>46082</v>
      </c>
      <c r="I802" s="77">
        <f t="shared" si="347"/>
        <v>46089</v>
      </c>
      <c r="J802" s="25"/>
      <c r="K802" s="25"/>
      <c r="L802" s="25"/>
      <c r="M802" s="25"/>
      <c r="N802" s="25"/>
      <c r="O802" s="25"/>
    </row>
    <row r="803" spans="1:15" x14ac:dyDescent="0.25">
      <c r="A803" s="77">
        <v>46074</v>
      </c>
      <c r="B803" s="25" t="s">
        <v>396</v>
      </c>
      <c r="C803" s="25" t="str">
        <f>VLOOKUP(B803,'[1]Migrasi Bed'!$B$4:$E$521,4,0)</f>
        <v>SV.G018</v>
      </c>
      <c r="D803" s="77">
        <f t="shared" si="342"/>
        <v>46097</v>
      </c>
      <c r="E803" s="77">
        <f t="shared" si="343"/>
        <v>46081</v>
      </c>
      <c r="F803" s="77">
        <f t="shared" si="344"/>
        <v>46088</v>
      </c>
      <c r="G803" s="77">
        <f t="shared" si="345"/>
        <v>46094</v>
      </c>
      <c r="H803" s="77">
        <f t="shared" si="346"/>
        <v>46082</v>
      </c>
      <c r="I803" s="77">
        <f t="shared" si="347"/>
        <v>46089</v>
      </c>
      <c r="J803" s="25"/>
      <c r="K803" s="25"/>
      <c r="L803" s="25"/>
      <c r="M803" s="25"/>
      <c r="N803" s="25"/>
      <c r="O803" s="25"/>
    </row>
    <row r="804" spans="1:15" x14ac:dyDescent="0.25">
      <c r="A804" s="77">
        <v>46074</v>
      </c>
      <c r="B804" s="25" t="s">
        <v>397</v>
      </c>
      <c r="C804" s="25" t="str">
        <f>VLOOKUP(B804,'[1]Migrasi Bed'!$B$4:$E$521,4,0)</f>
        <v>SV.G019</v>
      </c>
      <c r="D804" s="77">
        <f t="shared" si="342"/>
        <v>46097</v>
      </c>
      <c r="E804" s="77">
        <f t="shared" si="343"/>
        <v>46081</v>
      </c>
      <c r="F804" s="77">
        <f t="shared" si="344"/>
        <v>46088</v>
      </c>
      <c r="G804" s="77">
        <f t="shared" si="345"/>
        <v>46094</v>
      </c>
      <c r="H804" s="77">
        <f t="shared" si="346"/>
        <v>46082</v>
      </c>
      <c r="I804" s="77">
        <f t="shared" si="347"/>
        <v>46089</v>
      </c>
      <c r="J804" s="25"/>
      <c r="K804" s="25"/>
      <c r="L804" s="25"/>
      <c r="M804" s="25"/>
      <c r="N804" s="25"/>
      <c r="O804" s="25"/>
    </row>
    <row r="805" spans="1:15" x14ac:dyDescent="0.25">
      <c r="A805" s="77">
        <v>46074</v>
      </c>
      <c r="B805" s="25" t="s">
        <v>401</v>
      </c>
      <c r="C805" s="25" t="str">
        <f>VLOOKUP(B805,'[1]Migrasi Bed'!$B$4:$E$521,4,0)</f>
        <v>SV.H010</v>
      </c>
      <c r="D805" s="77">
        <f t="shared" si="342"/>
        <v>46097</v>
      </c>
      <c r="E805" s="77">
        <f t="shared" si="343"/>
        <v>46081</v>
      </c>
      <c r="F805" s="77">
        <f t="shared" si="344"/>
        <v>46088</v>
      </c>
      <c r="G805" s="77">
        <f t="shared" si="345"/>
        <v>46094</v>
      </c>
      <c r="H805" s="77">
        <f t="shared" si="346"/>
        <v>46082</v>
      </c>
      <c r="I805" s="77">
        <f t="shared" si="347"/>
        <v>46089</v>
      </c>
      <c r="J805" s="25"/>
      <c r="K805" s="25"/>
      <c r="L805" s="25"/>
      <c r="M805" s="25"/>
      <c r="N805" s="25"/>
      <c r="O805" s="25"/>
    </row>
    <row r="806" spans="1:15" x14ac:dyDescent="0.25">
      <c r="A806" s="77">
        <v>46074</v>
      </c>
      <c r="B806" s="25" t="s">
        <v>402</v>
      </c>
      <c r="C806" s="25" t="str">
        <f>VLOOKUP(B806,'[1]Migrasi Bed'!$B$4:$E$521,4,0)</f>
        <v>SV.H011</v>
      </c>
      <c r="D806" s="77">
        <f t="shared" si="342"/>
        <v>46097</v>
      </c>
      <c r="E806" s="77">
        <f t="shared" si="343"/>
        <v>46081</v>
      </c>
      <c r="F806" s="77">
        <f t="shared" si="344"/>
        <v>46088</v>
      </c>
      <c r="G806" s="77">
        <f t="shared" si="345"/>
        <v>46094</v>
      </c>
      <c r="H806" s="77">
        <f t="shared" si="346"/>
        <v>46082</v>
      </c>
      <c r="I806" s="77">
        <f t="shared" si="347"/>
        <v>46089</v>
      </c>
      <c r="J806" s="25"/>
      <c r="K806" s="25"/>
      <c r="L806" s="25"/>
      <c r="M806" s="25"/>
      <c r="N806" s="25"/>
      <c r="O806" s="25"/>
    </row>
    <row r="807" spans="1:15" x14ac:dyDescent="0.25">
      <c r="A807" s="77">
        <v>46074</v>
      </c>
      <c r="B807" s="25" t="s">
        <v>403</v>
      </c>
      <c r="C807" s="25" t="str">
        <f>VLOOKUP(B807,'[1]Migrasi Bed'!$B$4:$E$521,4,0)</f>
        <v>SV.H012</v>
      </c>
      <c r="D807" s="77">
        <f t="shared" si="342"/>
        <v>46097</v>
      </c>
      <c r="E807" s="77">
        <f t="shared" si="343"/>
        <v>46081</v>
      </c>
      <c r="F807" s="77">
        <f t="shared" si="344"/>
        <v>46088</v>
      </c>
      <c r="G807" s="77">
        <f t="shared" si="345"/>
        <v>46094</v>
      </c>
      <c r="H807" s="77">
        <f t="shared" si="346"/>
        <v>46082</v>
      </c>
      <c r="I807" s="77">
        <f t="shared" si="347"/>
        <v>46089</v>
      </c>
      <c r="J807" s="25"/>
      <c r="K807" s="25"/>
      <c r="L807" s="25"/>
      <c r="M807" s="25"/>
      <c r="N807" s="25"/>
      <c r="O807" s="25"/>
    </row>
    <row r="808" spans="1:15" x14ac:dyDescent="0.25">
      <c r="A808" s="77">
        <v>46075</v>
      </c>
      <c r="B808" s="25" t="s">
        <v>435</v>
      </c>
      <c r="C808" s="25" t="str">
        <f>VLOOKUP(B808,'[1]Migrasi Bed'!$B$4:$E$521,4,0)</f>
        <v>SV.A024</v>
      </c>
      <c r="D808" s="77">
        <f t="shared" si="342"/>
        <v>46098</v>
      </c>
      <c r="E808" s="77">
        <f t="shared" si="343"/>
        <v>46082</v>
      </c>
      <c r="F808" s="77">
        <f t="shared" si="344"/>
        <v>46089</v>
      </c>
      <c r="G808" s="77">
        <f t="shared" si="345"/>
        <v>46095</v>
      </c>
      <c r="H808" s="77">
        <f t="shared" si="346"/>
        <v>46083</v>
      </c>
      <c r="I808" s="77">
        <f t="shared" si="347"/>
        <v>46090</v>
      </c>
      <c r="J808" s="25"/>
      <c r="K808" s="25"/>
      <c r="L808" s="25"/>
      <c r="M808" s="25"/>
      <c r="N808" s="25"/>
      <c r="O808" s="25"/>
    </row>
    <row r="809" spans="1:15" x14ac:dyDescent="0.25">
      <c r="A809" s="77">
        <v>46075</v>
      </c>
      <c r="B809" s="25" t="s">
        <v>436</v>
      </c>
      <c r="C809" s="25" t="str">
        <f>VLOOKUP(B809,'[1]Migrasi Bed'!$B$4:$E$521,4,0)</f>
        <v>SV.A025</v>
      </c>
      <c r="D809" s="77">
        <f t="shared" si="342"/>
        <v>46098</v>
      </c>
      <c r="E809" s="77">
        <f t="shared" si="343"/>
        <v>46082</v>
      </c>
      <c r="F809" s="77">
        <f t="shared" si="344"/>
        <v>46089</v>
      </c>
      <c r="G809" s="77">
        <f t="shared" si="345"/>
        <v>46095</v>
      </c>
      <c r="H809" s="77">
        <f t="shared" si="346"/>
        <v>46083</v>
      </c>
      <c r="I809" s="77">
        <f t="shared" si="347"/>
        <v>46090</v>
      </c>
      <c r="J809" s="25"/>
      <c r="K809" s="25"/>
      <c r="L809" s="25"/>
      <c r="M809" s="25"/>
      <c r="N809" s="25"/>
      <c r="O809" s="25"/>
    </row>
    <row r="810" spans="1:15" x14ac:dyDescent="0.25">
      <c r="A810" s="77">
        <v>46075</v>
      </c>
      <c r="B810" s="25" t="s">
        <v>437</v>
      </c>
      <c r="C810" s="25" t="str">
        <f>VLOOKUP(B810,'[1]Migrasi Bed'!$B$4:$E$521,4,0)</f>
        <v>SV.A026</v>
      </c>
      <c r="D810" s="77">
        <f t="shared" si="342"/>
        <v>46098</v>
      </c>
      <c r="E810" s="77">
        <f t="shared" si="343"/>
        <v>46082</v>
      </c>
      <c r="F810" s="77">
        <f t="shared" si="344"/>
        <v>46089</v>
      </c>
      <c r="G810" s="77">
        <f t="shared" si="345"/>
        <v>46095</v>
      </c>
      <c r="H810" s="77">
        <f t="shared" si="346"/>
        <v>46083</v>
      </c>
      <c r="I810" s="77">
        <f t="shared" si="347"/>
        <v>46090</v>
      </c>
      <c r="J810" s="25"/>
      <c r="K810" s="25"/>
      <c r="L810" s="25"/>
      <c r="M810" s="25"/>
      <c r="N810" s="25"/>
      <c r="O810" s="25"/>
    </row>
    <row r="811" spans="1:15" x14ac:dyDescent="0.25">
      <c r="A811" s="77">
        <v>46075</v>
      </c>
      <c r="B811" s="25" t="s">
        <v>438</v>
      </c>
      <c r="C811" s="25" t="str">
        <f>VLOOKUP(B811,'[1]Migrasi Bed'!$B$4:$E$521,4,0)</f>
        <v>SV.A027</v>
      </c>
      <c r="D811" s="77">
        <f t="shared" si="342"/>
        <v>46098</v>
      </c>
      <c r="E811" s="77">
        <f t="shared" si="343"/>
        <v>46082</v>
      </c>
      <c r="F811" s="77">
        <f t="shared" si="344"/>
        <v>46089</v>
      </c>
      <c r="G811" s="77">
        <f t="shared" si="345"/>
        <v>46095</v>
      </c>
      <c r="H811" s="77">
        <f t="shared" si="346"/>
        <v>46083</v>
      </c>
      <c r="I811" s="77">
        <f t="shared" si="347"/>
        <v>46090</v>
      </c>
      <c r="J811" s="25"/>
      <c r="K811" s="25"/>
      <c r="L811" s="25"/>
      <c r="M811" s="25"/>
      <c r="N811" s="25"/>
      <c r="O811" s="25"/>
    </row>
    <row r="812" spans="1:15" x14ac:dyDescent="0.25">
      <c r="A812" s="77">
        <v>46075</v>
      </c>
      <c r="B812" s="25" t="s">
        <v>439</v>
      </c>
      <c r="C812" s="25" t="str">
        <f>VLOOKUP(B812,'[1]Migrasi Bed'!$B$4:$E$521,4,0)</f>
        <v>SV.A028</v>
      </c>
      <c r="D812" s="77">
        <f t="shared" si="342"/>
        <v>46098</v>
      </c>
      <c r="E812" s="77">
        <f t="shared" si="343"/>
        <v>46082</v>
      </c>
      <c r="F812" s="77">
        <f t="shared" si="344"/>
        <v>46089</v>
      </c>
      <c r="G812" s="77">
        <f t="shared" si="345"/>
        <v>46095</v>
      </c>
      <c r="H812" s="77">
        <f t="shared" si="346"/>
        <v>46083</v>
      </c>
      <c r="I812" s="77">
        <f t="shared" si="347"/>
        <v>46090</v>
      </c>
      <c r="J812" s="25"/>
      <c r="K812" s="25"/>
      <c r="L812" s="25"/>
      <c r="M812" s="25"/>
      <c r="N812" s="25"/>
      <c r="O812" s="25"/>
    </row>
    <row r="813" spans="1:15" x14ac:dyDescent="0.25">
      <c r="A813" s="77">
        <v>46075</v>
      </c>
      <c r="B813" s="25" t="s">
        <v>440</v>
      </c>
      <c r="C813" s="25" t="str">
        <f>VLOOKUP(B813,'[1]Migrasi Bed'!$B$4:$E$521,4,0)</f>
        <v>SV.A029</v>
      </c>
      <c r="D813" s="77">
        <f t="shared" si="342"/>
        <v>46098</v>
      </c>
      <c r="E813" s="77">
        <f t="shared" si="343"/>
        <v>46082</v>
      </c>
      <c r="F813" s="77">
        <f t="shared" si="344"/>
        <v>46089</v>
      </c>
      <c r="G813" s="77">
        <f t="shared" si="345"/>
        <v>46095</v>
      </c>
      <c r="H813" s="77">
        <f t="shared" si="346"/>
        <v>46083</v>
      </c>
      <c r="I813" s="77">
        <f t="shared" si="347"/>
        <v>46090</v>
      </c>
      <c r="J813" s="25"/>
      <c r="K813" s="25"/>
      <c r="L813" s="25"/>
      <c r="M813" s="25"/>
      <c r="N813" s="25"/>
      <c r="O813" s="25"/>
    </row>
    <row r="814" spans="1:15" x14ac:dyDescent="0.25">
      <c r="A814" s="77">
        <v>46075</v>
      </c>
      <c r="B814" s="25" t="s">
        <v>441</v>
      </c>
      <c r="C814" s="25" t="str">
        <f>VLOOKUP(B814,'[1]Migrasi Bed'!$B$4:$E$521,4,0)</f>
        <v>SV.A030</v>
      </c>
      <c r="D814" s="77">
        <f t="shared" si="342"/>
        <v>46098</v>
      </c>
      <c r="E814" s="77">
        <f t="shared" si="343"/>
        <v>46082</v>
      </c>
      <c r="F814" s="77">
        <f t="shared" si="344"/>
        <v>46089</v>
      </c>
      <c r="G814" s="77">
        <f t="shared" si="345"/>
        <v>46095</v>
      </c>
      <c r="H814" s="77">
        <f t="shared" si="346"/>
        <v>46083</v>
      </c>
      <c r="I814" s="77">
        <f t="shared" si="347"/>
        <v>46090</v>
      </c>
      <c r="J814" s="25"/>
      <c r="K814" s="25"/>
      <c r="L814" s="25"/>
      <c r="M814" s="25"/>
      <c r="N814" s="25"/>
      <c r="O814" s="25"/>
    </row>
    <row r="815" spans="1:15" x14ac:dyDescent="0.25">
      <c r="A815" s="77">
        <v>46076</v>
      </c>
      <c r="B815" s="25" t="s">
        <v>428</v>
      </c>
      <c r="C815" s="25" t="str">
        <f>VLOOKUP(B815,'[1]Migrasi Bed'!$B$4:$E$521,4,0)</f>
        <v>SV.A017</v>
      </c>
      <c r="D815" s="77">
        <f t="shared" si="342"/>
        <v>46099</v>
      </c>
      <c r="E815" s="77">
        <f t="shared" si="343"/>
        <v>46083</v>
      </c>
      <c r="F815" s="77">
        <f t="shared" si="344"/>
        <v>46090</v>
      </c>
      <c r="G815" s="77">
        <f t="shared" si="345"/>
        <v>46096</v>
      </c>
      <c r="H815" s="77">
        <f t="shared" si="346"/>
        <v>46084</v>
      </c>
      <c r="I815" s="77">
        <f t="shared" si="347"/>
        <v>46091</v>
      </c>
      <c r="J815" s="25"/>
      <c r="K815" s="25"/>
      <c r="L815" s="25"/>
      <c r="M815" s="25"/>
      <c r="N815" s="25"/>
      <c r="O815" s="25"/>
    </row>
    <row r="816" spans="1:15" x14ac:dyDescent="0.25">
      <c r="A816" s="77">
        <v>46076</v>
      </c>
      <c r="B816" s="25" t="s">
        <v>429</v>
      </c>
      <c r="C816" s="25" t="str">
        <f>VLOOKUP(B816,'[1]Migrasi Bed'!$B$4:$E$521,4,0)</f>
        <v>SV.A018</v>
      </c>
      <c r="D816" s="77">
        <f t="shared" si="342"/>
        <v>46099</v>
      </c>
      <c r="E816" s="77">
        <f t="shared" si="343"/>
        <v>46083</v>
      </c>
      <c r="F816" s="77">
        <f t="shared" si="344"/>
        <v>46090</v>
      </c>
      <c r="G816" s="77">
        <f t="shared" si="345"/>
        <v>46096</v>
      </c>
      <c r="H816" s="77">
        <f t="shared" si="346"/>
        <v>46084</v>
      </c>
      <c r="I816" s="77">
        <f t="shared" si="347"/>
        <v>46091</v>
      </c>
      <c r="J816" s="25"/>
      <c r="K816" s="25"/>
      <c r="L816" s="25"/>
      <c r="M816" s="25"/>
      <c r="N816" s="25"/>
      <c r="O816" s="25"/>
    </row>
    <row r="817" spans="1:15" x14ac:dyDescent="0.25">
      <c r="A817" s="77">
        <v>46076</v>
      </c>
      <c r="B817" s="25" t="s">
        <v>430</v>
      </c>
      <c r="C817" s="25" t="str">
        <f>VLOOKUP(B817,'[1]Migrasi Bed'!$B$4:$E$521,4,0)</f>
        <v>SV.A019</v>
      </c>
      <c r="D817" s="77">
        <f t="shared" si="342"/>
        <v>46099</v>
      </c>
      <c r="E817" s="77">
        <f t="shared" si="343"/>
        <v>46083</v>
      </c>
      <c r="F817" s="77">
        <f t="shared" si="344"/>
        <v>46090</v>
      </c>
      <c r="G817" s="77">
        <f t="shared" si="345"/>
        <v>46096</v>
      </c>
      <c r="H817" s="77">
        <f t="shared" si="346"/>
        <v>46084</v>
      </c>
      <c r="I817" s="77">
        <f t="shared" si="347"/>
        <v>46091</v>
      </c>
      <c r="J817" s="25"/>
      <c r="K817" s="25"/>
      <c r="L817" s="25"/>
      <c r="M817" s="25"/>
      <c r="N817" s="25"/>
      <c r="O817" s="25"/>
    </row>
    <row r="818" spans="1:15" x14ac:dyDescent="0.25">
      <c r="A818" s="77">
        <v>46076</v>
      </c>
      <c r="B818" s="25" t="s">
        <v>431</v>
      </c>
      <c r="C818" s="25" t="str">
        <f>VLOOKUP(B818,'[1]Migrasi Bed'!$B$4:$E$521,4,0)</f>
        <v>SV.A020</v>
      </c>
      <c r="D818" s="77">
        <f t="shared" si="342"/>
        <v>46099</v>
      </c>
      <c r="E818" s="77">
        <f t="shared" si="343"/>
        <v>46083</v>
      </c>
      <c r="F818" s="77">
        <f t="shared" si="344"/>
        <v>46090</v>
      </c>
      <c r="G818" s="77">
        <f t="shared" si="345"/>
        <v>46096</v>
      </c>
      <c r="H818" s="77">
        <f t="shared" si="346"/>
        <v>46084</v>
      </c>
      <c r="I818" s="77">
        <f t="shared" si="347"/>
        <v>46091</v>
      </c>
      <c r="J818" s="25"/>
      <c r="K818" s="25"/>
      <c r="L818" s="25"/>
      <c r="M818" s="25"/>
      <c r="N818" s="25"/>
      <c r="O818" s="25"/>
    </row>
    <row r="819" spans="1:15" x14ac:dyDescent="0.25">
      <c r="A819" s="77">
        <v>46076</v>
      </c>
      <c r="B819" s="25" t="s">
        <v>432</v>
      </c>
      <c r="C819" s="25" t="str">
        <f>VLOOKUP(B819,'[1]Migrasi Bed'!$B$4:$E$521,4,0)</f>
        <v>SV.A021</v>
      </c>
      <c r="D819" s="77">
        <f t="shared" si="342"/>
        <v>46099</v>
      </c>
      <c r="E819" s="77">
        <f t="shared" si="343"/>
        <v>46083</v>
      </c>
      <c r="F819" s="77">
        <f t="shared" si="344"/>
        <v>46090</v>
      </c>
      <c r="G819" s="77">
        <f t="shared" si="345"/>
        <v>46096</v>
      </c>
      <c r="H819" s="77">
        <f t="shared" si="346"/>
        <v>46084</v>
      </c>
      <c r="I819" s="77">
        <f t="shared" si="347"/>
        <v>46091</v>
      </c>
      <c r="J819" s="25"/>
      <c r="K819" s="25"/>
      <c r="L819" s="25"/>
      <c r="M819" s="25"/>
      <c r="N819" s="25"/>
      <c r="O819" s="25"/>
    </row>
    <row r="820" spans="1:15" x14ac:dyDescent="0.25">
      <c r="A820" s="77">
        <v>46076</v>
      </c>
      <c r="B820" s="25" t="s">
        <v>433</v>
      </c>
      <c r="C820" s="25" t="str">
        <f>VLOOKUP(B820,'[1]Migrasi Bed'!$B$4:$E$521,4,0)</f>
        <v>SV.A022</v>
      </c>
      <c r="D820" s="77">
        <f t="shared" si="342"/>
        <v>46099</v>
      </c>
      <c r="E820" s="77">
        <f t="shared" si="343"/>
        <v>46083</v>
      </c>
      <c r="F820" s="77">
        <f t="shared" si="344"/>
        <v>46090</v>
      </c>
      <c r="G820" s="77">
        <f t="shared" si="345"/>
        <v>46096</v>
      </c>
      <c r="H820" s="77">
        <f t="shared" si="346"/>
        <v>46084</v>
      </c>
      <c r="I820" s="77">
        <f t="shared" si="347"/>
        <v>46091</v>
      </c>
      <c r="J820" s="25"/>
      <c r="K820" s="25"/>
      <c r="L820" s="25"/>
      <c r="M820" s="25"/>
      <c r="N820" s="25"/>
      <c r="O820" s="25"/>
    </row>
    <row r="821" spans="1:15" x14ac:dyDescent="0.25">
      <c r="A821" s="77">
        <v>46076</v>
      </c>
      <c r="B821" s="25" t="s">
        <v>434</v>
      </c>
      <c r="C821" s="25" t="str">
        <f>VLOOKUP(B821,'[1]Migrasi Bed'!$B$4:$E$521,4,0)</f>
        <v>SV.A023</v>
      </c>
      <c r="D821" s="77">
        <f t="shared" si="342"/>
        <v>46099</v>
      </c>
      <c r="E821" s="77">
        <f t="shared" si="343"/>
        <v>46083</v>
      </c>
      <c r="F821" s="77">
        <f t="shared" si="344"/>
        <v>46090</v>
      </c>
      <c r="G821" s="77">
        <f t="shared" si="345"/>
        <v>46096</v>
      </c>
      <c r="H821" s="77">
        <f t="shared" si="346"/>
        <v>46084</v>
      </c>
      <c r="I821" s="77">
        <f t="shared" si="347"/>
        <v>46091</v>
      </c>
      <c r="J821" s="25"/>
      <c r="K821" s="25"/>
      <c r="L821" s="25"/>
      <c r="M821" s="25"/>
      <c r="N821" s="25"/>
      <c r="O821" s="25"/>
    </row>
    <row r="822" spans="1:15" x14ac:dyDescent="0.25">
      <c r="A822" s="77">
        <v>46077</v>
      </c>
      <c r="B822" s="25" t="s">
        <v>495</v>
      </c>
      <c r="C822" s="25" t="str">
        <f>VLOOKUP(B822,'[1]Migrasi Bed'!$B$4:$E$521,4,0)</f>
        <v>ST.G008</v>
      </c>
      <c r="D822" s="77">
        <f t="shared" si="342"/>
        <v>46100</v>
      </c>
      <c r="E822" s="77">
        <f t="shared" si="343"/>
        <v>46084</v>
      </c>
      <c r="F822" s="77">
        <f t="shared" si="344"/>
        <v>46091</v>
      </c>
      <c r="G822" s="77">
        <f t="shared" si="345"/>
        <v>46097</v>
      </c>
      <c r="H822" s="77">
        <f t="shared" si="346"/>
        <v>46085</v>
      </c>
      <c r="I822" s="77">
        <f t="shared" si="347"/>
        <v>46092</v>
      </c>
      <c r="J822" s="25"/>
      <c r="K822" s="25"/>
      <c r="L822" s="25"/>
      <c r="M822" s="25"/>
      <c r="N822" s="25"/>
      <c r="O822" s="25"/>
    </row>
    <row r="823" spans="1:15" x14ac:dyDescent="0.25">
      <c r="A823" s="77">
        <v>46077</v>
      </c>
      <c r="B823" s="25" t="s">
        <v>496</v>
      </c>
      <c r="C823" s="25" t="str">
        <f>VLOOKUP(B823,'[1]Migrasi Bed'!$B$4:$E$521,4,0)</f>
        <v>ST.G009</v>
      </c>
      <c r="D823" s="77">
        <f t="shared" si="342"/>
        <v>46100</v>
      </c>
      <c r="E823" s="77">
        <f t="shared" si="343"/>
        <v>46084</v>
      </c>
      <c r="F823" s="77">
        <f t="shared" si="344"/>
        <v>46091</v>
      </c>
      <c r="G823" s="77">
        <f t="shared" si="345"/>
        <v>46097</v>
      </c>
      <c r="H823" s="77">
        <f t="shared" si="346"/>
        <v>46085</v>
      </c>
      <c r="I823" s="77">
        <f t="shared" si="347"/>
        <v>46092</v>
      </c>
      <c r="J823" s="25"/>
      <c r="K823" s="25"/>
      <c r="L823" s="25"/>
      <c r="M823" s="25"/>
      <c r="N823" s="25"/>
      <c r="O823" s="25"/>
    </row>
    <row r="824" spans="1:15" x14ac:dyDescent="0.25">
      <c r="A824" s="77">
        <v>46077</v>
      </c>
      <c r="B824" s="25" t="s">
        <v>497</v>
      </c>
      <c r="C824" s="25" t="str">
        <f>VLOOKUP(B824,'[1]Migrasi Bed'!$B$4:$E$521,4,0)</f>
        <v>ST.G010</v>
      </c>
      <c r="D824" s="77">
        <f t="shared" si="342"/>
        <v>46100</v>
      </c>
      <c r="E824" s="77">
        <f t="shared" si="343"/>
        <v>46084</v>
      </c>
      <c r="F824" s="77">
        <f t="shared" si="344"/>
        <v>46091</v>
      </c>
      <c r="G824" s="77">
        <f t="shared" si="345"/>
        <v>46097</v>
      </c>
      <c r="H824" s="77">
        <f t="shared" si="346"/>
        <v>46085</v>
      </c>
      <c r="I824" s="77">
        <f t="shared" si="347"/>
        <v>46092</v>
      </c>
      <c r="J824" s="25"/>
      <c r="K824" s="25"/>
      <c r="L824" s="25"/>
      <c r="M824" s="25"/>
      <c r="N824" s="25"/>
      <c r="O824" s="25"/>
    </row>
    <row r="825" spans="1:15" x14ac:dyDescent="0.25">
      <c r="A825" s="77">
        <v>46077</v>
      </c>
      <c r="B825" s="25" t="s">
        <v>498</v>
      </c>
      <c r="C825" s="25" t="str">
        <f>VLOOKUP(B825,'[1]Migrasi Bed'!$B$4:$E$521,4,0)</f>
        <v>ST.G011</v>
      </c>
      <c r="D825" s="77">
        <f t="shared" si="342"/>
        <v>46100</v>
      </c>
      <c r="E825" s="77">
        <f t="shared" si="343"/>
        <v>46084</v>
      </c>
      <c r="F825" s="77">
        <f t="shared" si="344"/>
        <v>46091</v>
      </c>
      <c r="G825" s="77">
        <f t="shared" si="345"/>
        <v>46097</v>
      </c>
      <c r="H825" s="77">
        <f t="shared" si="346"/>
        <v>46085</v>
      </c>
      <c r="I825" s="77">
        <f t="shared" si="347"/>
        <v>46092</v>
      </c>
      <c r="J825" s="25"/>
      <c r="K825" s="25"/>
      <c r="L825" s="25"/>
      <c r="M825" s="25"/>
      <c r="N825" s="25"/>
      <c r="O825" s="25"/>
    </row>
    <row r="826" spans="1:15" x14ac:dyDescent="0.25">
      <c r="A826" s="77">
        <v>46077</v>
      </c>
      <c r="B826" s="25" t="s">
        <v>499</v>
      </c>
      <c r="C826" s="25" t="str">
        <f>VLOOKUP(B826,'[1]Migrasi Bed'!$B$4:$E$521,4,0)</f>
        <v>ST.G012</v>
      </c>
      <c r="D826" s="77">
        <f t="shared" si="342"/>
        <v>46100</v>
      </c>
      <c r="E826" s="77">
        <f t="shared" si="343"/>
        <v>46084</v>
      </c>
      <c r="F826" s="77">
        <f t="shared" si="344"/>
        <v>46091</v>
      </c>
      <c r="G826" s="77">
        <f t="shared" si="345"/>
        <v>46097</v>
      </c>
      <c r="H826" s="77">
        <f t="shared" si="346"/>
        <v>46085</v>
      </c>
      <c r="I826" s="77">
        <f t="shared" si="347"/>
        <v>46092</v>
      </c>
      <c r="J826" s="25"/>
      <c r="K826" s="25"/>
      <c r="L826" s="25"/>
      <c r="M826" s="25"/>
      <c r="N826" s="25"/>
      <c r="O826" s="25"/>
    </row>
    <row r="827" spans="1:15" x14ac:dyDescent="0.25">
      <c r="A827" s="77">
        <v>46077</v>
      </c>
      <c r="B827" s="25" t="s">
        <v>500</v>
      </c>
      <c r="C827" s="25" t="str">
        <f>VLOOKUP(B827,'[1]Migrasi Bed'!$B$4:$E$521,4,0)</f>
        <v>ST.H001</v>
      </c>
      <c r="D827" s="77">
        <f t="shared" si="342"/>
        <v>46100</v>
      </c>
      <c r="E827" s="77">
        <f t="shared" si="343"/>
        <v>46084</v>
      </c>
      <c r="F827" s="77">
        <f t="shared" si="344"/>
        <v>46091</v>
      </c>
      <c r="G827" s="77">
        <f t="shared" si="345"/>
        <v>46097</v>
      </c>
      <c r="H827" s="77">
        <f t="shared" si="346"/>
        <v>46085</v>
      </c>
      <c r="I827" s="77">
        <f t="shared" si="347"/>
        <v>46092</v>
      </c>
      <c r="J827" s="25"/>
      <c r="K827" s="25"/>
      <c r="L827" s="25"/>
      <c r="M827" s="25"/>
      <c r="N827" s="25"/>
      <c r="O827" s="25"/>
    </row>
    <row r="828" spans="1:15" x14ac:dyDescent="0.25">
      <c r="A828" s="77">
        <v>46077</v>
      </c>
      <c r="B828" s="25" t="s">
        <v>501</v>
      </c>
      <c r="C828" s="25" t="str">
        <f>VLOOKUP(B828,'[1]Migrasi Bed'!$B$4:$E$521,4,0)</f>
        <v>ST.H002</v>
      </c>
      <c r="D828" s="77">
        <f t="shared" si="342"/>
        <v>46100</v>
      </c>
      <c r="E828" s="77">
        <f t="shared" si="343"/>
        <v>46084</v>
      </c>
      <c r="F828" s="77">
        <f t="shared" si="344"/>
        <v>46091</v>
      </c>
      <c r="G828" s="77">
        <f t="shared" si="345"/>
        <v>46097</v>
      </c>
      <c r="H828" s="77">
        <f t="shared" si="346"/>
        <v>46085</v>
      </c>
      <c r="I828" s="77">
        <f t="shared" si="347"/>
        <v>46092</v>
      </c>
      <c r="J828" s="25"/>
      <c r="K828" s="25"/>
      <c r="L828" s="25"/>
      <c r="M828" s="25"/>
      <c r="N828" s="25"/>
      <c r="O828" s="25"/>
    </row>
    <row r="829" spans="1:15" x14ac:dyDescent="0.25">
      <c r="A829" s="77">
        <v>46078</v>
      </c>
      <c r="B829" s="25" t="s">
        <v>458</v>
      </c>
      <c r="C829" s="25" t="str">
        <f>VLOOKUP(B829,'[1]Migrasi Bed'!$B$4:$E$521,4,0)</f>
        <v>SV.B017</v>
      </c>
      <c r="D829" s="77">
        <f t="shared" si="342"/>
        <v>46101</v>
      </c>
      <c r="E829" s="77">
        <f t="shared" si="343"/>
        <v>46085</v>
      </c>
      <c r="F829" s="77">
        <f t="shared" si="344"/>
        <v>46092</v>
      </c>
      <c r="G829" s="77">
        <f t="shared" si="345"/>
        <v>46098</v>
      </c>
      <c r="H829" s="77">
        <f t="shared" si="346"/>
        <v>46086</v>
      </c>
      <c r="I829" s="77">
        <f t="shared" si="347"/>
        <v>46093</v>
      </c>
      <c r="J829" s="25"/>
      <c r="K829" s="25"/>
      <c r="L829" s="25"/>
      <c r="M829" s="25"/>
      <c r="N829" s="25"/>
      <c r="O829" s="25"/>
    </row>
    <row r="830" spans="1:15" x14ac:dyDescent="0.25">
      <c r="A830" s="77">
        <v>46078</v>
      </c>
      <c r="B830" s="25" t="s">
        <v>459</v>
      </c>
      <c r="C830" s="25" t="str">
        <f>VLOOKUP(B830,'[1]Migrasi Bed'!$B$4:$E$521,4,0)</f>
        <v>SV.B018</v>
      </c>
      <c r="D830" s="77">
        <f t="shared" si="342"/>
        <v>46101</v>
      </c>
      <c r="E830" s="77">
        <f t="shared" si="343"/>
        <v>46085</v>
      </c>
      <c r="F830" s="77">
        <f t="shared" si="344"/>
        <v>46092</v>
      </c>
      <c r="G830" s="77">
        <f t="shared" si="345"/>
        <v>46098</v>
      </c>
      <c r="H830" s="77">
        <f t="shared" si="346"/>
        <v>46086</v>
      </c>
      <c r="I830" s="77">
        <f t="shared" si="347"/>
        <v>46093</v>
      </c>
      <c r="J830" s="25"/>
      <c r="K830" s="25"/>
      <c r="L830" s="25"/>
      <c r="M830" s="25"/>
      <c r="N830" s="25"/>
      <c r="O830" s="25"/>
    </row>
    <row r="831" spans="1:15" x14ac:dyDescent="0.25">
      <c r="A831" s="77">
        <v>46078</v>
      </c>
      <c r="B831" s="25" t="s">
        <v>460</v>
      </c>
      <c r="C831" s="25" t="str">
        <f>VLOOKUP(B831,'[1]Migrasi Bed'!$B$4:$E$521,4,0)</f>
        <v>SV.B019</v>
      </c>
      <c r="D831" s="77">
        <f t="shared" si="342"/>
        <v>46101</v>
      </c>
      <c r="E831" s="77">
        <f t="shared" si="343"/>
        <v>46085</v>
      </c>
      <c r="F831" s="77">
        <f t="shared" si="344"/>
        <v>46092</v>
      </c>
      <c r="G831" s="77">
        <f t="shared" si="345"/>
        <v>46098</v>
      </c>
      <c r="H831" s="77">
        <f t="shared" si="346"/>
        <v>46086</v>
      </c>
      <c r="I831" s="77">
        <f t="shared" si="347"/>
        <v>46093</v>
      </c>
      <c r="J831" s="25"/>
      <c r="K831" s="25"/>
      <c r="L831" s="25"/>
      <c r="M831" s="25"/>
      <c r="N831" s="25"/>
      <c r="O831" s="25"/>
    </row>
    <row r="832" spans="1:15" x14ac:dyDescent="0.25">
      <c r="A832" s="77">
        <v>46078</v>
      </c>
      <c r="B832" s="25" t="s">
        <v>461</v>
      </c>
      <c r="C832" s="25" t="str">
        <f>VLOOKUP(B832,'[1]Migrasi Bed'!$B$4:$E$521,4,0)</f>
        <v>SV.B020</v>
      </c>
      <c r="D832" s="77">
        <f t="shared" si="342"/>
        <v>46101</v>
      </c>
      <c r="E832" s="77">
        <f t="shared" si="343"/>
        <v>46085</v>
      </c>
      <c r="F832" s="77">
        <f t="shared" si="344"/>
        <v>46092</v>
      </c>
      <c r="G832" s="77">
        <f t="shared" si="345"/>
        <v>46098</v>
      </c>
      <c r="H832" s="77">
        <f t="shared" si="346"/>
        <v>46086</v>
      </c>
      <c r="I832" s="77">
        <f t="shared" si="347"/>
        <v>46093</v>
      </c>
      <c r="J832" s="25"/>
      <c r="K832" s="25"/>
      <c r="L832" s="25"/>
      <c r="M832" s="25"/>
      <c r="N832" s="25"/>
      <c r="O832" s="25"/>
    </row>
    <row r="833" spans="1:15" x14ac:dyDescent="0.25">
      <c r="A833" s="77">
        <v>46078</v>
      </c>
      <c r="B833" s="25" t="s">
        <v>462</v>
      </c>
      <c r="C833" s="25" t="str">
        <f>VLOOKUP(B833,'[1]Migrasi Bed'!$B$4:$E$521,4,0)</f>
        <v>SV.B021</v>
      </c>
      <c r="D833" s="77">
        <f t="shared" si="342"/>
        <v>46101</v>
      </c>
      <c r="E833" s="77">
        <f t="shared" si="343"/>
        <v>46085</v>
      </c>
      <c r="F833" s="77">
        <f t="shared" si="344"/>
        <v>46092</v>
      </c>
      <c r="G833" s="77">
        <f t="shared" si="345"/>
        <v>46098</v>
      </c>
      <c r="H833" s="77">
        <f t="shared" si="346"/>
        <v>46086</v>
      </c>
      <c r="I833" s="77">
        <f t="shared" si="347"/>
        <v>46093</v>
      </c>
      <c r="J833" s="25"/>
      <c r="K833" s="25"/>
      <c r="L833" s="25"/>
      <c r="M833" s="25"/>
      <c r="N833" s="25"/>
      <c r="O833" s="25"/>
    </row>
    <row r="834" spans="1:15" x14ac:dyDescent="0.25">
      <c r="A834" s="77">
        <v>46078</v>
      </c>
      <c r="B834" s="25" t="s">
        <v>463</v>
      </c>
      <c r="C834" s="25" t="str">
        <f>VLOOKUP(B834,'[1]Migrasi Bed'!$B$4:$E$521,4,0)</f>
        <v>SV.B022</v>
      </c>
      <c r="D834" s="77">
        <f t="shared" si="342"/>
        <v>46101</v>
      </c>
      <c r="E834" s="77">
        <f t="shared" si="343"/>
        <v>46085</v>
      </c>
      <c r="F834" s="77">
        <f t="shared" si="344"/>
        <v>46092</v>
      </c>
      <c r="G834" s="77">
        <f t="shared" si="345"/>
        <v>46098</v>
      </c>
      <c r="H834" s="77">
        <f t="shared" si="346"/>
        <v>46086</v>
      </c>
      <c r="I834" s="77">
        <f t="shared" si="347"/>
        <v>46093</v>
      </c>
      <c r="J834" s="25"/>
      <c r="K834" s="25"/>
      <c r="L834" s="25"/>
      <c r="M834" s="25"/>
      <c r="N834" s="25"/>
      <c r="O834" s="25"/>
    </row>
    <row r="835" spans="1:15" x14ac:dyDescent="0.25">
      <c r="A835" s="77">
        <v>46078</v>
      </c>
      <c r="B835" s="25" t="s">
        <v>464</v>
      </c>
      <c r="C835" s="25" t="str">
        <f>VLOOKUP(B835,'[1]Migrasi Bed'!$B$4:$E$521,4,0)</f>
        <v>SV.B023</v>
      </c>
      <c r="D835" s="77">
        <f t="shared" si="342"/>
        <v>46101</v>
      </c>
      <c r="E835" s="77">
        <f t="shared" si="343"/>
        <v>46085</v>
      </c>
      <c r="F835" s="77">
        <f t="shared" si="344"/>
        <v>46092</v>
      </c>
      <c r="G835" s="77">
        <f t="shared" si="345"/>
        <v>46098</v>
      </c>
      <c r="H835" s="77">
        <f t="shared" si="346"/>
        <v>46086</v>
      </c>
      <c r="I835" s="77">
        <f t="shared" si="347"/>
        <v>46093</v>
      </c>
      <c r="J835" s="25"/>
      <c r="K835" s="25"/>
      <c r="L835" s="25"/>
      <c r="M835" s="25"/>
      <c r="N835" s="25"/>
      <c r="O835" s="25"/>
    </row>
    <row r="836" spans="1:15" x14ac:dyDescent="0.25">
      <c r="A836" s="77">
        <v>46079</v>
      </c>
      <c r="B836" s="25" t="s">
        <v>502</v>
      </c>
      <c r="C836" s="25" t="str">
        <f>VLOOKUP(B836,'[1]Migrasi Bed'!$B$4:$E$521,4,0)</f>
        <v>ST.H003</v>
      </c>
      <c r="D836" s="77">
        <f t="shared" si="342"/>
        <v>46102</v>
      </c>
      <c r="E836" s="77">
        <f t="shared" si="343"/>
        <v>46086</v>
      </c>
      <c r="F836" s="77">
        <f t="shared" si="344"/>
        <v>46093</v>
      </c>
      <c r="G836" s="77">
        <f t="shared" si="345"/>
        <v>46099</v>
      </c>
      <c r="H836" s="77">
        <f t="shared" si="346"/>
        <v>46087</v>
      </c>
      <c r="I836" s="77">
        <f t="shared" si="347"/>
        <v>46094</v>
      </c>
      <c r="J836" s="25"/>
      <c r="K836" s="25"/>
      <c r="L836" s="25"/>
      <c r="M836" s="25"/>
      <c r="N836" s="25"/>
      <c r="O836" s="25"/>
    </row>
    <row r="837" spans="1:15" x14ac:dyDescent="0.25">
      <c r="A837" s="77">
        <v>46079</v>
      </c>
      <c r="B837" s="25" t="s">
        <v>503</v>
      </c>
      <c r="C837" s="25" t="str">
        <f>VLOOKUP(B837,'[1]Migrasi Bed'!$B$4:$E$521,4,0)</f>
        <v>ST.H004</v>
      </c>
      <c r="D837" s="77">
        <f t="shared" si="342"/>
        <v>46102</v>
      </c>
      <c r="E837" s="77">
        <f t="shared" si="343"/>
        <v>46086</v>
      </c>
      <c r="F837" s="77">
        <f t="shared" si="344"/>
        <v>46093</v>
      </c>
      <c r="G837" s="77">
        <f t="shared" si="345"/>
        <v>46099</v>
      </c>
      <c r="H837" s="77">
        <f t="shared" si="346"/>
        <v>46087</v>
      </c>
      <c r="I837" s="77">
        <f t="shared" si="347"/>
        <v>46094</v>
      </c>
      <c r="J837" s="25"/>
      <c r="K837" s="25"/>
      <c r="L837" s="25"/>
      <c r="M837" s="25"/>
      <c r="N837" s="25"/>
      <c r="O837" s="25"/>
    </row>
    <row r="838" spans="1:15" x14ac:dyDescent="0.25">
      <c r="A838" s="77">
        <v>46079</v>
      </c>
      <c r="B838" s="25" t="s">
        <v>504</v>
      </c>
      <c r="C838" s="25" t="str">
        <f>VLOOKUP(B838,'[1]Migrasi Bed'!$B$4:$E$521,4,0)</f>
        <v>ST.H005</v>
      </c>
      <c r="D838" s="77">
        <f t="shared" si="342"/>
        <v>46102</v>
      </c>
      <c r="E838" s="77">
        <f t="shared" si="343"/>
        <v>46086</v>
      </c>
      <c r="F838" s="77">
        <f t="shared" si="344"/>
        <v>46093</v>
      </c>
      <c r="G838" s="77">
        <f t="shared" si="345"/>
        <v>46099</v>
      </c>
      <c r="H838" s="77">
        <f t="shared" si="346"/>
        <v>46087</v>
      </c>
      <c r="I838" s="77">
        <f t="shared" si="347"/>
        <v>46094</v>
      </c>
      <c r="J838" s="25"/>
      <c r="K838" s="25"/>
      <c r="L838" s="25"/>
      <c r="M838" s="25"/>
      <c r="N838" s="25"/>
      <c r="O838" s="25"/>
    </row>
    <row r="839" spans="1:15" x14ac:dyDescent="0.25">
      <c r="A839" s="77">
        <v>46079</v>
      </c>
      <c r="B839" s="25" t="s">
        <v>505</v>
      </c>
      <c r="C839" s="25" t="str">
        <f>VLOOKUP(B839,'[1]Migrasi Bed'!$B$4:$E$521,4,0)</f>
        <v>ST.H006</v>
      </c>
      <c r="D839" s="77">
        <f t="shared" si="342"/>
        <v>46102</v>
      </c>
      <c r="E839" s="77">
        <f t="shared" si="343"/>
        <v>46086</v>
      </c>
      <c r="F839" s="77">
        <f t="shared" si="344"/>
        <v>46093</v>
      </c>
      <c r="G839" s="77">
        <f t="shared" si="345"/>
        <v>46099</v>
      </c>
      <c r="H839" s="77">
        <f t="shared" si="346"/>
        <v>46087</v>
      </c>
      <c r="I839" s="77">
        <f t="shared" si="347"/>
        <v>46094</v>
      </c>
      <c r="J839" s="25"/>
      <c r="K839" s="25"/>
      <c r="L839" s="25"/>
      <c r="M839" s="25"/>
      <c r="N839" s="25"/>
      <c r="O839" s="25"/>
    </row>
    <row r="840" spans="1:15" x14ac:dyDescent="0.25">
      <c r="A840" s="77">
        <v>46079</v>
      </c>
      <c r="B840" s="25" t="s">
        <v>506</v>
      </c>
      <c r="C840" s="25" t="str">
        <f>VLOOKUP(B840,'[1]Migrasi Bed'!$B$4:$E$521,4,0)</f>
        <v>ST.H007</v>
      </c>
      <c r="D840" s="77">
        <f t="shared" si="342"/>
        <v>46102</v>
      </c>
      <c r="E840" s="77">
        <f t="shared" si="343"/>
        <v>46086</v>
      </c>
      <c r="F840" s="77">
        <f t="shared" si="344"/>
        <v>46093</v>
      </c>
      <c r="G840" s="77">
        <f t="shared" si="345"/>
        <v>46099</v>
      </c>
      <c r="H840" s="77">
        <f t="shared" si="346"/>
        <v>46087</v>
      </c>
      <c r="I840" s="77">
        <f t="shared" si="347"/>
        <v>46094</v>
      </c>
      <c r="J840" s="25"/>
      <c r="K840" s="25"/>
      <c r="L840" s="25"/>
      <c r="M840" s="25"/>
      <c r="N840" s="25"/>
      <c r="O840" s="25"/>
    </row>
    <row r="841" spans="1:15" x14ac:dyDescent="0.25">
      <c r="A841" s="77">
        <v>46079</v>
      </c>
      <c r="B841" s="25" t="s">
        <v>507</v>
      </c>
      <c r="C841" s="25" t="str">
        <f>VLOOKUP(B841,'[1]Migrasi Bed'!$B$4:$E$521,4,0)</f>
        <v>ST.H008</v>
      </c>
      <c r="D841" s="77">
        <f t="shared" si="342"/>
        <v>46102</v>
      </c>
      <c r="E841" s="77">
        <f t="shared" si="343"/>
        <v>46086</v>
      </c>
      <c r="F841" s="77">
        <f t="shared" si="344"/>
        <v>46093</v>
      </c>
      <c r="G841" s="77">
        <f t="shared" si="345"/>
        <v>46099</v>
      </c>
      <c r="H841" s="77">
        <f t="shared" si="346"/>
        <v>46087</v>
      </c>
      <c r="I841" s="77">
        <f t="shared" si="347"/>
        <v>46094</v>
      </c>
      <c r="J841" s="25"/>
      <c r="K841" s="25"/>
      <c r="L841" s="25"/>
      <c r="M841" s="25"/>
      <c r="N841" s="25"/>
      <c r="O841" s="25"/>
    </row>
    <row r="842" spans="1:15" x14ac:dyDescent="0.25">
      <c r="A842" s="77">
        <v>46079</v>
      </c>
      <c r="B842" s="25" t="s">
        <v>508</v>
      </c>
      <c r="C842" s="25" t="str">
        <f>VLOOKUP(B842,'[1]Migrasi Bed'!$B$4:$E$521,4,0)</f>
        <v>ST.H009</v>
      </c>
      <c r="D842" s="77">
        <f t="shared" si="342"/>
        <v>46102</v>
      </c>
      <c r="E842" s="77">
        <f t="shared" si="343"/>
        <v>46086</v>
      </c>
      <c r="F842" s="77">
        <f t="shared" si="344"/>
        <v>46093</v>
      </c>
      <c r="G842" s="77">
        <f t="shared" si="345"/>
        <v>46099</v>
      </c>
      <c r="H842" s="77">
        <f t="shared" si="346"/>
        <v>46087</v>
      </c>
      <c r="I842" s="77">
        <f t="shared" si="347"/>
        <v>46094</v>
      </c>
      <c r="J842" s="25"/>
      <c r="K842" s="25"/>
      <c r="L842" s="25"/>
      <c r="M842" s="25"/>
      <c r="N842" s="25"/>
      <c r="O842" s="25"/>
    </row>
    <row r="843" spans="1:15" x14ac:dyDescent="0.25">
      <c r="A843" s="77">
        <v>46080</v>
      </c>
      <c r="B843" s="25" t="s">
        <v>465</v>
      </c>
      <c r="C843" s="25" t="str">
        <f>VLOOKUP(B843,'[1]Migrasi Bed'!$B$4:$E$521,4,0)</f>
        <v>SV.B024</v>
      </c>
      <c r="D843" s="77">
        <f t="shared" si="342"/>
        <v>46103</v>
      </c>
      <c r="E843" s="77">
        <f t="shared" si="343"/>
        <v>46087</v>
      </c>
      <c r="F843" s="77">
        <f t="shared" si="344"/>
        <v>46094</v>
      </c>
      <c r="G843" s="77">
        <f t="shared" si="345"/>
        <v>46100</v>
      </c>
      <c r="H843" s="77">
        <f t="shared" si="346"/>
        <v>46088</v>
      </c>
      <c r="I843" s="77">
        <f t="shared" si="347"/>
        <v>46095</v>
      </c>
      <c r="J843" s="25"/>
      <c r="K843" s="25"/>
      <c r="L843" s="25"/>
      <c r="M843" s="25"/>
      <c r="N843" s="25"/>
      <c r="O843" s="25"/>
    </row>
    <row r="844" spans="1:15" x14ac:dyDescent="0.25">
      <c r="A844" s="77">
        <v>46080</v>
      </c>
      <c r="B844" s="25" t="s">
        <v>466</v>
      </c>
      <c r="C844" s="25" t="str">
        <f>VLOOKUP(B844,'[1]Migrasi Bed'!$B$4:$E$521,4,0)</f>
        <v>SV.B025</v>
      </c>
      <c r="D844" s="77">
        <f t="shared" si="342"/>
        <v>46103</v>
      </c>
      <c r="E844" s="77">
        <f t="shared" si="343"/>
        <v>46087</v>
      </c>
      <c r="F844" s="77">
        <f t="shared" si="344"/>
        <v>46094</v>
      </c>
      <c r="G844" s="77">
        <f t="shared" si="345"/>
        <v>46100</v>
      </c>
      <c r="H844" s="77">
        <f t="shared" si="346"/>
        <v>46088</v>
      </c>
      <c r="I844" s="77">
        <f t="shared" si="347"/>
        <v>46095</v>
      </c>
      <c r="J844" s="25"/>
      <c r="K844" s="25"/>
      <c r="L844" s="25"/>
      <c r="M844" s="25"/>
      <c r="N844" s="25"/>
      <c r="O844" s="25"/>
    </row>
    <row r="845" spans="1:15" x14ac:dyDescent="0.25">
      <c r="A845" s="77">
        <v>46080</v>
      </c>
      <c r="B845" s="25" t="s">
        <v>467</v>
      </c>
      <c r="C845" s="25" t="str">
        <f>VLOOKUP(B845,'[1]Migrasi Bed'!$B$4:$E$521,4,0)</f>
        <v>SV.B026</v>
      </c>
      <c r="D845" s="77">
        <f t="shared" si="342"/>
        <v>46103</v>
      </c>
      <c r="E845" s="77">
        <f t="shared" si="343"/>
        <v>46087</v>
      </c>
      <c r="F845" s="77">
        <f t="shared" si="344"/>
        <v>46094</v>
      </c>
      <c r="G845" s="77">
        <f t="shared" si="345"/>
        <v>46100</v>
      </c>
      <c r="H845" s="77">
        <f t="shared" si="346"/>
        <v>46088</v>
      </c>
      <c r="I845" s="77">
        <f t="shared" si="347"/>
        <v>46095</v>
      </c>
      <c r="J845" s="25"/>
      <c r="K845" s="25"/>
      <c r="L845" s="25"/>
      <c r="M845" s="25"/>
      <c r="N845" s="25"/>
      <c r="O845" s="25"/>
    </row>
    <row r="846" spans="1:15" x14ac:dyDescent="0.25">
      <c r="A846" s="77">
        <v>46080</v>
      </c>
      <c r="B846" s="25" t="s">
        <v>468</v>
      </c>
      <c r="C846" s="25" t="str">
        <f>VLOOKUP(B846,'[1]Migrasi Bed'!$B$4:$E$521,4,0)</f>
        <v>SV.B027</v>
      </c>
      <c r="D846" s="77">
        <f t="shared" si="342"/>
        <v>46103</v>
      </c>
      <c r="E846" s="77">
        <f t="shared" si="343"/>
        <v>46087</v>
      </c>
      <c r="F846" s="77">
        <f t="shared" si="344"/>
        <v>46094</v>
      </c>
      <c r="G846" s="77">
        <f t="shared" si="345"/>
        <v>46100</v>
      </c>
      <c r="H846" s="77">
        <f t="shared" si="346"/>
        <v>46088</v>
      </c>
      <c r="I846" s="77">
        <f t="shared" si="347"/>
        <v>46095</v>
      </c>
      <c r="J846" s="25"/>
      <c r="K846" s="25"/>
      <c r="L846" s="25"/>
      <c r="M846" s="25"/>
      <c r="N846" s="25"/>
      <c r="O846" s="25"/>
    </row>
    <row r="847" spans="1:15" x14ac:dyDescent="0.25">
      <c r="A847" s="77">
        <v>46080</v>
      </c>
      <c r="B847" s="25" t="s">
        <v>469</v>
      </c>
      <c r="C847" s="25" t="str">
        <f>VLOOKUP(B847,'[1]Migrasi Bed'!$B$4:$E$521,4,0)</f>
        <v>SV.B028</v>
      </c>
      <c r="D847" s="77">
        <f t="shared" si="342"/>
        <v>46103</v>
      </c>
      <c r="E847" s="77">
        <f t="shared" si="343"/>
        <v>46087</v>
      </c>
      <c r="F847" s="77">
        <f t="shared" si="344"/>
        <v>46094</v>
      </c>
      <c r="G847" s="77">
        <f t="shared" si="345"/>
        <v>46100</v>
      </c>
      <c r="H847" s="77">
        <f t="shared" si="346"/>
        <v>46088</v>
      </c>
      <c r="I847" s="77">
        <f t="shared" si="347"/>
        <v>46095</v>
      </c>
      <c r="J847" s="25"/>
      <c r="K847" s="25"/>
      <c r="L847" s="25"/>
      <c r="M847" s="25"/>
      <c r="N847" s="25"/>
      <c r="O847" s="25"/>
    </row>
    <row r="848" spans="1:15" x14ac:dyDescent="0.25">
      <c r="A848" s="77">
        <v>46080</v>
      </c>
      <c r="B848" s="25" t="s">
        <v>470</v>
      </c>
      <c r="C848" s="25" t="str">
        <f>VLOOKUP(B848,'[1]Migrasi Bed'!$B$4:$E$521,4,0)</f>
        <v>SV.B029</v>
      </c>
      <c r="D848" s="77">
        <f t="shared" si="342"/>
        <v>46103</v>
      </c>
      <c r="E848" s="77">
        <f t="shared" si="343"/>
        <v>46087</v>
      </c>
      <c r="F848" s="77">
        <f t="shared" si="344"/>
        <v>46094</v>
      </c>
      <c r="G848" s="77">
        <f t="shared" si="345"/>
        <v>46100</v>
      </c>
      <c r="H848" s="77">
        <f t="shared" si="346"/>
        <v>46088</v>
      </c>
      <c r="I848" s="77">
        <f t="shared" si="347"/>
        <v>46095</v>
      </c>
      <c r="J848" s="25"/>
      <c r="K848" s="25"/>
      <c r="L848" s="25"/>
      <c r="M848" s="25"/>
      <c r="N848" s="25"/>
      <c r="O848" s="25"/>
    </row>
    <row r="849" spans="1:15" x14ac:dyDescent="0.25">
      <c r="A849" s="77">
        <v>46080</v>
      </c>
      <c r="B849" s="25" t="s">
        <v>471</v>
      </c>
      <c r="C849" s="25" t="str">
        <f>VLOOKUP(B849,'[1]Migrasi Bed'!$B$4:$E$521,4,0)</f>
        <v>SV.B030</v>
      </c>
      <c r="D849" s="77">
        <f t="shared" si="342"/>
        <v>46103</v>
      </c>
      <c r="E849" s="77">
        <f t="shared" si="343"/>
        <v>46087</v>
      </c>
      <c r="F849" s="77">
        <f t="shared" si="344"/>
        <v>46094</v>
      </c>
      <c r="G849" s="77">
        <f t="shared" si="345"/>
        <v>46100</v>
      </c>
      <c r="H849" s="77">
        <f t="shared" si="346"/>
        <v>46088</v>
      </c>
      <c r="I849" s="77">
        <f t="shared" si="347"/>
        <v>46095</v>
      </c>
      <c r="J849" s="25"/>
      <c r="K849" s="25"/>
      <c r="L849" s="25"/>
      <c r="M849" s="25"/>
      <c r="N849" s="25"/>
      <c r="O849" s="25"/>
    </row>
    <row r="850" spans="1:15" x14ac:dyDescent="0.25">
      <c r="A850" s="77">
        <v>46081</v>
      </c>
      <c r="B850" s="25" t="s">
        <v>559</v>
      </c>
      <c r="C850" s="25" t="str">
        <f>VLOOKUP(B850,'[1]Migrasi Bed'!$B$4:$E$521,4,0)</f>
        <v>BJ.I001</v>
      </c>
      <c r="D850" s="77">
        <f t="shared" si="342"/>
        <v>46104</v>
      </c>
      <c r="E850" s="77">
        <f t="shared" si="343"/>
        <v>46088</v>
      </c>
      <c r="F850" s="77">
        <f t="shared" si="344"/>
        <v>46095</v>
      </c>
      <c r="G850" s="77">
        <f t="shared" si="345"/>
        <v>46101</v>
      </c>
      <c r="H850" s="77">
        <f t="shared" si="346"/>
        <v>46089</v>
      </c>
      <c r="I850" s="77">
        <f t="shared" si="347"/>
        <v>46096</v>
      </c>
      <c r="J850" s="25"/>
      <c r="K850" s="25"/>
      <c r="L850" s="25"/>
      <c r="M850" s="25"/>
      <c r="N850" s="25"/>
      <c r="O850" s="25"/>
    </row>
    <row r="851" spans="1:15" x14ac:dyDescent="0.25">
      <c r="A851" s="77">
        <v>46081</v>
      </c>
      <c r="B851" s="25" t="s">
        <v>560</v>
      </c>
      <c r="C851" s="25" t="str">
        <f>VLOOKUP(B851,'[1]Migrasi Bed'!$B$4:$E$521,4,0)</f>
        <v>BJ.I002</v>
      </c>
      <c r="D851" s="77">
        <f t="shared" si="342"/>
        <v>46104</v>
      </c>
      <c r="E851" s="77">
        <f t="shared" si="343"/>
        <v>46088</v>
      </c>
      <c r="F851" s="77">
        <f t="shared" si="344"/>
        <v>46095</v>
      </c>
      <c r="G851" s="77">
        <f t="shared" si="345"/>
        <v>46101</v>
      </c>
      <c r="H851" s="77">
        <f t="shared" si="346"/>
        <v>46089</v>
      </c>
      <c r="I851" s="77">
        <f t="shared" si="347"/>
        <v>46096</v>
      </c>
      <c r="J851" s="25"/>
      <c r="K851" s="25"/>
      <c r="L851" s="25"/>
      <c r="M851" s="25"/>
      <c r="N851" s="25"/>
      <c r="O851" s="25"/>
    </row>
    <row r="852" spans="1:15" x14ac:dyDescent="0.25">
      <c r="A852" s="77">
        <v>46081</v>
      </c>
      <c r="B852" s="25" t="s">
        <v>561</v>
      </c>
      <c r="C852" s="25" t="str">
        <f>VLOOKUP(B852,'[1]Migrasi Bed'!$B$4:$E$521,4,0)</f>
        <v>BJ.I003</v>
      </c>
      <c r="D852" s="77">
        <f t="shared" si="342"/>
        <v>46104</v>
      </c>
      <c r="E852" s="77">
        <f t="shared" si="343"/>
        <v>46088</v>
      </c>
      <c r="F852" s="77">
        <f t="shared" si="344"/>
        <v>46095</v>
      </c>
      <c r="G852" s="77">
        <f t="shared" si="345"/>
        <v>46101</v>
      </c>
      <c r="H852" s="77">
        <f t="shared" si="346"/>
        <v>46089</v>
      </c>
      <c r="I852" s="77">
        <f t="shared" si="347"/>
        <v>46096</v>
      </c>
      <c r="J852" s="25"/>
      <c r="K852" s="25"/>
      <c r="L852" s="25"/>
      <c r="M852" s="25"/>
      <c r="N852" s="25"/>
      <c r="O852" s="25"/>
    </row>
    <row r="853" spans="1:15" x14ac:dyDescent="0.25">
      <c r="A853" s="77">
        <v>46081</v>
      </c>
      <c r="B853" s="25" t="s">
        <v>562</v>
      </c>
      <c r="C853" s="25" t="str">
        <f>VLOOKUP(B853,'[1]Migrasi Bed'!$B$4:$E$521,4,0)</f>
        <v>BJ.I004</v>
      </c>
      <c r="D853" s="77">
        <f t="shared" si="342"/>
        <v>46104</v>
      </c>
      <c r="E853" s="77">
        <f t="shared" si="343"/>
        <v>46088</v>
      </c>
      <c r="F853" s="77">
        <f t="shared" si="344"/>
        <v>46095</v>
      </c>
      <c r="G853" s="77">
        <f t="shared" si="345"/>
        <v>46101</v>
      </c>
      <c r="H853" s="77">
        <f t="shared" si="346"/>
        <v>46089</v>
      </c>
      <c r="I853" s="77">
        <f t="shared" si="347"/>
        <v>46096</v>
      </c>
      <c r="J853" s="25"/>
      <c r="K853" s="25"/>
      <c r="L853" s="25"/>
      <c r="M853" s="25"/>
      <c r="N853" s="25"/>
      <c r="O853" s="25"/>
    </row>
    <row r="854" spans="1:15" x14ac:dyDescent="0.25">
      <c r="A854" s="77">
        <v>46081</v>
      </c>
      <c r="B854" s="25" t="s">
        <v>563</v>
      </c>
      <c r="C854" s="25" t="str">
        <f>VLOOKUP(B854,'[1]Migrasi Bed'!$B$4:$E$521,4,0)</f>
        <v>BJ.I005</v>
      </c>
      <c r="D854" s="77">
        <f t="shared" si="342"/>
        <v>46104</v>
      </c>
      <c r="E854" s="77">
        <f t="shared" si="343"/>
        <v>46088</v>
      </c>
      <c r="F854" s="77">
        <f t="shared" si="344"/>
        <v>46095</v>
      </c>
      <c r="G854" s="77">
        <f t="shared" si="345"/>
        <v>46101</v>
      </c>
      <c r="H854" s="77">
        <f t="shared" si="346"/>
        <v>46089</v>
      </c>
      <c r="I854" s="77">
        <f t="shared" si="347"/>
        <v>46096</v>
      </c>
      <c r="J854" s="25"/>
      <c r="K854" s="25"/>
      <c r="L854" s="25"/>
      <c r="M854" s="25"/>
      <c r="N854" s="25"/>
      <c r="O854" s="25"/>
    </row>
    <row r="855" spans="1:15" x14ac:dyDescent="0.25">
      <c r="A855" s="77">
        <v>46081</v>
      </c>
      <c r="B855" s="25" t="s">
        <v>564</v>
      </c>
      <c r="C855" s="25" t="str">
        <f>VLOOKUP(B855,'[1]Migrasi Bed'!$B$4:$E$521,4,0)</f>
        <v>BJ.I006</v>
      </c>
      <c r="D855" s="77">
        <f t="shared" si="342"/>
        <v>46104</v>
      </c>
      <c r="E855" s="77">
        <f t="shared" si="343"/>
        <v>46088</v>
      </c>
      <c r="F855" s="77">
        <f t="shared" si="344"/>
        <v>46095</v>
      </c>
      <c r="G855" s="77">
        <f t="shared" si="345"/>
        <v>46101</v>
      </c>
      <c r="H855" s="77">
        <f t="shared" si="346"/>
        <v>46089</v>
      </c>
      <c r="I855" s="77">
        <f t="shared" si="347"/>
        <v>46096</v>
      </c>
      <c r="J855" s="25"/>
      <c r="K855" s="25"/>
      <c r="L855" s="25"/>
      <c r="M855" s="25"/>
      <c r="N855" s="25"/>
      <c r="O855" s="25"/>
    </row>
    <row r="856" spans="1:15" x14ac:dyDescent="0.25">
      <c r="A856" s="77">
        <v>46081</v>
      </c>
      <c r="B856" s="25" t="s">
        <v>565</v>
      </c>
      <c r="C856" s="25" t="str">
        <f>VLOOKUP(B856,'[1]Migrasi Bed'!$B$4:$E$521,4,0)</f>
        <v>BJ.I007</v>
      </c>
      <c r="D856" s="77">
        <f t="shared" si="342"/>
        <v>46104</v>
      </c>
      <c r="E856" s="77">
        <f t="shared" si="343"/>
        <v>46088</v>
      </c>
      <c r="F856" s="77">
        <f t="shared" si="344"/>
        <v>46095</v>
      </c>
      <c r="G856" s="77">
        <f t="shared" si="345"/>
        <v>46101</v>
      </c>
      <c r="H856" s="77">
        <f t="shared" si="346"/>
        <v>46089</v>
      </c>
      <c r="I856" s="77">
        <f t="shared" si="347"/>
        <v>46096</v>
      </c>
      <c r="J856" s="25"/>
      <c r="K856" s="25"/>
      <c r="L856" s="25"/>
      <c r="M856" s="25"/>
      <c r="N856" s="25"/>
      <c r="O856" s="25"/>
    </row>
    <row r="857" spans="1:15" x14ac:dyDescent="0.25">
      <c r="A857" s="77">
        <v>46082</v>
      </c>
      <c r="B857" s="25" t="s">
        <v>566</v>
      </c>
      <c r="C857" s="25" t="str">
        <f>VLOOKUP(B857,'[1]Migrasi Bed'!$B$4:$E$521,4,0)</f>
        <v>BJ.I008</v>
      </c>
      <c r="D857" s="77">
        <f t="shared" si="342"/>
        <v>46105</v>
      </c>
      <c r="E857" s="77">
        <f t="shared" si="343"/>
        <v>46089</v>
      </c>
      <c r="F857" s="77">
        <f t="shared" si="344"/>
        <v>46096</v>
      </c>
      <c r="G857" s="77">
        <f t="shared" si="345"/>
        <v>46102</v>
      </c>
      <c r="H857" s="77">
        <f t="shared" si="346"/>
        <v>46090</v>
      </c>
      <c r="I857" s="77">
        <f t="shared" si="347"/>
        <v>46097</v>
      </c>
      <c r="J857" s="25"/>
      <c r="K857" s="25"/>
      <c r="L857" s="25"/>
      <c r="M857" s="25"/>
      <c r="N857" s="25"/>
      <c r="O857" s="25"/>
    </row>
    <row r="858" spans="1:15" x14ac:dyDescent="0.25">
      <c r="A858" s="77">
        <v>46082</v>
      </c>
      <c r="B858" s="25" t="s">
        <v>567</v>
      </c>
      <c r="C858" s="25" t="str">
        <f>VLOOKUP(B858,'[1]Migrasi Bed'!$B$4:$E$521,4,0)</f>
        <v>BJ.I009</v>
      </c>
      <c r="D858" s="77">
        <f t="shared" ref="D858:D884" si="348">A858+23</f>
        <v>46105</v>
      </c>
      <c r="E858" s="77">
        <f t="shared" ref="E858:E884" si="349">A858+7</f>
        <v>46089</v>
      </c>
      <c r="F858" s="77">
        <f t="shared" ref="F858:F884" si="350">A858+14</f>
        <v>46096</v>
      </c>
      <c r="G858" s="77">
        <f t="shared" ref="G858:G884" si="351">A858+20</f>
        <v>46102</v>
      </c>
      <c r="H858" s="77">
        <f t="shared" ref="H858:H884" si="352">A858+8</f>
        <v>46090</v>
      </c>
      <c r="I858" s="77">
        <f t="shared" ref="I858:I884" si="353">A858+15</f>
        <v>46097</v>
      </c>
      <c r="J858" s="25"/>
      <c r="K858" s="25"/>
      <c r="L858" s="25"/>
      <c r="M858" s="25"/>
      <c r="N858" s="25"/>
      <c r="O858" s="25"/>
    </row>
    <row r="859" spans="1:15" x14ac:dyDescent="0.25">
      <c r="A859" s="77">
        <v>46082</v>
      </c>
      <c r="B859" s="25" t="s">
        <v>568</v>
      </c>
      <c r="C859" s="25" t="str">
        <f>VLOOKUP(B859,'[1]Migrasi Bed'!$B$4:$E$521,4,0)</f>
        <v>BJ.I010</v>
      </c>
      <c r="D859" s="77">
        <f t="shared" si="348"/>
        <v>46105</v>
      </c>
      <c r="E859" s="77">
        <f t="shared" si="349"/>
        <v>46089</v>
      </c>
      <c r="F859" s="77">
        <f t="shared" si="350"/>
        <v>46096</v>
      </c>
      <c r="G859" s="77">
        <f t="shared" si="351"/>
        <v>46102</v>
      </c>
      <c r="H859" s="77">
        <f t="shared" si="352"/>
        <v>46090</v>
      </c>
      <c r="I859" s="77">
        <f t="shared" si="353"/>
        <v>46097</v>
      </c>
      <c r="J859" s="25"/>
      <c r="K859" s="25"/>
      <c r="L859" s="25"/>
      <c r="M859" s="25"/>
      <c r="N859" s="25"/>
      <c r="O859" s="25"/>
    </row>
    <row r="860" spans="1:15" x14ac:dyDescent="0.25">
      <c r="A860" s="77">
        <v>46082</v>
      </c>
      <c r="B860" s="25" t="s">
        <v>569</v>
      </c>
      <c r="C860" s="25" t="str">
        <f>VLOOKUP(B860,'[1]Migrasi Bed'!$B$4:$E$521,4,0)</f>
        <v>BJ.I011</v>
      </c>
      <c r="D860" s="77">
        <f t="shared" si="348"/>
        <v>46105</v>
      </c>
      <c r="E860" s="77">
        <f t="shared" si="349"/>
        <v>46089</v>
      </c>
      <c r="F860" s="77">
        <f t="shared" si="350"/>
        <v>46096</v>
      </c>
      <c r="G860" s="77">
        <f t="shared" si="351"/>
        <v>46102</v>
      </c>
      <c r="H860" s="77">
        <f t="shared" si="352"/>
        <v>46090</v>
      </c>
      <c r="I860" s="77">
        <f t="shared" si="353"/>
        <v>46097</v>
      </c>
      <c r="J860" s="25"/>
      <c r="K860" s="25"/>
      <c r="L860" s="25"/>
      <c r="M860" s="25"/>
      <c r="N860" s="25"/>
      <c r="O860" s="25"/>
    </row>
    <row r="861" spans="1:15" x14ac:dyDescent="0.25">
      <c r="A861" s="77">
        <v>46082</v>
      </c>
      <c r="B861" s="25" t="s">
        <v>570</v>
      </c>
      <c r="C861" s="25" t="str">
        <f>VLOOKUP(B861,'[1]Migrasi Bed'!$B$4:$E$521,4,0)</f>
        <v>BJ.I012</v>
      </c>
      <c r="D861" s="77">
        <f t="shared" si="348"/>
        <v>46105</v>
      </c>
      <c r="E861" s="77">
        <f t="shared" si="349"/>
        <v>46089</v>
      </c>
      <c r="F861" s="77">
        <f t="shared" si="350"/>
        <v>46096</v>
      </c>
      <c r="G861" s="77">
        <f t="shared" si="351"/>
        <v>46102</v>
      </c>
      <c r="H861" s="77">
        <f t="shared" si="352"/>
        <v>46090</v>
      </c>
      <c r="I861" s="77">
        <f t="shared" si="353"/>
        <v>46097</v>
      </c>
      <c r="J861" s="25"/>
      <c r="K861" s="25"/>
      <c r="L861" s="25"/>
      <c r="M861" s="25"/>
      <c r="N861" s="25"/>
      <c r="O861" s="25"/>
    </row>
    <row r="862" spans="1:15" x14ac:dyDescent="0.25">
      <c r="A862" s="77">
        <v>46082</v>
      </c>
      <c r="B862" s="25" t="s">
        <v>571</v>
      </c>
      <c r="C862" s="25" t="str">
        <f>VLOOKUP(B862,'[1]Migrasi Bed'!$B$4:$E$521,4,0)</f>
        <v>BJ.I013</v>
      </c>
      <c r="D862" s="77">
        <f t="shared" si="348"/>
        <v>46105</v>
      </c>
      <c r="E862" s="77">
        <f t="shared" si="349"/>
        <v>46089</v>
      </c>
      <c r="F862" s="77">
        <f t="shared" si="350"/>
        <v>46096</v>
      </c>
      <c r="G862" s="77">
        <f t="shared" si="351"/>
        <v>46102</v>
      </c>
      <c r="H862" s="77">
        <f t="shared" si="352"/>
        <v>46090</v>
      </c>
      <c r="I862" s="77">
        <f t="shared" si="353"/>
        <v>46097</v>
      </c>
      <c r="J862" s="25"/>
      <c r="K862" s="25"/>
      <c r="L862" s="25"/>
      <c r="M862" s="25"/>
      <c r="N862" s="25"/>
      <c r="O862" s="25"/>
    </row>
    <row r="863" spans="1:15" x14ac:dyDescent="0.25">
      <c r="A863" s="77">
        <v>46082</v>
      </c>
      <c r="B863" s="25" t="s">
        <v>572</v>
      </c>
      <c r="C863" s="25" t="str">
        <f>VLOOKUP(B863,'[1]Migrasi Bed'!$B$4:$E$521,4,0)</f>
        <v>BJ.I014</v>
      </c>
      <c r="D863" s="77">
        <f t="shared" si="348"/>
        <v>46105</v>
      </c>
      <c r="E863" s="77">
        <f t="shared" si="349"/>
        <v>46089</v>
      </c>
      <c r="F863" s="77">
        <f t="shared" si="350"/>
        <v>46096</v>
      </c>
      <c r="G863" s="77">
        <f t="shared" si="351"/>
        <v>46102</v>
      </c>
      <c r="H863" s="77">
        <f t="shared" si="352"/>
        <v>46090</v>
      </c>
      <c r="I863" s="77">
        <f t="shared" si="353"/>
        <v>46097</v>
      </c>
      <c r="J863" s="25"/>
      <c r="K863" s="25"/>
      <c r="L863" s="25"/>
      <c r="M863" s="25"/>
      <c r="N863" s="25"/>
      <c r="O863" s="25"/>
    </row>
    <row r="864" spans="1:15" x14ac:dyDescent="0.25">
      <c r="A864" s="77">
        <v>46083</v>
      </c>
      <c r="B864" s="25" t="s">
        <v>573</v>
      </c>
      <c r="C864" s="25" t="str">
        <f>VLOOKUP(B864,'[1]Migrasi Bed'!$B$4:$E$521,4,0)</f>
        <v>BJ.I015</v>
      </c>
      <c r="D864" s="77">
        <f t="shared" si="348"/>
        <v>46106</v>
      </c>
      <c r="E864" s="77">
        <f t="shared" si="349"/>
        <v>46090</v>
      </c>
      <c r="F864" s="77">
        <f t="shared" si="350"/>
        <v>46097</v>
      </c>
      <c r="G864" s="77">
        <f t="shared" si="351"/>
        <v>46103</v>
      </c>
      <c r="H864" s="77">
        <f t="shared" si="352"/>
        <v>46091</v>
      </c>
      <c r="I864" s="77">
        <f t="shared" si="353"/>
        <v>46098</v>
      </c>
      <c r="J864" s="25"/>
      <c r="K864" s="25"/>
      <c r="L864" s="25"/>
      <c r="M864" s="25"/>
      <c r="N864" s="25"/>
      <c r="O864" s="25"/>
    </row>
    <row r="865" spans="1:15" x14ac:dyDescent="0.25">
      <c r="A865" s="77">
        <v>46083</v>
      </c>
      <c r="B865" s="25" t="s">
        <v>574</v>
      </c>
      <c r="C865" s="25" t="str">
        <f>VLOOKUP(B865,'[1]Migrasi Bed'!$B$4:$E$521,4,0)</f>
        <v>BJ.I016</v>
      </c>
      <c r="D865" s="77">
        <f t="shared" si="348"/>
        <v>46106</v>
      </c>
      <c r="E865" s="77">
        <f t="shared" si="349"/>
        <v>46090</v>
      </c>
      <c r="F865" s="77">
        <f t="shared" si="350"/>
        <v>46097</v>
      </c>
      <c r="G865" s="77">
        <f t="shared" si="351"/>
        <v>46103</v>
      </c>
      <c r="H865" s="77">
        <f t="shared" si="352"/>
        <v>46091</v>
      </c>
      <c r="I865" s="77">
        <f t="shared" si="353"/>
        <v>46098</v>
      </c>
      <c r="J865" s="25"/>
      <c r="K865" s="25"/>
      <c r="L865" s="25"/>
      <c r="M865" s="25"/>
      <c r="N865" s="25"/>
      <c r="O865" s="25"/>
    </row>
    <row r="866" spans="1:15" x14ac:dyDescent="0.25">
      <c r="A866" s="77">
        <v>46083</v>
      </c>
      <c r="B866" s="25" t="s">
        <v>575</v>
      </c>
      <c r="C866" s="25" t="str">
        <f>VLOOKUP(B866,'[1]Migrasi Bed'!$B$4:$E$521,4,0)</f>
        <v>BJ.I017</v>
      </c>
      <c r="D866" s="77">
        <f t="shared" si="348"/>
        <v>46106</v>
      </c>
      <c r="E866" s="77">
        <f t="shared" si="349"/>
        <v>46090</v>
      </c>
      <c r="F866" s="77">
        <f t="shared" si="350"/>
        <v>46097</v>
      </c>
      <c r="G866" s="77">
        <f t="shared" si="351"/>
        <v>46103</v>
      </c>
      <c r="H866" s="77">
        <f t="shared" si="352"/>
        <v>46091</v>
      </c>
      <c r="I866" s="77">
        <f t="shared" si="353"/>
        <v>46098</v>
      </c>
      <c r="J866" s="25"/>
      <c r="K866" s="25"/>
      <c r="L866" s="25"/>
      <c r="M866" s="25"/>
      <c r="N866" s="25"/>
      <c r="O866" s="25"/>
    </row>
    <row r="867" spans="1:15" x14ac:dyDescent="0.25">
      <c r="A867" s="77">
        <v>46083</v>
      </c>
      <c r="B867" s="25" t="s">
        <v>576</v>
      </c>
      <c r="C867" s="25" t="str">
        <f>VLOOKUP(B867,'[1]Migrasi Bed'!$B$4:$E$521,4,0)</f>
        <v>BJ.I018</v>
      </c>
      <c r="D867" s="77">
        <f t="shared" si="348"/>
        <v>46106</v>
      </c>
      <c r="E867" s="77">
        <f t="shared" si="349"/>
        <v>46090</v>
      </c>
      <c r="F867" s="77">
        <f t="shared" si="350"/>
        <v>46097</v>
      </c>
      <c r="G867" s="77">
        <f t="shared" si="351"/>
        <v>46103</v>
      </c>
      <c r="H867" s="77">
        <f t="shared" si="352"/>
        <v>46091</v>
      </c>
      <c r="I867" s="77">
        <f t="shared" si="353"/>
        <v>46098</v>
      </c>
      <c r="J867" s="25"/>
      <c r="K867" s="25"/>
      <c r="L867" s="25"/>
      <c r="M867" s="25"/>
      <c r="N867" s="25"/>
      <c r="O867" s="25"/>
    </row>
    <row r="868" spans="1:15" x14ac:dyDescent="0.25">
      <c r="A868" s="77">
        <v>46083</v>
      </c>
      <c r="B868" s="25" t="s">
        <v>577</v>
      </c>
      <c r="C868" s="25" t="str">
        <f>VLOOKUP(B868,'[1]Migrasi Bed'!$B$4:$E$521,4,0)</f>
        <v>BJ.I019</v>
      </c>
      <c r="D868" s="77">
        <f t="shared" si="348"/>
        <v>46106</v>
      </c>
      <c r="E868" s="77">
        <f t="shared" si="349"/>
        <v>46090</v>
      </c>
      <c r="F868" s="77">
        <f t="shared" si="350"/>
        <v>46097</v>
      </c>
      <c r="G868" s="77">
        <f t="shared" si="351"/>
        <v>46103</v>
      </c>
      <c r="H868" s="77">
        <f t="shared" si="352"/>
        <v>46091</v>
      </c>
      <c r="I868" s="77">
        <f t="shared" si="353"/>
        <v>46098</v>
      </c>
      <c r="J868" s="25"/>
      <c r="K868" s="25"/>
      <c r="L868" s="25"/>
      <c r="M868" s="25"/>
      <c r="N868" s="25"/>
      <c r="O868" s="25"/>
    </row>
    <row r="869" spans="1:15" x14ac:dyDescent="0.25">
      <c r="A869" s="77">
        <v>46083</v>
      </c>
      <c r="B869" s="25" t="s">
        <v>578</v>
      </c>
      <c r="C869" s="25" t="str">
        <f>VLOOKUP(B869,'[1]Migrasi Bed'!$B$4:$E$521,4,0)</f>
        <v>BJ.I020</v>
      </c>
      <c r="D869" s="77">
        <f t="shared" si="348"/>
        <v>46106</v>
      </c>
      <c r="E869" s="77">
        <f t="shared" si="349"/>
        <v>46090</v>
      </c>
      <c r="F869" s="77">
        <f t="shared" si="350"/>
        <v>46097</v>
      </c>
      <c r="G869" s="77">
        <f t="shared" si="351"/>
        <v>46103</v>
      </c>
      <c r="H869" s="77">
        <f t="shared" si="352"/>
        <v>46091</v>
      </c>
      <c r="I869" s="77">
        <f t="shared" si="353"/>
        <v>46098</v>
      </c>
      <c r="J869" s="25"/>
      <c r="K869" s="25"/>
      <c r="L869" s="25"/>
      <c r="M869" s="25"/>
      <c r="N869" s="25"/>
      <c r="O869" s="25"/>
    </row>
    <row r="870" spans="1:15" x14ac:dyDescent="0.25">
      <c r="A870" s="77">
        <v>46083</v>
      </c>
      <c r="B870" s="25" t="s">
        <v>1144</v>
      </c>
      <c r="C870" s="25" t="str">
        <f>VLOOKUP(B870,'[1]Migrasi Bed'!$B$4:$E$521,4,0)</f>
        <v>BJ.J001</v>
      </c>
      <c r="D870" s="77">
        <f t="shared" si="348"/>
        <v>46106</v>
      </c>
      <c r="E870" s="77">
        <f t="shared" si="349"/>
        <v>46090</v>
      </c>
      <c r="F870" s="77">
        <f t="shared" si="350"/>
        <v>46097</v>
      </c>
      <c r="G870" s="77">
        <f t="shared" si="351"/>
        <v>46103</v>
      </c>
      <c r="H870" s="77">
        <f t="shared" si="352"/>
        <v>46091</v>
      </c>
      <c r="I870" s="77">
        <f t="shared" si="353"/>
        <v>46098</v>
      </c>
      <c r="J870" s="25"/>
      <c r="K870" s="25"/>
      <c r="L870" s="25"/>
      <c r="M870" s="25"/>
      <c r="N870" s="25"/>
      <c r="O870" s="25"/>
    </row>
    <row r="871" spans="1:15" x14ac:dyDescent="0.25">
      <c r="A871" s="77">
        <v>46084</v>
      </c>
      <c r="B871" s="25" t="s">
        <v>421</v>
      </c>
      <c r="C871" s="25" t="str">
        <f>VLOOKUP(B871,'[1]Migrasi Bed'!$B$4:$E$521,4,0)</f>
        <v>SV.A010</v>
      </c>
      <c r="D871" s="77">
        <f t="shared" si="348"/>
        <v>46107</v>
      </c>
      <c r="E871" s="77">
        <f t="shared" si="349"/>
        <v>46091</v>
      </c>
      <c r="F871" s="77">
        <f t="shared" si="350"/>
        <v>46098</v>
      </c>
      <c r="G871" s="77">
        <f t="shared" si="351"/>
        <v>46104</v>
      </c>
      <c r="H871" s="77">
        <f t="shared" si="352"/>
        <v>46092</v>
      </c>
      <c r="I871" s="77">
        <f t="shared" si="353"/>
        <v>46099</v>
      </c>
      <c r="J871" s="25"/>
      <c r="K871" s="25"/>
      <c r="L871" s="25"/>
      <c r="M871" s="25"/>
      <c r="N871" s="25"/>
      <c r="O871" s="25"/>
    </row>
    <row r="872" spans="1:15" x14ac:dyDescent="0.25">
      <c r="A872" s="77">
        <v>46084</v>
      </c>
      <c r="B872" s="25" t="s">
        <v>422</v>
      </c>
      <c r="C872" s="25" t="str">
        <f>VLOOKUP(B872,'[1]Migrasi Bed'!$B$4:$E$521,4,0)</f>
        <v>SV.A011</v>
      </c>
      <c r="D872" s="77">
        <f t="shared" si="348"/>
        <v>46107</v>
      </c>
      <c r="E872" s="77">
        <f t="shared" si="349"/>
        <v>46091</v>
      </c>
      <c r="F872" s="77">
        <f t="shared" si="350"/>
        <v>46098</v>
      </c>
      <c r="G872" s="77">
        <f t="shared" si="351"/>
        <v>46104</v>
      </c>
      <c r="H872" s="77">
        <f t="shared" si="352"/>
        <v>46092</v>
      </c>
      <c r="I872" s="77">
        <f t="shared" si="353"/>
        <v>46099</v>
      </c>
      <c r="J872" s="25"/>
      <c r="K872" s="25"/>
      <c r="L872" s="25"/>
      <c r="M872" s="25"/>
      <c r="N872" s="25"/>
      <c r="O872" s="25"/>
    </row>
    <row r="873" spans="1:15" x14ac:dyDescent="0.25">
      <c r="A873" s="77">
        <v>46084</v>
      </c>
      <c r="B873" s="25" t="s">
        <v>423</v>
      </c>
      <c r="C873" s="25" t="str">
        <f>VLOOKUP(B873,'[1]Migrasi Bed'!$B$4:$E$521,4,0)</f>
        <v>SV.A012</v>
      </c>
      <c r="D873" s="77">
        <f t="shared" si="348"/>
        <v>46107</v>
      </c>
      <c r="E873" s="77">
        <f t="shared" si="349"/>
        <v>46091</v>
      </c>
      <c r="F873" s="77">
        <f t="shared" si="350"/>
        <v>46098</v>
      </c>
      <c r="G873" s="77">
        <f t="shared" si="351"/>
        <v>46104</v>
      </c>
      <c r="H873" s="77">
        <f t="shared" si="352"/>
        <v>46092</v>
      </c>
      <c r="I873" s="77">
        <f t="shared" si="353"/>
        <v>46099</v>
      </c>
      <c r="J873" s="25"/>
      <c r="K873" s="25"/>
      <c r="L873" s="25"/>
      <c r="M873" s="25"/>
      <c r="N873" s="25"/>
      <c r="O873" s="25"/>
    </row>
    <row r="874" spans="1:15" x14ac:dyDescent="0.25">
      <c r="A874" s="77">
        <v>46084</v>
      </c>
      <c r="B874" s="25" t="s">
        <v>424</v>
      </c>
      <c r="C874" s="25" t="str">
        <f>VLOOKUP(B874,'[1]Migrasi Bed'!$B$4:$E$521,4,0)</f>
        <v>SV.A013</v>
      </c>
      <c r="D874" s="77">
        <f t="shared" si="348"/>
        <v>46107</v>
      </c>
      <c r="E874" s="77">
        <f t="shared" si="349"/>
        <v>46091</v>
      </c>
      <c r="F874" s="77">
        <f t="shared" si="350"/>
        <v>46098</v>
      </c>
      <c r="G874" s="77">
        <f t="shared" si="351"/>
        <v>46104</v>
      </c>
      <c r="H874" s="77">
        <f t="shared" si="352"/>
        <v>46092</v>
      </c>
      <c r="I874" s="77">
        <f t="shared" si="353"/>
        <v>46099</v>
      </c>
      <c r="J874" s="25"/>
      <c r="K874" s="25"/>
      <c r="L874" s="25"/>
      <c r="M874" s="25"/>
      <c r="N874" s="25"/>
      <c r="O874" s="25"/>
    </row>
    <row r="875" spans="1:15" x14ac:dyDescent="0.25">
      <c r="A875" s="77">
        <v>46084</v>
      </c>
      <c r="B875" s="25" t="s">
        <v>425</v>
      </c>
      <c r="C875" s="25" t="str">
        <f>VLOOKUP(B875,'[1]Migrasi Bed'!$B$4:$E$521,4,0)</f>
        <v>SV.A014</v>
      </c>
      <c r="D875" s="77">
        <f t="shared" si="348"/>
        <v>46107</v>
      </c>
      <c r="E875" s="77">
        <f t="shared" si="349"/>
        <v>46091</v>
      </c>
      <c r="F875" s="77">
        <f t="shared" si="350"/>
        <v>46098</v>
      </c>
      <c r="G875" s="77">
        <f t="shared" si="351"/>
        <v>46104</v>
      </c>
      <c r="H875" s="77">
        <f t="shared" si="352"/>
        <v>46092</v>
      </c>
      <c r="I875" s="77">
        <f t="shared" si="353"/>
        <v>46099</v>
      </c>
      <c r="J875" s="25"/>
      <c r="K875" s="25"/>
      <c r="L875" s="25"/>
      <c r="M875" s="25"/>
      <c r="N875" s="25"/>
      <c r="O875" s="25"/>
    </row>
    <row r="876" spans="1:15" x14ac:dyDescent="0.25">
      <c r="A876" s="77">
        <v>46084</v>
      </c>
      <c r="B876" s="25" t="s">
        <v>426</v>
      </c>
      <c r="C876" s="25" t="str">
        <f>VLOOKUP(B876,'[1]Migrasi Bed'!$B$4:$E$521,4,0)</f>
        <v>SV.A015</v>
      </c>
      <c r="D876" s="77">
        <f t="shared" si="348"/>
        <v>46107</v>
      </c>
      <c r="E876" s="77">
        <f t="shared" si="349"/>
        <v>46091</v>
      </c>
      <c r="F876" s="77">
        <f t="shared" si="350"/>
        <v>46098</v>
      </c>
      <c r="G876" s="77">
        <f t="shared" si="351"/>
        <v>46104</v>
      </c>
      <c r="H876" s="77">
        <f t="shared" si="352"/>
        <v>46092</v>
      </c>
      <c r="I876" s="77">
        <f t="shared" si="353"/>
        <v>46099</v>
      </c>
      <c r="J876" s="25"/>
      <c r="K876" s="25"/>
      <c r="L876" s="25"/>
      <c r="M876" s="25"/>
      <c r="N876" s="25"/>
      <c r="O876" s="25"/>
    </row>
    <row r="877" spans="1:15" x14ac:dyDescent="0.25">
      <c r="A877" s="77">
        <v>46084</v>
      </c>
      <c r="B877" s="25" t="s">
        <v>427</v>
      </c>
      <c r="C877" s="25" t="str">
        <f>VLOOKUP(B877,'[1]Migrasi Bed'!$B$4:$E$521,4,0)</f>
        <v>SV.A016</v>
      </c>
      <c r="D877" s="77">
        <f t="shared" si="348"/>
        <v>46107</v>
      </c>
      <c r="E877" s="77">
        <f t="shared" si="349"/>
        <v>46091</v>
      </c>
      <c r="F877" s="77">
        <f t="shared" si="350"/>
        <v>46098</v>
      </c>
      <c r="G877" s="77">
        <f t="shared" si="351"/>
        <v>46104</v>
      </c>
      <c r="H877" s="77">
        <f t="shared" si="352"/>
        <v>46092</v>
      </c>
      <c r="I877" s="77">
        <f t="shared" si="353"/>
        <v>46099</v>
      </c>
      <c r="J877" s="25"/>
      <c r="K877" s="25"/>
      <c r="L877" s="25"/>
      <c r="M877" s="25"/>
      <c r="N877" s="25"/>
      <c r="O877" s="25"/>
    </row>
    <row r="878" spans="1:15" x14ac:dyDescent="0.25">
      <c r="A878" s="77">
        <v>46085</v>
      </c>
      <c r="B878" s="25" t="s">
        <v>451</v>
      </c>
      <c r="C878" s="25" t="str">
        <f>VLOOKUP(B878,'[1]Migrasi Bed'!$B$4:$E$521,4,0)</f>
        <v>SV.B010</v>
      </c>
      <c r="D878" s="77">
        <f t="shared" si="348"/>
        <v>46108</v>
      </c>
      <c r="E878" s="77">
        <f t="shared" si="349"/>
        <v>46092</v>
      </c>
      <c r="F878" s="77">
        <f t="shared" si="350"/>
        <v>46099</v>
      </c>
      <c r="G878" s="77">
        <f t="shared" si="351"/>
        <v>46105</v>
      </c>
      <c r="H878" s="77">
        <f t="shared" si="352"/>
        <v>46093</v>
      </c>
      <c r="I878" s="77">
        <f t="shared" si="353"/>
        <v>46100</v>
      </c>
      <c r="J878" s="25"/>
      <c r="K878" s="25"/>
      <c r="L878" s="25"/>
      <c r="M878" s="25"/>
      <c r="N878" s="25"/>
      <c r="O878" s="25"/>
    </row>
    <row r="879" spans="1:15" x14ac:dyDescent="0.25">
      <c r="A879" s="77">
        <v>46085</v>
      </c>
      <c r="B879" s="25" t="s">
        <v>452</v>
      </c>
      <c r="C879" s="25" t="str">
        <f>VLOOKUP(B879,'[1]Migrasi Bed'!$B$4:$E$521,4,0)</f>
        <v>SV.B011</v>
      </c>
      <c r="D879" s="77">
        <f t="shared" si="348"/>
        <v>46108</v>
      </c>
      <c r="E879" s="77">
        <f t="shared" si="349"/>
        <v>46092</v>
      </c>
      <c r="F879" s="77">
        <f t="shared" si="350"/>
        <v>46099</v>
      </c>
      <c r="G879" s="77">
        <f t="shared" si="351"/>
        <v>46105</v>
      </c>
      <c r="H879" s="77">
        <f t="shared" si="352"/>
        <v>46093</v>
      </c>
      <c r="I879" s="77">
        <f t="shared" si="353"/>
        <v>46100</v>
      </c>
      <c r="J879" s="25"/>
      <c r="K879" s="25"/>
      <c r="L879" s="25"/>
      <c r="M879" s="25"/>
      <c r="N879" s="25"/>
      <c r="O879" s="25"/>
    </row>
    <row r="880" spans="1:15" x14ac:dyDescent="0.25">
      <c r="A880" s="77">
        <v>46085</v>
      </c>
      <c r="B880" s="25" t="s">
        <v>453</v>
      </c>
      <c r="C880" s="25" t="str">
        <f>VLOOKUP(B880,'[1]Migrasi Bed'!$B$4:$E$521,4,0)</f>
        <v>SV.B012</v>
      </c>
      <c r="D880" s="77">
        <f t="shared" si="348"/>
        <v>46108</v>
      </c>
      <c r="E880" s="77">
        <f t="shared" si="349"/>
        <v>46092</v>
      </c>
      <c r="F880" s="77">
        <f t="shared" si="350"/>
        <v>46099</v>
      </c>
      <c r="G880" s="77">
        <f t="shared" si="351"/>
        <v>46105</v>
      </c>
      <c r="H880" s="77">
        <f t="shared" si="352"/>
        <v>46093</v>
      </c>
      <c r="I880" s="77">
        <f t="shared" si="353"/>
        <v>46100</v>
      </c>
      <c r="J880" s="25"/>
      <c r="K880" s="25"/>
      <c r="L880" s="25"/>
      <c r="M880" s="25"/>
      <c r="N880" s="25"/>
      <c r="O880" s="25"/>
    </row>
    <row r="881" spans="1:15" x14ac:dyDescent="0.25">
      <c r="A881" s="77">
        <v>46085</v>
      </c>
      <c r="B881" s="25" t="s">
        <v>454</v>
      </c>
      <c r="C881" s="25" t="str">
        <f>VLOOKUP(B881,'[1]Migrasi Bed'!$B$4:$E$521,4,0)</f>
        <v>SV.B013</v>
      </c>
      <c r="D881" s="77">
        <f t="shared" si="348"/>
        <v>46108</v>
      </c>
      <c r="E881" s="77">
        <f t="shared" si="349"/>
        <v>46092</v>
      </c>
      <c r="F881" s="77">
        <f t="shared" si="350"/>
        <v>46099</v>
      </c>
      <c r="G881" s="77">
        <f t="shared" si="351"/>
        <v>46105</v>
      </c>
      <c r="H881" s="77">
        <f t="shared" si="352"/>
        <v>46093</v>
      </c>
      <c r="I881" s="77">
        <f t="shared" si="353"/>
        <v>46100</v>
      </c>
      <c r="J881" s="25"/>
      <c r="K881" s="25"/>
      <c r="L881" s="25"/>
      <c r="M881" s="25"/>
      <c r="N881" s="25"/>
      <c r="O881" s="25"/>
    </row>
    <row r="882" spans="1:15" x14ac:dyDescent="0.25">
      <c r="A882" s="77">
        <v>46085</v>
      </c>
      <c r="B882" s="25" t="s">
        <v>455</v>
      </c>
      <c r="C882" s="25" t="str">
        <f>VLOOKUP(B882,'[1]Migrasi Bed'!$B$4:$E$521,4,0)</f>
        <v>SV.B014</v>
      </c>
      <c r="D882" s="77">
        <f t="shared" si="348"/>
        <v>46108</v>
      </c>
      <c r="E882" s="77">
        <f t="shared" si="349"/>
        <v>46092</v>
      </c>
      <c r="F882" s="77">
        <f t="shared" si="350"/>
        <v>46099</v>
      </c>
      <c r="G882" s="77">
        <f t="shared" si="351"/>
        <v>46105</v>
      </c>
      <c r="H882" s="77">
        <f t="shared" si="352"/>
        <v>46093</v>
      </c>
      <c r="I882" s="77">
        <f t="shared" si="353"/>
        <v>46100</v>
      </c>
      <c r="J882" s="25"/>
      <c r="K882" s="25"/>
      <c r="L882" s="25"/>
      <c r="M882" s="25"/>
      <c r="N882" s="25"/>
      <c r="O882" s="25"/>
    </row>
    <row r="883" spans="1:15" x14ac:dyDescent="0.25">
      <c r="A883" s="77">
        <v>46085</v>
      </c>
      <c r="B883" s="25" t="s">
        <v>456</v>
      </c>
      <c r="C883" s="25" t="str">
        <f>VLOOKUP(B883,'[1]Migrasi Bed'!$B$4:$E$521,4,0)</f>
        <v>SV.B015</v>
      </c>
      <c r="D883" s="77">
        <f t="shared" si="348"/>
        <v>46108</v>
      </c>
      <c r="E883" s="77">
        <f t="shared" si="349"/>
        <v>46092</v>
      </c>
      <c r="F883" s="77">
        <f t="shared" si="350"/>
        <v>46099</v>
      </c>
      <c r="G883" s="77">
        <f t="shared" si="351"/>
        <v>46105</v>
      </c>
      <c r="H883" s="77">
        <f t="shared" si="352"/>
        <v>46093</v>
      </c>
      <c r="I883" s="77">
        <f t="shared" si="353"/>
        <v>46100</v>
      </c>
      <c r="J883" s="25"/>
      <c r="K883" s="25"/>
      <c r="L883" s="25"/>
      <c r="M883" s="25"/>
      <c r="N883" s="25"/>
      <c r="O883" s="25"/>
    </row>
    <row r="884" spans="1:15" x14ac:dyDescent="0.25">
      <c r="A884" s="77">
        <v>46085</v>
      </c>
      <c r="B884" s="25" t="s">
        <v>457</v>
      </c>
      <c r="C884" s="25" t="str">
        <f>VLOOKUP(B884,'[1]Migrasi Bed'!$B$4:$E$521,4,0)</f>
        <v>SV.B016</v>
      </c>
      <c r="D884" s="77">
        <f t="shared" si="348"/>
        <v>46108</v>
      </c>
      <c r="E884" s="77">
        <f t="shared" si="349"/>
        <v>46092</v>
      </c>
      <c r="F884" s="77">
        <f t="shared" si="350"/>
        <v>46099</v>
      </c>
      <c r="G884" s="77">
        <f t="shared" si="351"/>
        <v>46105</v>
      </c>
      <c r="H884" s="77">
        <f t="shared" si="352"/>
        <v>46093</v>
      </c>
      <c r="I884" s="77">
        <f t="shared" si="353"/>
        <v>46100</v>
      </c>
      <c r="J884" s="25"/>
      <c r="K884" s="25"/>
      <c r="L884" s="25"/>
      <c r="M884" s="25"/>
      <c r="N884" s="25"/>
      <c r="O884" s="25"/>
    </row>
    <row r="885" spans="1:15" x14ac:dyDescent="0.25">
      <c r="A885" s="77">
        <v>46086</v>
      </c>
      <c r="B885" s="25" t="s">
        <v>414</v>
      </c>
      <c r="C885" s="25" t="str">
        <f>VLOOKUP(B885,'[1]Migrasi Bed'!$B$4:$E$521,4,0)</f>
        <v>SV.A003</v>
      </c>
      <c r="D885" s="77">
        <f t="shared" ref="D885" si="354">A885+23</f>
        <v>46109</v>
      </c>
      <c r="E885" s="77">
        <f t="shared" ref="E885" si="355">A885+7</f>
        <v>46093</v>
      </c>
      <c r="F885" s="77">
        <f t="shared" ref="F885" si="356">A885+14</f>
        <v>46100</v>
      </c>
      <c r="G885" s="77">
        <f t="shared" ref="G885" si="357">A885+20</f>
        <v>46106</v>
      </c>
      <c r="H885" s="77">
        <f t="shared" ref="H885" si="358">A885+8</f>
        <v>46094</v>
      </c>
      <c r="I885" s="77">
        <f t="shared" ref="I885" si="359">A885+15</f>
        <v>46101</v>
      </c>
      <c r="J885" s="25"/>
      <c r="K885" s="25"/>
      <c r="L885" s="25"/>
      <c r="M885" s="25"/>
      <c r="N885" s="25"/>
      <c r="O885" s="25"/>
    </row>
    <row r="886" spans="1:15" x14ac:dyDescent="0.25">
      <c r="A886" s="77">
        <v>46086</v>
      </c>
      <c r="B886" s="25" t="s">
        <v>415</v>
      </c>
      <c r="C886" s="25" t="str">
        <f>VLOOKUP(B886,'[1]Migrasi Bed'!$B$4:$E$521,4,0)</f>
        <v>SV.A004</v>
      </c>
      <c r="D886" s="77">
        <f t="shared" ref="D886:D891" si="360">A886+23</f>
        <v>46109</v>
      </c>
      <c r="E886" s="77">
        <f t="shared" ref="E886:E891" si="361">A886+7</f>
        <v>46093</v>
      </c>
      <c r="F886" s="77">
        <f t="shared" ref="F886:F891" si="362">A886+14</f>
        <v>46100</v>
      </c>
      <c r="G886" s="77">
        <f t="shared" ref="G886:G891" si="363">A886+20</f>
        <v>46106</v>
      </c>
      <c r="H886" s="77">
        <f t="shared" ref="H886:H891" si="364">A886+8</f>
        <v>46094</v>
      </c>
      <c r="I886" s="77">
        <f t="shared" ref="I886:I891" si="365">A886+15</f>
        <v>46101</v>
      </c>
      <c r="J886" s="25"/>
      <c r="K886" s="25"/>
      <c r="L886" s="25"/>
      <c r="M886" s="25"/>
      <c r="N886" s="25"/>
      <c r="O886" s="25"/>
    </row>
    <row r="887" spans="1:15" x14ac:dyDescent="0.25">
      <c r="A887" s="77">
        <v>46086</v>
      </c>
      <c r="B887" s="25" t="s">
        <v>416</v>
      </c>
      <c r="C887" s="25" t="str">
        <f>VLOOKUP(B887,'[1]Migrasi Bed'!$B$4:$E$521,4,0)</f>
        <v>SV.A005</v>
      </c>
      <c r="D887" s="77">
        <f t="shared" si="360"/>
        <v>46109</v>
      </c>
      <c r="E887" s="77">
        <f t="shared" si="361"/>
        <v>46093</v>
      </c>
      <c r="F887" s="77">
        <f t="shared" si="362"/>
        <v>46100</v>
      </c>
      <c r="G887" s="77">
        <f t="shared" si="363"/>
        <v>46106</v>
      </c>
      <c r="H887" s="77">
        <f t="shared" si="364"/>
        <v>46094</v>
      </c>
      <c r="I887" s="77">
        <f t="shared" si="365"/>
        <v>46101</v>
      </c>
      <c r="J887" s="25"/>
      <c r="K887" s="25"/>
      <c r="L887" s="25"/>
      <c r="M887" s="25"/>
      <c r="N887" s="25"/>
      <c r="O887" s="25"/>
    </row>
    <row r="888" spans="1:15" x14ac:dyDescent="0.25">
      <c r="A888" s="77">
        <v>46086</v>
      </c>
      <c r="B888" s="25" t="s">
        <v>417</v>
      </c>
      <c r="C888" s="25" t="str">
        <f>VLOOKUP(B888,'[1]Migrasi Bed'!$B$4:$E$521,4,0)</f>
        <v>SV.A006</v>
      </c>
      <c r="D888" s="77">
        <f t="shared" si="360"/>
        <v>46109</v>
      </c>
      <c r="E888" s="77">
        <f t="shared" si="361"/>
        <v>46093</v>
      </c>
      <c r="F888" s="77">
        <f t="shared" si="362"/>
        <v>46100</v>
      </c>
      <c r="G888" s="77">
        <f t="shared" si="363"/>
        <v>46106</v>
      </c>
      <c r="H888" s="77">
        <f t="shared" si="364"/>
        <v>46094</v>
      </c>
      <c r="I888" s="77">
        <f t="shared" si="365"/>
        <v>46101</v>
      </c>
      <c r="J888" s="25"/>
      <c r="K888" s="25"/>
      <c r="L888" s="25"/>
      <c r="M888" s="25"/>
      <c r="N888" s="25"/>
      <c r="O888" s="25"/>
    </row>
    <row r="889" spans="1:15" x14ac:dyDescent="0.25">
      <c r="A889" s="77">
        <v>46086</v>
      </c>
      <c r="B889" s="25" t="s">
        <v>418</v>
      </c>
      <c r="C889" s="25" t="str">
        <f>VLOOKUP(B889,'[1]Migrasi Bed'!$B$4:$E$521,4,0)</f>
        <v>SV.A007</v>
      </c>
      <c r="D889" s="77">
        <f t="shared" si="360"/>
        <v>46109</v>
      </c>
      <c r="E889" s="77">
        <f t="shared" si="361"/>
        <v>46093</v>
      </c>
      <c r="F889" s="77">
        <f t="shared" si="362"/>
        <v>46100</v>
      </c>
      <c r="G889" s="77">
        <f t="shared" si="363"/>
        <v>46106</v>
      </c>
      <c r="H889" s="77">
        <f t="shared" si="364"/>
        <v>46094</v>
      </c>
      <c r="I889" s="77">
        <f t="shared" si="365"/>
        <v>46101</v>
      </c>
      <c r="J889" s="25"/>
      <c r="K889" s="25"/>
      <c r="L889" s="25"/>
      <c r="M889" s="25"/>
      <c r="N889" s="25"/>
      <c r="O889" s="25"/>
    </row>
    <row r="890" spans="1:15" x14ac:dyDescent="0.25">
      <c r="A890" s="77">
        <v>46086</v>
      </c>
      <c r="B890" s="25" t="s">
        <v>419</v>
      </c>
      <c r="C890" s="25" t="str">
        <f>VLOOKUP(B890,'[1]Migrasi Bed'!$B$4:$E$521,4,0)</f>
        <v>SV.A008</v>
      </c>
      <c r="D890" s="77">
        <f t="shared" si="360"/>
        <v>46109</v>
      </c>
      <c r="E890" s="77">
        <f t="shared" si="361"/>
        <v>46093</v>
      </c>
      <c r="F890" s="77">
        <f t="shared" si="362"/>
        <v>46100</v>
      </c>
      <c r="G890" s="77">
        <f t="shared" si="363"/>
        <v>46106</v>
      </c>
      <c r="H890" s="77">
        <f t="shared" si="364"/>
        <v>46094</v>
      </c>
      <c r="I890" s="77">
        <f t="shared" si="365"/>
        <v>46101</v>
      </c>
      <c r="J890" s="25"/>
      <c r="K890" s="25"/>
      <c r="L890" s="25"/>
      <c r="M890" s="25"/>
      <c r="N890" s="25"/>
      <c r="O890" s="25"/>
    </row>
    <row r="891" spans="1:15" x14ac:dyDescent="0.25">
      <c r="A891" s="77">
        <v>46086</v>
      </c>
      <c r="B891" s="25" t="s">
        <v>420</v>
      </c>
      <c r="C891" s="25" t="str">
        <f>VLOOKUP(B891,'[1]Migrasi Bed'!$B$4:$E$521,4,0)</f>
        <v>SV.A009</v>
      </c>
      <c r="D891" s="77">
        <f t="shared" si="360"/>
        <v>46109</v>
      </c>
      <c r="E891" s="77">
        <f t="shared" si="361"/>
        <v>46093</v>
      </c>
      <c r="F891" s="77">
        <f t="shared" si="362"/>
        <v>46100</v>
      </c>
      <c r="G891" s="77">
        <f t="shared" si="363"/>
        <v>46106</v>
      </c>
      <c r="H891" s="77">
        <f t="shared" si="364"/>
        <v>46094</v>
      </c>
      <c r="I891" s="77">
        <f t="shared" si="365"/>
        <v>46101</v>
      </c>
      <c r="J891" s="25"/>
      <c r="K891" s="25"/>
      <c r="L891" s="25"/>
      <c r="M891" s="25"/>
      <c r="N891" s="25"/>
      <c r="O891" s="25"/>
    </row>
    <row r="892" spans="1:15" x14ac:dyDescent="0.25">
      <c r="A892" s="77">
        <v>46087</v>
      </c>
      <c r="B892" s="25" t="s">
        <v>444</v>
      </c>
      <c r="C892" s="25" t="str">
        <f>VLOOKUP(B892,'[1]Migrasi Bed'!$B$4:$E$521,4,0)</f>
        <v>SV.B003</v>
      </c>
      <c r="D892" s="77">
        <f t="shared" ref="D892" si="366">A892+23</f>
        <v>46110</v>
      </c>
      <c r="E892" s="77">
        <f t="shared" ref="E892" si="367">A892+7</f>
        <v>46094</v>
      </c>
      <c r="F892" s="77">
        <f t="shared" ref="F892" si="368">A892+14</f>
        <v>46101</v>
      </c>
      <c r="G892" s="77">
        <f t="shared" ref="G892" si="369">A892+20</f>
        <v>46107</v>
      </c>
      <c r="H892" s="77">
        <f t="shared" ref="H892" si="370">A892+8</f>
        <v>46095</v>
      </c>
      <c r="I892" s="77">
        <f t="shared" ref="I892" si="371">A892+15</f>
        <v>46102</v>
      </c>
      <c r="J892" s="25"/>
      <c r="K892" s="25"/>
      <c r="L892" s="25"/>
      <c r="M892" s="25"/>
      <c r="N892" s="25"/>
      <c r="O892" s="25"/>
    </row>
    <row r="893" spans="1:15" x14ac:dyDescent="0.25">
      <c r="A893" s="77">
        <v>46087</v>
      </c>
      <c r="B893" s="25" t="s">
        <v>445</v>
      </c>
      <c r="C893" s="25" t="str">
        <f>VLOOKUP(B893,'[1]Migrasi Bed'!$B$4:$E$521,4,0)</f>
        <v>SV.B004</v>
      </c>
      <c r="D893" s="77">
        <f t="shared" ref="D893:D898" si="372">A893+23</f>
        <v>46110</v>
      </c>
      <c r="E893" s="77">
        <f t="shared" ref="E893:E898" si="373">A893+7</f>
        <v>46094</v>
      </c>
      <c r="F893" s="77">
        <f t="shared" ref="F893:F898" si="374">A893+14</f>
        <v>46101</v>
      </c>
      <c r="G893" s="77">
        <f t="shared" ref="G893:G898" si="375">A893+20</f>
        <v>46107</v>
      </c>
      <c r="H893" s="77">
        <f t="shared" ref="H893:H898" si="376">A893+8</f>
        <v>46095</v>
      </c>
      <c r="I893" s="77">
        <f t="shared" ref="I893:I898" si="377">A893+15</f>
        <v>46102</v>
      </c>
      <c r="J893" s="25"/>
      <c r="K893" s="25"/>
      <c r="L893" s="25"/>
      <c r="M893" s="25"/>
      <c r="N893" s="25"/>
      <c r="O893" s="25"/>
    </row>
    <row r="894" spans="1:15" x14ac:dyDescent="0.25">
      <c r="A894" s="77">
        <v>46087</v>
      </c>
      <c r="B894" s="25" t="s">
        <v>446</v>
      </c>
      <c r="C894" s="25" t="str">
        <f>VLOOKUP(B894,'[1]Migrasi Bed'!$B$4:$E$521,4,0)</f>
        <v>SV.B005</v>
      </c>
      <c r="D894" s="77">
        <f t="shared" si="372"/>
        <v>46110</v>
      </c>
      <c r="E894" s="77">
        <f t="shared" si="373"/>
        <v>46094</v>
      </c>
      <c r="F894" s="77">
        <f t="shared" si="374"/>
        <v>46101</v>
      </c>
      <c r="G894" s="77">
        <f t="shared" si="375"/>
        <v>46107</v>
      </c>
      <c r="H894" s="77">
        <f t="shared" si="376"/>
        <v>46095</v>
      </c>
      <c r="I894" s="77">
        <f t="shared" si="377"/>
        <v>46102</v>
      </c>
      <c r="J894" s="25"/>
      <c r="K894" s="25"/>
      <c r="L894" s="25"/>
      <c r="M894" s="25"/>
      <c r="N894" s="25"/>
      <c r="O894" s="25"/>
    </row>
    <row r="895" spans="1:15" x14ac:dyDescent="0.25">
      <c r="A895" s="77">
        <v>46087</v>
      </c>
      <c r="B895" s="25" t="s">
        <v>447</v>
      </c>
      <c r="C895" s="25" t="str">
        <f>VLOOKUP(B895,'[1]Migrasi Bed'!$B$4:$E$521,4,0)</f>
        <v>SV.B006</v>
      </c>
      <c r="D895" s="77">
        <f t="shared" si="372"/>
        <v>46110</v>
      </c>
      <c r="E895" s="77">
        <f t="shared" si="373"/>
        <v>46094</v>
      </c>
      <c r="F895" s="77">
        <f t="shared" si="374"/>
        <v>46101</v>
      </c>
      <c r="G895" s="77">
        <f t="shared" si="375"/>
        <v>46107</v>
      </c>
      <c r="H895" s="77">
        <f t="shared" si="376"/>
        <v>46095</v>
      </c>
      <c r="I895" s="77">
        <f t="shared" si="377"/>
        <v>46102</v>
      </c>
      <c r="J895" s="25"/>
      <c r="K895" s="25"/>
      <c r="L895" s="25"/>
      <c r="M895" s="25"/>
      <c r="N895" s="25"/>
      <c r="O895" s="25"/>
    </row>
    <row r="896" spans="1:15" x14ac:dyDescent="0.25">
      <c r="A896" s="77">
        <v>46087</v>
      </c>
      <c r="B896" s="25" t="s">
        <v>448</v>
      </c>
      <c r="C896" s="25" t="str">
        <f>VLOOKUP(B896,'[1]Migrasi Bed'!$B$4:$E$521,4,0)</f>
        <v>SV.B007</v>
      </c>
      <c r="D896" s="77">
        <f t="shared" si="372"/>
        <v>46110</v>
      </c>
      <c r="E896" s="77">
        <f t="shared" si="373"/>
        <v>46094</v>
      </c>
      <c r="F896" s="77">
        <f t="shared" si="374"/>
        <v>46101</v>
      </c>
      <c r="G896" s="77">
        <f t="shared" si="375"/>
        <v>46107</v>
      </c>
      <c r="H896" s="77">
        <f t="shared" si="376"/>
        <v>46095</v>
      </c>
      <c r="I896" s="77">
        <f t="shared" si="377"/>
        <v>46102</v>
      </c>
      <c r="J896" s="25"/>
      <c r="K896" s="25"/>
      <c r="L896" s="25"/>
      <c r="M896" s="25"/>
      <c r="N896" s="25"/>
      <c r="O896" s="25"/>
    </row>
    <row r="897" spans="1:15" x14ac:dyDescent="0.25">
      <c r="A897" s="77">
        <v>46087</v>
      </c>
      <c r="B897" s="25" t="s">
        <v>449</v>
      </c>
      <c r="C897" s="25" t="str">
        <f>VLOOKUP(B897,'[1]Migrasi Bed'!$B$4:$E$521,4,0)</f>
        <v>SV.B008</v>
      </c>
      <c r="D897" s="77">
        <f t="shared" si="372"/>
        <v>46110</v>
      </c>
      <c r="E897" s="77">
        <f t="shared" si="373"/>
        <v>46094</v>
      </c>
      <c r="F897" s="77">
        <f t="shared" si="374"/>
        <v>46101</v>
      </c>
      <c r="G897" s="77">
        <f t="shared" si="375"/>
        <v>46107</v>
      </c>
      <c r="H897" s="77">
        <f t="shared" si="376"/>
        <v>46095</v>
      </c>
      <c r="I897" s="77">
        <f t="shared" si="377"/>
        <v>46102</v>
      </c>
      <c r="J897" s="25"/>
      <c r="K897" s="25"/>
      <c r="L897" s="25"/>
      <c r="M897" s="25"/>
      <c r="N897" s="25"/>
      <c r="O897" s="25"/>
    </row>
    <row r="898" spans="1:15" x14ac:dyDescent="0.25">
      <c r="A898" s="77">
        <v>46087</v>
      </c>
      <c r="B898" s="25" t="s">
        <v>450</v>
      </c>
      <c r="C898" s="25" t="str">
        <f>VLOOKUP(B898,'[1]Migrasi Bed'!$B$4:$E$521,4,0)</f>
        <v>SV.B009</v>
      </c>
      <c r="D898" s="77">
        <f t="shared" si="372"/>
        <v>46110</v>
      </c>
      <c r="E898" s="77">
        <f t="shared" si="373"/>
        <v>46094</v>
      </c>
      <c r="F898" s="77">
        <f t="shared" si="374"/>
        <v>46101</v>
      </c>
      <c r="G898" s="77">
        <f t="shared" si="375"/>
        <v>46107</v>
      </c>
      <c r="H898" s="77">
        <f t="shared" si="376"/>
        <v>46095</v>
      </c>
      <c r="I898" s="77">
        <f t="shared" si="377"/>
        <v>46102</v>
      </c>
      <c r="J898" s="25"/>
      <c r="K898" s="25"/>
      <c r="L898" s="25"/>
      <c r="M898" s="25"/>
      <c r="N898" s="25"/>
      <c r="O898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579:B801 A802:A898">
    <cfRule type="expression" dxfId="27" priority="4">
      <formula>$L579&gt;0</formula>
    </cfRule>
  </conditionalFormatting>
  <conditionalFormatting sqref="A1:C169 D349:I369 D370:J370 D373:K373 A373:C376 D374:I376 K374:K376 A381:K414 A416:I422 A463:I463 D483:I483 A483:C578 A899:C1048576 A886:A898 C886:C898">
    <cfRule type="expression" dxfId="26" priority="54">
      <formula>$L1&gt;0</formula>
    </cfRule>
  </conditionalFormatting>
  <conditionalFormatting sqref="A189:C370">
    <cfRule type="expression" dxfId="25" priority="42">
      <formula>$L189&gt;0</formula>
    </cfRule>
  </conditionalFormatting>
  <conditionalFormatting sqref="A415:I415 A423:I429 B430:I430 A430:A434 A431:K434 A435:I437 A438:K462 A464:K482">
    <cfRule type="expression" dxfId="24" priority="8877">
      <formula>#REF!&gt;0</formula>
    </cfRule>
  </conditionalFormatting>
  <conditionalFormatting sqref="A371:K372 K372:K376 A377:K380">
    <cfRule type="expression" dxfId="23" priority="8875">
      <formula>#REF!&gt;0</formula>
    </cfRule>
  </conditionalFormatting>
  <conditionalFormatting sqref="B802:J802">
    <cfRule type="expression" dxfId="22" priority="3">
      <formula>$K802&gt;0</formula>
    </cfRule>
  </conditionalFormatting>
  <conditionalFormatting sqref="C579:I884 A803:B884 J803:J884 A885:J885 B886:B891 A892:J892 B893:B898 A885:A898 C885:J898">
    <cfRule type="expression" dxfId="21" priority="2">
      <formula>$K579&gt;0</formula>
    </cfRule>
  </conditionalFormatting>
  <conditionalFormatting sqref="D1:I169 A170:J188 D189:I348 D363:I578 D886:I1048576">
    <cfRule type="expression" dxfId="20" priority="57">
      <formula>$K1&gt;0</formula>
    </cfRule>
  </conditionalFormatting>
  <conditionalFormatting sqref="D484:K609">
    <cfRule type="expression" dxfId="19" priority="16">
      <formula>$L484&gt;0</formula>
    </cfRule>
  </conditionalFormatting>
  <conditionalFormatting sqref="J1:J247">
    <cfRule type="expression" dxfId="18" priority="46">
      <formula>$L1&gt;0</formula>
    </cfRule>
  </conditionalFormatting>
  <conditionalFormatting sqref="J248:J249">
    <cfRule type="expression" dxfId="17" priority="8840">
      <formula>$L247&gt;0</formula>
    </cfRule>
  </conditionalFormatting>
  <conditionalFormatting sqref="J250:J380">
    <cfRule type="expression" dxfId="16" priority="41">
      <formula>$L250&gt;0</formula>
    </cfRule>
  </conditionalFormatting>
  <conditionalFormatting sqref="J450:J578">
    <cfRule type="expression" dxfId="15" priority="17">
      <formula>$L450&gt;0</formula>
    </cfRule>
  </conditionalFormatting>
  <conditionalFormatting sqref="J610:J1048576">
    <cfRule type="expression" dxfId="0" priority="1">
      <formula>$L610&gt;0</formula>
    </cfRule>
  </conditionalFormatting>
  <conditionalFormatting sqref="J415:K450">
    <cfRule type="expression" dxfId="14" priority="34">
      <formula>$L415&gt;0</formula>
    </cfRule>
  </conditionalFormatting>
  <conditionalFormatting sqref="J456:K457">
    <cfRule type="expression" dxfId="13" priority="33">
      <formula>$L456&gt;0</formula>
    </cfRule>
  </conditionalFormatting>
  <conditionalFormatting sqref="J463:K463">
    <cfRule type="expression" dxfId="12" priority="22">
      <formula>#REF!&gt;0</formula>
    </cfRule>
  </conditionalFormatting>
  <conditionalFormatting sqref="J483:K489">
    <cfRule type="expression" dxfId="11" priority="21">
      <formula>#REF!&gt;0</formula>
    </cfRule>
  </conditionalFormatting>
  <conditionalFormatting sqref="J501:K501 J501:J504">
    <cfRule type="expression" dxfId="10" priority="20">
      <formula>#REF!&gt;0</formula>
    </cfRule>
  </conditionalFormatting>
  <conditionalFormatting sqref="K450:K456">
    <cfRule type="expression" dxfId="9" priority="36">
      <formula>$L450&gt;0</formula>
    </cfRule>
  </conditionalFormatting>
  <conditionalFormatting sqref="K458:K489">
    <cfRule type="expression" dxfId="8" priority="26">
      <formula>$L458&gt;0</formula>
    </cfRule>
  </conditionalFormatting>
  <conditionalFormatting sqref="K501">
    <cfRule type="expression" dxfId="7" priority="19">
      <formula>$L501&gt;0</formula>
    </cfRule>
  </conditionalFormatting>
  <conditionalFormatting sqref="K609:K628">
    <cfRule type="expression" dxfId="6" priority="5">
      <formula>$L609&gt;0</formula>
    </cfRule>
  </conditionalFormatting>
  <conditionalFormatting sqref="K636:K642">
    <cfRule type="expression" dxfId="5" priority="6">
      <formula>$L636&gt;0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4" priority="10">
      <formula>$K2&gt;0</formula>
    </cfRule>
  </conditionalFormatting>
  <conditionalFormatting sqref="C2:C111">
    <cfRule type="expression" dxfId="3" priority="4">
      <formula>$K2&gt;0</formula>
    </cfRule>
  </conditionalFormatting>
  <conditionalFormatting sqref="C115:C119">
    <cfRule type="expression" dxfId="2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1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2026-03-08T03:40:28Z</dcterms:modified>
</cp:coreProperties>
</file>