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6BE1FBA7-D8A1-4F6C-A99F-56BBE80BD10E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</sheets>
  <definedNames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3" l="1"/>
  <c r="M6" i="3"/>
  <c r="M5" i="3"/>
  <c r="M4" i="3"/>
  <c r="M3" i="3"/>
  <c r="M2" i="3"/>
  <c r="J8" i="3"/>
  <c r="J6" i="3"/>
  <c r="J5" i="3"/>
  <c r="J4" i="3"/>
  <c r="J3" i="3"/>
  <c r="J2" i="3"/>
  <c r="H222" i="3"/>
  <c r="G222" i="3"/>
  <c r="F222" i="3"/>
  <c r="E222" i="3"/>
  <c r="D222" i="3"/>
  <c r="C222" i="3"/>
  <c r="H221" i="3"/>
  <c r="G221" i="3"/>
  <c r="F221" i="3"/>
  <c r="E221" i="3"/>
  <c r="D221" i="3"/>
  <c r="C221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G33" i="1" a="1"/>
  <c r="G33" i="1" s="1"/>
  <c r="G34" i="1" a="1"/>
  <c r="G34" i="1" s="1"/>
  <c r="G35" i="1" a="1"/>
  <c r="G35" i="1" s="1"/>
  <c r="G25" i="1" a="1"/>
  <c r="G25" i="1"/>
  <c r="G26" i="1" a="1"/>
  <c r="G26" i="1" s="1"/>
  <c r="G27" i="1" a="1"/>
  <c r="G27" i="1" s="1"/>
  <c r="G232" i="1" a="1"/>
  <c r="G232" i="1" s="1"/>
  <c r="G233" i="1" a="1"/>
  <c r="G233" i="1" s="1"/>
  <c r="G234" i="1" a="1"/>
  <c r="G234" i="1" s="1"/>
  <c r="G28" i="1" a="1"/>
  <c r="G28" i="1" s="1"/>
  <c r="G29" i="1" a="1"/>
  <c r="G29" i="1" s="1"/>
  <c r="G30" i="1" a="1"/>
  <c r="G30" i="1" s="1"/>
  <c r="G31" i="1" a="1"/>
  <c r="G31" i="1" s="1"/>
  <c r="G225" i="1" a="1"/>
  <c r="G225" i="1" s="1"/>
  <c r="G226" i="1" a="1"/>
  <c r="G226" i="1" s="1"/>
  <c r="G227" i="1" a="1"/>
  <c r="G227" i="1"/>
  <c r="G228" i="1" a="1"/>
  <c r="G228" i="1" s="1"/>
  <c r="G229" i="1" a="1"/>
  <c r="G229" i="1" s="1"/>
  <c r="G230" i="1" a="1"/>
  <c r="G230" i="1" s="1"/>
  <c r="G231" i="1" a="1"/>
  <c r="G231" i="1" s="1"/>
  <c r="G218" i="1" a="1"/>
  <c r="G218" i="1" s="1"/>
  <c r="G219" i="1" a="1"/>
  <c r="G219" i="1"/>
  <c r="G220" i="1" a="1"/>
  <c r="G220" i="1" s="1"/>
  <c r="G221" i="1" a="1"/>
  <c r="G221" i="1" s="1"/>
  <c r="G222" i="1" a="1"/>
  <c r="G222" i="1" s="1"/>
  <c r="G223" i="1" a="1"/>
  <c r="G223" i="1"/>
  <c r="G224" i="1" a="1"/>
  <c r="G224" i="1"/>
  <c r="G211" i="1" a="1"/>
  <c r="G211" i="1" s="1"/>
  <c r="G212" i="1" a="1"/>
  <c r="G212" i="1" s="1"/>
  <c r="G213" i="1" a="1"/>
  <c r="G213" i="1"/>
  <c r="G214" i="1" a="1"/>
  <c r="G214" i="1"/>
  <c r="G215" i="1" a="1"/>
  <c r="G215" i="1"/>
  <c r="G216" i="1" a="1"/>
  <c r="G216" i="1" s="1"/>
  <c r="G217" i="1" a="1"/>
  <c r="G217" i="1" s="1"/>
  <c r="G204" i="1" a="1"/>
  <c r="G204" i="1" s="1"/>
  <c r="G205" i="1" a="1"/>
  <c r="G205" i="1"/>
  <c r="G206" i="1" a="1"/>
  <c r="G206" i="1" s="1"/>
  <c r="G207" i="1" a="1"/>
  <c r="G207" i="1" s="1"/>
  <c r="G208" i="1" a="1"/>
  <c r="G208" i="1" s="1"/>
  <c r="G209" i="1" a="1"/>
  <c r="G209" i="1" s="1"/>
  <c r="G210" i="1" a="1"/>
  <c r="G210" i="1" s="1"/>
  <c r="G197" i="1" a="1"/>
  <c r="G197" i="1" s="1"/>
  <c r="G198" i="1" a="1"/>
  <c r="G198" i="1" s="1"/>
  <c r="G199" i="1" a="1"/>
  <c r="G199" i="1"/>
  <c r="G200" i="1" a="1"/>
  <c r="G200" i="1" s="1"/>
  <c r="G201" i="1" a="1"/>
  <c r="G201" i="1" s="1"/>
  <c r="G202" i="1" a="1"/>
  <c r="G202" i="1" s="1"/>
  <c r="G203" i="1" a="1"/>
  <c r="G203" i="1"/>
  <c r="G190" i="1" a="1"/>
  <c r="G190" i="1" s="1"/>
  <c r="G191" i="1" a="1"/>
  <c r="G191" i="1" s="1"/>
  <c r="G192" i="1" a="1"/>
  <c r="G192" i="1" s="1"/>
  <c r="G193" i="1" a="1"/>
  <c r="G193" i="1" s="1"/>
  <c r="G194" i="1" a="1"/>
  <c r="G194" i="1" s="1"/>
  <c r="G195" i="1" a="1"/>
  <c r="G195" i="1"/>
  <c r="G196" i="1" a="1"/>
  <c r="G196" i="1"/>
  <c r="G183" i="1" a="1"/>
  <c r="G183" i="1" s="1"/>
  <c r="G184" i="1" a="1"/>
  <c r="G184" i="1" s="1"/>
  <c r="G185" i="1" a="1"/>
  <c r="G185" i="1" s="1"/>
  <c r="G186" i="1" a="1"/>
  <c r="G186" i="1"/>
  <c r="G187" i="1" a="1"/>
  <c r="G187" i="1" s="1"/>
  <c r="G188" i="1" a="1"/>
  <c r="G188" i="1" s="1"/>
  <c r="G189" i="1" a="1"/>
  <c r="G189" i="1" s="1"/>
  <c r="G176" i="1" a="1"/>
  <c r="G176" i="1" s="1"/>
  <c r="G177" i="1" a="1"/>
  <c r="G177" i="1"/>
  <c r="G178" i="1" a="1"/>
  <c r="G178" i="1" s="1"/>
  <c r="G179" i="1" a="1"/>
  <c r="G179" i="1"/>
  <c r="G180" i="1" a="1"/>
  <c r="G180" i="1"/>
  <c r="G181" i="1" a="1"/>
  <c r="G181" i="1" s="1"/>
  <c r="G182" i="1" a="1"/>
  <c r="G182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/>
  <c r="G175" i="1" a="1"/>
  <c r="G175" i="1"/>
  <c r="G162" i="1" a="1"/>
  <c r="G162" i="1" s="1"/>
  <c r="G163" i="1" a="1"/>
  <c r="G163" i="1"/>
  <c r="G164" i="1" a="1"/>
  <c r="G164" i="1" s="1"/>
  <c r="G165" i="1" a="1"/>
  <c r="G165" i="1" s="1"/>
  <c r="G166" i="1" a="1"/>
  <c r="G166" i="1" s="1"/>
  <c r="G167" i="1" a="1"/>
  <c r="G167" i="1"/>
  <c r="G168" i="1" a="1"/>
  <c r="G168" i="1" s="1"/>
  <c r="G155" i="1" a="1"/>
  <c r="G155" i="1"/>
  <c r="G156" i="1" a="1"/>
  <c r="G156" i="1" s="1"/>
  <c r="G157" i="1" a="1"/>
  <c r="G157" i="1"/>
  <c r="G158" i="1" a="1"/>
  <c r="G158" i="1"/>
  <c r="G159" i="1" a="1"/>
  <c r="G159" i="1" s="1"/>
  <c r="G160" i="1" a="1"/>
  <c r="G160" i="1" s="1"/>
  <c r="G161" i="1" a="1"/>
  <c r="G161" i="1" s="1"/>
  <c r="G148" i="1" a="1"/>
  <c r="G148" i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40" i="1" a="1"/>
  <c r="G140" i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/>
  <c r="G147" i="1" a="1"/>
  <c r="G147" i="1" s="1"/>
  <c r="G133" i="1" a="1"/>
  <c r="G133" i="1" s="1"/>
  <c r="G134" i="1" a="1"/>
  <c r="G134" i="1" s="1"/>
  <c r="G135" i="1" a="1"/>
  <c r="G135" i="1"/>
  <c r="G136" i="1" a="1"/>
  <c r="G136" i="1" s="1"/>
  <c r="G137" i="1" a="1"/>
  <c r="G137" i="1" s="1"/>
  <c r="G138" i="1" a="1"/>
  <c r="G138" i="1" s="1"/>
  <c r="G139" i="1" a="1"/>
  <c r="G139" i="1" s="1"/>
  <c r="G126" i="1" a="1"/>
  <c r="G126" i="1" s="1"/>
  <c r="G127" i="1" a="1"/>
  <c r="G127" i="1"/>
  <c r="G128" i="1" a="1"/>
  <c r="G128" i="1" s="1"/>
  <c r="G129" i="1" a="1"/>
  <c r="G129" i="1" s="1"/>
  <c r="G130" i="1" a="1"/>
  <c r="G130" i="1" s="1"/>
  <c r="G131" i="1" a="1"/>
  <c r="G131" i="1" s="1"/>
  <c r="G132" i="1" a="1"/>
  <c r="G132" i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/>
  <c r="G125" i="1" a="1"/>
  <c r="G125" i="1"/>
  <c r="G110" i="1" a="1"/>
  <c r="G110" i="1" s="1"/>
  <c r="G111" i="1" a="1"/>
  <c r="G111" i="1" s="1"/>
  <c r="G112" i="1" a="1"/>
  <c r="G112" i="1"/>
  <c r="G113" i="1" a="1"/>
  <c r="G113" i="1"/>
  <c r="G114" i="1" a="1"/>
  <c r="G114" i="1" s="1"/>
  <c r="G115" i="1" a="1"/>
  <c r="G115" i="1" s="1"/>
  <c r="G116" i="1" a="1"/>
  <c r="G116" i="1" s="1"/>
  <c r="G103" i="1" a="1"/>
  <c r="G103" i="1"/>
  <c r="G104" i="1" a="1"/>
  <c r="G104" i="1" s="1"/>
  <c r="G105" i="1" a="1"/>
  <c r="G105" i="1" s="1"/>
  <c r="G106" i="1" a="1"/>
  <c r="G106" i="1" s="1"/>
  <c r="G107" i="1" a="1"/>
  <c r="G107" i="1" s="1"/>
  <c r="G108" i="1" a="1"/>
  <c r="G108" i="1" s="1"/>
  <c r="G109" i="1" a="1"/>
  <c r="G109" i="1"/>
  <c r="G96" i="1" a="1"/>
  <c r="G96" i="1" s="1"/>
  <c r="G97" i="1" a="1"/>
  <c r="G97" i="1" s="1"/>
  <c r="G98" i="1" a="1"/>
  <c r="G98" i="1" s="1"/>
  <c r="G99" i="1" a="1"/>
  <c r="G99" i="1" s="1"/>
  <c r="G100" i="1" a="1"/>
  <c r="G100" i="1" s="1"/>
  <c r="G101" i="1" a="1"/>
  <c r="G101" i="1" s="1"/>
  <c r="G102" i="1" a="1"/>
  <c r="G102" i="1" s="1"/>
  <c r="G89" i="1" a="1"/>
  <c r="G89" i="1"/>
  <c r="G90" i="1" a="1"/>
  <c r="G90" i="1" s="1"/>
  <c r="G91" i="1" a="1"/>
  <c r="G91" i="1" s="1"/>
  <c r="G92" i="1" a="1"/>
  <c r="G92" i="1" s="1"/>
  <c r="G93" i="1" a="1"/>
  <c r="G93" i="1"/>
  <c r="G94" i="1" a="1"/>
  <c r="G94" i="1"/>
  <c r="G95" i="1" a="1"/>
  <c r="G95" i="1" s="1"/>
  <c r="G82" i="1" a="1"/>
  <c r="G82" i="1" s="1"/>
  <c r="G83" i="1" a="1"/>
  <c r="G83" i="1" s="1"/>
  <c r="G84" i="1" a="1"/>
  <c r="G84" i="1" s="1"/>
  <c r="G85" i="1" a="1"/>
  <c r="G85" i="1"/>
  <c r="G86" i="1" a="1"/>
  <c r="G86" i="1" s="1"/>
  <c r="G87" i="1" a="1"/>
  <c r="G87" i="1" s="1"/>
  <c r="G88" i="1" a="1"/>
  <c r="G88" i="1" s="1"/>
  <c r="G75" i="1" a="1"/>
  <c r="G75" i="1" s="1"/>
  <c r="G76" i="1" a="1"/>
  <c r="G76" i="1" s="1"/>
  <c r="G77" i="1" a="1"/>
  <c r="G77" i="1"/>
  <c r="G78" i="1" a="1"/>
  <c r="G78" i="1" s="1"/>
  <c r="G79" i="1" a="1"/>
  <c r="G79" i="1" s="1"/>
  <c r="G80" i="1" a="1"/>
  <c r="G80" i="1" s="1"/>
  <c r="G81" i="1" a="1"/>
  <c r="G81" i="1" s="1"/>
  <c r="G68" i="1" a="1"/>
  <c r="G68" i="1" s="1"/>
  <c r="G69" i="1" a="1"/>
  <c r="G69" i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60" i="1" a="1"/>
  <c r="G60" i="1"/>
  <c r="G61" i="1" a="1"/>
  <c r="G61" i="1" s="1"/>
  <c r="G62" i="1" a="1"/>
  <c r="G62" i="1" s="1"/>
  <c r="G63" i="1" a="1"/>
  <c r="G63" i="1" s="1"/>
  <c r="G64" i="1" a="1"/>
  <c r="G64" i="1"/>
  <c r="G65" i="1" a="1"/>
  <c r="G65" i="1"/>
  <c r="G66" i="1" a="1"/>
  <c r="G66" i="1" s="1"/>
  <c r="G67" i="1" a="1"/>
  <c r="G67" i="1" s="1"/>
  <c r="G53" i="1" a="1"/>
  <c r="G53" i="1" s="1"/>
  <c r="G54" i="1" a="1"/>
  <c r="G54" i="1"/>
  <c r="G55" i="1" a="1"/>
  <c r="G55" i="1" s="1"/>
  <c r="G56" i="1" a="1"/>
  <c r="G56" i="1" s="1"/>
  <c r="G57" i="1" a="1"/>
  <c r="G57" i="1" s="1"/>
  <c r="G58" i="1" a="1"/>
  <c r="G58" i="1"/>
  <c r="G59" i="1" a="1"/>
  <c r="G59" i="1"/>
  <c r="G46" i="1" a="1"/>
  <c r="G46" i="1" s="1"/>
  <c r="G47" i="1" a="1"/>
  <c r="G47" i="1" s="1"/>
  <c r="G48" i="1" a="1"/>
  <c r="G48" i="1" s="1"/>
  <c r="G49" i="1" a="1"/>
  <c r="G49" i="1"/>
  <c r="G50" i="1" a="1"/>
  <c r="G50" i="1" s="1"/>
  <c r="G51" i="1" a="1"/>
  <c r="G51" i="1"/>
  <c r="G52" i="1" a="1"/>
  <c r="G52" i="1" s="1"/>
  <c r="G39" i="1" a="1"/>
  <c r="G39" i="1" s="1"/>
  <c r="G40" i="1" a="1"/>
  <c r="G40" i="1" s="1"/>
  <c r="G41" i="1" a="1"/>
  <c r="G41" i="1" s="1"/>
  <c r="G42" i="1" a="1"/>
  <c r="G42" i="1" s="1"/>
  <c r="G43" i="1" a="1"/>
  <c r="G43" i="1"/>
  <c r="G44" i="1" a="1"/>
  <c r="G44" i="1" s="1"/>
  <c r="G45" i="1" a="1"/>
  <c r="G45" i="1" s="1"/>
  <c r="G36" i="1" a="1"/>
  <c r="G36" i="1" s="1"/>
  <c r="G37" i="1" a="1"/>
  <c r="G37" i="1" s="1"/>
  <c r="G38" i="1" a="1"/>
  <c r="G38" i="1" s="1"/>
  <c r="G14" i="1" a="1"/>
  <c r="G14" i="1"/>
  <c r="G15" i="1" a="1"/>
  <c r="G15" i="1"/>
  <c r="G16" i="1" a="1"/>
  <c r="G16" i="1" s="1"/>
  <c r="G17" i="1" a="1"/>
  <c r="G17" i="1" s="1"/>
  <c r="G18" i="1" a="1"/>
  <c r="G18" i="1" s="1"/>
  <c r="G19" i="1" a="1"/>
  <c r="G19" i="1"/>
  <c r="G20" i="1" a="1"/>
  <c r="G20" i="1"/>
  <c r="G21" i="1" a="1"/>
  <c r="G21" i="1" s="1"/>
  <c r="G22" i="1" a="1"/>
  <c r="G22" i="1" s="1"/>
  <c r="G23" i="1" a="1"/>
  <c r="G23" i="1" s="1"/>
  <c r="G24" i="1" a="1"/>
  <c r="G24" i="1" s="1"/>
  <c r="G32" i="1" a="1"/>
  <c r="G32" i="1" s="1"/>
  <c r="H33" i="1"/>
  <c r="H34" i="1"/>
  <c r="H35" i="1"/>
  <c r="H25" i="1"/>
  <c r="H26" i="1"/>
  <c r="H27" i="1"/>
  <c r="H232" i="1"/>
  <c r="H233" i="1"/>
  <c r="H234" i="1"/>
  <c r="H28" i="1"/>
  <c r="H29" i="1"/>
  <c r="H30" i="1"/>
  <c r="H31" i="1"/>
  <c r="H225" i="1"/>
  <c r="H226" i="1"/>
  <c r="H227" i="1"/>
  <c r="H228" i="1"/>
  <c r="H229" i="1"/>
  <c r="H230" i="1"/>
  <c r="H231" i="1"/>
  <c r="H218" i="1"/>
  <c r="H219" i="1"/>
  <c r="H220" i="1"/>
  <c r="H221" i="1"/>
  <c r="H222" i="1"/>
  <c r="H223" i="1"/>
  <c r="H224" i="1"/>
  <c r="H211" i="1"/>
  <c r="H212" i="1"/>
  <c r="H213" i="1"/>
  <c r="H214" i="1"/>
  <c r="H215" i="1"/>
  <c r="H216" i="1"/>
  <c r="H217" i="1"/>
  <c r="H204" i="1"/>
  <c r="H205" i="1"/>
  <c r="H206" i="1"/>
  <c r="H207" i="1"/>
  <c r="H208" i="1"/>
  <c r="H209" i="1"/>
  <c r="H210" i="1"/>
  <c r="H197" i="1"/>
  <c r="H198" i="1"/>
  <c r="H199" i="1"/>
  <c r="H200" i="1"/>
  <c r="H201" i="1"/>
  <c r="H202" i="1"/>
  <c r="H203" i="1"/>
  <c r="H190" i="1"/>
  <c r="H191" i="1"/>
  <c r="H192" i="1"/>
  <c r="H193" i="1"/>
  <c r="H194" i="1"/>
  <c r="H195" i="1"/>
  <c r="H196" i="1"/>
  <c r="H183" i="1"/>
  <c r="H184" i="1"/>
  <c r="H185" i="1"/>
  <c r="H186" i="1"/>
  <c r="H187" i="1"/>
  <c r="H188" i="1"/>
  <c r="H189" i="1"/>
  <c r="H176" i="1"/>
  <c r="H177" i="1"/>
  <c r="H178" i="1"/>
  <c r="H179" i="1"/>
  <c r="H180" i="1"/>
  <c r="H181" i="1"/>
  <c r="H182" i="1"/>
  <c r="H169" i="1"/>
  <c r="H170" i="1"/>
  <c r="H171" i="1"/>
  <c r="H172" i="1"/>
  <c r="H173" i="1"/>
  <c r="H174" i="1"/>
  <c r="H175" i="1"/>
  <c r="H162" i="1"/>
  <c r="H163" i="1"/>
  <c r="H164" i="1"/>
  <c r="H165" i="1"/>
  <c r="H166" i="1"/>
  <c r="H167" i="1"/>
  <c r="H168" i="1"/>
  <c r="H155" i="1"/>
  <c r="H156" i="1"/>
  <c r="H157" i="1"/>
  <c r="H158" i="1"/>
  <c r="H159" i="1"/>
  <c r="H160" i="1"/>
  <c r="H161" i="1"/>
  <c r="H148" i="1"/>
  <c r="H149" i="1"/>
  <c r="H150" i="1"/>
  <c r="H151" i="1"/>
  <c r="H152" i="1"/>
  <c r="H153" i="1"/>
  <c r="H154" i="1"/>
  <c r="H140" i="1"/>
  <c r="H141" i="1"/>
  <c r="H142" i="1"/>
  <c r="H143" i="1"/>
  <c r="H144" i="1"/>
  <c r="H145" i="1"/>
  <c r="H146" i="1"/>
  <c r="H147" i="1"/>
  <c r="H133" i="1"/>
  <c r="H134" i="1"/>
  <c r="H135" i="1"/>
  <c r="H136" i="1"/>
  <c r="H137" i="1"/>
  <c r="H138" i="1"/>
  <c r="H139" i="1"/>
  <c r="H126" i="1"/>
  <c r="H127" i="1"/>
  <c r="H128" i="1"/>
  <c r="H129" i="1"/>
  <c r="H130" i="1"/>
  <c r="H131" i="1"/>
  <c r="H132" i="1"/>
  <c r="H117" i="1"/>
  <c r="H118" i="1"/>
  <c r="H119" i="1"/>
  <c r="H120" i="1"/>
  <c r="H121" i="1"/>
  <c r="H122" i="1"/>
  <c r="H123" i="1"/>
  <c r="H124" i="1"/>
  <c r="H125" i="1"/>
  <c r="H110" i="1"/>
  <c r="H111" i="1"/>
  <c r="H112" i="1"/>
  <c r="H113" i="1"/>
  <c r="H114" i="1"/>
  <c r="H115" i="1"/>
  <c r="H116" i="1"/>
  <c r="H103" i="1"/>
  <c r="H104" i="1"/>
  <c r="H105" i="1"/>
  <c r="H106" i="1"/>
  <c r="H107" i="1"/>
  <c r="H108" i="1"/>
  <c r="H109" i="1"/>
  <c r="H96" i="1"/>
  <c r="H97" i="1"/>
  <c r="H98" i="1"/>
  <c r="H99" i="1"/>
  <c r="H100" i="1"/>
  <c r="H101" i="1"/>
  <c r="H102" i="1"/>
  <c r="H89" i="1"/>
  <c r="H90" i="1"/>
  <c r="H91" i="1"/>
  <c r="H92" i="1"/>
  <c r="H93" i="1"/>
  <c r="H94" i="1"/>
  <c r="H95" i="1"/>
  <c r="H82" i="1"/>
  <c r="H83" i="1"/>
  <c r="H84" i="1"/>
  <c r="H85" i="1"/>
  <c r="H86" i="1"/>
  <c r="H87" i="1"/>
  <c r="H88" i="1"/>
  <c r="H75" i="1"/>
  <c r="H76" i="1"/>
  <c r="H77" i="1"/>
  <c r="H78" i="1"/>
  <c r="H79" i="1"/>
  <c r="H80" i="1"/>
  <c r="H81" i="1"/>
  <c r="H68" i="1"/>
  <c r="H69" i="1"/>
  <c r="H70" i="1"/>
  <c r="H71" i="1"/>
  <c r="H72" i="1"/>
  <c r="H73" i="1"/>
  <c r="H74" i="1"/>
  <c r="H60" i="1"/>
  <c r="H61" i="1"/>
  <c r="H62" i="1"/>
  <c r="H63" i="1"/>
  <c r="H64" i="1"/>
  <c r="H65" i="1"/>
  <c r="H66" i="1"/>
  <c r="H67" i="1"/>
  <c r="H53" i="1"/>
  <c r="H54" i="1"/>
  <c r="H55" i="1"/>
  <c r="H56" i="1"/>
  <c r="H57" i="1"/>
  <c r="H58" i="1"/>
  <c r="H59" i="1"/>
  <c r="H46" i="1"/>
  <c r="H47" i="1"/>
  <c r="H48" i="1"/>
  <c r="H49" i="1"/>
  <c r="H50" i="1"/>
  <c r="H51" i="1"/>
  <c r="H52" i="1"/>
  <c r="H39" i="1"/>
  <c r="H40" i="1"/>
  <c r="H41" i="1"/>
  <c r="H42" i="1"/>
  <c r="H43" i="1"/>
  <c r="H44" i="1"/>
  <c r="H45" i="1"/>
  <c r="H36" i="1"/>
  <c r="H37" i="1"/>
  <c r="H38" i="1"/>
  <c r="H14" i="1"/>
  <c r="H15" i="1"/>
  <c r="H16" i="1"/>
  <c r="H17" i="1"/>
  <c r="H18" i="1"/>
  <c r="H19" i="1"/>
  <c r="H20" i="1"/>
  <c r="H21" i="1"/>
  <c r="H22" i="1"/>
  <c r="H23" i="1"/>
  <c r="H24" i="1"/>
  <c r="H32" i="1"/>
  <c r="E97" i="1" a="1"/>
  <c r="E97" i="1" s="1"/>
  <c r="E125" i="1" a="1"/>
  <c r="E125" i="1" s="1"/>
  <c r="E146" i="1" a="1"/>
  <c r="E146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38" i="1"/>
  <c r="E38" i="1" s="1" a="1"/>
  <c r="E38" i="1" s="1"/>
  <c r="F37" i="1"/>
  <c r="E37" i="1" s="1" a="1"/>
  <c r="E37" i="1" s="1"/>
  <c r="F36" i="1"/>
  <c r="E36" i="1" s="1" a="1"/>
  <c r="E3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40" i="1"/>
  <c r="E40" i="1" s="1" a="1"/>
  <c r="E40" i="1" s="1"/>
  <c r="F39" i="1"/>
  <c r="E39" i="1" s="1" a="1"/>
  <c r="E39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47" i="1"/>
  <c r="E47" i="1" s="1" a="1"/>
  <c r="E47" i="1" s="1"/>
  <c r="F46" i="1"/>
  <c r="E46" i="1" s="1" a="1"/>
  <c r="E46" i="1" s="1"/>
  <c r="F59" i="1"/>
  <c r="E59" i="1" s="1" a="1"/>
  <c r="E59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67" i="1"/>
  <c r="E67" i="1" s="1" a="1"/>
  <c r="E67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62" i="1"/>
  <c r="E62" i="1" s="1" a="1"/>
  <c r="E62" i="1" s="1"/>
  <c r="F61" i="1"/>
  <c r="E61" i="1" s="1" a="1"/>
  <c r="E61" i="1" s="1"/>
  <c r="F60" i="1"/>
  <c r="E60" i="1" s="1" a="1"/>
  <c r="E60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68" i="1"/>
  <c r="E68" i="1" s="1" a="1"/>
  <c r="E68" i="1" s="1"/>
  <c r="F81" i="1"/>
  <c r="E81" i="1" s="1" a="1"/>
  <c r="E81" i="1" s="1"/>
  <c r="F80" i="1"/>
  <c r="E80" i="1" s="1" a="1"/>
  <c r="E80" i="1" s="1"/>
  <c r="F79" i="1"/>
  <c r="E79" i="1" s="1" a="1"/>
  <c r="E79" i="1" s="1"/>
  <c r="F78" i="1"/>
  <c r="E78" i="1" s="1" a="1"/>
  <c r="E78" i="1" s="1"/>
  <c r="F77" i="1"/>
  <c r="E77" i="1" s="1" a="1"/>
  <c r="E77" i="1" s="1"/>
  <c r="F76" i="1"/>
  <c r="E76" i="1" s="1" a="1"/>
  <c r="E76" i="1" s="1"/>
  <c r="F75" i="1"/>
  <c r="E75" i="1" s="1" a="1"/>
  <c r="E75" i="1" s="1"/>
  <c r="F88" i="1"/>
  <c r="E88" i="1" s="1" a="1"/>
  <c r="E88" i="1" s="1"/>
  <c r="F87" i="1"/>
  <c r="E87" i="1" s="1" a="1"/>
  <c r="E87" i="1" s="1"/>
  <c r="F86" i="1"/>
  <c r="E86" i="1" s="1" a="1"/>
  <c r="E86" i="1" s="1"/>
  <c r="F85" i="1"/>
  <c r="E85" i="1" s="1" a="1"/>
  <c r="E85" i="1" s="1"/>
  <c r="F84" i="1"/>
  <c r="E84" i="1" s="1" a="1"/>
  <c r="E84" i="1" s="1"/>
  <c r="F83" i="1"/>
  <c r="E83" i="1" s="1" a="1"/>
  <c r="E83" i="1" s="1"/>
  <c r="F82" i="1"/>
  <c r="E82" i="1" s="1" a="1"/>
  <c r="E82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89" i="1"/>
  <c r="E89" i="1" s="1" a="1"/>
  <c r="E89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98" i="1"/>
  <c r="E98" i="1" s="1" a="1"/>
  <c r="E98" i="1" s="1"/>
  <c r="F97" i="1"/>
  <c r="F96" i="1"/>
  <c r="E96" i="1" s="1" a="1"/>
  <c r="E96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105" i="1"/>
  <c r="E105" i="1" s="1" a="1"/>
  <c r="E105" i="1" s="1"/>
  <c r="F104" i="1"/>
  <c r="E104" i="1" s="1" a="1"/>
  <c r="E104" i="1" s="1"/>
  <c r="F103" i="1"/>
  <c r="E103" i="1" s="1" a="1"/>
  <c r="E103" i="1" s="1"/>
  <c r="F116" i="1"/>
  <c r="E116" i="1" s="1" a="1"/>
  <c r="E116" i="1" s="1"/>
  <c r="F115" i="1"/>
  <c r="E115" i="1" s="1" a="1"/>
  <c r="E115" i="1" s="1"/>
  <c r="F114" i="1"/>
  <c r="E114" i="1" s="1" a="1"/>
  <c r="E114" i="1" s="1"/>
  <c r="F113" i="1"/>
  <c r="E113" i="1" s="1" a="1"/>
  <c r="E113" i="1" s="1"/>
  <c r="F112" i="1"/>
  <c r="E112" i="1" s="1" a="1"/>
  <c r="E112" i="1" s="1"/>
  <c r="F111" i="1"/>
  <c r="E111" i="1" s="1" a="1"/>
  <c r="E111" i="1" s="1"/>
  <c r="F110" i="1"/>
  <c r="E110" i="1" s="1" a="1"/>
  <c r="E110" i="1" s="1"/>
  <c r="F125" i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9" i="1"/>
  <c r="E119" i="1" s="1" a="1"/>
  <c r="E119" i="1" s="1"/>
  <c r="F118" i="1"/>
  <c r="E118" i="1" s="1" a="1"/>
  <c r="E118" i="1" s="1"/>
  <c r="F117" i="1"/>
  <c r="E117" i="1" s="1" a="1"/>
  <c r="E117" i="1" s="1"/>
  <c r="F132" i="1"/>
  <c r="E132" i="1" s="1" a="1"/>
  <c r="E132" i="1" s="1"/>
  <c r="F131" i="1"/>
  <c r="E131" i="1" s="1" a="1"/>
  <c r="E131" i="1" s="1"/>
  <c r="F130" i="1"/>
  <c r="E130" i="1" s="1" a="1"/>
  <c r="E130" i="1" s="1"/>
  <c r="F129" i="1"/>
  <c r="E129" i="1" s="1" a="1"/>
  <c r="E129" i="1" s="1"/>
  <c r="F128" i="1"/>
  <c r="E128" i="1" s="1" a="1"/>
  <c r="E128" i="1" s="1"/>
  <c r="F127" i="1"/>
  <c r="E127" i="1" s="1" a="1"/>
  <c r="E127" i="1" s="1"/>
  <c r="F126" i="1"/>
  <c r="E126" i="1" s="1" a="1"/>
  <c r="E126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47" i="1"/>
  <c r="E147" i="1" s="1" a="1"/>
  <c r="E147" i="1" s="1"/>
  <c r="F146" i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68" i="1"/>
  <c r="E168" i="1" s="1" a="1"/>
  <c r="E168" i="1" s="1"/>
  <c r="F167" i="1"/>
  <c r="E167" i="1" s="1" a="1"/>
  <c r="E167" i="1" s="1"/>
  <c r="F166" i="1"/>
  <c r="E166" i="1" s="1" a="1"/>
  <c r="E166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191" i="1"/>
  <c r="E191" i="1" s="1" a="1"/>
  <c r="E191" i="1" s="1"/>
  <c r="F190" i="1"/>
  <c r="E190" i="1" s="1" a="1"/>
  <c r="E190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199" i="1"/>
  <c r="E199" i="1" s="1" a="1"/>
  <c r="E199" i="1" s="1"/>
  <c r="F198" i="1"/>
  <c r="E198" i="1" s="1" a="1"/>
  <c r="E198" i="1" s="1"/>
  <c r="F197" i="1"/>
  <c r="E197" i="1" s="1" a="1"/>
  <c r="E197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206" i="1"/>
  <c r="E206" i="1" s="1" a="1"/>
  <c r="E206" i="1" s="1"/>
  <c r="F205" i="1"/>
  <c r="E205" i="1" s="1" a="1"/>
  <c r="E205" i="1" s="1"/>
  <c r="F204" i="1"/>
  <c r="E204" i="1" s="1" a="1"/>
  <c r="E204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213" i="1"/>
  <c r="E213" i="1" s="1" a="1"/>
  <c r="E213" i="1" s="1"/>
  <c r="F212" i="1"/>
  <c r="E212" i="1" s="1" a="1"/>
  <c r="E212" i="1" s="1"/>
  <c r="F211" i="1"/>
  <c r="E211" i="1" s="1" a="1"/>
  <c r="E211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31" i="1"/>
  <c r="F30" i="1"/>
  <c r="F29" i="1"/>
  <c r="F28" i="1"/>
  <c r="F234" i="1"/>
  <c r="E234" i="1" s="1" a="1"/>
  <c r="E234" i="1" s="1"/>
  <c r="F233" i="1"/>
  <c r="E233" i="1" s="1" a="1"/>
  <c r="E233" i="1" s="1"/>
  <c r="F232" i="1"/>
  <c r="E232" i="1" s="1" a="1"/>
  <c r="E232" i="1" s="1"/>
  <c r="F27" i="1"/>
  <c r="F26" i="1"/>
  <c r="F25" i="1"/>
  <c r="F35" i="1"/>
  <c r="F34" i="1"/>
  <c r="F33" i="1"/>
  <c r="F32" i="1"/>
  <c r="M9" i="3"/>
  <c r="M11" i="3"/>
  <c r="M10" i="3"/>
  <c r="J11" i="3"/>
  <c r="J10" i="3"/>
  <c r="J9" i="3"/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32" i="1" l="1" a="1"/>
  <c r="E32" i="1" s="1"/>
  <c r="E35" i="1" a="1"/>
  <c r="E35" i="1" s="1"/>
  <c r="E33" i="1" a="1"/>
  <c r="E33" i="1" s="1"/>
  <c r="E34" i="1" a="1"/>
  <c r="E34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31" i="1" a="1"/>
  <c r="E31" i="1" s="1"/>
  <c r="E29" i="1" a="1"/>
  <c r="E29" i="1" s="1"/>
  <c r="E28" i="1" a="1"/>
  <c r="E28" i="1" s="1"/>
  <c r="E25" i="1" a="1"/>
  <c r="E25" i="1" s="1"/>
  <c r="E30" i="1" a="1"/>
  <c r="E30" i="1" s="1"/>
  <c r="E27" i="1" a="1"/>
  <c r="E27" i="1" s="1"/>
  <c r="E26" i="1" a="1"/>
  <c r="E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<sst xmlns="http://schemas.openxmlformats.org/spreadsheetml/2006/main" count="2765" uniqueCount="596">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</sst>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8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1" xfId="0" applyNumberFormat="1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/>
    </xf>
    <xf numFmtId="0" fontId="0" fillId="4" borderId="10" xfId="0" applyFill="1" applyBorder="1"/>
    <xf numFmtId="0" fontId="5" fillId="4" borderId="10" xfId="0" applyFont="1" applyFill="1" applyBorder="1"/>
    <xf numFmtId="0" fontId="3" fillId="9" borderId="10" xfId="0" applyFont="1" applyFill="1" applyBorder="1"/>
    <xf numFmtId="0" fontId="5" fillId="8" borderId="10" xfId="0" applyFont="1" applyFill="1" applyBorder="1"/>
    <xf numFmtId="0" fontId="5" fillId="8" borderId="9" xfId="0" applyFont="1" applyFill="1" applyBorder="1"/>
    <xf numFmtId="0" fontId="5" fillId="4" borderId="9" xfId="0" applyFont="1" applyFill="1" applyBorder="1"/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0" fontId="0" fillId="10" borderId="10" xfId="0" applyFill="1" applyBorder="1"/>
    <xf numFmtId="167" fontId="0" fillId="10" borderId="11" xfId="0" applyNumberFormat="1" applyFill="1" applyBorder="1"/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963">
    <dxf>
      <font>
        <color theme="0"/>
      </font>
      <fill>
        <patternFill>
          <bgColor theme="5" tint="-0.24994659260841701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2" zoomScale="103" zoomScaleNormal="146" workbookViewId="0">
      <selection activeCell="J5" sqref="J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78">
        <f ca="1">TODAY()</f>
        <v>45994</v>
      </c>
      <c r="C1" s="78"/>
      <c r="D1" s="78"/>
    </row>
    <row r="2" spans="1:25" x14ac:dyDescent="0.25">
      <c r="B2" s="50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2"/>
    </row>
    <row r="3" spans="1:25" x14ac:dyDescent="0.25">
      <c r="B3" s="53"/>
      <c r="Y3" s="54"/>
    </row>
    <row r="4" spans="1:25" x14ac:dyDescent="0.25">
      <c r="B4" s="53"/>
      <c r="Y4" s="54"/>
    </row>
    <row r="5" spans="1:25" x14ac:dyDescent="0.25">
      <c r="A5">
        <v>60</v>
      </c>
      <c r="B5" s="53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4"/>
    </row>
    <row r="6" spans="1:25" ht="15.75" thickBot="1" x14ac:dyDescent="0.3">
      <c r="B6" s="53"/>
      <c r="C6" s="55">
        <v>45566</v>
      </c>
      <c r="D6" s="55">
        <v>45957</v>
      </c>
      <c r="E6" s="55">
        <v>45957</v>
      </c>
      <c r="F6" s="55">
        <v>45957</v>
      </c>
      <c r="G6" s="55">
        <v>45957</v>
      </c>
      <c r="H6" s="25" t="str">
        <f t="shared" ref="H6" si="0">IF(H7="","",$B$1-H7)</f>
        <v/>
      </c>
      <c r="J6" s="56"/>
      <c r="K6" s="55">
        <v>45619</v>
      </c>
      <c r="L6" s="56"/>
      <c r="M6" s="56"/>
      <c r="N6" s="56"/>
      <c r="O6" s="56"/>
      <c r="P6" s="25">
        <f t="shared" ref="P6:U6" ca="1" si="1">IF(P7="","",$B$1-P7)</f>
        <v>7</v>
      </c>
      <c r="R6" s="25">
        <f t="shared" ca="1" si="1"/>
        <v>7</v>
      </c>
      <c r="S6" s="25">
        <f t="shared" ca="1" si="1"/>
        <v>7</v>
      </c>
      <c r="T6" s="25">
        <f t="shared" ca="1" si="1"/>
        <v>7</v>
      </c>
      <c r="U6" s="25">
        <f t="shared" ca="1" si="1"/>
        <v>8</v>
      </c>
      <c r="V6" s="25">
        <f ca="1">IF(V7="","",$B$1-V7)</f>
        <v>8</v>
      </c>
      <c r="W6" s="25">
        <f ca="1">IF(W7="","",$B$1-W7)</f>
        <v>8</v>
      </c>
      <c r="X6" s="25">
        <f ca="1">IF(X7="","",$B$1-X7)</f>
        <v>8</v>
      </c>
      <c r="Y6" s="54"/>
    </row>
    <row r="7" spans="1:25" ht="38.25" customHeight="1" x14ac:dyDescent="0.25">
      <c r="B7" s="79" t="s">
        <v>184</v>
      </c>
      <c r="C7" s="57" t="s">
        <v>121</v>
      </c>
      <c r="D7" s="58" t="s">
        <v>185</v>
      </c>
      <c r="E7" s="58" t="s">
        <v>185</v>
      </c>
      <c r="F7" s="58" t="s">
        <v>186</v>
      </c>
      <c r="G7" s="58" t="s">
        <v>186</v>
      </c>
      <c r="H7" s="58"/>
      <c r="J7" s="58"/>
      <c r="K7" s="58" t="s">
        <v>187</v>
      </c>
      <c r="L7" s="58"/>
      <c r="M7" s="58" t="s">
        <v>185</v>
      </c>
      <c r="N7" s="58" t="s">
        <v>185</v>
      </c>
      <c r="O7" s="58" t="s">
        <v>185</v>
      </c>
      <c r="P7" s="59">
        <v>45987</v>
      </c>
      <c r="R7" s="59">
        <v>45987</v>
      </c>
      <c r="S7" s="59">
        <v>45987</v>
      </c>
      <c r="T7" s="59">
        <v>45987</v>
      </c>
      <c r="U7" s="60">
        <v>45986</v>
      </c>
      <c r="V7" s="60">
        <v>45986</v>
      </c>
      <c r="W7" s="60">
        <v>45986</v>
      </c>
      <c r="X7" s="60">
        <v>45986</v>
      </c>
      <c r="Y7" s="54"/>
    </row>
    <row r="8" spans="1:25" x14ac:dyDescent="0.25">
      <c r="B8" s="80"/>
      <c r="Y8" s="54"/>
    </row>
    <row r="9" spans="1:25" x14ac:dyDescent="0.25">
      <c r="B9" s="80"/>
      <c r="C9" s="30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4"/>
    </row>
    <row r="10" spans="1:25" ht="15.75" thickBot="1" x14ac:dyDescent="0.3">
      <c r="B10" s="81"/>
      <c r="C10" s="30">
        <f t="shared" ref="C10:H10" ca="1" si="2">IF(C11="","",$B$1-C11)</f>
        <v>12</v>
      </c>
      <c r="D10" s="25">
        <f t="shared" ca="1" si="2"/>
        <v>12</v>
      </c>
      <c r="E10" s="25">
        <f t="shared" ca="1" si="2"/>
        <v>12</v>
      </c>
      <c r="F10" s="25">
        <f t="shared" ca="1" si="2"/>
        <v>12</v>
      </c>
      <c r="G10" s="25">
        <f t="shared" ca="1" si="2"/>
        <v>12</v>
      </c>
      <c r="H10" s="25">
        <f t="shared" ca="1" si="2"/>
        <v>12</v>
      </c>
      <c r="J10" s="25">
        <f t="shared" ref="J10:P10" ca="1" si="3">IF(J11="","",$B$1-J11)</f>
        <v>12</v>
      </c>
      <c r="K10" s="25">
        <f t="shared" ca="1" si="3"/>
        <v>10</v>
      </c>
      <c r="L10" s="25">
        <f t="shared" ca="1" si="3"/>
        <v>10</v>
      </c>
      <c r="M10" s="25">
        <f t="shared" ca="1" si="3"/>
        <v>10</v>
      </c>
      <c r="N10" s="25">
        <f t="shared" ca="1" si="3"/>
        <v>10</v>
      </c>
      <c r="O10" s="25">
        <f t="shared" ca="1" si="3"/>
        <v>10</v>
      </c>
      <c r="P10" s="25">
        <f t="shared" ca="1" si="3"/>
        <v>10</v>
      </c>
      <c r="R10" s="25">
        <f t="shared" ref="R10:W10" ca="1" si="4">IF(R11="","",$B$1-R11)</f>
        <v>10</v>
      </c>
      <c r="S10" s="25">
        <f t="shared" ca="1" si="4"/>
        <v>9</v>
      </c>
      <c r="T10" s="25">
        <f t="shared" ca="1" si="4"/>
        <v>9</v>
      </c>
      <c r="U10" s="25">
        <f t="shared" ca="1" si="4"/>
        <v>8</v>
      </c>
      <c r="V10" s="25">
        <f t="shared" ca="1" si="4"/>
        <v>8</v>
      </c>
      <c r="W10" s="25">
        <f t="shared" ca="1" si="4"/>
        <v>8</v>
      </c>
      <c r="X10" s="55">
        <v>45717</v>
      </c>
      <c r="Y10" s="54"/>
    </row>
    <row r="11" spans="1:25" ht="38.25" customHeight="1" x14ac:dyDescent="0.25">
      <c r="B11" s="53"/>
      <c r="C11" s="59">
        <v>45982</v>
      </c>
      <c r="D11" s="59">
        <v>45982</v>
      </c>
      <c r="E11" s="59">
        <v>45982</v>
      </c>
      <c r="F11" s="59">
        <v>45982</v>
      </c>
      <c r="G11" s="59">
        <v>45982</v>
      </c>
      <c r="H11" s="59">
        <v>45982</v>
      </c>
      <c r="J11" s="59">
        <v>45982</v>
      </c>
      <c r="K11" s="59">
        <v>45984</v>
      </c>
      <c r="L11" s="59">
        <v>45984</v>
      </c>
      <c r="M11" s="59">
        <v>45984</v>
      </c>
      <c r="N11" s="59">
        <v>45984</v>
      </c>
      <c r="O11" s="59">
        <v>45984</v>
      </c>
      <c r="P11" s="59">
        <v>45984</v>
      </c>
      <c r="R11" s="59">
        <v>45984</v>
      </c>
      <c r="S11" s="59">
        <v>45985</v>
      </c>
      <c r="T11" s="59">
        <v>45985</v>
      </c>
      <c r="U11" s="60">
        <v>45986</v>
      </c>
      <c r="V11" s="60">
        <v>45986</v>
      </c>
      <c r="W11" s="60">
        <v>45986</v>
      </c>
      <c r="X11" s="61" t="s">
        <v>188</v>
      </c>
      <c r="Y11" s="54"/>
    </row>
    <row r="12" spans="1:25" x14ac:dyDescent="0.25">
      <c r="B12" s="53"/>
      <c r="C12" s="62"/>
      <c r="V12" s="63"/>
      <c r="Y12" s="54"/>
    </row>
    <row r="13" spans="1:25" x14ac:dyDescent="0.25">
      <c r="B13" s="53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4"/>
    </row>
    <row r="14" spans="1:25" x14ac:dyDescent="0.25">
      <c r="B14" s="53"/>
      <c r="C14" s="25">
        <f t="shared" ref="C14:H14" ca="1" si="5">IF(C15="","",$B$1-C15)</f>
        <v>13</v>
      </c>
      <c r="D14" s="25">
        <f t="shared" ca="1" si="5"/>
        <v>13</v>
      </c>
      <c r="E14" s="25">
        <f t="shared" ca="1" si="5"/>
        <v>13</v>
      </c>
      <c r="F14" s="25">
        <f t="shared" ca="1" si="5"/>
        <v>13</v>
      </c>
      <c r="G14" s="25">
        <f t="shared" ca="1" si="5"/>
        <v>13</v>
      </c>
      <c r="H14" s="25">
        <f t="shared" ca="1" si="5"/>
        <v>13</v>
      </c>
      <c r="J14" s="25">
        <f t="shared" ref="J14:P14" ca="1" si="6">IF(J15="","",$B$1-J15)</f>
        <v>13</v>
      </c>
      <c r="K14" s="25">
        <f t="shared" ca="1" si="6"/>
        <v>11</v>
      </c>
      <c r="L14" s="25">
        <f t="shared" ca="1" si="6"/>
        <v>11</v>
      </c>
      <c r="M14" s="25">
        <f t="shared" ca="1" si="6"/>
        <v>11</v>
      </c>
      <c r="N14" s="25">
        <f t="shared" ca="1" si="6"/>
        <v>11</v>
      </c>
      <c r="O14" s="25">
        <f t="shared" ca="1" si="6"/>
        <v>11</v>
      </c>
      <c r="P14" s="25">
        <f t="shared" ca="1" si="6"/>
        <v>11</v>
      </c>
      <c r="R14" s="25">
        <f t="shared" ref="R14:W14" ca="1" si="7">IF(R15="","",$B$1-R15)</f>
        <v>11</v>
      </c>
      <c r="S14" s="25">
        <f t="shared" ca="1" si="7"/>
        <v>9</v>
      </c>
      <c r="T14" s="25">
        <f t="shared" ca="1" si="7"/>
        <v>9</v>
      </c>
      <c r="U14" s="25">
        <f t="shared" ca="1" si="7"/>
        <v>9</v>
      </c>
      <c r="V14" s="25">
        <f t="shared" ca="1" si="7"/>
        <v>9</v>
      </c>
      <c r="W14" s="25">
        <f t="shared" ca="1" si="7"/>
        <v>9</v>
      </c>
      <c r="X14" s="55">
        <v>45717</v>
      </c>
      <c r="Y14" s="54"/>
    </row>
    <row r="15" spans="1:25" ht="38.25" customHeight="1" x14ac:dyDescent="0.25">
      <c r="B15" s="53"/>
      <c r="C15" s="59">
        <v>45981</v>
      </c>
      <c r="D15" s="59">
        <v>45981</v>
      </c>
      <c r="E15" s="59">
        <v>45981</v>
      </c>
      <c r="F15" s="59">
        <v>45981</v>
      </c>
      <c r="G15" s="59">
        <v>45981</v>
      </c>
      <c r="H15" s="59">
        <v>45981</v>
      </c>
      <c r="J15" s="59">
        <v>45981</v>
      </c>
      <c r="K15" s="59">
        <v>45983</v>
      </c>
      <c r="L15" s="59">
        <v>45983</v>
      </c>
      <c r="M15" s="59">
        <v>45983</v>
      </c>
      <c r="N15" s="59">
        <v>45983</v>
      </c>
      <c r="O15" s="59">
        <v>45983</v>
      </c>
      <c r="P15" s="59">
        <v>45983</v>
      </c>
      <c r="R15" s="59">
        <v>45983</v>
      </c>
      <c r="S15" s="59">
        <v>45985</v>
      </c>
      <c r="T15" s="59">
        <v>45985</v>
      </c>
      <c r="U15" s="59">
        <v>45985</v>
      </c>
      <c r="V15" s="59">
        <v>45985</v>
      </c>
      <c r="W15" s="59">
        <v>45985</v>
      </c>
      <c r="X15" s="61" t="s">
        <v>189</v>
      </c>
      <c r="Y15" s="54"/>
    </row>
    <row r="16" spans="1:25" ht="15.75" thickBot="1" x14ac:dyDescent="0.3">
      <c r="B16" s="64"/>
      <c r="C16" s="65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7"/>
    </row>
    <row r="17" spans="1:44" ht="16.5" thickBot="1" x14ac:dyDescent="0.3">
      <c r="B17" s="68"/>
    </row>
    <row r="18" spans="1:44" x14ac:dyDescent="0.25">
      <c r="B18" s="50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2"/>
    </row>
    <row r="19" spans="1:44" x14ac:dyDescent="0.25">
      <c r="B19" s="53"/>
      <c r="J19" s="25" t="s">
        <v>126</v>
      </c>
      <c r="K19" s="25" t="s">
        <v>125</v>
      </c>
      <c r="X19" s="25" t="s">
        <v>123</v>
      </c>
      <c r="Y19" s="69"/>
      <c r="AF19" s="25" t="s">
        <v>122</v>
      </c>
      <c r="AG19" s="25" t="s">
        <v>120</v>
      </c>
      <c r="AH19" s="25" t="s">
        <v>119</v>
      </c>
      <c r="AI19" s="25" t="s">
        <v>118</v>
      </c>
      <c r="AJ19" s="54"/>
    </row>
    <row r="20" spans="1:44" x14ac:dyDescent="0.25">
      <c r="B20" s="53"/>
      <c r="J20" s="25">
        <f ca="1">IF(J21="","",$B$1-J21)</f>
        <v>26</v>
      </c>
      <c r="K20" s="25">
        <f ca="1">IF(K21="","",$B$1-K21)</f>
        <v>26</v>
      </c>
      <c r="X20" s="25"/>
      <c r="AF20" s="25"/>
      <c r="AG20" s="25"/>
      <c r="AH20" s="25">
        <f ca="1">IF(AH21="","",$B$1-AH21)</f>
        <v>26</v>
      </c>
      <c r="AI20" s="25">
        <f ca="1">IF(AI21="","",$B$1-AI21)</f>
        <v>26</v>
      </c>
      <c r="AJ20" s="54"/>
    </row>
    <row r="21" spans="1:44" ht="30" x14ac:dyDescent="0.25">
      <c r="B21" s="53"/>
      <c r="J21" s="59">
        <v>45968</v>
      </c>
      <c r="K21" s="59">
        <v>45968</v>
      </c>
      <c r="X21" s="60" t="s">
        <v>124</v>
      </c>
      <c r="AF21" s="61" t="s">
        <v>121</v>
      </c>
      <c r="AG21" s="61" t="s">
        <v>121</v>
      </c>
      <c r="AH21" s="59">
        <v>45968</v>
      </c>
      <c r="AI21" s="59">
        <v>45968</v>
      </c>
      <c r="AJ21" s="54"/>
      <c r="AO21" s="62"/>
      <c r="AP21" s="62"/>
    </row>
    <row r="22" spans="1:44" x14ac:dyDescent="0.25">
      <c r="B22" s="53"/>
      <c r="AJ22" s="54"/>
      <c r="AL22" t="s">
        <v>190</v>
      </c>
    </row>
    <row r="23" spans="1:44" x14ac:dyDescent="0.25">
      <c r="A23">
        <v>60</v>
      </c>
      <c r="B23" s="53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4"/>
      <c r="AL23" s="25" t="s">
        <v>191</v>
      </c>
    </row>
    <row r="24" spans="1:44" x14ac:dyDescent="0.25">
      <c r="B24" s="53"/>
      <c r="C24" s="25">
        <f t="shared" ref="C24:H24" ca="1" si="8">IF(C25="","",$B$1-C25)</f>
        <v>29</v>
      </c>
      <c r="D24" s="25">
        <f t="shared" ca="1" si="8"/>
        <v>29</v>
      </c>
      <c r="E24" s="25">
        <f t="shared" ca="1" si="8"/>
        <v>29</v>
      </c>
      <c r="F24" s="25">
        <f t="shared" ca="1" si="8"/>
        <v>29</v>
      </c>
      <c r="G24" s="25">
        <f t="shared" ca="1" si="8"/>
        <v>29</v>
      </c>
      <c r="H24" s="25">
        <f t="shared" ca="1" si="8"/>
        <v>29</v>
      </c>
      <c r="J24" s="25">
        <f ca="1">IF(J25="","",$B$1-J25)</f>
        <v>29</v>
      </c>
      <c r="K24" s="25">
        <f t="shared" ref="K24:AI24" ca="1" si="9">IF(K25="","",$B$1-K25)</f>
        <v>32</v>
      </c>
      <c r="L24" s="25">
        <f t="shared" ca="1" si="9"/>
        <v>32</v>
      </c>
      <c r="M24" s="25">
        <f t="shared" ca="1" si="9"/>
        <v>32</v>
      </c>
      <c r="N24" s="25">
        <f t="shared" ca="1" si="9"/>
        <v>32</v>
      </c>
      <c r="O24" s="25">
        <f t="shared" ca="1" si="9"/>
        <v>32</v>
      </c>
      <c r="P24" s="25">
        <f t="shared" ca="1" si="9"/>
        <v>32</v>
      </c>
      <c r="R24" s="25">
        <f t="shared" ca="1" si="9"/>
        <v>32</v>
      </c>
      <c r="S24" s="25">
        <f t="shared" ca="1" si="9"/>
        <v>30</v>
      </c>
      <c r="T24" s="25">
        <f t="shared" ca="1" si="9"/>
        <v>30</v>
      </c>
      <c r="U24" s="25">
        <f t="shared" ca="1" si="9"/>
        <v>30</v>
      </c>
      <c r="V24" s="25">
        <f t="shared" ca="1" si="9"/>
        <v>30</v>
      </c>
      <c r="W24" s="25">
        <f t="shared" ca="1" si="9"/>
        <v>30</v>
      </c>
      <c r="X24" s="25">
        <f t="shared" ca="1" si="9"/>
        <v>30</v>
      </c>
      <c r="Z24" s="25">
        <f t="shared" ca="1" si="9"/>
        <v>30</v>
      </c>
      <c r="AA24" s="25">
        <f t="shared" ca="1" si="9"/>
        <v>27</v>
      </c>
      <c r="AB24" s="25">
        <f t="shared" ca="1" si="9"/>
        <v>27</v>
      </c>
      <c r="AC24" s="25">
        <f t="shared" ca="1" si="9"/>
        <v>27</v>
      </c>
      <c r="AD24" s="25">
        <f t="shared" ca="1" si="9"/>
        <v>27</v>
      </c>
      <c r="AE24" s="25">
        <f t="shared" ca="1" si="9"/>
        <v>27</v>
      </c>
      <c r="AF24" s="25">
        <f t="shared" ca="1" si="9"/>
        <v>27</v>
      </c>
      <c r="AG24" s="25">
        <f t="shared" ca="1" si="9"/>
        <v>27</v>
      </c>
      <c r="AH24" s="25">
        <f t="shared" ca="1" si="9"/>
        <v>26</v>
      </c>
      <c r="AI24" s="25">
        <f t="shared" ca="1" si="9"/>
        <v>26</v>
      </c>
      <c r="AJ24" s="54"/>
      <c r="AL24" s="70" t="s">
        <v>192</v>
      </c>
      <c r="AN24" s="62"/>
      <c r="AO24" s="62"/>
      <c r="AP24" s="62"/>
      <c r="AQ24" s="62"/>
      <c r="AR24" s="62"/>
    </row>
    <row r="25" spans="1:44" ht="39.950000000000003" customHeight="1" x14ac:dyDescent="0.25">
      <c r="B25" s="53"/>
      <c r="C25" s="59">
        <v>45965</v>
      </c>
      <c r="D25" s="59">
        <v>45965</v>
      </c>
      <c r="E25" s="59">
        <v>45965</v>
      </c>
      <c r="F25" s="59">
        <v>45965</v>
      </c>
      <c r="G25" s="59">
        <v>45965</v>
      </c>
      <c r="H25" s="59">
        <v>45965</v>
      </c>
      <c r="J25" s="59">
        <v>45965</v>
      </c>
      <c r="K25" s="59">
        <v>45962</v>
      </c>
      <c r="L25" s="59">
        <v>45962</v>
      </c>
      <c r="M25" s="59">
        <v>45962</v>
      </c>
      <c r="N25" s="59">
        <v>45962</v>
      </c>
      <c r="O25" s="59">
        <v>45962</v>
      </c>
      <c r="P25" s="59">
        <v>45962</v>
      </c>
      <c r="R25" s="59">
        <v>45962</v>
      </c>
      <c r="S25" s="59">
        <v>45964</v>
      </c>
      <c r="T25" s="59">
        <v>45964</v>
      </c>
      <c r="U25" s="59">
        <v>45964</v>
      </c>
      <c r="V25" s="59">
        <v>45964</v>
      </c>
      <c r="W25" s="59">
        <v>45964</v>
      </c>
      <c r="X25" s="59">
        <v>45964</v>
      </c>
      <c r="Z25" s="59">
        <v>45964</v>
      </c>
      <c r="AA25" s="59">
        <v>45967</v>
      </c>
      <c r="AB25" s="59">
        <v>45967</v>
      </c>
      <c r="AC25" s="59">
        <v>45967</v>
      </c>
      <c r="AD25" s="59">
        <v>45967</v>
      </c>
      <c r="AE25" s="59">
        <v>45967</v>
      </c>
      <c r="AF25" s="59">
        <v>45967</v>
      </c>
      <c r="AG25" s="59">
        <v>45967</v>
      </c>
      <c r="AH25" s="59">
        <v>45968</v>
      </c>
      <c r="AI25" s="59">
        <v>45968</v>
      </c>
      <c r="AJ25" s="54"/>
      <c r="AL25" s="71" t="s">
        <v>1</v>
      </c>
      <c r="AN25" s="62"/>
      <c r="AO25" s="62"/>
      <c r="AP25" s="62"/>
      <c r="AQ25" s="62"/>
      <c r="AR25" s="62"/>
    </row>
    <row r="26" spans="1:44" x14ac:dyDescent="0.25">
      <c r="B26" s="53"/>
      <c r="AJ26" s="54"/>
      <c r="AL26" s="46" t="s">
        <v>193</v>
      </c>
    </row>
    <row r="27" spans="1:44" x14ac:dyDescent="0.25">
      <c r="B27" s="53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4"/>
    </row>
    <row r="28" spans="1:44" x14ac:dyDescent="0.25">
      <c r="B28" s="53"/>
      <c r="C28" s="25">
        <f t="shared" ref="C28:H28" ca="1" si="10">IF(C29="","",$B$1-C29)</f>
        <v>14</v>
      </c>
      <c r="D28" s="25">
        <f t="shared" ca="1" si="10"/>
        <v>14</v>
      </c>
      <c r="E28" s="25">
        <f t="shared" ca="1" si="10"/>
        <v>14</v>
      </c>
      <c r="F28" s="25">
        <f t="shared" ca="1" si="10"/>
        <v>14</v>
      </c>
      <c r="G28" s="25">
        <f t="shared" ca="1" si="10"/>
        <v>14</v>
      </c>
      <c r="H28" s="25">
        <f t="shared" ca="1" si="10"/>
        <v>14</v>
      </c>
      <c r="J28" s="25">
        <f ca="1">IF(J29="","",$B$1-J29)</f>
        <v>14</v>
      </c>
      <c r="K28" s="25">
        <f t="shared" ref="K28:P28" ca="1" si="11">IF(K29="","",$B$1-K29)</f>
        <v>7</v>
      </c>
      <c r="L28" s="25">
        <f t="shared" ca="1" si="11"/>
        <v>7</v>
      </c>
      <c r="M28" s="25">
        <f t="shared" ca="1" si="11"/>
        <v>7</v>
      </c>
      <c r="N28" s="25">
        <f t="shared" ca="1" si="11"/>
        <v>7</v>
      </c>
      <c r="O28" s="25">
        <f t="shared" ca="1" si="11"/>
        <v>6</v>
      </c>
      <c r="P28" s="25">
        <f t="shared" ca="1" si="11"/>
        <v>6</v>
      </c>
      <c r="R28" s="25">
        <f t="shared" ref="R28:X28" ca="1" si="12">IF(R29="","",$B$1-R29)</f>
        <v>6</v>
      </c>
      <c r="S28" s="25">
        <f t="shared" ca="1" si="12"/>
        <v>31</v>
      </c>
      <c r="T28" s="25">
        <f t="shared" ca="1" si="12"/>
        <v>31</v>
      </c>
      <c r="U28" s="25">
        <f t="shared" ca="1" si="12"/>
        <v>31</v>
      </c>
      <c r="V28" s="25">
        <f t="shared" ca="1" si="12"/>
        <v>31</v>
      </c>
      <c r="W28" s="25">
        <f t="shared" ca="1" si="12"/>
        <v>31</v>
      </c>
      <c r="X28" s="25">
        <f t="shared" ca="1" si="12"/>
        <v>31</v>
      </c>
      <c r="Z28" s="25">
        <f t="shared" ref="Z28:AI28" ca="1" si="13">IF(Z29="","",$B$1-Z29)</f>
        <v>31</v>
      </c>
      <c r="AA28" s="25">
        <f t="shared" ca="1" si="13"/>
        <v>28</v>
      </c>
      <c r="AB28" s="25">
        <f t="shared" ca="1" si="13"/>
        <v>28</v>
      </c>
      <c r="AC28" s="25">
        <f t="shared" ca="1" si="13"/>
        <v>28</v>
      </c>
      <c r="AD28" s="25">
        <f t="shared" ca="1" si="13"/>
        <v>28</v>
      </c>
      <c r="AE28" s="25">
        <f t="shared" ca="1" si="13"/>
        <v>28</v>
      </c>
      <c r="AF28" s="25">
        <f t="shared" ca="1" si="13"/>
        <v>28</v>
      </c>
      <c r="AG28" s="25">
        <f t="shared" ca="1" si="13"/>
        <v>28</v>
      </c>
      <c r="AH28" s="25">
        <f t="shared" ca="1" si="13"/>
        <v>26</v>
      </c>
      <c r="AI28" s="25">
        <f t="shared" ca="1" si="13"/>
        <v>26</v>
      </c>
      <c r="AJ28" s="54"/>
    </row>
    <row r="29" spans="1:44" ht="39.950000000000003" customHeight="1" thickBot="1" x14ac:dyDescent="0.3">
      <c r="B29" s="53"/>
      <c r="C29" s="59">
        <v>45980</v>
      </c>
      <c r="D29" s="59">
        <v>45980</v>
      </c>
      <c r="E29" s="59">
        <v>45980</v>
      </c>
      <c r="F29" s="59">
        <v>45980</v>
      </c>
      <c r="G29" s="59">
        <v>45980</v>
      </c>
      <c r="H29" s="59">
        <v>45980</v>
      </c>
      <c r="J29" s="59">
        <v>45980</v>
      </c>
      <c r="K29" s="59">
        <v>45987</v>
      </c>
      <c r="L29" s="59">
        <v>45987</v>
      </c>
      <c r="M29" s="59">
        <v>45987</v>
      </c>
      <c r="N29" s="59">
        <v>45987</v>
      </c>
      <c r="O29" s="59">
        <v>45988</v>
      </c>
      <c r="P29" s="59">
        <v>45988</v>
      </c>
      <c r="R29" s="59">
        <v>45988</v>
      </c>
      <c r="S29" s="59">
        <v>45963</v>
      </c>
      <c r="T29" s="59">
        <v>45963</v>
      </c>
      <c r="U29" s="59">
        <v>45963</v>
      </c>
      <c r="V29" s="59">
        <v>45963</v>
      </c>
      <c r="W29" s="59">
        <v>45963</v>
      </c>
      <c r="X29" s="59">
        <v>45963</v>
      </c>
      <c r="Z29" s="59">
        <v>45963</v>
      </c>
      <c r="AA29" s="59">
        <v>45966</v>
      </c>
      <c r="AB29" s="59">
        <v>45966</v>
      </c>
      <c r="AC29" s="59">
        <v>45966</v>
      </c>
      <c r="AD29" s="59">
        <v>45966</v>
      </c>
      <c r="AE29" s="59">
        <v>45966</v>
      </c>
      <c r="AF29" s="59">
        <v>45966</v>
      </c>
      <c r="AG29" s="59">
        <v>45966</v>
      </c>
      <c r="AH29" s="59">
        <v>45968</v>
      </c>
      <c r="AI29" s="59">
        <v>45968</v>
      </c>
      <c r="AJ29" s="54"/>
    </row>
    <row r="30" spans="1:44" ht="15.75" thickBot="1" x14ac:dyDescent="0.3">
      <c r="B30" s="53"/>
      <c r="H30" s="82" t="s">
        <v>184</v>
      </c>
      <c r="I30" s="83"/>
      <c r="J30" s="84"/>
      <c r="AJ30" s="54"/>
    </row>
    <row r="31" spans="1:44" x14ac:dyDescent="0.25">
      <c r="B31" s="53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4"/>
    </row>
    <row r="32" spans="1:44" x14ac:dyDescent="0.25">
      <c r="B32" s="53"/>
      <c r="W32" s="25"/>
      <c r="X32" s="25"/>
      <c r="AG32" s="25" t="s">
        <v>194</v>
      </c>
      <c r="AH32" s="25" t="s">
        <v>194</v>
      </c>
      <c r="AI32" s="25" t="s">
        <v>194</v>
      </c>
      <c r="AJ32" s="54"/>
    </row>
    <row r="33" spans="1:36" ht="39.950000000000003" customHeight="1" x14ac:dyDescent="0.25">
      <c r="B33" s="53"/>
      <c r="W33" s="59" t="s">
        <v>195</v>
      </c>
      <c r="X33" s="59" t="s">
        <v>195</v>
      </c>
      <c r="AG33" s="60" t="s">
        <v>195</v>
      </c>
      <c r="AH33" s="60" t="s">
        <v>195</v>
      </c>
      <c r="AI33" s="60" t="s">
        <v>195</v>
      </c>
      <c r="AJ33" s="54"/>
    </row>
    <row r="34" spans="1:36" ht="15.75" thickBot="1" x14ac:dyDescent="0.3">
      <c r="B34" s="64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7"/>
    </row>
    <row r="36" spans="1:36" ht="16.5" thickBot="1" x14ac:dyDescent="0.3">
      <c r="B36" s="78">
        <v>45978</v>
      </c>
      <c r="C36" s="78"/>
      <c r="D36" s="78"/>
    </row>
    <row r="37" spans="1:36" x14ac:dyDescent="0.25">
      <c r="B37" s="50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2"/>
    </row>
    <row r="38" spans="1:36" x14ac:dyDescent="0.25">
      <c r="B38" s="53"/>
      <c r="R38" s="54"/>
    </row>
    <row r="39" spans="1:36" x14ac:dyDescent="0.25">
      <c r="B39" s="53"/>
      <c r="R39" s="54"/>
    </row>
    <row r="40" spans="1:36" x14ac:dyDescent="0.25">
      <c r="A40">
        <v>12</v>
      </c>
      <c r="B40" s="53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2" t="s">
        <v>144</v>
      </c>
      <c r="P40" s="25" t="s">
        <v>145</v>
      </c>
      <c r="R40" s="54"/>
    </row>
    <row r="41" spans="1:36" x14ac:dyDescent="0.25">
      <c r="A41">
        <v>12</v>
      </c>
      <c r="B41" s="53"/>
      <c r="C41" s="25">
        <f t="shared" ref="C41:O41" ca="1" si="14">IF(C42="","",$B$1-C42)</f>
        <v>22</v>
      </c>
      <c r="D41" s="25">
        <f t="shared" ca="1" si="14"/>
        <v>22</v>
      </c>
      <c r="E41" s="25">
        <f t="shared" ca="1" si="14"/>
        <v>22</v>
      </c>
      <c r="F41" s="25">
        <f t="shared" ca="1" si="14"/>
        <v>22</v>
      </c>
      <c r="G41" s="25">
        <f t="shared" ca="1" si="14"/>
        <v>21</v>
      </c>
      <c r="H41" s="25">
        <f t="shared" ca="1" si="14"/>
        <v>21</v>
      </c>
      <c r="J41" s="25">
        <f t="shared" ca="1" si="14"/>
        <v>21</v>
      </c>
      <c r="K41" s="25">
        <f t="shared" ca="1" si="14"/>
        <v>21</v>
      </c>
      <c r="L41" s="25">
        <f t="shared" ca="1" si="14"/>
        <v>21</v>
      </c>
      <c r="M41" s="25">
        <f t="shared" ca="1" si="14"/>
        <v>21</v>
      </c>
      <c r="N41" s="25">
        <f t="shared" ca="1" si="14"/>
        <v>21</v>
      </c>
      <c r="O41" s="25" t="str">
        <f t="shared" si="14"/>
        <v/>
      </c>
      <c r="P41" s="25"/>
      <c r="R41" s="54"/>
    </row>
    <row r="42" spans="1:36" ht="38.25" customHeight="1" x14ac:dyDescent="0.25">
      <c r="A42">
        <v>12</v>
      </c>
      <c r="B42" s="53"/>
      <c r="C42" s="59">
        <v>45972</v>
      </c>
      <c r="D42" s="59">
        <v>45972</v>
      </c>
      <c r="E42" s="59">
        <v>45972</v>
      </c>
      <c r="F42" s="59">
        <v>45972</v>
      </c>
      <c r="G42" s="59">
        <v>45973</v>
      </c>
      <c r="H42" s="59">
        <v>45973</v>
      </c>
      <c r="J42" s="59">
        <v>45973</v>
      </c>
      <c r="K42" s="59">
        <v>45973</v>
      </c>
      <c r="L42" s="59">
        <v>45973</v>
      </c>
      <c r="M42" s="59">
        <v>45973</v>
      </c>
      <c r="N42" s="59">
        <v>45973</v>
      </c>
      <c r="O42" s="59"/>
      <c r="P42" s="61" t="s">
        <v>117</v>
      </c>
      <c r="R42" s="54"/>
    </row>
    <row r="43" spans="1:36" x14ac:dyDescent="0.25">
      <c r="B43" s="53"/>
      <c r="R43" s="54"/>
    </row>
    <row r="44" spans="1:36" x14ac:dyDescent="0.25">
      <c r="B44" s="53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4"/>
    </row>
    <row r="45" spans="1:36" x14ac:dyDescent="0.25">
      <c r="B45" s="53"/>
      <c r="C45" s="25">
        <f ca="1">IF(C46="","",$B$1-C46)</f>
        <v>24</v>
      </c>
      <c r="D45" s="25">
        <f ca="1">IF(D46="","",$B$1-D46)</f>
        <v>24</v>
      </c>
      <c r="E45" s="25">
        <f ca="1">IF(E46="","",$B$1-E46)</f>
        <v>23</v>
      </c>
      <c r="F45" s="25">
        <f ca="1">IF(F46="","",$B$1-F46)</f>
        <v>23</v>
      </c>
      <c r="H45" s="25">
        <f ca="1">IF(H46="","",$B$1-H46)</f>
        <v>23</v>
      </c>
      <c r="J45" s="25">
        <f t="shared" ref="J45:P45" ca="1" si="15">IF(J46="","",$B$1-J46)</f>
        <v>23</v>
      </c>
      <c r="K45" s="25">
        <f t="shared" ca="1" si="15"/>
        <v>23</v>
      </c>
      <c r="L45" s="25">
        <f t="shared" ca="1" si="15"/>
        <v>23</v>
      </c>
      <c r="M45" s="25">
        <f t="shared" ca="1" si="15"/>
        <v>23</v>
      </c>
      <c r="N45" s="25">
        <f t="shared" ca="1" si="15"/>
        <v>22</v>
      </c>
      <c r="O45" s="25">
        <f t="shared" ca="1" si="15"/>
        <v>22</v>
      </c>
      <c r="P45" s="25">
        <f t="shared" ca="1" si="15"/>
        <v>22</v>
      </c>
      <c r="R45" s="54"/>
    </row>
    <row r="46" spans="1:36" ht="38.25" customHeight="1" x14ac:dyDescent="0.25">
      <c r="B46" s="53"/>
      <c r="C46" s="59">
        <v>45970</v>
      </c>
      <c r="D46" s="59">
        <v>45970</v>
      </c>
      <c r="E46" s="59">
        <v>45971</v>
      </c>
      <c r="F46" s="59">
        <v>45971</v>
      </c>
      <c r="H46" s="59">
        <v>45971</v>
      </c>
      <c r="J46" s="59">
        <v>45971</v>
      </c>
      <c r="K46" s="59">
        <v>45971</v>
      </c>
      <c r="L46" s="59">
        <v>45971</v>
      </c>
      <c r="M46" s="59">
        <v>45971</v>
      </c>
      <c r="N46" s="59">
        <v>45972</v>
      </c>
      <c r="O46" s="59">
        <v>45972</v>
      </c>
      <c r="P46" s="59">
        <v>45972</v>
      </c>
      <c r="R46" s="54"/>
    </row>
    <row r="47" spans="1:36" x14ac:dyDescent="0.25">
      <c r="B47" s="53"/>
      <c r="R47" s="54"/>
    </row>
    <row r="48" spans="1:36" x14ac:dyDescent="0.25">
      <c r="B48" s="53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4"/>
    </row>
    <row r="49" spans="1:29" x14ac:dyDescent="0.25">
      <c r="B49" s="53"/>
      <c r="C49" s="25">
        <f ca="1">IF(C50="","",$B$1-C50)</f>
        <v>25</v>
      </c>
      <c r="D49" s="25">
        <f ca="1">IF(D50="","",$B$1-D50)</f>
        <v>25</v>
      </c>
      <c r="E49" s="25">
        <f ca="1">IF(E50="","",$B$1-E50)</f>
        <v>25</v>
      </c>
      <c r="F49" s="25">
        <f ca="1">IF(F50="","",$B$1-F50)</f>
        <v>25</v>
      </c>
      <c r="H49" s="25">
        <f ca="1">IF(H50="","",$B$1-H50)</f>
        <v>25</v>
      </c>
      <c r="J49" s="25">
        <f t="shared" ref="J49:P49" ca="1" si="16">IF(J50="","",$B$1-J50)</f>
        <v>25</v>
      </c>
      <c r="K49" s="25">
        <f t="shared" ca="1" si="16"/>
        <v>25</v>
      </c>
      <c r="L49" s="25">
        <f t="shared" ca="1" si="16"/>
        <v>24</v>
      </c>
      <c r="M49" s="25">
        <f t="shared" ca="1" si="16"/>
        <v>24</v>
      </c>
      <c r="N49" s="25">
        <f t="shared" ca="1" si="16"/>
        <v>24</v>
      </c>
      <c r="O49" s="25">
        <f t="shared" ca="1" si="16"/>
        <v>24</v>
      </c>
      <c r="P49" s="25">
        <f t="shared" ca="1" si="16"/>
        <v>24</v>
      </c>
      <c r="R49" s="54"/>
    </row>
    <row r="50" spans="1:29" ht="38.25" customHeight="1" thickBot="1" x14ac:dyDescent="0.3">
      <c r="B50" s="53"/>
      <c r="C50" s="59">
        <v>45969</v>
      </c>
      <c r="D50" s="59">
        <v>45969</v>
      </c>
      <c r="E50" s="59">
        <v>45969</v>
      </c>
      <c r="F50" s="59">
        <v>45969</v>
      </c>
      <c r="H50" s="59">
        <v>45969</v>
      </c>
      <c r="J50" s="59">
        <v>45969</v>
      </c>
      <c r="K50" s="59">
        <v>45969</v>
      </c>
      <c r="L50" s="59">
        <v>45970</v>
      </c>
      <c r="M50" s="59">
        <v>45970</v>
      </c>
      <c r="N50" s="59">
        <v>45970</v>
      </c>
      <c r="O50" s="59">
        <v>45970</v>
      </c>
      <c r="P50" s="59">
        <v>45970</v>
      </c>
      <c r="R50" s="54"/>
    </row>
    <row r="51" spans="1:29" ht="15.75" thickBot="1" x14ac:dyDescent="0.3">
      <c r="B51" s="64"/>
      <c r="C51" s="66"/>
      <c r="D51" s="66"/>
      <c r="E51" s="66"/>
      <c r="F51" s="82" t="s">
        <v>184</v>
      </c>
      <c r="G51" s="83"/>
      <c r="H51" s="84"/>
      <c r="I51" s="66"/>
      <c r="J51" s="66"/>
      <c r="K51" s="66"/>
      <c r="L51" s="66"/>
      <c r="M51" s="66"/>
      <c r="N51" s="66"/>
      <c r="O51" s="66"/>
      <c r="P51" s="66"/>
      <c r="Q51" s="66"/>
      <c r="R51" s="67"/>
    </row>
    <row r="52" spans="1:29" x14ac:dyDescent="0.25">
      <c r="F52" s="73"/>
      <c r="G52" s="73"/>
      <c r="H52" s="73"/>
    </row>
    <row r="53" spans="1:29" ht="15.75" thickBot="1" x14ac:dyDescent="0.3"/>
    <row r="54" spans="1:29" x14ac:dyDescent="0.25">
      <c r="B54" s="50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2"/>
    </row>
    <row r="55" spans="1:29" x14ac:dyDescent="0.25">
      <c r="B55" s="53"/>
      <c r="AC55" s="54"/>
    </row>
    <row r="56" spans="1:29" x14ac:dyDescent="0.25">
      <c r="B56" s="53"/>
      <c r="AC56" s="54"/>
    </row>
    <row r="57" spans="1:29" x14ac:dyDescent="0.25">
      <c r="B57" s="53"/>
      <c r="C57" s="72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2" t="s">
        <v>78</v>
      </c>
      <c r="AB57" s="72" t="s">
        <v>79</v>
      </c>
      <c r="AC57" s="54"/>
    </row>
    <row r="58" spans="1:29" ht="15.75" thickBot="1" x14ac:dyDescent="0.3">
      <c r="A58">
        <v>23</v>
      </c>
      <c r="B58" s="53"/>
      <c r="C58" s="25">
        <f t="shared" ref="C58:H58" ca="1" si="17">IF(C59="","",$B$1-C59)</f>
        <v>17</v>
      </c>
      <c r="D58" s="25">
        <f t="shared" ca="1" si="17"/>
        <v>17</v>
      </c>
      <c r="E58" s="25">
        <f t="shared" ca="1" si="17"/>
        <v>17</v>
      </c>
      <c r="F58" s="25">
        <f t="shared" ca="1" si="17"/>
        <v>17</v>
      </c>
      <c r="G58" s="25">
        <f t="shared" ca="1" si="17"/>
        <v>17</v>
      </c>
      <c r="H58" s="25">
        <f t="shared" ca="1" si="17"/>
        <v>17</v>
      </c>
      <c r="J58" s="25">
        <f t="shared" ref="J58:P58" ca="1" si="18">IF(J59="","",$B$1-J59)</f>
        <v>17</v>
      </c>
      <c r="K58" s="25">
        <f t="shared" ca="1" si="18"/>
        <v>16</v>
      </c>
      <c r="L58" s="25">
        <f t="shared" ca="1" si="18"/>
        <v>16</v>
      </c>
      <c r="M58" s="25">
        <f t="shared" ca="1" si="18"/>
        <v>16</v>
      </c>
      <c r="N58" s="25">
        <f t="shared" ca="1" si="18"/>
        <v>16</v>
      </c>
      <c r="O58" s="25">
        <f t="shared" ca="1" si="18"/>
        <v>16</v>
      </c>
      <c r="P58" s="25">
        <f t="shared" ca="1" si="18"/>
        <v>16</v>
      </c>
      <c r="R58" s="25">
        <f t="shared" ref="R58:X58" ca="1" si="19">IF(R59="","",$B$1-R59)</f>
        <v>16</v>
      </c>
      <c r="S58" s="25">
        <f t="shared" ca="1" si="19"/>
        <v>15</v>
      </c>
      <c r="T58" s="25">
        <f t="shared" ca="1" si="19"/>
        <v>15</v>
      </c>
      <c r="U58" s="25">
        <f t="shared" ca="1" si="19"/>
        <v>15</v>
      </c>
      <c r="V58" s="25">
        <f t="shared" ca="1" si="19"/>
        <v>15</v>
      </c>
      <c r="W58" s="25">
        <f t="shared" ca="1" si="19"/>
        <v>15</v>
      </c>
      <c r="X58" s="25">
        <f t="shared" ca="1" si="19"/>
        <v>15</v>
      </c>
      <c r="Z58" s="25">
        <f ca="1">IF(Z59="","",$B$1-Z59)</f>
        <v>15</v>
      </c>
      <c r="AA58" s="25" t="str">
        <f>IF(AA59="","",$B$1-AA59)</f>
        <v/>
      </c>
      <c r="AB58" s="25" t="str">
        <f>IF(AB59="","",$B$1-AB59)</f>
        <v/>
      </c>
      <c r="AC58" s="54"/>
    </row>
    <row r="59" spans="1:29" ht="39.950000000000003" customHeight="1" x14ac:dyDescent="0.25">
      <c r="A59">
        <v>23</v>
      </c>
      <c r="B59" s="79" t="s">
        <v>184</v>
      </c>
      <c r="C59" s="59">
        <v>45977</v>
      </c>
      <c r="D59" s="59">
        <v>45977</v>
      </c>
      <c r="E59" s="59">
        <v>45977</v>
      </c>
      <c r="F59" s="59">
        <v>45977</v>
      </c>
      <c r="G59" s="59">
        <v>45977</v>
      </c>
      <c r="H59" s="59">
        <v>45977</v>
      </c>
      <c r="I59" s="74"/>
      <c r="J59" s="59">
        <v>45977</v>
      </c>
      <c r="K59" s="59">
        <v>45978</v>
      </c>
      <c r="L59" s="59">
        <v>45978</v>
      </c>
      <c r="M59" s="59">
        <v>45978</v>
      </c>
      <c r="N59" s="59">
        <v>45978</v>
      </c>
      <c r="O59" s="59">
        <v>45978</v>
      </c>
      <c r="P59" s="59">
        <v>45978</v>
      </c>
      <c r="Q59" s="74"/>
      <c r="R59" s="59">
        <v>45978</v>
      </c>
      <c r="S59" s="59">
        <v>45979</v>
      </c>
      <c r="T59" s="59">
        <v>45979</v>
      </c>
      <c r="U59" s="59">
        <v>45979</v>
      </c>
      <c r="V59" s="59">
        <v>45979</v>
      </c>
      <c r="W59" s="59">
        <v>45979</v>
      </c>
      <c r="X59" s="59">
        <v>45979</v>
      </c>
      <c r="Y59" s="74"/>
      <c r="Z59" s="59">
        <v>45979</v>
      </c>
      <c r="AA59" s="59"/>
      <c r="AB59" s="59"/>
      <c r="AC59" s="54"/>
    </row>
    <row r="60" spans="1:29" x14ac:dyDescent="0.25">
      <c r="B60" s="80"/>
      <c r="AC60" s="54"/>
    </row>
    <row r="61" spans="1:29" x14ac:dyDescent="0.25">
      <c r="B61" s="80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4"/>
    </row>
    <row r="62" spans="1:29" ht="15.75" thickBot="1" x14ac:dyDescent="0.3">
      <c r="B62" s="81"/>
      <c r="C62" s="25" t="str">
        <f t="shared" ref="C62:H62" si="20">IF(C63="","",$B$1-C63)</f>
        <v/>
      </c>
      <c r="D62" s="25">
        <f t="shared" ca="1" si="20"/>
        <v>18</v>
      </c>
      <c r="E62" s="25">
        <f t="shared" ca="1" si="20"/>
        <v>18</v>
      </c>
      <c r="F62" s="25">
        <f t="shared" ca="1" si="20"/>
        <v>18</v>
      </c>
      <c r="G62" s="25">
        <f t="shared" ca="1" si="20"/>
        <v>18</v>
      </c>
      <c r="H62" s="25">
        <f t="shared" ca="1" si="20"/>
        <v>18</v>
      </c>
      <c r="J62" s="25">
        <f t="shared" ref="J62:P62" ca="1" si="21">IF(J63="","",$B$1-J63)</f>
        <v>18</v>
      </c>
      <c r="K62" s="25">
        <f t="shared" ca="1" si="21"/>
        <v>18</v>
      </c>
      <c r="L62" s="25">
        <f t="shared" ca="1" si="21"/>
        <v>18</v>
      </c>
      <c r="M62" s="25">
        <f t="shared" ca="1" si="21"/>
        <v>19</v>
      </c>
      <c r="N62" s="25">
        <f t="shared" ca="1" si="21"/>
        <v>19</v>
      </c>
      <c r="O62" s="25">
        <f t="shared" ca="1" si="21"/>
        <v>19</v>
      </c>
      <c r="P62" s="25">
        <f t="shared" ca="1" si="21"/>
        <v>19</v>
      </c>
      <c r="R62" s="25">
        <f t="shared" ref="R62:X62" ca="1" si="22">IF(R63="","",$B$1-R63)</f>
        <v>19</v>
      </c>
      <c r="S62" s="25">
        <f t="shared" ca="1" si="22"/>
        <v>19</v>
      </c>
      <c r="T62" s="25">
        <f t="shared" ca="1" si="22"/>
        <v>19</v>
      </c>
      <c r="U62" s="25">
        <f t="shared" ca="1" si="22"/>
        <v>20</v>
      </c>
      <c r="V62" s="25">
        <f t="shared" ca="1" si="22"/>
        <v>20</v>
      </c>
      <c r="W62" s="25">
        <f t="shared" ca="1" si="22"/>
        <v>20</v>
      </c>
      <c r="X62" s="25">
        <f t="shared" ca="1" si="22"/>
        <v>20</v>
      </c>
      <c r="Z62" s="25">
        <f ca="1">IF(Z63="","",$B$1-Z63)</f>
        <v>20</v>
      </c>
      <c r="AA62" s="25">
        <f ca="1">IF(AA63="","",$B$1-AA63)</f>
        <v>20</v>
      </c>
      <c r="AB62" s="25">
        <f ca="1">IF(AB63="","",$B$1-AB63)</f>
        <v>20</v>
      </c>
      <c r="AC62" s="54"/>
    </row>
    <row r="63" spans="1:29" ht="39.950000000000003" customHeight="1" x14ac:dyDescent="0.25">
      <c r="B63" s="53"/>
      <c r="C63" s="59"/>
      <c r="D63" s="59">
        <v>45976</v>
      </c>
      <c r="E63" s="59">
        <v>45976</v>
      </c>
      <c r="F63" s="59">
        <v>45976</v>
      </c>
      <c r="G63" s="59">
        <v>45976</v>
      </c>
      <c r="H63" s="59">
        <v>45976</v>
      </c>
      <c r="I63" s="74"/>
      <c r="J63" s="59">
        <v>45976</v>
      </c>
      <c r="K63" s="59">
        <v>45976</v>
      </c>
      <c r="L63" s="59">
        <v>45976</v>
      </c>
      <c r="M63" s="59">
        <v>45975</v>
      </c>
      <c r="N63" s="59">
        <v>45975</v>
      </c>
      <c r="O63" s="59">
        <v>45975</v>
      </c>
      <c r="P63" s="59">
        <v>45975</v>
      </c>
      <c r="Q63" s="74"/>
      <c r="R63" s="59">
        <v>45975</v>
      </c>
      <c r="S63" s="59">
        <v>45975</v>
      </c>
      <c r="T63" s="59">
        <v>45975</v>
      </c>
      <c r="U63" s="59">
        <v>45974</v>
      </c>
      <c r="V63" s="59">
        <v>45974</v>
      </c>
      <c r="W63" s="59">
        <v>45974</v>
      </c>
      <c r="X63" s="59">
        <v>45974</v>
      </c>
      <c r="Y63" s="74"/>
      <c r="Z63" s="59">
        <v>45974</v>
      </c>
      <c r="AA63" s="59">
        <v>45974</v>
      </c>
      <c r="AB63" s="59">
        <v>45974</v>
      </c>
      <c r="AC63" s="54"/>
    </row>
    <row r="64" spans="1:29" ht="15.75" thickBot="1" x14ac:dyDescent="0.3">
      <c r="B64" s="64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7"/>
    </row>
    <row r="66" spans="1:28" ht="15.75" thickBot="1" x14ac:dyDescent="0.3"/>
    <row r="67" spans="1:28" x14ac:dyDescent="0.25">
      <c r="B67" s="50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2"/>
    </row>
    <row r="68" spans="1:28" x14ac:dyDescent="0.25">
      <c r="B68" s="53"/>
      <c r="AB68" s="54"/>
    </row>
    <row r="69" spans="1:28" x14ac:dyDescent="0.25">
      <c r="B69" s="53"/>
      <c r="AB69" s="54"/>
    </row>
    <row r="70" spans="1:28" x14ac:dyDescent="0.25">
      <c r="B70" s="53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4"/>
    </row>
    <row r="71" spans="1:28" ht="15.75" thickBot="1" x14ac:dyDescent="0.3">
      <c r="B71" s="53"/>
      <c r="C71" s="25">
        <f t="shared" ref="C71:H71" ca="1" si="23">IF(C72="","",$B$1-C72)</f>
        <v>33</v>
      </c>
      <c r="D71" s="25">
        <f t="shared" ca="1" si="23"/>
        <v>33</v>
      </c>
      <c r="E71" s="25">
        <f t="shared" ca="1" si="23"/>
        <v>33</v>
      </c>
      <c r="F71" s="25">
        <f t="shared" ca="1" si="23"/>
        <v>33</v>
      </c>
      <c r="G71" s="25">
        <f t="shared" ca="1" si="23"/>
        <v>33</v>
      </c>
      <c r="H71" s="25">
        <f t="shared" ca="1" si="23"/>
        <v>33</v>
      </c>
      <c r="J71" s="25">
        <f ca="1">IF(J72="","",$B$1-J72)</f>
        <v>33</v>
      </c>
      <c r="K71" s="25">
        <f t="shared" ref="K71:P71" ca="1" si="24">IF(K72="","",$B$1-K72)</f>
        <v>34</v>
      </c>
      <c r="L71" s="25">
        <f t="shared" ca="1" si="24"/>
        <v>34</v>
      </c>
      <c r="M71" s="25">
        <f t="shared" ca="1" si="24"/>
        <v>34</v>
      </c>
      <c r="N71" s="25">
        <f t="shared" ca="1" si="24"/>
        <v>34</v>
      </c>
      <c r="O71" s="25">
        <f t="shared" ca="1" si="24"/>
        <v>34</v>
      </c>
      <c r="P71" s="25">
        <f t="shared" ca="1" si="24"/>
        <v>34</v>
      </c>
      <c r="R71" s="25">
        <f t="shared" ref="R71:X71" ca="1" si="25">IF(R72="","",$B$1-R72)</f>
        <v>34</v>
      </c>
      <c r="S71" s="25">
        <f t="shared" ca="1" si="25"/>
        <v>35</v>
      </c>
      <c r="T71" s="25">
        <f t="shared" ca="1" si="25"/>
        <v>35</v>
      </c>
      <c r="U71" s="25">
        <f t="shared" ca="1" si="25"/>
        <v>35</v>
      </c>
      <c r="V71" s="25">
        <f t="shared" ca="1" si="25"/>
        <v>6</v>
      </c>
      <c r="W71" s="25">
        <f t="shared" ca="1" si="25"/>
        <v>6</v>
      </c>
      <c r="X71" s="25">
        <f t="shared" ca="1" si="25"/>
        <v>6</v>
      </c>
      <c r="Z71" s="25">
        <f ca="1">IF(Z72="","",$B$1-Z72)</f>
        <v>6</v>
      </c>
      <c r="AB71" s="54"/>
    </row>
    <row r="72" spans="1:28" ht="39.950000000000003" customHeight="1" x14ac:dyDescent="0.25">
      <c r="B72" s="53"/>
      <c r="C72" s="59">
        <v>45961</v>
      </c>
      <c r="D72" s="59">
        <v>45961</v>
      </c>
      <c r="E72" s="59">
        <v>45961</v>
      </c>
      <c r="F72" s="59">
        <v>45961</v>
      </c>
      <c r="G72" s="59">
        <v>45961</v>
      </c>
      <c r="H72" s="59">
        <v>45961</v>
      </c>
      <c r="I72" s="74"/>
      <c r="J72" s="59">
        <v>45961</v>
      </c>
      <c r="K72" s="59">
        <v>45960</v>
      </c>
      <c r="L72" s="59">
        <v>45960</v>
      </c>
      <c r="M72" s="59">
        <v>45960</v>
      </c>
      <c r="N72" s="59">
        <v>45960</v>
      </c>
      <c r="O72" s="59">
        <v>45960</v>
      </c>
      <c r="P72" s="59">
        <v>45960</v>
      </c>
      <c r="Q72" s="74"/>
      <c r="R72" s="59">
        <v>45960</v>
      </c>
      <c r="S72" s="59">
        <v>45959</v>
      </c>
      <c r="T72" s="59">
        <v>45959</v>
      </c>
      <c r="U72" s="59">
        <v>45959</v>
      </c>
      <c r="V72" s="59">
        <v>45988</v>
      </c>
      <c r="W72" s="59">
        <v>45988</v>
      </c>
      <c r="X72" s="59">
        <v>45988</v>
      </c>
      <c r="Y72" s="74"/>
      <c r="Z72" s="59">
        <v>45988</v>
      </c>
      <c r="AB72" s="75" t="s">
        <v>196</v>
      </c>
    </row>
    <row r="73" spans="1:28" x14ac:dyDescent="0.25">
      <c r="B73" s="53"/>
      <c r="AB73" s="76"/>
    </row>
    <row r="74" spans="1:28" x14ac:dyDescent="0.25">
      <c r="B74" s="53"/>
      <c r="C74" s="25" t="s">
        <v>197</v>
      </c>
      <c r="D74" s="72" t="s">
        <v>175</v>
      </c>
      <c r="E74" s="72" t="s">
        <v>174</v>
      </c>
      <c r="F74" s="72" t="s">
        <v>173</v>
      </c>
      <c r="G74" s="72" t="s">
        <v>172</v>
      </c>
      <c r="H74" s="72" t="s">
        <v>171</v>
      </c>
      <c r="J74" s="72" t="s">
        <v>170</v>
      </c>
      <c r="K74" s="72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76"/>
    </row>
    <row r="75" spans="1:28" ht="15.75" thickBot="1" x14ac:dyDescent="0.3">
      <c r="B75" s="53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77"/>
    </row>
    <row r="76" spans="1:28" ht="39.950000000000003" customHeight="1" x14ac:dyDescent="0.25">
      <c r="B76" s="53"/>
      <c r="C76" s="58"/>
      <c r="D76" s="58" t="s">
        <v>211</v>
      </c>
      <c r="E76" s="58" t="s">
        <v>211</v>
      </c>
      <c r="F76" s="58" t="s">
        <v>211</v>
      </c>
      <c r="G76" s="58" t="s">
        <v>211</v>
      </c>
      <c r="H76" s="58" t="s">
        <v>211</v>
      </c>
      <c r="I76" s="74"/>
      <c r="J76" s="58" t="s">
        <v>211</v>
      </c>
      <c r="K76" s="58" t="s">
        <v>211</v>
      </c>
      <c r="L76" s="58" t="s">
        <v>211</v>
      </c>
      <c r="M76" s="58" t="s">
        <v>211</v>
      </c>
      <c r="N76" s="58" t="s">
        <v>211</v>
      </c>
      <c r="O76" s="58" t="s">
        <v>211</v>
      </c>
      <c r="P76" s="58" t="s">
        <v>211</v>
      </c>
      <c r="Q76" s="74"/>
      <c r="R76" s="58" t="s">
        <v>211</v>
      </c>
      <c r="S76" s="58" t="s">
        <v>211</v>
      </c>
      <c r="T76" s="58" t="s">
        <v>211</v>
      </c>
      <c r="U76" s="58" t="s">
        <v>211</v>
      </c>
      <c r="V76" s="58" t="s">
        <v>211</v>
      </c>
      <c r="W76" s="58" t="s">
        <v>211</v>
      </c>
      <c r="X76" s="58"/>
      <c r="Y76" s="74"/>
      <c r="Z76" s="58"/>
      <c r="AB76" s="54"/>
    </row>
    <row r="77" spans="1:28" x14ac:dyDescent="0.25">
      <c r="B77" s="53"/>
      <c r="AB77" s="54"/>
    </row>
    <row r="78" spans="1:28" ht="15.75" thickBot="1" x14ac:dyDescent="0.3">
      <c r="B78" s="64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7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10:F10 C14:H14 J14:P14">
    <cfRule type="dataBar" priority="22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959" priority="77">
      <formula>LEN(TRIM(C42))=0</formula>
    </cfRule>
    <cfRule type="notContainsBlanks" dxfId="958" priority="78">
      <formula>LEN(TRIM(C42))&gt;0</formula>
    </cfRule>
    <cfRule type="containsBlanks" dxfId="957" priority="79">
      <formula>LEN(TRIM(C42))=0</formula>
    </cfRule>
    <cfRule type="notContainsBlanks" dxfId="956" priority="80">
      <formula>LEN(TRIM(C42))&gt;0</formula>
    </cfRule>
  </conditionalFormatting>
  <conditionalFormatting sqref="C46:F46">
    <cfRule type="containsBlanks" dxfId="955" priority="91">
      <formula>LEN(TRIM(C46))=0</formula>
    </cfRule>
    <cfRule type="notContainsBlanks" dxfId="954" priority="92">
      <formula>LEN(TRIM(C46))&gt;0</formula>
    </cfRule>
  </conditionalFormatting>
  <conditionalFormatting sqref="C50:F50">
    <cfRule type="containsBlanks" dxfId="953" priority="231">
      <formula>LEN(TRIM(C50))=0</formula>
    </cfRule>
    <cfRule type="notContainsBlanks" dxfId="952" priority="232">
      <formula>LEN(TRIM(C50))&gt;0</formula>
    </cfRule>
  </conditionalFormatting>
  <conditionalFormatting sqref="C6:G6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951" priority="178">
      <formula>LEN(TRIM(C7))=0</formula>
    </cfRule>
    <cfRule type="notContainsBlanks" dxfId="950" priority="179">
      <formula>LEN(TRIM(C7))&gt;0</formula>
    </cfRule>
  </conditionalFormatting>
  <conditionalFormatting sqref="C11:H11">
    <cfRule type="containsBlanks" dxfId="949" priority="224">
      <formula>LEN(TRIM(C11))=0</formula>
    </cfRule>
    <cfRule type="notContainsBlanks" dxfId="948" priority="225">
      <formula>LEN(TRIM(C11))&gt;0</formula>
    </cfRule>
  </conditionalFormatting>
  <conditionalFormatting sqref="C15:H15">
    <cfRule type="containsBlanks" dxfId="947" priority="43">
      <formula>LEN(TRIM(C15))=0</formula>
    </cfRule>
    <cfRule type="notContainsBlanks" dxfId="946" priority="44">
      <formula>LEN(TRIM(C15))&gt;0</formula>
    </cfRule>
  </conditionalFormatting>
  <conditionalFormatting sqref="C24:H24 J24:P24 R24 AA24:AI2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945" priority="139">
      <formula>LEN(TRIM(C25))=0</formula>
    </cfRule>
    <cfRule type="notContainsBlanks" dxfId="944" priority="140">
      <formula>LEN(TRIM(C25))&gt;0</formula>
    </cfRule>
  </conditionalFormatting>
  <conditionalFormatting sqref="C28:H28 J28:P28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943" priority="45">
      <formula>LEN(TRIM(C29))=0</formula>
    </cfRule>
    <cfRule type="notContainsBlanks" dxfId="942" priority="46">
      <formula>LEN(TRIM(C29))&gt;0</formula>
    </cfRule>
  </conditionalFormatting>
  <conditionalFormatting sqref="C41:H41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941" priority="81">
      <formula>LEN(TRIM(C42))=0</formula>
    </cfRule>
    <cfRule type="notContainsBlanks" dxfId="940" priority="82">
      <formula>LEN(TRIM(C42))&gt;0</formula>
    </cfRule>
  </conditionalFormatting>
  <conditionalFormatting sqref="C58:H58 R58:X58 Z58:AB58 J58:P58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939" priority="145">
      <formula>LEN(TRIM(C59))=0</formula>
    </cfRule>
    <cfRule type="notContainsBlanks" dxfId="938" priority="146">
      <formula>LEN(TRIM(C59))&gt;0</formula>
    </cfRule>
  </conditionalFormatting>
  <conditionalFormatting sqref="C62:H62 R62:X62 Z62:AB62 J62:P62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937" priority="61">
      <formula>LEN(TRIM(C63))=0</formula>
    </cfRule>
    <cfRule type="notContainsBlanks" dxfId="936" priority="62">
      <formula>LEN(TRIM(C63))&gt;0</formula>
    </cfRule>
  </conditionalFormatting>
  <conditionalFormatting sqref="C72:H72">
    <cfRule type="containsBlanks" dxfId="935" priority="109">
      <formula>LEN(TRIM(C72))=0</formula>
    </cfRule>
    <cfRule type="notContainsBlanks" dxfId="934" priority="110">
      <formula>LEN(TRIM(C72))&gt;0</formula>
    </cfRule>
    <cfRule type="containsBlanks" dxfId="933" priority="111">
      <formula>LEN(TRIM(C72))=0</formula>
    </cfRule>
    <cfRule type="notContainsBlanks" dxfId="932" priority="112">
      <formula>LEN(TRIM(C72))&gt;0</formula>
    </cfRule>
  </conditionalFormatting>
  <conditionalFormatting sqref="C76:H76">
    <cfRule type="containsBlanks" dxfId="931" priority="176">
      <formula>LEN(TRIM(C76))=0</formula>
    </cfRule>
    <cfRule type="notContainsBlanks" dxfId="930" priority="177">
      <formula>LEN(TRIM(C76))&gt;0</formula>
    </cfRule>
  </conditionalFormatting>
  <conditionalFormatting sqref="D63:H63">
    <cfRule type="containsBlanks" dxfId="929" priority="59">
      <formula>LEN(TRIM(D63))=0</formula>
    </cfRule>
    <cfRule type="notContainsBlanks" dxfId="928" priority="60">
      <formula>LEN(TRIM(D63))&gt;0</formula>
    </cfRule>
  </conditionalFormatting>
  <conditionalFormatting sqref="E45:F45 H45 J45:P45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927" priority="210">
      <formula>LEN(TRIM(E46))=0</formula>
    </cfRule>
    <cfRule type="notContainsBlanks" dxfId="926" priority="211">
      <formula>LEN(TRIM(E46))&gt;0</formula>
    </cfRule>
  </conditionalFormatting>
  <conditionalFormatting sqref="E10:H10 J10:P10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G10:H10 J10:P10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925" priority="164">
      <formula>LEN(TRIM(G42))=0</formula>
    </cfRule>
    <cfRule type="notContainsBlanks" dxfId="924" priority="165">
      <formula>LEN(TRIM(G42))&gt;0</formula>
    </cfRule>
  </conditionalFormatting>
  <conditionalFormatting sqref="H6">
    <cfRule type="dataBar" priority="1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1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2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923" priority="87">
      <formula>LEN(TRIM(H46))=0</formula>
    </cfRule>
    <cfRule type="notContainsBlanks" dxfId="922" priority="88">
      <formula>LEN(TRIM(H46))&gt;0</formula>
    </cfRule>
    <cfRule type="containsBlanks" dxfId="921" priority="89">
      <formula>LEN(TRIM(H46))=0</formula>
    </cfRule>
    <cfRule type="notContainsBlanks" dxfId="920" priority="90">
      <formula>LEN(TRIM(H46))&gt;0</formula>
    </cfRule>
  </conditionalFormatting>
  <conditionalFormatting sqref="H50">
    <cfRule type="containsBlanks" dxfId="919" priority="95">
      <formula>LEN(TRIM(H50))=0</formula>
    </cfRule>
    <cfRule type="notContainsBlanks" dxfId="918" priority="96">
      <formula>LEN(TRIM(H50))&gt;0</formula>
    </cfRule>
  </conditionalFormatting>
  <conditionalFormatting sqref="I10">
    <cfRule type="dataBar" priority="22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4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1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917" priority="202">
      <formula>LEN(TRIM(J72))=0</formula>
    </cfRule>
    <cfRule type="notContainsBlanks" dxfId="916" priority="203">
      <formula>LEN(TRIM(J72))&gt;0</formula>
    </cfRule>
  </conditionalFormatting>
  <conditionalFormatting sqref="J20:K20">
    <cfRule type="dataBar" priority="28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915" priority="97">
      <formula>LEN(TRIM(J21))=0</formula>
    </cfRule>
    <cfRule type="notContainsBlanks" dxfId="914" priority="98">
      <formula>LEN(TRIM(J21))&gt;0</formula>
    </cfRule>
  </conditionalFormatting>
  <conditionalFormatting sqref="J63:L63">
    <cfRule type="containsBlanks" dxfId="913" priority="143">
      <formula>LEN(TRIM(J63))=0</formula>
    </cfRule>
    <cfRule type="notContainsBlanks" dxfId="912" priority="144">
      <formula>LEN(TRIM(J63))&gt;0</formula>
    </cfRule>
  </conditionalFormatting>
  <conditionalFormatting sqref="J46:M46">
    <cfRule type="containsBlanks" dxfId="911" priority="83">
      <formula>LEN(TRIM(J46))=0</formula>
    </cfRule>
    <cfRule type="notContainsBlanks" dxfId="910" priority="84">
      <formula>LEN(TRIM(J46))&gt;0</formula>
    </cfRule>
  </conditionalFormatting>
  <conditionalFormatting sqref="J42:N42">
    <cfRule type="containsBlanks" dxfId="909" priority="73">
      <formula>LEN(TRIM(J42))=0</formula>
    </cfRule>
    <cfRule type="notContainsBlanks" dxfId="908" priority="74">
      <formula>LEN(TRIM(J42))&gt;0</formula>
    </cfRule>
  </conditionalFormatting>
  <conditionalFormatting sqref="J41:O41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907" priority="137">
      <formula>LEN(TRIM(J7))=0</formula>
    </cfRule>
    <cfRule type="notContainsBlanks" dxfId="906" priority="138">
      <formula>LEN(TRIM(J7))&gt;0</formula>
    </cfRule>
  </conditionalFormatting>
  <conditionalFormatting sqref="J11:P11">
    <cfRule type="containsBlanks" dxfId="905" priority="39">
      <formula>LEN(TRIM(J11))=0</formula>
    </cfRule>
    <cfRule type="notContainsBlanks" dxfId="904" priority="40">
      <formula>LEN(TRIM(J11))&gt;0</formula>
    </cfRule>
  </conditionalFormatting>
  <conditionalFormatting sqref="J15:P15">
    <cfRule type="containsBlanks" dxfId="903" priority="41">
      <formula>LEN(TRIM(J15))=0</formula>
    </cfRule>
    <cfRule type="notContainsBlanks" dxfId="902" priority="42">
      <formula>LEN(TRIM(J15))&gt;0</formula>
    </cfRule>
  </conditionalFormatting>
  <conditionalFormatting sqref="J25:P25">
    <cfRule type="containsBlanks" dxfId="901" priority="19">
      <formula>LEN(TRIM(J25))=0</formula>
    </cfRule>
    <cfRule type="notContainsBlanks" dxfId="900" priority="20">
      <formula>LEN(TRIM(J25))&gt;0</formula>
    </cfRule>
  </conditionalFormatting>
  <conditionalFormatting sqref="J29:P29">
    <cfRule type="containsBlanks" dxfId="899" priority="3">
      <formula>LEN(TRIM(J29))=0</formula>
    </cfRule>
    <cfRule type="notContainsBlanks" dxfId="898" priority="4">
      <formula>LEN(TRIM(J29))&gt;0</formula>
    </cfRule>
  </conditionalFormatting>
  <conditionalFormatting sqref="J42:P42">
    <cfRule type="containsBlanks" dxfId="897" priority="75">
      <formula>LEN(TRIM(J42))=0</formula>
    </cfRule>
    <cfRule type="notContainsBlanks" dxfId="896" priority="76">
      <formula>LEN(TRIM(J42))&gt;0</formula>
    </cfRule>
  </conditionalFormatting>
  <conditionalFormatting sqref="J45:P45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895" priority="85">
      <formula>LEN(TRIM(J46))=0</formula>
    </cfRule>
    <cfRule type="notContainsBlanks" dxfId="894" priority="86">
      <formula>LEN(TRIM(J46))&gt;0</formula>
    </cfRule>
  </conditionalFormatting>
  <conditionalFormatting sqref="J49:P49 C49:F49 H49 C45:F45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893" priority="93">
      <formula>LEN(TRIM(J50))=0</formula>
    </cfRule>
    <cfRule type="notContainsBlanks" dxfId="892" priority="94">
      <formula>LEN(TRIM(J50))&gt;0</formula>
    </cfRule>
  </conditionalFormatting>
  <conditionalFormatting sqref="J59:P59">
    <cfRule type="containsBlanks" dxfId="891" priority="57">
      <formula>LEN(TRIM(J59))=0</formula>
    </cfRule>
    <cfRule type="notContainsBlanks" dxfId="890" priority="58">
      <formula>LEN(TRIM(J59))&gt;0</formula>
    </cfRule>
  </conditionalFormatting>
  <conditionalFormatting sqref="J63:P63">
    <cfRule type="containsBlanks" dxfId="889" priority="65">
      <formula>LEN(TRIM(J63))=0</formula>
    </cfRule>
    <cfRule type="notContainsBlanks" dxfId="888" priority="66">
      <formula>LEN(TRIM(J63))&gt;0</formula>
    </cfRule>
  </conditionalFormatting>
  <conditionalFormatting sqref="J71:P71 R71:X71 Z71:AB71 C71:H71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887" priority="115">
      <formula>LEN(TRIM(J72))=0</formula>
    </cfRule>
    <cfRule type="notContainsBlanks" dxfId="886" priority="116">
      <formula>LEN(TRIM(J72))&gt;0</formula>
    </cfRule>
  </conditionalFormatting>
  <conditionalFormatting sqref="J75:P75 R75:X75 Z75:AA75 C75:H75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885" priority="174">
      <formula>LEN(TRIM(J76))=0</formula>
    </cfRule>
    <cfRule type="notContainsBlanks" dxfId="884" priority="175">
      <formula>LEN(TRIM(J76))&gt;0</formula>
    </cfRule>
  </conditionalFormatting>
  <conditionalFormatting sqref="K11:P11">
    <cfRule type="containsBlanks" dxfId="883" priority="141">
      <formula>LEN(TRIM(K11))=0</formula>
    </cfRule>
    <cfRule type="notContainsBlanks" dxfId="882" priority="142">
      <formula>LEN(TRIM(K11))&gt;0</formula>
    </cfRule>
  </conditionalFormatting>
  <conditionalFormatting sqref="K59:P59">
    <cfRule type="containsBlanks" dxfId="881" priority="147">
      <formula>LEN(TRIM(K59))=0</formula>
    </cfRule>
    <cfRule type="notContainsBlanks" dxfId="880" priority="148">
      <formula>LEN(TRIM(K59))&gt;0</formula>
    </cfRule>
    <cfRule type="containsBlanks" dxfId="879" priority="149">
      <formula>LEN(TRIM(K59))=0</formula>
    </cfRule>
    <cfRule type="notContainsBlanks" dxfId="878" priority="150">
      <formula>LEN(TRIM(K59))&gt;0</formula>
    </cfRule>
  </conditionalFormatting>
  <conditionalFormatting sqref="K72:P72">
    <cfRule type="containsBlanks" dxfId="877" priority="113">
      <formula>LEN(TRIM(K72))=0</formula>
    </cfRule>
    <cfRule type="notContainsBlanks" dxfId="876" priority="114">
      <formula>LEN(TRIM(K72))&gt;0</formula>
    </cfRule>
  </conditionalFormatting>
  <conditionalFormatting sqref="L76:P76">
    <cfRule type="containsBlanks" dxfId="875" priority="187">
      <formula>LEN(TRIM(L76))=0</formula>
    </cfRule>
    <cfRule type="notContainsBlanks" dxfId="874" priority="188">
      <formula>LEN(TRIM(L76))&gt;0</formula>
    </cfRule>
  </conditionalFormatting>
  <conditionalFormatting sqref="M50:P50">
    <cfRule type="containsBlanks" dxfId="873" priority="214">
      <formula>LEN(TRIM(M50))=0</formula>
    </cfRule>
    <cfRule type="notContainsBlanks" dxfId="872" priority="215">
      <formula>LEN(TRIM(M50))&gt;0</formula>
    </cfRule>
  </conditionalFormatting>
  <conditionalFormatting sqref="M63:P63">
    <cfRule type="containsBlanks" dxfId="871" priority="63">
      <formula>LEN(TRIM(M63))=0</formula>
    </cfRule>
    <cfRule type="notContainsBlanks" dxfId="870" priority="64">
      <formula>LEN(TRIM(M63))&gt;0</formula>
    </cfRule>
  </conditionalFormatting>
  <conditionalFormatting sqref="N46:P46">
    <cfRule type="containsBlanks" dxfId="869" priority="166">
      <formula>LEN(TRIM(N46))=0</formula>
    </cfRule>
    <cfRule type="notContainsBlanks" dxfId="868" priority="167">
      <formula>LEN(TRIM(N46))&gt;0</formula>
    </cfRule>
    <cfRule type="containsBlanks" dxfId="867" priority="208">
      <formula>LEN(TRIM(N46))=0</formula>
    </cfRule>
    <cfRule type="notContainsBlanks" dxfId="866" priority="209">
      <formula>LEN(TRIM(N46))&gt;0</formula>
    </cfRule>
  </conditionalFormatting>
  <conditionalFormatting sqref="O46:P46">
    <cfRule type="containsBlanks" dxfId="865" priority="212">
      <formula>LEN(TRIM(O46))=0</formula>
    </cfRule>
    <cfRule type="notContainsBlanks" dxfId="864" priority="213">
      <formula>LEN(TRIM(O46))&gt;0</formula>
    </cfRule>
  </conditionalFormatting>
  <conditionalFormatting sqref="P6">
    <cfRule type="dataBar" priority="1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863" priority="133">
      <formula>LEN(TRIM(P7))=0</formula>
    </cfRule>
    <cfRule type="notContainsBlanks" dxfId="862" priority="134">
      <formula>LEN(TRIM(P7))&gt;0</formula>
    </cfRule>
    <cfRule type="containsBlanks" dxfId="861" priority="135">
      <formula>LEN(TRIM(P7))=0</formula>
    </cfRule>
    <cfRule type="notContainsBlanks" dxfId="860" priority="136">
      <formula>LEN(TRIM(P7))&gt;0</formula>
    </cfRule>
  </conditionalFormatting>
  <conditionalFormatting sqref="P14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1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859" priority="36">
      <formula>LEN(TRIM(R11))&gt;0</formula>
    </cfRule>
  </conditionalFormatting>
  <conditionalFormatting sqref="R15">
    <cfRule type="containsBlanks" dxfId="858" priority="37">
      <formula>LEN(TRIM(R15))=0</formula>
    </cfRule>
    <cfRule type="notContainsBlanks" dxfId="857" priority="38">
      <formula>LEN(TRIM(R15))&gt;0</formula>
    </cfRule>
  </conditionalFormatting>
  <conditionalFormatting sqref="R59">
    <cfRule type="containsBlanks" dxfId="856" priority="51">
      <formula>LEN(TRIM(R59))=0</formula>
    </cfRule>
    <cfRule type="notContainsBlanks" dxfId="855" priority="52">
      <formula>LEN(TRIM(R59))&gt;0</formula>
    </cfRule>
    <cfRule type="containsBlanks" dxfId="854" priority="53">
      <formula>LEN(TRIM(R59))=0</formula>
    </cfRule>
    <cfRule type="notContainsBlanks" dxfId="853" priority="54">
      <formula>LEN(TRIM(R59))&gt;0</formula>
    </cfRule>
  </conditionalFormatting>
  <conditionalFormatting sqref="R72">
    <cfRule type="containsBlanks" dxfId="852" priority="200">
      <formula>LEN(TRIM(R72))=0</formula>
    </cfRule>
    <cfRule type="notContainsBlanks" dxfId="851" priority="201">
      <formula>LEN(TRIM(R72))&gt;0</formula>
    </cfRule>
  </conditionalFormatting>
  <conditionalFormatting sqref="R63:S63">
    <cfRule type="containsBlanks" dxfId="850" priority="154">
      <formula>LEN(TRIM(R63))=0</formula>
    </cfRule>
    <cfRule type="notContainsBlanks" dxfId="849" priority="155">
      <formula>LEN(TRIM(R63))&gt;0</formula>
    </cfRule>
  </conditionalFormatting>
  <conditionalFormatting sqref="R76:S76">
    <cfRule type="containsBlanks" dxfId="848" priority="170">
      <formula>LEN(TRIM(R76))=0</formula>
    </cfRule>
    <cfRule type="notContainsBlanks" dxfId="847" priority="171">
      <formula>LEN(TRIM(R76))&gt;0</formula>
    </cfRule>
  </conditionalFormatting>
  <conditionalFormatting sqref="R7:T7">
    <cfRule type="containsBlanks" dxfId="846" priority="5">
      <formula>LEN(TRIM(R7))=0</formula>
    </cfRule>
    <cfRule type="notContainsBlanks" dxfId="845" priority="6">
      <formula>LEN(TRIM(R7))&gt;0</formula>
    </cfRule>
    <cfRule type="containsBlanks" dxfId="844" priority="7">
      <formula>LEN(TRIM(R7))=0</formula>
    </cfRule>
    <cfRule type="notContainsBlanks" dxfId="843" priority="8">
      <formula>LEN(TRIM(R7))&gt;0</formula>
    </cfRule>
  </conditionalFormatting>
  <conditionalFormatting sqref="R11:T11">
    <cfRule type="containsBlanks" dxfId="842" priority="29">
      <formula>LEN(TRIM(R11))=0</formula>
    </cfRule>
    <cfRule type="notContainsBlanks" dxfId="841" priority="30">
      <formula>LEN(TRIM(R11))&gt;0</formula>
    </cfRule>
  </conditionalFormatting>
  <conditionalFormatting sqref="R63:T63">
    <cfRule type="containsBlanks" dxfId="840" priority="156">
      <formula>LEN(TRIM(R63))=0</formula>
    </cfRule>
    <cfRule type="notContainsBlanks" dxfId="839" priority="157">
      <formula>LEN(TRIM(R63))&gt;0</formula>
    </cfRule>
    <cfRule type="containsBlanks" dxfId="838" priority="162">
      <formula>LEN(TRIM(R63))=0</formula>
    </cfRule>
    <cfRule type="notContainsBlanks" dxfId="837" priority="163">
      <formula>LEN(TRIM(R63))&gt;0</formula>
    </cfRule>
  </conditionalFormatting>
  <conditionalFormatting sqref="R14:W14 R6:X6 R10:W10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836" priority="9">
      <formula>LEN(TRIM(R7))=0</formula>
    </cfRule>
    <cfRule type="notContainsBlanks" dxfId="835" priority="10">
      <formula>LEN(TRIM(R7))&gt;0</formula>
    </cfRule>
  </conditionalFormatting>
  <conditionalFormatting sqref="R25:X25">
    <cfRule type="containsBlanks" dxfId="834" priority="21">
      <formula>LEN(TRIM(R25))=0</formula>
    </cfRule>
    <cfRule type="notContainsBlanks" dxfId="833" priority="22">
      <formula>LEN(TRIM(R25))&gt;0</formula>
    </cfRule>
  </conditionalFormatting>
  <conditionalFormatting sqref="R29:X29">
    <cfRule type="containsBlanks" dxfId="832" priority="121">
      <formula>LEN(TRIM(R29))=0</formula>
    </cfRule>
    <cfRule type="notContainsBlanks" dxfId="831" priority="122">
      <formula>LEN(TRIM(R29))&gt;0</formula>
    </cfRule>
  </conditionalFormatting>
  <conditionalFormatting sqref="R59:X59">
    <cfRule type="containsBlanks" dxfId="830" priority="55">
      <formula>LEN(TRIM(R59))=0</formula>
    </cfRule>
    <cfRule type="notContainsBlanks" dxfId="829" priority="56">
      <formula>LEN(TRIM(R59))&gt;0</formula>
    </cfRule>
  </conditionalFormatting>
  <conditionalFormatting sqref="R72:X72">
    <cfRule type="containsBlanks" dxfId="828" priority="1">
      <formula>LEN(TRIM(R72))=0</formula>
    </cfRule>
    <cfRule type="notContainsBlanks" dxfId="827" priority="2">
      <formula>LEN(TRIM(R72))&gt;0</formula>
    </cfRule>
  </conditionalFormatting>
  <conditionalFormatting sqref="R76:X76">
    <cfRule type="containsBlanks" dxfId="826" priority="172">
      <formula>LEN(TRIM(R76))=0</formula>
    </cfRule>
    <cfRule type="notContainsBlanks" dxfId="825" priority="173">
      <formula>LEN(TRIM(R76))&gt;0</formula>
    </cfRule>
  </conditionalFormatting>
  <conditionalFormatting sqref="S15:W15">
    <cfRule type="containsBlanks" dxfId="824" priority="193">
      <formula>LEN(TRIM(S15))=0</formula>
    </cfRule>
    <cfRule type="notContainsBlanks" dxfId="823" priority="194">
      <formula>LEN(TRIM(S15))&gt;0</formula>
    </cfRule>
  </conditionalFormatting>
  <conditionalFormatting sqref="S24:X24 Z24">
    <cfRule type="dataBar" priority="18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8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822" priority="152">
      <formula>LEN(TRIM(S59))=0</formula>
    </cfRule>
    <cfRule type="notContainsBlanks" dxfId="821" priority="153">
      <formula>LEN(TRIM(S59))&gt;0</formula>
    </cfRule>
  </conditionalFormatting>
  <conditionalFormatting sqref="U11:X11 R11">
    <cfRule type="containsBlanks" dxfId="820" priority="35">
      <formula>LEN(TRIM(R11))=0</formula>
    </cfRule>
  </conditionalFormatting>
  <conditionalFormatting sqref="U63:X63">
    <cfRule type="containsBlanks" dxfId="819" priority="67">
      <formula>LEN(TRIM(U63))=0</formula>
    </cfRule>
    <cfRule type="notContainsBlanks" dxfId="818" priority="68">
      <formula>LEN(TRIM(U63))&gt;0</formula>
    </cfRule>
    <cfRule type="containsBlanks" dxfId="817" priority="69">
      <formula>LEN(TRIM(U63))=0</formula>
    </cfRule>
    <cfRule type="notContainsBlanks" dxfId="816" priority="70">
      <formula>LEN(TRIM(U63))&gt;0</formula>
    </cfRule>
    <cfRule type="containsBlanks" dxfId="815" priority="71">
      <formula>LEN(TRIM(U63))=0</formula>
    </cfRule>
    <cfRule type="notContainsBlanks" dxfId="814" priority="72">
      <formula>LEN(TRIM(U63))&gt;0</formula>
    </cfRule>
  </conditionalFormatting>
  <conditionalFormatting sqref="V11:W11">
    <cfRule type="containsBlanks" dxfId="813" priority="31">
      <formula>LEN(TRIM(V11))=0</formula>
    </cfRule>
    <cfRule type="notContainsBlanks" dxfId="812" priority="32">
      <formula>LEN(TRIM(V11))&gt;0</formula>
    </cfRule>
  </conditionalFormatting>
  <conditionalFormatting sqref="W15:X15">
    <cfRule type="containsBlanks" dxfId="811" priority="183">
      <formula>LEN(TRIM(W15))=0</formula>
    </cfRule>
    <cfRule type="notContainsBlanks" dxfId="810" priority="184">
      <formula>LEN(TRIM(W15))&gt;0</formula>
    </cfRule>
  </conditionalFormatting>
  <conditionalFormatting sqref="W32:X32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809" priority="195">
      <formula>LEN(TRIM(W33))=0</formula>
    </cfRule>
    <cfRule type="notContainsBlanks" dxfId="808" priority="196">
      <formula>LEN(TRIM(W33))&gt;0</formula>
    </cfRule>
  </conditionalFormatting>
  <conditionalFormatting sqref="X10">
    <cfRule type="dataBar" priority="18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8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807" priority="264">
      <formula>LEN(TRIM(X21))=0</formula>
    </cfRule>
    <cfRule type="notContainsBlanks" dxfId="806" priority="265">
      <formula>LEN(TRIM(X21))&gt;0</formula>
    </cfRule>
    <cfRule type="containsBlanks" dxfId="805" priority="266">
      <formula>LEN(TRIM(X21))=0</formula>
    </cfRule>
    <cfRule type="notContainsBlanks" dxfId="804" priority="267">
      <formula>LEN(TRIM(X21))&gt;0</formula>
    </cfRule>
    <cfRule type="containsBlanks" dxfId="803" priority="268">
      <formula>LEN(TRIM(X21))=0</formula>
    </cfRule>
    <cfRule type="notContainsBlanks" dxfId="802" priority="269">
      <formula>LEN(TRIM(X21))&gt;0</formula>
    </cfRule>
    <cfRule type="containsBlanks" dxfId="801" priority="270">
      <formula>LEN(TRIM(X21))=0</formula>
    </cfRule>
    <cfRule type="notContainsBlanks" dxfId="800" priority="271">
      <formula>LEN(TRIM(X21))&gt;0</formula>
    </cfRule>
    <cfRule type="containsBlanks" dxfId="799" priority="272">
      <formula>LEN(TRIM(X21))=0</formula>
    </cfRule>
    <cfRule type="notContainsBlanks" dxfId="798" priority="273">
      <formula>LEN(TRIM(X21))&gt;0</formula>
    </cfRule>
  </conditionalFormatting>
  <conditionalFormatting sqref="Y24">
    <cfRule type="dataBar" priority="18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1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797" priority="47">
      <formula>LEN(TRIM(Z59))=0</formula>
    </cfRule>
    <cfRule type="notContainsBlanks" dxfId="796" priority="48">
      <formula>LEN(TRIM(Z59))&gt;0</formula>
    </cfRule>
  </conditionalFormatting>
  <conditionalFormatting sqref="Z72">
    <cfRule type="containsBlanks" dxfId="795" priority="117">
      <formula>LEN(TRIM(Z72))=0</formula>
    </cfRule>
    <cfRule type="notContainsBlanks" dxfId="794" priority="118">
      <formula>LEN(TRIM(Z72))&gt;0</formula>
    </cfRule>
  </conditionalFormatting>
  <conditionalFormatting sqref="Z76">
    <cfRule type="containsBlanks" dxfId="793" priority="198">
      <formula>LEN(TRIM(Z76))=0</formula>
    </cfRule>
    <cfRule type="notContainsBlanks" dxfId="792" priority="199">
      <formula>LEN(TRIM(Z76))&gt;0</formula>
    </cfRule>
  </conditionalFormatting>
  <conditionalFormatting sqref="Z63:AA63">
    <cfRule type="containsBlanks" dxfId="791" priority="158">
      <formula>LEN(TRIM(Z63))=0</formula>
    </cfRule>
    <cfRule type="notContainsBlanks" dxfId="790" priority="159">
      <formula>LEN(TRIM(Z63))&gt;0</formula>
    </cfRule>
  </conditionalFormatting>
  <conditionalFormatting sqref="Z59:AB59">
    <cfRule type="containsBlanks" dxfId="789" priority="49">
      <formula>LEN(TRIM(Z59))=0</formula>
    </cfRule>
    <cfRule type="notContainsBlanks" dxfId="788" priority="50">
      <formula>LEN(TRIM(Z59))&gt;0</formula>
    </cfRule>
  </conditionalFormatting>
  <conditionalFormatting sqref="Z63:AB63">
    <cfRule type="containsBlanks" dxfId="787" priority="160">
      <formula>LEN(TRIM(Z63))=0</formula>
    </cfRule>
    <cfRule type="notContainsBlanks" dxfId="786" priority="161">
      <formula>LEN(TRIM(Z63))&gt;0</formula>
    </cfRule>
    <cfRule type="containsBlanks" dxfId="785" priority="168">
      <formula>LEN(TRIM(Z63))=0</formula>
    </cfRule>
    <cfRule type="notContainsBlanks" dxfId="784" priority="169">
      <formula>LEN(TRIM(Z63))&gt;0</formula>
    </cfRule>
  </conditionalFormatting>
  <conditionalFormatting sqref="Z25:AI25">
    <cfRule type="containsBlanks" dxfId="783" priority="103">
      <formula>LEN(TRIM(Z25))=0</formula>
    </cfRule>
    <cfRule type="notContainsBlanks" dxfId="782" priority="104">
      <formula>LEN(TRIM(Z25))&gt;0</formula>
    </cfRule>
  </conditionalFormatting>
  <conditionalFormatting sqref="Z29:AI29">
    <cfRule type="containsBlanks" dxfId="781" priority="15">
      <formula>LEN(TRIM(Z29))=0</formula>
    </cfRule>
    <cfRule type="notContainsBlanks" dxfId="780" priority="16">
      <formula>LEN(TRIM(Z29))&gt;0</formula>
    </cfRule>
  </conditionalFormatting>
  <conditionalFormatting sqref="AA59:AB59">
    <cfRule type="containsBlanks" dxfId="779" priority="129">
      <formula>LEN(TRIM(AA59))=0</formula>
    </cfRule>
    <cfRule type="notContainsBlanks" dxfId="778" priority="130">
      <formula>LEN(TRIM(AA59))&gt;0</formula>
    </cfRule>
  </conditionalFormatting>
  <conditionalFormatting sqref="AA28:AI28 R28">
    <cfRule type="dataBar" priority="22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777" priority="256">
      <formula>LEN(TRIM(AF21))=0</formula>
    </cfRule>
    <cfRule type="notContainsBlanks" dxfId="776" priority="257">
      <formula>LEN(TRIM(AF21))&gt;0</formula>
    </cfRule>
    <cfRule type="containsBlanks" dxfId="775" priority="258">
      <formula>LEN(TRIM(AF21))=0</formula>
    </cfRule>
    <cfRule type="notContainsBlanks" dxfId="774" priority="259">
      <formula>LEN(TRIM(AF21))&gt;0</formula>
    </cfRule>
    <cfRule type="containsBlanks" dxfId="773" priority="260">
      <formula>LEN(TRIM(AF21))=0</formula>
    </cfRule>
    <cfRule type="notContainsBlanks" dxfId="772" priority="261">
      <formula>LEN(TRIM(AF21))&gt;0</formula>
    </cfRule>
    <cfRule type="containsBlanks" dxfId="771" priority="262">
      <formula>LEN(TRIM(AF21))=0</formula>
    </cfRule>
    <cfRule type="notContainsBlanks" dxfId="770" priority="263">
      <formula>LEN(TRIM(AF21))&gt;0</formula>
    </cfRule>
  </conditionalFormatting>
  <conditionalFormatting sqref="AF20:AI20">
    <cfRule type="dataBar" priority="2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769" priority="99">
      <formula>LEN(TRIM(AF21))=0</formula>
    </cfRule>
    <cfRule type="notContainsBlanks" dxfId="768" priority="100">
      <formula>LEN(TRIM(AF21))&gt;0</formula>
    </cfRule>
  </conditionalFormatting>
  <conditionalFormatting sqref="AG32:AI32">
    <cfRule type="dataBar" priority="2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767" priority="274">
      <formula>LEN(TRIM(AG33))=0</formula>
    </cfRule>
    <cfRule type="notContainsBlanks" dxfId="766" priority="275">
      <formula>LEN(TRIM(AG33))&gt;0</formula>
    </cfRule>
    <cfRule type="containsBlanks" dxfId="765" priority="276">
      <formula>LEN(TRIM(AG33))=0</formula>
    </cfRule>
    <cfRule type="notContainsBlanks" dxfId="764" priority="277">
      <formula>LEN(TRIM(AG33))&gt;0</formula>
    </cfRule>
    <cfRule type="containsBlanks" dxfId="763" priority="278">
      <formula>LEN(TRIM(AG33))=0</formula>
    </cfRule>
    <cfRule type="notContainsBlanks" dxfId="762" priority="279">
      <formula>LEN(TRIM(AG33))&gt;0</formula>
    </cfRule>
    <cfRule type="containsBlanks" dxfId="761" priority="280">
      <formula>LEN(TRIM(AG33))=0</formula>
    </cfRule>
    <cfRule type="notContainsBlanks" dxfId="760" priority="281">
      <formula>LEN(TRIM(AG33))&gt;0</formula>
    </cfRule>
    <cfRule type="containsBlanks" dxfId="759" priority="282">
      <formula>LEN(TRIM(AG33))=0</formula>
    </cfRule>
    <cfRule type="notContainsBlanks" dxfId="758" priority="283">
      <formula>LEN(TRIM(AG33))&gt;0</formula>
    </cfRule>
    <cfRule type="containsBlanks" dxfId="757" priority="284">
      <formula>LEN(TRIM(AG33))=0</formula>
    </cfRule>
    <cfRule type="notContainsBlanks" dxfId="756" priority="285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C15" activePane="bottomRight" state="frozen"/>
      <selection pane="topRight" activeCell="C1" sqref="C1"/>
      <selection pane="bottomLeft" activeCell="A14" sqref="A14"/>
      <selection pane="bottomRight" activeCell="C25" sqref="C25:C31"/>
    </sheetView>
  </sheetViews>
  <sheetFormatPr defaultRowHeight="15" x14ac:dyDescent="0.25"/>
  <cols>
    <col min="1" max="1" width="13.85546875" customWidth="1"/>
    <col min="5" max="5" width="19.7109375" hidden="1" customWidth="1"/>
    <col min="6" max="6" width="9.42578125" hidden="1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85">
        <v>45695</v>
      </c>
      <c r="B1" s="85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AN3" s="4"/>
      <c r="AO3" s="4"/>
      <c r="AP3" s="4"/>
      <c r="AQ3" s="4"/>
      <c r="AR3" s="4"/>
      <c r="AS3" s="4"/>
      <c r="AT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86" t="s">
        <v>3</v>
      </c>
      <c r="C8" s="87"/>
      <c r="D8" s="87"/>
      <c r="E8" s="87"/>
      <c r="F8" s="87"/>
      <c r="G8" s="87"/>
      <c r="H8" s="87"/>
      <c r="I8" s="87"/>
      <c r="J8" s="15">
        <f>SUM(J14:J1972)</f>
        <v>0</v>
      </c>
      <c r="K8" s="15">
        <f>SUM(K14:K1972)</f>
        <v>0</v>
      </c>
      <c r="L8" s="15">
        <f>SUM(L14:L1972)</f>
        <v>0</v>
      </c>
      <c r="M8" s="15">
        <f>SUM(M14:M1972)</f>
        <v>0</v>
      </c>
      <c r="N8" s="15">
        <f>SUM(N14:N1972)</f>
        <v>0</v>
      </c>
      <c r="O8" s="15">
        <f>SUM(O14:O1972)</f>
        <v>0</v>
      </c>
      <c r="P8" s="15">
        <f>SUM(P14:P1972)</f>
        <v>0</v>
      </c>
      <c r="Q8" s="15">
        <f>SUM(Q14:Q1972)</f>
        <v>0</v>
      </c>
      <c r="R8" s="15">
        <f>SUM(R14:R1972)</f>
        <v>0</v>
      </c>
      <c r="S8" s="15">
        <f>SUM(S14:S1972)</f>
        <v>0</v>
      </c>
      <c r="T8" s="15">
        <f>SUM(T14:T1972)</f>
        <v>0</v>
      </c>
      <c r="U8" s="15">
        <f>SUM(U14:U1972)</f>
        <v>0</v>
      </c>
      <c r="V8" s="15">
        <f>SUM(V14:V1972)</f>
        <v>0</v>
      </c>
      <c r="W8" s="15">
        <f>SUM(W14:W1972)</f>
        <v>0</v>
      </c>
      <c r="X8" s="15">
        <f>SUM(X14:X1972)</f>
        <v>0</v>
      </c>
      <c r="Y8" s="15">
        <f>SUM(Y14:Y1972)</f>
        <v>0</v>
      </c>
      <c r="Z8" s="15">
        <f>SUM(Z14:Z1972)</f>
        <v>0</v>
      </c>
      <c r="AA8" s="15">
        <f>SUM(AA14:AA1972)</f>
        <v>0</v>
      </c>
      <c r="AB8" s="15">
        <f>SUM(AB14:AB1972)</f>
        <v>0</v>
      </c>
      <c r="AC8" s="15">
        <f>SUM(AC14:AC1972)</f>
        <v>0</v>
      </c>
      <c r="AD8" s="15">
        <f>SUM(AD14:AD1972)</f>
        <v>0</v>
      </c>
      <c r="AE8" s="15">
        <f>SUM(AE14:AE1972)</f>
        <v>0</v>
      </c>
      <c r="AF8" s="15">
        <f>SUM(AF14:AF1972)</f>
        <v>0</v>
      </c>
      <c r="AG8" s="15">
        <f>SUM(AG14:AG1972)</f>
        <v>119</v>
      </c>
      <c r="AH8" s="15">
        <f>SUM(AH14:AH1972)</f>
        <v>119</v>
      </c>
      <c r="AI8" s="15">
        <f>SUM(AI14:AI1972)</f>
        <v>119</v>
      </c>
      <c r="AJ8" s="15">
        <f>SUM(AJ14:AJ1972)</f>
        <v>119</v>
      </c>
      <c r="AK8" s="15">
        <f>SUM(AK14:AK1972)</f>
        <v>119</v>
      </c>
      <c r="AL8" s="15">
        <f>SUM(AL14:AL1972)</f>
        <v>119</v>
      </c>
      <c r="AM8" s="15">
        <f>SUM(AM14:AM1972)</f>
        <v>119</v>
      </c>
      <c r="AN8" s="15">
        <f>SUM(AN14:AN1972)</f>
        <v>119</v>
      </c>
      <c r="AO8" s="15">
        <f>SUM(AO14:AO1972)</f>
        <v>119</v>
      </c>
      <c r="AP8" s="15">
        <f>SUM(AP14:AP1972)</f>
        <v>119</v>
      </c>
      <c r="AQ8" s="15">
        <f>SUM(AQ14:AQ1972)</f>
        <v>119</v>
      </c>
      <c r="AR8" s="15">
        <f>SUM(AR14:AR1972)</f>
        <v>119</v>
      </c>
      <c r="AS8" s="15">
        <f>SUM(AS14:AS1972)</f>
        <v>119</v>
      </c>
      <c r="AT8" s="15">
        <f>SUM(AT14:AT1972)</f>
        <v>119</v>
      </c>
      <c r="AU8" s="15">
        <f>SUM(AU14:AU1972)</f>
        <v>136</v>
      </c>
      <c r="AV8" s="15">
        <f>SUM(AV14:AV1972)</f>
        <v>119</v>
      </c>
      <c r="AW8" s="15">
        <f>SUM(AW14:AW1972)</f>
        <v>119</v>
      </c>
      <c r="AX8" s="15">
        <f>SUM(AX14:AX1972)</f>
        <v>153</v>
      </c>
      <c r="AY8" s="15">
        <f>SUM(AY14:AY1972)</f>
        <v>119</v>
      </c>
      <c r="AZ8" s="15">
        <f>SUM(AZ14:AZ1972)</f>
        <v>119</v>
      </c>
      <c r="BA8" s="15">
        <f>SUM(BA14:BA1972)</f>
        <v>119</v>
      </c>
      <c r="BB8" s="15">
        <f>SUM(BB14:BB1972)</f>
        <v>119</v>
      </c>
      <c r="BC8" s="15">
        <f>SUM(BC14:BC1972)</f>
        <v>119</v>
      </c>
      <c r="BD8" s="15">
        <f>SUM(BD14:BD1972)</f>
        <v>119</v>
      </c>
      <c r="BE8" s="15">
        <f>SUM(BE14:BE1972)</f>
        <v>119</v>
      </c>
      <c r="BF8" s="15">
        <f>SUM(BF14:BF1972)</f>
        <v>136</v>
      </c>
      <c r="BG8" s="15">
        <f>SUM(BG14:BG1972)</f>
        <v>119</v>
      </c>
      <c r="BH8" s="15">
        <f>SUM(BH14:BH1972)</f>
        <v>119</v>
      </c>
      <c r="BI8" s="15">
        <f>SUM(BI14:BI1972)</f>
        <v>119</v>
      </c>
      <c r="BJ8" s="15">
        <f>SUM(BJ14:BJ1972)</f>
        <v>119</v>
      </c>
      <c r="BK8" s="15">
        <f>SUM(BK14:BK1972)</f>
        <v>119</v>
      </c>
      <c r="BL8" s="15">
        <f>SUM(BL14:BL1972)</f>
        <v>0</v>
      </c>
      <c r="BM8" s="15">
        <f>SUM(BM14:BM1972)</f>
        <v>0</v>
      </c>
      <c r="BN8" s="15">
        <f>SUM(BN14:BN1972)</f>
        <v>0</v>
      </c>
      <c r="BO8" s="15">
        <f>SUM(BO14:BO1972)</f>
        <v>0</v>
      </c>
      <c r="BP8" s="15">
        <f>SUM(BP14:BP1972)</f>
        <v>0</v>
      </c>
      <c r="BQ8" s="15">
        <f>SUM(BQ14:BQ1972)</f>
        <v>0</v>
      </c>
      <c r="BR8" s="15">
        <f>SUM(BR14:BR1972)</f>
        <v>0</v>
      </c>
      <c r="BS8" s="15">
        <f>SUM(BS14:BS1972)</f>
        <v>0</v>
      </c>
    </row>
    <row r="9" spans="1:103" s="18" customFormat="1" ht="16.5" customHeight="1" x14ac:dyDescent="0.25">
      <c r="A9" s="12"/>
      <c r="B9" s="88" t="s">
        <v>4</v>
      </c>
      <c r="C9" s="89"/>
      <c r="D9" s="89"/>
      <c r="E9" s="89"/>
      <c r="F9" s="89"/>
      <c r="G9" s="89"/>
      <c r="H9" s="89"/>
      <c r="I9" s="89"/>
      <c r="J9" s="17">
        <f>COUNTIF(J14:J1972,"T")</f>
        <v>7</v>
      </c>
      <c r="K9" s="17">
        <f>COUNTIF(K14:K1972,"T")</f>
        <v>7</v>
      </c>
      <c r="L9" s="17">
        <f>COUNTIF(L14:L1972,"T")</f>
        <v>7</v>
      </c>
      <c r="M9" s="17">
        <f>COUNTIF(M14:M1972,"T")</f>
        <v>7</v>
      </c>
      <c r="N9" s="17">
        <f>COUNTIF(N14:N1972,"T")</f>
        <v>7</v>
      </c>
      <c r="O9" s="17">
        <f>COUNTIF(O14:O1972,"T")</f>
        <v>7</v>
      </c>
      <c r="P9" s="17">
        <f>COUNTIF(P14:P1972,"T")</f>
        <v>7</v>
      </c>
      <c r="Q9" s="17">
        <f>COUNTIF(Q14:Q1972,"T")</f>
        <v>7</v>
      </c>
      <c r="R9" s="17">
        <f>COUNTIF(R14:R1972,"T")</f>
        <v>7</v>
      </c>
      <c r="S9" s="17">
        <f>COUNTIF(S14:S1972,"T")</f>
        <v>7</v>
      </c>
      <c r="T9" s="17">
        <f>COUNTIF(T14:T1972,"T")</f>
        <v>7</v>
      </c>
      <c r="U9" s="17">
        <f>COUNTIF(U14:U1972,"T")</f>
        <v>7</v>
      </c>
      <c r="V9" s="17">
        <f>COUNTIF(V14:V1972,"T")</f>
        <v>7</v>
      </c>
      <c r="W9" s="17">
        <f>COUNTIF(W14:W1972,"T")</f>
        <v>7</v>
      </c>
      <c r="X9" s="17">
        <f>COUNTIF(X14:X1972,"T")</f>
        <v>8</v>
      </c>
      <c r="Y9" s="17">
        <f>COUNTIF(Y14:Y1972,"T")</f>
        <v>7</v>
      </c>
      <c r="Z9" s="17">
        <f>COUNTIF(Z14:Z1972,"T")</f>
        <v>7</v>
      </c>
      <c r="AA9" s="17">
        <f>COUNTIF(AA14:AA1972,"T")</f>
        <v>9</v>
      </c>
      <c r="AB9" s="17">
        <f>COUNTIF(AB14:AB1972,"T")</f>
        <v>7</v>
      </c>
      <c r="AC9" s="17">
        <f>COUNTIF(AC14:AC1972,"T")</f>
        <v>7</v>
      </c>
      <c r="AD9" s="17">
        <f>COUNTIF(AD14:AD1972,"T")</f>
        <v>7</v>
      </c>
      <c r="AE9" s="17">
        <f>COUNTIF(AE14:AE1972,"T")</f>
        <v>7</v>
      </c>
      <c r="AF9" s="17">
        <f>COUNTIF(AF14:AF1972,"T")</f>
        <v>7</v>
      </c>
      <c r="AG9" s="17">
        <f>COUNTIF(AG14:AG1972,"T")</f>
        <v>7</v>
      </c>
      <c r="AH9" s="17">
        <f>COUNTIF(AH14:AH1972,"T")</f>
        <v>7</v>
      </c>
      <c r="AI9" s="17">
        <f>COUNTIF(AI14:AI1972,"T")</f>
        <v>8</v>
      </c>
      <c r="AJ9" s="17">
        <f>COUNTIF(AJ14:AJ1972,"T")</f>
        <v>7</v>
      </c>
      <c r="AK9" s="17">
        <f>COUNTIF(AK14:AK1972,"T")</f>
        <v>7</v>
      </c>
      <c r="AL9" s="17">
        <f>COUNTIF(AL14:AL1972,"T")</f>
        <v>7</v>
      </c>
      <c r="AM9" s="17">
        <f>COUNTIF(AM14:AM1972,"T")</f>
        <v>7</v>
      </c>
      <c r="AN9" s="17">
        <f>COUNTIF(AN14:AN1972,"T")</f>
        <v>7</v>
      </c>
      <c r="AO9" s="17">
        <f>COUNTIF(AO14:AO1972,"T")</f>
        <v>0</v>
      </c>
      <c r="AP9" s="17">
        <f>COUNTIF(AP14:AP1972,"T")</f>
        <v>0</v>
      </c>
      <c r="AQ9" s="17">
        <f>COUNTIF(AQ14:AQ1972,"T")</f>
        <v>0</v>
      </c>
      <c r="AR9" s="17">
        <f>COUNTIF(AR14:AR1972,"T")</f>
        <v>0</v>
      </c>
      <c r="AS9" s="17">
        <f>COUNTIF(AS14:AS1972,"T")</f>
        <v>0</v>
      </c>
      <c r="AT9" s="17">
        <f>COUNTIF(AT14:AT1972,"T")</f>
        <v>0</v>
      </c>
      <c r="AU9" s="17">
        <f>COUNTIF(AU14:AU1972,"T")</f>
        <v>0</v>
      </c>
      <c r="AV9" s="17">
        <f>COUNTIF(AV14:AV1972,"T")</f>
        <v>0</v>
      </c>
      <c r="AW9" s="17">
        <f>COUNTIF(AW14:AW1972,"T")</f>
        <v>0</v>
      </c>
      <c r="AX9" s="17">
        <f>COUNTIF(AX14:AX1972,"T")</f>
        <v>0</v>
      </c>
      <c r="AY9" s="17">
        <f>COUNTIF(AY14:AY1972,"T")</f>
        <v>0</v>
      </c>
      <c r="AZ9" s="17">
        <f>COUNTIF(AZ14:AZ1972,"T")</f>
        <v>0</v>
      </c>
      <c r="BA9" s="17">
        <f>COUNTIF(BA14:BA1972,"T")</f>
        <v>0</v>
      </c>
      <c r="BB9" s="17">
        <f>COUNTIF(BB14:BB1972,"T")</f>
        <v>0</v>
      </c>
      <c r="BC9" s="17">
        <f>COUNTIF(BC14:BC1972,"T")</f>
        <v>0</v>
      </c>
      <c r="BD9" s="17">
        <f>COUNTIF(BD14:BD1972,"T")</f>
        <v>0</v>
      </c>
      <c r="BE9" s="17">
        <f>COUNTIF(BE14:BE1972,"T")</f>
        <v>0</v>
      </c>
      <c r="BF9" s="17">
        <f>COUNTIF(BF14:BF1972,"T")</f>
        <v>0</v>
      </c>
      <c r="BG9" s="17">
        <f>COUNTIF(BG14:BG1972,"T")</f>
        <v>0</v>
      </c>
      <c r="BH9" s="17">
        <f>COUNTIF(BH14:BH1972,"T")</f>
        <v>0</v>
      </c>
      <c r="BI9" s="17">
        <f>COUNTIF(BI14:BI1972,"T")</f>
        <v>0</v>
      </c>
      <c r="BJ9" s="17">
        <f>COUNTIF(BJ14:BJ1972,"T")</f>
        <v>0</v>
      </c>
      <c r="BK9" s="17">
        <f>COUNTIF(BK14:BK1972,"T")</f>
        <v>0</v>
      </c>
      <c r="BL9" s="17">
        <f>COUNTIF(BL14:BL1972,"T")</f>
        <v>0</v>
      </c>
      <c r="BM9" s="17">
        <f>COUNTIF(BM14:BM1972,"T")</f>
        <v>0</v>
      </c>
      <c r="BN9" s="17">
        <f>COUNTIF(BN14:BN1972,"T")</f>
        <v>0</v>
      </c>
      <c r="BO9" s="17">
        <f>COUNTIF(BO14:BO1972,"T")</f>
        <v>0</v>
      </c>
      <c r="BP9" s="17">
        <f>COUNTIF(BP14:BP1972,"T")</f>
        <v>0</v>
      </c>
      <c r="BQ9" s="17">
        <f>COUNTIF(BQ14:BQ1972,"T")</f>
        <v>0</v>
      </c>
      <c r="BR9" s="17">
        <f>COUNTIF(BR14:BR1972,"T")</f>
        <v>0</v>
      </c>
      <c r="BS9" s="17">
        <f>COUNTIF(BS14:BS1972,"T")</f>
        <v>0</v>
      </c>
    </row>
    <row r="10" spans="1:103" s="20" customFormat="1" ht="16.5" customHeight="1" x14ac:dyDescent="0.25">
      <c r="A10" s="12"/>
      <c r="B10" s="90" t="s">
        <v>5</v>
      </c>
      <c r="C10" s="91"/>
      <c r="D10" s="91"/>
      <c r="E10" s="91"/>
      <c r="F10" s="91"/>
      <c r="G10" s="91"/>
      <c r="H10" s="91"/>
      <c r="I10" s="91"/>
      <c r="J10" s="19">
        <f>COUNTIF(J14:J1972,"P1")+COUNTIF(J14:J1972,"P2")+COUNTIF(J14:J1972,"P3")</f>
        <v>0</v>
      </c>
      <c r="K10" s="19">
        <f>COUNTIF(K14:K1972,"P1")+COUNTIF(K14:K1972,"P2")+COUNTIF(K14:K1972,"P3")</f>
        <v>0</v>
      </c>
      <c r="L10" s="19">
        <f>COUNTIF(L14:L1972,"P1")+COUNTIF(L14:L1972,"P2")+COUNTIF(L14:L1972,"P3")</f>
        <v>0</v>
      </c>
      <c r="M10" s="19">
        <f>COUNTIF(M14:M1972,"P1")+COUNTIF(M14:M1972,"P2")+COUNTIF(M14:M1972,"P3")</f>
        <v>0</v>
      </c>
      <c r="N10" s="19">
        <f>COUNTIF(N14:N1972,"P1")+COUNTIF(N14:N1972,"P2")+COUNTIF(N14:N1972,"P3")</f>
        <v>0</v>
      </c>
      <c r="O10" s="19">
        <f>COUNTIF(O14:O1972,"P1")+COUNTIF(O14:O1972,"P2")+COUNTIF(O14:O1972,"P3")</f>
        <v>0</v>
      </c>
      <c r="P10" s="19">
        <f>COUNTIF(P14:P1972,"P1")+COUNTIF(P14:P1972,"P2")+COUNTIF(P14:P1972,"P3")</f>
        <v>0</v>
      </c>
      <c r="Q10" s="19">
        <f>COUNTIF(Q14:Q1972,"P1")+COUNTIF(Q14:Q1972,"P2")+COUNTIF(Q14:Q1972,"P3")</f>
        <v>7</v>
      </c>
      <c r="R10" s="19">
        <f>COUNTIF(R14:R1972,"P1")+COUNTIF(R14:R1972,"P2")+COUNTIF(R14:R1972,"P3")</f>
        <v>7</v>
      </c>
      <c r="S10" s="19">
        <f>COUNTIF(S14:S1972,"P1")+COUNTIF(S14:S1972,"P2")+COUNTIF(S14:S1972,"P3")</f>
        <v>7</v>
      </c>
      <c r="T10" s="19">
        <f>COUNTIF(T14:T1972,"P1")+COUNTIF(T14:T1972,"P2")+COUNTIF(T14:T1972,"P3")</f>
        <v>7</v>
      </c>
      <c r="U10" s="19">
        <f>COUNTIF(U14:U1972,"P1")+COUNTIF(U14:U1972,"P2")+COUNTIF(U14:U1972,"P3")</f>
        <v>7</v>
      </c>
      <c r="V10" s="19">
        <f>COUNTIF(V14:V1972,"P1")+COUNTIF(V14:V1972,"P2")+COUNTIF(V14:V1972,"P3")</f>
        <v>7</v>
      </c>
      <c r="W10" s="19">
        <f>COUNTIF(W14:W1972,"P1")+COUNTIF(W14:W1972,"P2")+COUNTIF(W14:W1972,"P3")</f>
        <v>7</v>
      </c>
      <c r="X10" s="19">
        <f>COUNTIF(X14:X1972,"P1")+COUNTIF(X14:X1972,"P2")+COUNTIF(X14:X1972,"P3")</f>
        <v>14</v>
      </c>
      <c r="Y10" s="19">
        <f>COUNTIF(Y14:Y1972,"P1")+COUNTIF(Y14:Y1972,"P2")+COUNTIF(Y14:Y1972,"P3")</f>
        <v>14</v>
      </c>
      <c r="Z10" s="19">
        <f>COUNTIF(Z14:Z1972,"P1")+COUNTIF(Z14:Z1972,"P2")+COUNTIF(Z14:Z1972,"P3")</f>
        <v>14</v>
      </c>
      <c r="AA10" s="19">
        <f>COUNTIF(AA14:AA1972,"P1")+COUNTIF(AA14:AA1972,"P2")+COUNTIF(AA14:AA1972,"P3")</f>
        <v>14</v>
      </c>
      <c r="AB10" s="19">
        <f>COUNTIF(AB14:AB1972,"P1")+COUNTIF(AB14:AB1972,"P2")+COUNTIF(AB14:AB1972,"P3")</f>
        <v>14</v>
      </c>
      <c r="AC10" s="19">
        <f>COUNTIF(AC14:AC1972,"P1")+COUNTIF(AC14:AC1972,"P2")+COUNTIF(AC14:AC1972,"P3")</f>
        <v>14</v>
      </c>
      <c r="AD10" s="19">
        <f>COUNTIF(AD14:AD1972,"P1")+COUNTIF(AD14:AD1972,"P2")+COUNTIF(AD14:AD1972,"P3")</f>
        <v>21</v>
      </c>
      <c r="AE10" s="19">
        <f>COUNTIF(AE14:AE1972,"P1")+COUNTIF(AE14:AE1972,"P2")+COUNTIF(AE14:AE1972,"P3")</f>
        <v>22</v>
      </c>
      <c r="AF10" s="19">
        <f>COUNTIF(AF14:AF1972,"P1")+COUNTIF(AF14:AF1972,"P2")+COUNTIF(AF14:AF1972,"P3")</f>
        <v>21</v>
      </c>
      <c r="AG10" s="19">
        <f>COUNTIF(AG14:AG1972,"P1")+COUNTIF(AG14:AG1972,"P2")+COUNTIF(AG14:AG1972,"P3")</f>
        <v>21</v>
      </c>
      <c r="AH10" s="19">
        <f>COUNTIF(AH14:AH1972,"P1")+COUNTIF(AH14:AH1972,"P2")+COUNTIF(AH14:AH1972,"P3")</f>
        <v>23</v>
      </c>
      <c r="AI10" s="19">
        <f>COUNTIF(AI14:AI1972,"P1")+COUNTIF(AI14:AI1972,"P2")+COUNTIF(AI14:AI1972,"P3")</f>
        <v>21</v>
      </c>
      <c r="AJ10" s="19">
        <f>COUNTIF(AJ14:AJ1972,"P1")+COUNTIF(AJ14:AJ1972,"P2")+COUNTIF(AJ14:AJ1972,"P3")</f>
        <v>21</v>
      </c>
      <c r="AK10" s="19">
        <f>COUNTIF(AK14:AK1972,"P1")+COUNTIF(AK14:AK1972,"P2")+COUNTIF(AK14:AK1972,"P3")</f>
        <v>21</v>
      </c>
      <c r="AL10" s="19">
        <f>COUNTIF(AL14:AL1972,"P1")+COUNTIF(AL14:AL1972,"P2")+COUNTIF(AL14:AL1972,"P3")</f>
        <v>22</v>
      </c>
      <c r="AM10" s="19">
        <f>COUNTIF(AM14:AM1972,"P1")+COUNTIF(AM14:AM1972,"P2")+COUNTIF(AM14:AM1972,"P3")</f>
        <v>21</v>
      </c>
      <c r="AN10" s="19">
        <f>COUNTIF(AN14:AN1972,"P1")+COUNTIF(AN14:AN1972,"P2")+COUNTIF(AN14:AN1972,"P3")</f>
        <v>21</v>
      </c>
      <c r="AO10" s="19">
        <f>COUNTIF(AO14:AO1972,"P1")+COUNTIF(AO14:AO1972,"P2")+COUNTIF(AO14:AO1972,"P3")</f>
        <v>23</v>
      </c>
      <c r="AP10" s="19">
        <f>COUNTIF(AP14:AP1972,"P1")+COUNTIF(AP14:AP1972,"P2")+COUNTIF(AP14:AP1972,"P3")</f>
        <v>22</v>
      </c>
      <c r="AQ10" s="19">
        <f>COUNTIF(AQ14:AQ1972,"P1")+COUNTIF(AQ14:AQ1972,"P2")+COUNTIF(AQ14:AQ1972,"P3")</f>
        <v>21</v>
      </c>
      <c r="AR10" s="19">
        <f>COUNTIF(AR14:AR1972,"P1")+COUNTIF(AR14:AR1972,"P2")+COUNTIF(AR14:AR1972,"P3")</f>
        <v>22</v>
      </c>
      <c r="AS10" s="19">
        <f>COUNTIF(AS14:AS1972,"P1")+COUNTIF(AS14:AS1972,"P2")+COUNTIF(AS14:AS1972,"P3")</f>
        <v>21</v>
      </c>
      <c r="AT10" s="19">
        <f>COUNTIF(AT14:AT1972,"P1")+COUNTIF(AT14:AT1972,"P2")+COUNTIF(AT14:AT1972,"P3")</f>
        <v>21</v>
      </c>
      <c r="AU10" s="19">
        <f>COUNTIF(AU14:AU1972,"P1")+COUNTIF(AU14:AU1972,"P2")+COUNTIF(AU14:AU1972,"P3")</f>
        <v>23</v>
      </c>
      <c r="AV10" s="19">
        <f>COUNTIF(AV14:AV1972,"P1")+COUNTIF(AV14:AV1972,"P2")+COUNTIF(AV14:AV1972,"P3")</f>
        <v>14</v>
      </c>
      <c r="AW10" s="19">
        <f>COUNTIF(AW14:AW1972,"P1")+COUNTIF(AW14:AW1972,"P2")+COUNTIF(AW14:AW1972,"P3")</f>
        <v>15</v>
      </c>
      <c r="AX10" s="19">
        <f>COUNTIF(AX14:AX1972,"P1")+COUNTIF(AX14:AX1972,"P2")+COUNTIF(AX14:AX1972,"P3")</f>
        <v>14</v>
      </c>
      <c r="AY10" s="19">
        <f>COUNTIF(AY14:AY1972,"P1")+COUNTIF(AY14:AY1972,"P2")+COUNTIF(AY14:AY1972,"P3")</f>
        <v>14</v>
      </c>
      <c r="AZ10" s="19">
        <f>COUNTIF(AZ14:AZ1972,"P1")+COUNTIF(AZ14:AZ1972,"P2")+COUNTIF(AZ14:AZ1972,"P3")</f>
        <v>14</v>
      </c>
      <c r="BA10" s="19">
        <f>COUNTIF(BA14:BA1972,"P1")+COUNTIF(BA14:BA1972,"P2")+COUNTIF(BA14:BA1972,"P3")</f>
        <v>14</v>
      </c>
      <c r="BB10" s="19">
        <f>COUNTIF(BB14:BB1972,"P1")+COUNTIF(BB14:BB1972,"P2")+COUNTIF(BB14:BB1972,"P3")</f>
        <v>14</v>
      </c>
      <c r="BC10" s="19">
        <f>COUNTIF(BC14:BC1972,"P1")+COUNTIF(BC14:BC1972,"P2")+COUNTIF(BC14:BC1972,"P3")</f>
        <v>8</v>
      </c>
      <c r="BD10" s="19">
        <f>COUNTIF(BD14:BD1972,"P1")+COUNTIF(BD14:BD1972,"P2")+COUNTIF(BD14:BD1972,"P3")</f>
        <v>7</v>
      </c>
      <c r="BE10" s="19">
        <f>COUNTIF(BE14:BE1972,"P1")+COUNTIF(BE14:BE1972,"P2")+COUNTIF(BE14:BE1972,"P3")</f>
        <v>7</v>
      </c>
      <c r="BF10" s="19">
        <f>COUNTIF(BF14:BF1972,"P1")+COUNTIF(BF14:BF1972,"P2")+COUNTIF(BF14:BF1972,"P3")</f>
        <v>7</v>
      </c>
      <c r="BG10" s="19">
        <f>COUNTIF(BG14:BG1972,"P1")+COUNTIF(BG14:BG1972,"P2")+COUNTIF(BG14:BG1972,"P3")</f>
        <v>7</v>
      </c>
      <c r="BH10" s="19">
        <f>COUNTIF(BH14:BH1972,"P1")+COUNTIF(BH14:BH1972,"P2")+COUNTIF(BH14:BH1972,"P3")</f>
        <v>7</v>
      </c>
      <c r="BI10" s="19">
        <f>COUNTIF(BI14:BI1972,"P1")+COUNTIF(BI14:BI1972,"P2")+COUNTIF(BI14:BI1972,"P3")</f>
        <v>0</v>
      </c>
      <c r="BJ10" s="19">
        <f>COUNTIF(BJ14:BJ1972,"P1")+COUNTIF(BJ14:BJ1972,"P2")+COUNTIF(BJ14:BJ1972,"P3")</f>
        <v>0</v>
      </c>
      <c r="BK10" s="19">
        <f>COUNTIF(BK14:BK1972,"P1")+COUNTIF(BK14:BK1972,"P2")+COUNTIF(BK14:BK1972,"P3")</f>
        <v>0</v>
      </c>
      <c r="BL10" s="19">
        <f>COUNTIF(BL14:BL1972,"P1")+COUNTIF(BL14:BL1972,"P2")+COUNTIF(BL14:BL1972,"P3")</f>
        <v>0</v>
      </c>
      <c r="BM10" s="19">
        <f>COUNTIF(BM14:BM1972,"P1")+COUNTIF(BM14:BM1972,"P2")+COUNTIF(BM14:BM1972,"P3")</f>
        <v>0</v>
      </c>
      <c r="BN10" s="19">
        <f>COUNTIF(BN14:BN1972,"P1")+COUNTIF(BN14:BN1972,"P2")+COUNTIF(BN14:BN1972,"P3")</f>
        <v>0</v>
      </c>
      <c r="BO10" s="19">
        <f>COUNTIF(BO14:BO1972,"P1")+COUNTIF(BO14:BO1972,"P2")+COUNTIF(BO14:BO1972,"P3")</f>
        <v>0</v>
      </c>
      <c r="BP10" s="19">
        <f>COUNTIF(BP14:BP1972,"P1")+COUNTIF(BP14:BP1972,"P2")+COUNTIF(BP14:BP1972,"P3")</f>
        <v>0</v>
      </c>
      <c r="BQ10" s="19">
        <f>COUNTIF(BQ14:BQ1972,"P1")+COUNTIF(BQ14:BQ1972,"P2")+COUNTIF(BQ14:BQ1972,"P3")</f>
        <v>0</v>
      </c>
      <c r="BR10" s="19">
        <f>COUNTIF(BR14:BR1972,"P1")+COUNTIF(BR14:BR1972,"P2")+COUNTIF(BR14:BR1972,"P3")</f>
        <v>0</v>
      </c>
      <c r="BS10" s="19">
        <f>COUNTIF(BS14:BS1972,"P1")+COUNTIF(BS14:BS1972,"P2")+COUNTIF(BS14:BS1972,"P3")</f>
        <v>0</v>
      </c>
    </row>
    <row r="11" spans="1:103" s="22" customFormat="1" ht="16.5" customHeight="1" x14ac:dyDescent="0.25">
      <c r="A11" s="12"/>
      <c r="B11" s="92" t="s">
        <v>6</v>
      </c>
      <c r="C11" s="93"/>
      <c r="D11" s="93"/>
      <c r="E11" s="93"/>
      <c r="F11" s="93"/>
      <c r="G11" s="93"/>
      <c r="H11" s="93"/>
      <c r="I11" s="93"/>
      <c r="J11" s="21">
        <f>COUNTIF(J14:J1972,"C1")+COUNTIF(J14:J1972,"C2")</f>
        <v>0</v>
      </c>
      <c r="K11" s="21">
        <f>COUNTIF(K14:K1972,"C1")+COUNTIF(K14:K1972,"C2")</f>
        <v>0</v>
      </c>
      <c r="L11" s="21">
        <f>COUNTIF(L14:L1972,"C1")+COUNTIF(L14:L1972,"C2")</f>
        <v>0</v>
      </c>
      <c r="M11" s="21">
        <f>COUNTIF(M14:M1972,"C1")+COUNTIF(M14:M1972,"C2")</f>
        <v>0</v>
      </c>
      <c r="N11" s="21">
        <f>COUNTIF(N14:N1972,"C1")+COUNTIF(N14:N1972,"C2")</f>
        <v>0</v>
      </c>
      <c r="O11" s="21">
        <f>COUNTIF(O14:O1972,"C1")+COUNTIF(O14:O1972,"C2")</f>
        <v>0</v>
      </c>
      <c r="P11" s="21">
        <f>COUNTIF(P14:P1972,"C1")+COUNTIF(P14:P1972,"C2")</f>
        <v>0</v>
      </c>
      <c r="Q11" s="21">
        <f>COUNTIF(Q14:Q1972,"C1")+COUNTIF(Q14:Q1972,"C2")</f>
        <v>0</v>
      </c>
      <c r="R11" s="21">
        <f>COUNTIF(R14:R1972,"C1")+COUNTIF(R14:R1972,"C2")</f>
        <v>7</v>
      </c>
      <c r="S11" s="21">
        <f>COUNTIF(S14:S1972,"C1")+COUNTIF(S14:S1972,"C2")</f>
        <v>7</v>
      </c>
      <c r="T11" s="21">
        <f>COUNTIF(T14:T1972,"C1")+COUNTIF(T14:T1972,"C2")</f>
        <v>7</v>
      </c>
      <c r="U11" s="21">
        <f>COUNTIF(U14:U1972,"C1")+COUNTIF(U14:U1972,"C2")</f>
        <v>7</v>
      </c>
      <c r="V11" s="21">
        <f>COUNTIF(V14:V1972,"C1")+COUNTIF(V14:V1972,"C2")</f>
        <v>7</v>
      </c>
      <c r="W11" s="21">
        <f>COUNTIF(W14:W1972,"C1")+COUNTIF(W14:W1972,"C2")</f>
        <v>7</v>
      </c>
      <c r="X11" s="21">
        <f>COUNTIF(X14:X1972,"C1")+COUNTIF(X14:X1972,"C2")</f>
        <v>7</v>
      </c>
      <c r="Y11" s="21">
        <f>COUNTIF(Y14:Y1972,"C1")+COUNTIF(Y14:Y1972,"C2")</f>
        <v>14</v>
      </c>
      <c r="Z11" s="21">
        <f>COUNTIF(Z14:Z1972,"C1")+COUNTIF(Z14:Z1972,"C2")</f>
        <v>14</v>
      </c>
      <c r="AA11" s="21">
        <f>COUNTIF(AA14:AA1972,"C1")+COUNTIF(AA14:AA1972,"C2")</f>
        <v>14</v>
      </c>
      <c r="AB11" s="21">
        <f>COUNTIF(AB14:AB1972,"C1")+COUNTIF(AB14:AB1972,"C2")</f>
        <v>14</v>
      </c>
      <c r="AC11" s="21">
        <f>COUNTIF(AC14:AC1972,"C1")+COUNTIF(AC14:AC1972,"C2")</f>
        <v>14</v>
      </c>
      <c r="AD11" s="21">
        <f>COUNTIF(AD14:AD1972,"C1")+COUNTIF(AD14:AD1972,"C2")</f>
        <v>14</v>
      </c>
      <c r="AE11" s="21">
        <f>COUNTIF(AE14:AE1972,"C1")+COUNTIF(AE14:AE1972,"C2")</f>
        <v>14</v>
      </c>
      <c r="AF11" s="21">
        <f>COUNTIF(AF14:AF1972,"C1")+COUNTIF(AF14:AF1972,"C2")</f>
        <v>15</v>
      </c>
      <c r="AG11" s="21">
        <f>COUNTIF(AG14:AG1972,"C1")+COUNTIF(AG14:AG1972,"C2")</f>
        <v>14</v>
      </c>
      <c r="AH11" s="21">
        <f>COUNTIF(AH14:AH1972,"C1")+COUNTIF(AH14:AH1972,"C2")</f>
        <v>14</v>
      </c>
      <c r="AI11" s="21">
        <f>COUNTIF(AI14:AI1972,"C1")+COUNTIF(AI14:AI1972,"C2")</f>
        <v>16</v>
      </c>
      <c r="AJ11" s="21">
        <f>COUNTIF(AJ14:AJ1972,"C1")+COUNTIF(AJ14:AJ1972,"C2")</f>
        <v>14</v>
      </c>
      <c r="AK11" s="21">
        <f>COUNTIF(AK14:AK1972,"C1")+COUNTIF(AK14:AK1972,"C2")</f>
        <v>14</v>
      </c>
      <c r="AL11" s="21">
        <f>COUNTIF(AL14:AL1972,"C1")+COUNTIF(AL14:AL1972,"C2")</f>
        <v>14</v>
      </c>
      <c r="AM11" s="21">
        <f>COUNTIF(AM14:AM1972,"C1")+COUNTIF(AM14:AM1972,"C2")</f>
        <v>15</v>
      </c>
      <c r="AN11" s="21">
        <f>COUNTIF(AN14:AN1972,"C1")+COUNTIF(AN14:AN1972,"C2")</f>
        <v>14</v>
      </c>
      <c r="AO11" s="21">
        <f>COUNTIF(AO14:AO1972,"C1")+COUNTIF(AO14:AO1972,"C2")</f>
        <v>14</v>
      </c>
      <c r="AP11" s="21">
        <f>COUNTIF(AP14:AP1972,"C1")+COUNTIF(AP14:AP1972,"C2")</f>
        <v>16</v>
      </c>
      <c r="AQ11" s="21">
        <f>COUNTIF(AQ14:AQ1972,"C1")+COUNTIF(AQ14:AQ1972,"C2")</f>
        <v>15</v>
      </c>
      <c r="AR11" s="21">
        <f>COUNTIF(AR14:AR1972,"C1")+COUNTIF(AR14:AR1972,"C2")</f>
        <v>14</v>
      </c>
      <c r="AS11" s="21">
        <f>COUNTIF(AS14:AS1972,"C1")+COUNTIF(AS14:AS1972,"C2")</f>
        <v>14</v>
      </c>
      <c r="AT11" s="21">
        <f>COUNTIF(AT14:AT1972,"C1")+COUNTIF(AT14:AT1972,"C2")</f>
        <v>14</v>
      </c>
      <c r="AU11" s="21">
        <f>COUNTIF(AU14:AU1972,"C1")+COUNTIF(AU14:AU1972,"C2")</f>
        <v>14</v>
      </c>
      <c r="AV11" s="21">
        <f>COUNTIF(AV14:AV1972,"C1")+COUNTIF(AV14:AV1972,"C2")</f>
        <v>14</v>
      </c>
      <c r="AW11" s="21">
        <f>COUNTIF(AW14:AW1972,"C1")+COUNTIF(AW14:AW1972,"C2")</f>
        <v>7</v>
      </c>
      <c r="AX11" s="21">
        <f>COUNTIF(AX14:AX1972,"C1")+COUNTIF(AX14:AX1972,"C2")</f>
        <v>8</v>
      </c>
      <c r="AY11" s="21">
        <f>COUNTIF(AY14:AY1972,"C1")+COUNTIF(AY14:AY1972,"C2")</f>
        <v>7</v>
      </c>
      <c r="AZ11" s="21">
        <f>COUNTIF(AZ14:AZ1972,"C1")+COUNTIF(AZ14:AZ1972,"C2")</f>
        <v>7</v>
      </c>
      <c r="BA11" s="21">
        <f>COUNTIF(BA14:BA1972,"C1")+COUNTIF(BA14:BA1972,"C2")</f>
        <v>7</v>
      </c>
      <c r="BB11" s="21">
        <f>COUNTIF(BB14:BB1972,"C1")+COUNTIF(BB14:BB1972,"C2")</f>
        <v>7</v>
      </c>
      <c r="BC11" s="21">
        <f>COUNTIF(BC14:BC1972,"C1")+COUNTIF(BC14:BC1972,"C2")</f>
        <v>7</v>
      </c>
      <c r="BD11" s="21">
        <f>COUNTIF(BD14:BD1972,"C1")+COUNTIF(BD14:BD1972,"C2")</f>
        <v>0</v>
      </c>
      <c r="BE11" s="21">
        <f>COUNTIF(BE14:BE1972,"C1")+COUNTIF(BE14:BE1972,"C2")</f>
        <v>0</v>
      </c>
      <c r="BF11" s="21">
        <f>COUNTIF(BF14:BF1972,"C1")+COUNTIF(BF14:BF1972,"C2")</f>
        <v>0</v>
      </c>
      <c r="BG11" s="21">
        <f>COUNTIF(BG14:BG1972,"C1")+COUNTIF(BG14:BG1972,"C2")</f>
        <v>0</v>
      </c>
      <c r="BH11" s="21">
        <f>COUNTIF(BH14:BH1972,"C1")+COUNTIF(BH14:BH1972,"C2")</f>
        <v>0</v>
      </c>
      <c r="BI11" s="21">
        <f>COUNTIF(BI14:BI1972,"C1")+COUNTIF(BI14:BI1972,"C2")</f>
        <v>0</v>
      </c>
      <c r="BJ11" s="21">
        <f>COUNTIF(BJ14:BJ1972,"C1")+COUNTIF(BJ14:BJ1972,"C2")</f>
        <v>0</v>
      </c>
      <c r="BK11" s="21">
        <f>COUNTIF(BK14:BK1972,"C1")+COUNTIF(BK14:BK1972,"C2")</f>
        <v>0</v>
      </c>
      <c r="BL11" s="21">
        <f>COUNTIF(BL14:BL1972,"C1")+COUNTIF(BL14:BL1972,"C2")</f>
        <v>0</v>
      </c>
      <c r="BM11" s="21">
        <f>COUNTIF(BM14:BM1972,"C1")+COUNTIF(BM14:BM1972,"C2")</f>
        <v>0</v>
      </c>
      <c r="BN11" s="21">
        <f>COUNTIF(BN14:BN1972,"C1")+COUNTIF(BN14:BN1972,"C2")</f>
        <v>0</v>
      </c>
      <c r="BO11" s="21">
        <f>COUNTIF(BO14:BO1972,"C1")+COUNTIF(BO14:BO1972,"C2")</f>
        <v>0</v>
      </c>
      <c r="BP11" s="21">
        <f>COUNTIF(BP14:BP1972,"C1")+COUNTIF(BP14:BP1972,"C2")</f>
        <v>0</v>
      </c>
      <c r="BQ11" s="21">
        <f>COUNTIF(BQ14:BQ1972,"C1")+COUNTIF(BQ14:BQ1972,"C2")</f>
        <v>0</v>
      </c>
      <c r="BR11" s="21">
        <f>COUNTIF(BR14:BR1972,"C1")+COUNTIF(BR14:BR1972,"C2")</f>
        <v>0</v>
      </c>
      <c r="BS11" s="21">
        <f>COUNTIF(BS14:BS1972,"C1")+COUNTIF(BS14:BS1972,"C2")</f>
        <v>0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>COUNTIF(J15:J1972,"")</f>
        <v>1951</v>
      </c>
      <c r="K12" s="23">
        <f>COUNTIF(K15:K1972,"")</f>
        <v>1951</v>
      </c>
      <c r="L12" s="23">
        <f>COUNTIF(L15:L1972,"")</f>
        <v>1951</v>
      </c>
      <c r="M12" s="23">
        <f>COUNTIF(M15:M1972,"")</f>
        <v>1951</v>
      </c>
      <c r="N12" s="23">
        <f>COUNTIF(N15:N1972,"")</f>
        <v>1951</v>
      </c>
      <c r="O12" s="23">
        <f>COUNTIF(O15:O1972,"")</f>
        <v>1951</v>
      </c>
      <c r="P12" s="23">
        <f>COUNTIF(P15:P1972,"")</f>
        <v>1951</v>
      </c>
      <c r="Q12" s="23">
        <f>COUNTIF(Q15:Q1972,"")</f>
        <v>1944</v>
      </c>
      <c r="R12" s="23">
        <f>COUNTIF(R15:R1972,"")</f>
        <v>1937</v>
      </c>
      <c r="S12" s="23">
        <f>COUNTIF(S15:S1972,"")</f>
        <v>1937</v>
      </c>
      <c r="T12" s="23">
        <f>COUNTIF(T15:T1972,"")</f>
        <v>1937</v>
      </c>
      <c r="U12" s="23">
        <f>COUNTIF(U15:U1972,"")</f>
        <v>1937</v>
      </c>
      <c r="V12" s="23">
        <f>COUNTIF(V15:V1972,"")</f>
        <v>1937</v>
      </c>
      <c r="W12" s="23">
        <f>COUNTIF(W15:W1972,"")</f>
        <v>1937</v>
      </c>
      <c r="X12" s="23">
        <f>COUNTIF(X15:X1972,"")</f>
        <v>1929</v>
      </c>
      <c r="Y12" s="23">
        <f>COUNTIF(Y15:Y1972,"")</f>
        <v>1923</v>
      </c>
      <c r="Z12" s="23">
        <f>COUNTIF(Z15:Z1972,"")</f>
        <v>1923</v>
      </c>
      <c r="AA12" s="23">
        <f>COUNTIF(AA15:AA1972,"")</f>
        <v>1921</v>
      </c>
      <c r="AB12" s="23">
        <f>COUNTIF(AB15:AB1972,"")</f>
        <v>1923</v>
      </c>
      <c r="AC12" s="23">
        <f>COUNTIF(AC15:AC1972,"")</f>
        <v>1923</v>
      </c>
      <c r="AD12" s="23">
        <f>COUNTIF(AD15:AD1972,"")</f>
        <v>1916</v>
      </c>
      <c r="AE12" s="23">
        <f>COUNTIF(AE15:AE1972,"")</f>
        <v>1915</v>
      </c>
      <c r="AF12" s="23">
        <f>COUNTIF(AF15:AF1972,"")</f>
        <v>1915</v>
      </c>
      <c r="AG12" s="23">
        <f>COUNTIF(AG15:AG1972,"")</f>
        <v>1909</v>
      </c>
      <c r="AH12" s="23">
        <f>COUNTIF(AH15:AH1972,"")</f>
        <v>1907</v>
      </c>
      <c r="AI12" s="23">
        <f>COUNTIF(AI15:AI1972,"")</f>
        <v>1906</v>
      </c>
      <c r="AJ12" s="23">
        <f>COUNTIF(AJ15:AJ1972,"")</f>
        <v>1909</v>
      </c>
      <c r="AK12" s="23">
        <f>COUNTIF(AK15:AK1972,"")</f>
        <v>1909</v>
      </c>
      <c r="AL12" s="23">
        <f>COUNTIF(AL15:AL1972,"")</f>
        <v>1908</v>
      </c>
      <c r="AM12" s="23">
        <f>COUNTIF(AM15:AM1972,"")</f>
        <v>1908</v>
      </c>
      <c r="AN12" s="23">
        <f>COUNTIF(AN15:AN1972,"")</f>
        <v>1909</v>
      </c>
      <c r="AO12" s="23">
        <f>COUNTIF(AO15:AO1972,"")</f>
        <v>1914</v>
      </c>
      <c r="AP12" s="23">
        <f>COUNTIF(AP15:AP1972,"")</f>
        <v>1913</v>
      </c>
      <c r="AQ12" s="23">
        <f>COUNTIF(AQ15:AQ1972,"")</f>
        <v>1915</v>
      </c>
      <c r="AR12" s="23">
        <f>COUNTIF(AR15:AR1972,"")</f>
        <v>1915</v>
      </c>
      <c r="AS12" s="23">
        <f>COUNTIF(AS15:AS1972,"")</f>
        <v>1916</v>
      </c>
      <c r="AT12" s="23">
        <f>COUNTIF(AT15:AT1972,"")</f>
        <v>1916</v>
      </c>
      <c r="AU12" s="23">
        <f>COUNTIF(AU15:AU1972,"")</f>
        <v>1913</v>
      </c>
      <c r="AV12" s="23">
        <f>COUNTIF(AV15:AV1972,"")</f>
        <v>1923</v>
      </c>
      <c r="AW12" s="23">
        <f>COUNTIF(AW15:AW1972,"")</f>
        <v>1929</v>
      </c>
      <c r="AX12" s="23">
        <f>COUNTIF(AX15:AX1972,"")</f>
        <v>1927</v>
      </c>
      <c r="AY12" s="23">
        <f>COUNTIF(AY15:AY1972,"")</f>
        <v>1930</v>
      </c>
      <c r="AZ12" s="23">
        <f>COUNTIF(AZ15:AZ1972,"")</f>
        <v>1930</v>
      </c>
      <c r="BA12" s="23">
        <f>COUNTIF(BA15:BA1972,"")</f>
        <v>1930</v>
      </c>
      <c r="BB12" s="23">
        <f>COUNTIF(BB15:BB1972,"")</f>
        <v>1930</v>
      </c>
      <c r="BC12" s="23">
        <f>COUNTIF(BC15:BC1972,"")</f>
        <v>1936</v>
      </c>
      <c r="BD12" s="23">
        <f>COUNTIF(BD15:BD1972,"")</f>
        <v>1944</v>
      </c>
      <c r="BE12" s="23">
        <f>COUNTIF(BE15:BE1972,"")</f>
        <v>1944</v>
      </c>
      <c r="BF12" s="23">
        <f>COUNTIF(BF15:BF1972,"")</f>
        <v>1943</v>
      </c>
      <c r="BG12" s="23">
        <f>COUNTIF(BG15:BG1972,"")</f>
        <v>1944</v>
      </c>
      <c r="BH12" s="23">
        <f>COUNTIF(BH15:BH1972,"")</f>
        <v>1944</v>
      </c>
      <c r="BI12" s="23">
        <f>COUNTIF(BI15:BI1972,"")</f>
        <v>1951</v>
      </c>
      <c r="BJ12" s="23">
        <f>COUNTIF(BJ15:BJ1972,"")</f>
        <v>1951</v>
      </c>
      <c r="BK12" s="23">
        <f>COUNTIF(BK15:BK1972,"")</f>
        <v>1951</v>
      </c>
      <c r="BL12" s="23">
        <f>COUNTIF(BL15:BL1972,"")</f>
        <v>1958</v>
      </c>
      <c r="BM12" s="23">
        <f>COUNTIF(BM15:BM1972,"")</f>
        <v>1958</v>
      </c>
      <c r="BN12" s="23">
        <f>COUNTIF(BN15:BN1972,"")</f>
        <v>1958</v>
      </c>
      <c r="BO12" s="23">
        <f>COUNTIF(BO15:BO1972,"")</f>
        <v>1958</v>
      </c>
      <c r="BP12" s="23">
        <f>COUNTIF(BP15:BP1972,"")</f>
        <v>1958</v>
      </c>
      <c r="BQ12" s="23">
        <f>COUNTIF(BQ15:BQ1972,"")</f>
        <v>1958</v>
      </c>
      <c r="BR12" s="23">
        <f>COUNTIF(BR33:BR1972,"")</f>
        <v>1940</v>
      </c>
      <c r="BS12" s="23">
        <f>COUNTIF(BS28:BS1972,"")</f>
        <v>1945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3" customFormat="1" ht="16.5" customHeight="1" x14ac:dyDescent="0.25">
      <c r="A14" s="39" t="s">
        <v>8</v>
      </c>
      <c r="B14" s="39" t="s">
        <v>233</v>
      </c>
      <c r="C14" s="25" t="s">
        <v>378</v>
      </c>
      <c r="D14" s="25">
        <v>20</v>
      </c>
      <c r="E14" s="34" t="str" cm="1">
        <f t="array" ref="E14">IFERROR(INDEX($J$5:$AVX$5, _xlfn.AGGREGATE(15,6, COLUMN(J14:AVX14)-COLUMN(J14)+1 / (J14:AVX14="T"), F14)), "")</f>
        <v/>
      </c>
      <c r="F14" s="96">
        <f>$A$2</f>
        <v>2</v>
      </c>
      <c r="G14" s="34" t="str" cm="1">
        <f t="array" ref="G14">IFERROR(INDEX($J$5:$AVW$5,_xlfn.AGGREGATE(14,6,(COLUMN($J14:$AVW14)-COLUMN($J14)+1)/($J14:$AVW14="T"),1)),"")</f>
        <v/>
      </c>
      <c r="H14" s="105">
        <f>COUNTIF($J14:$AVV14,"T")</f>
        <v>0</v>
      </c>
      <c r="I14" s="40" t="s">
        <v>10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30"/>
      <c r="AR14" s="25"/>
      <c r="AS14" s="25"/>
      <c r="AT14" s="25"/>
      <c r="AU14" s="25"/>
      <c r="AV14" s="25"/>
      <c r="AW14" s="25"/>
      <c r="AX14" s="25"/>
      <c r="AY14" s="25"/>
      <c r="AZ14" s="25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</row>
    <row r="15" spans="1:103" x14ac:dyDescent="0.25">
      <c r="A15" s="106" t="s">
        <v>8</v>
      </c>
      <c r="B15" s="106" t="s">
        <v>253</v>
      </c>
      <c r="C15" s="25" t="s">
        <v>398</v>
      </c>
      <c r="D15" s="25">
        <v>40</v>
      </c>
      <c r="E15" s="34" t="str" cm="1">
        <f t="array" ref="E15">IFERROR(INDEX($J$5:$AVX$5, _xlfn.AGGREGATE(15,6, COLUMN(J15:AVX15)-COLUMN(J15)+1 / (J15:AVX15="T"), F15)), "")</f>
        <v/>
      </c>
      <c r="F15" s="96">
        <f>$A$2</f>
        <v>2</v>
      </c>
      <c r="G15" s="34" t="str" cm="1">
        <f t="array" ref="G15">IFERROR(INDEX($J$5:$AVW$5,_xlfn.AGGREGATE(14,6,(COLUMN($J15:$AVW15)-COLUMN($J15)+1)/($J15:$AVW15="T"),1)),"")</f>
        <v/>
      </c>
      <c r="H15" s="105">
        <f>COUNTIF($J15:$AVV15,"T")</f>
        <v>0</v>
      </c>
      <c r="I15" s="107" t="s">
        <v>10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30"/>
      <c r="AT15" s="25"/>
      <c r="AU15" s="25"/>
      <c r="AV15" s="25"/>
      <c r="AW15" s="25"/>
      <c r="AX15" s="25"/>
      <c r="AY15" s="25"/>
      <c r="AZ15" s="25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</row>
    <row r="16" spans="1:103" x14ac:dyDescent="0.25">
      <c r="A16" s="44" t="s">
        <v>8</v>
      </c>
      <c r="B16" s="44" t="s">
        <v>254</v>
      </c>
      <c r="C16" s="25" t="s">
        <v>399</v>
      </c>
      <c r="D16" s="25">
        <v>41</v>
      </c>
      <c r="E16" s="34" t="str" cm="1">
        <f t="array" ref="E16">IFERROR(INDEX($J$5:$AVX$5, _xlfn.AGGREGATE(15,6, COLUMN(J16:AVX16)-COLUMN(J16)+1 / (J16:AVX16="T"), F16)), "")</f>
        <v/>
      </c>
      <c r="F16" s="96">
        <f>$A$2</f>
        <v>2</v>
      </c>
      <c r="G16" s="34" t="str" cm="1">
        <f t="array" ref="G16">IFERROR(INDEX($J$5:$AVW$5,_xlfn.AGGREGATE(14,6,(COLUMN($J16:$AVW16)-COLUMN($J16)+1)/($J16:$AVW16="T"),1)),"")</f>
        <v/>
      </c>
      <c r="H16" s="105">
        <f>COUNTIF($J16:$AVV16,"T")</f>
        <v>0</v>
      </c>
      <c r="I16" s="43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30"/>
      <c r="AT16" s="25"/>
      <c r="AU16" s="25"/>
      <c r="AV16" s="25"/>
      <c r="AW16" s="25"/>
      <c r="AX16" s="25"/>
      <c r="AY16" s="25"/>
      <c r="AZ16" s="25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</row>
    <row r="17" spans="1:94" x14ac:dyDescent="0.25">
      <c r="A17" s="44" t="s">
        <v>8</v>
      </c>
      <c r="B17" s="44" t="s">
        <v>255</v>
      </c>
      <c r="C17" s="25" t="s">
        <v>400</v>
      </c>
      <c r="D17" s="25">
        <v>42</v>
      </c>
      <c r="E17" s="34" t="str" cm="1">
        <f t="array" ref="E17">IFERROR(INDEX($J$5:$AVX$5, _xlfn.AGGREGATE(15,6, COLUMN(J17:AVX17)-COLUMN(J17)+1 / (J17:AVX17="T"), F17)), "")</f>
        <v/>
      </c>
      <c r="F17" s="96">
        <f>$A$2</f>
        <v>2</v>
      </c>
      <c r="G17" s="34" t="str" cm="1">
        <f t="array" ref="G17">IFERROR(INDEX($J$5:$AVW$5,_xlfn.AGGREGATE(14,6,(COLUMN($J17:$AVW17)-COLUMN($J17)+1)/($J17:$AVW17="T"),1)),"")</f>
        <v/>
      </c>
      <c r="H17" s="105">
        <f>COUNTIF($J17:$AVV17,"T")</f>
        <v>0</v>
      </c>
      <c r="I17" s="43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30"/>
      <c r="AT17" s="25"/>
      <c r="AU17" s="25"/>
      <c r="AV17" s="25"/>
      <c r="AW17" s="25"/>
      <c r="AX17" s="25"/>
      <c r="AY17" s="25"/>
      <c r="AZ17" s="25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</row>
    <row r="18" spans="1:94" x14ac:dyDescent="0.25">
      <c r="A18" s="44" t="s">
        <v>8</v>
      </c>
      <c r="B18" s="44" t="s">
        <v>256</v>
      </c>
      <c r="C18" s="25" t="s">
        <v>401</v>
      </c>
      <c r="D18" s="25">
        <v>43</v>
      </c>
      <c r="E18" s="34" t="str" cm="1">
        <f t="array" ref="E18">IFERROR(INDEX($J$5:$AVX$5, _xlfn.AGGREGATE(15,6, COLUMN(J18:AVX18)-COLUMN(J18)+1 / (J18:AVX18="T"), F18)), "")</f>
        <v/>
      </c>
      <c r="F18" s="96">
        <f>$A$2</f>
        <v>2</v>
      </c>
      <c r="G18" s="34" t="str" cm="1">
        <f t="array" ref="G18">IFERROR(INDEX($J$5:$AVW$5,_xlfn.AGGREGATE(14,6,(COLUMN($J18:$AVW18)-COLUMN($J18)+1)/($J18:$AVW18="T"),1)),"")</f>
        <v/>
      </c>
      <c r="H18" s="105">
        <f>COUNTIF($J18:$AVV18,"T")</f>
        <v>0</v>
      </c>
      <c r="I18" s="43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30"/>
      <c r="AT18" s="25"/>
      <c r="AU18" s="25"/>
      <c r="AV18" s="25"/>
      <c r="AW18" s="25"/>
      <c r="AX18" s="25"/>
      <c r="AY18" s="25"/>
      <c r="AZ18" s="25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</row>
    <row r="19" spans="1:94" x14ac:dyDescent="0.25">
      <c r="A19" s="44" t="s">
        <v>8</v>
      </c>
      <c r="B19" s="44" t="s">
        <v>257</v>
      </c>
      <c r="C19" s="25" t="s">
        <v>402</v>
      </c>
      <c r="D19" s="25">
        <v>44</v>
      </c>
      <c r="E19" s="34" t="str" cm="1">
        <f t="array" ref="E19">IFERROR(INDEX($J$5:$AVX$5, _xlfn.AGGREGATE(15,6, COLUMN(J19:AVX19)-COLUMN(J19)+1 / (J19:AVX19="T"), F19)), "")</f>
        <v/>
      </c>
      <c r="F19" s="96">
        <f>$A$2</f>
        <v>2</v>
      </c>
      <c r="G19" s="34" t="str" cm="1">
        <f t="array" ref="G19">IFERROR(INDEX($J$5:$AVW$5,_xlfn.AGGREGATE(14,6,(COLUMN($J19:$AVW19)-COLUMN($J19)+1)/($J19:$AVW19="T"),1)),"")</f>
        <v/>
      </c>
      <c r="H19" s="105">
        <f>COUNTIF($J19:$AVV19,"T")</f>
        <v>0</v>
      </c>
      <c r="I19" s="43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30"/>
      <c r="AT19" s="25"/>
      <c r="AU19" s="25"/>
      <c r="AV19" s="25"/>
      <c r="AW19" s="25"/>
      <c r="AX19" s="25"/>
      <c r="AY19" s="25"/>
      <c r="AZ19" s="25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</row>
    <row r="20" spans="1:94" x14ac:dyDescent="0.25">
      <c r="A20" s="44" t="s">
        <v>8</v>
      </c>
      <c r="B20" s="44" t="s">
        <v>258</v>
      </c>
      <c r="C20" s="25" t="s">
        <v>403</v>
      </c>
      <c r="D20" s="25">
        <v>45</v>
      </c>
      <c r="E20" s="34" t="str" cm="1">
        <f t="array" ref="E20">IFERROR(INDEX($J$5:$AVX$5, _xlfn.AGGREGATE(15,6, COLUMN(J20:AVX20)-COLUMN(J20)+1 / (J20:AVX20="T"), F20)), "")</f>
        <v/>
      </c>
      <c r="F20" s="96">
        <f>$A$2</f>
        <v>2</v>
      </c>
      <c r="G20" s="34" t="str" cm="1">
        <f t="array" ref="G20">IFERROR(INDEX($J$5:$AVW$5,_xlfn.AGGREGATE(14,6,(COLUMN($J20:$AVW20)-COLUMN($J20)+1)/($J20:$AVW20="T"),1)),"")</f>
        <v/>
      </c>
      <c r="H20" s="105">
        <f>COUNTIF($J20:$AVV20,"T")</f>
        <v>0</v>
      </c>
      <c r="I20" s="43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30"/>
      <c r="AT20" s="25"/>
      <c r="AU20" s="25"/>
      <c r="AV20" s="25"/>
      <c r="AW20" s="25"/>
      <c r="AX20" s="25"/>
      <c r="AY20" s="25"/>
      <c r="AZ20" s="25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</row>
    <row r="21" spans="1:94" x14ac:dyDescent="0.25">
      <c r="A21" s="48" t="s">
        <v>56</v>
      </c>
      <c r="B21" s="48" t="s">
        <v>330</v>
      </c>
      <c r="C21" s="25" t="s">
        <v>475</v>
      </c>
      <c r="D21" s="25">
        <v>117</v>
      </c>
      <c r="E21" s="34" t="str" cm="1">
        <f t="array" ref="E21">IFERROR(INDEX($J$5:$AVX$5, _xlfn.AGGREGATE(15,6, COLUMN(J21:AVX21)-COLUMN(J21)+1 / (J21:AVX21="T"), F21)), "")</f>
        <v/>
      </c>
      <c r="F21" s="96">
        <f>$A$2</f>
        <v>2</v>
      </c>
      <c r="G21" s="34" t="str" cm="1">
        <f t="array" ref="G21">IFERROR(INDEX($J$5:$AVW$5,_xlfn.AGGREGATE(14,6,(COLUMN($J21:$AVW21)-COLUMN($J21)+1)/($J21:$AVW21="T"),1)),"")</f>
        <v/>
      </c>
      <c r="H21" s="105">
        <f>COUNTIF($J21:$AVV21,"T")</f>
        <v>0</v>
      </c>
      <c r="I21" s="49" t="s">
        <v>10</v>
      </c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30"/>
      <c r="AT21" s="25"/>
      <c r="AU21" s="25"/>
      <c r="AV21" s="25"/>
      <c r="AW21" s="25"/>
      <c r="AX21" s="25"/>
      <c r="AY21" s="25"/>
      <c r="AZ21" s="25"/>
      <c r="BA21" s="25"/>
      <c r="BB21" s="25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</row>
    <row r="22" spans="1:94" x14ac:dyDescent="0.25">
      <c r="A22" s="37" t="s">
        <v>132</v>
      </c>
      <c r="B22" s="37" t="s">
        <v>258</v>
      </c>
      <c r="C22" s="25" t="s">
        <v>511</v>
      </c>
      <c r="D22" s="25">
        <v>153</v>
      </c>
      <c r="E22" s="34" t="str" cm="1">
        <f t="array" ref="E22">IFERROR(INDEX($J$5:$AVX$5, _xlfn.AGGREGATE(15,6, COLUMN(J22:AVX22)-COLUMN(J22)+1 / (J22:AVX22="T"), F22)), "")</f>
        <v/>
      </c>
      <c r="F22" s="96">
        <f>$A$2</f>
        <v>2</v>
      </c>
      <c r="G22" s="34" t="str" cm="1">
        <f t="array" ref="G22">IFERROR(INDEX($J$5:$AVW$5,_xlfn.AGGREGATE(14,6,(COLUMN($J22:$AVW22)-COLUMN($J22)+1)/($J22:$AVW22="T"),1)),"")</f>
        <v/>
      </c>
      <c r="H22" s="105">
        <f>COUNTIF($J22:$AVV22,"T")</f>
        <v>0</v>
      </c>
      <c r="I22" s="43" t="s">
        <v>10</v>
      </c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30"/>
      <c r="AV22" s="25"/>
      <c r="AW22" s="25"/>
      <c r="AX22" s="25"/>
      <c r="AY22" s="25"/>
      <c r="AZ22" s="25"/>
      <c r="BA22" s="25"/>
      <c r="BB22" s="25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</row>
    <row r="23" spans="1:94" x14ac:dyDescent="0.25">
      <c r="A23" s="37" t="s">
        <v>132</v>
      </c>
      <c r="B23" s="37" t="s">
        <v>259</v>
      </c>
      <c r="C23" s="25" t="s">
        <v>512</v>
      </c>
      <c r="D23" s="25">
        <v>154</v>
      </c>
      <c r="E23" s="34" t="str" cm="1">
        <f t="array" ref="E23">IFERROR(INDEX($J$5:$AVX$5, _xlfn.AGGREGATE(15,6, COLUMN(J23:AVX23)-COLUMN(J23)+1 / (J23:AVX23="T"), F23)), "")</f>
        <v/>
      </c>
      <c r="F23" s="96">
        <f>$A$2</f>
        <v>2</v>
      </c>
      <c r="G23" s="34" t="str" cm="1">
        <f t="array" ref="G23">IFERROR(INDEX($J$5:$AVW$5,_xlfn.AGGREGATE(14,6,(COLUMN($J23:$AVW23)-COLUMN($J23)+1)/($J23:$AVW23="T"),1)),"")</f>
        <v/>
      </c>
      <c r="H23" s="105">
        <f>COUNTIF($J23:$AVV23,"T")</f>
        <v>0</v>
      </c>
      <c r="I23" s="43" t="s">
        <v>10</v>
      </c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30"/>
      <c r="AV23" s="25"/>
      <c r="AW23" s="25"/>
      <c r="AX23" s="25"/>
      <c r="AY23" s="25"/>
      <c r="AZ23" s="25"/>
      <c r="BA23" s="25"/>
      <c r="BB23" s="25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</row>
    <row r="24" spans="1:94" x14ac:dyDescent="0.25">
      <c r="A24" s="39" t="s">
        <v>146</v>
      </c>
      <c r="B24" s="39" t="s">
        <v>297</v>
      </c>
      <c r="C24" s="25" t="s">
        <v>536</v>
      </c>
      <c r="D24" s="25">
        <v>178</v>
      </c>
      <c r="E24" s="34" t="str" cm="1">
        <f t="array" ref="E24">IFERROR(INDEX($J$5:$AVX$5, _xlfn.AGGREGATE(15,6, COLUMN(J24:AVX24)-COLUMN(J24)+1 / (J24:AVX24="T"), F24)), "")</f>
        <v/>
      </c>
      <c r="F24" s="96">
        <f>$A$2</f>
        <v>2</v>
      </c>
      <c r="G24" s="34" t="str" cm="1">
        <f t="array" ref="G24">IFERROR(INDEX($J$5:$AVW$5,_xlfn.AGGREGATE(14,6,(COLUMN($J24:$AVW24)-COLUMN($J24)+1)/($J24:$AVW24="T"),1)),"")</f>
        <v/>
      </c>
      <c r="H24" s="105">
        <f>COUNTIF($J24:$AVV24,"T")</f>
        <v>0</v>
      </c>
      <c r="I24" s="41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30"/>
      <c r="AV24" s="25"/>
      <c r="AW24" s="25"/>
      <c r="AX24" s="25"/>
      <c r="AY24" s="25"/>
      <c r="AZ24" s="25"/>
      <c r="BA24" s="25"/>
      <c r="BB24" s="25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</row>
    <row r="25" spans="1:94" x14ac:dyDescent="0.25">
      <c r="A25" s="25" t="s">
        <v>56</v>
      </c>
      <c r="B25" s="25" t="s">
        <v>317</v>
      </c>
      <c r="C25" s="25" t="s">
        <v>462</v>
      </c>
      <c r="D25" s="25">
        <v>104</v>
      </c>
      <c r="E25" s="34" cm="1">
        <f t="array" ref="E25">IFERROR(INDEX($J$5:$AVX$5, _xlfn.AGGREGATE(15,6, COLUMN(J25:AVX25)-COLUMN(J25)+1 / (J25:AVX25="T"), F25)), "")</f>
        <v>45992</v>
      </c>
      <c r="F25" s="96">
        <f>$A$2</f>
        <v>2</v>
      </c>
      <c r="G25" s="34" cm="1">
        <f t="array" ref="G25">IFERROR(INDEX($J$5:$AVW$5,_xlfn.AGGREGATE(14,6,(COLUMN($J25:$AVW25)-COLUMN($J25)+1)/($J25:$AVW25="T"),1)),"")</f>
        <v>45992</v>
      </c>
      <c r="H25" s="105">
        <f>COUNTIF($J25:$AVV25,"T")</f>
        <v>2</v>
      </c>
      <c r="I25" s="36" t="s">
        <v>10</v>
      </c>
      <c r="J25" s="32" t="s">
        <v>12</v>
      </c>
      <c r="K25" s="97"/>
      <c r="L25" s="97"/>
      <c r="M25" s="97"/>
      <c r="N25" s="98"/>
      <c r="O25" s="97"/>
      <c r="P25" s="97"/>
      <c r="Q25" s="99" t="s">
        <v>16</v>
      </c>
      <c r="R25" s="100" t="s">
        <v>13</v>
      </c>
      <c r="S25" s="97"/>
      <c r="T25" s="97"/>
      <c r="U25" s="98"/>
      <c r="V25" s="97"/>
      <c r="W25" s="97"/>
      <c r="X25" s="99" t="s">
        <v>14</v>
      </c>
      <c r="Y25" s="100" t="s">
        <v>11</v>
      </c>
      <c r="Z25" s="97"/>
      <c r="AA25" s="97"/>
      <c r="AB25" s="98"/>
      <c r="AC25" s="97"/>
      <c r="AD25" s="99" t="s">
        <v>15</v>
      </c>
      <c r="AE25" s="26"/>
      <c r="AF25" s="26"/>
      <c r="AG25" s="25">
        <v>17</v>
      </c>
      <c r="AH25" s="25"/>
      <c r="AI25" s="25"/>
      <c r="AJ25" s="25"/>
      <c r="AK25" s="25"/>
      <c r="AL25" s="25"/>
      <c r="AM25" s="25"/>
      <c r="AN25" s="25" t="s">
        <v>12</v>
      </c>
      <c r="AO25" s="26"/>
      <c r="AP25" s="26"/>
      <c r="AQ25" s="26"/>
      <c r="AR25" s="27"/>
      <c r="AS25" s="26"/>
      <c r="AT25" s="26"/>
      <c r="AU25" s="31" t="s">
        <v>16</v>
      </c>
      <c r="AV25" s="29" t="s">
        <v>13</v>
      </c>
      <c r="AW25" s="26"/>
      <c r="AX25" s="26"/>
      <c r="AY25" s="27"/>
      <c r="AZ25" s="26"/>
      <c r="BA25" s="26"/>
      <c r="BB25" s="28" t="s">
        <v>14</v>
      </c>
      <c r="BC25" s="100" t="s">
        <v>11</v>
      </c>
      <c r="BD25" s="97"/>
      <c r="BE25" s="97"/>
      <c r="BF25" s="98"/>
      <c r="BG25" s="97"/>
      <c r="BH25" s="99" t="s">
        <v>15</v>
      </c>
      <c r="BI25" s="97"/>
      <c r="BJ25" s="97"/>
      <c r="BK25" s="32">
        <v>17</v>
      </c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</row>
    <row r="26" spans="1:94" x14ac:dyDescent="0.25">
      <c r="A26" s="25" t="s">
        <v>56</v>
      </c>
      <c r="B26" s="25" t="s">
        <v>318</v>
      </c>
      <c r="C26" s="25" t="s">
        <v>463</v>
      </c>
      <c r="D26" s="25">
        <v>105</v>
      </c>
      <c r="E26" s="34" cm="1">
        <f t="array" ref="E26">IFERROR(INDEX($J$5:$AVX$5, _xlfn.AGGREGATE(15,6, COLUMN(J26:AVX26)-COLUMN(J26)+1 / (J26:AVX26="T"), F26)), "")</f>
        <v>45992</v>
      </c>
      <c r="F26" s="96">
        <f>$A$2</f>
        <v>2</v>
      </c>
      <c r="G26" s="34" cm="1">
        <f t="array" ref="G26">IFERROR(INDEX($J$5:$AVW$5,_xlfn.AGGREGATE(14,6,(COLUMN($J26:$AVW26)-COLUMN($J26)+1)/($J26:$AVW26="T"),1)),"")</f>
        <v>45992</v>
      </c>
      <c r="H26" s="105">
        <f>COUNTIF($J26:$AVV26,"T")</f>
        <v>2</v>
      </c>
      <c r="I26" s="36" t="s">
        <v>10</v>
      </c>
      <c r="J26" s="32" t="s">
        <v>12</v>
      </c>
      <c r="K26" s="97"/>
      <c r="L26" s="97"/>
      <c r="M26" s="97"/>
      <c r="N26" s="98"/>
      <c r="O26" s="97"/>
      <c r="P26" s="97"/>
      <c r="Q26" s="99" t="s">
        <v>16</v>
      </c>
      <c r="R26" s="100" t="s">
        <v>13</v>
      </c>
      <c r="S26" s="97"/>
      <c r="T26" s="97"/>
      <c r="U26" s="98"/>
      <c r="V26" s="97"/>
      <c r="W26" s="97"/>
      <c r="X26" s="99" t="s">
        <v>14</v>
      </c>
      <c r="Y26" s="100" t="s">
        <v>11</v>
      </c>
      <c r="Z26" s="97"/>
      <c r="AA26" s="97"/>
      <c r="AB26" s="98"/>
      <c r="AC26" s="97"/>
      <c r="AD26" s="99" t="s">
        <v>15</v>
      </c>
      <c r="AE26" s="26"/>
      <c r="AF26" s="26"/>
      <c r="AG26" s="25">
        <v>17</v>
      </c>
      <c r="AH26" s="25"/>
      <c r="AI26" s="25"/>
      <c r="AJ26" s="25"/>
      <c r="AK26" s="25"/>
      <c r="AL26" s="25"/>
      <c r="AM26" s="25"/>
      <c r="AN26" s="25" t="s">
        <v>12</v>
      </c>
      <c r="AO26" s="26"/>
      <c r="AP26" s="26"/>
      <c r="AQ26" s="26"/>
      <c r="AR26" s="27"/>
      <c r="AS26" s="26"/>
      <c r="AT26" s="26"/>
      <c r="AU26" s="31" t="s">
        <v>16</v>
      </c>
      <c r="AV26" s="29" t="s">
        <v>13</v>
      </c>
      <c r="AW26" s="26"/>
      <c r="AX26" s="26"/>
      <c r="AY26" s="27"/>
      <c r="AZ26" s="26"/>
      <c r="BA26" s="26"/>
      <c r="BB26" s="28" t="s">
        <v>14</v>
      </c>
      <c r="BC26" s="100" t="s">
        <v>11</v>
      </c>
      <c r="BD26" s="97"/>
      <c r="BE26" s="97"/>
      <c r="BF26" s="98"/>
      <c r="BG26" s="97"/>
      <c r="BH26" s="99" t="s">
        <v>15</v>
      </c>
      <c r="BI26" s="97"/>
      <c r="BJ26" s="97"/>
      <c r="BK26" s="32">
        <v>17</v>
      </c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</row>
    <row r="27" spans="1:94" s="38" customFormat="1" x14ac:dyDescent="0.25">
      <c r="A27" s="25" t="s">
        <v>56</v>
      </c>
      <c r="B27" s="25" t="s">
        <v>319</v>
      </c>
      <c r="C27" s="25" t="s">
        <v>464</v>
      </c>
      <c r="D27" s="25">
        <v>106</v>
      </c>
      <c r="E27" s="34" cm="1">
        <f t="array" ref="E27">IFERROR(INDEX($J$5:$AVX$5, _xlfn.AGGREGATE(15,6, COLUMN(J27:AVX27)-COLUMN(J27)+1 / (J27:AVX27="T"), F27)), "")</f>
        <v>45992</v>
      </c>
      <c r="F27" s="96">
        <f>$A$2</f>
        <v>2</v>
      </c>
      <c r="G27" s="34" cm="1">
        <f t="array" ref="G27">IFERROR(INDEX($J$5:$AVW$5,_xlfn.AGGREGATE(14,6,(COLUMN($J27:$AVW27)-COLUMN($J27)+1)/($J27:$AVW27="T"),1)),"")</f>
        <v>45992</v>
      </c>
      <c r="H27" s="105">
        <f>COUNTIF($J27:$AVV27,"T")</f>
        <v>2</v>
      </c>
      <c r="I27" s="36" t="s">
        <v>10</v>
      </c>
      <c r="J27" s="32" t="s">
        <v>12</v>
      </c>
      <c r="K27" s="97"/>
      <c r="L27" s="97"/>
      <c r="M27" s="97"/>
      <c r="N27" s="98"/>
      <c r="O27" s="97"/>
      <c r="P27" s="97"/>
      <c r="Q27" s="99" t="s">
        <v>16</v>
      </c>
      <c r="R27" s="100" t="s">
        <v>13</v>
      </c>
      <c r="S27" s="97"/>
      <c r="T27" s="97"/>
      <c r="U27" s="98"/>
      <c r="V27" s="97"/>
      <c r="W27" s="97"/>
      <c r="X27" s="99" t="s">
        <v>14</v>
      </c>
      <c r="Y27" s="100" t="s">
        <v>11</v>
      </c>
      <c r="Z27" s="97"/>
      <c r="AA27" s="97"/>
      <c r="AB27" s="98"/>
      <c r="AC27" s="97"/>
      <c r="AD27" s="99" t="s">
        <v>15</v>
      </c>
      <c r="AE27" s="26"/>
      <c r="AF27" s="26"/>
      <c r="AG27" s="25">
        <v>17</v>
      </c>
      <c r="AH27" s="25"/>
      <c r="AI27" s="25"/>
      <c r="AJ27" s="25"/>
      <c r="AK27" s="25"/>
      <c r="AL27" s="25"/>
      <c r="AM27" s="25"/>
      <c r="AN27" s="25" t="s">
        <v>12</v>
      </c>
      <c r="AO27" s="26"/>
      <c r="AP27" s="26"/>
      <c r="AQ27" s="26"/>
      <c r="AR27" s="27"/>
      <c r="AS27" s="26"/>
      <c r="AT27" s="26"/>
      <c r="AU27" s="31" t="s">
        <v>16</v>
      </c>
      <c r="AV27" s="29" t="s">
        <v>13</v>
      </c>
      <c r="AW27" s="26"/>
      <c r="AX27" s="26"/>
      <c r="AY27" s="27"/>
      <c r="AZ27" s="26"/>
      <c r="BA27" s="26"/>
      <c r="BB27" s="28" t="s">
        <v>14</v>
      </c>
      <c r="BC27" s="100" t="s">
        <v>11</v>
      </c>
      <c r="BD27" s="97"/>
      <c r="BE27" s="97"/>
      <c r="BF27" s="98"/>
      <c r="BG27" s="97"/>
      <c r="BH27" s="99" t="s">
        <v>15</v>
      </c>
      <c r="BI27" s="97"/>
      <c r="BJ27" s="97"/>
      <c r="BK27" s="32">
        <v>17</v>
      </c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</row>
    <row r="28" spans="1:94" s="38" customFormat="1" x14ac:dyDescent="0.25">
      <c r="A28" s="25" t="s">
        <v>56</v>
      </c>
      <c r="B28" s="25" t="s">
        <v>279</v>
      </c>
      <c r="C28" s="25" t="s">
        <v>424</v>
      </c>
      <c r="D28" s="25">
        <v>66</v>
      </c>
      <c r="E28" s="34" cm="1">
        <f t="array" ref="E28">IFERROR(INDEX($J$5:$AVX$5, _xlfn.AGGREGATE(15,6, COLUMN(J28:AVX28)-COLUMN(J28)+1 / (J28:AVX28="T"), F28)), "")</f>
        <v>45992</v>
      </c>
      <c r="F28" s="96">
        <f>$A$2</f>
        <v>2</v>
      </c>
      <c r="G28" s="34" cm="1">
        <f t="array" ref="G28">IFERROR(INDEX($J$5:$AVW$5,_xlfn.AGGREGATE(14,6,(COLUMN($J28:$AVW28)-COLUMN($J28)+1)/($J28:$AVW28="T"),1)),"")</f>
        <v>45992</v>
      </c>
      <c r="H28" s="105">
        <f>COUNTIF($J28:$AVV28,"T")</f>
        <v>2</v>
      </c>
      <c r="I28" s="36" t="s">
        <v>10</v>
      </c>
      <c r="J28" s="32"/>
      <c r="K28" s="32" t="s">
        <v>12</v>
      </c>
      <c r="L28" s="97"/>
      <c r="M28" s="97"/>
      <c r="N28" s="97"/>
      <c r="O28" s="98"/>
      <c r="P28" s="97"/>
      <c r="Q28" s="97"/>
      <c r="R28" s="99" t="s">
        <v>16</v>
      </c>
      <c r="S28" s="100" t="s">
        <v>13</v>
      </c>
      <c r="T28" s="97"/>
      <c r="U28" s="97"/>
      <c r="V28" s="98"/>
      <c r="W28" s="97"/>
      <c r="X28" s="97"/>
      <c r="Y28" s="99" t="s">
        <v>14</v>
      </c>
      <c r="Z28" s="100" t="s">
        <v>11</v>
      </c>
      <c r="AA28" s="97"/>
      <c r="AB28" s="97"/>
      <c r="AC28" s="98"/>
      <c r="AD28" s="97"/>
      <c r="AE28" s="99" t="s">
        <v>15</v>
      </c>
      <c r="AF28" s="97"/>
      <c r="AG28" s="26"/>
      <c r="AH28" s="25">
        <v>17</v>
      </c>
      <c r="AI28" s="25"/>
      <c r="AJ28" s="25"/>
      <c r="AK28" s="25"/>
      <c r="AL28" s="25"/>
      <c r="AM28" s="25"/>
      <c r="AN28" s="25" t="s">
        <v>12</v>
      </c>
      <c r="AO28" s="26"/>
      <c r="AP28" s="26"/>
      <c r="AQ28" s="26"/>
      <c r="AR28" s="27"/>
      <c r="AS28" s="26"/>
      <c r="AT28" s="26"/>
      <c r="AU28" s="31" t="s">
        <v>16</v>
      </c>
      <c r="AV28" s="29" t="s">
        <v>13</v>
      </c>
      <c r="AW28" s="26"/>
      <c r="AX28" s="26"/>
      <c r="AY28" s="27"/>
      <c r="AZ28" s="26"/>
      <c r="BA28" s="26"/>
      <c r="BB28" s="28" t="s">
        <v>14</v>
      </c>
      <c r="BC28" s="29" t="s">
        <v>11</v>
      </c>
      <c r="BD28" s="26"/>
      <c r="BE28" s="97"/>
      <c r="BF28" s="98"/>
      <c r="BG28" s="97"/>
      <c r="BH28" s="99" t="s">
        <v>15</v>
      </c>
      <c r="BI28" s="97"/>
      <c r="BJ28" s="97"/>
      <c r="BK28" s="32">
        <v>17</v>
      </c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</row>
    <row r="29" spans="1:94" x14ac:dyDescent="0.25">
      <c r="A29" s="25" t="s">
        <v>56</v>
      </c>
      <c r="B29" s="25" t="s">
        <v>280</v>
      </c>
      <c r="C29" s="25" t="s">
        <v>425</v>
      </c>
      <c r="D29" s="25">
        <v>67</v>
      </c>
      <c r="E29" s="34" cm="1">
        <f t="array" ref="E29">IFERROR(INDEX($J$5:$AVX$5, _xlfn.AGGREGATE(15,6, COLUMN(J29:AVX29)-COLUMN(J29)+1 / (J29:AVX29="T"), F29)), "")</f>
        <v>45992</v>
      </c>
      <c r="F29" s="96">
        <f>$A$2</f>
        <v>2</v>
      </c>
      <c r="G29" s="34" cm="1">
        <f t="array" ref="G29">IFERROR(INDEX($J$5:$AVW$5,_xlfn.AGGREGATE(14,6,(COLUMN($J29:$AVW29)-COLUMN($J29)+1)/($J29:$AVW29="T"),1)),"")</f>
        <v>45992</v>
      </c>
      <c r="H29" s="105">
        <f>COUNTIF($J29:$AVV29,"T")</f>
        <v>2</v>
      </c>
      <c r="I29" s="36" t="s">
        <v>10</v>
      </c>
      <c r="J29" s="32"/>
      <c r="K29" s="32" t="s">
        <v>12</v>
      </c>
      <c r="L29" s="97"/>
      <c r="M29" s="97"/>
      <c r="N29" s="97"/>
      <c r="O29" s="98"/>
      <c r="P29" s="97"/>
      <c r="Q29" s="97"/>
      <c r="R29" s="99" t="s">
        <v>16</v>
      </c>
      <c r="S29" s="100" t="s">
        <v>13</v>
      </c>
      <c r="T29" s="97"/>
      <c r="U29" s="97"/>
      <c r="V29" s="98"/>
      <c r="W29" s="97"/>
      <c r="X29" s="97"/>
      <c r="Y29" s="99" t="s">
        <v>14</v>
      </c>
      <c r="Z29" s="100" t="s">
        <v>11</v>
      </c>
      <c r="AA29" s="97"/>
      <c r="AB29" s="97"/>
      <c r="AC29" s="98"/>
      <c r="AD29" s="97"/>
      <c r="AE29" s="99" t="s">
        <v>15</v>
      </c>
      <c r="AF29" s="97"/>
      <c r="AG29" s="26"/>
      <c r="AH29" s="25">
        <v>17</v>
      </c>
      <c r="AI29" s="25"/>
      <c r="AJ29" s="25"/>
      <c r="AK29" s="25"/>
      <c r="AL29" s="25"/>
      <c r="AM29" s="25"/>
      <c r="AN29" s="25" t="s">
        <v>12</v>
      </c>
      <c r="AO29" s="26"/>
      <c r="AP29" s="26"/>
      <c r="AQ29" s="26"/>
      <c r="AR29" s="27"/>
      <c r="AS29" s="26"/>
      <c r="AT29" s="26"/>
      <c r="AU29" s="31" t="s">
        <v>16</v>
      </c>
      <c r="AV29" s="29" t="s">
        <v>13</v>
      </c>
      <c r="AW29" s="26"/>
      <c r="AX29" s="26"/>
      <c r="AY29" s="27"/>
      <c r="AZ29" s="26"/>
      <c r="BA29" s="26"/>
      <c r="BB29" s="28" t="s">
        <v>14</v>
      </c>
      <c r="BC29" s="29" t="s">
        <v>11</v>
      </c>
      <c r="BD29" s="26"/>
      <c r="BE29" s="97"/>
      <c r="BF29" s="98"/>
      <c r="BG29" s="97"/>
      <c r="BH29" s="99" t="s">
        <v>15</v>
      </c>
      <c r="BI29" s="97"/>
      <c r="BJ29" s="97"/>
      <c r="BK29" s="32">
        <v>17</v>
      </c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</row>
    <row r="30" spans="1:94" x14ac:dyDescent="0.25">
      <c r="A30" s="25" t="s">
        <v>56</v>
      </c>
      <c r="B30" s="25" t="s">
        <v>281</v>
      </c>
      <c r="C30" s="25" t="s">
        <v>426</v>
      </c>
      <c r="D30" s="25">
        <v>68</v>
      </c>
      <c r="E30" s="34" cm="1">
        <f t="array" ref="E30">IFERROR(INDEX($J$5:$AVX$5, _xlfn.AGGREGATE(15,6, COLUMN(J30:AVX30)-COLUMN(J30)+1 / (J30:AVX30="T"), F30)), "")</f>
        <v>45992</v>
      </c>
      <c r="F30" s="96">
        <f>$A$2</f>
        <v>2</v>
      </c>
      <c r="G30" s="34" cm="1">
        <f t="array" ref="G30">IFERROR(INDEX($J$5:$AVW$5,_xlfn.AGGREGATE(14,6,(COLUMN($J30:$AVW30)-COLUMN($J30)+1)/($J30:$AVW30="T"),1)),"")</f>
        <v>45992</v>
      </c>
      <c r="H30" s="105">
        <f>COUNTIF($J30:$AVV30,"T")</f>
        <v>2</v>
      </c>
      <c r="I30" s="36" t="s">
        <v>10</v>
      </c>
      <c r="J30" s="32"/>
      <c r="K30" s="32" t="s">
        <v>12</v>
      </c>
      <c r="L30" s="97"/>
      <c r="M30" s="97"/>
      <c r="N30" s="97"/>
      <c r="O30" s="98"/>
      <c r="P30" s="97"/>
      <c r="Q30" s="97"/>
      <c r="R30" s="99" t="s">
        <v>16</v>
      </c>
      <c r="S30" s="100" t="s">
        <v>13</v>
      </c>
      <c r="T30" s="97"/>
      <c r="U30" s="97"/>
      <c r="V30" s="98"/>
      <c r="W30" s="97"/>
      <c r="X30" s="97"/>
      <c r="Y30" s="99" t="s">
        <v>14</v>
      </c>
      <c r="Z30" s="100" t="s">
        <v>11</v>
      </c>
      <c r="AA30" s="97"/>
      <c r="AB30" s="97"/>
      <c r="AC30" s="98"/>
      <c r="AD30" s="97"/>
      <c r="AE30" s="99" t="s">
        <v>15</v>
      </c>
      <c r="AF30" s="97"/>
      <c r="AG30" s="26"/>
      <c r="AH30" s="25">
        <v>17</v>
      </c>
      <c r="AI30" s="25"/>
      <c r="AJ30" s="25"/>
      <c r="AK30" s="25"/>
      <c r="AL30" s="25"/>
      <c r="AM30" s="25"/>
      <c r="AN30" s="25" t="s">
        <v>12</v>
      </c>
      <c r="AO30" s="26"/>
      <c r="AP30" s="26"/>
      <c r="AQ30" s="26"/>
      <c r="AR30" s="27"/>
      <c r="AS30" s="26"/>
      <c r="AT30" s="26"/>
      <c r="AU30" s="31" t="s">
        <v>16</v>
      </c>
      <c r="AV30" s="29" t="s">
        <v>13</v>
      </c>
      <c r="AW30" s="26"/>
      <c r="AX30" s="26"/>
      <c r="AY30" s="27"/>
      <c r="AZ30" s="26"/>
      <c r="BA30" s="26"/>
      <c r="BB30" s="28" t="s">
        <v>14</v>
      </c>
      <c r="BC30" s="29" t="s">
        <v>11</v>
      </c>
      <c r="BD30" s="26"/>
      <c r="BE30" s="97"/>
      <c r="BF30" s="98"/>
      <c r="BG30" s="97"/>
      <c r="BH30" s="99" t="s">
        <v>15</v>
      </c>
      <c r="BI30" s="97"/>
      <c r="BJ30" s="97"/>
      <c r="BK30" s="32">
        <v>17</v>
      </c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</row>
    <row r="31" spans="1:94" x14ac:dyDescent="0.25">
      <c r="A31" s="25" t="s">
        <v>56</v>
      </c>
      <c r="B31" s="25" t="s">
        <v>282</v>
      </c>
      <c r="C31" s="25" t="s">
        <v>427</v>
      </c>
      <c r="D31" s="25">
        <v>69</v>
      </c>
      <c r="E31" s="34" cm="1">
        <f t="array" ref="E31">IFERROR(INDEX($J$5:$AVX$5, _xlfn.AGGREGATE(15,6, COLUMN(J31:AVX31)-COLUMN(J31)+1 / (J31:AVX31="T"), F31)), "")</f>
        <v>45992</v>
      </c>
      <c r="F31" s="96">
        <f>$A$2</f>
        <v>2</v>
      </c>
      <c r="G31" s="34" cm="1">
        <f t="array" ref="G31">IFERROR(INDEX($J$5:$AVW$5,_xlfn.AGGREGATE(14,6,(COLUMN($J31:$AVW31)-COLUMN($J31)+1)/($J31:$AVW31="T"),1)),"")</f>
        <v>45992</v>
      </c>
      <c r="H31" s="105">
        <f>COUNTIF($J31:$AVV31,"T")</f>
        <v>2</v>
      </c>
      <c r="I31" s="36" t="s">
        <v>10</v>
      </c>
      <c r="J31" s="32"/>
      <c r="K31" s="32" t="s">
        <v>12</v>
      </c>
      <c r="L31" s="97"/>
      <c r="M31" s="97"/>
      <c r="N31" s="97"/>
      <c r="O31" s="98"/>
      <c r="P31" s="97"/>
      <c r="Q31" s="97"/>
      <c r="R31" s="99" t="s">
        <v>16</v>
      </c>
      <c r="S31" s="100" t="s">
        <v>13</v>
      </c>
      <c r="T31" s="97"/>
      <c r="U31" s="97"/>
      <c r="V31" s="98"/>
      <c r="W31" s="97"/>
      <c r="X31" s="97"/>
      <c r="Y31" s="99" t="s">
        <v>14</v>
      </c>
      <c r="Z31" s="100" t="s">
        <v>11</v>
      </c>
      <c r="AA31" s="97"/>
      <c r="AB31" s="97"/>
      <c r="AC31" s="98"/>
      <c r="AD31" s="97"/>
      <c r="AE31" s="99" t="s">
        <v>15</v>
      </c>
      <c r="AF31" s="97"/>
      <c r="AG31" s="26"/>
      <c r="AH31" s="25">
        <v>17</v>
      </c>
      <c r="AI31" s="25"/>
      <c r="AJ31" s="25"/>
      <c r="AK31" s="25"/>
      <c r="AL31" s="25"/>
      <c r="AM31" s="25"/>
      <c r="AN31" s="25" t="s">
        <v>12</v>
      </c>
      <c r="AO31" s="26"/>
      <c r="AP31" s="26"/>
      <c r="AQ31" s="26"/>
      <c r="AR31" s="27"/>
      <c r="AS31" s="26"/>
      <c r="AT31" s="26"/>
      <c r="AU31" s="31" t="s">
        <v>16</v>
      </c>
      <c r="AV31" s="29" t="s">
        <v>13</v>
      </c>
      <c r="AW31" s="26"/>
      <c r="AX31" s="26"/>
      <c r="AY31" s="27"/>
      <c r="AZ31" s="26"/>
      <c r="BA31" s="26"/>
      <c r="BB31" s="28" t="s">
        <v>14</v>
      </c>
      <c r="BC31" s="29" t="s">
        <v>11</v>
      </c>
      <c r="BD31" s="26"/>
      <c r="BE31" s="97"/>
      <c r="BF31" s="98"/>
      <c r="BG31" s="97"/>
      <c r="BH31" s="99" t="s">
        <v>15</v>
      </c>
      <c r="BI31" s="97"/>
      <c r="BJ31" s="97"/>
      <c r="BK31" s="32">
        <v>17</v>
      </c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</row>
    <row r="32" spans="1:94" x14ac:dyDescent="0.25">
      <c r="A32" s="25" t="s">
        <v>56</v>
      </c>
      <c r="B32" s="25" t="s">
        <v>313</v>
      </c>
      <c r="C32" s="25" t="s">
        <v>458</v>
      </c>
      <c r="D32" s="25">
        <v>100</v>
      </c>
      <c r="E32" s="34" cm="1">
        <f t="array" ref="E32">IFERROR(INDEX($J$5:$AVX$5, _xlfn.AGGREGATE(15,6, COLUMN(J32:AVX32)-COLUMN(J32)+1 / (J32:AVX32="T"), F32)), "")</f>
        <v>45991</v>
      </c>
      <c r="F32" s="96">
        <f>$A$2</f>
        <v>2</v>
      </c>
      <c r="G32" s="34" cm="1">
        <f t="array" ref="G32">IFERROR(INDEX($J$5:$AVW$5,_xlfn.AGGREGATE(14,6,(COLUMN($J32:$AVW32)-COLUMN($J32)+1)/($J32:$AVW32="T"),1)),"")</f>
        <v>45991</v>
      </c>
      <c r="H32" s="105">
        <f>COUNTIF($J32:$AVV32,"T")</f>
        <v>2</v>
      </c>
      <c r="I32" s="36" t="s">
        <v>10</v>
      </c>
      <c r="J32" s="32" t="s">
        <v>12</v>
      </c>
      <c r="K32" s="97"/>
      <c r="L32" s="97"/>
      <c r="M32" s="97"/>
      <c r="N32" s="98"/>
      <c r="O32" s="97"/>
      <c r="P32" s="97"/>
      <c r="Q32" s="99" t="s">
        <v>16</v>
      </c>
      <c r="R32" s="100" t="s">
        <v>13</v>
      </c>
      <c r="S32" s="97"/>
      <c r="T32" s="97"/>
      <c r="U32" s="98"/>
      <c r="V32" s="97"/>
      <c r="W32" s="97"/>
      <c r="X32" s="99" t="s">
        <v>14</v>
      </c>
      <c r="Y32" s="100" t="s">
        <v>11</v>
      </c>
      <c r="Z32" s="97"/>
      <c r="AA32" s="97"/>
      <c r="AB32" s="98"/>
      <c r="AC32" s="97"/>
      <c r="AD32" s="99" t="s">
        <v>15</v>
      </c>
      <c r="AE32" s="97"/>
      <c r="AF32" s="97"/>
      <c r="AG32" s="25">
        <v>17</v>
      </c>
      <c r="AH32" s="25"/>
      <c r="AI32" s="25"/>
      <c r="AJ32" s="25"/>
      <c r="AK32" s="25"/>
      <c r="AL32" s="25"/>
      <c r="AM32" s="25" t="s">
        <v>12</v>
      </c>
      <c r="AN32" s="26"/>
      <c r="AO32" s="26"/>
      <c r="AP32" s="26"/>
      <c r="AQ32" s="27"/>
      <c r="AR32" s="26"/>
      <c r="AS32" s="26"/>
      <c r="AT32" s="28" t="s">
        <v>16</v>
      </c>
      <c r="AU32" s="101" t="s">
        <v>13</v>
      </c>
      <c r="AV32" s="26"/>
      <c r="AW32" s="26"/>
      <c r="AX32" s="27"/>
      <c r="AY32" s="26"/>
      <c r="AZ32" s="26"/>
      <c r="BA32" s="28" t="s">
        <v>14</v>
      </c>
      <c r="BB32" s="29" t="s">
        <v>11</v>
      </c>
      <c r="BC32" s="26"/>
      <c r="BD32" s="26"/>
      <c r="BE32" s="98"/>
      <c r="BF32" s="97"/>
      <c r="BG32" s="99" t="s">
        <v>15</v>
      </c>
      <c r="BH32" s="97"/>
      <c r="BI32" s="97"/>
      <c r="BJ32" s="32">
        <v>17</v>
      </c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</row>
    <row r="33" spans="1:94" s="42" customFormat="1" x14ac:dyDescent="0.25">
      <c r="A33" s="25" t="s">
        <v>56</v>
      </c>
      <c r="B33" s="25" t="s">
        <v>314</v>
      </c>
      <c r="C33" s="25" t="s">
        <v>459</v>
      </c>
      <c r="D33" s="25">
        <v>101</v>
      </c>
      <c r="E33" s="34" cm="1">
        <f t="array" ref="E33">IFERROR(INDEX($J$5:$AVX$5, _xlfn.AGGREGATE(15,6, COLUMN(J33:AVX33)-COLUMN(J33)+1 / (J33:AVX33="T"), F33)), "")</f>
        <v>45991</v>
      </c>
      <c r="F33" s="96">
        <f>$A$2</f>
        <v>2</v>
      </c>
      <c r="G33" s="34" cm="1">
        <f t="array" ref="G33">IFERROR(INDEX($J$5:$AVW$5,_xlfn.AGGREGATE(14,6,(COLUMN($J33:$AVW33)-COLUMN($J33)+1)/($J33:$AVW33="T"),1)),"")</f>
        <v>45991</v>
      </c>
      <c r="H33" s="105">
        <f>COUNTIF($J33:$AVV33,"T")</f>
        <v>2</v>
      </c>
      <c r="I33" s="36" t="s">
        <v>10</v>
      </c>
      <c r="J33" s="32" t="s">
        <v>12</v>
      </c>
      <c r="K33" s="97"/>
      <c r="L33" s="97"/>
      <c r="M33" s="97"/>
      <c r="N33" s="98"/>
      <c r="O33" s="97"/>
      <c r="P33" s="97"/>
      <c r="Q33" s="99" t="s">
        <v>16</v>
      </c>
      <c r="R33" s="100" t="s">
        <v>13</v>
      </c>
      <c r="S33" s="97"/>
      <c r="T33" s="97"/>
      <c r="U33" s="98"/>
      <c r="V33" s="97"/>
      <c r="W33" s="97"/>
      <c r="X33" s="99" t="s">
        <v>14</v>
      </c>
      <c r="Y33" s="100" t="s">
        <v>11</v>
      </c>
      <c r="Z33" s="97"/>
      <c r="AA33" s="97"/>
      <c r="AB33" s="98"/>
      <c r="AC33" s="97"/>
      <c r="AD33" s="99" t="s">
        <v>15</v>
      </c>
      <c r="AE33" s="97"/>
      <c r="AF33" s="97"/>
      <c r="AG33" s="32">
        <v>17</v>
      </c>
      <c r="AH33" s="32"/>
      <c r="AI33" s="32"/>
      <c r="AJ33" s="32"/>
      <c r="AK33" s="32"/>
      <c r="AL33" s="32"/>
      <c r="AM33" s="32" t="s">
        <v>12</v>
      </c>
      <c r="AN33" s="97"/>
      <c r="AO33" s="97"/>
      <c r="AP33" s="97"/>
      <c r="AQ33" s="98"/>
      <c r="AR33" s="97"/>
      <c r="AS33" s="97"/>
      <c r="AT33" s="99" t="s">
        <v>16</v>
      </c>
      <c r="AU33" s="100" t="s">
        <v>13</v>
      </c>
      <c r="AV33" s="97"/>
      <c r="AW33" s="97"/>
      <c r="AX33" s="98"/>
      <c r="AY33" s="97"/>
      <c r="AZ33" s="97"/>
      <c r="BA33" s="99" t="s">
        <v>14</v>
      </c>
      <c r="BB33" s="100" t="s">
        <v>11</v>
      </c>
      <c r="BC33" s="97"/>
      <c r="BD33" s="97"/>
      <c r="BE33" s="98"/>
      <c r="BF33" s="97"/>
      <c r="BG33" s="99" t="s">
        <v>15</v>
      </c>
      <c r="BH33" s="97"/>
      <c r="BI33" s="97"/>
      <c r="BJ33" s="32">
        <v>17</v>
      </c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</row>
    <row r="34" spans="1:94" x14ac:dyDescent="0.25">
      <c r="A34" s="25" t="s">
        <v>56</v>
      </c>
      <c r="B34" s="25" t="s">
        <v>315</v>
      </c>
      <c r="C34" s="25" t="s">
        <v>460</v>
      </c>
      <c r="D34" s="25">
        <v>102</v>
      </c>
      <c r="E34" s="34" cm="1">
        <f t="array" ref="E34">IFERROR(INDEX($J$5:$AVX$5, _xlfn.AGGREGATE(15,6, COLUMN(J34:AVX34)-COLUMN(J34)+1 / (J34:AVX34="T"), F34)), "")</f>
        <v>45991</v>
      </c>
      <c r="F34" s="96">
        <f>$A$2</f>
        <v>2</v>
      </c>
      <c r="G34" s="34" cm="1">
        <f t="array" ref="G34">IFERROR(INDEX($J$5:$AVW$5,_xlfn.AGGREGATE(14,6,(COLUMN($J34:$AVW34)-COLUMN($J34)+1)/($J34:$AVW34="T"),1)),"")</f>
        <v>45991</v>
      </c>
      <c r="H34" s="105">
        <f>COUNTIF($J34:$AVV34,"T")</f>
        <v>2</v>
      </c>
      <c r="I34" s="36" t="s">
        <v>10</v>
      </c>
      <c r="J34" s="32" t="s">
        <v>12</v>
      </c>
      <c r="K34" s="97"/>
      <c r="L34" s="97"/>
      <c r="M34" s="97"/>
      <c r="N34" s="98"/>
      <c r="O34" s="97"/>
      <c r="P34" s="97"/>
      <c r="Q34" s="99" t="s">
        <v>16</v>
      </c>
      <c r="R34" s="100" t="s">
        <v>13</v>
      </c>
      <c r="S34" s="97"/>
      <c r="T34" s="97"/>
      <c r="U34" s="98"/>
      <c r="V34" s="97"/>
      <c r="W34" s="97"/>
      <c r="X34" s="99" t="s">
        <v>14</v>
      </c>
      <c r="Y34" s="100" t="s">
        <v>11</v>
      </c>
      <c r="Z34" s="97"/>
      <c r="AA34" s="97"/>
      <c r="AB34" s="98"/>
      <c r="AC34" s="97"/>
      <c r="AD34" s="28" t="s">
        <v>15</v>
      </c>
      <c r="AE34" s="26"/>
      <c r="AF34" s="26"/>
      <c r="AG34" s="25">
        <v>17</v>
      </c>
      <c r="AH34" s="25"/>
      <c r="AI34" s="25"/>
      <c r="AJ34" s="25"/>
      <c r="AK34" s="25"/>
      <c r="AL34" s="25"/>
      <c r="AM34" s="25" t="s">
        <v>12</v>
      </c>
      <c r="AN34" s="26"/>
      <c r="AO34" s="26"/>
      <c r="AP34" s="26"/>
      <c r="AQ34" s="27"/>
      <c r="AR34" s="35"/>
      <c r="AS34" s="26"/>
      <c r="AT34" s="28" t="s">
        <v>16</v>
      </c>
      <c r="AU34" s="29" t="s">
        <v>13</v>
      </c>
      <c r="AV34" s="26"/>
      <c r="AW34" s="26"/>
      <c r="AX34" s="27"/>
      <c r="AY34" s="26"/>
      <c r="AZ34" s="26"/>
      <c r="BA34" s="28" t="s">
        <v>14</v>
      </c>
      <c r="BB34" s="100" t="s">
        <v>11</v>
      </c>
      <c r="BC34" s="97"/>
      <c r="BD34" s="97"/>
      <c r="BE34" s="98"/>
      <c r="BF34" s="97"/>
      <c r="BG34" s="99" t="s">
        <v>15</v>
      </c>
      <c r="BH34" s="97"/>
      <c r="BI34" s="97"/>
      <c r="BJ34" s="32">
        <v>17</v>
      </c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</row>
    <row r="35" spans="1:94" x14ac:dyDescent="0.25">
      <c r="A35" s="25" t="s">
        <v>56</v>
      </c>
      <c r="B35" s="25" t="s">
        <v>316</v>
      </c>
      <c r="C35" s="25" t="s">
        <v>461</v>
      </c>
      <c r="D35" s="25">
        <v>103</v>
      </c>
      <c r="E35" s="34" cm="1">
        <f t="array" ref="E35">IFERROR(INDEX($J$5:$AVX$5, _xlfn.AGGREGATE(15,6, COLUMN(J35:AVX35)-COLUMN(J35)+1 / (J35:AVX35="T"), F35)), "")</f>
        <v>45991</v>
      </c>
      <c r="F35" s="96">
        <f>$A$2</f>
        <v>2</v>
      </c>
      <c r="G35" s="34" cm="1">
        <f t="array" ref="G35">IFERROR(INDEX($J$5:$AVW$5,_xlfn.AGGREGATE(14,6,(COLUMN($J35:$AVW35)-COLUMN($J35)+1)/($J35:$AVW35="T"),1)),"")</f>
        <v>45991</v>
      </c>
      <c r="H35" s="105">
        <f>COUNTIF($J35:$AVV35,"T")</f>
        <v>2</v>
      </c>
      <c r="I35" s="36" t="s">
        <v>10</v>
      </c>
      <c r="J35" s="32" t="s">
        <v>12</v>
      </c>
      <c r="K35" s="97"/>
      <c r="L35" s="97"/>
      <c r="M35" s="97"/>
      <c r="N35" s="98"/>
      <c r="O35" s="97"/>
      <c r="P35" s="97"/>
      <c r="Q35" s="99" t="s">
        <v>16</v>
      </c>
      <c r="R35" s="100" t="s">
        <v>13</v>
      </c>
      <c r="S35" s="97"/>
      <c r="T35" s="97"/>
      <c r="U35" s="98"/>
      <c r="V35" s="97"/>
      <c r="W35" s="97"/>
      <c r="X35" s="99" t="s">
        <v>14</v>
      </c>
      <c r="Y35" s="100" t="s">
        <v>11</v>
      </c>
      <c r="Z35" s="97"/>
      <c r="AA35" s="97"/>
      <c r="AB35" s="98"/>
      <c r="AC35" s="97"/>
      <c r="AD35" s="28" t="s">
        <v>15</v>
      </c>
      <c r="AE35" s="26"/>
      <c r="AF35" s="26"/>
      <c r="AG35" s="25">
        <v>17</v>
      </c>
      <c r="AH35" s="25"/>
      <c r="AI35" s="25"/>
      <c r="AJ35" s="25"/>
      <c r="AK35" s="25"/>
      <c r="AL35" s="25"/>
      <c r="AM35" s="25" t="s">
        <v>12</v>
      </c>
      <c r="AN35" s="26"/>
      <c r="AO35" s="26"/>
      <c r="AP35" s="26"/>
      <c r="AQ35" s="27"/>
      <c r="AR35" s="26"/>
      <c r="AS35" s="26"/>
      <c r="AT35" s="31" t="s">
        <v>16</v>
      </c>
      <c r="AU35" s="29" t="s">
        <v>13</v>
      </c>
      <c r="AV35" s="26"/>
      <c r="AW35" s="26"/>
      <c r="AX35" s="27"/>
      <c r="AY35" s="26"/>
      <c r="AZ35" s="26"/>
      <c r="BA35" s="28" t="s">
        <v>14</v>
      </c>
      <c r="BB35" s="100" t="s">
        <v>11</v>
      </c>
      <c r="BC35" s="97"/>
      <c r="BD35" s="97"/>
      <c r="BE35" s="98"/>
      <c r="BF35" s="97"/>
      <c r="BG35" s="99" t="s">
        <v>15</v>
      </c>
      <c r="BH35" s="97"/>
      <c r="BI35" s="97"/>
      <c r="BJ35" s="32">
        <v>17</v>
      </c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</row>
    <row r="36" spans="1:94" x14ac:dyDescent="0.25">
      <c r="A36" s="25" t="s">
        <v>147</v>
      </c>
      <c r="B36" s="25" t="s">
        <v>356</v>
      </c>
      <c r="C36" s="25" t="s">
        <v>577</v>
      </c>
      <c r="D36" s="25">
        <v>219</v>
      </c>
      <c r="E36" s="34" t="str" cm="1">
        <f t="array" ref="E36">IFERROR(INDEX($J$5:$AVX$5, _xlfn.AGGREGATE(15,6, COLUMN(J36:AVX36)-COLUMN(J36)+1 / (J36:AVX36="T"), F36)), "")</f>
        <v/>
      </c>
      <c r="F36" s="96">
        <f>$A$2</f>
        <v>2</v>
      </c>
      <c r="G36" s="34" cm="1">
        <f t="array" ref="G36">IFERROR(INDEX($J$5:$AVW$5,_xlfn.AGGREGATE(14,6,(COLUMN($J36:$AVW36)-COLUMN($J36)+1)/($J36:$AVW36="T"),1)),"")</f>
        <v>45991</v>
      </c>
      <c r="H36" s="105">
        <f>COUNTIF($J36:$AVV36,"T")</f>
        <v>1</v>
      </c>
      <c r="I36" s="36" t="s">
        <v>10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25"/>
      <c r="AE36" s="25"/>
      <c r="AF36" s="25"/>
      <c r="AG36" s="25"/>
      <c r="AH36" s="25"/>
      <c r="AI36" s="25"/>
      <c r="AJ36" s="25"/>
      <c r="AK36" s="25"/>
      <c r="AL36" s="25"/>
      <c r="AM36" s="25" t="s">
        <v>12</v>
      </c>
      <c r="AN36" s="26"/>
      <c r="AO36" s="26"/>
      <c r="AP36" s="26"/>
      <c r="AQ36" s="27"/>
      <c r="AR36" s="26"/>
      <c r="AS36" s="26"/>
      <c r="AT36" s="31" t="s">
        <v>16</v>
      </c>
      <c r="AU36" s="29" t="s">
        <v>13</v>
      </c>
      <c r="AV36" s="26"/>
      <c r="AW36" s="26"/>
      <c r="AX36" s="27"/>
      <c r="AY36" s="26"/>
      <c r="AZ36" s="26"/>
      <c r="BA36" s="28" t="s">
        <v>14</v>
      </c>
      <c r="BB36" s="100" t="s">
        <v>11</v>
      </c>
      <c r="BC36" s="97"/>
      <c r="BD36" s="97"/>
      <c r="BE36" s="98"/>
      <c r="BF36" s="97"/>
      <c r="BG36" s="99" t="s">
        <v>15</v>
      </c>
      <c r="BH36" s="97"/>
      <c r="BI36" s="97"/>
      <c r="BJ36" s="32">
        <v>17</v>
      </c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</row>
    <row r="37" spans="1:94" x14ac:dyDescent="0.25">
      <c r="A37" s="25" t="s">
        <v>147</v>
      </c>
      <c r="B37" s="25" t="s">
        <v>357</v>
      </c>
      <c r="C37" s="25" t="s">
        <v>578</v>
      </c>
      <c r="D37" s="25">
        <v>220</v>
      </c>
      <c r="E37" s="34" t="str" cm="1">
        <f t="array" ref="E37">IFERROR(INDEX($J$5:$AVX$5, _xlfn.AGGREGATE(15,6, COLUMN(J37:AVX37)-COLUMN(J37)+1 / (J37:AVX37="T"), F37)), "")</f>
        <v/>
      </c>
      <c r="F37" s="96">
        <f>$A$2</f>
        <v>2</v>
      </c>
      <c r="G37" s="34" cm="1">
        <f t="array" ref="G37">IFERROR(INDEX($J$5:$AVW$5,_xlfn.AGGREGATE(14,6,(COLUMN($J37:$AVW37)-COLUMN($J37)+1)/($J37:$AVW37="T"),1)),"")</f>
        <v>45991</v>
      </c>
      <c r="H37" s="105">
        <f>COUNTIF($J37:$AVV37,"T")</f>
        <v>1</v>
      </c>
      <c r="I37" s="36" t="s">
        <v>10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25"/>
      <c r="AE37" s="25"/>
      <c r="AF37" s="25"/>
      <c r="AG37" s="25"/>
      <c r="AH37" s="25"/>
      <c r="AI37" s="25"/>
      <c r="AJ37" s="25"/>
      <c r="AK37" s="25"/>
      <c r="AL37" s="25"/>
      <c r="AM37" s="25" t="s">
        <v>12</v>
      </c>
      <c r="AN37" s="26"/>
      <c r="AO37" s="26"/>
      <c r="AP37" s="26"/>
      <c r="AQ37" s="27"/>
      <c r="AR37" s="26"/>
      <c r="AS37" s="26"/>
      <c r="AT37" s="31" t="s">
        <v>16</v>
      </c>
      <c r="AU37" s="29" t="s">
        <v>13</v>
      </c>
      <c r="AV37" s="26"/>
      <c r="AW37" s="26"/>
      <c r="AX37" s="27"/>
      <c r="AY37" s="26"/>
      <c r="AZ37" s="26"/>
      <c r="BA37" s="28" t="s">
        <v>14</v>
      </c>
      <c r="BB37" s="100" t="s">
        <v>11</v>
      </c>
      <c r="BC37" s="97"/>
      <c r="BD37" s="97"/>
      <c r="BE37" s="98"/>
      <c r="BF37" s="97"/>
      <c r="BG37" s="99" t="s">
        <v>15</v>
      </c>
      <c r="BH37" s="97"/>
      <c r="BI37" s="97"/>
      <c r="BJ37" s="32">
        <v>17</v>
      </c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</row>
    <row r="38" spans="1:94" x14ac:dyDescent="0.25">
      <c r="A38" s="25" t="s">
        <v>147</v>
      </c>
      <c r="B38" s="25" t="s">
        <v>358</v>
      </c>
      <c r="C38" s="25" t="s">
        <v>579</v>
      </c>
      <c r="D38" s="25">
        <v>221</v>
      </c>
      <c r="E38" s="34" t="str" cm="1">
        <f t="array" ref="E38">IFERROR(INDEX($J$5:$AVX$5, _xlfn.AGGREGATE(15,6, COLUMN(J38:AVX38)-COLUMN(J38)+1 / (J38:AVX38="T"), F38)), "")</f>
        <v/>
      </c>
      <c r="F38" s="96">
        <f>$A$2</f>
        <v>2</v>
      </c>
      <c r="G38" s="34" cm="1">
        <f t="array" ref="G38">IFERROR(INDEX($J$5:$AVW$5,_xlfn.AGGREGATE(14,6,(COLUMN($J38:$AVW38)-COLUMN($J38)+1)/($J38:$AVW38="T"),1)),"")</f>
        <v>45991</v>
      </c>
      <c r="H38" s="105">
        <f>COUNTIF($J38:$AVV38,"T")</f>
        <v>1</v>
      </c>
      <c r="I38" s="36" t="s">
        <v>10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25"/>
      <c r="AE38" s="25"/>
      <c r="AF38" s="25"/>
      <c r="AG38" s="25"/>
      <c r="AH38" s="25"/>
      <c r="AI38" s="25"/>
      <c r="AJ38" s="25"/>
      <c r="AK38" s="25"/>
      <c r="AL38" s="25"/>
      <c r="AM38" s="25" t="s">
        <v>12</v>
      </c>
      <c r="AN38" s="26"/>
      <c r="AO38" s="26"/>
      <c r="AP38" s="26"/>
      <c r="AQ38" s="27"/>
      <c r="AR38" s="26"/>
      <c r="AS38" s="26"/>
      <c r="AT38" s="31" t="s">
        <v>16</v>
      </c>
      <c r="AU38" s="29" t="s">
        <v>13</v>
      </c>
      <c r="AV38" s="26"/>
      <c r="AW38" s="26"/>
      <c r="AX38" s="27"/>
      <c r="AY38" s="26"/>
      <c r="AZ38" s="26"/>
      <c r="BA38" s="28" t="s">
        <v>14</v>
      </c>
      <c r="BB38" s="100" t="s">
        <v>11</v>
      </c>
      <c r="BC38" s="97"/>
      <c r="BD38" s="97"/>
      <c r="BE38" s="98"/>
      <c r="BF38" s="97"/>
      <c r="BG38" s="99" t="s">
        <v>15</v>
      </c>
      <c r="BH38" s="97"/>
      <c r="BI38" s="97"/>
      <c r="BJ38" s="32">
        <v>17</v>
      </c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</row>
    <row r="39" spans="1:94" x14ac:dyDescent="0.25">
      <c r="A39" s="25" t="s">
        <v>147</v>
      </c>
      <c r="B39" s="25" t="s">
        <v>349</v>
      </c>
      <c r="C39" s="25" t="s">
        <v>570</v>
      </c>
      <c r="D39" s="25">
        <v>212</v>
      </c>
      <c r="E39" s="34" t="str" cm="1">
        <f t="array" ref="E39">IFERROR(INDEX($J$5:$AVX$5, _xlfn.AGGREGATE(15,6, COLUMN(J39:AVX39)-COLUMN(J39)+1 / (J39:AVX39="T"), F39)), "")</f>
        <v/>
      </c>
      <c r="F39" s="96">
        <f>$A$2</f>
        <v>2</v>
      </c>
      <c r="G39" s="34" cm="1">
        <f t="array" ref="G39">IFERROR(INDEX($J$5:$AVW$5,_xlfn.AGGREGATE(14,6,(COLUMN($J39:$AVW39)-COLUMN($J39)+1)/($J39:$AVW39="T"),1)),"")</f>
        <v>45990</v>
      </c>
      <c r="H39" s="105">
        <f>COUNTIF($J39:$AVV39,"T")</f>
        <v>1</v>
      </c>
      <c r="I39" s="36" t="s">
        <v>10</v>
      </c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25"/>
      <c r="AE39" s="25"/>
      <c r="AF39" s="25"/>
      <c r="AG39" s="25"/>
      <c r="AH39" s="25"/>
      <c r="AI39" s="25"/>
      <c r="AJ39" s="25"/>
      <c r="AK39" s="25"/>
      <c r="AL39" s="25" t="s">
        <v>12</v>
      </c>
      <c r="AM39" s="26"/>
      <c r="AN39" s="26"/>
      <c r="AO39" s="26"/>
      <c r="AP39" s="27"/>
      <c r="AQ39" s="26"/>
      <c r="AR39" s="26"/>
      <c r="AS39" s="28" t="s">
        <v>16</v>
      </c>
      <c r="AT39" s="101" t="s">
        <v>13</v>
      </c>
      <c r="AU39" s="26"/>
      <c r="AV39" s="26"/>
      <c r="AW39" s="27"/>
      <c r="AX39" s="26"/>
      <c r="AY39" s="26"/>
      <c r="AZ39" s="28" t="s">
        <v>14</v>
      </c>
      <c r="BA39" s="29" t="s">
        <v>11</v>
      </c>
      <c r="BB39" s="97"/>
      <c r="BC39" s="97"/>
      <c r="BD39" s="98"/>
      <c r="BE39" s="97"/>
      <c r="BF39" s="99" t="s">
        <v>15</v>
      </c>
      <c r="BG39" s="97"/>
      <c r="BH39" s="97"/>
      <c r="BI39" s="32">
        <v>17</v>
      </c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</row>
    <row r="40" spans="1:94" x14ac:dyDescent="0.25">
      <c r="A40" s="25" t="s">
        <v>147</v>
      </c>
      <c r="B40" s="25" t="s">
        <v>350</v>
      </c>
      <c r="C40" s="25" t="s">
        <v>571</v>
      </c>
      <c r="D40" s="25">
        <v>213</v>
      </c>
      <c r="E40" s="34" t="str" cm="1">
        <f t="array" ref="E40">IFERROR(INDEX($J$5:$AVX$5, _xlfn.AGGREGATE(15,6, COLUMN(J40:AVX40)-COLUMN(J40)+1 / (J40:AVX40="T"), F40)), "")</f>
        <v/>
      </c>
      <c r="F40" s="96">
        <f>$A$2</f>
        <v>2</v>
      </c>
      <c r="G40" s="34" cm="1">
        <f t="array" ref="G40">IFERROR(INDEX($J$5:$AVW$5,_xlfn.AGGREGATE(14,6,(COLUMN($J40:$AVW40)-COLUMN($J40)+1)/($J40:$AVW40="T"),1)),"")</f>
        <v>45990</v>
      </c>
      <c r="H40" s="105">
        <f>COUNTIF($J40:$AVV40,"T")</f>
        <v>1</v>
      </c>
      <c r="I40" s="36" t="s">
        <v>10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25"/>
      <c r="AE40" s="25"/>
      <c r="AF40" s="25"/>
      <c r="AG40" s="25"/>
      <c r="AH40" s="25"/>
      <c r="AI40" s="25"/>
      <c r="AJ40" s="25"/>
      <c r="AK40" s="25"/>
      <c r="AL40" s="25" t="s">
        <v>12</v>
      </c>
      <c r="AM40" s="26"/>
      <c r="AN40" s="26"/>
      <c r="AO40" s="26"/>
      <c r="AP40" s="27"/>
      <c r="AQ40" s="26"/>
      <c r="AR40" s="26"/>
      <c r="AS40" s="28" t="s">
        <v>16</v>
      </c>
      <c r="AT40" s="101" t="s">
        <v>13</v>
      </c>
      <c r="AU40" s="26"/>
      <c r="AV40" s="26"/>
      <c r="AW40" s="27"/>
      <c r="AX40" s="26"/>
      <c r="AY40" s="26"/>
      <c r="AZ40" s="28" t="s">
        <v>14</v>
      </c>
      <c r="BA40" s="29" t="s">
        <v>11</v>
      </c>
      <c r="BB40" s="97"/>
      <c r="BC40" s="97"/>
      <c r="BD40" s="98"/>
      <c r="BE40" s="97"/>
      <c r="BF40" s="99" t="s">
        <v>15</v>
      </c>
      <c r="BG40" s="97"/>
      <c r="BH40" s="97"/>
      <c r="BI40" s="32">
        <v>17</v>
      </c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</row>
    <row r="41" spans="1:94" x14ac:dyDescent="0.25">
      <c r="A41" s="25" t="s">
        <v>147</v>
      </c>
      <c r="B41" s="25" t="s">
        <v>351</v>
      </c>
      <c r="C41" s="25" t="s">
        <v>572</v>
      </c>
      <c r="D41" s="25">
        <v>214</v>
      </c>
      <c r="E41" s="34" t="str" cm="1">
        <f t="array" ref="E41">IFERROR(INDEX($J$5:$AVX$5, _xlfn.AGGREGATE(15,6, COLUMN(J41:AVX41)-COLUMN(J41)+1 / (J41:AVX41="T"), F41)), "")</f>
        <v/>
      </c>
      <c r="F41" s="96">
        <f>$A$2</f>
        <v>2</v>
      </c>
      <c r="G41" s="34" cm="1">
        <f t="array" ref="G41">IFERROR(INDEX($J$5:$AVW$5,_xlfn.AGGREGATE(14,6,(COLUMN($J41:$AVW41)-COLUMN($J41)+1)/($J41:$AVW41="T"),1)),"")</f>
        <v>45990</v>
      </c>
      <c r="H41" s="105">
        <f>COUNTIF($J41:$AVV41,"T")</f>
        <v>1</v>
      </c>
      <c r="I41" s="36" t="s">
        <v>10</v>
      </c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25"/>
      <c r="AG41" s="25"/>
      <c r="AH41" s="25"/>
      <c r="AI41" s="25"/>
      <c r="AJ41" s="25"/>
      <c r="AK41" s="25"/>
      <c r="AL41" s="25" t="s">
        <v>12</v>
      </c>
      <c r="AM41" s="26"/>
      <c r="AN41" s="26"/>
      <c r="AO41" s="26"/>
      <c r="AP41" s="27"/>
      <c r="AQ41" s="26"/>
      <c r="AR41" s="26"/>
      <c r="AS41" s="28" t="s">
        <v>16</v>
      </c>
      <c r="AT41" s="101" t="s">
        <v>13</v>
      </c>
      <c r="AU41" s="26"/>
      <c r="AV41" s="26"/>
      <c r="AW41" s="27"/>
      <c r="AX41" s="26"/>
      <c r="AY41" s="26"/>
      <c r="AZ41" s="28" t="s">
        <v>14</v>
      </c>
      <c r="BA41" s="29" t="s">
        <v>11</v>
      </c>
      <c r="BB41" s="26"/>
      <c r="BC41" s="26"/>
      <c r="BD41" s="98"/>
      <c r="BE41" s="97"/>
      <c r="BF41" s="99" t="s">
        <v>15</v>
      </c>
      <c r="BG41" s="97"/>
      <c r="BH41" s="97"/>
      <c r="BI41" s="32">
        <v>17</v>
      </c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</row>
    <row r="42" spans="1:94" x14ac:dyDescent="0.25">
      <c r="A42" s="25" t="s">
        <v>147</v>
      </c>
      <c r="B42" s="25" t="s">
        <v>352</v>
      </c>
      <c r="C42" s="25" t="s">
        <v>573</v>
      </c>
      <c r="D42" s="25">
        <v>215</v>
      </c>
      <c r="E42" s="34" t="str" cm="1">
        <f t="array" ref="E42">IFERROR(INDEX($J$5:$AVX$5, _xlfn.AGGREGATE(15,6, COLUMN(J42:AVX42)-COLUMN(J42)+1 / (J42:AVX42="T"), F42)), "")</f>
        <v/>
      </c>
      <c r="F42" s="96">
        <f>$A$2</f>
        <v>2</v>
      </c>
      <c r="G42" s="34" cm="1">
        <f t="array" ref="G42">IFERROR(INDEX($J$5:$AVW$5,_xlfn.AGGREGATE(14,6,(COLUMN($J42:$AVW42)-COLUMN($J42)+1)/($J42:$AVW42="T"),1)),"")</f>
        <v>45990</v>
      </c>
      <c r="H42" s="105">
        <f>COUNTIF($J42:$AVV42,"T")</f>
        <v>1</v>
      </c>
      <c r="I42" s="36" t="s">
        <v>10</v>
      </c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25"/>
      <c r="AG42" s="25"/>
      <c r="AH42" s="25"/>
      <c r="AI42" s="25"/>
      <c r="AJ42" s="25"/>
      <c r="AK42" s="25"/>
      <c r="AL42" s="25" t="s">
        <v>12</v>
      </c>
      <c r="AM42" s="26"/>
      <c r="AN42" s="26"/>
      <c r="AO42" s="26"/>
      <c r="AP42" s="27"/>
      <c r="AQ42" s="26"/>
      <c r="AR42" s="26"/>
      <c r="AS42" s="28" t="s">
        <v>16</v>
      </c>
      <c r="AT42" s="29" t="s">
        <v>13</v>
      </c>
      <c r="AU42" s="26"/>
      <c r="AV42" s="35"/>
      <c r="AW42" s="27"/>
      <c r="AX42" s="26"/>
      <c r="AY42" s="26"/>
      <c r="AZ42" s="28" t="s">
        <v>14</v>
      </c>
      <c r="BA42" s="29" t="s">
        <v>11</v>
      </c>
      <c r="BB42" s="26"/>
      <c r="BC42" s="26"/>
      <c r="BD42" s="98"/>
      <c r="BE42" s="97"/>
      <c r="BF42" s="99" t="s">
        <v>15</v>
      </c>
      <c r="BG42" s="97"/>
      <c r="BH42" s="97"/>
      <c r="BI42" s="32">
        <v>17</v>
      </c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</row>
    <row r="43" spans="1:94" x14ac:dyDescent="0.25">
      <c r="A43" s="25" t="s">
        <v>147</v>
      </c>
      <c r="B43" s="25" t="s">
        <v>353</v>
      </c>
      <c r="C43" s="25" t="s">
        <v>574</v>
      </c>
      <c r="D43" s="25">
        <v>216</v>
      </c>
      <c r="E43" s="34" t="str" cm="1">
        <f t="array" ref="E43">IFERROR(INDEX($J$5:$AVX$5, _xlfn.AGGREGATE(15,6, COLUMN(J43:AVX43)-COLUMN(J43)+1 / (J43:AVX43="T"), F43)), "")</f>
        <v/>
      </c>
      <c r="F43" s="96">
        <f>$A$2</f>
        <v>2</v>
      </c>
      <c r="G43" s="34" cm="1">
        <f t="array" ref="G43">IFERROR(INDEX($J$5:$AVW$5,_xlfn.AGGREGATE(14,6,(COLUMN($J43:$AVW43)-COLUMN($J43)+1)/($J43:$AVW43="T"),1)),"")</f>
        <v>45990</v>
      </c>
      <c r="H43" s="105">
        <f>COUNTIF($J43:$AVV43,"T")</f>
        <v>1</v>
      </c>
      <c r="I43" s="36" t="s">
        <v>10</v>
      </c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25"/>
      <c r="AG43" s="25"/>
      <c r="AH43" s="25"/>
      <c r="AI43" s="25"/>
      <c r="AJ43" s="25"/>
      <c r="AK43" s="25"/>
      <c r="AL43" s="25" t="s">
        <v>12</v>
      </c>
      <c r="AM43" s="26"/>
      <c r="AN43" s="26"/>
      <c r="AO43" s="26"/>
      <c r="AP43" s="27"/>
      <c r="AQ43" s="26"/>
      <c r="AR43" s="26"/>
      <c r="AS43" s="28" t="s">
        <v>16</v>
      </c>
      <c r="AT43" s="29" t="s">
        <v>13</v>
      </c>
      <c r="AU43" s="26"/>
      <c r="AV43" s="35"/>
      <c r="AW43" s="27"/>
      <c r="AX43" s="26"/>
      <c r="AY43" s="26"/>
      <c r="AZ43" s="28" t="s">
        <v>14</v>
      </c>
      <c r="BA43" s="29" t="s">
        <v>11</v>
      </c>
      <c r="BB43" s="26"/>
      <c r="BC43" s="26"/>
      <c r="BD43" s="98"/>
      <c r="BE43" s="97"/>
      <c r="BF43" s="99" t="s">
        <v>15</v>
      </c>
      <c r="BG43" s="97"/>
      <c r="BH43" s="97"/>
      <c r="BI43" s="32">
        <v>17</v>
      </c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</row>
    <row r="44" spans="1:94" x14ac:dyDescent="0.25">
      <c r="A44" s="25" t="s">
        <v>147</v>
      </c>
      <c r="B44" s="25" t="s">
        <v>354</v>
      </c>
      <c r="C44" s="25" t="s">
        <v>575</v>
      </c>
      <c r="D44" s="25">
        <v>217</v>
      </c>
      <c r="E44" s="34" t="str" cm="1">
        <f t="array" ref="E44">IFERROR(INDEX($J$5:$AVX$5, _xlfn.AGGREGATE(15,6, COLUMN(J44:AVX44)-COLUMN(J44)+1 / (J44:AVX44="T"), F44)), "")</f>
        <v/>
      </c>
      <c r="F44" s="96">
        <f>$A$2</f>
        <v>2</v>
      </c>
      <c r="G44" s="34" cm="1">
        <f t="array" ref="G44">IFERROR(INDEX($J$5:$AVW$5,_xlfn.AGGREGATE(14,6,(COLUMN($J44:$AVW44)-COLUMN($J44)+1)/($J44:$AVW44="T"),1)),"")</f>
        <v>45990</v>
      </c>
      <c r="H44" s="105">
        <f>COUNTIF($J44:$AVV44,"T")</f>
        <v>1</v>
      </c>
      <c r="I44" s="36" t="s">
        <v>10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25"/>
      <c r="AG44" s="25"/>
      <c r="AH44" s="25"/>
      <c r="AI44" s="25"/>
      <c r="AJ44" s="25"/>
      <c r="AK44" s="25"/>
      <c r="AL44" s="25" t="s">
        <v>12</v>
      </c>
      <c r="AM44" s="26"/>
      <c r="AN44" s="26"/>
      <c r="AO44" s="26"/>
      <c r="AP44" s="27"/>
      <c r="AQ44" s="26"/>
      <c r="AR44" s="26"/>
      <c r="AS44" s="28" t="s">
        <v>16</v>
      </c>
      <c r="AT44" s="29" t="s">
        <v>13</v>
      </c>
      <c r="AU44" s="26"/>
      <c r="AV44" s="35"/>
      <c r="AW44" s="27"/>
      <c r="AX44" s="26"/>
      <c r="AY44" s="26"/>
      <c r="AZ44" s="28" t="s">
        <v>14</v>
      </c>
      <c r="BA44" s="29" t="s">
        <v>11</v>
      </c>
      <c r="BB44" s="26"/>
      <c r="BC44" s="26"/>
      <c r="BD44" s="98"/>
      <c r="BE44" s="97"/>
      <c r="BF44" s="99" t="s">
        <v>15</v>
      </c>
      <c r="BG44" s="97"/>
      <c r="BH44" s="97"/>
      <c r="BI44" s="32">
        <v>17</v>
      </c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</row>
    <row r="45" spans="1:94" x14ac:dyDescent="0.25">
      <c r="A45" s="25" t="s">
        <v>147</v>
      </c>
      <c r="B45" s="25" t="s">
        <v>355</v>
      </c>
      <c r="C45" s="25" t="s">
        <v>576</v>
      </c>
      <c r="D45" s="25">
        <v>218</v>
      </c>
      <c r="E45" s="34" t="str" cm="1">
        <f t="array" ref="E45">IFERROR(INDEX($J$5:$AVX$5, _xlfn.AGGREGATE(15,6, COLUMN(J45:AVX45)-COLUMN(J45)+1 / (J45:AVX45="T"), F45)), "")</f>
        <v/>
      </c>
      <c r="F45" s="96">
        <f>$A$2</f>
        <v>2</v>
      </c>
      <c r="G45" s="34" cm="1">
        <f t="array" ref="G45">IFERROR(INDEX($J$5:$AVW$5,_xlfn.AGGREGATE(14,6,(COLUMN($J45:$AVW45)-COLUMN($J45)+1)/($J45:$AVW45="T"),1)),"")</f>
        <v>45990</v>
      </c>
      <c r="H45" s="105">
        <f>COUNTIF($J45:$AVV45,"T")</f>
        <v>1</v>
      </c>
      <c r="I45" s="36" t="s">
        <v>10</v>
      </c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25"/>
      <c r="AG45" s="25"/>
      <c r="AH45" s="25"/>
      <c r="AI45" s="25"/>
      <c r="AJ45" s="25"/>
      <c r="AK45" s="25"/>
      <c r="AL45" s="25" t="s">
        <v>12</v>
      </c>
      <c r="AM45" s="26"/>
      <c r="AN45" s="26"/>
      <c r="AO45" s="26"/>
      <c r="AP45" s="27"/>
      <c r="AQ45" s="26"/>
      <c r="AR45" s="26"/>
      <c r="AS45" s="28" t="s">
        <v>16</v>
      </c>
      <c r="AT45" s="29" t="s">
        <v>13</v>
      </c>
      <c r="AU45" s="26"/>
      <c r="AV45" s="35"/>
      <c r="AW45" s="27"/>
      <c r="AX45" s="26"/>
      <c r="AY45" s="26"/>
      <c r="AZ45" s="28" t="s">
        <v>14</v>
      </c>
      <c r="BA45" s="29" t="s">
        <v>11</v>
      </c>
      <c r="BB45" s="26"/>
      <c r="BC45" s="26"/>
      <c r="BD45" s="98"/>
      <c r="BE45" s="97"/>
      <c r="BF45" s="99" t="s">
        <v>15</v>
      </c>
      <c r="BG45" s="97"/>
      <c r="BH45" s="97"/>
      <c r="BI45" s="32">
        <v>17</v>
      </c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</row>
    <row r="46" spans="1:94" x14ac:dyDescent="0.25">
      <c r="A46" s="25" t="s">
        <v>147</v>
      </c>
      <c r="B46" s="25" t="s">
        <v>342</v>
      </c>
      <c r="C46" s="25" t="s">
        <v>563</v>
      </c>
      <c r="D46" s="25">
        <v>205</v>
      </c>
      <c r="E46" s="34" t="str" cm="1">
        <f t="array" ref="E46">IFERROR(INDEX($J$5:$AVX$5, _xlfn.AGGREGATE(15,6, COLUMN(J46:AVX46)-COLUMN(J46)+1 / (J46:AVX46="T"), F46)), "")</f>
        <v/>
      </c>
      <c r="F46" s="96">
        <f>$A$2</f>
        <v>2</v>
      </c>
      <c r="G46" s="34" cm="1">
        <f t="array" ref="G46">IFERROR(INDEX($J$5:$AVW$5,_xlfn.AGGREGATE(14,6,(COLUMN($J46:$AVW46)-COLUMN($J46)+1)/($J46:$AVW46="T"),1)),"")</f>
        <v>45989</v>
      </c>
      <c r="H46" s="105">
        <f>COUNTIF($J46:$AVV46,"T")</f>
        <v>1</v>
      </c>
      <c r="I46" s="36" t="s">
        <v>10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25"/>
      <c r="AG46" s="25"/>
      <c r="AH46" s="25"/>
      <c r="AI46" s="25"/>
      <c r="AJ46" s="25"/>
      <c r="AK46" s="25" t="s">
        <v>12</v>
      </c>
      <c r="AL46" s="26"/>
      <c r="AM46" s="26"/>
      <c r="AN46" s="26"/>
      <c r="AO46" s="27"/>
      <c r="AP46" s="26"/>
      <c r="AQ46" s="26"/>
      <c r="AR46" s="28" t="s">
        <v>16</v>
      </c>
      <c r="AS46" s="29" t="s">
        <v>13</v>
      </c>
      <c r="AT46" s="26"/>
      <c r="AU46" s="26"/>
      <c r="AV46" s="102"/>
      <c r="AW46" s="26"/>
      <c r="AX46" s="26"/>
      <c r="AY46" s="28" t="s">
        <v>14</v>
      </c>
      <c r="AZ46" s="29" t="s">
        <v>11</v>
      </c>
      <c r="BA46" s="26"/>
      <c r="BB46" s="26"/>
      <c r="BC46" s="27"/>
      <c r="BD46" s="97"/>
      <c r="BE46" s="99" t="s">
        <v>15</v>
      </c>
      <c r="BF46" s="97"/>
      <c r="BG46" s="97"/>
      <c r="BH46" s="32">
        <v>17</v>
      </c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</row>
    <row r="47" spans="1:94" x14ac:dyDescent="0.25">
      <c r="A47" s="25" t="s">
        <v>147</v>
      </c>
      <c r="B47" s="25" t="s">
        <v>343</v>
      </c>
      <c r="C47" s="25" t="s">
        <v>564</v>
      </c>
      <c r="D47" s="25">
        <v>206</v>
      </c>
      <c r="E47" s="34" t="str" cm="1">
        <f t="array" ref="E47">IFERROR(INDEX($J$5:$AVX$5, _xlfn.AGGREGATE(15,6, COLUMN(J47:AVX47)-COLUMN(J47)+1 / (J47:AVX47="T"), F47)), "")</f>
        <v/>
      </c>
      <c r="F47" s="96">
        <f>$A$2</f>
        <v>2</v>
      </c>
      <c r="G47" s="34" cm="1">
        <f t="array" ref="G47">IFERROR(INDEX($J$5:$AVW$5,_xlfn.AGGREGATE(14,6,(COLUMN($J47:$AVW47)-COLUMN($J47)+1)/($J47:$AVW47="T"),1)),"")</f>
        <v>45989</v>
      </c>
      <c r="H47" s="105">
        <f>COUNTIF($J47:$AVV47,"T")</f>
        <v>1</v>
      </c>
      <c r="I47" s="36" t="s">
        <v>10</v>
      </c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25"/>
      <c r="AG47" s="25"/>
      <c r="AH47" s="25"/>
      <c r="AI47" s="25"/>
      <c r="AJ47" s="25"/>
      <c r="AK47" s="25" t="s">
        <v>12</v>
      </c>
      <c r="AL47" s="26"/>
      <c r="AM47" s="26"/>
      <c r="AN47" s="26"/>
      <c r="AO47" s="27"/>
      <c r="AP47" s="26"/>
      <c r="AQ47" s="26"/>
      <c r="AR47" s="28" t="s">
        <v>16</v>
      </c>
      <c r="AS47" s="29" t="s">
        <v>13</v>
      </c>
      <c r="AT47" s="26"/>
      <c r="AU47" s="26"/>
      <c r="AV47" s="102"/>
      <c r="AW47" s="26"/>
      <c r="AX47" s="26"/>
      <c r="AY47" s="28" t="s">
        <v>14</v>
      </c>
      <c r="AZ47" s="29" t="s">
        <v>11</v>
      </c>
      <c r="BA47" s="26"/>
      <c r="BB47" s="26"/>
      <c r="BC47" s="27"/>
      <c r="BD47" s="97"/>
      <c r="BE47" s="99" t="s">
        <v>15</v>
      </c>
      <c r="BF47" s="97"/>
      <c r="BG47" s="97"/>
      <c r="BH47" s="32">
        <v>17</v>
      </c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</row>
    <row r="48" spans="1:94" x14ac:dyDescent="0.25">
      <c r="A48" s="25" t="s">
        <v>147</v>
      </c>
      <c r="B48" s="25" t="s">
        <v>344</v>
      </c>
      <c r="C48" s="25" t="s">
        <v>565</v>
      </c>
      <c r="D48" s="25">
        <v>207</v>
      </c>
      <c r="E48" s="34" t="str" cm="1">
        <f t="array" ref="E48">IFERROR(INDEX($J$5:$AVX$5, _xlfn.AGGREGATE(15,6, COLUMN(J48:AVX48)-COLUMN(J48)+1 / (J48:AVX48="T"), F48)), "")</f>
        <v/>
      </c>
      <c r="F48" s="96">
        <f>$A$2</f>
        <v>2</v>
      </c>
      <c r="G48" s="34" cm="1">
        <f t="array" ref="G48">IFERROR(INDEX($J$5:$AVW$5,_xlfn.AGGREGATE(14,6,(COLUMN($J48:$AVW48)-COLUMN($J48)+1)/($J48:$AVW48="T"),1)),"")</f>
        <v>45989</v>
      </c>
      <c r="H48" s="105">
        <f>COUNTIF($J48:$AVV48,"T")</f>
        <v>1</v>
      </c>
      <c r="I48" s="36" t="s">
        <v>10</v>
      </c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25"/>
      <c r="AH48" s="25"/>
      <c r="AI48" s="25"/>
      <c r="AJ48" s="25"/>
      <c r="AK48" s="25" t="s">
        <v>12</v>
      </c>
      <c r="AL48" s="26"/>
      <c r="AM48" s="26"/>
      <c r="AN48" s="26"/>
      <c r="AO48" s="27"/>
      <c r="AP48" s="26"/>
      <c r="AQ48" s="26"/>
      <c r="AR48" s="28" t="s">
        <v>16</v>
      </c>
      <c r="AS48" s="29" t="s">
        <v>13</v>
      </c>
      <c r="AT48" s="26"/>
      <c r="AU48" s="35"/>
      <c r="AV48" s="27"/>
      <c r="AW48" s="26"/>
      <c r="AX48" s="26"/>
      <c r="AY48" s="28" t="s">
        <v>14</v>
      </c>
      <c r="AZ48" s="29" t="s">
        <v>11</v>
      </c>
      <c r="BA48" s="26"/>
      <c r="BB48" s="26"/>
      <c r="BC48" s="27"/>
      <c r="BD48" s="26"/>
      <c r="BE48" s="99" t="s">
        <v>15</v>
      </c>
      <c r="BF48" s="97"/>
      <c r="BG48" s="97"/>
      <c r="BH48" s="32">
        <v>17</v>
      </c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</row>
    <row r="49" spans="1:94" x14ac:dyDescent="0.25">
      <c r="A49" s="25" t="s">
        <v>147</v>
      </c>
      <c r="B49" s="25" t="s">
        <v>345</v>
      </c>
      <c r="C49" s="25" t="s">
        <v>566</v>
      </c>
      <c r="D49" s="25">
        <v>208</v>
      </c>
      <c r="E49" s="34" t="str" cm="1">
        <f t="array" ref="E49">IFERROR(INDEX($J$5:$AVX$5, _xlfn.AGGREGATE(15,6, COLUMN(J49:AVX49)-COLUMN(J49)+1 / (J49:AVX49="T"), F49)), "")</f>
        <v/>
      </c>
      <c r="F49" s="96">
        <f>$A$2</f>
        <v>2</v>
      </c>
      <c r="G49" s="34" cm="1">
        <f t="array" ref="G49">IFERROR(INDEX($J$5:$AVW$5,_xlfn.AGGREGATE(14,6,(COLUMN($J49:$AVW49)-COLUMN($J49)+1)/($J49:$AVW49="T"),1)),"")</f>
        <v>45989</v>
      </c>
      <c r="H49" s="105">
        <f>COUNTIF($J49:$AVV49,"T")</f>
        <v>1</v>
      </c>
      <c r="I49" s="36" t="s">
        <v>10</v>
      </c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25"/>
      <c r="AH49" s="25"/>
      <c r="AI49" s="25"/>
      <c r="AJ49" s="25"/>
      <c r="AK49" s="25" t="s">
        <v>12</v>
      </c>
      <c r="AL49" s="26"/>
      <c r="AM49" s="26"/>
      <c r="AN49" s="26"/>
      <c r="AO49" s="27"/>
      <c r="AP49" s="26"/>
      <c r="AQ49" s="26"/>
      <c r="AR49" s="28" t="s">
        <v>16</v>
      </c>
      <c r="AS49" s="29" t="s">
        <v>13</v>
      </c>
      <c r="AT49" s="26"/>
      <c r="AU49" s="35"/>
      <c r="AV49" s="27"/>
      <c r="AW49" s="26"/>
      <c r="AX49" s="26"/>
      <c r="AY49" s="28" t="s">
        <v>14</v>
      </c>
      <c r="AZ49" s="29" t="s">
        <v>11</v>
      </c>
      <c r="BA49" s="26"/>
      <c r="BB49" s="26"/>
      <c r="BC49" s="27"/>
      <c r="BD49" s="26"/>
      <c r="BE49" s="99" t="s">
        <v>15</v>
      </c>
      <c r="BF49" s="97"/>
      <c r="BG49" s="97"/>
      <c r="BH49" s="32">
        <v>17</v>
      </c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</row>
    <row r="50" spans="1:94" x14ac:dyDescent="0.25">
      <c r="A50" s="25" t="s">
        <v>147</v>
      </c>
      <c r="B50" s="25" t="s">
        <v>346</v>
      </c>
      <c r="C50" s="25" t="s">
        <v>567</v>
      </c>
      <c r="D50" s="25">
        <v>209</v>
      </c>
      <c r="E50" s="34" t="str" cm="1">
        <f t="array" ref="E50">IFERROR(INDEX($J$5:$AVX$5, _xlfn.AGGREGATE(15,6, COLUMN(J50:AVX50)-COLUMN(J50)+1 / (J50:AVX50="T"), F50)), "")</f>
        <v/>
      </c>
      <c r="F50" s="96">
        <f>$A$2</f>
        <v>2</v>
      </c>
      <c r="G50" s="34" cm="1">
        <f t="array" ref="G50">IFERROR(INDEX($J$5:$AVW$5,_xlfn.AGGREGATE(14,6,(COLUMN($J50:$AVW50)-COLUMN($J50)+1)/($J50:$AVW50="T"),1)),"")</f>
        <v>45989</v>
      </c>
      <c r="H50" s="105">
        <f>COUNTIF($J50:$AVV50,"T")</f>
        <v>1</v>
      </c>
      <c r="I50" s="36" t="s">
        <v>10</v>
      </c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25"/>
      <c r="AI50" s="25"/>
      <c r="AJ50" s="25"/>
      <c r="AK50" s="25" t="s">
        <v>12</v>
      </c>
      <c r="AL50" s="26"/>
      <c r="AM50" s="26"/>
      <c r="AN50" s="26"/>
      <c r="AO50" s="27"/>
      <c r="AP50" s="26"/>
      <c r="AQ50" s="26"/>
      <c r="AR50" s="28" t="s">
        <v>16</v>
      </c>
      <c r="AS50" s="29" t="s">
        <v>13</v>
      </c>
      <c r="AT50" s="26"/>
      <c r="AU50" s="26"/>
      <c r="AV50" s="102"/>
      <c r="AW50" s="26"/>
      <c r="AX50" s="26"/>
      <c r="AY50" s="28" t="s">
        <v>14</v>
      </c>
      <c r="AZ50" s="29" t="s">
        <v>11</v>
      </c>
      <c r="BA50" s="26"/>
      <c r="BB50" s="26"/>
      <c r="BC50" s="27"/>
      <c r="BD50" s="26"/>
      <c r="BE50" s="28" t="s">
        <v>15</v>
      </c>
      <c r="BF50" s="97"/>
      <c r="BG50" s="97"/>
      <c r="BH50" s="32">
        <v>17</v>
      </c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32"/>
      <c r="CP50" s="32"/>
    </row>
    <row r="51" spans="1:94" s="38" customFormat="1" x14ac:dyDescent="0.25">
      <c r="A51" s="25" t="s">
        <v>147</v>
      </c>
      <c r="B51" s="25" t="s">
        <v>347</v>
      </c>
      <c r="C51" s="25" t="s">
        <v>568</v>
      </c>
      <c r="D51" s="25">
        <v>210</v>
      </c>
      <c r="E51" s="34" t="str" cm="1">
        <f t="array" ref="E51">IFERROR(INDEX($J$5:$AVX$5, _xlfn.AGGREGATE(15,6, COLUMN(J51:AVX51)-COLUMN(J51)+1 / (J51:AVX51="T"), F51)), "")</f>
        <v/>
      </c>
      <c r="F51" s="96">
        <f>$A$2</f>
        <v>2</v>
      </c>
      <c r="G51" s="34" cm="1">
        <f t="array" ref="G51">IFERROR(INDEX($J$5:$AVW$5,_xlfn.AGGREGATE(14,6,(COLUMN($J51:$AVW51)-COLUMN($J51)+1)/($J51:$AVW51="T"),1)),"")</f>
        <v>45989</v>
      </c>
      <c r="H51" s="105">
        <f>COUNTIF($J51:$AVV51,"T")</f>
        <v>1</v>
      </c>
      <c r="I51" s="36" t="s">
        <v>10</v>
      </c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25"/>
      <c r="AI51" s="25"/>
      <c r="AJ51" s="25"/>
      <c r="AK51" s="25" t="s">
        <v>12</v>
      </c>
      <c r="AL51" s="26"/>
      <c r="AM51" s="26"/>
      <c r="AN51" s="26"/>
      <c r="AO51" s="27"/>
      <c r="AP51" s="26"/>
      <c r="AQ51" s="26"/>
      <c r="AR51" s="28" t="s">
        <v>16</v>
      </c>
      <c r="AS51" s="29" t="s">
        <v>13</v>
      </c>
      <c r="AT51" s="26"/>
      <c r="AU51" s="26"/>
      <c r="AV51" s="102"/>
      <c r="AW51" s="26"/>
      <c r="AX51" s="26"/>
      <c r="AY51" s="28" t="s">
        <v>14</v>
      </c>
      <c r="AZ51" s="29" t="s">
        <v>11</v>
      </c>
      <c r="BA51" s="26"/>
      <c r="BB51" s="26"/>
      <c r="BC51" s="27"/>
      <c r="BD51" s="26"/>
      <c r="BE51" s="28" t="s">
        <v>15</v>
      </c>
      <c r="BF51" s="97"/>
      <c r="BG51" s="97"/>
      <c r="BH51" s="32">
        <v>17</v>
      </c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</row>
    <row r="52" spans="1:94" s="38" customFormat="1" x14ac:dyDescent="0.25">
      <c r="A52" s="25" t="s">
        <v>147</v>
      </c>
      <c r="B52" s="25" t="s">
        <v>348</v>
      </c>
      <c r="C52" s="25" t="s">
        <v>569</v>
      </c>
      <c r="D52" s="25">
        <v>211</v>
      </c>
      <c r="E52" s="34" t="str" cm="1">
        <f t="array" ref="E52">IFERROR(INDEX($J$5:$AVX$5, _xlfn.AGGREGATE(15,6, COLUMN(J52:AVX52)-COLUMN(J52)+1 / (J52:AVX52="T"), F52)), "")</f>
        <v/>
      </c>
      <c r="F52" s="96">
        <f>$A$2</f>
        <v>2</v>
      </c>
      <c r="G52" s="34" cm="1">
        <f t="array" ref="G52">IFERROR(INDEX($J$5:$AVW$5,_xlfn.AGGREGATE(14,6,(COLUMN($J52:$AVW52)-COLUMN($J52)+1)/($J52:$AVW52="T"),1)),"")</f>
        <v>45989</v>
      </c>
      <c r="H52" s="105">
        <f>COUNTIF($J52:$AVV52,"T")</f>
        <v>1</v>
      </c>
      <c r="I52" s="36" t="s">
        <v>10</v>
      </c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25"/>
      <c r="AI52" s="25"/>
      <c r="AJ52" s="25"/>
      <c r="AK52" s="25" t="s">
        <v>12</v>
      </c>
      <c r="AL52" s="26"/>
      <c r="AM52" s="26"/>
      <c r="AN52" s="26"/>
      <c r="AO52" s="27"/>
      <c r="AP52" s="26"/>
      <c r="AQ52" s="26"/>
      <c r="AR52" s="28" t="s">
        <v>16</v>
      </c>
      <c r="AS52" s="29" t="s">
        <v>13</v>
      </c>
      <c r="AT52" s="26"/>
      <c r="AU52" s="26"/>
      <c r="AV52" s="102"/>
      <c r="AW52" s="26"/>
      <c r="AX52" s="26"/>
      <c r="AY52" s="28" t="s">
        <v>14</v>
      </c>
      <c r="AZ52" s="29" t="s">
        <v>11</v>
      </c>
      <c r="BA52" s="26"/>
      <c r="BB52" s="26"/>
      <c r="BC52" s="27"/>
      <c r="BD52" s="26"/>
      <c r="BE52" s="28" t="s">
        <v>15</v>
      </c>
      <c r="BF52" s="97"/>
      <c r="BG52" s="97"/>
      <c r="BH52" s="32">
        <v>17</v>
      </c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32"/>
      <c r="CP52" s="32"/>
    </row>
    <row r="53" spans="1:94" s="38" customFormat="1" x14ac:dyDescent="0.25">
      <c r="A53" s="25" t="s">
        <v>56</v>
      </c>
      <c r="B53" s="25" t="s">
        <v>283</v>
      </c>
      <c r="C53" s="25" t="s">
        <v>428</v>
      </c>
      <c r="D53" s="25">
        <v>70</v>
      </c>
      <c r="E53" s="34" t="str" cm="1">
        <f t="array" ref="E53">IFERROR(INDEX($J$5:$AVX$5, _xlfn.AGGREGATE(15,6, COLUMN(J53:AVX53)-COLUMN(J53)+1 / (J53:AVX53="T"), F53)), "")</f>
        <v/>
      </c>
      <c r="F53" s="96">
        <f>$A$2</f>
        <v>2</v>
      </c>
      <c r="G53" s="34" cm="1">
        <f t="array" ref="G53">IFERROR(INDEX($J$5:$AVW$5,_xlfn.AGGREGATE(14,6,(COLUMN($J53:$AVW53)-COLUMN($J53)+1)/($J53:$AVW53="T"),1)),"")</f>
        <v>45988</v>
      </c>
      <c r="H53" s="105">
        <f>COUNTIF($J53:$AVV53,"T")</f>
        <v>1</v>
      </c>
      <c r="I53" s="36" t="s">
        <v>10</v>
      </c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 t="s">
        <v>12</v>
      </c>
      <c r="AK53" s="97"/>
      <c r="AL53" s="97"/>
      <c r="AM53" s="97"/>
      <c r="AN53" s="98"/>
      <c r="AO53" s="97"/>
      <c r="AP53" s="97"/>
      <c r="AQ53" s="99" t="s">
        <v>16</v>
      </c>
      <c r="AR53" s="100" t="s">
        <v>13</v>
      </c>
      <c r="AS53" s="97"/>
      <c r="AT53" s="97"/>
      <c r="AU53" s="98"/>
      <c r="AV53" s="97"/>
      <c r="AW53" s="97"/>
      <c r="AX53" s="99" t="s">
        <v>14</v>
      </c>
      <c r="AY53" s="100" t="s">
        <v>11</v>
      </c>
      <c r="AZ53" s="97"/>
      <c r="BA53" s="97"/>
      <c r="BB53" s="98"/>
      <c r="BC53" s="97"/>
      <c r="BD53" s="99" t="s">
        <v>15</v>
      </c>
      <c r="BE53" s="97"/>
      <c r="BF53" s="97"/>
      <c r="BG53" s="32">
        <v>17</v>
      </c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</row>
    <row r="54" spans="1:94" x14ac:dyDescent="0.25">
      <c r="A54" s="25" t="s">
        <v>56</v>
      </c>
      <c r="B54" s="25" t="s">
        <v>284</v>
      </c>
      <c r="C54" s="25" t="s">
        <v>429</v>
      </c>
      <c r="D54" s="25">
        <v>71</v>
      </c>
      <c r="E54" s="34" t="str" cm="1">
        <f t="array" ref="E54">IFERROR(INDEX($J$5:$AVX$5, _xlfn.AGGREGATE(15,6, COLUMN(J54:AVX54)-COLUMN(J54)+1 / (J54:AVX54="T"), F54)), "")</f>
        <v/>
      </c>
      <c r="F54" s="96">
        <f>$A$2</f>
        <v>2</v>
      </c>
      <c r="G54" s="34" cm="1">
        <f t="array" ref="G54">IFERROR(INDEX($J$5:$AVW$5,_xlfn.AGGREGATE(14,6,(COLUMN($J54:$AVW54)-COLUMN($J54)+1)/($J54:$AVW54="T"),1)),"")</f>
        <v>45988</v>
      </c>
      <c r="H54" s="105">
        <f>COUNTIF($J54:$AVV54,"T")</f>
        <v>1</v>
      </c>
      <c r="I54" s="36" t="s">
        <v>10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 t="s">
        <v>12</v>
      </c>
      <c r="AK54" s="97"/>
      <c r="AL54" s="97"/>
      <c r="AM54" s="97"/>
      <c r="AN54" s="98"/>
      <c r="AO54" s="97"/>
      <c r="AP54" s="97"/>
      <c r="AQ54" s="99" t="s">
        <v>16</v>
      </c>
      <c r="AR54" s="100" t="s">
        <v>13</v>
      </c>
      <c r="AS54" s="97"/>
      <c r="AT54" s="97"/>
      <c r="AU54" s="98"/>
      <c r="AV54" s="97"/>
      <c r="AW54" s="97"/>
      <c r="AX54" s="99" t="s">
        <v>14</v>
      </c>
      <c r="AY54" s="100" t="s">
        <v>11</v>
      </c>
      <c r="AZ54" s="97"/>
      <c r="BA54" s="97"/>
      <c r="BB54" s="98"/>
      <c r="BC54" s="97"/>
      <c r="BD54" s="99" t="s">
        <v>15</v>
      </c>
      <c r="BE54" s="97"/>
      <c r="BF54" s="97"/>
      <c r="BG54" s="32">
        <v>17</v>
      </c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32"/>
      <c r="CP54" s="32"/>
    </row>
    <row r="55" spans="1:94" x14ac:dyDescent="0.25">
      <c r="A55" s="25" t="s">
        <v>56</v>
      </c>
      <c r="B55" s="25" t="s">
        <v>285</v>
      </c>
      <c r="C55" s="25" t="s">
        <v>430</v>
      </c>
      <c r="D55" s="25">
        <v>72</v>
      </c>
      <c r="E55" s="34" t="str" cm="1">
        <f t="array" ref="E55">IFERROR(INDEX($J$5:$AVX$5, _xlfn.AGGREGATE(15,6, COLUMN(J55:AVX55)-COLUMN(J55)+1 / (J55:AVX55="T"), F55)), "")</f>
        <v/>
      </c>
      <c r="F55" s="96">
        <f>$A$2</f>
        <v>2</v>
      </c>
      <c r="G55" s="34" cm="1">
        <f t="array" ref="G55">IFERROR(INDEX($J$5:$AVW$5,_xlfn.AGGREGATE(14,6,(COLUMN($J55:$AVW55)-COLUMN($J55)+1)/($J55:$AVW55="T"),1)),"")</f>
        <v>45988</v>
      </c>
      <c r="H55" s="105">
        <f>COUNTIF($J55:$AVV55,"T")</f>
        <v>1</v>
      </c>
      <c r="I55" s="36" t="s">
        <v>10</v>
      </c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 t="s">
        <v>12</v>
      </c>
      <c r="AK55" s="97"/>
      <c r="AL55" s="97"/>
      <c r="AM55" s="97"/>
      <c r="AN55" s="98"/>
      <c r="AO55" s="97"/>
      <c r="AP55" s="97"/>
      <c r="AQ55" s="99" t="s">
        <v>16</v>
      </c>
      <c r="AR55" s="100" t="s">
        <v>13</v>
      </c>
      <c r="AS55" s="97"/>
      <c r="AT55" s="97"/>
      <c r="AU55" s="98"/>
      <c r="AV55" s="97"/>
      <c r="AW55" s="97"/>
      <c r="AX55" s="99" t="s">
        <v>14</v>
      </c>
      <c r="AY55" s="100" t="s">
        <v>11</v>
      </c>
      <c r="AZ55" s="97"/>
      <c r="BA55" s="97"/>
      <c r="BB55" s="98"/>
      <c r="BC55" s="97"/>
      <c r="BD55" s="99" t="s">
        <v>15</v>
      </c>
      <c r="BE55" s="97"/>
      <c r="BF55" s="97"/>
      <c r="BG55" s="32">
        <v>17</v>
      </c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</row>
    <row r="56" spans="1:94" x14ac:dyDescent="0.25">
      <c r="A56" s="25" t="s">
        <v>147</v>
      </c>
      <c r="B56" s="25" t="s">
        <v>338</v>
      </c>
      <c r="C56" s="25" t="s">
        <v>559</v>
      </c>
      <c r="D56" s="25">
        <v>201</v>
      </c>
      <c r="E56" s="34" t="str" cm="1">
        <f t="array" ref="E56">IFERROR(INDEX($J$5:$AVX$5, _xlfn.AGGREGATE(15,6, COLUMN(J56:AVX56)-COLUMN(J56)+1 / (J56:AVX56="T"), F56)), "")</f>
        <v/>
      </c>
      <c r="F56" s="96">
        <f>$A$2</f>
        <v>2</v>
      </c>
      <c r="G56" s="34" cm="1">
        <f t="array" ref="G56">IFERROR(INDEX($J$5:$AVW$5,_xlfn.AGGREGATE(14,6,(COLUMN($J56:$AVW56)-COLUMN($J56)+1)/($J56:$AVW56="T"),1)),"")</f>
        <v>45988</v>
      </c>
      <c r="H56" s="105">
        <f>COUNTIF($J56:$AVV56,"T")</f>
        <v>1</v>
      </c>
      <c r="I56" s="36" t="s">
        <v>10</v>
      </c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 t="s">
        <v>12</v>
      </c>
      <c r="AK56" s="97"/>
      <c r="AL56" s="97"/>
      <c r="AM56" s="97"/>
      <c r="AN56" s="98"/>
      <c r="AO56" s="97"/>
      <c r="AP56" s="97"/>
      <c r="AQ56" s="99" t="s">
        <v>16</v>
      </c>
      <c r="AR56" s="100" t="s">
        <v>13</v>
      </c>
      <c r="AS56" s="97"/>
      <c r="AT56" s="97"/>
      <c r="AU56" s="98"/>
      <c r="AV56" s="97"/>
      <c r="AW56" s="97"/>
      <c r="AX56" s="99" t="s">
        <v>14</v>
      </c>
      <c r="AY56" s="100" t="s">
        <v>11</v>
      </c>
      <c r="AZ56" s="97"/>
      <c r="BA56" s="97"/>
      <c r="BB56" s="98"/>
      <c r="BC56" s="97"/>
      <c r="BD56" s="99" t="s">
        <v>15</v>
      </c>
      <c r="BE56" s="97"/>
      <c r="BF56" s="97"/>
      <c r="BG56" s="32">
        <v>17</v>
      </c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</row>
    <row r="57" spans="1:94" x14ac:dyDescent="0.25">
      <c r="A57" s="25" t="s">
        <v>147</v>
      </c>
      <c r="B57" s="25" t="s">
        <v>339</v>
      </c>
      <c r="C57" s="25" t="s">
        <v>560</v>
      </c>
      <c r="D57" s="25">
        <v>202</v>
      </c>
      <c r="E57" s="34" t="str" cm="1">
        <f t="array" ref="E57">IFERROR(INDEX($J$5:$AVX$5, _xlfn.AGGREGATE(15,6, COLUMN(J57:AVX57)-COLUMN(J57)+1 / (J57:AVX57="T"), F57)), "")</f>
        <v/>
      </c>
      <c r="F57" s="96">
        <f>$A$2</f>
        <v>2</v>
      </c>
      <c r="G57" s="34" cm="1">
        <f t="array" ref="G57">IFERROR(INDEX($J$5:$AVW$5,_xlfn.AGGREGATE(14,6,(COLUMN($J57:$AVW57)-COLUMN($J57)+1)/($J57:$AVW57="T"),1)),"")</f>
        <v>45988</v>
      </c>
      <c r="H57" s="105">
        <f>COUNTIF($J57:$AVV57,"T")</f>
        <v>1</v>
      </c>
      <c r="I57" s="36" t="s">
        <v>10</v>
      </c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 t="s">
        <v>12</v>
      </c>
      <c r="AK57" s="97"/>
      <c r="AL57" s="97"/>
      <c r="AM57" s="97"/>
      <c r="AN57" s="98"/>
      <c r="AO57" s="97"/>
      <c r="AP57" s="97"/>
      <c r="AQ57" s="99" t="s">
        <v>16</v>
      </c>
      <c r="AR57" s="100" t="s">
        <v>13</v>
      </c>
      <c r="AS57" s="97"/>
      <c r="AT57" s="97"/>
      <c r="AU57" s="98"/>
      <c r="AV57" s="97"/>
      <c r="AW57" s="97"/>
      <c r="AX57" s="99" t="s">
        <v>14</v>
      </c>
      <c r="AY57" s="100" t="s">
        <v>11</v>
      </c>
      <c r="AZ57" s="97"/>
      <c r="BA57" s="97"/>
      <c r="BB57" s="98"/>
      <c r="BC57" s="97"/>
      <c r="BD57" s="99" t="s">
        <v>15</v>
      </c>
      <c r="BE57" s="97"/>
      <c r="BF57" s="97"/>
      <c r="BG57" s="32">
        <v>17</v>
      </c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</row>
    <row r="58" spans="1:94" x14ac:dyDescent="0.25">
      <c r="A58" s="25" t="s">
        <v>147</v>
      </c>
      <c r="B58" s="25" t="s">
        <v>340</v>
      </c>
      <c r="C58" s="25" t="s">
        <v>561</v>
      </c>
      <c r="D58" s="25">
        <v>203</v>
      </c>
      <c r="E58" s="34" t="str" cm="1">
        <f t="array" ref="E58">IFERROR(INDEX($J$5:$AVX$5, _xlfn.AGGREGATE(15,6, COLUMN(J58:AVX58)-COLUMN(J58)+1 / (J58:AVX58="T"), F58)), "")</f>
        <v/>
      </c>
      <c r="F58" s="96">
        <f>$A$2</f>
        <v>2</v>
      </c>
      <c r="G58" s="34" cm="1">
        <f t="array" ref="G58">IFERROR(INDEX($J$5:$AVW$5,_xlfn.AGGREGATE(14,6,(COLUMN($J58:$AVW58)-COLUMN($J58)+1)/($J58:$AVW58="T"),1)),"")</f>
        <v>45988</v>
      </c>
      <c r="H58" s="105">
        <f>COUNTIF($J58:$AVV58,"T")</f>
        <v>1</v>
      </c>
      <c r="I58" s="36" t="s">
        <v>10</v>
      </c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 t="s">
        <v>12</v>
      </c>
      <c r="AK58" s="97"/>
      <c r="AL58" s="97"/>
      <c r="AM58" s="97"/>
      <c r="AN58" s="98"/>
      <c r="AO58" s="97"/>
      <c r="AP58" s="97"/>
      <c r="AQ58" s="99" t="s">
        <v>16</v>
      </c>
      <c r="AR58" s="100" t="s">
        <v>13</v>
      </c>
      <c r="AS58" s="97"/>
      <c r="AT58" s="97"/>
      <c r="AU58" s="98"/>
      <c r="AV58" s="97"/>
      <c r="AW58" s="97"/>
      <c r="AX58" s="99" t="s">
        <v>14</v>
      </c>
      <c r="AY58" s="100" t="s">
        <v>11</v>
      </c>
      <c r="AZ58" s="97"/>
      <c r="BA58" s="97"/>
      <c r="BB58" s="98"/>
      <c r="BC58" s="97"/>
      <c r="BD58" s="99" t="s">
        <v>15</v>
      </c>
      <c r="BE58" s="97"/>
      <c r="BF58" s="97"/>
      <c r="BG58" s="32">
        <v>17</v>
      </c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</row>
    <row r="59" spans="1:94" x14ac:dyDescent="0.25">
      <c r="A59" s="25" t="s">
        <v>147</v>
      </c>
      <c r="B59" s="25" t="s">
        <v>341</v>
      </c>
      <c r="C59" s="25" t="s">
        <v>562</v>
      </c>
      <c r="D59" s="25">
        <v>204</v>
      </c>
      <c r="E59" s="34" t="str" cm="1">
        <f t="array" ref="E59">IFERROR(INDEX($J$5:$AVX$5, _xlfn.AGGREGATE(15,6, COLUMN(J59:AVX59)-COLUMN(J59)+1 / (J59:AVX59="T"), F59)), "")</f>
        <v/>
      </c>
      <c r="F59" s="96">
        <f>$A$2</f>
        <v>2</v>
      </c>
      <c r="G59" s="34" cm="1">
        <f t="array" ref="G59">IFERROR(INDEX($J$5:$AVW$5,_xlfn.AGGREGATE(14,6,(COLUMN($J59:$AVW59)-COLUMN($J59)+1)/($J59:$AVW59="T"),1)),"")</f>
        <v>45988</v>
      </c>
      <c r="H59" s="105">
        <f>COUNTIF($J59:$AVV59,"T")</f>
        <v>1</v>
      </c>
      <c r="I59" s="36" t="s">
        <v>10</v>
      </c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25"/>
      <c r="AJ59" s="25" t="s">
        <v>12</v>
      </c>
      <c r="AK59" s="26"/>
      <c r="AL59" s="26"/>
      <c r="AM59" s="26"/>
      <c r="AN59" s="27"/>
      <c r="AO59" s="26"/>
      <c r="AP59" s="26"/>
      <c r="AQ59" s="28" t="s">
        <v>16</v>
      </c>
      <c r="AR59" s="29" t="s">
        <v>13</v>
      </c>
      <c r="AS59" s="26"/>
      <c r="AT59" s="26"/>
      <c r="AU59" s="27"/>
      <c r="AV59" s="26"/>
      <c r="AW59" s="35"/>
      <c r="AX59" s="28" t="s">
        <v>14</v>
      </c>
      <c r="AY59" s="29" t="s">
        <v>11</v>
      </c>
      <c r="AZ59" s="26"/>
      <c r="BA59" s="26"/>
      <c r="BB59" s="27"/>
      <c r="BC59" s="26"/>
      <c r="BD59" s="28" t="s">
        <v>15</v>
      </c>
      <c r="BE59" s="26"/>
      <c r="BF59" s="26"/>
      <c r="BG59" s="32">
        <v>17</v>
      </c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</row>
    <row r="60" spans="1:94" x14ac:dyDescent="0.25">
      <c r="A60" s="44" t="s">
        <v>8</v>
      </c>
      <c r="B60" s="44" t="s">
        <v>259</v>
      </c>
      <c r="C60" s="25" t="s">
        <v>404</v>
      </c>
      <c r="D60" s="25">
        <v>46</v>
      </c>
      <c r="E60" s="34" t="str" cm="1">
        <f t="array" ref="E60">IFERROR(INDEX($J$5:$AVX$5, _xlfn.AGGREGATE(15,6, COLUMN(J60:AVX60)-COLUMN(J60)+1 / (J60:AVX60="T"), F60)), "")</f>
        <v/>
      </c>
      <c r="F60" s="96">
        <f>$A$2</f>
        <v>2</v>
      </c>
      <c r="G60" s="34" cm="1">
        <f t="array" ref="G60">IFERROR(INDEX($J$5:$AVW$5,_xlfn.AGGREGATE(14,6,(COLUMN($J60:$AVW60)-COLUMN($J60)+1)/($J60:$AVW60="T"),1)),"")</f>
        <v>45987</v>
      </c>
      <c r="H60" s="105">
        <f>COUNTIF($J60:$AVV60,"T")</f>
        <v>1</v>
      </c>
      <c r="I60" s="43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25" t="s">
        <v>12</v>
      </c>
      <c r="AJ60" s="26"/>
      <c r="AK60" s="26"/>
      <c r="AL60" s="26"/>
      <c r="AM60" s="27"/>
      <c r="AN60" s="26"/>
      <c r="AO60" s="26"/>
      <c r="AP60" s="28" t="s">
        <v>16</v>
      </c>
      <c r="AQ60" s="29" t="s">
        <v>13</v>
      </c>
      <c r="AR60" s="26"/>
      <c r="AS60" s="26"/>
      <c r="AT60" s="27"/>
      <c r="AU60" s="26"/>
      <c r="AV60" s="26"/>
      <c r="AW60" s="31" t="s">
        <v>14</v>
      </c>
      <c r="AX60" s="29" t="s">
        <v>11</v>
      </c>
      <c r="AY60" s="26"/>
      <c r="AZ60" s="26"/>
      <c r="BA60" s="27"/>
      <c r="BB60" s="26"/>
      <c r="BC60" s="28" t="s">
        <v>15</v>
      </c>
      <c r="BD60" s="26"/>
      <c r="BE60" s="26"/>
      <c r="BF60" s="25">
        <v>17</v>
      </c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</row>
    <row r="61" spans="1:94" x14ac:dyDescent="0.25">
      <c r="A61" s="44" t="s">
        <v>8</v>
      </c>
      <c r="B61" s="44" t="s">
        <v>260</v>
      </c>
      <c r="C61" s="25" t="s">
        <v>405</v>
      </c>
      <c r="D61" s="25">
        <v>47</v>
      </c>
      <c r="E61" s="34" t="str" cm="1">
        <f t="array" ref="E61">IFERROR(INDEX($J$5:$AVX$5, _xlfn.AGGREGATE(15,6, COLUMN(J61:AVX61)-COLUMN(J61)+1 / (J61:AVX61="T"), F61)), "")</f>
        <v/>
      </c>
      <c r="F61" s="96">
        <f>$A$2</f>
        <v>2</v>
      </c>
      <c r="G61" s="34" cm="1">
        <f t="array" ref="G61">IFERROR(INDEX($J$5:$AVW$5,_xlfn.AGGREGATE(14,6,(COLUMN($J61:$AVW61)-COLUMN($J61)+1)/($J61:$AVW61="T"),1)),"")</f>
        <v>45987</v>
      </c>
      <c r="H61" s="105">
        <f>COUNTIF($J61:$AVV61,"T")</f>
        <v>1</v>
      </c>
      <c r="I61" s="43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25" t="s">
        <v>12</v>
      </c>
      <c r="AJ61" s="26"/>
      <c r="AK61" s="26"/>
      <c r="AL61" s="26"/>
      <c r="AM61" s="27"/>
      <c r="AN61" s="26"/>
      <c r="AO61" s="26"/>
      <c r="AP61" s="28" t="s">
        <v>16</v>
      </c>
      <c r="AQ61" s="29" t="s">
        <v>13</v>
      </c>
      <c r="AR61" s="26"/>
      <c r="AS61" s="26"/>
      <c r="AT61" s="27"/>
      <c r="AU61" s="26"/>
      <c r="AV61" s="26"/>
      <c r="AW61" s="31" t="s">
        <v>14</v>
      </c>
      <c r="AX61" s="29" t="s">
        <v>11</v>
      </c>
      <c r="AY61" s="26"/>
      <c r="AZ61" s="26"/>
      <c r="BA61" s="27"/>
      <c r="BB61" s="26"/>
      <c r="BC61" s="28" t="s">
        <v>15</v>
      </c>
      <c r="BD61" s="26"/>
      <c r="BE61" s="26"/>
      <c r="BF61" s="25">
        <v>17</v>
      </c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</row>
    <row r="62" spans="1:94" x14ac:dyDescent="0.25">
      <c r="A62" s="44" t="s">
        <v>8</v>
      </c>
      <c r="B62" s="44" t="s">
        <v>261</v>
      </c>
      <c r="C62" s="25" t="s">
        <v>406</v>
      </c>
      <c r="D62" s="25">
        <v>48</v>
      </c>
      <c r="E62" s="34" t="str" cm="1">
        <f t="array" ref="E62">IFERROR(INDEX($J$5:$AVX$5, _xlfn.AGGREGATE(15,6, COLUMN(J62:AVX62)-COLUMN(J62)+1 / (J62:AVX62="T"), F62)), "")</f>
        <v/>
      </c>
      <c r="F62" s="96">
        <f>$A$2</f>
        <v>2</v>
      </c>
      <c r="G62" s="34" cm="1">
        <f t="array" ref="G62">IFERROR(INDEX($J$5:$AVW$5,_xlfn.AGGREGATE(14,6,(COLUMN($J62:$AVW62)-COLUMN($J62)+1)/($J62:$AVW62="T"),1)),"")</f>
        <v>45987</v>
      </c>
      <c r="H62" s="105">
        <f>COUNTIF($J62:$AVV62,"T")</f>
        <v>1</v>
      </c>
      <c r="I62" s="43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25" t="s">
        <v>12</v>
      </c>
      <c r="AJ62" s="26"/>
      <c r="AK62" s="26"/>
      <c r="AL62" s="26"/>
      <c r="AM62" s="27"/>
      <c r="AN62" s="26"/>
      <c r="AO62" s="26"/>
      <c r="AP62" s="28" t="s">
        <v>16</v>
      </c>
      <c r="AQ62" s="29" t="s">
        <v>13</v>
      </c>
      <c r="AR62" s="26"/>
      <c r="AS62" s="26"/>
      <c r="AT62" s="27"/>
      <c r="AU62" s="26"/>
      <c r="AV62" s="26"/>
      <c r="AW62" s="31" t="s">
        <v>14</v>
      </c>
      <c r="AX62" s="29" t="s">
        <v>11</v>
      </c>
      <c r="AY62" s="26"/>
      <c r="AZ62" s="26"/>
      <c r="BA62" s="27"/>
      <c r="BB62" s="26"/>
      <c r="BC62" s="28" t="s">
        <v>15</v>
      </c>
      <c r="BD62" s="26"/>
      <c r="BE62" s="26"/>
      <c r="BF62" s="25">
        <v>17</v>
      </c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</row>
    <row r="63" spans="1:94" x14ac:dyDescent="0.25">
      <c r="A63" s="44" t="s">
        <v>8</v>
      </c>
      <c r="B63" s="44" t="s">
        <v>262</v>
      </c>
      <c r="C63" s="25" t="s">
        <v>407</v>
      </c>
      <c r="D63" s="25">
        <v>49</v>
      </c>
      <c r="E63" s="34" t="str" cm="1">
        <f t="array" ref="E63">IFERROR(INDEX($J$5:$AVX$5, _xlfn.AGGREGATE(15,6, COLUMN(J63:AVX63)-COLUMN(J63)+1 / (J63:AVX63="T"), F63)), "")</f>
        <v/>
      </c>
      <c r="F63" s="96">
        <f>$A$2</f>
        <v>2</v>
      </c>
      <c r="G63" s="34" cm="1">
        <f t="array" ref="G63">IFERROR(INDEX($J$5:$AVW$5,_xlfn.AGGREGATE(14,6,(COLUMN($J63:$AVW63)-COLUMN($J63)+1)/($J63:$AVW63="T"),1)),"")</f>
        <v>45987</v>
      </c>
      <c r="H63" s="105">
        <f>COUNTIF($J63:$AVV63,"T")</f>
        <v>1</v>
      </c>
      <c r="I63" s="43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25"/>
      <c r="AI63" s="25" t="s">
        <v>12</v>
      </c>
      <c r="AJ63" s="26"/>
      <c r="AK63" s="26"/>
      <c r="AL63" s="26"/>
      <c r="AM63" s="27"/>
      <c r="AN63" s="26"/>
      <c r="AO63" s="26"/>
      <c r="AP63" s="28" t="s">
        <v>16</v>
      </c>
      <c r="AQ63" s="29" t="s">
        <v>13</v>
      </c>
      <c r="AR63" s="26"/>
      <c r="AS63" s="26"/>
      <c r="AT63" s="27"/>
      <c r="AU63" s="26"/>
      <c r="AV63" s="35"/>
      <c r="AW63" s="28" t="s">
        <v>14</v>
      </c>
      <c r="AX63" s="29" t="s">
        <v>11</v>
      </c>
      <c r="AY63" s="26"/>
      <c r="AZ63" s="26"/>
      <c r="BA63" s="27"/>
      <c r="BB63" s="26"/>
      <c r="BC63" s="28" t="s">
        <v>15</v>
      </c>
      <c r="BD63" s="26"/>
      <c r="BE63" s="26"/>
      <c r="BF63" s="32">
        <v>17</v>
      </c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</row>
    <row r="64" spans="1:94" x14ac:dyDescent="0.25">
      <c r="A64" s="25" t="s">
        <v>56</v>
      </c>
      <c r="B64" s="25" t="s">
        <v>286</v>
      </c>
      <c r="C64" s="25" t="s">
        <v>431</v>
      </c>
      <c r="D64" s="25">
        <v>73</v>
      </c>
      <c r="E64" s="34" t="str" cm="1">
        <f t="array" ref="E64">IFERROR(INDEX($J$5:$AVX$5, _xlfn.AGGREGATE(15,6, COLUMN(J64:AVX64)-COLUMN(J64)+1 / (J64:AVX64="T"), F64)), "")</f>
        <v/>
      </c>
      <c r="F64" s="96">
        <f>$A$2</f>
        <v>2</v>
      </c>
      <c r="G64" s="34" cm="1">
        <f t="array" ref="G64">IFERROR(INDEX($J$5:$AVW$5,_xlfn.AGGREGATE(14,6,(COLUMN($J64:$AVW64)-COLUMN($J64)+1)/($J64:$AVW64="T"),1)),"")</f>
        <v>45987</v>
      </c>
      <c r="H64" s="105">
        <f>COUNTIF($J64:$AVV64,"T")</f>
        <v>1</v>
      </c>
      <c r="I64" s="36" t="s">
        <v>10</v>
      </c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25"/>
      <c r="AI64" s="25" t="s">
        <v>12</v>
      </c>
      <c r="AJ64" s="26"/>
      <c r="AK64" s="26"/>
      <c r="AL64" s="26"/>
      <c r="AM64" s="27"/>
      <c r="AN64" s="26"/>
      <c r="AO64" s="26"/>
      <c r="AP64" s="28" t="s">
        <v>16</v>
      </c>
      <c r="AQ64" s="29" t="s">
        <v>13</v>
      </c>
      <c r="AR64" s="26"/>
      <c r="AS64" s="26"/>
      <c r="AT64" s="27"/>
      <c r="AU64" s="26"/>
      <c r="AV64" s="35"/>
      <c r="AW64" s="28" t="s">
        <v>14</v>
      </c>
      <c r="AX64" s="29" t="s">
        <v>11</v>
      </c>
      <c r="AY64" s="26"/>
      <c r="AZ64" s="26"/>
      <c r="BA64" s="27"/>
      <c r="BB64" s="26"/>
      <c r="BC64" s="28" t="s">
        <v>15</v>
      </c>
      <c r="BD64" s="26"/>
      <c r="BE64" s="26"/>
      <c r="BF64" s="32">
        <v>17</v>
      </c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32"/>
      <c r="CP64" s="32"/>
    </row>
    <row r="65" spans="1:94" x14ac:dyDescent="0.25">
      <c r="A65" s="25" t="s">
        <v>56</v>
      </c>
      <c r="B65" s="25" t="s">
        <v>287</v>
      </c>
      <c r="C65" s="25" t="s">
        <v>432</v>
      </c>
      <c r="D65" s="25">
        <v>74</v>
      </c>
      <c r="E65" s="34" t="str" cm="1">
        <f t="array" ref="E65">IFERROR(INDEX($J$5:$AVX$5, _xlfn.AGGREGATE(15,6, COLUMN(J65:AVX65)-COLUMN(J65)+1 / (J65:AVX65="T"), F65)), "")</f>
        <v/>
      </c>
      <c r="F65" s="96">
        <f>$A$2</f>
        <v>2</v>
      </c>
      <c r="G65" s="34" cm="1">
        <f t="array" ref="G65">IFERROR(INDEX($J$5:$AVW$5,_xlfn.AGGREGATE(14,6,(COLUMN($J65:$AVW65)-COLUMN($J65)+1)/($J65:$AVW65="T"),1)),"")</f>
        <v>45987</v>
      </c>
      <c r="H65" s="105">
        <f>COUNTIF($J65:$AVV65,"T")</f>
        <v>1</v>
      </c>
      <c r="I65" s="36" t="s">
        <v>10</v>
      </c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25"/>
      <c r="AI65" s="25" t="s">
        <v>12</v>
      </c>
      <c r="AJ65" s="26"/>
      <c r="AK65" s="26"/>
      <c r="AL65" s="26"/>
      <c r="AM65" s="27"/>
      <c r="AN65" s="26"/>
      <c r="AO65" s="26"/>
      <c r="AP65" s="28" t="s">
        <v>16</v>
      </c>
      <c r="AQ65" s="29" t="s">
        <v>13</v>
      </c>
      <c r="AR65" s="26"/>
      <c r="AS65" s="26"/>
      <c r="AT65" s="27"/>
      <c r="AU65" s="26"/>
      <c r="AV65" s="35"/>
      <c r="AW65" s="28" t="s">
        <v>14</v>
      </c>
      <c r="AX65" s="29" t="s">
        <v>11</v>
      </c>
      <c r="AY65" s="26"/>
      <c r="AZ65" s="26"/>
      <c r="BA65" s="27"/>
      <c r="BB65" s="26"/>
      <c r="BC65" s="28" t="s">
        <v>15</v>
      </c>
      <c r="BD65" s="26"/>
      <c r="BE65" s="26"/>
      <c r="BF65" s="32">
        <v>17</v>
      </c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</row>
    <row r="66" spans="1:94" x14ac:dyDescent="0.25">
      <c r="A66" s="25" t="s">
        <v>56</v>
      </c>
      <c r="B66" s="25" t="s">
        <v>288</v>
      </c>
      <c r="C66" s="25" t="s">
        <v>433</v>
      </c>
      <c r="D66" s="25">
        <v>75</v>
      </c>
      <c r="E66" s="34" t="str" cm="1">
        <f t="array" ref="E66">IFERROR(INDEX($J$5:$AVX$5, _xlfn.AGGREGATE(15,6, COLUMN(J66:AVX66)-COLUMN(J66)+1 / (J66:AVX66="T"), F66)), "")</f>
        <v/>
      </c>
      <c r="F66" s="96">
        <f>$A$2</f>
        <v>2</v>
      </c>
      <c r="G66" s="34" cm="1">
        <f t="array" ref="G66">IFERROR(INDEX($J$5:$AVW$5,_xlfn.AGGREGATE(14,6,(COLUMN($J66:$AVW66)-COLUMN($J66)+1)/($J66:$AVW66="T"),1)),"")</f>
        <v>45987</v>
      </c>
      <c r="H66" s="105">
        <f>COUNTIF($J66:$AVV66,"T")</f>
        <v>1</v>
      </c>
      <c r="I66" s="36" t="s">
        <v>10</v>
      </c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25"/>
      <c r="AI66" s="25" t="s">
        <v>12</v>
      </c>
      <c r="AJ66" s="26"/>
      <c r="AK66" s="26"/>
      <c r="AL66" s="26"/>
      <c r="AM66" s="27"/>
      <c r="AN66" s="26"/>
      <c r="AO66" s="26"/>
      <c r="AP66" s="28" t="s">
        <v>16</v>
      </c>
      <c r="AQ66" s="29" t="s">
        <v>13</v>
      </c>
      <c r="AR66" s="26"/>
      <c r="AS66" s="26"/>
      <c r="AT66" s="27"/>
      <c r="AU66" s="26"/>
      <c r="AV66" s="35"/>
      <c r="AW66" s="28" t="s">
        <v>14</v>
      </c>
      <c r="AX66" s="29" t="s">
        <v>11</v>
      </c>
      <c r="AY66" s="26"/>
      <c r="AZ66" s="26"/>
      <c r="BA66" s="27"/>
      <c r="BB66" s="26"/>
      <c r="BC66" s="28" t="s">
        <v>15</v>
      </c>
      <c r="BD66" s="26"/>
      <c r="BE66" s="26"/>
      <c r="BF66" s="32">
        <v>17</v>
      </c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</row>
    <row r="67" spans="1:94" s="38" customFormat="1" x14ac:dyDescent="0.25">
      <c r="A67" s="25" t="s">
        <v>56</v>
      </c>
      <c r="B67" s="25" t="s">
        <v>289</v>
      </c>
      <c r="C67" s="25" t="s">
        <v>434</v>
      </c>
      <c r="D67" s="25">
        <v>76</v>
      </c>
      <c r="E67" s="34" t="str" cm="1">
        <f t="array" ref="E67">IFERROR(INDEX($J$5:$AVX$5, _xlfn.AGGREGATE(15,6, COLUMN(J67:AVX67)-COLUMN(J67)+1 / (J67:AVX67="T"), F67)), "")</f>
        <v/>
      </c>
      <c r="F67" s="96">
        <f>$A$2</f>
        <v>2</v>
      </c>
      <c r="G67" s="34" cm="1">
        <f t="array" ref="G67">IFERROR(INDEX($J$5:$AVW$5,_xlfn.AGGREGATE(14,6,(COLUMN($J67:$AVW67)-COLUMN($J67)+1)/($J67:$AVW67="T"),1)),"")</f>
        <v>45987</v>
      </c>
      <c r="H67" s="105">
        <f>COUNTIF($J67:$AVV67,"T")</f>
        <v>1</v>
      </c>
      <c r="I67" s="36" t="s">
        <v>10</v>
      </c>
      <c r="J67" s="32"/>
      <c r="K67" s="32"/>
      <c r="L67" s="32"/>
      <c r="M67" s="32"/>
      <c r="N67" s="32"/>
      <c r="O67" s="32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30"/>
      <c r="AE67" s="25"/>
      <c r="AF67" s="25"/>
      <c r="AG67" s="25"/>
      <c r="AH67" s="25"/>
      <c r="AI67" s="25" t="s">
        <v>12</v>
      </c>
      <c r="AJ67" s="26"/>
      <c r="AK67" s="26"/>
      <c r="AL67" s="26"/>
      <c r="AM67" s="27"/>
      <c r="AN67" s="97"/>
      <c r="AO67" s="97"/>
      <c r="AP67" s="99" t="s">
        <v>16</v>
      </c>
      <c r="AQ67" s="100" t="s">
        <v>13</v>
      </c>
      <c r="AR67" s="97"/>
      <c r="AS67" s="97"/>
      <c r="AT67" s="98"/>
      <c r="AU67" s="97"/>
      <c r="AV67" s="97"/>
      <c r="AW67" s="99" t="s">
        <v>14</v>
      </c>
      <c r="AX67" s="100" t="s">
        <v>11</v>
      </c>
      <c r="AY67" s="97"/>
      <c r="AZ67" s="97"/>
      <c r="BA67" s="98"/>
      <c r="BB67" s="97"/>
      <c r="BC67" s="99" t="s">
        <v>15</v>
      </c>
      <c r="BD67" s="97"/>
      <c r="BE67" s="97"/>
      <c r="BF67" s="32">
        <v>17</v>
      </c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</row>
    <row r="68" spans="1:94" s="38" customFormat="1" x14ac:dyDescent="0.25">
      <c r="A68" s="25" t="s">
        <v>8</v>
      </c>
      <c r="B68" s="25" t="s">
        <v>250</v>
      </c>
      <c r="C68" s="25" t="s">
        <v>395</v>
      </c>
      <c r="D68" s="25">
        <v>37</v>
      </c>
      <c r="E68" s="34" t="str" cm="1">
        <f t="array" ref="E68">IFERROR(INDEX($J$5:$AVX$5, _xlfn.AGGREGATE(15,6, COLUMN(J68:AVX68)-COLUMN(J68)+1 / (J68:AVX68="T"), F68)), "")</f>
        <v/>
      </c>
      <c r="F68" s="96">
        <f>$A$2</f>
        <v>2</v>
      </c>
      <c r="G68" s="34" cm="1">
        <f t="array" ref="G68">IFERROR(INDEX($J$5:$AVW$5,_xlfn.AGGREGATE(14,6,(COLUMN($J68:$AVW68)-COLUMN($J68)+1)/($J68:$AVW68="T"),1)),"")</f>
        <v>45986</v>
      </c>
      <c r="H68" s="105">
        <f>COUNTIF($J68:$AVV68,"T")</f>
        <v>1</v>
      </c>
      <c r="I68" s="36" t="s">
        <v>10</v>
      </c>
      <c r="J68" s="32"/>
      <c r="K68" s="32"/>
      <c r="L68" s="32"/>
      <c r="M68" s="32"/>
      <c r="N68" s="32"/>
      <c r="O68" s="32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30"/>
      <c r="AE68" s="25"/>
      <c r="AF68" s="25"/>
      <c r="AG68" s="25"/>
      <c r="AH68" s="25" t="s">
        <v>12</v>
      </c>
      <c r="AI68" s="26"/>
      <c r="AJ68" s="26"/>
      <c r="AK68" s="26"/>
      <c r="AL68" s="27"/>
      <c r="AM68" s="26"/>
      <c r="AN68" s="97"/>
      <c r="AO68" s="99" t="s">
        <v>16</v>
      </c>
      <c r="AP68" s="100" t="s">
        <v>13</v>
      </c>
      <c r="AQ68" s="97"/>
      <c r="AR68" s="97"/>
      <c r="AS68" s="98"/>
      <c r="AT68" s="97"/>
      <c r="AU68" s="97"/>
      <c r="AV68" s="99" t="s">
        <v>14</v>
      </c>
      <c r="AW68" s="100" t="s">
        <v>11</v>
      </c>
      <c r="AX68" s="97"/>
      <c r="AY68" s="97"/>
      <c r="AZ68" s="98"/>
      <c r="BA68" s="97"/>
      <c r="BB68" s="99" t="s">
        <v>15</v>
      </c>
      <c r="BC68" s="97"/>
      <c r="BD68" s="97"/>
      <c r="BE68" s="32">
        <v>17</v>
      </c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</row>
    <row r="69" spans="1:94" s="38" customFormat="1" x14ac:dyDescent="0.25">
      <c r="A69" s="37" t="s">
        <v>8</v>
      </c>
      <c r="B69" s="37" t="s">
        <v>251</v>
      </c>
      <c r="C69" s="25" t="s">
        <v>396</v>
      </c>
      <c r="D69" s="25">
        <v>38</v>
      </c>
      <c r="E69" s="34" t="str" cm="1">
        <f t="array" ref="E69">IFERROR(INDEX($J$5:$AVX$5, _xlfn.AGGREGATE(15,6, COLUMN(J69:AVX69)-COLUMN(J69)+1 / (J69:AVX69="T"), F69)), "")</f>
        <v/>
      </c>
      <c r="F69" s="96">
        <f>$A$2</f>
        <v>2</v>
      </c>
      <c r="G69" s="34" cm="1">
        <f t="array" ref="G69">IFERROR(INDEX($J$5:$AVW$5,_xlfn.AGGREGATE(14,6,(COLUMN($J69:$AVW69)-COLUMN($J69)+1)/($J69:$AVW69="T"),1)),"")</f>
        <v>45986</v>
      </c>
      <c r="H69" s="105">
        <f>COUNTIF($J69:$AVV69,"T")</f>
        <v>1</v>
      </c>
      <c r="I69" s="43" t="s">
        <v>10</v>
      </c>
      <c r="J69" s="32"/>
      <c r="K69" s="32"/>
      <c r="L69" s="32"/>
      <c r="M69" s="32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30"/>
      <c r="AC69" s="25"/>
      <c r="AD69" s="25"/>
      <c r="AE69" s="25"/>
      <c r="AF69" s="25"/>
      <c r="AG69" s="25"/>
      <c r="AH69" s="25" t="s">
        <v>12</v>
      </c>
      <c r="AI69" s="26"/>
      <c r="AJ69" s="26"/>
      <c r="AK69" s="26"/>
      <c r="AL69" s="98"/>
      <c r="AM69" s="97"/>
      <c r="AN69" s="97"/>
      <c r="AO69" s="99" t="s">
        <v>16</v>
      </c>
      <c r="AP69" s="100" t="s">
        <v>13</v>
      </c>
      <c r="AQ69" s="97"/>
      <c r="AR69" s="97"/>
      <c r="AS69" s="98"/>
      <c r="AT69" s="97"/>
      <c r="AU69" s="97"/>
      <c r="AV69" s="99" t="s">
        <v>14</v>
      </c>
      <c r="AW69" s="100" t="s">
        <v>11</v>
      </c>
      <c r="AX69" s="97"/>
      <c r="AY69" s="97"/>
      <c r="AZ69" s="98"/>
      <c r="BA69" s="97"/>
      <c r="BB69" s="99" t="s">
        <v>15</v>
      </c>
      <c r="BC69" s="97"/>
      <c r="BD69" s="97"/>
      <c r="BE69" s="32">
        <v>17</v>
      </c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</row>
    <row r="70" spans="1:94" s="38" customFormat="1" x14ac:dyDescent="0.25">
      <c r="A70" s="44" t="s">
        <v>8</v>
      </c>
      <c r="B70" s="44" t="s">
        <v>252</v>
      </c>
      <c r="C70" s="25" t="s">
        <v>397</v>
      </c>
      <c r="D70" s="25">
        <v>39</v>
      </c>
      <c r="E70" s="34" t="str" cm="1">
        <f t="array" ref="E70">IFERROR(INDEX($J$5:$AVX$5, _xlfn.AGGREGATE(15,6, COLUMN(J70:AVX70)-COLUMN(J70)+1 / (J70:AVX70="T"), F70)), "")</f>
        <v/>
      </c>
      <c r="F70" s="96">
        <f>$A$2</f>
        <v>2</v>
      </c>
      <c r="G70" s="34" cm="1">
        <f t="array" ref="G70">IFERROR(INDEX($J$5:$AVW$5,_xlfn.AGGREGATE(14,6,(COLUMN($J70:$AVW70)-COLUMN($J70)+1)/($J70:$AVW70="T"),1)),"")</f>
        <v>45986</v>
      </c>
      <c r="H70" s="105">
        <f>COUNTIF($J70:$AVV70,"T")</f>
        <v>1</v>
      </c>
      <c r="I70" s="45" t="s">
        <v>10</v>
      </c>
      <c r="J70" s="32"/>
      <c r="K70" s="32"/>
      <c r="L70" s="32"/>
      <c r="M70" s="32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30"/>
      <c r="AE70" s="25"/>
      <c r="AF70" s="25"/>
      <c r="AG70" s="25"/>
      <c r="AH70" s="25" t="s">
        <v>12</v>
      </c>
      <c r="AI70" s="26"/>
      <c r="AJ70" s="26"/>
      <c r="AK70" s="26"/>
      <c r="AL70" s="98"/>
      <c r="AM70" s="97"/>
      <c r="AN70" s="97"/>
      <c r="AO70" s="99" t="s">
        <v>16</v>
      </c>
      <c r="AP70" s="100" t="s">
        <v>13</v>
      </c>
      <c r="AQ70" s="97"/>
      <c r="AR70" s="97"/>
      <c r="AS70" s="98"/>
      <c r="AT70" s="97"/>
      <c r="AU70" s="97"/>
      <c r="AV70" s="99" t="s">
        <v>14</v>
      </c>
      <c r="AW70" s="100" t="s">
        <v>11</v>
      </c>
      <c r="AX70" s="97"/>
      <c r="AY70" s="97"/>
      <c r="AZ70" s="98"/>
      <c r="BA70" s="97"/>
      <c r="BB70" s="99" t="s">
        <v>15</v>
      </c>
      <c r="BC70" s="97"/>
      <c r="BD70" s="97"/>
      <c r="BE70" s="32">
        <v>17</v>
      </c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32"/>
      <c r="CP70" s="32"/>
    </row>
    <row r="71" spans="1:94" x14ac:dyDescent="0.25">
      <c r="A71" s="44" t="s">
        <v>8</v>
      </c>
      <c r="B71" s="44" t="s">
        <v>263</v>
      </c>
      <c r="C71" s="25" t="s">
        <v>408</v>
      </c>
      <c r="D71" s="25">
        <v>50</v>
      </c>
      <c r="E71" s="34" t="str" cm="1">
        <f t="array" ref="E71">IFERROR(INDEX($J$5:$AVX$5, _xlfn.AGGREGATE(15,6, COLUMN(J71:AVX71)-COLUMN(J71)+1 / (J71:AVX71="T"), F71)), "")</f>
        <v/>
      </c>
      <c r="F71" s="96">
        <f>$A$2</f>
        <v>2</v>
      </c>
      <c r="G71" s="34" cm="1">
        <f t="array" ref="G71">IFERROR(INDEX($J$5:$AVW$5,_xlfn.AGGREGATE(14,6,(COLUMN($J71:$AVW71)-COLUMN($J71)+1)/($J71:$AVW71="T"),1)),"")</f>
        <v>45986</v>
      </c>
      <c r="H71" s="105">
        <f>COUNTIF($J71:$AVV71,"T")</f>
        <v>1</v>
      </c>
      <c r="I71" s="43"/>
      <c r="J71" s="32"/>
      <c r="K71" s="32"/>
      <c r="L71" s="32"/>
      <c r="M71" s="32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30"/>
      <c r="AE71" s="25"/>
      <c r="AF71" s="25"/>
      <c r="AG71" s="25"/>
      <c r="AH71" s="25" t="s">
        <v>12</v>
      </c>
      <c r="AI71" s="26"/>
      <c r="AJ71" s="26"/>
      <c r="AK71" s="26"/>
      <c r="AL71" s="98"/>
      <c r="AM71" s="97"/>
      <c r="AN71" s="97"/>
      <c r="AO71" s="99" t="s">
        <v>16</v>
      </c>
      <c r="AP71" s="100" t="s">
        <v>13</v>
      </c>
      <c r="AQ71" s="97"/>
      <c r="AR71" s="97"/>
      <c r="AS71" s="98"/>
      <c r="AT71" s="97"/>
      <c r="AU71" s="97"/>
      <c r="AV71" s="99" t="s">
        <v>14</v>
      </c>
      <c r="AW71" s="100" t="s">
        <v>11</v>
      </c>
      <c r="AX71" s="97"/>
      <c r="AY71" s="97"/>
      <c r="AZ71" s="98"/>
      <c r="BA71" s="97"/>
      <c r="BB71" s="99" t="s">
        <v>15</v>
      </c>
      <c r="BC71" s="97"/>
      <c r="BD71" s="97"/>
      <c r="BE71" s="32">
        <v>17</v>
      </c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32"/>
      <c r="CP71" s="32"/>
    </row>
    <row r="72" spans="1:94" x14ac:dyDescent="0.25">
      <c r="A72" s="44" t="s">
        <v>8</v>
      </c>
      <c r="B72" s="44" t="s">
        <v>264</v>
      </c>
      <c r="C72" s="25" t="s">
        <v>409</v>
      </c>
      <c r="D72" s="25">
        <v>51</v>
      </c>
      <c r="E72" s="34" t="str" cm="1">
        <f t="array" ref="E72">IFERROR(INDEX($J$5:$AVX$5, _xlfn.AGGREGATE(15,6, COLUMN(J72:AVX72)-COLUMN(J72)+1 / (J72:AVX72="T"), F72)), "")</f>
        <v/>
      </c>
      <c r="F72" s="96">
        <f>$A$2</f>
        <v>2</v>
      </c>
      <c r="G72" s="34" cm="1">
        <f t="array" ref="G72">IFERROR(INDEX($J$5:$AVW$5,_xlfn.AGGREGATE(14,6,(COLUMN($J72:$AVW72)-COLUMN($J72)+1)/($J72:$AVW72="T"),1)),"")</f>
        <v>45986</v>
      </c>
      <c r="H72" s="105">
        <f>COUNTIF($J72:$AVV72,"T")</f>
        <v>1</v>
      </c>
      <c r="I72" s="43"/>
      <c r="J72" s="32"/>
      <c r="K72" s="32"/>
      <c r="L72" s="32"/>
      <c r="M72" s="32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30"/>
      <c r="AE72" s="25"/>
      <c r="AF72" s="25"/>
      <c r="AG72" s="25"/>
      <c r="AH72" s="25" t="s">
        <v>12</v>
      </c>
      <c r="AI72" s="26"/>
      <c r="AJ72" s="26"/>
      <c r="AK72" s="26"/>
      <c r="AL72" s="98"/>
      <c r="AM72" s="97"/>
      <c r="AN72" s="97"/>
      <c r="AO72" s="99" t="s">
        <v>16</v>
      </c>
      <c r="AP72" s="100" t="s">
        <v>13</v>
      </c>
      <c r="AQ72" s="97"/>
      <c r="AR72" s="97"/>
      <c r="AS72" s="98"/>
      <c r="AT72" s="97"/>
      <c r="AU72" s="97"/>
      <c r="AV72" s="99" t="s">
        <v>14</v>
      </c>
      <c r="AW72" s="100" t="s">
        <v>11</v>
      </c>
      <c r="AX72" s="97"/>
      <c r="AY72" s="97"/>
      <c r="AZ72" s="98"/>
      <c r="BA72" s="97"/>
      <c r="BB72" s="99" t="s">
        <v>15</v>
      </c>
      <c r="BC72" s="97"/>
      <c r="BD72" s="97"/>
      <c r="BE72" s="32">
        <v>17</v>
      </c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32"/>
      <c r="CP72" s="32"/>
    </row>
    <row r="73" spans="1:94" x14ac:dyDescent="0.25">
      <c r="A73" s="44" t="s">
        <v>8</v>
      </c>
      <c r="B73" s="44" t="s">
        <v>265</v>
      </c>
      <c r="C73" s="25" t="s">
        <v>410</v>
      </c>
      <c r="D73" s="25">
        <v>52</v>
      </c>
      <c r="E73" s="34" t="str" cm="1">
        <f t="array" ref="E73">IFERROR(INDEX($J$5:$AVX$5, _xlfn.AGGREGATE(15,6, COLUMN(J73:AVX73)-COLUMN(J73)+1 / (J73:AVX73="T"), F73)), "")</f>
        <v/>
      </c>
      <c r="F73" s="96">
        <f>$A$2</f>
        <v>2</v>
      </c>
      <c r="G73" s="34" cm="1">
        <f t="array" ref="G73">IFERROR(INDEX($J$5:$AVW$5,_xlfn.AGGREGATE(14,6,(COLUMN($J73:$AVW73)-COLUMN($J73)+1)/($J73:$AVW73="T"),1)),"")</f>
        <v>45986</v>
      </c>
      <c r="H73" s="105">
        <f>COUNTIF($J73:$AVV73,"T")</f>
        <v>1</v>
      </c>
      <c r="I73" s="43"/>
      <c r="J73" s="32"/>
      <c r="K73" s="32"/>
      <c r="L73" s="32"/>
      <c r="M73" s="32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30"/>
      <c r="AE73" s="25"/>
      <c r="AF73" s="25"/>
      <c r="AG73" s="25"/>
      <c r="AH73" s="25" t="s">
        <v>12</v>
      </c>
      <c r="AI73" s="26"/>
      <c r="AJ73" s="26"/>
      <c r="AK73" s="26"/>
      <c r="AL73" s="98"/>
      <c r="AM73" s="97"/>
      <c r="AN73" s="97"/>
      <c r="AO73" s="99" t="s">
        <v>16</v>
      </c>
      <c r="AP73" s="100" t="s">
        <v>13</v>
      </c>
      <c r="AQ73" s="97"/>
      <c r="AR73" s="97"/>
      <c r="AS73" s="98"/>
      <c r="AT73" s="97"/>
      <c r="AU73" s="97"/>
      <c r="AV73" s="99" t="s">
        <v>14</v>
      </c>
      <c r="AW73" s="100" t="s">
        <v>11</v>
      </c>
      <c r="AX73" s="97"/>
      <c r="AY73" s="97"/>
      <c r="AZ73" s="98"/>
      <c r="BA73" s="97"/>
      <c r="BB73" s="99" t="s">
        <v>15</v>
      </c>
      <c r="BC73" s="97"/>
      <c r="BD73" s="97"/>
      <c r="BE73" s="32">
        <v>17</v>
      </c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32"/>
      <c r="CP73" s="32"/>
    </row>
    <row r="74" spans="1:94" x14ac:dyDescent="0.25">
      <c r="A74" s="44" t="s">
        <v>8</v>
      </c>
      <c r="B74" s="44" t="s">
        <v>266</v>
      </c>
      <c r="C74" s="25" t="s">
        <v>411</v>
      </c>
      <c r="D74" s="25">
        <v>53</v>
      </c>
      <c r="E74" s="34" t="str" cm="1">
        <f t="array" ref="E74">IFERROR(INDEX($J$5:$AVX$5, _xlfn.AGGREGATE(15,6, COLUMN(J74:AVX74)-COLUMN(J74)+1 / (J74:AVX74="T"), F74)), "")</f>
        <v/>
      </c>
      <c r="F74" s="96">
        <f>$A$2</f>
        <v>2</v>
      </c>
      <c r="G74" s="34" cm="1">
        <f t="array" ref="G74">IFERROR(INDEX($J$5:$AVW$5,_xlfn.AGGREGATE(14,6,(COLUMN($J74:$AVW74)-COLUMN($J74)+1)/($J74:$AVW74="T"),1)),"")</f>
        <v>45986</v>
      </c>
      <c r="H74" s="105">
        <f>COUNTIF($J74:$AVV74,"T")</f>
        <v>1</v>
      </c>
      <c r="I74" s="43"/>
      <c r="J74" s="32"/>
      <c r="K74" s="32"/>
      <c r="L74" s="32"/>
      <c r="M74" s="32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30"/>
      <c r="AE74" s="25"/>
      <c r="AF74" s="25"/>
      <c r="AG74" s="25"/>
      <c r="AH74" s="25" t="s">
        <v>12</v>
      </c>
      <c r="AI74" s="26"/>
      <c r="AJ74" s="26"/>
      <c r="AK74" s="26"/>
      <c r="AL74" s="98"/>
      <c r="AM74" s="97"/>
      <c r="AN74" s="97"/>
      <c r="AO74" s="99" t="s">
        <v>16</v>
      </c>
      <c r="AP74" s="100" t="s">
        <v>13</v>
      </c>
      <c r="AQ74" s="97"/>
      <c r="AR74" s="97"/>
      <c r="AS74" s="98"/>
      <c r="AT74" s="97"/>
      <c r="AU74" s="97"/>
      <c r="AV74" s="99" t="s">
        <v>14</v>
      </c>
      <c r="AW74" s="100" t="s">
        <v>11</v>
      </c>
      <c r="AX74" s="97"/>
      <c r="AY74" s="97"/>
      <c r="AZ74" s="98"/>
      <c r="BA74" s="97"/>
      <c r="BB74" s="99" t="s">
        <v>15</v>
      </c>
      <c r="BC74" s="97"/>
      <c r="BD74" s="97"/>
      <c r="BE74" s="32">
        <v>17</v>
      </c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32"/>
      <c r="CP74" s="32"/>
    </row>
    <row r="75" spans="1:94" x14ac:dyDescent="0.25">
      <c r="A75" s="25" t="s">
        <v>8</v>
      </c>
      <c r="B75" s="25" t="s">
        <v>228</v>
      </c>
      <c r="C75" s="25" t="s">
        <v>373</v>
      </c>
      <c r="D75" s="25">
        <v>15</v>
      </c>
      <c r="E75" s="34" t="str" cm="1">
        <f t="array" ref="E75">IFERROR(INDEX($J$5:$AVX$5, _xlfn.AGGREGATE(15,6, COLUMN(J75:AVX75)-COLUMN(J75)+1 / (J75:AVX75="T"), F75)), "")</f>
        <v/>
      </c>
      <c r="F75" s="96">
        <f>$A$2</f>
        <v>2</v>
      </c>
      <c r="G75" s="34" cm="1">
        <f t="array" ref="G75">IFERROR(INDEX($J$5:$AVW$5,_xlfn.AGGREGATE(14,6,(COLUMN($J75:$AVW75)-COLUMN($J75)+1)/($J75:$AVW75="T"),1)),"")</f>
        <v>45985</v>
      </c>
      <c r="H75" s="105">
        <f>COUNTIF($J75:$AVV75,"T")</f>
        <v>1</v>
      </c>
      <c r="I75" s="36" t="s">
        <v>10</v>
      </c>
      <c r="J75" s="32"/>
      <c r="K75" s="32"/>
      <c r="L75" s="32"/>
      <c r="M75" s="32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30"/>
      <c r="AE75" s="25"/>
      <c r="AF75" s="25"/>
      <c r="AG75" s="25" t="s">
        <v>12</v>
      </c>
      <c r="AH75" s="26"/>
      <c r="AI75" s="26"/>
      <c r="AJ75" s="26"/>
      <c r="AK75" s="27"/>
      <c r="AL75" s="97"/>
      <c r="AM75" s="97"/>
      <c r="AN75" s="99" t="s">
        <v>16</v>
      </c>
      <c r="AO75" s="100" t="s">
        <v>13</v>
      </c>
      <c r="AP75" s="97"/>
      <c r="AQ75" s="97"/>
      <c r="AR75" s="98"/>
      <c r="AS75" s="97"/>
      <c r="AT75" s="97"/>
      <c r="AU75" s="99" t="s">
        <v>14</v>
      </c>
      <c r="AV75" s="100" t="s">
        <v>11</v>
      </c>
      <c r="AW75" s="97"/>
      <c r="AX75" s="97"/>
      <c r="AY75" s="98"/>
      <c r="AZ75" s="97"/>
      <c r="BA75" s="99" t="s">
        <v>15</v>
      </c>
      <c r="BB75" s="97"/>
      <c r="BC75" s="97"/>
      <c r="BD75" s="32">
        <v>17</v>
      </c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32"/>
      <c r="CP75" s="32"/>
    </row>
    <row r="76" spans="1:94" x14ac:dyDescent="0.25">
      <c r="A76" s="25" t="s">
        <v>8</v>
      </c>
      <c r="B76" s="25" t="s">
        <v>229</v>
      </c>
      <c r="C76" s="25" t="s">
        <v>374</v>
      </c>
      <c r="D76" s="25">
        <v>16</v>
      </c>
      <c r="E76" s="34" t="str" cm="1">
        <f t="array" ref="E76">IFERROR(INDEX($J$5:$AVX$5, _xlfn.AGGREGATE(15,6, COLUMN(J76:AVX76)-COLUMN(J76)+1 / (J76:AVX76="T"), F76)), "")</f>
        <v/>
      </c>
      <c r="F76" s="96">
        <f>$A$2</f>
        <v>2</v>
      </c>
      <c r="G76" s="34" cm="1">
        <f t="array" ref="G76">IFERROR(INDEX($J$5:$AVW$5,_xlfn.AGGREGATE(14,6,(COLUMN($J76:$AVW76)-COLUMN($J76)+1)/($J76:$AVW76="T"),1)),"")</f>
        <v>45985</v>
      </c>
      <c r="H76" s="105">
        <f>COUNTIF($J76:$AVV76,"T")</f>
        <v>1</v>
      </c>
      <c r="I76" s="36" t="s">
        <v>10</v>
      </c>
      <c r="J76" s="32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30"/>
      <c r="Z76" s="25"/>
      <c r="AA76" s="25"/>
      <c r="AB76" s="25"/>
      <c r="AC76" s="25"/>
      <c r="AD76" s="25"/>
      <c r="AE76" s="25"/>
      <c r="AF76" s="25"/>
      <c r="AG76" s="25" t="s">
        <v>12</v>
      </c>
      <c r="AH76" s="26"/>
      <c r="AI76" s="97"/>
      <c r="AJ76" s="97"/>
      <c r="AK76" s="98"/>
      <c r="AL76" s="97"/>
      <c r="AM76" s="97"/>
      <c r="AN76" s="99" t="s">
        <v>16</v>
      </c>
      <c r="AO76" s="100" t="s">
        <v>13</v>
      </c>
      <c r="AP76" s="97"/>
      <c r="AQ76" s="97"/>
      <c r="AR76" s="98"/>
      <c r="AS76" s="97"/>
      <c r="AT76" s="97"/>
      <c r="AU76" s="99" t="s">
        <v>14</v>
      </c>
      <c r="AV76" s="100" t="s">
        <v>11</v>
      </c>
      <c r="AW76" s="97"/>
      <c r="AX76" s="97"/>
      <c r="AY76" s="98"/>
      <c r="AZ76" s="97"/>
      <c r="BA76" s="99" t="s">
        <v>15</v>
      </c>
      <c r="BB76" s="97"/>
      <c r="BC76" s="97"/>
      <c r="BD76" s="32">
        <v>17</v>
      </c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32"/>
      <c r="CP76" s="32"/>
    </row>
    <row r="77" spans="1:94" x14ac:dyDescent="0.25">
      <c r="A77" s="25" t="s">
        <v>8</v>
      </c>
      <c r="B77" s="25" t="s">
        <v>230</v>
      </c>
      <c r="C77" s="25" t="s">
        <v>375</v>
      </c>
      <c r="D77" s="25">
        <v>17</v>
      </c>
      <c r="E77" s="34" t="str" cm="1">
        <f t="array" ref="E77">IFERROR(INDEX($J$5:$AVX$5, _xlfn.AGGREGATE(15,6, COLUMN(J77:AVX77)-COLUMN(J77)+1 / (J77:AVX77="T"), F77)), "")</f>
        <v/>
      </c>
      <c r="F77" s="96">
        <f>$A$2</f>
        <v>2</v>
      </c>
      <c r="G77" s="34" cm="1">
        <f t="array" ref="G77">IFERROR(INDEX($J$5:$AVW$5,_xlfn.AGGREGATE(14,6,(COLUMN($J77:$AVW77)-COLUMN($J77)+1)/($J77:$AVW77="T"),1)),"")</f>
        <v>45985</v>
      </c>
      <c r="H77" s="105">
        <f>COUNTIF($J77:$AVV77,"T")</f>
        <v>1</v>
      </c>
      <c r="I77" s="36" t="s">
        <v>10</v>
      </c>
      <c r="J77" s="32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30"/>
      <c r="AB77" s="25"/>
      <c r="AC77" s="25"/>
      <c r="AD77" s="25"/>
      <c r="AE77" s="25"/>
      <c r="AF77" s="25"/>
      <c r="AG77" s="25" t="s">
        <v>12</v>
      </c>
      <c r="AH77" s="26"/>
      <c r="AI77" s="97"/>
      <c r="AJ77" s="97"/>
      <c r="AK77" s="98"/>
      <c r="AL77" s="97"/>
      <c r="AM77" s="97"/>
      <c r="AN77" s="99" t="s">
        <v>16</v>
      </c>
      <c r="AO77" s="100" t="s">
        <v>13</v>
      </c>
      <c r="AP77" s="97"/>
      <c r="AQ77" s="97"/>
      <c r="AR77" s="98"/>
      <c r="AS77" s="97"/>
      <c r="AT77" s="97"/>
      <c r="AU77" s="99" t="s">
        <v>14</v>
      </c>
      <c r="AV77" s="100" t="s">
        <v>11</v>
      </c>
      <c r="AW77" s="97"/>
      <c r="AX77" s="97"/>
      <c r="AY77" s="98"/>
      <c r="AZ77" s="97"/>
      <c r="BA77" s="99" t="s">
        <v>15</v>
      </c>
      <c r="BB77" s="97"/>
      <c r="BC77" s="97"/>
      <c r="BD77" s="32">
        <v>17</v>
      </c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32"/>
      <c r="CP77" s="32"/>
    </row>
    <row r="78" spans="1:94" x14ac:dyDescent="0.25">
      <c r="A78" s="25" t="s">
        <v>8</v>
      </c>
      <c r="B78" s="25" t="s">
        <v>231</v>
      </c>
      <c r="C78" s="25" t="s">
        <v>376</v>
      </c>
      <c r="D78" s="25">
        <v>18</v>
      </c>
      <c r="E78" s="34" t="str" cm="1">
        <f t="array" ref="E78">IFERROR(INDEX($J$5:$AVX$5, _xlfn.AGGREGATE(15,6, COLUMN(J78:AVX78)-COLUMN(J78)+1 / (J78:AVX78="T"), F78)), "")</f>
        <v/>
      </c>
      <c r="F78" s="96">
        <f>$A$2</f>
        <v>2</v>
      </c>
      <c r="G78" s="34" cm="1">
        <f t="array" ref="G78">IFERROR(INDEX($J$5:$AVW$5,_xlfn.AGGREGATE(14,6,(COLUMN($J78:$AVW78)-COLUMN($J78)+1)/($J78:$AVW78="T"),1)),"")</f>
        <v>45985</v>
      </c>
      <c r="H78" s="105">
        <f>COUNTIF($J78:$AVV78,"T")</f>
        <v>1</v>
      </c>
      <c r="I78" s="36" t="s">
        <v>10</v>
      </c>
      <c r="J78" s="32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30"/>
      <c r="AB78" s="25"/>
      <c r="AC78" s="25"/>
      <c r="AD78" s="25"/>
      <c r="AE78" s="25"/>
      <c r="AF78" s="25"/>
      <c r="AG78" s="25" t="s">
        <v>12</v>
      </c>
      <c r="AH78" s="26"/>
      <c r="AI78" s="97"/>
      <c r="AJ78" s="97"/>
      <c r="AK78" s="98"/>
      <c r="AL78" s="97"/>
      <c r="AM78" s="97"/>
      <c r="AN78" s="99" t="s">
        <v>16</v>
      </c>
      <c r="AO78" s="100" t="s">
        <v>13</v>
      </c>
      <c r="AP78" s="97"/>
      <c r="AQ78" s="97"/>
      <c r="AR78" s="98"/>
      <c r="AS78" s="97"/>
      <c r="AT78" s="97"/>
      <c r="AU78" s="99" t="s">
        <v>14</v>
      </c>
      <c r="AV78" s="100" t="s">
        <v>11</v>
      </c>
      <c r="AW78" s="97"/>
      <c r="AX78" s="97"/>
      <c r="AY78" s="98"/>
      <c r="AZ78" s="97"/>
      <c r="BA78" s="99" t="s">
        <v>15</v>
      </c>
      <c r="BB78" s="97"/>
      <c r="BC78" s="97"/>
      <c r="BD78" s="32">
        <v>17</v>
      </c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32"/>
      <c r="CP78" s="32"/>
    </row>
    <row r="79" spans="1:94" x14ac:dyDescent="0.25">
      <c r="A79" s="25" t="s">
        <v>8</v>
      </c>
      <c r="B79" s="25" t="s">
        <v>232</v>
      </c>
      <c r="C79" s="25" t="s">
        <v>377</v>
      </c>
      <c r="D79" s="25">
        <v>19</v>
      </c>
      <c r="E79" s="34" t="str" cm="1">
        <f t="array" ref="E79">IFERROR(INDEX($J$5:$AVX$5, _xlfn.AGGREGATE(15,6, COLUMN(J79:AVX79)-COLUMN(J79)+1 / (J79:AVX79="T"), F79)), "")</f>
        <v/>
      </c>
      <c r="F79" s="96">
        <f>$A$2</f>
        <v>2</v>
      </c>
      <c r="G79" s="34" cm="1">
        <f t="array" ref="G79">IFERROR(INDEX($J$5:$AVW$5,_xlfn.AGGREGATE(14,6,(COLUMN($J79:$AVW79)-COLUMN($J79)+1)/($J79:$AVW79="T"),1)),"")</f>
        <v>45985</v>
      </c>
      <c r="H79" s="105">
        <f>COUNTIF($J79:$AVV79,"T")</f>
        <v>1</v>
      </c>
      <c r="I79" s="36" t="s">
        <v>10</v>
      </c>
      <c r="J79" s="32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30"/>
      <c r="AB79" s="25"/>
      <c r="AC79" s="25"/>
      <c r="AD79" s="25"/>
      <c r="AE79" s="25"/>
      <c r="AF79" s="25"/>
      <c r="AG79" s="25" t="s">
        <v>12</v>
      </c>
      <c r="AH79" s="26"/>
      <c r="AI79" s="97"/>
      <c r="AJ79" s="97"/>
      <c r="AK79" s="98"/>
      <c r="AL79" s="97"/>
      <c r="AM79" s="97"/>
      <c r="AN79" s="28" t="s">
        <v>16</v>
      </c>
      <c r="AO79" s="29" t="s">
        <v>13</v>
      </c>
      <c r="AP79" s="26"/>
      <c r="AQ79" s="26"/>
      <c r="AR79" s="27"/>
      <c r="AS79" s="26"/>
      <c r="AT79" s="26"/>
      <c r="AU79" s="28" t="s">
        <v>14</v>
      </c>
      <c r="AV79" s="29" t="s">
        <v>11</v>
      </c>
      <c r="AW79" s="26"/>
      <c r="AX79" s="26"/>
      <c r="AY79" s="27"/>
      <c r="AZ79" s="26"/>
      <c r="BA79" s="28" t="s">
        <v>15</v>
      </c>
      <c r="BB79" s="35"/>
      <c r="BC79" s="26"/>
      <c r="BD79" s="25">
        <v>17</v>
      </c>
      <c r="BE79" s="25"/>
      <c r="BF79" s="25"/>
      <c r="BG79" s="25"/>
      <c r="BH79" s="25"/>
      <c r="BI79" s="25"/>
      <c r="BJ79" s="25"/>
      <c r="BK79" s="25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32"/>
      <c r="CP79" s="32"/>
    </row>
    <row r="80" spans="1:94" x14ac:dyDescent="0.25">
      <c r="A80" s="25" t="s">
        <v>8</v>
      </c>
      <c r="B80" s="25" t="s">
        <v>248</v>
      </c>
      <c r="C80" s="25" t="s">
        <v>393</v>
      </c>
      <c r="D80" s="25">
        <v>35</v>
      </c>
      <c r="E80" s="34" t="str" cm="1">
        <f t="array" ref="E80">IFERROR(INDEX($J$5:$AVX$5, _xlfn.AGGREGATE(15,6, COLUMN(J80:AVX80)-COLUMN(J80)+1 / (J80:AVX80="T"), F80)), "")</f>
        <v/>
      </c>
      <c r="F80" s="96">
        <f>$A$2</f>
        <v>2</v>
      </c>
      <c r="G80" s="34" cm="1">
        <f t="array" ref="G80">IFERROR(INDEX($J$5:$AVW$5,_xlfn.AGGREGATE(14,6,(COLUMN($J80:$AVW80)-COLUMN($J80)+1)/($J80:$AVW80="T"),1)),"")</f>
        <v>45985</v>
      </c>
      <c r="H80" s="105">
        <f>COUNTIF($J80:$AVV80,"T")</f>
        <v>1</v>
      </c>
      <c r="I80" s="36" t="s">
        <v>10</v>
      </c>
      <c r="J80" s="32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30"/>
      <c r="AB80" s="25"/>
      <c r="AC80" s="25"/>
      <c r="AD80" s="25"/>
      <c r="AE80" s="25"/>
      <c r="AF80" s="25"/>
      <c r="AG80" s="25" t="s">
        <v>12</v>
      </c>
      <c r="AH80" s="26"/>
      <c r="AI80" s="97"/>
      <c r="AJ80" s="97"/>
      <c r="AK80" s="98"/>
      <c r="AL80" s="97"/>
      <c r="AM80" s="97"/>
      <c r="AN80" s="28" t="s">
        <v>16</v>
      </c>
      <c r="AO80" s="29" t="s">
        <v>13</v>
      </c>
      <c r="AP80" s="26"/>
      <c r="AQ80" s="26"/>
      <c r="AR80" s="27"/>
      <c r="AS80" s="26"/>
      <c r="AT80" s="26"/>
      <c r="AU80" s="28" t="s">
        <v>14</v>
      </c>
      <c r="AV80" s="29" t="s">
        <v>11</v>
      </c>
      <c r="AW80" s="26"/>
      <c r="AX80" s="26"/>
      <c r="AY80" s="27"/>
      <c r="AZ80" s="26"/>
      <c r="BA80" s="28" t="s">
        <v>15</v>
      </c>
      <c r="BB80" s="35"/>
      <c r="BC80" s="26"/>
      <c r="BD80" s="25">
        <v>17</v>
      </c>
      <c r="BE80" s="25"/>
      <c r="BF80" s="25"/>
      <c r="BG80" s="25"/>
      <c r="BH80" s="25"/>
      <c r="BI80" s="25"/>
      <c r="BJ80" s="25"/>
      <c r="BK80" s="25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32"/>
      <c r="CP80" s="32"/>
    </row>
    <row r="81" spans="1:94" x14ac:dyDescent="0.25">
      <c r="A81" s="25" t="s">
        <v>8</v>
      </c>
      <c r="B81" s="25" t="s">
        <v>249</v>
      </c>
      <c r="C81" s="25" t="s">
        <v>394</v>
      </c>
      <c r="D81" s="25">
        <v>36</v>
      </c>
      <c r="E81" s="34" t="str" cm="1">
        <f t="array" ref="E81">IFERROR(INDEX($J$5:$AVX$5, _xlfn.AGGREGATE(15,6, COLUMN(J81:AVX81)-COLUMN(J81)+1 / (J81:AVX81="T"), F81)), "")</f>
        <v/>
      </c>
      <c r="F81" s="96">
        <f>$A$2</f>
        <v>2</v>
      </c>
      <c r="G81" s="34" cm="1">
        <f t="array" ref="G81">IFERROR(INDEX($J$5:$AVW$5,_xlfn.AGGREGATE(14,6,(COLUMN($J81:$AVW81)-COLUMN($J81)+1)/($J81:$AVW81="T"),1)),"")</f>
        <v>45985</v>
      </c>
      <c r="H81" s="105">
        <f>COUNTIF($J81:$AVV81,"T")</f>
        <v>1</v>
      </c>
      <c r="I81" s="36" t="s">
        <v>10</v>
      </c>
      <c r="J81" s="32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30"/>
      <c r="AB81" s="25"/>
      <c r="AC81" s="25"/>
      <c r="AD81" s="25"/>
      <c r="AE81" s="25"/>
      <c r="AF81" s="25"/>
      <c r="AG81" s="25" t="s">
        <v>12</v>
      </c>
      <c r="AH81" s="26"/>
      <c r="AI81" s="97"/>
      <c r="AJ81" s="97"/>
      <c r="AK81" s="98"/>
      <c r="AL81" s="97"/>
      <c r="AM81" s="97"/>
      <c r="AN81" s="28" t="s">
        <v>16</v>
      </c>
      <c r="AO81" s="29" t="s">
        <v>13</v>
      </c>
      <c r="AP81" s="26"/>
      <c r="AQ81" s="26"/>
      <c r="AR81" s="27"/>
      <c r="AS81" s="26"/>
      <c r="AT81" s="26"/>
      <c r="AU81" s="28" t="s">
        <v>14</v>
      </c>
      <c r="AV81" s="29" t="s">
        <v>11</v>
      </c>
      <c r="AW81" s="26"/>
      <c r="AX81" s="26"/>
      <c r="AY81" s="27"/>
      <c r="AZ81" s="26"/>
      <c r="BA81" s="28" t="s">
        <v>15</v>
      </c>
      <c r="BB81" s="35"/>
      <c r="BC81" s="26"/>
      <c r="BD81" s="25">
        <v>17</v>
      </c>
      <c r="BE81" s="25"/>
      <c r="BF81" s="25"/>
      <c r="BG81" s="25"/>
      <c r="BH81" s="25"/>
      <c r="BI81" s="25"/>
      <c r="BJ81" s="25"/>
      <c r="BK81" s="25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32"/>
      <c r="CP81" s="32"/>
    </row>
    <row r="82" spans="1:94" x14ac:dyDescent="0.25">
      <c r="A82" s="25" t="s">
        <v>8</v>
      </c>
      <c r="B82" s="25" t="s">
        <v>241</v>
      </c>
      <c r="C82" s="25" t="s">
        <v>386</v>
      </c>
      <c r="D82" s="25">
        <v>28</v>
      </c>
      <c r="E82" s="34" t="str" cm="1">
        <f t="array" ref="E82">IFERROR(INDEX($J$5:$AVX$5, _xlfn.AGGREGATE(15,6, COLUMN(J82:AVX82)-COLUMN(J82)+1 / (J82:AVX82="T"), F82)), "")</f>
        <v/>
      </c>
      <c r="F82" s="96">
        <f>$A$2</f>
        <v>2</v>
      </c>
      <c r="G82" s="34" cm="1">
        <f t="array" ref="G82">IFERROR(INDEX($J$5:$AVW$5,_xlfn.AGGREGATE(14,6,(COLUMN($J82:$AVW82)-COLUMN($J82)+1)/($J82:$AVW82="T"),1)),"")</f>
        <v>45984</v>
      </c>
      <c r="H82" s="105">
        <f>COUNTIF($J82:$AVV82,"T")</f>
        <v>1</v>
      </c>
      <c r="I82" s="36" t="s">
        <v>10</v>
      </c>
      <c r="J82" s="32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30"/>
      <c r="AB82" s="25"/>
      <c r="AC82" s="25"/>
      <c r="AD82" s="25"/>
      <c r="AE82" s="25"/>
      <c r="AF82" s="25" t="s">
        <v>12</v>
      </c>
      <c r="AG82" s="26"/>
      <c r="AH82" s="26"/>
      <c r="AI82" s="97"/>
      <c r="AJ82" s="98"/>
      <c r="AK82" s="97"/>
      <c r="AL82" s="97"/>
      <c r="AM82" s="99" t="s">
        <v>16</v>
      </c>
      <c r="AN82" s="29" t="s">
        <v>13</v>
      </c>
      <c r="AO82" s="26"/>
      <c r="AP82" s="26"/>
      <c r="AQ82" s="27"/>
      <c r="AR82" s="26"/>
      <c r="AS82" s="26"/>
      <c r="AT82" s="28" t="s">
        <v>14</v>
      </c>
      <c r="AU82" s="29" t="s">
        <v>11</v>
      </c>
      <c r="AV82" s="26"/>
      <c r="AW82" s="26"/>
      <c r="AX82" s="27"/>
      <c r="AY82" s="26"/>
      <c r="AZ82" s="28" t="s">
        <v>15</v>
      </c>
      <c r="BA82" s="26"/>
      <c r="BB82" s="35"/>
      <c r="BC82" s="25">
        <v>17</v>
      </c>
      <c r="BD82" s="25"/>
      <c r="BE82" s="25"/>
      <c r="BF82" s="25"/>
      <c r="BG82" s="25"/>
      <c r="BH82" s="25"/>
      <c r="BI82" s="25"/>
      <c r="BJ82" s="25"/>
      <c r="BK82" s="25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32"/>
      <c r="CP82" s="32"/>
    </row>
    <row r="83" spans="1:94" x14ac:dyDescent="0.25">
      <c r="A83" s="25" t="s">
        <v>8</v>
      </c>
      <c r="B83" s="25" t="s">
        <v>242</v>
      </c>
      <c r="C83" s="25" t="s">
        <v>387</v>
      </c>
      <c r="D83" s="25">
        <v>29</v>
      </c>
      <c r="E83" s="34" t="str" cm="1">
        <f t="array" ref="E83">IFERROR(INDEX($J$5:$AVX$5, _xlfn.AGGREGATE(15,6, COLUMN(J83:AVX83)-COLUMN(J83)+1 / (J83:AVX83="T"), F83)), "")</f>
        <v/>
      </c>
      <c r="F83" s="96">
        <f>$A$2</f>
        <v>2</v>
      </c>
      <c r="G83" s="34" cm="1">
        <f t="array" ref="G83">IFERROR(INDEX($J$5:$AVW$5,_xlfn.AGGREGATE(14,6,(COLUMN($J83:$AVW83)-COLUMN($J83)+1)/($J83:$AVW83="T"),1)),"")</f>
        <v>45984</v>
      </c>
      <c r="H83" s="105">
        <f>COUNTIF($J83:$AVV83,"T")</f>
        <v>1</v>
      </c>
      <c r="I83" s="36" t="s">
        <v>10</v>
      </c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 t="s">
        <v>12</v>
      </c>
      <c r="AG83" s="97"/>
      <c r="AH83" s="97"/>
      <c r="AI83" s="97"/>
      <c r="AJ83" s="27"/>
      <c r="AK83" s="26"/>
      <c r="AL83" s="26"/>
      <c r="AM83" s="28" t="s">
        <v>16</v>
      </c>
      <c r="AN83" s="29" t="s">
        <v>13</v>
      </c>
      <c r="AO83" s="26"/>
      <c r="AP83" s="26"/>
      <c r="AQ83" s="27"/>
      <c r="AR83" s="26"/>
      <c r="AS83" s="26"/>
      <c r="AT83" s="28" t="s">
        <v>14</v>
      </c>
      <c r="AU83" s="29" t="s">
        <v>11</v>
      </c>
      <c r="AV83" s="26"/>
      <c r="AW83" s="26"/>
      <c r="AX83" s="102"/>
      <c r="AY83" s="26"/>
      <c r="AZ83" s="28" t="s">
        <v>15</v>
      </c>
      <c r="BA83" s="26"/>
      <c r="BB83" s="26"/>
      <c r="BC83" s="25">
        <v>17</v>
      </c>
      <c r="BD83" s="25"/>
      <c r="BE83" s="25"/>
      <c r="BF83" s="25"/>
      <c r="BG83" s="25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32"/>
      <c r="CP83" s="32"/>
    </row>
    <row r="84" spans="1:94" x14ac:dyDescent="0.25">
      <c r="A84" s="25" t="s">
        <v>8</v>
      </c>
      <c r="B84" s="25" t="s">
        <v>243</v>
      </c>
      <c r="C84" s="25" t="s">
        <v>388</v>
      </c>
      <c r="D84" s="25">
        <v>30</v>
      </c>
      <c r="E84" s="34" t="str" cm="1">
        <f t="array" ref="E84">IFERROR(INDEX($J$5:$AVX$5, _xlfn.AGGREGATE(15,6, COLUMN(J84:AVX84)-COLUMN(J84)+1 / (J84:AVX84="T"), F84)), "")</f>
        <v/>
      </c>
      <c r="F84" s="96">
        <f>$A$2</f>
        <v>2</v>
      </c>
      <c r="G84" s="34" cm="1">
        <f t="array" ref="G84">IFERROR(INDEX($J$5:$AVW$5,_xlfn.AGGREGATE(14,6,(COLUMN($J84:$AVW84)-COLUMN($J84)+1)/($J84:$AVW84="T"),1)),"")</f>
        <v>45984</v>
      </c>
      <c r="H84" s="105">
        <f>COUNTIF($J84:$AVV84,"T")</f>
        <v>1</v>
      </c>
      <c r="I84" s="36" t="s">
        <v>10</v>
      </c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 t="s">
        <v>12</v>
      </c>
      <c r="AG84" s="97"/>
      <c r="AH84" s="97"/>
      <c r="AI84" s="97"/>
      <c r="AJ84" s="27"/>
      <c r="AK84" s="26"/>
      <c r="AL84" s="26"/>
      <c r="AM84" s="28" t="s">
        <v>16</v>
      </c>
      <c r="AN84" s="29" t="s">
        <v>13</v>
      </c>
      <c r="AO84" s="26"/>
      <c r="AP84" s="26"/>
      <c r="AQ84" s="27"/>
      <c r="AR84" s="26"/>
      <c r="AS84" s="26"/>
      <c r="AT84" s="28" t="s">
        <v>14</v>
      </c>
      <c r="AU84" s="29" t="s">
        <v>11</v>
      </c>
      <c r="AV84" s="26"/>
      <c r="AW84" s="26"/>
      <c r="AX84" s="102"/>
      <c r="AY84" s="26"/>
      <c r="AZ84" s="28" t="s">
        <v>15</v>
      </c>
      <c r="BA84" s="26"/>
      <c r="BB84" s="26"/>
      <c r="BC84" s="25">
        <v>17</v>
      </c>
      <c r="BD84" s="25"/>
      <c r="BE84" s="25"/>
      <c r="BF84" s="25"/>
      <c r="BG84" s="25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32"/>
      <c r="CP84" s="32"/>
    </row>
    <row r="85" spans="1:94" ht="15" customHeight="1" x14ac:dyDescent="0.25">
      <c r="A85" s="25" t="s">
        <v>8</v>
      </c>
      <c r="B85" s="25" t="s">
        <v>244</v>
      </c>
      <c r="C85" s="25" t="s">
        <v>389</v>
      </c>
      <c r="D85" s="25">
        <v>31</v>
      </c>
      <c r="E85" s="34" t="str" cm="1">
        <f t="array" ref="E85">IFERROR(INDEX($J$5:$AVX$5, _xlfn.AGGREGATE(15,6, COLUMN(J85:AVX85)-COLUMN(J85)+1 / (J85:AVX85="T"), F85)), "")</f>
        <v/>
      </c>
      <c r="F85" s="96">
        <f>$A$2</f>
        <v>2</v>
      </c>
      <c r="G85" s="34" cm="1">
        <f t="array" ref="G85">IFERROR(INDEX($J$5:$AVW$5,_xlfn.AGGREGATE(14,6,(COLUMN($J85:$AVW85)-COLUMN($J85)+1)/($J85:$AVW85="T"),1)),"")</f>
        <v>45984</v>
      </c>
      <c r="H85" s="105">
        <f>COUNTIF($J85:$AVV85,"T")</f>
        <v>1</v>
      </c>
      <c r="I85" s="36" t="s">
        <v>10</v>
      </c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 t="s">
        <v>12</v>
      </c>
      <c r="AG85" s="97"/>
      <c r="AH85" s="97"/>
      <c r="AI85" s="97"/>
      <c r="AJ85" s="27"/>
      <c r="AK85" s="26"/>
      <c r="AL85" s="26"/>
      <c r="AM85" s="28" t="s">
        <v>16</v>
      </c>
      <c r="AN85" s="29" t="s">
        <v>13</v>
      </c>
      <c r="AO85" s="26"/>
      <c r="AP85" s="26"/>
      <c r="AQ85" s="27"/>
      <c r="AR85" s="26"/>
      <c r="AS85" s="26"/>
      <c r="AT85" s="28" t="s">
        <v>14</v>
      </c>
      <c r="AU85" s="29" t="s">
        <v>11</v>
      </c>
      <c r="AV85" s="26"/>
      <c r="AW85" s="26"/>
      <c r="AX85" s="102"/>
      <c r="AY85" s="26"/>
      <c r="AZ85" s="28" t="s">
        <v>15</v>
      </c>
      <c r="BA85" s="26"/>
      <c r="BB85" s="26"/>
      <c r="BC85" s="25">
        <v>17</v>
      </c>
      <c r="BD85" s="25"/>
      <c r="BE85" s="25"/>
      <c r="BF85" s="25"/>
      <c r="BG85" s="25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32"/>
      <c r="CP85" s="32"/>
    </row>
    <row r="86" spans="1:94" x14ac:dyDescent="0.25">
      <c r="A86" s="25" t="s">
        <v>8</v>
      </c>
      <c r="B86" s="25" t="s">
        <v>245</v>
      </c>
      <c r="C86" s="25" t="s">
        <v>390</v>
      </c>
      <c r="D86" s="25">
        <v>32</v>
      </c>
      <c r="E86" s="34" t="str" cm="1">
        <f t="array" ref="E86">IFERROR(INDEX($J$5:$AVX$5, _xlfn.AGGREGATE(15,6, COLUMN(J86:AVX86)-COLUMN(J86)+1 / (J86:AVX86="T"), F86)), "")</f>
        <v/>
      </c>
      <c r="F86" s="96">
        <f>$A$2</f>
        <v>2</v>
      </c>
      <c r="G86" s="34" cm="1">
        <f t="array" ref="G86">IFERROR(INDEX($J$5:$AVW$5,_xlfn.AGGREGATE(14,6,(COLUMN($J86:$AVW86)-COLUMN($J86)+1)/($J86:$AVW86="T"),1)),"")</f>
        <v>45984</v>
      </c>
      <c r="H86" s="105">
        <f>COUNTIF($J86:$AVV86,"T")</f>
        <v>1</v>
      </c>
      <c r="I86" s="36" t="s">
        <v>10</v>
      </c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 t="s">
        <v>12</v>
      </c>
      <c r="AG86" s="97"/>
      <c r="AH86" s="97"/>
      <c r="AI86" s="26"/>
      <c r="AJ86" s="27"/>
      <c r="AK86" s="26"/>
      <c r="AL86" s="26"/>
      <c r="AM86" s="28" t="s">
        <v>16</v>
      </c>
      <c r="AN86" s="29" t="s">
        <v>13</v>
      </c>
      <c r="AO86" s="26"/>
      <c r="AP86" s="26"/>
      <c r="AQ86" s="27"/>
      <c r="AR86" s="26"/>
      <c r="AS86" s="26"/>
      <c r="AT86" s="28" t="s">
        <v>14</v>
      </c>
      <c r="AU86" s="29" t="s">
        <v>11</v>
      </c>
      <c r="AV86" s="26"/>
      <c r="AW86" s="35"/>
      <c r="AX86" s="27"/>
      <c r="AY86" s="26"/>
      <c r="AZ86" s="28" t="s">
        <v>15</v>
      </c>
      <c r="BA86" s="26"/>
      <c r="BB86" s="26"/>
      <c r="BC86" s="25">
        <v>17</v>
      </c>
      <c r="BD86" s="25"/>
      <c r="BE86" s="25"/>
      <c r="BF86" s="25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</row>
    <row r="87" spans="1:94" ht="15" customHeight="1" x14ac:dyDescent="0.25">
      <c r="A87" s="25" t="s">
        <v>8</v>
      </c>
      <c r="B87" s="25" t="s">
        <v>246</v>
      </c>
      <c r="C87" s="25" t="s">
        <v>391</v>
      </c>
      <c r="D87" s="25">
        <v>33</v>
      </c>
      <c r="E87" s="34" t="str" cm="1">
        <f t="array" ref="E87">IFERROR(INDEX($J$5:$AVX$5, _xlfn.AGGREGATE(15,6, COLUMN(J87:AVX87)-COLUMN(J87)+1 / (J87:AVX87="T"), F87)), "")</f>
        <v/>
      </c>
      <c r="F87" s="96">
        <f>$A$2</f>
        <v>2</v>
      </c>
      <c r="G87" s="34" cm="1">
        <f t="array" ref="G87">IFERROR(INDEX($J$5:$AVW$5,_xlfn.AGGREGATE(14,6,(COLUMN($J87:$AVW87)-COLUMN($J87)+1)/($J87:$AVW87="T"),1)),"")</f>
        <v>45984</v>
      </c>
      <c r="H87" s="105">
        <f>COUNTIF($J87:$AVV87,"T")</f>
        <v>1</v>
      </c>
      <c r="I87" s="36" t="s">
        <v>10</v>
      </c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 t="s">
        <v>12</v>
      </c>
      <c r="AG87" s="97"/>
      <c r="AH87" s="97"/>
      <c r="AI87" s="26"/>
      <c r="AJ87" s="27"/>
      <c r="AK87" s="26"/>
      <c r="AL87" s="26"/>
      <c r="AM87" s="28" t="s">
        <v>16</v>
      </c>
      <c r="AN87" s="29" t="s">
        <v>13</v>
      </c>
      <c r="AO87" s="26"/>
      <c r="AP87" s="26"/>
      <c r="AQ87" s="27"/>
      <c r="AR87" s="26"/>
      <c r="AS87" s="26"/>
      <c r="AT87" s="28" t="s">
        <v>14</v>
      </c>
      <c r="AU87" s="29" t="s">
        <v>11</v>
      </c>
      <c r="AV87" s="26"/>
      <c r="AW87" s="35"/>
      <c r="AX87" s="27"/>
      <c r="AY87" s="26"/>
      <c r="AZ87" s="28" t="s">
        <v>15</v>
      </c>
      <c r="BA87" s="26"/>
      <c r="BB87" s="26"/>
      <c r="BC87" s="25">
        <v>17</v>
      </c>
      <c r="BD87" s="25"/>
      <c r="BE87" s="25"/>
      <c r="BF87" s="25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32"/>
      <c r="CP87" s="32"/>
    </row>
    <row r="88" spans="1:94" x14ac:dyDescent="0.25">
      <c r="A88" s="25" t="s">
        <v>8</v>
      </c>
      <c r="B88" s="25" t="s">
        <v>247</v>
      </c>
      <c r="C88" s="25" t="s">
        <v>392</v>
      </c>
      <c r="D88" s="25">
        <v>34</v>
      </c>
      <c r="E88" s="34" t="str" cm="1">
        <f t="array" ref="E88">IFERROR(INDEX($J$5:$AVX$5, _xlfn.AGGREGATE(15,6, COLUMN(J88:AVX88)-COLUMN(J88)+1 / (J88:AVX88="T"), F88)), "")</f>
        <v/>
      </c>
      <c r="F88" s="96">
        <f>$A$2</f>
        <v>2</v>
      </c>
      <c r="G88" s="34" cm="1">
        <f t="array" ref="G88">IFERROR(INDEX($J$5:$AVW$5,_xlfn.AGGREGATE(14,6,(COLUMN($J88:$AVW88)-COLUMN($J88)+1)/($J88:$AVW88="T"),1)),"")</f>
        <v>45984</v>
      </c>
      <c r="H88" s="105">
        <f>COUNTIF($J88:$AVV88,"T")</f>
        <v>1</v>
      </c>
      <c r="I88" s="36" t="s">
        <v>10</v>
      </c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 t="s">
        <v>12</v>
      </c>
      <c r="AG88" s="97"/>
      <c r="AH88" s="97"/>
      <c r="AI88" s="26"/>
      <c r="AJ88" s="27"/>
      <c r="AK88" s="26"/>
      <c r="AL88" s="26"/>
      <c r="AM88" s="28" t="s">
        <v>16</v>
      </c>
      <c r="AN88" s="29" t="s">
        <v>13</v>
      </c>
      <c r="AO88" s="26"/>
      <c r="AP88" s="26"/>
      <c r="AQ88" s="27"/>
      <c r="AR88" s="26"/>
      <c r="AS88" s="26"/>
      <c r="AT88" s="28" t="s">
        <v>14</v>
      </c>
      <c r="AU88" s="29" t="s">
        <v>11</v>
      </c>
      <c r="AV88" s="26"/>
      <c r="AW88" s="35"/>
      <c r="AX88" s="27"/>
      <c r="AY88" s="26"/>
      <c r="AZ88" s="28" t="s">
        <v>15</v>
      </c>
      <c r="BA88" s="26"/>
      <c r="BB88" s="26"/>
      <c r="BC88" s="25">
        <v>17</v>
      </c>
      <c r="BD88" s="25"/>
      <c r="BE88" s="25"/>
      <c r="BF88" s="25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32"/>
      <c r="CP88" s="32"/>
    </row>
    <row r="89" spans="1:94" x14ac:dyDescent="0.25">
      <c r="A89" s="25" t="s">
        <v>8</v>
      </c>
      <c r="B89" s="25" t="s">
        <v>221</v>
      </c>
      <c r="C89" s="25" t="s">
        <v>366</v>
      </c>
      <c r="D89" s="25">
        <v>8</v>
      </c>
      <c r="E89" s="34" t="str" cm="1">
        <f t="array" ref="E89">IFERROR(INDEX($J$5:$AVX$5, _xlfn.AGGREGATE(15,6, COLUMN(J89:AVX89)-COLUMN(J89)+1 / (J89:AVX89="T"), F89)), "")</f>
        <v/>
      </c>
      <c r="F89" s="96">
        <f>$A$2</f>
        <v>2</v>
      </c>
      <c r="G89" s="34" cm="1">
        <f t="array" ref="G89">IFERROR(INDEX($J$5:$AVW$5,_xlfn.AGGREGATE(14,6,(COLUMN($J89:$AVW89)-COLUMN($J89)+1)/($J89:$AVW89="T"),1)),"")</f>
        <v>45983</v>
      </c>
      <c r="H89" s="105">
        <f>COUNTIF($J89:$AVV89,"T")</f>
        <v>1</v>
      </c>
      <c r="I89" s="36" t="s">
        <v>10</v>
      </c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 t="s">
        <v>12</v>
      </c>
      <c r="AF89" s="97"/>
      <c r="AG89" s="97"/>
      <c r="AH89" s="97"/>
      <c r="AI89" s="27"/>
      <c r="AJ89" s="26"/>
      <c r="AK89" s="26"/>
      <c r="AL89" s="28" t="s">
        <v>16</v>
      </c>
      <c r="AM89" s="29" t="s">
        <v>13</v>
      </c>
      <c r="AN89" s="26"/>
      <c r="AO89" s="26"/>
      <c r="AP89" s="27"/>
      <c r="AQ89" s="26"/>
      <c r="AR89" s="26"/>
      <c r="AS89" s="28" t="s">
        <v>14</v>
      </c>
      <c r="AT89" s="29" t="s">
        <v>11</v>
      </c>
      <c r="AU89" s="26"/>
      <c r="AV89" s="26"/>
      <c r="AW89" s="102"/>
      <c r="AX89" s="26"/>
      <c r="AY89" s="28" t="s">
        <v>15</v>
      </c>
      <c r="AZ89" s="26"/>
      <c r="BA89" s="26"/>
      <c r="BB89" s="25">
        <v>17</v>
      </c>
      <c r="BC89" s="25"/>
      <c r="BD89" s="25"/>
      <c r="BE89" s="25"/>
      <c r="BF89" s="25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32"/>
      <c r="CP89" s="32"/>
    </row>
    <row r="90" spans="1:94" x14ac:dyDescent="0.25">
      <c r="A90" s="25" t="s">
        <v>8</v>
      </c>
      <c r="B90" s="25" t="s">
        <v>222</v>
      </c>
      <c r="C90" s="25" t="s">
        <v>367</v>
      </c>
      <c r="D90" s="25">
        <v>9</v>
      </c>
      <c r="E90" s="34" t="str" cm="1">
        <f t="array" ref="E90">IFERROR(INDEX($J$5:$AVX$5, _xlfn.AGGREGATE(15,6, COLUMN(J90:AVX90)-COLUMN(J90)+1 / (J90:AVX90="T"), F90)), "")</f>
        <v/>
      </c>
      <c r="F90" s="96">
        <f>$A$2</f>
        <v>2</v>
      </c>
      <c r="G90" s="34" cm="1">
        <f t="array" ref="G90">IFERROR(INDEX($J$5:$AVW$5,_xlfn.AGGREGATE(14,6,(COLUMN($J90:$AVW90)-COLUMN($J90)+1)/($J90:$AVW90="T"),1)),"")</f>
        <v>45983</v>
      </c>
      <c r="H90" s="105">
        <f>COUNTIF($J90:$AVV90,"T")</f>
        <v>1</v>
      </c>
      <c r="I90" s="36" t="s">
        <v>10</v>
      </c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25"/>
      <c r="AC90" s="25"/>
      <c r="AD90" s="25"/>
      <c r="AE90" s="25" t="s">
        <v>12</v>
      </c>
      <c r="AF90" s="26"/>
      <c r="AG90" s="26"/>
      <c r="AH90" s="26"/>
      <c r="AI90" s="27"/>
      <c r="AJ90" s="26"/>
      <c r="AK90" s="26"/>
      <c r="AL90" s="28" t="s">
        <v>16</v>
      </c>
      <c r="AM90" s="29" t="s">
        <v>13</v>
      </c>
      <c r="AN90" s="26"/>
      <c r="AO90" s="26"/>
      <c r="AP90" s="102"/>
      <c r="AQ90" s="26"/>
      <c r="AR90" s="26"/>
      <c r="AS90" s="28" t="s">
        <v>14</v>
      </c>
      <c r="AT90" s="29" t="s">
        <v>11</v>
      </c>
      <c r="AU90" s="26"/>
      <c r="AV90" s="26"/>
      <c r="AW90" s="27"/>
      <c r="AX90" s="26"/>
      <c r="AY90" s="28" t="s">
        <v>15</v>
      </c>
      <c r="AZ90" s="97"/>
      <c r="BA90" s="97"/>
      <c r="BB90" s="32">
        <v>17</v>
      </c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32"/>
      <c r="CP90" s="32"/>
    </row>
    <row r="91" spans="1:94" x14ac:dyDescent="0.25">
      <c r="A91" s="25" t="s">
        <v>8</v>
      </c>
      <c r="B91" s="25" t="s">
        <v>223</v>
      </c>
      <c r="C91" s="25" t="s">
        <v>368</v>
      </c>
      <c r="D91" s="25">
        <v>10</v>
      </c>
      <c r="E91" s="34" t="str" cm="1">
        <f t="array" ref="E91">IFERROR(INDEX($J$5:$AVX$5, _xlfn.AGGREGATE(15,6, COLUMN(J91:AVX91)-COLUMN(J91)+1 / (J91:AVX91="T"), F91)), "")</f>
        <v/>
      </c>
      <c r="F91" s="96">
        <f>$A$2</f>
        <v>2</v>
      </c>
      <c r="G91" s="34" cm="1">
        <f t="array" ref="G91">IFERROR(INDEX($J$5:$AVW$5,_xlfn.AGGREGATE(14,6,(COLUMN($J91:$AVW91)-COLUMN($J91)+1)/($J91:$AVW91="T"),1)),"")</f>
        <v>45983</v>
      </c>
      <c r="H91" s="105">
        <f>COUNTIF($J91:$AVV91,"T")</f>
        <v>1</v>
      </c>
      <c r="I91" s="36" t="s">
        <v>10</v>
      </c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25"/>
      <c r="AC91" s="25"/>
      <c r="AD91" s="25"/>
      <c r="AE91" s="25" t="s">
        <v>12</v>
      </c>
      <c r="AF91" s="26"/>
      <c r="AG91" s="26"/>
      <c r="AH91" s="26"/>
      <c r="AI91" s="27"/>
      <c r="AJ91" s="26"/>
      <c r="AK91" s="26"/>
      <c r="AL91" s="28" t="s">
        <v>16</v>
      </c>
      <c r="AM91" s="29" t="s">
        <v>13</v>
      </c>
      <c r="AN91" s="26"/>
      <c r="AO91" s="26"/>
      <c r="AP91" s="27"/>
      <c r="AQ91" s="26"/>
      <c r="AR91" s="35"/>
      <c r="AS91" s="28" t="s">
        <v>14</v>
      </c>
      <c r="AT91" s="29" t="s">
        <v>11</v>
      </c>
      <c r="AU91" s="26"/>
      <c r="AV91" s="26"/>
      <c r="AW91" s="27"/>
      <c r="AX91" s="26"/>
      <c r="AY91" s="28" t="s">
        <v>15</v>
      </c>
      <c r="AZ91" s="97"/>
      <c r="BA91" s="97"/>
      <c r="BB91" s="32">
        <v>17</v>
      </c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32"/>
      <c r="CP91" s="32"/>
    </row>
    <row r="92" spans="1:94" x14ac:dyDescent="0.25">
      <c r="A92" s="25" t="s">
        <v>8</v>
      </c>
      <c r="B92" s="25" t="s">
        <v>224</v>
      </c>
      <c r="C92" s="25" t="s">
        <v>369</v>
      </c>
      <c r="D92" s="25">
        <v>11</v>
      </c>
      <c r="E92" s="34" t="str" cm="1">
        <f t="array" ref="E92">IFERROR(INDEX($J$5:$AVX$5, _xlfn.AGGREGATE(15,6, COLUMN(J92:AVX92)-COLUMN(J92)+1 / (J92:AVX92="T"), F92)), "")</f>
        <v/>
      </c>
      <c r="F92" s="96">
        <f>$A$2</f>
        <v>2</v>
      </c>
      <c r="G92" s="34" cm="1">
        <f t="array" ref="G92">IFERROR(INDEX($J$5:$AVW$5,_xlfn.AGGREGATE(14,6,(COLUMN($J92:$AVW92)-COLUMN($J92)+1)/($J92:$AVW92="T"),1)),"")</f>
        <v>45983</v>
      </c>
      <c r="H92" s="105">
        <f>COUNTIF($J92:$AVV92,"T")</f>
        <v>1</v>
      </c>
      <c r="I92" s="36" t="s">
        <v>10</v>
      </c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25"/>
      <c r="AC92" s="25"/>
      <c r="AD92" s="25"/>
      <c r="AE92" s="25" t="s">
        <v>12</v>
      </c>
      <c r="AF92" s="26"/>
      <c r="AG92" s="26"/>
      <c r="AH92" s="26"/>
      <c r="AI92" s="27"/>
      <c r="AJ92" s="26"/>
      <c r="AK92" s="26"/>
      <c r="AL92" s="28" t="s">
        <v>16</v>
      </c>
      <c r="AM92" s="29" t="s">
        <v>13</v>
      </c>
      <c r="AN92" s="26"/>
      <c r="AO92" s="26"/>
      <c r="AP92" s="27"/>
      <c r="AQ92" s="26"/>
      <c r="AR92" s="35"/>
      <c r="AS92" s="28" t="s">
        <v>14</v>
      </c>
      <c r="AT92" s="29" t="s">
        <v>11</v>
      </c>
      <c r="AU92" s="26"/>
      <c r="AV92" s="26"/>
      <c r="AW92" s="27"/>
      <c r="AX92" s="26"/>
      <c r="AY92" s="28" t="s">
        <v>15</v>
      </c>
      <c r="AZ92" s="97"/>
      <c r="BA92" s="97"/>
      <c r="BB92" s="32">
        <v>17</v>
      </c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32"/>
      <c r="CP92" s="32"/>
    </row>
    <row r="93" spans="1:94" x14ac:dyDescent="0.25">
      <c r="A93" s="25" t="s">
        <v>8</v>
      </c>
      <c r="B93" s="25" t="s">
        <v>225</v>
      </c>
      <c r="C93" s="25" t="s">
        <v>370</v>
      </c>
      <c r="D93" s="25">
        <v>12</v>
      </c>
      <c r="E93" s="34" t="str" cm="1">
        <f t="array" ref="E93">IFERROR(INDEX($J$5:$AVX$5, _xlfn.AGGREGATE(15,6, COLUMN(J93:AVX93)-COLUMN(J93)+1 / (J93:AVX93="T"), F93)), "")</f>
        <v/>
      </c>
      <c r="F93" s="96">
        <f>$A$2</f>
        <v>2</v>
      </c>
      <c r="G93" s="34" cm="1">
        <f t="array" ref="G93">IFERROR(INDEX($J$5:$AVW$5,_xlfn.AGGREGATE(14,6,(COLUMN($J93:$AVW93)-COLUMN($J93)+1)/($J93:$AVW93="T"),1)),"")</f>
        <v>45983</v>
      </c>
      <c r="H93" s="105">
        <f>COUNTIF($J93:$AVV93,"T")</f>
        <v>1</v>
      </c>
      <c r="I93" s="36" t="s">
        <v>10</v>
      </c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25"/>
      <c r="AC93" s="25"/>
      <c r="AD93" s="25"/>
      <c r="AE93" s="25" t="s">
        <v>12</v>
      </c>
      <c r="AF93" s="26"/>
      <c r="AG93" s="26"/>
      <c r="AH93" s="26"/>
      <c r="AI93" s="27"/>
      <c r="AJ93" s="26"/>
      <c r="AK93" s="26"/>
      <c r="AL93" s="28" t="s">
        <v>16</v>
      </c>
      <c r="AM93" s="29" t="s">
        <v>13</v>
      </c>
      <c r="AN93" s="26"/>
      <c r="AO93" s="26"/>
      <c r="AP93" s="27"/>
      <c r="AQ93" s="26"/>
      <c r="AR93" s="35"/>
      <c r="AS93" s="28" t="s">
        <v>14</v>
      </c>
      <c r="AT93" s="29" t="s">
        <v>11</v>
      </c>
      <c r="AU93" s="26"/>
      <c r="AV93" s="26"/>
      <c r="AW93" s="27"/>
      <c r="AX93" s="26"/>
      <c r="AY93" s="28" t="s">
        <v>15</v>
      </c>
      <c r="AZ93" s="97"/>
      <c r="BA93" s="97"/>
      <c r="BB93" s="32">
        <v>17</v>
      </c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</row>
    <row r="94" spans="1:94" x14ac:dyDescent="0.25">
      <c r="A94" s="25" t="s">
        <v>8</v>
      </c>
      <c r="B94" s="25" t="s">
        <v>226</v>
      </c>
      <c r="C94" s="25" t="s">
        <v>371</v>
      </c>
      <c r="D94" s="25">
        <v>13</v>
      </c>
      <c r="E94" s="34" t="str" cm="1">
        <f t="array" ref="E94">IFERROR(INDEX($J$5:$AVX$5, _xlfn.AGGREGATE(15,6, COLUMN(J94:AVX94)-COLUMN(J94)+1 / (J94:AVX94="T"), F94)), "")</f>
        <v/>
      </c>
      <c r="F94" s="96">
        <f>$A$2</f>
        <v>2</v>
      </c>
      <c r="G94" s="34" cm="1">
        <f t="array" ref="G94">IFERROR(INDEX($J$5:$AVW$5,_xlfn.AGGREGATE(14,6,(COLUMN($J94:$AVW94)-COLUMN($J94)+1)/($J94:$AVW94="T"),1)),"")</f>
        <v>45983</v>
      </c>
      <c r="H94" s="105">
        <f>COUNTIF($J94:$AVV94,"T")</f>
        <v>1</v>
      </c>
      <c r="I94" s="36" t="s">
        <v>10</v>
      </c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25"/>
      <c r="AC94" s="25"/>
      <c r="AD94" s="25"/>
      <c r="AE94" s="25" t="s">
        <v>12</v>
      </c>
      <c r="AF94" s="26"/>
      <c r="AG94" s="26"/>
      <c r="AH94" s="26"/>
      <c r="AI94" s="27"/>
      <c r="AJ94" s="26"/>
      <c r="AK94" s="26"/>
      <c r="AL94" s="28" t="s">
        <v>16</v>
      </c>
      <c r="AM94" s="29" t="s">
        <v>13</v>
      </c>
      <c r="AN94" s="26"/>
      <c r="AO94" s="26"/>
      <c r="AP94" s="27"/>
      <c r="AQ94" s="26"/>
      <c r="AR94" s="35"/>
      <c r="AS94" s="28" t="s">
        <v>14</v>
      </c>
      <c r="AT94" s="29" t="s">
        <v>11</v>
      </c>
      <c r="AU94" s="26"/>
      <c r="AV94" s="26"/>
      <c r="AW94" s="27"/>
      <c r="AX94" s="26"/>
      <c r="AY94" s="28" t="s">
        <v>15</v>
      </c>
      <c r="AZ94" s="97"/>
      <c r="BA94" s="97"/>
      <c r="BB94" s="32">
        <v>17</v>
      </c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32"/>
      <c r="CP94" s="32"/>
    </row>
    <row r="95" spans="1:94" x14ac:dyDescent="0.25">
      <c r="A95" s="25" t="s">
        <v>8</v>
      </c>
      <c r="B95" s="25" t="s">
        <v>227</v>
      </c>
      <c r="C95" s="25" t="s">
        <v>372</v>
      </c>
      <c r="D95" s="25">
        <v>14</v>
      </c>
      <c r="E95" s="34" t="str" cm="1">
        <f t="array" ref="E95">IFERROR(INDEX($J$5:$AVX$5, _xlfn.AGGREGATE(15,6, COLUMN(J95:AVX95)-COLUMN(J95)+1 / (J95:AVX95="T"), F95)), "")</f>
        <v/>
      </c>
      <c r="F95" s="96">
        <f>$A$2</f>
        <v>2</v>
      </c>
      <c r="G95" s="34" cm="1">
        <f t="array" ref="G95">IFERROR(INDEX($J$5:$AVW$5,_xlfn.AGGREGATE(14,6,(COLUMN($J95:$AVW95)-COLUMN($J95)+1)/($J95:$AVW95="T"),1)),"")</f>
        <v>45983</v>
      </c>
      <c r="H95" s="105">
        <f>COUNTIF($J95:$AVV95,"T")</f>
        <v>1</v>
      </c>
      <c r="I95" s="36" t="s">
        <v>10</v>
      </c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25"/>
      <c r="AC95" s="25"/>
      <c r="AD95" s="25"/>
      <c r="AE95" s="25" t="s">
        <v>12</v>
      </c>
      <c r="AF95" s="26"/>
      <c r="AG95" s="26"/>
      <c r="AH95" s="26"/>
      <c r="AI95" s="27"/>
      <c r="AJ95" s="26"/>
      <c r="AK95" s="26"/>
      <c r="AL95" s="28" t="s">
        <v>16</v>
      </c>
      <c r="AM95" s="29" t="s">
        <v>13</v>
      </c>
      <c r="AN95" s="26"/>
      <c r="AO95" s="26"/>
      <c r="AP95" s="27"/>
      <c r="AQ95" s="26"/>
      <c r="AR95" s="35"/>
      <c r="AS95" s="28" t="s">
        <v>14</v>
      </c>
      <c r="AT95" s="29" t="s">
        <v>11</v>
      </c>
      <c r="AU95" s="26"/>
      <c r="AV95" s="26"/>
      <c r="AW95" s="27"/>
      <c r="AX95" s="26"/>
      <c r="AY95" s="28" t="s">
        <v>15</v>
      </c>
      <c r="AZ95" s="97"/>
      <c r="BA95" s="97"/>
      <c r="BB95" s="32">
        <v>17</v>
      </c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32"/>
      <c r="CP95" s="32"/>
    </row>
    <row r="96" spans="1:94" x14ac:dyDescent="0.25">
      <c r="A96" s="25" t="s">
        <v>8</v>
      </c>
      <c r="B96" s="25" t="s">
        <v>234</v>
      </c>
      <c r="C96" s="25" t="s">
        <v>379</v>
      </c>
      <c r="D96" s="25">
        <v>21</v>
      </c>
      <c r="E96" s="34" t="str" cm="1">
        <f t="array" ref="E96">IFERROR(INDEX($J$5:$AVX$5, _xlfn.AGGREGATE(15,6, COLUMN(J96:AVX96)-COLUMN(J96)+1 / (J96:AVX96="T"), F96)), "")</f>
        <v/>
      </c>
      <c r="F96" s="96">
        <f>$A$2</f>
        <v>2</v>
      </c>
      <c r="G96" s="34" cm="1">
        <f t="array" ref="G96">IFERROR(INDEX($J$5:$AVW$5,_xlfn.AGGREGATE(14,6,(COLUMN($J96:$AVW96)-COLUMN($J96)+1)/($J96:$AVW96="T"),1)),"")</f>
        <v>45982</v>
      </c>
      <c r="H96" s="105">
        <f>COUNTIF($J96:$AVV96,"T")</f>
        <v>1</v>
      </c>
      <c r="I96" s="36" t="s">
        <v>10</v>
      </c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25"/>
      <c r="AC96" s="25"/>
      <c r="AD96" s="25" t="s">
        <v>12</v>
      </c>
      <c r="AE96" s="26"/>
      <c r="AF96" s="26"/>
      <c r="AG96" s="26"/>
      <c r="AH96" s="27"/>
      <c r="AI96" s="26"/>
      <c r="AJ96" s="26"/>
      <c r="AK96" s="28" t="s">
        <v>16</v>
      </c>
      <c r="AL96" s="29" t="s">
        <v>13</v>
      </c>
      <c r="AM96" s="26"/>
      <c r="AN96" s="26"/>
      <c r="AO96" s="27"/>
      <c r="AP96" s="26"/>
      <c r="AQ96" s="26"/>
      <c r="AR96" s="31" t="s">
        <v>14</v>
      </c>
      <c r="AS96" s="29" t="s">
        <v>11</v>
      </c>
      <c r="AT96" s="26"/>
      <c r="AU96" s="26"/>
      <c r="AV96" s="27"/>
      <c r="AW96" s="26"/>
      <c r="AX96" s="28" t="s">
        <v>15</v>
      </c>
      <c r="AY96" s="26"/>
      <c r="AZ96" s="97"/>
      <c r="BA96" s="32">
        <v>17</v>
      </c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</row>
    <row r="97" spans="1:94" ht="15" customHeight="1" x14ac:dyDescent="0.25">
      <c r="A97" s="25" t="s">
        <v>8</v>
      </c>
      <c r="B97" s="25" t="s">
        <v>235</v>
      </c>
      <c r="C97" s="25" t="s">
        <v>380</v>
      </c>
      <c r="D97" s="25">
        <v>22</v>
      </c>
      <c r="E97" s="34" t="str" cm="1">
        <f t="array" ref="E97">IFERROR(INDEX($J$5:$AVX$5, _xlfn.AGGREGATE(15,6, COLUMN(J97:AVX97)-COLUMN(J97)+1 / (J97:AVX97="T"), F97)), "")</f>
        <v/>
      </c>
      <c r="F97" s="96">
        <f>$A$2</f>
        <v>2</v>
      </c>
      <c r="G97" s="34" cm="1">
        <f t="array" ref="G97">IFERROR(INDEX($J$5:$AVW$5,_xlfn.AGGREGATE(14,6,(COLUMN($J97:$AVW97)-COLUMN($J97)+1)/($J97:$AVW97="T"),1)),"")</f>
        <v>45982</v>
      </c>
      <c r="H97" s="105">
        <f>COUNTIF($J97:$AVV97,"T")</f>
        <v>1</v>
      </c>
      <c r="I97" s="36" t="s">
        <v>10</v>
      </c>
      <c r="J97" s="32"/>
      <c r="K97" s="32"/>
      <c r="L97" s="32"/>
      <c r="M97" s="32"/>
      <c r="N97" s="32"/>
      <c r="O97" s="32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30" t="s">
        <v>12</v>
      </c>
      <c r="AE97" s="26"/>
      <c r="AF97" s="26"/>
      <c r="AG97" s="26"/>
      <c r="AH97" s="27"/>
      <c r="AI97" s="26"/>
      <c r="AJ97" s="26"/>
      <c r="AK97" s="28" t="s">
        <v>16</v>
      </c>
      <c r="AL97" s="29" t="s">
        <v>13</v>
      </c>
      <c r="AM97" s="26"/>
      <c r="AN97" s="97"/>
      <c r="AO97" s="98"/>
      <c r="AP97" s="97"/>
      <c r="AQ97" s="97"/>
      <c r="AR97" s="99" t="s">
        <v>14</v>
      </c>
      <c r="AS97" s="100" t="s">
        <v>11</v>
      </c>
      <c r="AT97" s="97"/>
      <c r="AU97" s="97"/>
      <c r="AV97" s="98"/>
      <c r="AW97" s="97"/>
      <c r="AX97" s="99" t="s">
        <v>15</v>
      </c>
      <c r="AY97" s="97"/>
      <c r="AZ97" s="97"/>
      <c r="BA97" s="32">
        <v>17</v>
      </c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</row>
    <row r="98" spans="1:94" x14ac:dyDescent="0.25">
      <c r="A98" s="25" t="s">
        <v>8</v>
      </c>
      <c r="B98" s="25" t="s">
        <v>236</v>
      </c>
      <c r="C98" s="25" t="s">
        <v>381</v>
      </c>
      <c r="D98" s="25">
        <v>23</v>
      </c>
      <c r="E98" s="34" t="str" cm="1">
        <f t="array" ref="E98">IFERROR(INDEX($J$5:$AVX$5, _xlfn.AGGREGATE(15,6, COLUMN(J98:AVX98)-COLUMN(J98)+1 / (J98:AVX98="T"), F98)), "")</f>
        <v/>
      </c>
      <c r="F98" s="96">
        <f>$A$2</f>
        <v>2</v>
      </c>
      <c r="G98" s="34" cm="1">
        <f t="array" ref="G98">IFERROR(INDEX($J$5:$AVW$5,_xlfn.AGGREGATE(14,6,(COLUMN($J98:$AVW98)-COLUMN($J98)+1)/($J98:$AVW98="T"),1)),"")</f>
        <v>45982</v>
      </c>
      <c r="H98" s="105">
        <f>COUNTIF($J98:$AVV98,"T")</f>
        <v>1</v>
      </c>
      <c r="I98" s="36" t="s">
        <v>10</v>
      </c>
      <c r="J98" s="32"/>
      <c r="K98" s="32"/>
      <c r="L98" s="32"/>
      <c r="M98" s="32"/>
      <c r="N98" s="32"/>
      <c r="O98" s="32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30" t="s">
        <v>12</v>
      </c>
      <c r="AE98" s="26"/>
      <c r="AF98" s="26"/>
      <c r="AG98" s="26"/>
      <c r="AH98" s="27"/>
      <c r="AI98" s="26"/>
      <c r="AJ98" s="26"/>
      <c r="AK98" s="28" t="s">
        <v>16</v>
      </c>
      <c r="AL98" s="29" t="s">
        <v>13</v>
      </c>
      <c r="AM98" s="26"/>
      <c r="AN98" s="97"/>
      <c r="AO98" s="98"/>
      <c r="AP98" s="97"/>
      <c r="AQ98" s="97"/>
      <c r="AR98" s="99" t="s">
        <v>14</v>
      </c>
      <c r="AS98" s="100" t="s">
        <v>11</v>
      </c>
      <c r="AT98" s="97"/>
      <c r="AU98" s="97"/>
      <c r="AV98" s="98"/>
      <c r="AW98" s="97"/>
      <c r="AX98" s="99" t="s">
        <v>15</v>
      </c>
      <c r="AY98" s="97"/>
      <c r="AZ98" s="97"/>
      <c r="BA98" s="32">
        <v>17</v>
      </c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</row>
    <row r="99" spans="1:94" x14ac:dyDescent="0.25">
      <c r="A99" s="25" t="s">
        <v>8</v>
      </c>
      <c r="B99" s="25" t="s">
        <v>237</v>
      </c>
      <c r="C99" s="25" t="s">
        <v>382</v>
      </c>
      <c r="D99" s="25">
        <v>24</v>
      </c>
      <c r="E99" s="34" t="str" cm="1">
        <f t="array" ref="E99">IFERROR(INDEX($J$5:$AVX$5, _xlfn.AGGREGATE(15,6, COLUMN(J99:AVX99)-COLUMN(J99)+1 / (J99:AVX99="T"), F99)), "")</f>
        <v/>
      </c>
      <c r="F99" s="96">
        <f>$A$2</f>
        <v>2</v>
      </c>
      <c r="G99" s="34" cm="1">
        <f t="array" ref="G99">IFERROR(INDEX($J$5:$AVW$5,_xlfn.AGGREGATE(14,6,(COLUMN($J99:$AVW99)-COLUMN($J99)+1)/($J99:$AVW99="T"),1)),"")</f>
        <v>45982</v>
      </c>
      <c r="H99" s="105">
        <f>COUNTIF($J99:$AVV99,"T")</f>
        <v>1</v>
      </c>
      <c r="I99" s="36" t="s">
        <v>10</v>
      </c>
      <c r="J99" s="32"/>
      <c r="K99" s="32"/>
      <c r="L99" s="32"/>
      <c r="M99" s="32"/>
      <c r="N99" s="32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30"/>
      <c r="AD99" s="25" t="s">
        <v>12</v>
      </c>
      <c r="AE99" s="26"/>
      <c r="AF99" s="26"/>
      <c r="AG99" s="26"/>
      <c r="AH99" s="27"/>
      <c r="AI99" s="26"/>
      <c r="AJ99" s="26"/>
      <c r="AK99" s="28" t="s">
        <v>16</v>
      </c>
      <c r="AL99" s="29" t="s">
        <v>13</v>
      </c>
      <c r="AM99" s="97"/>
      <c r="AN99" s="97"/>
      <c r="AO99" s="98"/>
      <c r="AP99" s="97"/>
      <c r="AQ99" s="97"/>
      <c r="AR99" s="99" t="s">
        <v>14</v>
      </c>
      <c r="AS99" s="100" t="s">
        <v>11</v>
      </c>
      <c r="AT99" s="97"/>
      <c r="AU99" s="97"/>
      <c r="AV99" s="98"/>
      <c r="AW99" s="97"/>
      <c r="AX99" s="99" t="s">
        <v>15</v>
      </c>
      <c r="AY99" s="97"/>
      <c r="AZ99" s="97"/>
      <c r="BA99" s="32">
        <v>17</v>
      </c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</row>
    <row r="100" spans="1:94" x14ac:dyDescent="0.25">
      <c r="A100" s="25" t="s">
        <v>8</v>
      </c>
      <c r="B100" s="25" t="s">
        <v>238</v>
      </c>
      <c r="C100" s="25" t="s">
        <v>383</v>
      </c>
      <c r="D100" s="25">
        <v>25</v>
      </c>
      <c r="E100" s="34" t="str" cm="1">
        <f t="array" ref="E100">IFERROR(INDEX($J$5:$AVX$5, _xlfn.AGGREGATE(15,6, COLUMN(J100:AVX100)-COLUMN(J100)+1 / (J100:AVX100="T"), F100)), "")</f>
        <v/>
      </c>
      <c r="F100" s="96">
        <f>$A$2</f>
        <v>2</v>
      </c>
      <c r="G100" s="34" cm="1">
        <f t="array" ref="G100">IFERROR(INDEX($J$5:$AVW$5,_xlfn.AGGREGATE(14,6,(COLUMN($J100:$AVW100)-COLUMN($J100)+1)/($J100:$AVW100="T"),1)),"")</f>
        <v>45982</v>
      </c>
      <c r="H100" s="105">
        <f>COUNTIF($J100:$AVV100,"T")</f>
        <v>1</v>
      </c>
      <c r="I100" s="36" t="s">
        <v>10</v>
      </c>
      <c r="J100" s="32"/>
      <c r="K100" s="32"/>
      <c r="L100" s="32"/>
      <c r="M100" s="32"/>
      <c r="N100" s="32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 t="s">
        <v>12</v>
      </c>
      <c r="AE100" s="35"/>
      <c r="AF100" s="26"/>
      <c r="AG100" s="26"/>
      <c r="AH100" s="27"/>
      <c r="AI100" s="26"/>
      <c r="AJ100" s="26"/>
      <c r="AK100" s="28" t="s">
        <v>16</v>
      </c>
      <c r="AL100" s="29" t="s">
        <v>13</v>
      </c>
      <c r="AM100" s="97"/>
      <c r="AN100" s="97"/>
      <c r="AO100" s="98"/>
      <c r="AP100" s="97"/>
      <c r="AQ100" s="97"/>
      <c r="AR100" s="99" t="s">
        <v>14</v>
      </c>
      <c r="AS100" s="100" t="s">
        <v>11</v>
      </c>
      <c r="AT100" s="97"/>
      <c r="AU100" s="97"/>
      <c r="AV100" s="98"/>
      <c r="AW100" s="97"/>
      <c r="AX100" s="99" t="s">
        <v>15</v>
      </c>
      <c r="AY100" s="97"/>
      <c r="AZ100" s="97"/>
      <c r="BA100" s="32">
        <v>17</v>
      </c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</row>
    <row r="101" spans="1:94" x14ac:dyDescent="0.25">
      <c r="A101" s="25" t="s">
        <v>8</v>
      </c>
      <c r="B101" s="25" t="s">
        <v>239</v>
      </c>
      <c r="C101" s="25" t="s">
        <v>384</v>
      </c>
      <c r="D101" s="25">
        <v>26</v>
      </c>
      <c r="E101" s="34" t="str" cm="1">
        <f t="array" ref="E101">IFERROR(INDEX($J$5:$AVX$5, _xlfn.AGGREGATE(15,6, COLUMN(J101:AVX101)-COLUMN(J101)+1 / (J101:AVX101="T"), F101)), "")</f>
        <v/>
      </c>
      <c r="F101" s="96">
        <f>$A$2</f>
        <v>2</v>
      </c>
      <c r="G101" s="34" cm="1">
        <f t="array" ref="G101">IFERROR(INDEX($J$5:$AVW$5,_xlfn.AGGREGATE(14,6,(COLUMN($J101:$AVW101)-COLUMN($J101)+1)/($J101:$AVW101="T"),1)),"")</f>
        <v>45982</v>
      </c>
      <c r="H101" s="105">
        <f>COUNTIF($J101:$AVV101,"T")</f>
        <v>1</v>
      </c>
      <c r="I101" s="36" t="s">
        <v>10</v>
      </c>
      <c r="J101" s="32"/>
      <c r="K101" s="32"/>
      <c r="L101" s="32"/>
      <c r="M101" s="32"/>
      <c r="N101" s="32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 t="s">
        <v>12</v>
      </c>
      <c r="AE101" s="35"/>
      <c r="AF101" s="26"/>
      <c r="AG101" s="26"/>
      <c r="AH101" s="27"/>
      <c r="AI101" s="26"/>
      <c r="AJ101" s="26"/>
      <c r="AK101" s="28" t="s">
        <v>16</v>
      </c>
      <c r="AL101" s="29" t="s">
        <v>13</v>
      </c>
      <c r="AM101" s="97"/>
      <c r="AN101" s="97"/>
      <c r="AO101" s="98"/>
      <c r="AP101" s="97"/>
      <c r="AQ101" s="97"/>
      <c r="AR101" s="99" t="s">
        <v>14</v>
      </c>
      <c r="AS101" s="100" t="s">
        <v>11</v>
      </c>
      <c r="AT101" s="97"/>
      <c r="AU101" s="97"/>
      <c r="AV101" s="98"/>
      <c r="AW101" s="97"/>
      <c r="AX101" s="99" t="s">
        <v>15</v>
      </c>
      <c r="AY101" s="97"/>
      <c r="AZ101" s="97"/>
      <c r="BA101" s="32">
        <v>17</v>
      </c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</row>
    <row r="102" spans="1:94" x14ac:dyDescent="0.25">
      <c r="A102" s="25" t="s">
        <v>8</v>
      </c>
      <c r="B102" s="25" t="s">
        <v>240</v>
      </c>
      <c r="C102" s="25" t="s">
        <v>385</v>
      </c>
      <c r="D102" s="25">
        <v>27</v>
      </c>
      <c r="E102" s="34" t="str" cm="1">
        <f t="array" ref="E102">IFERROR(INDEX($J$5:$AVX$5, _xlfn.AGGREGATE(15,6, COLUMN(J102:AVX102)-COLUMN(J102)+1 / (J102:AVX102="T"), F102)), "")</f>
        <v/>
      </c>
      <c r="F102" s="96">
        <f>$A$2</f>
        <v>2</v>
      </c>
      <c r="G102" s="34" cm="1">
        <f t="array" ref="G102">IFERROR(INDEX($J$5:$AVW$5,_xlfn.AGGREGATE(14,6,(COLUMN($J102:$AVW102)-COLUMN($J102)+1)/($J102:$AVW102="T"),1)),"")</f>
        <v>45982</v>
      </c>
      <c r="H102" s="105">
        <f>COUNTIF($J102:$AVV102,"T")</f>
        <v>1</v>
      </c>
      <c r="I102" s="36" t="s">
        <v>10</v>
      </c>
      <c r="J102" s="32"/>
      <c r="K102" s="32"/>
      <c r="L102" s="32"/>
      <c r="M102" s="32"/>
      <c r="N102" s="32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 t="s">
        <v>12</v>
      </c>
      <c r="AE102" s="35"/>
      <c r="AF102" s="26"/>
      <c r="AG102" s="26"/>
      <c r="AH102" s="27"/>
      <c r="AI102" s="26"/>
      <c r="AJ102" s="26"/>
      <c r="AK102" s="28" t="s">
        <v>16</v>
      </c>
      <c r="AL102" s="29" t="s">
        <v>13</v>
      </c>
      <c r="AM102" s="97"/>
      <c r="AN102" s="97"/>
      <c r="AO102" s="98"/>
      <c r="AP102" s="97"/>
      <c r="AQ102" s="97"/>
      <c r="AR102" s="99" t="s">
        <v>14</v>
      </c>
      <c r="AS102" s="100" t="s">
        <v>11</v>
      </c>
      <c r="AT102" s="97"/>
      <c r="AU102" s="97"/>
      <c r="AV102" s="98"/>
      <c r="AW102" s="97"/>
      <c r="AX102" s="99" t="s">
        <v>15</v>
      </c>
      <c r="AY102" s="97"/>
      <c r="AZ102" s="97"/>
      <c r="BA102" s="32">
        <v>17</v>
      </c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</row>
    <row r="103" spans="1:94" x14ac:dyDescent="0.25">
      <c r="A103" s="25" t="s">
        <v>8</v>
      </c>
      <c r="B103" s="25" t="s">
        <v>214</v>
      </c>
      <c r="C103" s="25" t="s">
        <v>359</v>
      </c>
      <c r="D103" s="25">
        <v>1</v>
      </c>
      <c r="E103" s="34" t="str" cm="1">
        <f t="array" ref="E103">IFERROR(INDEX($J$5:$AVX$5, _xlfn.AGGREGATE(15,6, COLUMN(J103:AVX103)-COLUMN(J103)+1 / (J103:AVX103="T"), F103)), "")</f>
        <v/>
      </c>
      <c r="F103" s="96">
        <f>$A$2</f>
        <v>2</v>
      </c>
      <c r="G103" s="34" cm="1">
        <f t="array" ref="G103">IFERROR(INDEX($J$5:$AVW$5,_xlfn.AGGREGATE(14,6,(COLUMN($J103:$AVW103)-COLUMN($J103)+1)/($J103:$AVW103="T"),1)),"")</f>
        <v>45981</v>
      </c>
      <c r="H103" s="105">
        <f>COUNTIF($J103:$AVV103,"T")</f>
        <v>1</v>
      </c>
      <c r="I103" s="36" t="s">
        <v>10</v>
      </c>
      <c r="J103" s="32"/>
      <c r="K103" s="32"/>
      <c r="L103" s="32"/>
      <c r="M103" s="32"/>
      <c r="N103" s="32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 t="s">
        <v>12</v>
      </c>
      <c r="AD103" s="26"/>
      <c r="AE103" s="35"/>
      <c r="AF103" s="26"/>
      <c r="AG103" s="27"/>
      <c r="AH103" s="26"/>
      <c r="AI103" s="26"/>
      <c r="AJ103" s="28" t="s">
        <v>16</v>
      </c>
      <c r="AK103" s="29" t="s">
        <v>13</v>
      </c>
      <c r="AL103" s="26"/>
      <c r="AM103" s="97"/>
      <c r="AN103" s="98"/>
      <c r="AO103" s="97"/>
      <c r="AP103" s="97"/>
      <c r="AQ103" s="99" t="s">
        <v>14</v>
      </c>
      <c r="AR103" s="100" t="s">
        <v>11</v>
      </c>
      <c r="AS103" s="97"/>
      <c r="AT103" s="97"/>
      <c r="AU103" s="98"/>
      <c r="AV103" s="97"/>
      <c r="AW103" s="99" t="s">
        <v>15</v>
      </c>
      <c r="AX103" s="97"/>
      <c r="AY103" s="97"/>
      <c r="AZ103" s="32">
        <v>17</v>
      </c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</row>
    <row r="104" spans="1:94" x14ac:dyDescent="0.25">
      <c r="A104" s="25" t="s">
        <v>8</v>
      </c>
      <c r="B104" s="25" t="s">
        <v>215</v>
      </c>
      <c r="C104" s="25" t="s">
        <v>360</v>
      </c>
      <c r="D104" s="25">
        <v>2</v>
      </c>
      <c r="E104" s="34" t="str" cm="1">
        <f t="array" ref="E104">IFERROR(INDEX($J$5:$AVX$5, _xlfn.AGGREGATE(15,6, COLUMN(J104:AVX104)-COLUMN(J104)+1 / (J104:AVX104="T"), F104)), "")</f>
        <v/>
      </c>
      <c r="F104" s="96">
        <f>$A$2</f>
        <v>2</v>
      </c>
      <c r="G104" s="34" cm="1">
        <f t="array" ref="G104">IFERROR(INDEX($J$5:$AVW$5,_xlfn.AGGREGATE(14,6,(COLUMN($J104:$AVW104)-COLUMN($J104)+1)/($J104:$AVW104="T"),1)),"")</f>
        <v>45981</v>
      </c>
      <c r="H104" s="105">
        <f>COUNTIF($J104:$AVV104,"T")</f>
        <v>1</v>
      </c>
      <c r="I104" s="36" t="s">
        <v>10</v>
      </c>
      <c r="J104" s="32"/>
      <c r="K104" s="32"/>
      <c r="L104" s="32"/>
      <c r="M104" s="32"/>
      <c r="N104" s="32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 t="s">
        <v>12</v>
      </c>
      <c r="AD104" s="26"/>
      <c r="AE104" s="35"/>
      <c r="AF104" s="26"/>
      <c r="AG104" s="27"/>
      <c r="AH104" s="26"/>
      <c r="AI104" s="26"/>
      <c r="AJ104" s="28" t="s">
        <v>16</v>
      </c>
      <c r="AK104" s="29" t="s">
        <v>13</v>
      </c>
      <c r="AL104" s="26"/>
      <c r="AM104" s="97"/>
      <c r="AN104" s="98"/>
      <c r="AO104" s="97"/>
      <c r="AP104" s="97"/>
      <c r="AQ104" s="99" t="s">
        <v>14</v>
      </c>
      <c r="AR104" s="100" t="s">
        <v>11</v>
      </c>
      <c r="AS104" s="97"/>
      <c r="AT104" s="97"/>
      <c r="AU104" s="98"/>
      <c r="AV104" s="97"/>
      <c r="AW104" s="99" t="s">
        <v>15</v>
      </c>
      <c r="AX104" s="97"/>
      <c r="AY104" s="97"/>
      <c r="AZ104" s="32">
        <v>17</v>
      </c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</row>
    <row r="105" spans="1:94" x14ac:dyDescent="0.25">
      <c r="A105" s="25" t="s">
        <v>8</v>
      </c>
      <c r="B105" s="25" t="s">
        <v>216</v>
      </c>
      <c r="C105" s="25" t="s">
        <v>361</v>
      </c>
      <c r="D105" s="25">
        <v>3</v>
      </c>
      <c r="E105" s="34" t="str" cm="1">
        <f t="array" ref="E105">IFERROR(INDEX($J$5:$AVX$5, _xlfn.AGGREGATE(15,6, COLUMN(J105:AVX105)-COLUMN(J105)+1 / (J105:AVX105="T"), F105)), "")</f>
        <v/>
      </c>
      <c r="F105" s="96">
        <f>$A$2</f>
        <v>2</v>
      </c>
      <c r="G105" s="34" cm="1">
        <f t="array" ref="G105">IFERROR(INDEX($J$5:$AVW$5,_xlfn.AGGREGATE(14,6,(COLUMN($J105:$AVW105)-COLUMN($J105)+1)/($J105:$AVW105="T"),1)),"")</f>
        <v>45981</v>
      </c>
      <c r="H105" s="105">
        <f>COUNTIF($J105:$AVV105,"T")</f>
        <v>1</v>
      </c>
      <c r="I105" s="36" t="s">
        <v>10</v>
      </c>
      <c r="J105" s="32"/>
      <c r="K105" s="32"/>
      <c r="L105" s="32"/>
      <c r="M105" s="32"/>
      <c r="N105" s="32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 t="s">
        <v>12</v>
      </c>
      <c r="AD105" s="26"/>
      <c r="AE105" s="35"/>
      <c r="AF105" s="26"/>
      <c r="AG105" s="27"/>
      <c r="AH105" s="26"/>
      <c r="AI105" s="26"/>
      <c r="AJ105" s="28" t="s">
        <v>16</v>
      </c>
      <c r="AK105" s="29" t="s">
        <v>13</v>
      </c>
      <c r="AL105" s="26"/>
      <c r="AM105" s="97"/>
      <c r="AN105" s="98"/>
      <c r="AO105" s="97"/>
      <c r="AP105" s="97"/>
      <c r="AQ105" s="99" t="s">
        <v>14</v>
      </c>
      <c r="AR105" s="100" t="s">
        <v>11</v>
      </c>
      <c r="AS105" s="97"/>
      <c r="AT105" s="97"/>
      <c r="AU105" s="98"/>
      <c r="AV105" s="97"/>
      <c r="AW105" s="99" t="s">
        <v>15</v>
      </c>
      <c r="AX105" s="97"/>
      <c r="AY105" s="97"/>
      <c r="AZ105" s="32">
        <v>17</v>
      </c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</row>
    <row r="106" spans="1:94" x14ac:dyDescent="0.25">
      <c r="A106" s="25" t="s">
        <v>8</v>
      </c>
      <c r="B106" s="25" t="s">
        <v>217</v>
      </c>
      <c r="C106" s="25" t="s">
        <v>362</v>
      </c>
      <c r="D106" s="25">
        <v>4</v>
      </c>
      <c r="E106" s="34" t="str" cm="1">
        <f t="array" ref="E106">IFERROR(INDEX($J$5:$AVX$5, _xlfn.AGGREGATE(15,6, COLUMN(J106:AVX106)-COLUMN(J106)+1 / (J106:AVX106="T"), F106)), "")</f>
        <v/>
      </c>
      <c r="F106" s="96">
        <f>$A$2</f>
        <v>2</v>
      </c>
      <c r="G106" s="34" cm="1">
        <f t="array" ref="G106">IFERROR(INDEX($J$5:$AVW$5,_xlfn.AGGREGATE(14,6,(COLUMN($J106:$AVW106)-COLUMN($J106)+1)/($J106:$AVW106="T"),1)),"")</f>
        <v>45981</v>
      </c>
      <c r="H106" s="105">
        <f>COUNTIF($J106:$AVV106,"T")</f>
        <v>1</v>
      </c>
      <c r="I106" s="36" t="s">
        <v>10</v>
      </c>
      <c r="J106" s="32"/>
      <c r="K106" s="32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30"/>
      <c r="AA106" s="25"/>
      <c r="AB106" s="25"/>
      <c r="AC106" s="25" t="s">
        <v>12</v>
      </c>
      <c r="AD106" s="26"/>
      <c r="AE106" s="26"/>
      <c r="AF106" s="26"/>
      <c r="AG106" s="27"/>
      <c r="AH106" s="26"/>
      <c r="AI106" s="26"/>
      <c r="AJ106" s="99" t="s">
        <v>16</v>
      </c>
      <c r="AK106" s="100" t="s">
        <v>13</v>
      </c>
      <c r="AL106" s="97"/>
      <c r="AM106" s="97"/>
      <c r="AN106" s="98"/>
      <c r="AO106" s="97"/>
      <c r="AP106" s="97"/>
      <c r="AQ106" s="99" t="s">
        <v>14</v>
      </c>
      <c r="AR106" s="100" t="s">
        <v>11</v>
      </c>
      <c r="AS106" s="97"/>
      <c r="AT106" s="97"/>
      <c r="AU106" s="98"/>
      <c r="AV106" s="97"/>
      <c r="AW106" s="99" t="s">
        <v>15</v>
      </c>
      <c r="AX106" s="97"/>
      <c r="AY106" s="97"/>
      <c r="AZ106" s="32">
        <v>17</v>
      </c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32"/>
      <c r="CP106" s="32"/>
    </row>
    <row r="107" spans="1:94" s="47" customFormat="1" x14ac:dyDescent="0.25">
      <c r="A107" s="25" t="s">
        <v>8</v>
      </c>
      <c r="B107" s="25" t="s">
        <v>218</v>
      </c>
      <c r="C107" s="25" t="s">
        <v>363</v>
      </c>
      <c r="D107" s="25">
        <v>5</v>
      </c>
      <c r="E107" s="34" t="str" cm="1">
        <f t="array" ref="E107">IFERROR(INDEX($J$5:$AVX$5, _xlfn.AGGREGATE(15,6, COLUMN(J107:AVX107)-COLUMN(J107)+1 / (J107:AVX107="T"), F107)), "")</f>
        <v/>
      </c>
      <c r="F107" s="96">
        <f>$A$2</f>
        <v>2</v>
      </c>
      <c r="G107" s="34" cm="1">
        <f t="array" ref="G107">IFERROR(INDEX($J$5:$AVW$5,_xlfn.AGGREGATE(14,6,(COLUMN($J107:$AVW107)-COLUMN($J107)+1)/($J107:$AVW107="T"),1)),"")</f>
        <v>45981</v>
      </c>
      <c r="H107" s="105">
        <f>COUNTIF($J107:$AVV107,"T")</f>
        <v>1</v>
      </c>
      <c r="I107" s="36" t="s">
        <v>10</v>
      </c>
      <c r="J107" s="32"/>
      <c r="K107" s="32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30"/>
      <c r="AC107" s="25" t="s">
        <v>12</v>
      </c>
      <c r="AD107" s="26"/>
      <c r="AE107" s="26"/>
      <c r="AF107" s="26"/>
      <c r="AG107" s="27"/>
      <c r="AH107" s="26"/>
      <c r="AI107" s="26"/>
      <c r="AJ107" s="99" t="s">
        <v>16</v>
      </c>
      <c r="AK107" s="100" t="s">
        <v>13</v>
      </c>
      <c r="AL107" s="97"/>
      <c r="AM107" s="97"/>
      <c r="AN107" s="98"/>
      <c r="AO107" s="97"/>
      <c r="AP107" s="97"/>
      <c r="AQ107" s="99" t="s">
        <v>14</v>
      </c>
      <c r="AR107" s="100" t="s">
        <v>11</v>
      </c>
      <c r="AS107" s="97"/>
      <c r="AT107" s="97"/>
      <c r="AU107" s="98"/>
      <c r="AV107" s="97"/>
      <c r="AW107" s="99" t="s">
        <v>15</v>
      </c>
      <c r="AX107" s="97"/>
      <c r="AY107" s="97"/>
      <c r="AZ107" s="32">
        <v>17</v>
      </c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32"/>
      <c r="CP107" s="32"/>
    </row>
    <row r="108" spans="1:94" s="47" customFormat="1" x14ac:dyDescent="0.25">
      <c r="A108" s="25" t="s">
        <v>8</v>
      </c>
      <c r="B108" s="25" t="s">
        <v>219</v>
      </c>
      <c r="C108" s="25" t="s">
        <v>364</v>
      </c>
      <c r="D108" s="25">
        <v>6</v>
      </c>
      <c r="E108" s="34" t="str" cm="1">
        <f t="array" ref="E108">IFERROR(INDEX($J$5:$AVX$5, _xlfn.AGGREGATE(15,6, COLUMN(J108:AVX108)-COLUMN(J108)+1 / (J108:AVX108="T"), F108)), "")</f>
        <v/>
      </c>
      <c r="F108" s="96">
        <f>$A$2</f>
        <v>2</v>
      </c>
      <c r="G108" s="34" cm="1">
        <f t="array" ref="G108">IFERROR(INDEX($J$5:$AVW$5,_xlfn.AGGREGATE(14,6,(COLUMN($J108:$AVW108)-COLUMN($J108)+1)/($J108:$AVW108="T"),1)),"")</f>
        <v>45981</v>
      </c>
      <c r="H108" s="105">
        <f>COUNTIF($J108:$AVV108,"T")</f>
        <v>1</v>
      </c>
      <c r="I108" s="36" t="s">
        <v>10</v>
      </c>
      <c r="J108" s="32"/>
      <c r="K108" s="32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30"/>
      <c r="AC108" s="25" t="s">
        <v>12</v>
      </c>
      <c r="AD108" s="26"/>
      <c r="AE108" s="26"/>
      <c r="AF108" s="26"/>
      <c r="AG108" s="27"/>
      <c r="AH108" s="26"/>
      <c r="AI108" s="26"/>
      <c r="AJ108" s="99" t="s">
        <v>16</v>
      </c>
      <c r="AK108" s="100" t="s">
        <v>13</v>
      </c>
      <c r="AL108" s="97"/>
      <c r="AM108" s="97"/>
      <c r="AN108" s="98"/>
      <c r="AO108" s="97"/>
      <c r="AP108" s="97"/>
      <c r="AQ108" s="99" t="s">
        <v>14</v>
      </c>
      <c r="AR108" s="100" t="s">
        <v>11</v>
      </c>
      <c r="AS108" s="97"/>
      <c r="AT108" s="97"/>
      <c r="AU108" s="98"/>
      <c r="AV108" s="97"/>
      <c r="AW108" s="99" t="s">
        <v>15</v>
      </c>
      <c r="AX108" s="97"/>
      <c r="AY108" s="97"/>
      <c r="AZ108" s="32">
        <v>17</v>
      </c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</row>
    <row r="109" spans="1:94" s="47" customFormat="1" ht="15" customHeight="1" x14ac:dyDescent="0.25">
      <c r="A109" s="25" t="s">
        <v>8</v>
      </c>
      <c r="B109" s="25" t="s">
        <v>220</v>
      </c>
      <c r="C109" s="25" t="s">
        <v>365</v>
      </c>
      <c r="D109" s="25">
        <v>7</v>
      </c>
      <c r="E109" s="34" t="str" cm="1">
        <f t="array" ref="E109">IFERROR(INDEX($J$5:$AVX$5, _xlfn.AGGREGATE(15,6, COLUMN(J109:AVX109)-COLUMN(J109)+1 / (J109:AVX109="T"), F109)), "")</f>
        <v/>
      </c>
      <c r="F109" s="96">
        <f>$A$2</f>
        <v>2</v>
      </c>
      <c r="G109" s="34" cm="1">
        <f t="array" ref="G109">IFERROR(INDEX($J$5:$AVW$5,_xlfn.AGGREGATE(14,6,(COLUMN($J109:$AVW109)-COLUMN($J109)+1)/($J109:$AVW109="T"),1)),"")</f>
        <v>45981</v>
      </c>
      <c r="H109" s="105">
        <f>COUNTIF($J109:$AVV109,"T")</f>
        <v>1</v>
      </c>
      <c r="I109" s="36" t="s">
        <v>10</v>
      </c>
      <c r="J109" s="32"/>
      <c r="K109" s="32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30"/>
      <c r="AC109" s="25" t="s">
        <v>12</v>
      </c>
      <c r="AD109" s="26"/>
      <c r="AE109" s="26"/>
      <c r="AF109" s="26"/>
      <c r="AG109" s="27"/>
      <c r="AH109" s="26"/>
      <c r="AI109" s="26"/>
      <c r="AJ109" s="99" t="s">
        <v>16</v>
      </c>
      <c r="AK109" s="100" t="s">
        <v>13</v>
      </c>
      <c r="AL109" s="97"/>
      <c r="AM109" s="97"/>
      <c r="AN109" s="98"/>
      <c r="AO109" s="97"/>
      <c r="AP109" s="97"/>
      <c r="AQ109" s="99" t="s">
        <v>14</v>
      </c>
      <c r="AR109" s="100" t="s">
        <v>11</v>
      </c>
      <c r="AS109" s="97"/>
      <c r="AT109" s="97"/>
      <c r="AU109" s="98"/>
      <c r="AV109" s="97"/>
      <c r="AW109" s="99" t="s">
        <v>15</v>
      </c>
      <c r="AX109" s="97"/>
      <c r="AY109" s="97"/>
      <c r="AZ109" s="32">
        <v>17</v>
      </c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32"/>
      <c r="CP109" s="32"/>
    </row>
    <row r="110" spans="1:94" x14ac:dyDescent="0.25">
      <c r="A110" s="25" t="s">
        <v>56</v>
      </c>
      <c r="B110" s="25" t="s">
        <v>290</v>
      </c>
      <c r="C110" s="25" t="s">
        <v>435</v>
      </c>
      <c r="D110" s="25">
        <v>77</v>
      </c>
      <c r="E110" s="34" t="str" cm="1">
        <f t="array" ref="E110">IFERROR(INDEX($J$5:$AVX$5, _xlfn.AGGREGATE(15,6, COLUMN(J110:AVX110)-COLUMN(J110)+1 / (J110:AVX110="T"), F110)), "")</f>
        <v/>
      </c>
      <c r="F110" s="96">
        <f>$A$2</f>
        <v>2</v>
      </c>
      <c r="G110" s="34" cm="1">
        <f t="array" ref="G110">IFERROR(INDEX($J$5:$AVW$5,_xlfn.AGGREGATE(14,6,(COLUMN($J110:$AVW110)-COLUMN($J110)+1)/($J110:$AVW110="T"),1)),"")</f>
        <v>45980</v>
      </c>
      <c r="H110" s="105">
        <f>COUNTIF($J110:$AVV110,"T")</f>
        <v>1</v>
      </c>
      <c r="I110" s="36" t="s">
        <v>10</v>
      </c>
      <c r="J110" s="32"/>
      <c r="K110" s="32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30" t="s">
        <v>12</v>
      </c>
      <c r="AC110" s="26"/>
      <c r="AD110" s="26"/>
      <c r="AE110" s="26"/>
      <c r="AF110" s="27"/>
      <c r="AG110" s="26"/>
      <c r="AH110" s="26"/>
      <c r="AI110" s="28" t="s">
        <v>16</v>
      </c>
      <c r="AJ110" s="100" t="s">
        <v>13</v>
      </c>
      <c r="AK110" s="97"/>
      <c r="AL110" s="97"/>
      <c r="AM110" s="98"/>
      <c r="AN110" s="97"/>
      <c r="AO110" s="97"/>
      <c r="AP110" s="99" t="s">
        <v>14</v>
      </c>
      <c r="AQ110" s="100" t="s">
        <v>11</v>
      </c>
      <c r="AR110" s="97"/>
      <c r="AS110" s="97"/>
      <c r="AT110" s="98"/>
      <c r="AU110" s="97"/>
      <c r="AV110" s="99" t="s">
        <v>15</v>
      </c>
      <c r="AW110" s="97"/>
      <c r="AX110" s="97"/>
      <c r="AY110" s="32">
        <v>17</v>
      </c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</row>
    <row r="111" spans="1:94" x14ac:dyDescent="0.25">
      <c r="A111" s="25" t="s">
        <v>56</v>
      </c>
      <c r="B111" s="25" t="s">
        <v>291</v>
      </c>
      <c r="C111" s="25" t="s">
        <v>436</v>
      </c>
      <c r="D111" s="25">
        <v>78</v>
      </c>
      <c r="E111" s="34" t="str" cm="1">
        <f t="array" ref="E111">IFERROR(INDEX($J$5:$AVX$5, _xlfn.AGGREGATE(15,6, COLUMN(J111:AVX111)-COLUMN(J111)+1 / (J111:AVX111="T"), F111)), "")</f>
        <v/>
      </c>
      <c r="F111" s="96">
        <f>$A$2</f>
        <v>2</v>
      </c>
      <c r="G111" s="34" cm="1">
        <f t="array" ref="G111">IFERROR(INDEX($J$5:$AVW$5,_xlfn.AGGREGATE(14,6,(COLUMN($J111:$AVW111)-COLUMN($J111)+1)/($J111:$AVW111="T"),1)),"")</f>
        <v>45980</v>
      </c>
      <c r="H111" s="105">
        <f>COUNTIF($J111:$AVV111,"T")</f>
        <v>1</v>
      </c>
      <c r="I111" s="36" t="s">
        <v>10</v>
      </c>
      <c r="J111" s="32"/>
      <c r="K111" s="32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30" t="s">
        <v>12</v>
      </c>
      <c r="AC111" s="26"/>
      <c r="AD111" s="26"/>
      <c r="AE111" s="26"/>
      <c r="AF111" s="27"/>
      <c r="AG111" s="26"/>
      <c r="AH111" s="26"/>
      <c r="AI111" s="28" t="s">
        <v>16</v>
      </c>
      <c r="AJ111" s="100" t="s">
        <v>13</v>
      </c>
      <c r="AK111" s="97"/>
      <c r="AL111" s="97"/>
      <c r="AM111" s="98"/>
      <c r="AN111" s="97"/>
      <c r="AO111" s="97"/>
      <c r="AP111" s="99" t="s">
        <v>14</v>
      </c>
      <c r="AQ111" s="100" t="s">
        <v>11</v>
      </c>
      <c r="AR111" s="97"/>
      <c r="AS111" s="97"/>
      <c r="AT111" s="98"/>
      <c r="AU111" s="97"/>
      <c r="AV111" s="99" t="s">
        <v>15</v>
      </c>
      <c r="AW111" s="97"/>
      <c r="AX111" s="97"/>
      <c r="AY111" s="32">
        <v>17</v>
      </c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32"/>
      <c r="CP111" s="32"/>
    </row>
    <row r="112" spans="1:94" s="47" customFormat="1" x14ac:dyDescent="0.25">
      <c r="A112" s="25" t="s">
        <v>56</v>
      </c>
      <c r="B112" s="25" t="s">
        <v>292</v>
      </c>
      <c r="C112" s="25" t="s">
        <v>437</v>
      </c>
      <c r="D112" s="25">
        <v>79</v>
      </c>
      <c r="E112" s="34" t="str" cm="1">
        <f t="array" ref="E112">IFERROR(INDEX($J$5:$AVX$5, _xlfn.AGGREGATE(15,6, COLUMN(J112:AVX112)-COLUMN(J112)+1 / (J112:AVX112="T"), F112)), "")</f>
        <v/>
      </c>
      <c r="F112" s="96">
        <f>$A$2</f>
        <v>2</v>
      </c>
      <c r="G112" s="34" cm="1">
        <f t="array" ref="G112">IFERROR(INDEX($J$5:$AVW$5,_xlfn.AGGREGATE(14,6,(COLUMN($J112:$AVW112)-COLUMN($J112)+1)/($J112:$AVW112="T"),1)),"")</f>
        <v>45980</v>
      </c>
      <c r="H112" s="105">
        <f>COUNTIF($J112:$AVV112,"T")</f>
        <v>1</v>
      </c>
      <c r="I112" s="36" t="s">
        <v>10</v>
      </c>
      <c r="J112" s="32"/>
      <c r="K112" s="32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30" t="s">
        <v>12</v>
      </c>
      <c r="AC112" s="26"/>
      <c r="AD112" s="26"/>
      <c r="AE112" s="26"/>
      <c r="AF112" s="27"/>
      <c r="AG112" s="26"/>
      <c r="AH112" s="26"/>
      <c r="AI112" s="28" t="s">
        <v>16</v>
      </c>
      <c r="AJ112" s="100" t="s">
        <v>13</v>
      </c>
      <c r="AK112" s="97"/>
      <c r="AL112" s="97"/>
      <c r="AM112" s="98"/>
      <c r="AN112" s="97"/>
      <c r="AO112" s="97"/>
      <c r="AP112" s="99" t="s">
        <v>14</v>
      </c>
      <c r="AQ112" s="100" t="s">
        <v>11</v>
      </c>
      <c r="AR112" s="97"/>
      <c r="AS112" s="97"/>
      <c r="AT112" s="98"/>
      <c r="AU112" s="97"/>
      <c r="AV112" s="99" t="s">
        <v>15</v>
      </c>
      <c r="AW112" s="97"/>
      <c r="AX112" s="97"/>
      <c r="AY112" s="32">
        <v>17</v>
      </c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32"/>
      <c r="CP112" s="32"/>
    </row>
    <row r="113" spans="1:94" s="47" customFormat="1" x14ac:dyDescent="0.25">
      <c r="A113" s="25" t="s">
        <v>56</v>
      </c>
      <c r="B113" s="25" t="s">
        <v>293</v>
      </c>
      <c r="C113" s="25" t="s">
        <v>438</v>
      </c>
      <c r="D113" s="25">
        <v>80</v>
      </c>
      <c r="E113" s="34" t="str" cm="1">
        <f t="array" ref="E113">IFERROR(INDEX($J$5:$AVX$5, _xlfn.AGGREGATE(15,6, COLUMN(J113:AVX113)-COLUMN(J113)+1 / (J113:AVX113="T"), F113)), "")</f>
        <v/>
      </c>
      <c r="F113" s="96">
        <f>$A$2</f>
        <v>2</v>
      </c>
      <c r="G113" s="34" cm="1">
        <f t="array" ref="G113">IFERROR(INDEX($J$5:$AVW$5,_xlfn.AGGREGATE(14,6,(COLUMN($J113:$AVW113)-COLUMN($J113)+1)/($J113:$AVW113="T"),1)),"")</f>
        <v>45980</v>
      </c>
      <c r="H113" s="105">
        <f>COUNTIF($J113:$AVV113,"T")</f>
        <v>1</v>
      </c>
      <c r="I113" s="36" t="s">
        <v>10</v>
      </c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30"/>
      <c r="Y113" s="25"/>
      <c r="Z113" s="25"/>
      <c r="AA113" s="25"/>
      <c r="AB113" s="25" t="s">
        <v>12</v>
      </c>
      <c r="AC113" s="26"/>
      <c r="AD113" s="26"/>
      <c r="AE113" s="26"/>
      <c r="AF113" s="27"/>
      <c r="AG113" s="26"/>
      <c r="AH113" s="97"/>
      <c r="AI113" s="99" t="s">
        <v>16</v>
      </c>
      <c r="AJ113" s="100" t="s">
        <v>13</v>
      </c>
      <c r="AK113" s="97"/>
      <c r="AL113" s="97"/>
      <c r="AM113" s="27"/>
      <c r="AN113" s="26"/>
      <c r="AO113" s="26"/>
      <c r="AP113" s="28" t="s">
        <v>14</v>
      </c>
      <c r="AQ113" s="29" t="s">
        <v>11</v>
      </c>
      <c r="AR113" s="26"/>
      <c r="AS113" s="26"/>
      <c r="AT113" s="27"/>
      <c r="AU113" s="26"/>
      <c r="AV113" s="28" t="s">
        <v>15</v>
      </c>
      <c r="AW113" s="26"/>
      <c r="AX113" s="26"/>
      <c r="AY113" s="25">
        <v>17</v>
      </c>
      <c r="AZ113" s="25"/>
      <c r="BA113" s="30"/>
      <c r="BB113" s="25"/>
      <c r="BC113" s="25"/>
      <c r="BD113" s="25"/>
      <c r="BE113" s="25"/>
      <c r="BF113" s="25"/>
      <c r="BG113" s="25"/>
      <c r="BH113" s="25"/>
      <c r="BI113" s="25"/>
      <c r="BJ113" s="25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32"/>
      <c r="CP113" s="32"/>
    </row>
    <row r="114" spans="1:94" s="47" customFormat="1" x14ac:dyDescent="0.25">
      <c r="A114" s="25" t="s">
        <v>56</v>
      </c>
      <c r="B114" s="25" t="s">
        <v>294</v>
      </c>
      <c r="C114" s="25" t="s">
        <v>439</v>
      </c>
      <c r="D114" s="25">
        <v>81</v>
      </c>
      <c r="E114" s="34" t="str" cm="1">
        <f t="array" ref="E114">IFERROR(INDEX($J$5:$AVX$5, _xlfn.AGGREGATE(15,6, COLUMN(J114:AVX114)-COLUMN(J114)+1 / (J114:AVX114="T"), F114)), "")</f>
        <v/>
      </c>
      <c r="F114" s="96">
        <f>$A$2</f>
        <v>2</v>
      </c>
      <c r="G114" s="34" cm="1">
        <f t="array" ref="G114">IFERROR(INDEX($J$5:$AVW$5,_xlfn.AGGREGATE(14,6,(COLUMN($J114:$AVW114)-COLUMN($J114)+1)/($J114:$AVW114="T"),1)),"")</f>
        <v>45980</v>
      </c>
      <c r="H114" s="105">
        <f>COUNTIF($J114:$AVV114,"T")</f>
        <v>1</v>
      </c>
      <c r="I114" s="36" t="s">
        <v>10</v>
      </c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30"/>
      <c r="AA114" s="25"/>
      <c r="AB114" s="25" t="s">
        <v>12</v>
      </c>
      <c r="AC114" s="26"/>
      <c r="AD114" s="26"/>
      <c r="AE114" s="26"/>
      <c r="AF114" s="27"/>
      <c r="AG114" s="26"/>
      <c r="AH114" s="97"/>
      <c r="AI114" s="99" t="s">
        <v>16</v>
      </c>
      <c r="AJ114" s="100" t="s">
        <v>13</v>
      </c>
      <c r="AK114" s="97"/>
      <c r="AL114" s="97"/>
      <c r="AM114" s="27"/>
      <c r="AN114" s="26"/>
      <c r="AO114" s="26"/>
      <c r="AP114" s="28" t="s">
        <v>14</v>
      </c>
      <c r="AQ114" s="29" t="s">
        <v>11</v>
      </c>
      <c r="AR114" s="26"/>
      <c r="AS114" s="26"/>
      <c r="AT114" s="27"/>
      <c r="AU114" s="26"/>
      <c r="AV114" s="28" t="s">
        <v>15</v>
      </c>
      <c r="AW114" s="26"/>
      <c r="AX114" s="26"/>
      <c r="AY114" s="25">
        <v>17</v>
      </c>
      <c r="AZ114" s="25"/>
      <c r="BA114" s="30"/>
      <c r="BB114" s="25"/>
      <c r="BC114" s="25"/>
      <c r="BD114" s="25"/>
      <c r="BE114" s="25"/>
      <c r="BF114" s="25"/>
      <c r="BG114" s="25"/>
      <c r="BH114" s="25"/>
      <c r="BI114" s="25"/>
      <c r="BJ114" s="25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32"/>
      <c r="CP114" s="32"/>
    </row>
    <row r="115" spans="1:94" x14ac:dyDescent="0.25">
      <c r="A115" s="25" t="s">
        <v>56</v>
      </c>
      <c r="B115" s="25" t="s">
        <v>295</v>
      </c>
      <c r="C115" s="25" t="s">
        <v>440</v>
      </c>
      <c r="D115" s="25">
        <v>82</v>
      </c>
      <c r="E115" s="34" t="str" cm="1">
        <f t="array" ref="E115">IFERROR(INDEX($J$5:$AVX$5, _xlfn.AGGREGATE(15,6, COLUMN(J115:AVX115)-COLUMN(J115)+1 / (J115:AVX115="T"), F115)), "")</f>
        <v/>
      </c>
      <c r="F115" s="96">
        <f>$A$2</f>
        <v>2</v>
      </c>
      <c r="G115" s="34" cm="1">
        <f t="array" ref="G115">IFERROR(INDEX($J$5:$AVW$5,_xlfn.AGGREGATE(14,6,(COLUMN($J115:$AVW115)-COLUMN($J115)+1)/($J115:$AVW115="T"),1)),"")</f>
        <v>45980</v>
      </c>
      <c r="H115" s="105">
        <f>COUNTIF($J115:$AVV115,"T")</f>
        <v>1</v>
      </c>
      <c r="I115" s="36" t="s">
        <v>10</v>
      </c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30"/>
      <c r="AA115" s="25"/>
      <c r="AB115" s="25" t="s">
        <v>12</v>
      </c>
      <c r="AC115" s="26"/>
      <c r="AD115" s="26"/>
      <c r="AE115" s="26"/>
      <c r="AF115" s="27"/>
      <c r="AG115" s="26"/>
      <c r="AH115" s="97"/>
      <c r="AI115" s="99" t="s">
        <v>16</v>
      </c>
      <c r="AJ115" s="100" t="s">
        <v>13</v>
      </c>
      <c r="AK115" s="97"/>
      <c r="AL115" s="97"/>
      <c r="AM115" s="27"/>
      <c r="AN115" s="26"/>
      <c r="AO115" s="26"/>
      <c r="AP115" s="28" t="s">
        <v>14</v>
      </c>
      <c r="AQ115" s="29" t="s">
        <v>11</v>
      </c>
      <c r="AR115" s="26"/>
      <c r="AS115" s="26"/>
      <c r="AT115" s="27"/>
      <c r="AU115" s="26"/>
      <c r="AV115" s="28" t="s">
        <v>15</v>
      </c>
      <c r="AW115" s="26"/>
      <c r="AX115" s="26"/>
      <c r="AY115" s="25">
        <v>17</v>
      </c>
      <c r="AZ115" s="25"/>
      <c r="BA115" s="30"/>
      <c r="BB115" s="25"/>
      <c r="BC115" s="25"/>
      <c r="BD115" s="25"/>
      <c r="BE115" s="25"/>
      <c r="BF115" s="25"/>
      <c r="BG115" s="25"/>
      <c r="BH115" s="25"/>
      <c r="BI115" s="25"/>
      <c r="BJ115" s="25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32"/>
      <c r="CP115" s="32"/>
    </row>
    <row r="116" spans="1:94" x14ac:dyDescent="0.25">
      <c r="A116" s="25" t="s">
        <v>56</v>
      </c>
      <c r="B116" s="25" t="s">
        <v>296</v>
      </c>
      <c r="C116" s="25" t="s">
        <v>441</v>
      </c>
      <c r="D116" s="25">
        <v>83</v>
      </c>
      <c r="E116" s="34" t="str" cm="1">
        <f t="array" ref="E116">IFERROR(INDEX($J$5:$AVX$5, _xlfn.AGGREGATE(15,6, COLUMN(J116:AVX116)-COLUMN(J116)+1 / (J116:AVX116="T"), F116)), "")</f>
        <v/>
      </c>
      <c r="F116" s="96">
        <f>$A$2</f>
        <v>2</v>
      </c>
      <c r="G116" s="34" cm="1">
        <f t="array" ref="G116">IFERROR(INDEX($J$5:$AVW$5,_xlfn.AGGREGATE(14,6,(COLUMN($J116:$AVW116)-COLUMN($J116)+1)/($J116:$AVW116="T"),1)),"")</f>
        <v>45980</v>
      </c>
      <c r="H116" s="105">
        <f>COUNTIF($J116:$AVV116,"T")</f>
        <v>1</v>
      </c>
      <c r="I116" s="36" t="s">
        <v>10</v>
      </c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30"/>
      <c r="AA116" s="25"/>
      <c r="AB116" s="25" t="s">
        <v>12</v>
      </c>
      <c r="AC116" s="26"/>
      <c r="AD116" s="26"/>
      <c r="AE116" s="26"/>
      <c r="AF116" s="27"/>
      <c r="AG116" s="26"/>
      <c r="AH116" s="97"/>
      <c r="AI116" s="99" t="s">
        <v>16</v>
      </c>
      <c r="AJ116" s="100" t="s">
        <v>13</v>
      </c>
      <c r="AK116" s="97"/>
      <c r="AL116" s="97"/>
      <c r="AM116" s="27"/>
      <c r="AN116" s="26"/>
      <c r="AO116" s="26"/>
      <c r="AP116" s="28" t="s">
        <v>14</v>
      </c>
      <c r="AQ116" s="29" t="s">
        <v>11</v>
      </c>
      <c r="AR116" s="26"/>
      <c r="AS116" s="26"/>
      <c r="AT116" s="27"/>
      <c r="AU116" s="26"/>
      <c r="AV116" s="28" t="s">
        <v>15</v>
      </c>
      <c r="AW116" s="26"/>
      <c r="AX116" s="26"/>
      <c r="AY116" s="25">
        <v>17</v>
      </c>
      <c r="AZ116" s="25"/>
      <c r="BA116" s="30"/>
      <c r="BB116" s="25"/>
      <c r="BC116" s="25"/>
      <c r="BD116" s="25"/>
      <c r="BE116" s="25"/>
      <c r="BF116" s="25"/>
      <c r="BG116" s="25"/>
      <c r="BH116" s="25"/>
      <c r="BI116" s="25"/>
      <c r="BJ116" s="25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32"/>
      <c r="CP116" s="32"/>
    </row>
    <row r="117" spans="1:94" s="47" customFormat="1" x14ac:dyDescent="0.25">
      <c r="A117" s="25" t="s">
        <v>146</v>
      </c>
      <c r="B117" s="25" t="s">
        <v>281</v>
      </c>
      <c r="C117" s="25" t="s">
        <v>527</v>
      </c>
      <c r="D117" s="25">
        <v>169</v>
      </c>
      <c r="E117" s="34" t="str" cm="1">
        <f t="array" ref="E117">IFERROR(INDEX($J$5:$AVX$5, _xlfn.AGGREGATE(15,6, COLUMN(J117:AVX117)-COLUMN(J117)+1 / (J117:AVX117="T"), F117)), "")</f>
        <v/>
      </c>
      <c r="F117" s="96">
        <f>$A$2</f>
        <v>2</v>
      </c>
      <c r="G117" s="34" cm="1">
        <f t="array" ref="G117">IFERROR(INDEX($J$5:$AVW$5,_xlfn.AGGREGATE(14,6,(COLUMN($J117:$AVW117)-COLUMN($J117)+1)/($J117:$AVW117="T"),1)),"")</f>
        <v>45979</v>
      </c>
      <c r="H117" s="105">
        <f>COUNTIF($J117:$AVV117,"T")</f>
        <v>1</v>
      </c>
      <c r="I117" s="36" t="s">
        <v>10</v>
      </c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30"/>
      <c r="AA117" s="25" t="s">
        <v>12</v>
      </c>
      <c r="AB117" s="26"/>
      <c r="AC117" s="26"/>
      <c r="AD117" s="26"/>
      <c r="AE117" s="27"/>
      <c r="AF117" s="26"/>
      <c r="AG117" s="26"/>
      <c r="AH117" s="99" t="s">
        <v>16</v>
      </c>
      <c r="AI117" s="100" t="s">
        <v>13</v>
      </c>
      <c r="AJ117" s="97"/>
      <c r="AK117" s="97"/>
      <c r="AL117" s="98"/>
      <c r="AM117" s="97"/>
      <c r="AN117" s="26"/>
      <c r="AO117" s="28" t="s">
        <v>14</v>
      </c>
      <c r="AP117" s="29" t="s">
        <v>11</v>
      </c>
      <c r="AQ117" s="26"/>
      <c r="AR117" s="26"/>
      <c r="AS117" s="27"/>
      <c r="AT117" s="26"/>
      <c r="AU117" s="28" t="s">
        <v>15</v>
      </c>
      <c r="AV117" s="26"/>
      <c r="AW117" s="26"/>
      <c r="AX117" s="25">
        <v>17</v>
      </c>
      <c r="AY117" s="25"/>
      <c r="AZ117" s="25"/>
      <c r="BA117" s="25"/>
      <c r="BB117" s="30"/>
      <c r="BC117" s="25"/>
      <c r="BD117" s="25"/>
      <c r="BE117" s="25"/>
      <c r="BF117" s="25"/>
      <c r="BG117" s="25"/>
      <c r="BH117" s="25"/>
      <c r="BI117" s="25"/>
      <c r="BJ117" s="25"/>
      <c r="BK117" s="25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32"/>
      <c r="CP117" s="32"/>
    </row>
    <row r="118" spans="1:94" s="47" customFormat="1" x14ac:dyDescent="0.25">
      <c r="A118" s="25" t="s">
        <v>146</v>
      </c>
      <c r="B118" s="25" t="s">
        <v>282</v>
      </c>
      <c r="C118" s="25" t="s">
        <v>528</v>
      </c>
      <c r="D118" s="25">
        <v>170</v>
      </c>
      <c r="E118" s="34" t="str" cm="1">
        <f t="array" ref="E118">IFERROR(INDEX($J$5:$AVX$5, _xlfn.AGGREGATE(15,6, COLUMN(J118:AVX118)-COLUMN(J118)+1 / (J118:AVX118="T"), F118)), "")</f>
        <v/>
      </c>
      <c r="F118" s="96">
        <f>$A$2</f>
        <v>2</v>
      </c>
      <c r="G118" s="34" cm="1">
        <f t="array" ref="G118">IFERROR(INDEX($J$5:$AVW$5,_xlfn.AGGREGATE(14,6,(COLUMN($J118:$AVW118)-COLUMN($J118)+1)/($J118:$AVW118="T"),1)),"")</f>
        <v>45979</v>
      </c>
      <c r="H118" s="105">
        <f>COUNTIF($J118:$AVV118,"T")</f>
        <v>1</v>
      </c>
      <c r="I118" s="36" t="s">
        <v>10</v>
      </c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30"/>
      <c r="AA118" s="25" t="s">
        <v>12</v>
      </c>
      <c r="AB118" s="26"/>
      <c r="AC118" s="26"/>
      <c r="AD118" s="26"/>
      <c r="AE118" s="27"/>
      <c r="AF118" s="26"/>
      <c r="AG118" s="26"/>
      <c r="AH118" s="99" t="s">
        <v>16</v>
      </c>
      <c r="AI118" s="100" t="s">
        <v>13</v>
      </c>
      <c r="AJ118" s="97"/>
      <c r="AK118" s="97"/>
      <c r="AL118" s="98"/>
      <c r="AM118" s="97"/>
      <c r="AN118" s="26"/>
      <c r="AO118" s="28" t="s">
        <v>14</v>
      </c>
      <c r="AP118" s="29" t="s">
        <v>11</v>
      </c>
      <c r="AQ118" s="26"/>
      <c r="AR118" s="26"/>
      <c r="AS118" s="27"/>
      <c r="AT118" s="26"/>
      <c r="AU118" s="28" t="s">
        <v>15</v>
      </c>
      <c r="AV118" s="26"/>
      <c r="AW118" s="26"/>
      <c r="AX118" s="25">
        <v>17</v>
      </c>
      <c r="AY118" s="25"/>
      <c r="AZ118" s="25"/>
      <c r="BA118" s="25"/>
      <c r="BB118" s="30"/>
      <c r="BC118" s="25"/>
      <c r="BD118" s="25"/>
      <c r="BE118" s="25"/>
      <c r="BF118" s="25"/>
      <c r="BG118" s="25"/>
      <c r="BH118" s="25"/>
      <c r="BI118" s="25"/>
      <c r="BJ118" s="25"/>
      <c r="BK118" s="25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32"/>
      <c r="CP118" s="32"/>
    </row>
    <row r="119" spans="1:94" s="47" customFormat="1" x14ac:dyDescent="0.25">
      <c r="A119" s="25" t="s">
        <v>146</v>
      </c>
      <c r="B119" s="25" t="s">
        <v>283</v>
      </c>
      <c r="C119" s="25" t="s">
        <v>529</v>
      </c>
      <c r="D119" s="25">
        <v>171</v>
      </c>
      <c r="E119" s="34" t="str" cm="1">
        <f t="array" ref="E119">IFERROR(INDEX($J$5:$AVX$5, _xlfn.AGGREGATE(15,6, COLUMN(J119:AVX119)-COLUMN(J119)+1 / (J119:AVX119="T"), F119)), "")</f>
        <v/>
      </c>
      <c r="F119" s="96">
        <f>$A$2</f>
        <v>2</v>
      </c>
      <c r="G119" s="34" cm="1">
        <f t="array" ref="G119">IFERROR(INDEX($J$5:$AVW$5,_xlfn.AGGREGATE(14,6,(COLUMN($J119:$AVW119)-COLUMN($J119)+1)/($J119:$AVW119="T"),1)),"")</f>
        <v>45979</v>
      </c>
      <c r="H119" s="105">
        <f>COUNTIF($J119:$AVV119,"T")</f>
        <v>1</v>
      </c>
      <c r="I119" s="36" t="s">
        <v>10</v>
      </c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30"/>
      <c r="AA119" s="25" t="s">
        <v>12</v>
      </c>
      <c r="AB119" s="26"/>
      <c r="AC119" s="26"/>
      <c r="AD119" s="26"/>
      <c r="AE119" s="27"/>
      <c r="AF119" s="26"/>
      <c r="AG119" s="26"/>
      <c r="AH119" s="99" t="s">
        <v>16</v>
      </c>
      <c r="AI119" s="100" t="s">
        <v>13</v>
      </c>
      <c r="AJ119" s="97"/>
      <c r="AK119" s="97"/>
      <c r="AL119" s="98"/>
      <c r="AM119" s="97"/>
      <c r="AN119" s="26"/>
      <c r="AO119" s="28" t="s">
        <v>14</v>
      </c>
      <c r="AP119" s="29" t="s">
        <v>11</v>
      </c>
      <c r="AQ119" s="26"/>
      <c r="AR119" s="26"/>
      <c r="AS119" s="27"/>
      <c r="AT119" s="26"/>
      <c r="AU119" s="28" t="s">
        <v>15</v>
      </c>
      <c r="AV119" s="26"/>
      <c r="AW119" s="26"/>
      <c r="AX119" s="25">
        <v>17</v>
      </c>
      <c r="AY119" s="25"/>
      <c r="AZ119" s="25"/>
      <c r="BA119" s="25"/>
      <c r="BB119" s="30"/>
      <c r="BC119" s="25"/>
      <c r="BD119" s="25"/>
      <c r="BE119" s="25"/>
      <c r="BF119" s="25"/>
      <c r="BG119" s="25"/>
      <c r="BH119" s="25"/>
      <c r="BI119" s="25"/>
      <c r="BJ119" s="25"/>
      <c r="BK119" s="25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32"/>
      <c r="CP119" s="32"/>
    </row>
    <row r="120" spans="1:94" ht="15" customHeight="1" x14ac:dyDescent="0.25">
      <c r="A120" s="25" t="s">
        <v>146</v>
      </c>
      <c r="B120" s="25" t="s">
        <v>284</v>
      </c>
      <c r="C120" s="25" t="s">
        <v>530</v>
      </c>
      <c r="D120" s="25">
        <v>172</v>
      </c>
      <c r="E120" s="34" t="str" cm="1">
        <f t="array" ref="E120">IFERROR(INDEX($J$5:$AVX$5, _xlfn.AGGREGATE(15,6, COLUMN(J120:AVX120)-COLUMN(J120)+1 / (J120:AVX120="T"), F120)), "")</f>
        <v/>
      </c>
      <c r="F120" s="96">
        <f>$A$2</f>
        <v>2</v>
      </c>
      <c r="G120" s="34" cm="1">
        <f t="array" ref="G120">IFERROR(INDEX($J$5:$AVW$5,_xlfn.AGGREGATE(14,6,(COLUMN($J120:$AVW120)-COLUMN($J120)+1)/($J120:$AVW120="T"),1)),"")</f>
        <v>45979</v>
      </c>
      <c r="H120" s="105">
        <f>COUNTIF($J120:$AVV120,"T")</f>
        <v>1</v>
      </c>
      <c r="I120" s="36" t="s">
        <v>10</v>
      </c>
      <c r="J120" s="32"/>
      <c r="K120" s="32"/>
      <c r="L120" s="32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 t="s">
        <v>12</v>
      </c>
      <c r="AB120" s="26"/>
      <c r="AC120" s="35"/>
      <c r="AD120" s="26"/>
      <c r="AE120" s="27"/>
      <c r="AF120" s="26"/>
      <c r="AG120" s="26"/>
      <c r="AH120" s="28" t="s">
        <v>16</v>
      </c>
      <c r="AI120" s="29" t="s">
        <v>13</v>
      </c>
      <c r="AJ120" s="26"/>
      <c r="AK120" s="97"/>
      <c r="AL120" s="98"/>
      <c r="AM120" s="97"/>
      <c r="AN120" s="97"/>
      <c r="AO120" s="99" t="s">
        <v>14</v>
      </c>
      <c r="AP120" s="100" t="s">
        <v>11</v>
      </c>
      <c r="AQ120" s="97"/>
      <c r="AR120" s="97"/>
      <c r="AS120" s="98"/>
      <c r="AT120" s="97"/>
      <c r="AU120" s="99" t="s">
        <v>15</v>
      </c>
      <c r="AV120" s="97"/>
      <c r="AW120" s="97"/>
      <c r="AX120" s="32">
        <v>17</v>
      </c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32"/>
      <c r="CP120" s="32"/>
    </row>
    <row r="121" spans="1:94" x14ac:dyDescent="0.25">
      <c r="A121" s="25" t="s">
        <v>146</v>
      </c>
      <c r="B121" s="25" t="s">
        <v>285</v>
      </c>
      <c r="C121" s="25" t="s">
        <v>531</v>
      </c>
      <c r="D121" s="25">
        <v>173</v>
      </c>
      <c r="E121" s="34" t="str" cm="1">
        <f t="array" ref="E121">IFERROR(INDEX($J$5:$AVX$5, _xlfn.AGGREGATE(15,6, COLUMN(J121:AVX121)-COLUMN(J121)+1 / (J121:AVX121="T"), F121)), "")</f>
        <v/>
      </c>
      <c r="F121" s="96">
        <f>$A$2</f>
        <v>2</v>
      </c>
      <c r="G121" s="34" cm="1">
        <f t="array" ref="G121">IFERROR(INDEX($J$5:$AVW$5,_xlfn.AGGREGATE(14,6,(COLUMN($J121:$AVW121)-COLUMN($J121)+1)/($J121:$AVW121="T"),1)),"")</f>
        <v>45979</v>
      </c>
      <c r="H121" s="105">
        <f>COUNTIF($J121:$AVV121,"T")</f>
        <v>1</v>
      </c>
      <c r="I121" s="36" t="s">
        <v>10</v>
      </c>
      <c r="J121" s="32"/>
      <c r="K121" s="32"/>
      <c r="L121" s="32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 t="s">
        <v>12</v>
      </c>
      <c r="AB121" s="26"/>
      <c r="AC121" s="35"/>
      <c r="AD121" s="26"/>
      <c r="AE121" s="27"/>
      <c r="AF121" s="26"/>
      <c r="AG121" s="26"/>
      <c r="AH121" s="28" t="s">
        <v>16</v>
      </c>
      <c r="AI121" s="29" t="s">
        <v>13</v>
      </c>
      <c r="AJ121" s="26"/>
      <c r="AK121" s="97"/>
      <c r="AL121" s="98"/>
      <c r="AM121" s="97"/>
      <c r="AN121" s="97"/>
      <c r="AO121" s="99" t="s">
        <v>14</v>
      </c>
      <c r="AP121" s="100" t="s">
        <v>11</v>
      </c>
      <c r="AQ121" s="97"/>
      <c r="AR121" s="97"/>
      <c r="AS121" s="98"/>
      <c r="AT121" s="97"/>
      <c r="AU121" s="99" t="s">
        <v>15</v>
      </c>
      <c r="AV121" s="97"/>
      <c r="AW121" s="97"/>
      <c r="AX121" s="32">
        <v>17</v>
      </c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32"/>
      <c r="CP121" s="32"/>
    </row>
    <row r="122" spans="1:94" x14ac:dyDescent="0.25">
      <c r="A122" s="25" t="s">
        <v>146</v>
      </c>
      <c r="B122" s="25" t="s">
        <v>286</v>
      </c>
      <c r="C122" s="25" t="s">
        <v>532</v>
      </c>
      <c r="D122" s="25">
        <v>174</v>
      </c>
      <c r="E122" s="34" t="str" cm="1">
        <f t="array" ref="E122">IFERROR(INDEX($J$5:$AVX$5, _xlfn.AGGREGATE(15,6, COLUMN(J122:AVX122)-COLUMN(J122)+1 / (J122:AVX122="T"), F122)), "")</f>
        <v/>
      </c>
      <c r="F122" s="96">
        <f>$A$2</f>
        <v>2</v>
      </c>
      <c r="G122" s="34" cm="1">
        <f t="array" ref="G122">IFERROR(INDEX($J$5:$AVW$5,_xlfn.AGGREGATE(14,6,(COLUMN($J122:$AVW122)-COLUMN($J122)+1)/($J122:$AVW122="T"),1)),"")</f>
        <v>45979</v>
      </c>
      <c r="H122" s="105">
        <f>COUNTIF($J122:$AVV122,"T")</f>
        <v>1</v>
      </c>
      <c r="I122" s="36" t="s">
        <v>10</v>
      </c>
      <c r="J122" s="32"/>
      <c r="K122" s="32"/>
      <c r="L122" s="32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 t="s">
        <v>12</v>
      </c>
      <c r="AB122" s="26"/>
      <c r="AC122" s="35"/>
      <c r="AD122" s="26"/>
      <c r="AE122" s="27"/>
      <c r="AF122" s="26"/>
      <c r="AG122" s="26"/>
      <c r="AH122" s="28" t="s">
        <v>16</v>
      </c>
      <c r="AI122" s="29" t="s">
        <v>13</v>
      </c>
      <c r="AJ122" s="26"/>
      <c r="AK122" s="97"/>
      <c r="AL122" s="98"/>
      <c r="AM122" s="97"/>
      <c r="AN122" s="97"/>
      <c r="AO122" s="99" t="s">
        <v>14</v>
      </c>
      <c r="AP122" s="100" t="s">
        <v>11</v>
      </c>
      <c r="AQ122" s="97"/>
      <c r="AR122" s="97"/>
      <c r="AS122" s="98"/>
      <c r="AT122" s="97"/>
      <c r="AU122" s="99" t="s">
        <v>15</v>
      </c>
      <c r="AV122" s="97"/>
      <c r="AW122" s="97"/>
      <c r="AX122" s="32">
        <v>17</v>
      </c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32"/>
      <c r="CP122" s="32"/>
    </row>
    <row r="123" spans="1:94" x14ac:dyDescent="0.25">
      <c r="A123" s="25" t="s">
        <v>146</v>
      </c>
      <c r="B123" s="25" t="s">
        <v>287</v>
      </c>
      <c r="C123" s="25" t="s">
        <v>533</v>
      </c>
      <c r="D123" s="25">
        <v>175</v>
      </c>
      <c r="E123" s="34" t="str" cm="1">
        <f t="array" ref="E123">IFERROR(INDEX($J$5:$AVX$5, _xlfn.AGGREGATE(15,6, COLUMN(J123:AVX123)-COLUMN(J123)+1 / (J123:AVX123="T"), F123)), "")</f>
        <v/>
      </c>
      <c r="F123" s="96">
        <f>$A$2</f>
        <v>2</v>
      </c>
      <c r="G123" s="34" cm="1">
        <f t="array" ref="G123">IFERROR(INDEX($J$5:$AVW$5,_xlfn.AGGREGATE(14,6,(COLUMN($J123:$AVW123)-COLUMN($J123)+1)/($J123:$AVW123="T"),1)),"")</f>
        <v>45979</v>
      </c>
      <c r="H123" s="105">
        <f>COUNTIF($J123:$AVV123,"T")</f>
        <v>1</v>
      </c>
      <c r="I123" s="36" t="s">
        <v>10</v>
      </c>
      <c r="J123" s="32"/>
      <c r="K123" s="32"/>
      <c r="L123" s="32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 t="s">
        <v>12</v>
      </c>
      <c r="AB123" s="26"/>
      <c r="AC123" s="35"/>
      <c r="AD123" s="26"/>
      <c r="AE123" s="27"/>
      <c r="AF123" s="26"/>
      <c r="AG123" s="26"/>
      <c r="AH123" s="28" t="s">
        <v>16</v>
      </c>
      <c r="AI123" s="29" t="s">
        <v>13</v>
      </c>
      <c r="AJ123" s="26"/>
      <c r="AK123" s="97"/>
      <c r="AL123" s="98"/>
      <c r="AM123" s="97"/>
      <c r="AN123" s="97"/>
      <c r="AO123" s="99" t="s">
        <v>14</v>
      </c>
      <c r="AP123" s="100" t="s">
        <v>11</v>
      </c>
      <c r="AQ123" s="97"/>
      <c r="AR123" s="97"/>
      <c r="AS123" s="98"/>
      <c r="AT123" s="97"/>
      <c r="AU123" s="99" t="s">
        <v>15</v>
      </c>
      <c r="AV123" s="97"/>
      <c r="AW123" s="97"/>
      <c r="AX123" s="32">
        <v>17</v>
      </c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32"/>
      <c r="CP123" s="32"/>
    </row>
    <row r="124" spans="1:94" x14ac:dyDescent="0.25">
      <c r="A124" s="39" t="s">
        <v>146</v>
      </c>
      <c r="B124" s="39" t="s">
        <v>288</v>
      </c>
      <c r="C124" s="25" t="s">
        <v>534</v>
      </c>
      <c r="D124" s="25">
        <v>176</v>
      </c>
      <c r="E124" s="34" t="str" cm="1">
        <f t="array" ref="E124">IFERROR(INDEX($J$5:$AVX$5, _xlfn.AGGREGATE(15,6, COLUMN(J124:AVX124)-COLUMN(J124)+1 / (J124:AVX124="T"), F124)), "")</f>
        <v/>
      </c>
      <c r="F124" s="96">
        <f>$A$2</f>
        <v>2</v>
      </c>
      <c r="G124" s="34" cm="1">
        <f t="array" ref="G124">IFERROR(INDEX($J$5:$AVW$5,_xlfn.AGGREGATE(14,6,(COLUMN($J124:$AVW124)-COLUMN($J124)+1)/($J124:$AVW124="T"),1)),"")</f>
        <v>45979</v>
      </c>
      <c r="H124" s="105">
        <f>COUNTIF($J124:$AVV124,"T")</f>
        <v>1</v>
      </c>
      <c r="I124" s="41" t="s">
        <v>10</v>
      </c>
      <c r="J124" s="32"/>
      <c r="K124" s="32"/>
      <c r="L124" s="32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 t="s">
        <v>12</v>
      </c>
      <c r="AB124" s="26"/>
      <c r="AC124" s="35"/>
      <c r="AD124" s="26"/>
      <c r="AE124" s="27"/>
      <c r="AF124" s="26"/>
      <c r="AG124" s="26"/>
      <c r="AH124" s="28" t="s">
        <v>16</v>
      </c>
      <c r="AI124" s="29" t="s">
        <v>13</v>
      </c>
      <c r="AJ124" s="26"/>
      <c r="AK124" s="97"/>
      <c r="AL124" s="98"/>
      <c r="AM124" s="97"/>
      <c r="AN124" s="97"/>
      <c r="AO124" s="99" t="s">
        <v>14</v>
      </c>
      <c r="AP124" s="100" t="s">
        <v>11</v>
      </c>
      <c r="AQ124" s="97"/>
      <c r="AR124" s="97"/>
      <c r="AS124" s="98"/>
      <c r="AT124" s="97"/>
      <c r="AU124" s="99" t="s">
        <v>15</v>
      </c>
      <c r="AV124" s="97"/>
      <c r="AW124" s="97"/>
      <c r="AX124" s="32">
        <v>17</v>
      </c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32"/>
      <c r="CP124" s="32"/>
    </row>
    <row r="125" spans="1:94" x14ac:dyDescent="0.25">
      <c r="A125" s="39" t="s">
        <v>146</v>
      </c>
      <c r="B125" s="39" t="s">
        <v>289</v>
      </c>
      <c r="C125" s="25" t="s">
        <v>535</v>
      </c>
      <c r="D125" s="25">
        <v>177</v>
      </c>
      <c r="E125" s="34" t="str" cm="1">
        <f t="array" ref="E125">IFERROR(INDEX($J$5:$AVX$5, _xlfn.AGGREGATE(15,6, COLUMN(J125:AVX125)-COLUMN(J125)+1 / (J125:AVX125="T"), F125)), "")</f>
        <v/>
      </c>
      <c r="F125" s="96">
        <f>$A$2</f>
        <v>2</v>
      </c>
      <c r="G125" s="34" cm="1">
        <f t="array" ref="G125">IFERROR(INDEX($J$5:$AVW$5,_xlfn.AGGREGATE(14,6,(COLUMN($J125:$AVW125)-COLUMN($J125)+1)/($J125:$AVW125="T"),1)),"")</f>
        <v>45979</v>
      </c>
      <c r="H125" s="105">
        <f>COUNTIF($J125:$AVV125,"T")</f>
        <v>1</v>
      </c>
      <c r="I125" s="41" t="s">
        <v>10</v>
      </c>
      <c r="J125" s="32"/>
      <c r="K125" s="32"/>
      <c r="L125" s="32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 t="s">
        <v>12</v>
      </c>
      <c r="AB125" s="26"/>
      <c r="AC125" s="35"/>
      <c r="AD125" s="26"/>
      <c r="AE125" s="27"/>
      <c r="AF125" s="26"/>
      <c r="AG125" s="26"/>
      <c r="AH125" s="28" t="s">
        <v>16</v>
      </c>
      <c r="AI125" s="29" t="s">
        <v>13</v>
      </c>
      <c r="AJ125" s="26"/>
      <c r="AK125" s="97"/>
      <c r="AL125" s="98"/>
      <c r="AM125" s="97"/>
      <c r="AN125" s="97"/>
      <c r="AO125" s="99" t="s">
        <v>14</v>
      </c>
      <c r="AP125" s="100" t="s">
        <v>11</v>
      </c>
      <c r="AQ125" s="97"/>
      <c r="AR125" s="97"/>
      <c r="AS125" s="98"/>
      <c r="AT125" s="97"/>
      <c r="AU125" s="99" t="s">
        <v>15</v>
      </c>
      <c r="AV125" s="97"/>
      <c r="AW125" s="97"/>
      <c r="AX125" s="32">
        <v>17</v>
      </c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32"/>
      <c r="CP125" s="32"/>
    </row>
    <row r="126" spans="1:94" x14ac:dyDescent="0.25">
      <c r="A126" s="25" t="s">
        <v>146</v>
      </c>
      <c r="B126" s="25" t="s">
        <v>274</v>
      </c>
      <c r="C126" s="25" t="s">
        <v>520</v>
      </c>
      <c r="D126" s="25">
        <v>162</v>
      </c>
      <c r="E126" s="34" t="str" cm="1">
        <f t="array" ref="E126">IFERROR(INDEX($J$5:$AVX$5, _xlfn.AGGREGATE(15,6, COLUMN(J126:AVX126)-COLUMN(J126)+1 / (J126:AVX126="T"), F126)), "")</f>
        <v/>
      </c>
      <c r="F126" s="96">
        <f>$A$2</f>
        <v>2</v>
      </c>
      <c r="G126" s="34" cm="1">
        <f t="array" ref="G126">IFERROR(INDEX($J$5:$AVW$5,_xlfn.AGGREGATE(14,6,(COLUMN($J126:$AVW126)-COLUMN($J126)+1)/($J126:$AVW126="T"),1)),"")</f>
        <v>45978</v>
      </c>
      <c r="H126" s="105">
        <f>COUNTIF($J126:$AVV126,"T")</f>
        <v>1</v>
      </c>
      <c r="I126" s="36" t="s">
        <v>10</v>
      </c>
      <c r="J126" s="32"/>
      <c r="K126" s="32"/>
      <c r="L126" s="32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 t="s">
        <v>12</v>
      </c>
      <c r="AA126" s="26"/>
      <c r="AB126" s="26"/>
      <c r="AC126" s="35"/>
      <c r="AD126" s="27"/>
      <c r="AE126" s="26"/>
      <c r="AF126" s="26"/>
      <c r="AG126" s="28" t="s">
        <v>16</v>
      </c>
      <c r="AH126" s="29" t="s">
        <v>13</v>
      </c>
      <c r="AI126" s="26"/>
      <c r="AJ126" s="26"/>
      <c r="AK126" s="98"/>
      <c r="AL126" s="97"/>
      <c r="AM126" s="97"/>
      <c r="AN126" s="99" t="s">
        <v>14</v>
      </c>
      <c r="AO126" s="100" t="s">
        <v>11</v>
      </c>
      <c r="AP126" s="97"/>
      <c r="AQ126" s="97"/>
      <c r="AR126" s="98"/>
      <c r="AS126" s="97"/>
      <c r="AT126" s="99" t="s">
        <v>15</v>
      </c>
      <c r="AU126" s="97"/>
      <c r="AV126" s="97"/>
      <c r="AW126" s="32">
        <v>17</v>
      </c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32"/>
      <c r="CP126" s="32"/>
    </row>
    <row r="127" spans="1:94" x14ac:dyDescent="0.25">
      <c r="A127" s="25" t="s">
        <v>146</v>
      </c>
      <c r="B127" s="25" t="s">
        <v>275</v>
      </c>
      <c r="C127" s="25" t="s">
        <v>521</v>
      </c>
      <c r="D127" s="25">
        <v>163</v>
      </c>
      <c r="E127" s="34" t="str" cm="1">
        <f t="array" ref="E127">IFERROR(INDEX($J$5:$AVX$5, _xlfn.AGGREGATE(15,6, COLUMN(J127:AVX127)-COLUMN(J127)+1 / (J127:AVX127="T"), F127)), "")</f>
        <v/>
      </c>
      <c r="F127" s="96">
        <f>$A$2</f>
        <v>2</v>
      </c>
      <c r="G127" s="34" cm="1">
        <f t="array" ref="G127">IFERROR(INDEX($J$5:$AVW$5,_xlfn.AGGREGATE(14,6,(COLUMN($J127:$AVW127)-COLUMN($J127)+1)/($J127:$AVW127="T"),1)),"")</f>
        <v>45978</v>
      </c>
      <c r="H127" s="105">
        <f>COUNTIF($J127:$AVV127,"T")</f>
        <v>1</v>
      </c>
      <c r="I127" s="36" t="s">
        <v>10</v>
      </c>
      <c r="J127" s="32"/>
      <c r="K127" s="32"/>
      <c r="L127" s="32"/>
      <c r="M127" s="32"/>
      <c r="N127" s="32"/>
      <c r="O127" s="32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 t="s">
        <v>12</v>
      </c>
      <c r="AA127" s="26"/>
      <c r="AB127" s="26"/>
      <c r="AC127" s="26"/>
      <c r="AD127" s="102"/>
      <c r="AE127" s="26"/>
      <c r="AF127" s="26"/>
      <c r="AG127" s="28" t="s">
        <v>16</v>
      </c>
      <c r="AH127" s="29" t="s">
        <v>13</v>
      </c>
      <c r="AI127" s="26"/>
      <c r="AJ127" s="26"/>
      <c r="AK127" s="27"/>
      <c r="AL127" s="26"/>
      <c r="AM127" s="26"/>
      <c r="AN127" s="99" t="s">
        <v>14</v>
      </c>
      <c r="AO127" s="100" t="s">
        <v>11</v>
      </c>
      <c r="AP127" s="97"/>
      <c r="AQ127" s="97"/>
      <c r="AR127" s="98"/>
      <c r="AS127" s="97"/>
      <c r="AT127" s="99" t="s">
        <v>15</v>
      </c>
      <c r="AU127" s="97"/>
      <c r="AV127" s="97"/>
      <c r="AW127" s="32">
        <v>17</v>
      </c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32"/>
      <c r="CP127" s="32"/>
    </row>
    <row r="128" spans="1:94" s="38" customFormat="1" x14ac:dyDescent="0.25">
      <c r="A128" s="25" t="s">
        <v>146</v>
      </c>
      <c r="B128" s="25" t="s">
        <v>276</v>
      </c>
      <c r="C128" s="25" t="s">
        <v>522</v>
      </c>
      <c r="D128" s="25">
        <v>164</v>
      </c>
      <c r="E128" s="34" t="str" cm="1">
        <f t="array" ref="E128">IFERROR(INDEX($J$5:$AVX$5, _xlfn.AGGREGATE(15,6, COLUMN(J128:AVX128)-COLUMN(J128)+1 / (J128:AVX128="T"), F128)), "")</f>
        <v/>
      </c>
      <c r="F128" s="96">
        <f>$A$2</f>
        <v>2</v>
      </c>
      <c r="G128" s="34" cm="1">
        <f t="array" ref="G128">IFERROR(INDEX($J$5:$AVW$5,_xlfn.AGGREGATE(14,6,(COLUMN($J128:$AVW128)-COLUMN($J128)+1)/($J128:$AVW128="T"),1)),"")</f>
        <v>45978</v>
      </c>
      <c r="H128" s="105">
        <f>COUNTIF($J128:$AVV128,"T")</f>
        <v>1</v>
      </c>
      <c r="I128" s="36" t="s">
        <v>10</v>
      </c>
      <c r="J128" s="32"/>
      <c r="K128" s="32"/>
      <c r="L128" s="32"/>
      <c r="M128" s="32"/>
      <c r="N128" s="32"/>
      <c r="O128" s="32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 t="s">
        <v>12</v>
      </c>
      <c r="AA128" s="26"/>
      <c r="AB128" s="26"/>
      <c r="AC128" s="26"/>
      <c r="AD128" s="102"/>
      <c r="AE128" s="26"/>
      <c r="AF128" s="26"/>
      <c r="AG128" s="28" t="s">
        <v>16</v>
      </c>
      <c r="AH128" s="29" t="s">
        <v>13</v>
      </c>
      <c r="AI128" s="26"/>
      <c r="AJ128" s="26"/>
      <c r="AK128" s="27"/>
      <c r="AL128" s="26"/>
      <c r="AM128" s="26"/>
      <c r="AN128" s="99" t="s">
        <v>14</v>
      </c>
      <c r="AO128" s="100" t="s">
        <v>11</v>
      </c>
      <c r="AP128" s="97"/>
      <c r="AQ128" s="97"/>
      <c r="AR128" s="98"/>
      <c r="AS128" s="97"/>
      <c r="AT128" s="99" t="s">
        <v>15</v>
      </c>
      <c r="AU128" s="97"/>
      <c r="AV128" s="97"/>
      <c r="AW128" s="32">
        <v>17</v>
      </c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32"/>
      <c r="CP128" s="32"/>
    </row>
    <row r="129" spans="1:95" s="38" customFormat="1" x14ac:dyDescent="0.25">
      <c r="A129" s="25" t="s">
        <v>146</v>
      </c>
      <c r="B129" s="25" t="s">
        <v>277</v>
      </c>
      <c r="C129" s="25" t="s">
        <v>523</v>
      </c>
      <c r="D129" s="25">
        <v>165</v>
      </c>
      <c r="E129" s="34" t="str" cm="1">
        <f t="array" ref="E129">IFERROR(INDEX($J$5:$AVX$5, _xlfn.AGGREGATE(15,6, COLUMN(J129:AVX129)-COLUMN(J129)+1 / (J129:AVX129="T"), F129)), "")</f>
        <v/>
      </c>
      <c r="F129" s="96">
        <f>$A$2</f>
        <v>2</v>
      </c>
      <c r="G129" s="34" cm="1">
        <f t="array" ref="G129">IFERROR(INDEX($J$5:$AVW$5,_xlfn.AGGREGATE(14,6,(COLUMN($J129:$AVW129)-COLUMN($J129)+1)/($J129:$AVW129="T"),1)),"")</f>
        <v>45978</v>
      </c>
      <c r="H129" s="105">
        <f>COUNTIF($J129:$AVV129,"T")</f>
        <v>1</v>
      </c>
      <c r="I129" s="36" t="s">
        <v>10</v>
      </c>
      <c r="J129" s="32"/>
      <c r="K129" s="32"/>
      <c r="L129" s="32"/>
      <c r="M129" s="32"/>
      <c r="N129" s="32"/>
      <c r="O129" s="32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 t="s">
        <v>12</v>
      </c>
      <c r="AA129" s="26"/>
      <c r="AB129" s="26"/>
      <c r="AC129" s="26"/>
      <c r="AD129" s="102"/>
      <c r="AE129" s="26"/>
      <c r="AF129" s="26"/>
      <c r="AG129" s="28" t="s">
        <v>16</v>
      </c>
      <c r="AH129" s="29" t="s">
        <v>13</v>
      </c>
      <c r="AI129" s="26"/>
      <c r="AJ129" s="26"/>
      <c r="AK129" s="27"/>
      <c r="AL129" s="26"/>
      <c r="AM129" s="26"/>
      <c r="AN129" s="99" t="s">
        <v>14</v>
      </c>
      <c r="AO129" s="100" t="s">
        <v>11</v>
      </c>
      <c r="AP129" s="97"/>
      <c r="AQ129" s="97"/>
      <c r="AR129" s="98"/>
      <c r="AS129" s="97"/>
      <c r="AT129" s="99" t="s">
        <v>15</v>
      </c>
      <c r="AU129" s="97"/>
      <c r="AV129" s="97"/>
      <c r="AW129" s="32">
        <v>17</v>
      </c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</row>
    <row r="130" spans="1:95" s="38" customFormat="1" x14ac:dyDescent="0.25">
      <c r="A130" s="25" t="s">
        <v>146</v>
      </c>
      <c r="B130" s="25" t="s">
        <v>278</v>
      </c>
      <c r="C130" s="25" t="s">
        <v>524</v>
      </c>
      <c r="D130" s="25">
        <v>166</v>
      </c>
      <c r="E130" s="34" t="str" cm="1">
        <f t="array" ref="E130">IFERROR(INDEX($J$5:$AVX$5, _xlfn.AGGREGATE(15,6, COLUMN(J130:AVX130)-COLUMN(J130)+1 / (J130:AVX130="T"), F130)), "")</f>
        <v/>
      </c>
      <c r="F130" s="96">
        <f>$A$2</f>
        <v>2</v>
      </c>
      <c r="G130" s="34" cm="1">
        <f t="array" ref="G130">IFERROR(INDEX($J$5:$AVW$5,_xlfn.AGGREGATE(14,6,(COLUMN($J130:$AVW130)-COLUMN($J130)+1)/($J130:$AVW130="T"),1)),"")</f>
        <v>45978</v>
      </c>
      <c r="H130" s="105">
        <f>COUNTIF($J130:$AVV130,"T")</f>
        <v>1</v>
      </c>
      <c r="I130" s="36" t="s">
        <v>10</v>
      </c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 t="s">
        <v>12</v>
      </c>
      <c r="AA130" s="97"/>
      <c r="AB130" s="97"/>
      <c r="AC130" s="97"/>
      <c r="AD130" s="98"/>
      <c r="AE130" s="97"/>
      <c r="AF130" s="97"/>
      <c r="AG130" s="99" t="s">
        <v>16</v>
      </c>
      <c r="AH130" s="100" t="s">
        <v>13</v>
      </c>
      <c r="AI130" s="97"/>
      <c r="AJ130" s="97"/>
      <c r="AK130" s="98"/>
      <c r="AL130" s="97"/>
      <c r="AM130" s="97"/>
      <c r="AN130" s="99" t="s">
        <v>14</v>
      </c>
      <c r="AO130" s="100" t="s">
        <v>11</v>
      </c>
      <c r="AP130" s="97"/>
      <c r="AQ130" s="97"/>
      <c r="AR130" s="98"/>
      <c r="AS130" s="97"/>
      <c r="AT130" s="99" t="s">
        <v>15</v>
      </c>
      <c r="AU130" s="97"/>
      <c r="AV130" s="97"/>
      <c r="AW130" s="32">
        <v>17</v>
      </c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32"/>
      <c r="CP130" s="32"/>
    </row>
    <row r="131" spans="1:95" s="38" customFormat="1" x14ac:dyDescent="0.25">
      <c r="A131" s="25" t="s">
        <v>146</v>
      </c>
      <c r="B131" s="25" t="s">
        <v>279</v>
      </c>
      <c r="C131" s="25" t="s">
        <v>525</v>
      </c>
      <c r="D131" s="25">
        <v>167</v>
      </c>
      <c r="E131" s="34" t="str" cm="1">
        <f t="array" ref="E131">IFERROR(INDEX($J$5:$AVX$5, _xlfn.AGGREGATE(15,6, COLUMN(J131:AVX131)-COLUMN(J131)+1 / (J131:AVX131="T"), F131)), "")</f>
        <v/>
      </c>
      <c r="F131" s="96">
        <f>$A$2</f>
        <v>2</v>
      </c>
      <c r="G131" s="34" cm="1">
        <f t="array" ref="G131">IFERROR(INDEX($J$5:$AVW$5,_xlfn.AGGREGATE(14,6,(COLUMN($J131:$AVW131)-COLUMN($J131)+1)/($J131:$AVW131="T"),1)),"")</f>
        <v>45978</v>
      </c>
      <c r="H131" s="105">
        <f>COUNTIF($J131:$AVV131,"T")</f>
        <v>1</v>
      </c>
      <c r="I131" s="36" t="s">
        <v>10</v>
      </c>
      <c r="J131" s="32"/>
      <c r="K131" s="32"/>
      <c r="L131" s="32"/>
      <c r="M131" s="32"/>
      <c r="N131" s="32"/>
      <c r="O131" s="32"/>
      <c r="P131" s="32"/>
      <c r="Q131" s="25"/>
      <c r="R131" s="25"/>
      <c r="S131" s="25"/>
      <c r="T131" s="25"/>
      <c r="U131" s="25"/>
      <c r="V131" s="25"/>
      <c r="W131" s="25"/>
      <c r="X131" s="25"/>
      <c r="Y131" s="25"/>
      <c r="Z131" s="25" t="s">
        <v>12</v>
      </c>
      <c r="AA131" s="26"/>
      <c r="AB131" s="26"/>
      <c r="AC131" s="26"/>
      <c r="AD131" s="27"/>
      <c r="AE131" s="35"/>
      <c r="AF131" s="26"/>
      <c r="AG131" s="28" t="s">
        <v>16</v>
      </c>
      <c r="AH131" s="29" t="s">
        <v>13</v>
      </c>
      <c r="AI131" s="26"/>
      <c r="AJ131" s="26"/>
      <c r="AK131" s="27"/>
      <c r="AL131" s="26"/>
      <c r="AM131" s="26"/>
      <c r="AN131" s="28" t="s">
        <v>14</v>
      </c>
      <c r="AO131" s="100" t="s">
        <v>11</v>
      </c>
      <c r="AP131" s="97"/>
      <c r="AQ131" s="97"/>
      <c r="AR131" s="98"/>
      <c r="AS131" s="97"/>
      <c r="AT131" s="99" t="s">
        <v>15</v>
      </c>
      <c r="AU131" s="97"/>
      <c r="AV131" s="97"/>
      <c r="AW131" s="32">
        <v>17</v>
      </c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</row>
    <row r="132" spans="1:95" s="38" customFormat="1" x14ac:dyDescent="0.25">
      <c r="A132" s="25" t="s">
        <v>146</v>
      </c>
      <c r="B132" s="25" t="s">
        <v>280</v>
      </c>
      <c r="C132" s="25" t="s">
        <v>526</v>
      </c>
      <c r="D132" s="25">
        <v>168</v>
      </c>
      <c r="E132" s="34" t="str" cm="1">
        <f t="array" ref="E132">IFERROR(INDEX($J$5:$AVX$5, _xlfn.AGGREGATE(15,6, COLUMN(J132:AVX132)-COLUMN(J132)+1 / (J132:AVX132="T"), F132)), "")</f>
        <v/>
      </c>
      <c r="F132" s="96">
        <f>$A$2</f>
        <v>2</v>
      </c>
      <c r="G132" s="34" cm="1">
        <f t="array" ref="G132">IFERROR(INDEX($J$5:$AVW$5,_xlfn.AGGREGATE(14,6,(COLUMN($J132:$AVW132)-COLUMN($J132)+1)/($J132:$AVW132="T"),1)),"")</f>
        <v>45978</v>
      </c>
      <c r="H132" s="105">
        <f>COUNTIF($J132:$AVV132,"T")</f>
        <v>1</v>
      </c>
      <c r="I132" s="36" t="s">
        <v>10</v>
      </c>
      <c r="J132" s="32"/>
      <c r="K132" s="32"/>
      <c r="L132" s="32"/>
      <c r="M132" s="32"/>
      <c r="N132" s="32"/>
      <c r="O132" s="32"/>
      <c r="P132" s="32"/>
      <c r="Q132" s="25"/>
      <c r="R132" s="25"/>
      <c r="S132" s="25"/>
      <c r="T132" s="25"/>
      <c r="U132" s="25"/>
      <c r="V132" s="25"/>
      <c r="W132" s="25"/>
      <c r="X132" s="25"/>
      <c r="Y132" s="25"/>
      <c r="Z132" s="25" t="s">
        <v>12</v>
      </c>
      <c r="AA132" s="26"/>
      <c r="AB132" s="26"/>
      <c r="AC132" s="26"/>
      <c r="AD132" s="27"/>
      <c r="AE132" s="26"/>
      <c r="AF132" s="26"/>
      <c r="AG132" s="31" t="s">
        <v>16</v>
      </c>
      <c r="AH132" s="29" t="s">
        <v>13</v>
      </c>
      <c r="AI132" s="26"/>
      <c r="AJ132" s="26"/>
      <c r="AK132" s="27"/>
      <c r="AL132" s="26"/>
      <c r="AM132" s="26"/>
      <c r="AN132" s="28" t="s">
        <v>14</v>
      </c>
      <c r="AO132" s="100" t="s">
        <v>11</v>
      </c>
      <c r="AP132" s="97"/>
      <c r="AQ132" s="97"/>
      <c r="AR132" s="98"/>
      <c r="AS132" s="97"/>
      <c r="AT132" s="99" t="s">
        <v>15</v>
      </c>
      <c r="AU132" s="97"/>
      <c r="AV132" s="97"/>
      <c r="AW132" s="32">
        <v>17</v>
      </c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32"/>
      <c r="CP132" s="32"/>
    </row>
    <row r="133" spans="1:95" s="38" customFormat="1" x14ac:dyDescent="0.25">
      <c r="A133" s="25" t="s">
        <v>146</v>
      </c>
      <c r="B133" s="25" t="s">
        <v>267</v>
      </c>
      <c r="C133" s="25" t="s">
        <v>513</v>
      </c>
      <c r="D133" s="25">
        <v>155</v>
      </c>
      <c r="E133" s="34" t="str" cm="1">
        <f t="array" ref="E133">IFERROR(INDEX($J$5:$AVX$5, _xlfn.AGGREGATE(15,6, COLUMN(J133:AVX133)-COLUMN(J133)+1 / (J133:AVX133="T"), F133)), "")</f>
        <v/>
      </c>
      <c r="F133" s="96">
        <f>$A$2</f>
        <v>2</v>
      </c>
      <c r="G133" s="34" cm="1">
        <f t="array" ref="G133">IFERROR(INDEX($J$5:$AVW$5,_xlfn.AGGREGATE(14,6,(COLUMN($J133:$AVW133)-COLUMN($J133)+1)/($J133:$AVW133="T"),1)),"")</f>
        <v>45977</v>
      </c>
      <c r="H133" s="105">
        <f>COUNTIF($J133:$AVV133,"T")</f>
        <v>1</v>
      </c>
      <c r="I133" s="36" t="s">
        <v>10</v>
      </c>
      <c r="J133" s="32"/>
      <c r="K133" s="32"/>
      <c r="L133" s="32"/>
      <c r="M133" s="32"/>
      <c r="N133" s="32"/>
      <c r="O133" s="32"/>
      <c r="P133" s="32"/>
      <c r="Q133" s="25"/>
      <c r="R133" s="25"/>
      <c r="S133" s="25"/>
      <c r="T133" s="25"/>
      <c r="U133" s="25"/>
      <c r="V133" s="25"/>
      <c r="W133" s="25"/>
      <c r="X133" s="25"/>
      <c r="Y133" s="25" t="s">
        <v>12</v>
      </c>
      <c r="Z133" s="26"/>
      <c r="AA133" s="26"/>
      <c r="AB133" s="26"/>
      <c r="AC133" s="27"/>
      <c r="AD133" s="26"/>
      <c r="AE133" s="26"/>
      <c r="AF133" s="28" t="s">
        <v>16</v>
      </c>
      <c r="AG133" s="101" t="s">
        <v>13</v>
      </c>
      <c r="AH133" s="26"/>
      <c r="AI133" s="26"/>
      <c r="AJ133" s="27"/>
      <c r="AK133" s="26"/>
      <c r="AL133" s="26"/>
      <c r="AM133" s="28" t="s">
        <v>14</v>
      </c>
      <c r="AN133" s="29" t="s">
        <v>11</v>
      </c>
      <c r="AO133" s="97"/>
      <c r="AP133" s="97"/>
      <c r="AQ133" s="98"/>
      <c r="AR133" s="97"/>
      <c r="AS133" s="99" t="s">
        <v>15</v>
      </c>
      <c r="AT133" s="97"/>
      <c r="AU133" s="97"/>
      <c r="AV133" s="32">
        <v>17</v>
      </c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32"/>
      <c r="CP133" s="32"/>
    </row>
    <row r="134" spans="1:95" s="38" customFormat="1" x14ac:dyDescent="0.25">
      <c r="A134" s="25" t="s">
        <v>146</v>
      </c>
      <c r="B134" s="25" t="s">
        <v>268</v>
      </c>
      <c r="C134" s="25" t="s">
        <v>514</v>
      </c>
      <c r="D134" s="25">
        <v>156</v>
      </c>
      <c r="E134" s="34" t="str" cm="1">
        <f t="array" ref="E134">IFERROR(INDEX($J$5:$AVX$5, _xlfn.AGGREGATE(15,6, COLUMN(J134:AVX134)-COLUMN(J134)+1 / (J134:AVX134="T"), F134)), "")</f>
        <v/>
      </c>
      <c r="F134" s="96">
        <f>$A$2</f>
        <v>2</v>
      </c>
      <c r="G134" s="34" cm="1">
        <f t="array" ref="G134">IFERROR(INDEX($J$5:$AVW$5,_xlfn.AGGREGATE(14,6,(COLUMN($J134:$AVW134)-COLUMN($J134)+1)/($J134:$AVW134="T"),1)),"")</f>
        <v>45977</v>
      </c>
      <c r="H134" s="105">
        <f>COUNTIF($J134:$AVV134,"T")</f>
        <v>1</v>
      </c>
      <c r="I134" s="36" t="s">
        <v>10</v>
      </c>
      <c r="J134" s="32"/>
      <c r="K134" s="32"/>
      <c r="L134" s="32"/>
      <c r="M134" s="32"/>
      <c r="N134" s="32"/>
      <c r="O134" s="32"/>
      <c r="P134" s="32"/>
      <c r="Q134" s="25"/>
      <c r="R134" s="25"/>
      <c r="S134" s="25"/>
      <c r="T134" s="25"/>
      <c r="U134" s="25"/>
      <c r="V134" s="25"/>
      <c r="W134" s="25"/>
      <c r="X134" s="25"/>
      <c r="Y134" s="25" t="s">
        <v>12</v>
      </c>
      <c r="Z134" s="26"/>
      <c r="AA134" s="26"/>
      <c r="AB134" s="26"/>
      <c r="AC134" s="27"/>
      <c r="AD134" s="26"/>
      <c r="AE134" s="26"/>
      <c r="AF134" s="28" t="s">
        <v>16</v>
      </c>
      <c r="AG134" s="101" t="s">
        <v>13</v>
      </c>
      <c r="AH134" s="26"/>
      <c r="AI134" s="26"/>
      <c r="AJ134" s="27"/>
      <c r="AK134" s="26"/>
      <c r="AL134" s="26"/>
      <c r="AM134" s="28" t="s">
        <v>14</v>
      </c>
      <c r="AN134" s="29" t="s">
        <v>11</v>
      </c>
      <c r="AO134" s="97"/>
      <c r="AP134" s="97"/>
      <c r="AQ134" s="98"/>
      <c r="AR134" s="97"/>
      <c r="AS134" s="99" t="s">
        <v>15</v>
      </c>
      <c r="AT134" s="97"/>
      <c r="AU134" s="97"/>
      <c r="AV134" s="32">
        <v>17</v>
      </c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32"/>
      <c r="CP134" s="32"/>
    </row>
    <row r="135" spans="1:95" x14ac:dyDescent="0.25">
      <c r="A135" s="25" t="s">
        <v>146</v>
      </c>
      <c r="B135" s="25" t="s">
        <v>269</v>
      </c>
      <c r="C135" s="25" t="s">
        <v>515</v>
      </c>
      <c r="D135" s="25">
        <v>157</v>
      </c>
      <c r="E135" s="34" t="str" cm="1">
        <f t="array" ref="E135">IFERROR(INDEX($J$5:$AVX$5, _xlfn.AGGREGATE(15,6, COLUMN(J135:AVX135)-COLUMN(J135)+1 / (J135:AVX135="T"), F135)), "")</f>
        <v/>
      </c>
      <c r="F135" s="96">
        <f>$A$2</f>
        <v>2</v>
      </c>
      <c r="G135" s="34" cm="1">
        <f t="array" ref="G135">IFERROR(INDEX($J$5:$AVW$5,_xlfn.AGGREGATE(14,6,(COLUMN($J135:$AVW135)-COLUMN($J135)+1)/($J135:$AVW135="T"),1)),"")</f>
        <v>45977</v>
      </c>
      <c r="H135" s="105">
        <f>COUNTIF($J135:$AVV135,"T")</f>
        <v>1</v>
      </c>
      <c r="I135" s="36" t="s">
        <v>10</v>
      </c>
      <c r="J135" s="32"/>
      <c r="K135" s="32"/>
      <c r="L135" s="32"/>
      <c r="M135" s="32"/>
      <c r="N135" s="32"/>
      <c r="O135" s="32"/>
      <c r="P135" s="32"/>
      <c r="Q135" s="25"/>
      <c r="R135" s="25"/>
      <c r="S135" s="25"/>
      <c r="T135" s="25"/>
      <c r="U135" s="25"/>
      <c r="V135" s="25"/>
      <c r="W135" s="25"/>
      <c r="X135" s="25"/>
      <c r="Y135" s="25" t="s">
        <v>12</v>
      </c>
      <c r="Z135" s="26"/>
      <c r="AA135" s="26"/>
      <c r="AB135" s="26"/>
      <c r="AC135" s="27"/>
      <c r="AD135" s="26"/>
      <c r="AE135" s="26"/>
      <c r="AF135" s="28" t="s">
        <v>16</v>
      </c>
      <c r="AG135" s="101" t="s">
        <v>13</v>
      </c>
      <c r="AH135" s="26"/>
      <c r="AI135" s="26"/>
      <c r="AJ135" s="27"/>
      <c r="AK135" s="26"/>
      <c r="AL135" s="26"/>
      <c r="AM135" s="28" t="s">
        <v>14</v>
      </c>
      <c r="AN135" s="29" t="s">
        <v>11</v>
      </c>
      <c r="AO135" s="97"/>
      <c r="AP135" s="97"/>
      <c r="AQ135" s="98"/>
      <c r="AR135" s="97"/>
      <c r="AS135" s="99" t="s">
        <v>15</v>
      </c>
      <c r="AT135" s="97"/>
      <c r="AU135" s="97"/>
      <c r="AV135" s="32">
        <v>17</v>
      </c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32"/>
      <c r="CP135" s="32"/>
    </row>
    <row r="136" spans="1:95" x14ac:dyDescent="0.25">
      <c r="A136" s="25" t="s">
        <v>146</v>
      </c>
      <c r="B136" s="25" t="s">
        <v>270</v>
      </c>
      <c r="C136" s="25" t="s">
        <v>516</v>
      </c>
      <c r="D136" s="25">
        <v>158</v>
      </c>
      <c r="E136" s="34" t="str" cm="1">
        <f t="array" ref="E136">IFERROR(INDEX($J$5:$AVX$5, _xlfn.AGGREGATE(15,6, COLUMN(J136:AVX136)-COLUMN(J136)+1 / (J136:AVX136="T"), F136)), "")</f>
        <v/>
      </c>
      <c r="F136" s="96">
        <f>$A$2</f>
        <v>2</v>
      </c>
      <c r="G136" s="34" cm="1">
        <f t="array" ref="G136">IFERROR(INDEX($J$5:$AVW$5,_xlfn.AGGREGATE(14,6,(COLUMN($J136:$AVW136)-COLUMN($J136)+1)/($J136:$AVW136="T"),1)),"")</f>
        <v>45977</v>
      </c>
      <c r="H136" s="105">
        <f>COUNTIF($J136:$AVV136,"T")</f>
        <v>1</v>
      </c>
      <c r="I136" s="36" t="s">
        <v>10</v>
      </c>
      <c r="J136" s="32"/>
      <c r="K136" s="32"/>
      <c r="L136" s="32"/>
      <c r="M136" s="32"/>
      <c r="N136" s="32"/>
      <c r="O136" s="32"/>
      <c r="P136" s="32"/>
      <c r="Q136" s="25"/>
      <c r="R136" s="25"/>
      <c r="S136" s="25"/>
      <c r="T136" s="25"/>
      <c r="U136" s="25"/>
      <c r="V136" s="25"/>
      <c r="W136" s="25"/>
      <c r="X136" s="25"/>
      <c r="Y136" s="25" t="s">
        <v>12</v>
      </c>
      <c r="Z136" s="26"/>
      <c r="AA136" s="26"/>
      <c r="AB136" s="26"/>
      <c r="AC136" s="27"/>
      <c r="AD136" s="26"/>
      <c r="AE136" s="26"/>
      <c r="AF136" s="28" t="s">
        <v>16</v>
      </c>
      <c r="AG136" s="101" t="s">
        <v>13</v>
      </c>
      <c r="AH136" s="26"/>
      <c r="AI136" s="26"/>
      <c r="AJ136" s="27"/>
      <c r="AK136" s="26"/>
      <c r="AL136" s="26"/>
      <c r="AM136" s="28" t="s">
        <v>14</v>
      </c>
      <c r="AN136" s="29" t="s">
        <v>11</v>
      </c>
      <c r="AO136" s="97"/>
      <c r="AP136" s="97"/>
      <c r="AQ136" s="98"/>
      <c r="AR136" s="97"/>
      <c r="AS136" s="99" t="s">
        <v>15</v>
      </c>
      <c r="AT136" s="97"/>
      <c r="AU136" s="97"/>
      <c r="AV136" s="32">
        <v>17</v>
      </c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32"/>
      <c r="CP136" s="32"/>
    </row>
    <row r="137" spans="1:95" x14ac:dyDescent="0.25">
      <c r="A137" s="25" t="s">
        <v>146</v>
      </c>
      <c r="B137" s="25" t="s">
        <v>271</v>
      </c>
      <c r="C137" s="25" t="s">
        <v>517</v>
      </c>
      <c r="D137" s="25">
        <v>159</v>
      </c>
      <c r="E137" s="34" t="str" cm="1">
        <f t="array" ref="E137">IFERROR(INDEX($J$5:$AVX$5, _xlfn.AGGREGATE(15,6, COLUMN(J137:AVX137)-COLUMN(J137)+1 / (J137:AVX137="T"), F137)), "")</f>
        <v/>
      </c>
      <c r="F137" s="96">
        <f>$A$2</f>
        <v>2</v>
      </c>
      <c r="G137" s="34" cm="1">
        <f t="array" ref="G137">IFERROR(INDEX($J$5:$AVW$5,_xlfn.AGGREGATE(14,6,(COLUMN($J137:$AVW137)-COLUMN($J137)+1)/($J137:$AVW137="T"),1)),"")</f>
        <v>45977</v>
      </c>
      <c r="H137" s="105">
        <f>COUNTIF($J137:$AVV137,"T")</f>
        <v>1</v>
      </c>
      <c r="I137" s="36" t="s">
        <v>10</v>
      </c>
      <c r="J137" s="32"/>
      <c r="K137" s="32"/>
      <c r="L137" s="32"/>
      <c r="M137" s="32"/>
      <c r="N137" s="32"/>
      <c r="O137" s="32"/>
      <c r="P137" s="32"/>
      <c r="Q137" s="25"/>
      <c r="R137" s="25"/>
      <c r="S137" s="25"/>
      <c r="T137" s="25"/>
      <c r="U137" s="25"/>
      <c r="V137" s="25"/>
      <c r="W137" s="25"/>
      <c r="X137" s="25"/>
      <c r="Y137" s="25" t="s">
        <v>12</v>
      </c>
      <c r="Z137" s="26"/>
      <c r="AA137" s="26"/>
      <c r="AB137" s="26"/>
      <c r="AC137" s="27"/>
      <c r="AD137" s="26"/>
      <c r="AE137" s="26"/>
      <c r="AF137" s="28" t="s">
        <v>16</v>
      </c>
      <c r="AG137" s="101" t="s">
        <v>13</v>
      </c>
      <c r="AH137" s="26"/>
      <c r="AI137" s="26"/>
      <c r="AJ137" s="27"/>
      <c r="AK137" s="26"/>
      <c r="AL137" s="26"/>
      <c r="AM137" s="28" t="s">
        <v>14</v>
      </c>
      <c r="AN137" s="29" t="s">
        <v>11</v>
      </c>
      <c r="AO137" s="97"/>
      <c r="AP137" s="97"/>
      <c r="AQ137" s="98"/>
      <c r="AR137" s="97"/>
      <c r="AS137" s="99" t="s">
        <v>15</v>
      </c>
      <c r="AT137" s="97"/>
      <c r="AU137" s="97"/>
      <c r="AV137" s="32">
        <v>17</v>
      </c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32"/>
      <c r="CP137" s="32"/>
    </row>
    <row r="138" spans="1:95" x14ac:dyDescent="0.25">
      <c r="A138" s="25" t="s">
        <v>146</v>
      </c>
      <c r="B138" s="25" t="s">
        <v>272</v>
      </c>
      <c r="C138" s="25" t="s">
        <v>518</v>
      </c>
      <c r="D138" s="25">
        <v>160</v>
      </c>
      <c r="E138" s="34" t="str" cm="1">
        <f t="array" ref="E138">IFERROR(INDEX($J$5:$AVX$5, _xlfn.AGGREGATE(15,6, COLUMN(J138:AVX138)-COLUMN(J138)+1 / (J138:AVX138="T"), F138)), "")</f>
        <v/>
      </c>
      <c r="F138" s="96">
        <f>$A$2</f>
        <v>2</v>
      </c>
      <c r="G138" s="34" cm="1">
        <f t="array" ref="G138">IFERROR(INDEX($J$5:$AVW$5,_xlfn.AGGREGATE(14,6,(COLUMN($J138:$AVW138)-COLUMN($J138)+1)/($J138:$AVW138="T"),1)),"")</f>
        <v>45977</v>
      </c>
      <c r="H138" s="105">
        <f>COUNTIF($J138:$AVV138,"T")</f>
        <v>1</v>
      </c>
      <c r="I138" s="36" t="s">
        <v>10</v>
      </c>
      <c r="J138" s="32"/>
      <c r="K138" s="32"/>
      <c r="L138" s="32"/>
      <c r="M138" s="32"/>
      <c r="N138" s="32"/>
      <c r="O138" s="32"/>
      <c r="P138" s="32"/>
      <c r="Q138" s="32"/>
      <c r="R138" s="25"/>
      <c r="S138" s="25"/>
      <c r="T138" s="25"/>
      <c r="U138" s="25"/>
      <c r="V138" s="25"/>
      <c r="W138" s="25"/>
      <c r="X138" s="25"/>
      <c r="Y138" s="25" t="s">
        <v>12</v>
      </c>
      <c r="Z138" s="26"/>
      <c r="AA138" s="26"/>
      <c r="AB138" s="26"/>
      <c r="AC138" s="27"/>
      <c r="AD138" s="26"/>
      <c r="AE138" s="26"/>
      <c r="AF138" s="31" t="s">
        <v>16</v>
      </c>
      <c r="AG138" s="29" t="s">
        <v>13</v>
      </c>
      <c r="AH138" s="26"/>
      <c r="AI138" s="26"/>
      <c r="AJ138" s="27"/>
      <c r="AK138" s="26"/>
      <c r="AL138" s="26"/>
      <c r="AM138" s="28" t="s">
        <v>14</v>
      </c>
      <c r="AN138" s="29" t="s">
        <v>11</v>
      </c>
      <c r="AO138" s="26"/>
      <c r="AP138" s="97"/>
      <c r="AQ138" s="98"/>
      <c r="AR138" s="97"/>
      <c r="AS138" s="99" t="s">
        <v>15</v>
      </c>
      <c r="AT138" s="97"/>
      <c r="AU138" s="97"/>
      <c r="AV138" s="32">
        <v>17</v>
      </c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32"/>
      <c r="CP138" s="32"/>
      <c r="CQ138" s="25"/>
    </row>
    <row r="139" spans="1:95" x14ac:dyDescent="0.25">
      <c r="A139" s="25" t="s">
        <v>146</v>
      </c>
      <c r="B139" s="25" t="s">
        <v>273</v>
      </c>
      <c r="C139" s="25" t="s">
        <v>519</v>
      </c>
      <c r="D139" s="25">
        <v>161</v>
      </c>
      <c r="E139" s="34" t="str" cm="1">
        <f t="array" ref="E139">IFERROR(INDEX($J$5:$AVX$5, _xlfn.AGGREGATE(15,6, COLUMN(J139:AVX139)-COLUMN(J139)+1 / (J139:AVX139="T"), F139)), "")</f>
        <v/>
      </c>
      <c r="F139" s="96">
        <f>$A$2</f>
        <v>2</v>
      </c>
      <c r="G139" s="34" cm="1">
        <f t="array" ref="G139">IFERROR(INDEX($J$5:$AVW$5,_xlfn.AGGREGATE(14,6,(COLUMN($J139:$AVW139)-COLUMN($J139)+1)/($J139:$AVW139="T"),1)),"")</f>
        <v>45977</v>
      </c>
      <c r="H139" s="105">
        <f>COUNTIF($J139:$AVV139,"T")</f>
        <v>1</v>
      </c>
      <c r="I139" s="36" t="s">
        <v>10</v>
      </c>
      <c r="J139" s="32"/>
      <c r="K139" s="32"/>
      <c r="L139" s="32"/>
      <c r="M139" s="32"/>
      <c r="N139" s="32"/>
      <c r="O139" s="32"/>
      <c r="P139" s="32"/>
      <c r="Q139" s="32"/>
      <c r="R139" s="25"/>
      <c r="S139" s="25"/>
      <c r="T139" s="25"/>
      <c r="U139" s="25"/>
      <c r="V139" s="25"/>
      <c r="W139" s="25"/>
      <c r="X139" s="25"/>
      <c r="Y139" s="25" t="s">
        <v>12</v>
      </c>
      <c r="Z139" s="26"/>
      <c r="AA139" s="26"/>
      <c r="AB139" s="26"/>
      <c r="AC139" s="27"/>
      <c r="AD139" s="26"/>
      <c r="AE139" s="26"/>
      <c r="AF139" s="28" t="s">
        <v>16</v>
      </c>
      <c r="AG139" s="29" t="s">
        <v>13</v>
      </c>
      <c r="AH139" s="35"/>
      <c r="AI139" s="26"/>
      <c r="AJ139" s="27"/>
      <c r="AK139" s="26"/>
      <c r="AL139" s="26"/>
      <c r="AM139" s="28" t="s">
        <v>14</v>
      </c>
      <c r="AN139" s="29" t="s">
        <v>11</v>
      </c>
      <c r="AO139" s="26"/>
      <c r="AP139" s="97"/>
      <c r="AQ139" s="98"/>
      <c r="AR139" s="97"/>
      <c r="AS139" s="99" t="s">
        <v>15</v>
      </c>
      <c r="AT139" s="97"/>
      <c r="AU139" s="97"/>
      <c r="AV139" s="32">
        <v>17</v>
      </c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</row>
    <row r="140" spans="1:95" x14ac:dyDescent="0.25">
      <c r="A140" s="25" t="s">
        <v>146</v>
      </c>
      <c r="B140" s="25" t="s">
        <v>298</v>
      </c>
      <c r="C140" s="25" t="s">
        <v>537</v>
      </c>
      <c r="D140" s="25">
        <v>179</v>
      </c>
      <c r="E140" s="34" t="str" cm="1">
        <f t="array" ref="E140">IFERROR(INDEX($J$5:$AVX$5, _xlfn.AGGREGATE(15,6, COLUMN(J140:AVX140)-COLUMN(J140)+1 / (J140:AVX140="T"), F140)), "")</f>
        <v/>
      </c>
      <c r="F140" s="96">
        <f>$A$2</f>
        <v>2</v>
      </c>
      <c r="G140" s="34" cm="1">
        <f t="array" ref="G140">IFERROR(INDEX($J$5:$AVW$5,_xlfn.AGGREGATE(14,6,(COLUMN($J140:$AVW140)-COLUMN($J140)+1)/($J140:$AVW140="T"),1)),"")</f>
        <v>45976</v>
      </c>
      <c r="H140" s="105">
        <f>COUNTIF($J140:$AVV140,"T")</f>
        <v>1</v>
      </c>
      <c r="I140" s="36" t="s">
        <v>10</v>
      </c>
      <c r="J140" s="32"/>
      <c r="K140" s="32"/>
      <c r="L140" s="32"/>
      <c r="M140" s="32"/>
      <c r="N140" s="32"/>
      <c r="O140" s="32"/>
      <c r="P140" s="32"/>
      <c r="Q140" s="32"/>
      <c r="R140" s="25"/>
      <c r="S140" s="25"/>
      <c r="T140" s="25"/>
      <c r="U140" s="25"/>
      <c r="V140" s="25"/>
      <c r="W140" s="25"/>
      <c r="X140" s="25" t="s">
        <v>12</v>
      </c>
      <c r="Y140" s="26"/>
      <c r="Z140" s="26"/>
      <c r="AA140" s="26"/>
      <c r="AB140" s="27"/>
      <c r="AC140" s="26"/>
      <c r="AD140" s="26"/>
      <c r="AE140" s="28" t="s">
        <v>16</v>
      </c>
      <c r="AF140" s="29" t="s">
        <v>13</v>
      </c>
      <c r="AG140" s="26"/>
      <c r="AH140" s="35"/>
      <c r="AI140" s="27"/>
      <c r="AJ140" s="26"/>
      <c r="AK140" s="26"/>
      <c r="AL140" s="28" t="s">
        <v>14</v>
      </c>
      <c r="AM140" s="29" t="s">
        <v>11</v>
      </c>
      <c r="AN140" s="26"/>
      <c r="AO140" s="26"/>
      <c r="AP140" s="98"/>
      <c r="AQ140" s="97"/>
      <c r="AR140" s="99" t="s">
        <v>15</v>
      </c>
      <c r="AS140" s="97"/>
      <c r="AT140" s="97"/>
      <c r="AU140" s="32">
        <v>17</v>
      </c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32"/>
      <c r="CP140" s="32"/>
      <c r="CQ140" s="25"/>
    </row>
    <row r="141" spans="1:95" x14ac:dyDescent="0.25">
      <c r="A141" s="25" t="s">
        <v>146</v>
      </c>
      <c r="B141" s="25" t="s">
        <v>299</v>
      </c>
      <c r="C141" s="25" t="s">
        <v>538</v>
      </c>
      <c r="D141" s="25">
        <v>180</v>
      </c>
      <c r="E141" s="34" t="str" cm="1">
        <f t="array" ref="E141">IFERROR(INDEX($J$5:$AVX$5, _xlfn.AGGREGATE(15,6, COLUMN(J141:AVX141)-COLUMN(J141)+1 / (J141:AVX141="T"), F141)), "")</f>
        <v/>
      </c>
      <c r="F141" s="96">
        <f>$A$2</f>
        <v>2</v>
      </c>
      <c r="G141" s="34" cm="1">
        <f t="array" ref="G141">IFERROR(INDEX($J$5:$AVW$5,_xlfn.AGGREGATE(14,6,(COLUMN($J141:$AVW141)-COLUMN($J141)+1)/($J141:$AVW141="T"),1)),"")</f>
        <v>45976</v>
      </c>
      <c r="H141" s="105">
        <f>COUNTIF($J141:$AVV141,"T")</f>
        <v>1</v>
      </c>
      <c r="I141" s="36" t="s">
        <v>10</v>
      </c>
      <c r="J141" s="32"/>
      <c r="K141" s="32"/>
      <c r="L141" s="32"/>
      <c r="M141" s="32"/>
      <c r="N141" s="32"/>
      <c r="O141" s="32"/>
      <c r="P141" s="32"/>
      <c r="Q141" s="32"/>
      <c r="R141" s="25"/>
      <c r="S141" s="25"/>
      <c r="T141" s="25"/>
      <c r="U141" s="25"/>
      <c r="V141" s="25"/>
      <c r="W141" s="25"/>
      <c r="X141" s="25" t="s">
        <v>12</v>
      </c>
      <c r="Y141" s="26"/>
      <c r="Z141" s="26"/>
      <c r="AA141" s="26"/>
      <c r="AB141" s="27"/>
      <c r="AC141" s="26"/>
      <c r="AD141" s="26"/>
      <c r="AE141" s="28" t="s">
        <v>16</v>
      </c>
      <c r="AF141" s="29" t="s">
        <v>13</v>
      </c>
      <c r="AG141" s="26"/>
      <c r="AH141" s="35"/>
      <c r="AI141" s="27"/>
      <c r="AJ141" s="26"/>
      <c r="AK141" s="26"/>
      <c r="AL141" s="28" t="s">
        <v>14</v>
      </c>
      <c r="AM141" s="29" t="s">
        <v>11</v>
      </c>
      <c r="AN141" s="26"/>
      <c r="AO141" s="26"/>
      <c r="AP141" s="98"/>
      <c r="AQ141" s="97"/>
      <c r="AR141" s="99" t="s">
        <v>15</v>
      </c>
      <c r="AS141" s="97"/>
      <c r="AT141" s="97"/>
      <c r="AU141" s="32">
        <v>17</v>
      </c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32"/>
      <c r="CP141" s="32"/>
      <c r="CQ141" s="25"/>
    </row>
    <row r="142" spans="1:95" x14ac:dyDescent="0.25">
      <c r="A142" s="25" t="s">
        <v>146</v>
      </c>
      <c r="B142" s="25" t="s">
        <v>300</v>
      </c>
      <c r="C142" s="25" t="s">
        <v>539</v>
      </c>
      <c r="D142" s="25">
        <v>181</v>
      </c>
      <c r="E142" s="34" t="str" cm="1">
        <f t="array" ref="E142">IFERROR(INDEX($J$5:$AVX$5, _xlfn.AGGREGATE(15,6, COLUMN(J142:AVX142)-COLUMN(J142)+1 / (J142:AVX142="T"), F142)), "")</f>
        <v/>
      </c>
      <c r="F142" s="96">
        <f>$A$2</f>
        <v>2</v>
      </c>
      <c r="G142" s="34" cm="1">
        <f t="array" ref="G142">IFERROR(INDEX($J$5:$AVW$5,_xlfn.AGGREGATE(14,6,(COLUMN($J142:$AVW142)-COLUMN($J142)+1)/($J142:$AVW142="T"),1)),"")</f>
        <v>45976</v>
      </c>
      <c r="H142" s="105">
        <f>COUNTIF($J142:$AVV142,"T")</f>
        <v>1</v>
      </c>
      <c r="I142" s="36" t="s">
        <v>10</v>
      </c>
      <c r="J142" s="32"/>
      <c r="K142" s="32"/>
      <c r="L142" s="32"/>
      <c r="M142" s="32"/>
      <c r="N142" s="32"/>
      <c r="O142" s="32"/>
      <c r="P142" s="32"/>
      <c r="Q142" s="32"/>
      <c r="R142" s="25"/>
      <c r="S142" s="25"/>
      <c r="T142" s="25"/>
      <c r="U142" s="25"/>
      <c r="V142" s="25"/>
      <c r="W142" s="25"/>
      <c r="X142" s="25" t="s">
        <v>12</v>
      </c>
      <c r="Y142" s="26"/>
      <c r="Z142" s="26"/>
      <c r="AA142" s="26"/>
      <c r="AB142" s="27"/>
      <c r="AC142" s="26"/>
      <c r="AD142" s="26"/>
      <c r="AE142" s="28" t="s">
        <v>16</v>
      </c>
      <c r="AF142" s="29" t="s">
        <v>13</v>
      </c>
      <c r="AG142" s="26"/>
      <c r="AH142" s="35"/>
      <c r="AI142" s="27"/>
      <c r="AJ142" s="26"/>
      <c r="AK142" s="26"/>
      <c r="AL142" s="28" t="s">
        <v>14</v>
      </c>
      <c r="AM142" s="29" t="s">
        <v>11</v>
      </c>
      <c r="AN142" s="26"/>
      <c r="AO142" s="26"/>
      <c r="AP142" s="98"/>
      <c r="AQ142" s="97"/>
      <c r="AR142" s="99" t="s">
        <v>15</v>
      </c>
      <c r="AS142" s="97"/>
      <c r="AT142" s="97"/>
      <c r="AU142" s="32">
        <v>17</v>
      </c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32"/>
      <c r="CP142" s="32"/>
      <c r="CQ142" s="25"/>
    </row>
    <row r="143" spans="1:95" x14ac:dyDescent="0.25">
      <c r="A143" s="25" t="s">
        <v>146</v>
      </c>
      <c r="B143" s="25" t="s">
        <v>301</v>
      </c>
      <c r="C143" s="25" t="s">
        <v>540</v>
      </c>
      <c r="D143" s="25">
        <v>182</v>
      </c>
      <c r="E143" s="34" t="str" cm="1">
        <f t="array" ref="E143">IFERROR(INDEX($J$5:$AVX$5, _xlfn.AGGREGATE(15,6, COLUMN(J143:AVX143)-COLUMN(J143)+1 / (J143:AVX143="T"), F143)), "")</f>
        <v/>
      </c>
      <c r="F143" s="96">
        <f>$A$2</f>
        <v>2</v>
      </c>
      <c r="G143" s="34" cm="1">
        <f t="array" ref="G143">IFERROR(INDEX($J$5:$AVW$5,_xlfn.AGGREGATE(14,6,(COLUMN($J143:$AVW143)-COLUMN($J143)+1)/($J143:$AVW143="T"),1)),"")</f>
        <v>45976</v>
      </c>
      <c r="H143" s="105">
        <f>COUNTIF($J143:$AVV143,"T")</f>
        <v>1</v>
      </c>
      <c r="I143" s="36" t="s">
        <v>10</v>
      </c>
      <c r="J143" s="32"/>
      <c r="K143" s="32"/>
      <c r="L143" s="32"/>
      <c r="M143" s="32"/>
      <c r="N143" s="32"/>
      <c r="O143" s="32"/>
      <c r="P143" s="32"/>
      <c r="Q143" s="32"/>
      <c r="R143" s="25"/>
      <c r="S143" s="25"/>
      <c r="T143" s="25"/>
      <c r="U143" s="25"/>
      <c r="V143" s="25"/>
      <c r="W143" s="25"/>
      <c r="X143" s="25" t="s">
        <v>12</v>
      </c>
      <c r="Y143" s="26"/>
      <c r="Z143" s="26"/>
      <c r="AA143" s="26"/>
      <c r="AB143" s="27"/>
      <c r="AC143" s="26"/>
      <c r="AD143" s="26"/>
      <c r="AE143" s="28" t="s">
        <v>16</v>
      </c>
      <c r="AF143" s="29" t="s">
        <v>13</v>
      </c>
      <c r="AG143" s="26"/>
      <c r="AH143" s="35"/>
      <c r="AI143" s="27"/>
      <c r="AJ143" s="26"/>
      <c r="AK143" s="26"/>
      <c r="AL143" s="28" t="s">
        <v>14</v>
      </c>
      <c r="AM143" s="29" t="s">
        <v>11</v>
      </c>
      <c r="AN143" s="26"/>
      <c r="AO143" s="26"/>
      <c r="AP143" s="98"/>
      <c r="AQ143" s="97"/>
      <c r="AR143" s="99" t="s">
        <v>15</v>
      </c>
      <c r="AS143" s="97"/>
      <c r="AT143" s="97"/>
      <c r="AU143" s="32">
        <v>17</v>
      </c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32"/>
      <c r="CP143" s="32"/>
      <c r="CQ143" s="25"/>
    </row>
    <row r="144" spans="1:95" x14ac:dyDescent="0.25">
      <c r="A144" s="25" t="s">
        <v>146</v>
      </c>
      <c r="B144" s="25" t="s">
        <v>302</v>
      </c>
      <c r="C144" s="25" t="s">
        <v>541</v>
      </c>
      <c r="D144" s="25">
        <v>183</v>
      </c>
      <c r="E144" s="34" t="str" cm="1">
        <f t="array" ref="E144">IFERROR(INDEX($J$5:$AVX$5, _xlfn.AGGREGATE(15,6, COLUMN(J144:AVX144)-COLUMN(J144)+1 / (J144:AVX144="T"), F144)), "")</f>
        <v/>
      </c>
      <c r="F144" s="96">
        <f>$A$2</f>
        <v>2</v>
      </c>
      <c r="G144" s="34" cm="1">
        <f t="array" ref="G144">IFERROR(INDEX($J$5:$AVW$5,_xlfn.AGGREGATE(14,6,(COLUMN($J144:$AVW144)-COLUMN($J144)+1)/($J144:$AVW144="T"),1)),"")</f>
        <v>45976</v>
      </c>
      <c r="H144" s="105">
        <f>COUNTIF($J144:$AVV144,"T")</f>
        <v>1</v>
      </c>
      <c r="I144" s="36" t="s">
        <v>10</v>
      </c>
      <c r="J144" s="32"/>
      <c r="K144" s="32"/>
      <c r="L144" s="32"/>
      <c r="M144" s="32"/>
      <c r="N144" s="32"/>
      <c r="O144" s="32"/>
      <c r="P144" s="32"/>
      <c r="Q144" s="32"/>
      <c r="R144" s="25"/>
      <c r="S144" s="25"/>
      <c r="T144" s="25"/>
      <c r="U144" s="25"/>
      <c r="V144" s="25"/>
      <c r="W144" s="25"/>
      <c r="X144" s="25" t="s">
        <v>12</v>
      </c>
      <c r="Y144" s="26"/>
      <c r="Z144" s="26"/>
      <c r="AA144" s="26"/>
      <c r="AB144" s="27"/>
      <c r="AC144" s="26"/>
      <c r="AD144" s="26"/>
      <c r="AE144" s="28" t="s">
        <v>16</v>
      </c>
      <c r="AF144" s="29" t="s">
        <v>13</v>
      </c>
      <c r="AG144" s="26"/>
      <c r="AH144" s="35"/>
      <c r="AI144" s="27"/>
      <c r="AJ144" s="26"/>
      <c r="AK144" s="26"/>
      <c r="AL144" s="28" t="s">
        <v>14</v>
      </c>
      <c r="AM144" s="29" t="s">
        <v>11</v>
      </c>
      <c r="AN144" s="26"/>
      <c r="AO144" s="26"/>
      <c r="AP144" s="98"/>
      <c r="AQ144" s="97"/>
      <c r="AR144" s="99" t="s">
        <v>15</v>
      </c>
      <c r="AS144" s="97"/>
      <c r="AT144" s="97"/>
      <c r="AU144" s="32">
        <v>17</v>
      </c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32"/>
      <c r="CP144" s="32"/>
      <c r="CQ144" s="25"/>
    </row>
    <row r="145" spans="1:96" x14ac:dyDescent="0.25">
      <c r="A145" s="25" t="s">
        <v>146</v>
      </c>
      <c r="B145" s="25" t="s">
        <v>303</v>
      </c>
      <c r="C145" s="25" t="s">
        <v>542</v>
      </c>
      <c r="D145" s="25">
        <v>184</v>
      </c>
      <c r="E145" s="34" t="str" cm="1">
        <f t="array" ref="E145">IFERROR(INDEX($J$5:$AVX$5, _xlfn.AGGREGATE(15,6, COLUMN(J145:AVX145)-COLUMN(J145)+1 / (J145:AVX145="T"), F145)), "")</f>
        <v/>
      </c>
      <c r="F145" s="96">
        <f>$A$2</f>
        <v>2</v>
      </c>
      <c r="G145" s="34" cm="1">
        <f t="array" ref="G145">IFERROR(INDEX($J$5:$AVW$5,_xlfn.AGGREGATE(14,6,(COLUMN($J145:$AVW145)-COLUMN($J145)+1)/($J145:$AVW145="T"),1)),"")</f>
        <v>45976</v>
      </c>
      <c r="H145" s="105">
        <f>COUNTIF($J145:$AVV145,"T")</f>
        <v>1</v>
      </c>
      <c r="I145" s="36" t="s">
        <v>10</v>
      </c>
      <c r="J145" s="32"/>
      <c r="K145" s="32"/>
      <c r="L145" s="32"/>
      <c r="M145" s="32"/>
      <c r="N145" s="32"/>
      <c r="O145" s="32"/>
      <c r="P145" s="32"/>
      <c r="Q145" s="32"/>
      <c r="R145" s="32"/>
      <c r="S145" s="25"/>
      <c r="T145" s="25"/>
      <c r="U145" s="25"/>
      <c r="V145" s="25"/>
      <c r="W145" s="25"/>
      <c r="X145" s="25" t="s">
        <v>12</v>
      </c>
      <c r="Y145" s="26"/>
      <c r="Z145" s="26"/>
      <c r="AA145" s="26"/>
      <c r="AB145" s="27"/>
      <c r="AC145" s="26"/>
      <c r="AD145" s="26"/>
      <c r="AE145" s="28" t="s">
        <v>16</v>
      </c>
      <c r="AF145" s="29" t="s">
        <v>13</v>
      </c>
      <c r="AG145" s="35"/>
      <c r="AH145" s="26"/>
      <c r="AI145" s="27"/>
      <c r="AJ145" s="26"/>
      <c r="AK145" s="26"/>
      <c r="AL145" s="28" t="s">
        <v>14</v>
      </c>
      <c r="AM145" s="29" t="s">
        <v>11</v>
      </c>
      <c r="AN145" s="26"/>
      <c r="AO145" s="26"/>
      <c r="AP145" s="27"/>
      <c r="AQ145" s="97"/>
      <c r="AR145" s="99" t="s">
        <v>15</v>
      </c>
      <c r="AS145" s="97"/>
      <c r="AT145" s="97"/>
      <c r="AU145" s="32">
        <v>17</v>
      </c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32"/>
      <c r="CP145" s="32"/>
      <c r="CQ145" s="25"/>
      <c r="CR145" s="25"/>
    </row>
    <row r="146" spans="1:96" x14ac:dyDescent="0.25">
      <c r="A146" s="25" t="s">
        <v>146</v>
      </c>
      <c r="B146" s="25" t="s">
        <v>304</v>
      </c>
      <c r="C146" s="25" t="s">
        <v>543</v>
      </c>
      <c r="D146" s="25">
        <v>185</v>
      </c>
      <c r="E146" s="34" t="str" cm="1">
        <f t="array" ref="E146">IFERROR(INDEX($J$5:$AVX$5, _xlfn.AGGREGATE(15,6, COLUMN(J146:AVX146)-COLUMN(J146)+1 / (J146:AVX146="T"), F146)), "")</f>
        <v/>
      </c>
      <c r="F146" s="96">
        <f>$A$2</f>
        <v>2</v>
      </c>
      <c r="G146" s="34" cm="1">
        <f t="array" ref="G146">IFERROR(INDEX($J$5:$AVW$5,_xlfn.AGGREGATE(14,6,(COLUMN($J146:$AVW146)-COLUMN($J146)+1)/($J146:$AVW146="T"),1)),"")</f>
        <v>45976</v>
      </c>
      <c r="H146" s="105">
        <f>COUNTIF($J146:$AVV146,"T")</f>
        <v>1</v>
      </c>
      <c r="I146" s="36" t="s">
        <v>10</v>
      </c>
      <c r="J146" s="32"/>
      <c r="K146" s="32"/>
      <c r="L146" s="32"/>
      <c r="M146" s="32"/>
      <c r="N146" s="32"/>
      <c r="O146" s="32"/>
      <c r="P146" s="32"/>
      <c r="Q146" s="32"/>
      <c r="R146" s="32"/>
      <c r="S146" s="25"/>
      <c r="T146" s="25"/>
      <c r="U146" s="25"/>
      <c r="V146" s="25"/>
      <c r="W146" s="25"/>
      <c r="X146" s="25" t="s">
        <v>12</v>
      </c>
      <c r="Y146" s="26"/>
      <c r="Z146" s="26"/>
      <c r="AA146" s="26"/>
      <c r="AB146" s="27"/>
      <c r="AC146" s="26"/>
      <c r="AD146" s="26"/>
      <c r="AE146" s="28" t="s">
        <v>16</v>
      </c>
      <c r="AF146" s="29" t="s">
        <v>13</v>
      </c>
      <c r="AG146" s="26"/>
      <c r="AH146" s="26"/>
      <c r="AI146" s="102"/>
      <c r="AJ146" s="26"/>
      <c r="AK146" s="26"/>
      <c r="AL146" s="28" t="s">
        <v>14</v>
      </c>
      <c r="AM146" s="29" t="s">
        <v>11</v>
      </c>
      <c r="AN146" s="26"/>
      <c r="AO146" s="26"/>
      <c r="AP146" s="27"/>
      <c r="AQ146" s="97"/>
      <c r="AR146" s="99" t="s">
        <v>15</v>
      </c>
      <c r="AS146" s="97"/>
      <c r="AT146" s="97"/>
      <c r="AU146" s="32">
        <v>17</v>
      </c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32"/>
      <c r="CP146" s="32"/>
      <c r="CQ146" s="32"/>
      <c r="CR146" s="32"/>
    </row>
    <row r="147" spans="1:96" x14ac:dyDescent="0.25">
      <c r="A147" s="25" t="s">
        <v>146</v>
      </c>
      <c r="B147" s="25" t="s">
        <v>305</v>
      </c>
      <c r="C147" s="25" t="s">
        <v>544</v>
      </c>
      <c r="D147" s="25">
        <v>186</v>
      </c>
      <c r="E147" s="34" t="str" cm="1">
        <f t="array" ref="E147">IFERROR(INDEX($J$5:$AVX$5, _xlfn.AGGREGATE(15,6, COLUMN(J147:AVX147)-COLUMN(J147)+1 / (J147:AVX147="T"), F147)), "")</f>
        <v/>
      </c>
      <c r="F147" s="96">
        <f>$A$2</f>
        <v>2</v>
      </c>
      <c r="G147" s="34" cm="1">
        <f t="array" ref="G147">IFERROR(INDEX($J$5:$AVW$5,_xlfn.AGGREGATE(14,6,(COLUMN($J147:$AVW147)-COLUMN($J147)+1)/($J147:$AVW147="T"),1)),"")</f>
        <v>45976</v>
      </c>
      <c r="H147" s="105">
        <f>COUNTIF($J147:$AVV147,"T")</f>
        <v>1</v>
      </c>
      <c r="I147" s="36" t="s">
        <v>10</v>
      </c>
      <c r="J147" s="32"/>
      <c r="K147" s="32"/>
      <c r="L147" s="32"/>
      <c r="M147" s="32"/>
      <c r="N147" s="32"/>
      <c r="O147" s="32"/>
      <c r="P147" s="32"/>
      <c r="Q147" s="32"/>
      <c r="R147" s="32"/>
      <c r="S147" s="25"/>
      <c r="T147" s="25"/>
      <c r="U147" s="25"/>
      <c r="V147" s="25"/>
      <c r="W147" s="25"/>
      <c r="X147" s="25" t="s">
        <v>12</v>
      </c>
      <c r="Y147" s="26"/>
      <c r="Z147" s="26"/>
      <c r="AA147" s="26"/>
      <c r="AB147" s="27"/>
      <c r="AC147" s="26"/>
      <c r="AD147" s="26"/>
      <c r="AE147" s="28" t="s">
        <v>16</v>
      </c>
      <c r="AF147" s="29" t="s">
        <v>13</v>
      </c>
      <c r="AG147" s="26"/>
      <c r="AH147" s="26"/>
      <c r="AI147" s="102"/>
      <c r="AJ147" s="26"/>
      <c r="AK147" s="26"/>
      <c r="AL147" s="28" t="s">
        <v>14</v>
      </c>
      <c r="AM147" s="29" t="s">
        <v>11</v>
      </c>
      <c r="AN147" s="26"/>
      <c r="AO147" s="26"/>
      <c r="AP147" s="27"/>
      <c r="AQ147" s="97"/>
      <c r="AR147" s="99" t="s">
        <v>15</v>
      </c>
      <c r="AS147" s="97"/>
      <c r="AT147" s="97"/>
      <c r="AU147" s="32">
        <v>17</v>
      </c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32"/>
      <c r="CP147" s="32"/>
      <c r="CQ147" s="25"/>
      <c r="CR147" s="25"/>
    </row>
    <row r="148" spans="1:96" s="38" customFormat="1" x14ac:dyDescent="0.25">
      <c r="A148" s="25" t="s">
        <v>146</v>
      </c>
      <c r="B148" s="25" t="s">
        <v>306</v>
      </c>
      <c r="C148" s="25" t="s">
        <v>545</v>
      </c>
      <c r="D148" s="25">
        <v>187</v>
      </c>
      <c r="E148" s="34" t="str" cm="1">
        <f t="array" ref="E148">IFERROR(INDEX($J$5:$AVX$5, _xlfn.AGGREGATE(15,6, COLUMN(J148:AVX148)-COLUMN(J148)+1 / (J148:AVX148="T"), F148)), "")</f>
        <v/>
      </c>
      <c r="F148" s="96">
        <f>$A$2</f>
        <v>2</v>
      </c>
      <c r="G148" s="34" cm="1">
        <f t="array" ref="G148">IFERROR(INDEX($J$5:$AVW$5,_xlfn.AGGREGATE(14,6,(COLUMN($J148:$AVW148)-COLUMN($J148)+1)/($J148:$AVW148="T"),1)),"")</f>
        <v>45975</v>
      </c>
      <c r="H148" s="105">
        <f>COUNTIF($J148:$AVV148,"T")</f>
        <v>1</v>
      </c>
      <c r="I148" s="36" t="s">
        <v>10</v>
      </c>
      <c r="J148" s="32"/>
      <c r="K148" s="32"/>
      <c r="L148" s="32"/>
      <c r="M148" s="32"/>
      <c r="N148" s="32"/>
      <c r="O148" s="32"/>
      <c r="P148" s="32"/>
      <c r="Q148" s="32"/>
      <c r="R148" s="32"/>
      <c r="S148" s="25"/>
      <c r="T148" s="25"/>
      <c r="U148" s="25"/>
      <c r="V148" s="25"/>
      <c r="W148" s="25" t="s">
        <v>12</v>
      </c>
      <c r="X148" s="26"/>
      <c r="Y148" s="26"/>
      <c r="Z148" s="26"/>
      <c r="AA148" s="27"/>
      <c r="AB148" s="26"/>
      <c r="AC148" s="26"/>
      <c r="AD148" s="28" t="s">
        <v>16</v>
      </c>
      <c r="AE148" s="29" t="s">
        <v>13</v>
      </c>
      <c r="AF148" s="26"/>
      <c r="AG148" s="26"/>
      <c r="AH148" s="27"/>
      <c r="AI148" s="35"/>
      <c r="AJ148" s="26"/>
      <c r="AK148" s="28" t="s">
        <v>14</v>
      </c>
      <c r="AL148" s="29" t="s">
        <v>11</v>
      </c>
      <c r="AM148" s="26"/>
      <c r="AN148" s="26"/>
      <c r="AO148" s="27"/>
      <c r="AP148" s="26"/>
      <c r="AQ148" s="99" t="s">
        <v>15</v>
      </c>
      <c r="AR148" s="97"/>
      <c r="AS148" s="97"/>
      <c r="AT148" s="32">
        <v>17</v>
      </c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  <c r="CO148" s="32"/>
      <c r="CP148" s="32"/>
      <c r="CQ148" s="25"/>
      <c r="CR148" s="25"/>
    </row>
    <row r="149" spans="1:96" x14ac:dyDescent="0.25">
      <c r="A149" s="25" t="s">
        <v>146</v>
      </c>
      <c r="B149" s="25" t="s">
        <v>307</v>
      </c>
      <c r="C149" s="25" t="s">
        <v>546</v>
      </c>
      <c r="D149" s="25">
        <v>188</v>
      </c>
      <c r="E149" s="34" t="str" cm="1">
        <f t="array" ref="E149">IFERROR(INDEX($J$5:$AVX$5, _xlfn.AGGREGATE(15,6, COLUMN(J149:AVX149)-COLUMN(J149)+1 / (J149:AVX149="T"), F149)), "")</f>
        <v/>
      </c>
      <c r="F149" s="96">
        <f>$A$2</f>
        <v>2</v>
      </c>
      <c r="G149" s="34" cm="1">
        <f t="array" ref="G149">IFERROR(INDEX($J$5:$AVW$5,_xlfn.AGGREGATE(14,6,(COLUMN($J149:$AVW149)-COLUMN($J149)+1)/($J149:$AVW149="T"),1)),"")</f>
        <v>45975</v>
      </c>
      <c r="H149" s="105">
        <f>COUNTIF($J149:$AVV149,"T")</f>
        <v>1</v>
      </c>
      <c r="I149" s="36" t="s">
        <v>10</v>
      </c>
      <c r="J149" s="32"/>
      <c r="K149" s="32"/>
      <c r="L149" s="32"/>
      <c r="M149" s="32"/>
      <c r="N149" s="32"/>
      <c r="O149" s="32"/>
      <c r="P149" s="32"/>
      <c r="Q149" s="32"/>
      <c r="R149" s="32"/>
      <c r="S149" s="25"/>
      <c r="T149" s="25"/>
      <c r="U149" s="25"/>
      <c r="V149" s="25"/>
      <c r="W149" s="25" t="s">
        <v>12</v>
      </c>
      <c r="X149" s="26"/>
      <c r="Y149" s="26"/>
      <c r="Z149" s="26"/>
      <c r="AA149" s="27"/>
      <c r="AB149" s="26"/>
      <c r="AC149" s="26"/>
      <c r="AD149" s="28" t="s">
        <v>16</v>
      </c>
      <c r="AE149" s="29" t="s">
        <v>13</v>
      </c>
      <c r="AF149" s="26"/>
      <c r="AG149" s="26"/>
      <c r="AH149" s="27"/>
      <c r="AI149" s="35"/>
      <c r="AJ149" s="26"/>
      <c r="AK149" s="28" t="s">
        <v>14</v>
      </c>
      <c r="AL149" s="29" t="s">
        <v>11</v>
      </c>
      <c r="AM149" s="26"/>
      <c r="AN149" s="26"/>
      <c r="AO149" s="27"/>
      <c r="AP149" s="26"/>
      <c r="AQ149" s="99" t="s">
        <v>15</v>
      </c>
      <c r="AR149" s="97"/>
      <c r="AS149" s="97"/>
      <c r="AT149" s="32">
        <v>17</v>
      </c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  <c r="CO149" s="32"/>
      <c r="CP149" s="32"/>
      <c r="CQ149" s="25"/>
      <c r="CR149" s="25"/>
    </row>
    <row r="150" spans="1:96" x14ac:dyDescent="0.25">
      <c r="A150" s="25" t="s">
        <v>146</v>
      </c>
      <c r="B150" s="25" t="s">
        <v>308</v>
      </c>
      <c r="C150" s="25" t="s">
        <v>547</v>
      </c>
      <c r="D150" s="25">
        <v>189</v>
      </c>
      <c r="E150" s="34" t="str" cm="1">
        <f t="array" ref="E150">IFERROR(INDEX($J$5:$AVX$5, _xlfn.AGGREGATE(15,6, COLUMN(J150:AVX150)-COLUMN(J150)+1 / (J150:AVX150="T"), F150)), "")</f>
        <v/>
      </c>
      <c r="F150" s="96">
        <f>$A$2</f>
        <v>2</v>
      </c>
      <c r="G150" s="34" cm="1">
        <f t="array" ref="G150">IFERROR(INDEX($J$5:$AVW$5,_xlfn.AGGREGATE(14,6,(COLUMN($J150:$AVW150)-COLUMN($J150)+1)/($J150:$AVW150="T"),1)),"")</f>
        <v>45975</v>
      </c>
      <c r="H150" s="105">
        <f>COUNTIF($J150:$AVV150,"T")</f>
        <v>1</v>
      </c>
      <c r="I150" s="36" t="s">
        <v>10</v>
      </c>
      <c r="J150" s="32"/>
      <c r="K150" s="32"/>
      <c r="L150" s="32"/>
      <c r="M150" s="32"/>
      <c r="N150" s="32"/>
      <c r="O150" s="32"/>
      <c r="P150" s="32"/>
      <c r="Q150" s="32"/>
      <c r="R150" s="32"/>
      <c r="S150" s="25"/>
      <c r="T150" s="25"/>
      <c r="U150" s="25"/>
      <c r="V150" s="25"/>
      <c r="W150" s="25" t="s">
        <v>12</v>
      </c>
      <c r="X150" s="26"/>
      <c r="Y150" s="26"/>
      <c r="Z150" s="26"/>
      <c r="AA150" s="27"/>
      <c r="AB150" s="26"/>
      <c r="AC150" s="26"/>
      <c r="AD150" s="28" t="s">
        <v>16</v>
      </c>
      <c r="AE150" s="29" t="s">
        <v>13</v>
      </c>
      <c r="AF150" s="26"/>
      <c r="AG150" s="26"/>
      <c r="AH150" s="27"/>
      <c r="AI150" s="35"/>
      <c r="AJ150" s="26"/>
      <c r="AK150" s="28" t="s">
        <v>14</v>
      </c>
      <c r="AL150" s="29" t="s">
        <v>11</v>
      </c>
      <c r="AM150" s="26"/>
      <c r="AN150" s="26"/>
      <c r="AO150" s="27"/>
      <c r="AP150" s="26"/>
      <c r="AQ150" s="99" t="s">
        <v>15</v>
      </c>
      <c r="AR150" s="97"/>
      <c r="AS150" s="97"/>
      <c r="AT150" s="32">
        <v>17</v>
      </c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  <c r="CO150" s="32"/>
      <c r="CP150" s="32"/>
      <c r="CQ150" s="25"/>
      <c r="CR150" s="25"/>
    </row>
    <row r="151" spans="1:96" x14ac:dyDescent="0.25">
      <c r="A151" s="25" t="s">
        <v>146</v>
      </c>
      <c r="B151" s="25" t="s">
        <v>309</v>
      </c>
      <c r="C151" s="25" t="s">
        <v>548</v>
      </c>
      <c r="D151" s="25">
        <v>190</v>
      </c>
      <c r="E151" s="34" t="str" cm="1">
        <f t="array" ref="E151">IFERROR(INDEX($J$5:$AVX$5, _xlfn.AGGREGATE(15,6, COLUMN(J151:AVX151)-COLUMN(J151)+1 / (J151:AVX151="T"), F151)), "")</f>
        <v/>
      </c>
      <c r="F151" s="96">
        <f>$A$2</f>
        <v>2</v>
      </c>
      <c r="G151" s="34" cm="1">
        <f t="array" ref="G151">IFERROR(INDEX($J$5:$AVW$5,_xlfn.AGGREGATE(14,6,(COLUMN($J151:$AVW151)-COLUMN($J151)+1)/($J151:$AVW151="T"),1)),"")</f>
        <v>45975</v>
      </c>
      <c r="H151" s="105">
        <f>COUNTIF($J151:$AVV151,"T")</f>
        <v>1</v>
      </c>
      <c r="I151" s="36" t="s">
        <v>10</v>
      </c>
      <c r="J151" s="32"/>
      <c r="K151" s="32"/>
      <c r="L151" s="32"/>
      <c r="M151" s="32"/>
      <c r="N151" s="32"/>
      <c r="O151" s="32"/>
      <c r="P151" s="32"/>
      <c r="Q151" s="32"/>
      <c r="R151" s="32"/>
      <c r="S151" s="25"/>
      <c r="T151" s="25"/>
      <c r="U151" s="25"/>
      <c r="V151" s="25"/>
      <c r="W151" s="25" t="s">
        <v>12</v>
      </c>
      <c r="X151" s="26"/>
      <c r="Y151" s="26"/>
      <c r="Z151" s="26"/>
      <c r="AA151" s="27"/>
      <c r="AB151" s="26"/>
      <c r="AC151" s="26"/>
      <c r="AD151" s="28" t="s">
        <v>16</v>
      </c>
      <c r="AE151" s="29" t="s">
        <v>13</v>
      </c>
      <c r="AF151" s="26"/>
      <c r="AG151" s="26"/>
      <c r="AH151" s="27"/>
      <c r="AI151" s="35"/>
      <c r="AJ151" s="26"/>
      <c r="AK151" s="28" t="s">
        <v>14</v>
      </c>
      <c r="AL151" s="29" t="s">
        <v>11</v>
      </c>
      <c r="AM151" s="26"/>
      <c r="AN151" s="26"/>
      <c r="AO151" s="27"/>
      <c r="AP151" s="26"/>
      <c r="AQ151" s="99" t="s">
        <v>15</v>
      </c>
      <c r="AR151" s="97"/>
      <c r="AS151" s="97"/>
      <c r="AT151" s="32">
        <v>17</v>
      </c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  <c r="CO151" s="32"/>
      <c r="CP151" s="32"/>
      <c r="CQ151" s="25"/>
      <c r="CR151" s="25"/>
    </row>
    <row r="152" spans="1:96" x14ac:dyDescent="0.25">
      <c r="A152" s="25" t="s">
        <v>146</v>
      </c>
      <c r="B152" s="25" t="s">
        <v>310</v>
      </c>
      <c r="C152" s="25" t="s">
        <v>549</v>
      </c>
      <c r="D152" s="25">
        <v>191</v>
      </c>
      <c r="E152" s="34" t="str" cm="1">
        <f t="array" ref="E152">IFERROR(INDEX($J$5:$AVX$5, _xlfn.AGGREGATE(15,6, COLUMN(J152:AVX152)-COLUMN(J152)+1 / (J152:AVX152="T"), F152)), "")</f>
        <v/>
      </c>
      <c r="F152" s="96">
        <f>$A$2</f>
        <v>2</v>
      </c>
      <c r="G152" s="34" cm="1">
        <f t="array" ref="G152">IFERROR(INDEX($J$5:$AVW$5,_xlfn.AGGREGATE(14,6,(COLUMN($J152:$AVW152)-COLUMN($J152)+1)/($J152:$AVW152="T"),1)),"")</f>
        <v>45975</v>
      </c>
      <c r="H152" s="105">
        <f>COUNTIF($J152:$AVV152,"T")</f>
        <v>1</v>
      </c>
      <c r="I152" s="36" t="s">
        <v>10</v>
      </c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25"/>
      <c r="U152" s="25"/>
      <c r="V152" s="25"/>
      <c r="W152" s="25" t="s">
        <v>12</v>
      </c>
      <c r="X152" s="26"/>
      <c r="Y152" s="26"/>
      <c r="Z152" s="26"/>
      <c r="AA152" s="27"/>
      <c r="AB152" s="26"/>
      <c r="AC152" s="26"/>
      <c r="AD152" s="28" t="s">
        <v>16</v>
      </c>
      <c r="AE152" s="29" t="s">
        <v>13</v>
      </c>
      <c r="AF152" s="26"/>
      <c r="AG152" s="26"/>
      <c r="AH152" s="102"/>
      <c r="AI152" s="26"/>
      <c r="AJ152" s="26"/>
      <c r="AK152" s="28" t="s">
        <v>14</v>
      </c>
      <c r="AL152" s="29" t="s">
        <v>11</v>
      </c>
      <c r="AM152" s="26"/>
      <c r="AN152" s="26"/>
      <c r="AO152" s="27"/>
      <c r="AP152" s="26"/>
      <c r="AQ152" s="28" t="s">
        <v>15</v>
      </c>
      <c r="AR152" s="97"/>
      <c r="AS152" s="97"/>
      <c r="AT152" s="32">
        <v>17</v>
      </c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  <c r="CO152" s="32"/>
      <c r="CP152" s="32"/>
      <c r="CQ152" s="25"/>
    </row>
    <row r="153" spans="1:96" x14ac:dyDescent="0.25">
      <c r="A153" s="25" t="s">
        <v>146</v>
      </c>
      <c r="B153" s="25" t="s">
        <v>311</v>
      </c>
      <c r="C153" s="25" t="s">
        <v>550</v>
      </c>
      <c r="D153" s="25">
        <v>192</v>
      </c>
      <c r="E153" s="34" t="str" cm="1">
        <f t="array" ref="E153">IFERROR(INDEX($J$5:$AVX$5, _xlfn.AGGREGATE(15,6, COLUMN(J153:AVX153)-COLUMN(J153)+1 / (J153:AVX153="T"), F153)), "")</f>
        <v/>
      </c>
      <c r="F153" s="96">
        <f>$A$2</f>
        <v>2</v>
      </c>
      <c r="G153" s="34" cm="1">
        <f t="array" ref="G153">IFERROR(INDEX($J$5:$AVW$5,_xlfn.AGGREGATE(14,6,(COLUMN($J153:$AVW153)-COLUMN($J153)+1)/($J153:$AVW153="T"),1)),"")</f>
        <v>45975</v>
      </c>
      <c r="H153" s="105">
        <f>COUNTIF($J153:$AVV153,"T")</f>
        <v>1</v>
      </c>
      <c r="I153" s="36" t="s">
        <v>10</v>
      </c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25"/>
      <c r="U153" s="25"/>
      <c r="V153" s="25"/>
      <c r="W153" s="25" t="s">
        <v>12</v>
      </c>
      <c r="X153" s="26"/>
      <c r="Y153" s="26"/>
      <c r="Z153" s="26"/>
      <c r="AA153" s="27"/>
      <c r="AB153" s="26"/>
      <c r="AC153" s="26"/>
      <c r="AD153" s="28" t="s">
        <v>16</v>
      </c>
      <c r="AE153" s="29" t="s">
        <v>13</v>
      </c>
      <c r="AF153" s="26"/>
      <c r="AG153" s="26"/>
      <c r="AH153" s="27"/>
      <c r="AI153" s="26"/>
      <c r="AJ153" s="35"/>
      <c r="AK153" s="28" t="s">
        <v>14</v>
      </c>
      <c r="AL153" s="29" t="s">
        <v>11</v>
      </c>
      <c r="AM153" s="26"/>
      <c r="AN153" s="26"/>
      <c r="AO153" s="27"/>
      <c r="AP153" s="26"/>
      <c r="AQ153" s="28" t="s">
        <v>15</v>
      </c>
      <c r="AR153" s="97"/>
      <c r="AS153" s="97"/>
      <c r="AT153" s="32">
        <v>17</v>
      </c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  <c r="CO153" s="32"/>
      <c r="CP153" s="32"/>
      <c r="CQ153" s="32"/>
    </row>
    <row r="154" spans="1:96" x14ac:dyDescent="0.25">
      <c r="A154" s="25" t="s">
        <v>146</v>
      </c>
      <c r="B154" s="25" t="s">
        <v>312</v>
      </c>
      <c r="C154" s="25" t="s">
        <v>551</v>
      </c>
      <c r="D154" s="25">
        <v>193</v>
      </c>
      <c r="E154" s="34" t="str" cm="1">
        <f t="array" ref="E154">IFERROR(INDEX($J$5:$AVX$5, _xlfn.AGGREGATE(15,6, COLUMN(J154:AVX154)-COLUMN(J154)+1 / (J154:AVX154="T"), F154)), "")</f>
        <v/>
      </c>
      <c r="F154" s="96">
        <f>$A$2</f>
        <v>2</v>
      </c>
      <c r="G154" s="34" cm="1">
        <f t="array" ref="G154">IFERROR(INDEX($J$5:$AVW$5,_xlfn.AGGREGATE(14,6,(COLUMN($J154:$AVW154)-COLUMN($J154)+1)/($J154:$AVW154="T"),1)),"")</f>
        <v>45975</v>
      </c>
      <c r="H154" s="105">
        <f>COUNTIF($J154:$AVV154,"T")</f>
        <v>1</v>
      </c>
      <c r="I154" s="36" t="s">
        <v>10</v>
      </c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25"/>
      <c r="U154" s="25"/>
      <c r="V154" s="25"/>
      <c r="W154" s="25" t="s">
        <v>12</v>
      </c>
      <c r="X154" s="26"/>
      <c r="Y154" s="26"/>
      <c r="Z154" s="26"/>
      <c r="AA154" s="27"/>
      <c r="AB154" s="26"/>
      <c r="AC154" s="26"/>
      <c r="AD154" s="28" t="s">
        <v>16</v>
      </c>
      <c r="AE154" s="29" t="s">
        <v>13</v>
      </c>
      <c r="AF154" s="26"/>
      <c r="AG154" s="26"/>
      <c r="AH154" s="27"/>
      <c r="AI154" s="26"/>
      <c r="AJ154" s="35"/>
      <c r="AK154" s="28" t="s">
        <v>14</v>
      </c>
      <c r="AL154" s="29" t="s">
        <v>11</v>
      </c>
      <c r="AM154" s="26"/>
      <c r="AN154" s="26"/>
      <c r="AO154" s="27"/>
      <c r="AP154" s="26"/>
      <c r="AQ154" s="28" t="s">
        <v>15</v>
      </c>
      <c r="AR154" s="97"/>
      <c r="AS154" s="97"/>
      <c r="AT154" s="32">
        <v>17</v>
      </c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  <c r="CO154" s="32"/>
      <c r="CP154" s="32"/>
      <c r="CQ154" s="25"/>
    </row>
    <row r="155" spans="1:96" x14ac:dyDescent="0.25">
      <c r="A155" s="25" t="s">
        <v>146</v>
      </c>
      <c r="B155" s="25" t="s">
        <v>313</v>
      </c>
      <c r="C155" s="25" t="s">
        <v>552</v>
      </c>
      <c r="D155" s="25">
        <v>194</v>
      </c>
      <c r="E155" s="34" t="str" cm="1">
        <f t="array" ref="E155">IFERROR(INDEX($J$5:$AVX$5, _xlfn.AGGREGATE(15,6, COLUMN(J155:AVX155)-COLUMN(J155)+1 / (J155:AVX155="T"), F155)), "")</f>
        <v/>
      </c>
      <c r="F155" s="96">
        <f>$A$2</f>
        <v>2</v>
      </c>
      <c r="G155" s="34" cm="1">
        <f t="array" ref="G155">IFERROR(INDEX($J$5:$AVW$5,_xlfn.AGGREGATE(14,6,(COLUMN($J155:$AVW155)-COLUMN($J155)+1)/($J155:$AVW155="T"),1)),"")</f>
        <v>45974</v>
      </c>
      <c r="H155" s="105">
        <f>COUNTIF($J155:$AVV155,"T")</f>
        <v>1</v>
      </c>
      <c r="I155" s="36" t="s">
        <v>10</v>
      </c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25"/>
      <c r="U155" s="25"/>
      <c r="V155" s="25" t="s">
        <v>12</v>
      </c>
      <c r="W155" s="26"/>
      <c r="X155" s="26"/>
      <c r="Y155" s="26"/>
      <c r="Z155" s="27"/>
      <c r="AA155" s="26"/>
      <c r="AB155" s="26"/>
      <c r="AC155" s="28" t="s">
        <v>16</v>
      </c>
      <c r="AD155" s="29" t="s">
        <v>13</v>
      </c>
      <c r="AE155" s="26"/>
      <c r="AF155" s="26"/>
      <c r="AG155" s="27"/>
      <c r="AH155" s="26"/>
      <c r="AI155" s="26"/>
      <c r="AJ155" s="31" t="s">
        <v>14</v>
      </c>
      <c r="AK155" s="29" t="s">
        <v>11</v>
      </c>
      <c r="AL155" s="26"/>
      <c r="AM155" s="26"/>
      <c r="AN155" s="27"/>
      <c r="AO155" s="26"/>
      <c r="AP155" s="28" t="s">
        <v>15</v>
      </c>
      <c r="AQ155" s="26"/>
      <c r="AR155" s="97"/>
      <c r="AS155" s="32">
        <v>17</v>
      </c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  <c r="CO155" s="32"/>
      <c r="CP155" s="32"/>
      <c r="CQ155" s="25"/>
    </row>
    <row r="156" spans="1:96" x14ac:dyDescent="0.25">
      <c r="A156" s="25" t="s">
        <v>146</v>
      </c>
      <c r="B156" s="25" t="s">
        <v>314</v>
      </c>
      <c r="C156" s="25" t="s">
        <v>553</v>
      </c>
      <c r="D156" s="25">
        <v>195</v>
      </c>
      <c r="E156" s="34" t="str" cm="1">
        <f t="array" ref="E156">IFERROR(INDEX($J$5:$AVX$5, _xlfn.AGGREGATE(15,6, COLUMN(J156:AVX156)-COLUMN(J156)+1 / (J156:AVX156="T"), F156)), "")</f>
        <v/>
      </c>
      <c r="F156" s="96">
        <f>$A$2</f>
        <v>2</v>
      </c>
      <c r="G156" s="34" cm="1">
        <f t="array" ref="G156">IFERROR(INDEX($J$5:$AVW$5,_xlfn.AGGREGATE(14,6,(COLUMN($J156:$AVW156)-COLUMN($J156)+1)/($J156:$AVW156="T"),1)),"")</f>
        <v>45974</v>
      </c>
      <c r="H156" s="105">
        <f>COUNTIF($J156:$AVV156,"T")</f>
        <v>1</v>
      </c>
      <c r="I156" s="36" t="s">
        <v>10</v>
      </c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25"/>
      <c r="U156" s="25"/>
      <c r="V156" s="25" t="s">
        <v>12</v>
      </c>
      <c r="W156" s="26"/>
      <c r="X156" s="26"/>
      <c r="Y156" s="26"/>
      <c r="Z156" s="27"/>
      <c r="AA156" s="26"/>
      <c r="AB156" s="26"/>
      <c r="AC156" s="28" t="s">
        <v>16</v>
      </c>
      <c r="AD156" s="29" t="s">
        <v>13</v>
      </c>
      <c r="AE156" s="26"/>
      <c r="AF156" s="26"/>
      <c r="AG156" s="27"/>
      <c r="AH156" s="26"/>
      <c r="AI156" s="26"/>
      <c r="AJ156" s="31" t="s">
        <v>14</v>
      </c>
      <c r="AK156" s="29" t="s">
        <v>11</v>
      </c>
      <c r="AL156" s="26"/>
      <c r="AM156" s="26"/>
      <c r="AN156" s="27"/>
      <c r="AO156" s="26"/>
      <c r="AP156" s="28" t="s">
        <v>15</v>
      </c>
      <c r="AQ156" s="26"/>
      <c r="AR156" s="97"/>
      <c r="AS156" s="32">
        <v>17</v>
      </c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  <c r="CO156" s="32"/>
      <c r="CP156" s="32"/>
      <c r="CQ156" s="25"/>
    </row>
    <row r="157" spans="1:96" x14ac:dyDescent="0.25">
      <c r="A157" s="25" t="s">
        <v>146</v>
      </c>
      <c r="B157" s="25" t="s">
        <v>315</v>
      </c>
      <c r="C157" s="25" t="s">
        <v>554</v>
      </c>
      <c r="D157" s="25">
        <v>196</v>
      </c>
      <c r="E157" s="34" t="str" cm="1">
        <f t="array" ref="E157">IFERROR(INDEX($J$5:$AVX$5, _xlfn.AGGREGATE(15,6, COLUMN(J157:AVX157)-COLUMN(J157)+1 / (J157:AVX157="T"), F157)), "")</f>
        <v/>
      </c>
      <c r="F157" s="96">
        <f>$A$2</f>
        <v>2</v>
      </c>
      <c r="G157" s="34" cm="1">
        <f t="array" ref="G157">IFERROR(INDEX($J$5:$AVW$5,_xlfn.AGGREGATE(14,6,(COLUMN($J157:$AVW157)-COLUMN($J157)+1)/($J157:$AVW157="T"),1)),"")</f>
        <v>45974</v>
      </c>
      <c r="H157" s="105">
        <f>COUNTIF($J157:$AVV157,"T")</f>
        <v>1</v>
      </c>
      <c r="I157" s="36" t="s">
        <v>10</v>
      </c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25"/>
      <c r="U157" s="25"/>
      <c r="V157" s="25" t="s">
        <v>12</v>
      </c>
      <c r="W157" s="26"/>
      <c r="X157" s="26"/>
      <c r="Y157" s="26"/>
      <c r="Z157" s="27"/>
      <c r="AA157" s="26"/>
      <c r="AB157" s="26"/>
      <c r="AC157" s="28" t="s">
        <v>16</v>
      </c>
      <c r="AD157" s="29" t="s">
        <v>13</v>
      </c>
      <c r="AE157" s="26"/>
      <c r="AF157" s="26"/>
      <c r="AG157" s="27"/>
      <c r="AH157" s="26"/>
      <c r="AI157" s="26"/>
      <c r="AJ157" s="31" t="s">
        <v>14</v>
      </c>
      <c r="AK157" s="29" t="s">
        <v>11</v>
      </c>
      <c r="AL157" s="26"/>
      <c r="AM157" s="26"/>
      <c r="AN157" s="27"/>
      <c r="AO157" s="26"/>
      <c r="AP157" s="28" t="s">
        <v>15</v>
      </c>
      <c r="AQ157" s="26"/>
      <c r="AR157" s="97"/>
      <c r="AS157" s="32">
        <v>17</v>
      </c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  <c r="CO157" s="32"/>
      <c r="CP157" s="32"/>
      <c r="CQ157" s="25"/>
    </row>
    <row r="158" spans="1:96" x14ac:dyDescent="0.25">
      <c r="A158" s="25" t="s">
        <v>146</v>
      </c>
      <c r="B158" s="25" t="s">
        <v>316</v>
      </c>
      <c r="C158" s="25" t="s">
        <v>555</v>
      </c>
      <c r="D158" s="25">
        <v>197</v>
      </c>
      <c r="E158" s="34" t="str" cm="1">
        <f t="array" ref="E158">IFERROR(INDEX($J$5:$AVX$5, _xlfn.AGGREGATE(15,6, COLUMN(J158:AVX158)-COLUMN(J158)+1 / (J158:AVX158="T"), F158)), "")</f>
        <v/>
      </c>
      <c r="F158" s="96">
        <f>$A$2</f>
        <v>2</v>
      </c>
      <c r="G158" s="34" cm="1">
        <f t="array" ref="G158">IFERROR(INDEX($J$5:$AVW$5,_xlfn.AGGREGATE(14,6,(COLUMN($J158:$AVW158)-COLUMN($J158)+1)/($J158:$AVW158="T"),1)),"")</f>
        <v>45974</v>
      </c>
      <c r="H158" s="105">
        <f>COUNTIF($J158:$AVV158,"T")</f>
        <v>1</v>
      </c>
      <c r="I158" s="36" t="s">
        <v>10</v>
      </c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25"/>
      <c r="U158" s="25"/>
      <c r="V158" s="25" t="s">
        <v>12</v>
      </c>
      <c r="W158" s="26"/>
      <c r="X158" s="26"/>
      <c r="Y158" s="26"/>
      <c r="Z158" s="27"/>
      <c r="AA158" s="26"/>
      <c r="AB158" s="26"/>
      <c r="AC158" s="28" t="s">
        <v>16</v>
      </c>
      <c r="AD158" s="29" t="s">
        <v>13</v>
      </c>
      <c r="AE158" s="26"/>
      <c r="AF158" s="26"/>
      <c r="AG158" s="27"/>
      <c r="AH158" s="26"/>
      <c r="AI158" s="26"/>
      <c r="AJ158" s="31" t="s">
        <v>14</v>
      </c>
      <c r="AK158" s="29" t="s">
        <v>11</v>
      </c>
      <c r="AL158" s="26"/>
      <c r="AM158" s="26"/>
      <c r="AN158" s="27"/>
      <c r="AO158" s="26"/>
      <c r="AP158" s="28" t="s">
        <v>15</v>
      </c>
      <c r="AQ158" s="26"/>
      <c r="AR158" s="97"/>
      <c r="AS158" s="32">
        <v>17</v>
      </c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  <c r="CO158" s="32"/>
      <c r="CP158" s="32"/>
      <c r="CQ158" s="25"/>
    </row>
    <row r="159" spans="1:96" x14ac:dyDescent="0.25">
      <c r="A159" s="25" t="s">
        <v>146</v>
      </c>
      <c r="B159" s="25" t="s">
        <v>317</v>
      </c>
      <c r="C159" s="25" t="s">
        <v>556</v>
      </c>
      <c r="D159" s="25">
        <v>198</v>
      </c>
      <c r="E159" s="34" t="str" cm="1">
        <f t="array" ref="E159">IFERROR(INDEX($J$5:$AVX$5, _xlfn.AGGREGATE(15,6, COLUMN(J159:AVX159)-COLUMN(J159)+1 / (J159:AVX159="T"), F159)), "")</f>
        <v/>
      </c>
      <c r="F159" s="96">
        <f>$A$2</f>
        <v>2</v>
      </c>
      <c r="G159" s="34" cm="1">
        <f t="array" ref="G159">IFERROR(INDEX($J$5:$AVW$5,_xlfn.AGGREGATE(14,6,(COLUMN($J159:$AVW159)-COLUMN($J159)+1)/($J159:$AVW159="T"),1)),"")</f>
        <v>45974</v>
      </c>
      <c r="H159" s="105">
        <f>COUNTIF($J159:$AVV159,"T")</f>
        <v>1</v>
      </c>
      <c r="I159" s="36" t="s">
        <v>10</v>
      </c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25"/>
      <c r="V159" s="25" t="s">
        <v>12</v>
      </c>
      <c r="W159" s="26"/>
      <c r="X159" s="26"/>
      <c r="Y159" s="26"/>
      <c r="Z159" s="27"/>
      <c r="AA159" s="26"/>
      <c r="AB159" s="26"/>
      <c r="AC159" s="28" t="s">
        <v>16</v>
      </c>
      <c r="AD159" s="29" t="s">
        <v>13</v>
      </c>
      <c r="AE159" s="26"/>
      <c r="AF159" s="26"/>
      <c r="AG159" s="27"/>
      <c r="AH159" s="26"/>
      <c r="AI159" s="35"/>
      <c r="AJ159" s="28" t="s">
        <v>14</v>
      </c>
      <c r="AK159" s="29" t="s">
        <v>11</v>
      </c>
      <c r="AL159" s="26"/>
      <c r="AM159" s="26"/>
      <c r="AN159" s="27"/>
      <c r="AO159" s="26"/>
      <c r="AP159" s="28" t="s">
        <v>15</v>
      </c>
      <c r="AQ159" s="26"/>
      <c r="AR159" s="26"/>
      <c r="AS159" s="32">
        <v>17</v>
      </c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  <c r="CO159" s="32"/>
      <c r="CP159" s="32"/>
      <c r="CQ159" s="25"/>
    </row>
    <row r="160" spans="1:96" x14ac:dyDescent="0.25">
      <c r="A160" s="25" t="s">
        <v>146</v>
      </c>
      <c r="B160" s="25" t="s">
        <v>318</v>
      </c>
      <c r="C160" s="25" t="s">
        <v>557</v>
      </c>
      <c r="D160" s="25">
        <v>199</v>
      </c>
      <c r="E160" s="34" t="str" cm="1">
        <f t="array" ref="E160">IFERROR(INDEX($J$5:$AVX$5, _xlfn.AGGREGATE(15,6, COLUMN(J160:AVX160)-COLUMN(J160)+1 / (J160:AVX160="T"), F160)), "")</f>
        <v/>
      </c>
      <c r="F160" s="96">
        <f>$A$2</f>
        <v>2</v>
      </c>
      <c r="G160" s="34" cm="1">
        <f t="array" ref="G160">IFERROR(INDEX($J$5:$AVW$5,_xlfn.AGGREGATE(14,6,(COLUMN($J160:$AVW160)-COLUMN($J160)+1)/($J160:$AVW160="T"),1)),"")</f>
        <v>45974</v>
      </c>
      <c r="H160" s="105">
        <f>COUNTIF($J160:$AVV160,"T")</f>
        <v>1</v>
      </c>
      <c r="I160" s="36" t="s">
        <v>10</v>
      </c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25"/>
      <c r="V160" s="25" t="s">
        <v>12</v>
      </c>
      <c r="W160" s="26"/>
      <c r="X160" s="26"/>
      <c r="Y160" s="26"/>
      <c r="Z160" s="27"/>
      <c r="AA160" s="26"/>
      <c r="AB160" s="26"/>
      <c r="AC160" s="28" t="s">
        <v>16</v>
      </c>
      <c r="AD160" s="29" t="s">
        <v>13</v>
      </c>
      <c r="AE160" s="26"/>
      <c r="AF160" s="26"/>
      <c r="AG160" s="27"/>
      <c r="AH160" s="26"/>
      <c r="AI160" s="26"/>
      <c r="AJ160" s="28" t="s">
        <v>14</v>
      </c>
      <c r="AK160" s="101" t="s">
        <v>11</v>
      </c>
      <c r="AL160" s="26"/>
      <c r="AM160" s="26"/>
      <c r="AN160" s="27"/>
      <c r="AO160" s="26"/>
      <c r="AP160" s="28" t="s">
        <v>15</v>
      </c>
      <c r="AQ160" s="26"/>
      <c r="AR160" s="26"/>
      <c r="AS160" s="32">
        <v>17</v>
      </c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  <c r="CO160" s="32"/>
      <c r="CP160" s="32"/>
      <c r="CQ160" s="32"/>
    </row>
    <row r="161" spans="1:95" x14ac:dyDescent="0.25">
      <c r="A161" s="25" t="s">
        <v>146</v>
      </c>
      <c r="B161" s="25" t="s">
        <v>319</v>
      </c>
      <c r="C161" s="25" t="s">
        <v>558</v>
      </c>
      <c r="D161" s="25">
        <v>200</v>
      </c>
      <c r="E161" s="34" t="str" cm="1">
        <f t="array" ref="E161">IFERROR(INDEX($J$5:$AVX$5, _xlfn.AGGREGATE(15,6, COLUMN(J161:AVX161)-COLUMN(J161)+1 / (J161:AVX161="T"), F161)), "")</f>
        <v/>
      </c>
      <c r="F161" s="96">
        <f>$A$2</f>
        <v>2</v>
      </c>
      <c r="G161" s="34" cm="1">
        <f t="array" ref="G161">IFERROR(INDEX($J$5:$AVW$5,_xlfn.AGGREGATE(14,6,(COLUMN($J161:$AVW161)-COLUMN($J161)+1)/($J161:$AVW161="T"),1)),"")</f>
        <v>45974</v>
      </c>
      <c r="H161" s="105">
        <f>COUNTIF($J161:$AVV161,"T")</f>
        <v>1</v>
      </c>
      <c r="I161" s="36" t="s">
        <v>10</v>
      </c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25"/>
      <c r="V161" s="25" t="s">
        <v>12</v>
      </c>
      <c r="W161" s="26"/>
      <c r="X161" s="26"/>
      <c r="Y161" s="26"/>
      <c r="Z161" s="27"/>
      <c r="AA161" s="26"/>
      <c r="AB161" s="26"/>
      <c r="AC161" s="28" t="s">
        <v>16</v>
      </c>
      <c r="AD161" s="29" t="s">
        <v>13</v>
      </c>
      <c r="AE161" s="26"/>
      <c r="AF161" s="26"/>
      <c r="AG161" s="27"/>
      <c r="AH161" s="26"/>
      <c r="AI161" s="26"/>
      <c r="AJ161" s="28" t="s">
        <v>14</v>
      </c>
      <c r="AK161" s="101" t="s">
        <v>11</v>
      </c>
      <c r="AL161" s="26"/>
      <c r="AM161" s="26"/>
      <c r="AN161" s="27"/>
      <c r="AO161" s="26"/>
      <c r="AP161" s="28" t="s">
        <v>15</v>
      </c>
      <c r="AQ161" s="26"/>
      <c r="AR161" s="26"/>
      <c r="AS161" s="32">
        <v>17</v>
      </c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  <c r="CO161" s="32"/>
      <c r="CP161" s="32"/>
      <c r="CQ161" s="25"/>
    </row>
    <row r="162" spans="1:95" x14ac:dyDescent="0.25">
      <c r="A162" s="25" t="s">
        <v>132</v>
      </c>
      <c r="B162" s="25" t="s">
        <v>335</v>
      </c>
      <c r="C162" s="25" t="s">
        <v>504</v>
      </c>
      <c r="D162" s="25">
        <v>146</v>
      </c>
      <c r="E162" s="34" t="str" cm="1">
        <f t="array" ref="E162">IFERROR(INDEX($J$5:$AVX$5, _xlfn.AGGREGATE(15,6, COLUMN(J162:AVX162)-COLUMN(J162)+1 / (J162:AVX162="T"), F162)), "")</f>
        <v/>
      </c>
      <c r="F162" s="96">
        <f>$A$2</f>
        <v>2</v>
      </c>
      <c r="G162" s="34" cm="1">
        <f t="array" ref="G162">IFERROR(INDEX($J$5:$AVW$5,_xlfn.AGGREGATE(14,6,(COLUMN($J162:$AVW162)-COLUMN($J162)+1)/($J162:$AVW162="T"),1)),"")</f>
        <v>45973</v>
      </c>
      <c r="H162" s="105">
        <f>COUNTIF($J162:$AVV162,"T")</f>
        <v>1</v>
      </c>
      <c r="I162" s="36" t="s">
        <v>10</v>
      </c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25" t="s">
        <v>12</v>
      </c>
      <c r="V162" s="26"/>
      <c r="W162" s="26"/>
      <c r="X162" s="26"/>
      <c r="Y162" s="27"/>
      <c r="Z162" s="26"/>
      <c r="AA162" s="26"/>
      <c r="AB162" s="28" t="s">
        <v>16</v>
      </c>
      <c r="AC162" s="29" t="s">
        <v>13</v>
      </c>
      <c r="AD162" s="26"/>
      <c r="AE162" s="26"/>
      <c r="AF162" s="27"/>
      <c r="AG162" s="26"/>
      <c r="AH162" s="26"/>
      <c r="AI162" s="28" t="s">
        <v>14</v>
      </c>
      <c r="AJ162" s="29" t="s">
        <v>11</v>
      </c>
      <c r="AK162" s="35"/>
      <c r="AL162" s="26"/>
      <c r="AM162" s="27"/>
      <c r="AN162" s="26"/>
      <c r="AO162" s="28" t="s">
        <v>15</v>
      </c>
      <c r="AP162" s="26"/>
      <c r="AQ162" s="26"/>
      <c r="AR162" s="25">
        <v>17</v>
      </c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  <c r="CO162" s="32"/>
      <c r="CP162" s="32"/>
      <c r="CQ162" s="25"/>
    </row>
    <row r="163" spans="1:95" x14ac:dyDescent="0.25">
      <c r="A163" s="25" t="s">
        <v>132</v>
      </c>
      <c r="B163" s="25" t="s">
        <v>254</v>
      </c>
      <c r="C163" s="25" t="s">
        <v>505</v>
      </c>
      <c r="D163" s="25">
        <v>147</v>
      </c>
      <c r="E163" s="34" t="str" cm="1">
        <f t="array" ref="E163">IFERROR(INDEX($J$5:$AVX$5, _xlfn.AGGREGATE(15,6, COLUMN(J163:AVX163)-COLUMN(J163)+1 / (J163:AVX163="T"), F163)), "")</f>
        <v/>
      </c>
      <c r="F163" s="96">
        <f>$A$2</f>
        <v>2</v>
      </c>
      <c r="G163" s="34" cm="1">
        <f t="array" ref="G163">IFERROR(INDEX($J$5:$AVW$5,_xlfn.AGGREGATE(14,6,(COLUMN($J163:$AVW163)-COLUMN($J163)+1)/($J163:$AVW163="T"),1)),"")</f>
        <v>45973</v>
      </c>
      <c r="H163" s="105">
        <f>COUNTIF($J163:$AVV163,"T")</f>
        <v>1</v>
      </c>
      <c r="I163" s="36" t="s">
        <v>10</v>
      </c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25" t="s">
        <v>12</v>
      </c>
      <c r="V163" s="26"/>
      <c r="W163" s="26"/>
      <c r="X163" s="26"/>
      <c r="Y163" s="27"/>
      <c r="Z163" s="26"/>
      <c r="AA163" s="26"/>
      <c r="AB163" s="28" t="s">
        <v>16</v>
      </c>
      <c r="AC163" s="29" t="s">
        <v>13</v>
      </c>
      <c r="AD163" s="26"/>
      <c r="AE163" s="26"/>
      <c r="AF163" s="27"/>
      <c r="AG163" s="26"/>
      <c r="AH163" s="26"/>
      <c r="AI163" s="28" t="s">
        <v>14</v>
      </c>
      <c r="AJ163" s="29" t="s">
        <v>11</v>
      </c>
      <c r="AK163" s="35"/>
      <c r="AL163" s="26"/>
      <c r="AM163" s="27"/>
      <c r="AN163" s="26"/>
      <c r="AO163" s="28" t="s">
        <v>15</v>
      </c>
      <c r="AP163" s="26"/>
      <c r="AQ163" s="26"/>
      <c r="AR163" s="25">
        <v>17</v>
      </c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  <c r="CO163" s="32"/>
      <c r="CP163" s="32"/>
      <c r="CQ163" s="25"/>
    </row>
    <row r="164" spans="1:95" x14ac:dyDescent="0.25">
      <c r="A164" s="25" t="s">
        <v>132</v>
      </c>
      <c r="B164" s="25" t="s">
        <v>255</v>
      </c>
      <c r="C164" s="25" t="s">
        <v>506</v>
      </c>
      <c r="D164" s="25">
        <v>148</v>
      </c>
      <c r="E164" s="34" t="str" cm="1">
        <f t="array" ref="E164">IFERROR(INDEX($J$5:$AVX$5, _xlfn.AGGREGATE(15,6, COLUMN(J164:AVX164)-COLUMN(J164)+1 / (J164:AVX164="T"), F164)), "")</f>
        <v/>
      </c>
      <c r="F164" s="96">
        <f>$A$2</f>
        <v>2</v>
      </c>
      <c r="G164" s="34" cm="1">
        <f t="array" ref="G164">IFERROR(INDEX($J$5:$AVW$5,_xlfn.AGGREGATE(14,6,(COLUMN($J164:$AVW164)-COLUMN($J164)+1)/($J164:$AVW164="T"),1)),"")</f>
        <v>45973</v>
      </c>
      <c r="H164" s="105">
        <f>COUNTIF($J164:$AVV164,"T")</f>
        <v>1</v>
      </c>
      <c r="I164" s="36" t="s">
        <v>10</v>
      </c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25" t="s">
        <v>12</v>
      </c>
      <c r="V164" s="26"/>
      <c r="W164" s="26"/>
      <c r="X164" s="26"/>
      <c r="Y164" s="27"/>
      <c r="Z164" s="26"/>
      <c r="AA164" s="26"/>
      <c r="AB164" s="28" t="s">
        <v>16</v>
      </c>
      <c r="AC164" s="29" t="s">
        <v>13</v>
      </c>
      <c r="AD164" s="26"/>
      <c r="AE164" s="26"/>
      <c r="AF164" s="27"/>
      <c r="AG164" s="26"/>
      <c r="AH164" s="26"/>
      <c r="AI164" s="28" t="s">
        <v>14</v>
      </c>
      <c r="AJ164" s="29" t="s">
        <v>11</v>
      </c>
      <c r="AK164" s="35"/>
      <c r="AL164" s="26"/>
      <c r="AM164" s="27"/>
      <c r="AN164" s="26"/>
      <c r="AO164" s="28" t="s">
        <v>15</v>
      </c>
      <c r="AP164" s="26"/>
      <c r="AQ164" s="26"/>
      <c r="AR164" s="25">
        <v>17</v>
      </c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  <c r="CO164" s="32"/>
      <c r="CP164" s="32"/>
      <c r="CQ164" s="25"/>
    </row>
    <row r="165" spans="1:95" x14ac:dyDescent="0.25">
      <c r="A165" s="25" t="s">
        <v>132</v>
      </c>
      <c r="B165" s="25" t="s">
        <v>336</v>
      </c>
      <c r="C165" s="25" t="s">
        <v>507</v>
      </c>
      <c r="D165" s="25">
        <v>149</v>
      </c>
      <c r="E165" s="34" t="str" cm="1">
        <f t="array" ref="E165">IFERROR(INDEX($J$5:$AVX$5, _xlfn.AGGREGATE(15,6, COLUMN(J165:AVX165)-COLUMN(J165)+1 / (J165:AVX165="T"), F165)), "")</f>
        <v/>
      </c>
      <c r="F165" s="96">
        <f>$A$2</f>
        <v>2</v>
      </c>
      <c r="G165" s="34" cm="1">
        <f t="array" ref="G165">IFERROR(INDEX($J$5:$AVW$5,_xlfn.AGGREGATE(14,6,(COLUMN($J165:$AVW165)-COLUMN($J165)+1)/($J165:$AVW165="T"),1)),"")</f>
        <v>45973</v>
      </c>
      <c r="H165" s="105">
        <f>COUNTIF($J165:$AVV165,"T")</f>
        <v>1</v>
      </c>
      <c r="I165" s="36" t="s">
        <v>10</v>
      </c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25" t="s">
        <v>12</v>
      </c>
      <c r="V165" s="26"/>
      <c r="W165" s="26"/>
      <c r="X165" s="26"/>
      <c r="Y165" s="27"/>
      <c r="Z165" s="26"/>
      <c r="AA165" s="26"/>
      <c r="AB165" s="28" t="s">
        <v>16</v>
      </c>
      <c r="AC165" s="29" t="s">
        <v>13</v>
      </c>
      <c r="AD165" s="26"/>
      <c r="AE165" s="26"/>
      <c r="AF165" s="27"/>
      <c r="AG165" s="26"/>
      <c r="AH165" s="26"/>
      <c r="AI165" s="28" t="s">
        <v>14</v>
      </c>
      <c r="AJ165" s="29" t="s">
        <v>11</v>
      </c>
      <c r="AK165" s="35"/>
      <c r="AL165" s="26"/>
      <c r="AM165" s="27"/>
      <c r="AN165" s="26"/>
      <c r="AO165" s="28" t="s">
        <v>15</v>
      </c>
      <c r="AP165" s="26"/>
      <c r="AQ165" s="26"/>
      <c r="AR165" s="25">
        <v>17</v>
      </c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  <c r="CO165" s="32"/>
      <c r="CP165" s="32"/>
      <c r="CQ165" s="25"/>
    </row>
    <row r="166" spans="1:95" x14ac:dyDescent="0.25">
      <c r="A166" s="25" t="s">
        <v>132</v>
      </c>
      <c r="B166" s="25" t="s">
        <v>337</v>
      </c>
      <c r="C166" s="25" t="s">
        <v>508</v>
      </c>
      <c r="D166" s="25">
        <v>150</v>
      </c>
      <c r="E166" s="34" t="str" cm="1">
        <f t="array" ref="E166">IFERROR(INDEX($J$5:$AVX$5, _xlfn.AGGREGATE(15,6, COLUMN(J166:AVX166)-COLUMN(J166)+1 / (J166:AVX166="T"), F166)), "")</f>
        <v/>
      </c>
      <c r="F166" s="96">
        <f>$A$2</f>
        <v>2</v>
      </c>
      <c r="G166" s="34" cm="1">
        <f t="array" ref="G166">IFERROR(INDEX($J$5:$AVW$5,_xlfn.AGGREGATE(14,6,(COLUMN($J166:$AVW166)-COLUMN($J166)+1)/($J166:$AVW166="T"),1)),"")</f>
        <v>45973</v>
      </c>
      <c r="H166" s="105">
        <f>COUNTIF($J166:$AVV166,"T")</f>
        <v>1</v>
      </c>
      <c r="I166" s="36" t="s">
        <v>10</v>
      </c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 t="s">
        <v>12</v>
      </c>
      <c r="V166" s="97"/>
      <c r="W166" s="97"/>
      <c r="X166" s="97"/>
      <c r="Y166" s="98"/>
      <c r="Z166" s="97"/>
      <c r="AA166" s="97"/>
      <c r="AB166" s="99" t="s">
        <v>16</v>
      </c>
      <c r="AC166" s="100" t="s">
        <v>13</v>
      </c>
      <c r="AD166" s="97"/>
      <c r="AE166" s="97"/>
      <c r="AF166" s="98"/>
      <c r="AG166" s="97"/>
      <c r="AH166" s="97"/>
      <c r="AI166" s="99" t="s">
        <v>14</v>
      </c>
      <c r="AJ166" s="100" t="s">
        <v>11</v>
      </c>
      <c r="AK166" s="97"/>
      <c r="AL166" s="97"/>
      <c r="AM166" s="98"/>
      <c r="AN166" s="97"/>
      <c r="AO166" s="99" t="s">
        <v>15</v>
      </c>
      <c r="AP166" s="97"/>
      <c r="AQ166" s="97"/>
      <c r="AR166" s="32">
        <v>17</v>
      </c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  <c r="CO166" s="32"/>
      <c r="CP166" s="32"/>
    </row>
    <row r="167" spans="1:95" x14ac:dyDescent="0.25">
      <c r="A167" s="25" t="s">
        <v>132</v>
      </c>
      <c r="B167" s="25" t="s">
        <v>256</v>
      </c>
      <c r="C167" s="25" t="s">
        <v>509</v>
      </c>
      <c r="D167" s="25">
        <v>151</v>
      </c>
      <c r="E167" s="34" t="str" cm="1">
        <f t="array" ref="E167">IFERROR(INDEX($J$5:$AVX$5, _xlfn.AGGREGATE(15,6, COLUMN(J167:AVX167)-COLUMN(J167)+1 / (J167:AVX167="T"), F167)), "")</f>
        <v/>
      </c>
      <c r="F167" s="96">
        <f>$A$2</f>
        <v>2</v>
      </c>
      <c r="G167" s="34" cm="1">
        <f t="array" ref="G167">IFERROR(INDEX($J$5:$AVW$5,_xlfn.AGGREGATE(14,6,(COLUMN($J167:$AVW167)-COLUMN($J167)+1)/($J167:$AVW167="T"),1)),"")</f>
        <v>45973</v>
      </c>
      <c r="H167" s="105">
        <f>COUNTIF($J167:$AVV167,"T")</f>
        <v>1</v>
      </c>
      <c r="I167" s="36" t="s">
        <v>10</v>
      </c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 t="s">
        <v>12</v>
      </c>
      <c r="V167" s="97"/>
      <c r="W167" s="97"/>
      <c r="X167" s="97"/>
      <c r="Y167" s="98"/>
      <c r="Z167" s="97"/>
      <c r="AA167" s="97"/>
      <c r="AB167" s="99" t="s">
        <v>16</v>
      </c>
      <c r="AC167" s="100" t="s">
        <v>13</v>
      </c>
      <c r="AD167" s="97"/>
      <c r="AE167" s="97"/>
      <c r="AF167" s="98"/>
      <c r="AG167" s="97"/>
      <c r="AH167" s="97"/>
      <c r="AI167" s="99" t="s">
        <v>14</v>
      </c>
      <c r="AJ167" s="100" t="s">
        <v>11</v>
      </c>
      <c r="AK167" s="97"/>
      <c r="AL167" s="97"/>
      <c r="AM167" s="98"/>
      <c r="AN167" s="97"/>
      <c r="AO167" s="99" t="s">
        <v>15</v>
      </c>
      <c r="AP167" s="97"/>
      <c r="AQ167" s="97"/>
      <c r="AR167" s="32">
        <v>17</v>
      </c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  <c r="CO167" s="32"/>
      <c r="CP167" s="32"/>
    </row>
    <row r="168" spans="1:95" x14ac:dyDescent="0.25">
      <c r="A168" s="25" t="s">
        <v>132</v>
      </c>
      <c r="B168" s="25" t="s">
        <v>257</v>
      </c>
      <c r="C168" s="25" t="s">
        <v>510</v>
      </c>
      <c r="D168" s="25">
        <v>152</v>
      </c>
      <c r="E168" s="34" t="str" cm="1">
        <f t="array" ref="E168">IFERROR(INDEX($J$5:$AVX$5, _xlfn.AGGREGATE(15,6, COLUMN(J168:AVX168)-COLUMN(J168)+1 / (J168:AVX168="T"), F168)), "")</f>
        <v/>
      </c>
      <c r="F168" s="96">
        <f>$A$2</f>
        <v>2</v>
      </c>
      <c r="G168" s="34" cm="1">
        <f t="array" ref="G168">IFERROR(INDEX($J$5:$AVW$5,_xlfn.AGGREGATE(14,6,(COLUMN($J168:$AVW168)-COLUMN($J168)+1)/($J168:$AVW168="T"),1)),"")</f>
        <v>45973</v>
      </c>
      <c r="H168" s="105">
        <f>COUNTIF($J168:$AVV168,"T")</f>
        <v>1</v>
      </c>
      <c r="I168" s="36" t="s">
        <v>10</v>
      </c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 t="s">
        <v>12</v>
      </c>
      <c r="V168" s="97"/>
      <c r="W168" s="97"/>
      <c r="X168" s="97"/>
      <c r="Y168" s="27"/>
      <c r="Z168" s="26"/>
      <c r="AA168" s="26"/>
      <c r="AB168" s="28" t="s">
        <v>16</v>
      </c>
      <c r="AC168" s="29" t="s">
        <v>13</v>
      </c>
      <c r="AD168" s="26"/>
      <c r="AE168" s="26"/>
      <c r="AF168" s="27"/>
      <c r="AG168" s="26"/>
      <c r="AH168" s="26"/>
      <c r="AI168" s="28" t="s">
        <v>14</v>
      </c>
      <c r="AJ168" s="29" t="s">
        <v>11</v>
      </c>
      <c r="AK168" s="26"/>
      <c r="AL168" s="26"/>
      <c r="AM168" s="102"/>
      <c r="AN168" s="26"/>
      <c r="AO168" s="28" t="s">
        <v>15</v>
      </c>
      <c r="AP168" s="26"/>
      <c r="AQ168" s="26"/>
      <c r="AR168" s="25">
        <v>17</v>
      </c>
      <c r="AS168" s="25"/>
      <c r="AT168" s="25"/>
      <c r="AU168" s="25"/>
      <c r="AV168" s="25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  <c r="CO168" s="32"/>
      <c r="CP168" s="32"/>
    </row>
    <row r="169" spans="1:95" x14ac:dyDescent="0.25">
      <c r="A169" s="25" t="s">
        <v>132</v>
      </c>
      <c r="B169" s="25" t="s">
        <v>243</v>
      </c>
      <c r="C169" s="25" t="s">
        <v>497</v>
      </c>
      <c r="D169" s="25">
        <v>139</v>
      </c>
      <c r="E169" s="34" t="str" cm="1">
        <f t="array" ref="E169">IFERROR(INDEX($J$5:$AVX$5, _xlfn.AGGREGATE(15,6, COLUMN(J169:AVX169)-COLUMN(J169)+1 / (J169:AVX169="T"), F169)), "")</f>
        <v/>
      </c>
      <c r="F169" s="96">
        <f>$A$2</f>
        <v>2</v>
      </c>
      <c r="G169" s="34" cm="1">
        <f t="array" ref="G169">IFERROR(INDEX($J$5:$AVW$5,_xlfn.AGGREGATE(14,6,(COLUMN($J169:$AVW169)-COLUMN($J169)+1)/($J169:$AVW169="T"),1)),"")</f>
        <v>45972</v>
      </c>
      <c r="H169" s="105">
        <f>COUNTIF($J169:$AVV169,"T")</f>
        <v>1</v>
      </c>
      <c r="I169" s="36" t="s">
        <v>10</v>
      </c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 t="s">
        <v>12</v>
      </c>
      <c r="U169" s="97"/>
      <c r="V169" s="97"/>
      <c r="W169" s="97"/>
      <c r="X169" s="98"/>
      <c r="Y169" s="26"/>
      <c r="Z169" s="26"/>
      <c r="AA169" s="28" t="s">
        <v>16</v>
      </c>
      <c r="AB169" s="29" t="s">
        <v>13</v>
      </c>
      <c r="AC169" s="26"/>
      <c r="AD169" s="26"/>
      <c r="AE169" s="27"/>
      <c r="AF169" s="26"/>
      <c r="AG169" s="26"/>
      <c r="AH169" s="28" t="s">
        <v>14</v>
      </c>
      <c r="AI169" s="29" t="s">
        <v>11</v>
      </c>
      <c r="AJ169" s="26"/>
      <c r="AK169" s="26"/>
      <c r="AL169" s="27"/>
      <c r="AM169" s="26"/>
      <c r="AN169" s="28" t="s">
        <v>15</v>
      </c>
      <c r="AO169" s="35"/>
      <c r="AP169" s="26"/>
      <c r="AQ169" s="25">
        <v>17</v>
      </c>
      <c r="AR169" s="25"/>
      <c r="AS169" s="25"/>
      <c r="AT169" s="25"/>
      <c r="AU169" s="25"/>
      <c r="AV169" s="25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  <c r="CO169" s="32"/>
      <c r="CP169" s="32"/>
    </row>
    <row r="170" spans="1:95" s="38" customFormat="1" x14ac:dyDescent="0.25">
      <c r="A170" s="25" t="s">
        <v>132</v>
      </c>
      <c r="B170" s="25" t="s">
        <v>244</v>
      </c>
      <c r="C170" s="25" t="s">
        <v>498</v>
      </c>
      <c r="D170" s="25">
        <v>140</v>
      </c>
      <c r="E170" s="34" t="str" cm="1">
        <f t="array" ref="E170">IFERROR(INDEX($J$5:$AVX$5, _xlfn.AGGREGATE(15,6, COLUMN(J170:AVX170)-COLUMN(J170)+1 / (J170:AVX170="T"), F170)), "")</f>
        <v/>
      </c>
      <c r="F170" s="96">
        <f>$A$2</f>
        <v>2</v>
      </c>
      <c r="G170" s="34" cm="1">
        <f t="array" ref="G170">IFERROR(INDEX($J$5:$AVW$5,_xlfn.AGGREGATE(14,6,(COLUMN($J170:$AVW170)-COLUMN($J170)+1)/($J170:$AVW170="T"),1)),"")</f>
        <v>45972</v>
      </c>
      <c r="H170" s="105">
        <f>COUNTIF($J170:$AVV170,"T")</f>
        <v>1</v>
      </c>
      <c r="I170" s="36" t="s">
        <v>10</v>
      </c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 t="s">
        <v>12</v>
      </c>
      <c r="U170" s="97"/>
      <c r="V170" s="97"/>
      <c r="W170" s="97"/>
      <c r="X170" s="98"/>
      <c r="Y170" s="26"/>
      <c r="Z170" s="26"/>
      <c r="AA170" s="28" t="s">
        <v>16</v>
      </c>
      <c r="AB170" s="29" t="s">
        <v>13</v>
      </c>
      <c r="AC170" s="26"/>
      <c r="AD170" s="26"/>
      <c r="AE170" s="27"/>
      <c r="AF170" s="26"/>
      <c r="AG170" s="26"/>
      <c r="AH170" s="28" t="s">
        <v>14</v>
      </c>
      <c r="AI170" s="29" t="s">
        <v>11</v>
      </c>
      <c r="AJ170" s="26"/>
      <c r="AK170" s="26"/>
      <c r="AL170" s="27"/>
      <c r="AM170" s="26"/>
      <c r="AN170" s="28" t="s">
        <v>15</v>
      </c>
      <c r="AO170" s="35"/>
      <c r="AP170" s="26"/>
      <c r="AQ170" s="25">
        <v>17</v>
      </c>
      <c r="AR170" s="25"/>
      <c r="AS170" s="25"/>
      <c r="AT170" s="25"/>
      <c r="AU170" s="25"/>
      <c r="AV170" s="25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  <c r="CO170" s="32"/>
      <c r="CP170" s="32"/>
    </row>
    <row r="171" spans="1:95" s="38" customFormat="1" x14ac:dyDescent="0.25">
      <c r="A171" s="25" t="s">
        <v>132</v>
      </c>
      <c r="B171" s="25" t="s">
        <v>245</v>
      </c>
      <c r="C171" s="25" t="s">
        <v>499</v>
      </c>
      <c r="D171" s="25">
        <v>141</v>
      </c>
      <c r="E171" s="34" t="str" cm="1">
        <f t="array" ref="E171">IFERROR(INDEX($J$5:$AVX$5, _xlfn.AGGREGATE(15,6, COLUMN(J171:AVX171)-COLUMN(J171)+1 / (J171:AVX171="T"), F171)), "")</f>
        <v/>
      </c>
      <c r="F171" s="96">
        <f>$A$2</f>
        <v>2</v>
      </c>
      <c r="G171" s="34" cm="1">
        <f t="array" ref="G171">IFERROR(INDEX($J$5:$AVW$5,_xlfn.AGGREGATE(14,6,(COLUMN($J171:$AVW171)-COLUMN($J171)+1)/($J171:$AVW171="T"),1)),"")</f>
        <v>45972</v>
      </c>
      <c r="H171" s="105">
        <f>COUNTIF($J171:$AVV171,"T")</f>
        <v>1</v>
      </c>
      <c r="I171" s="36" t="s">
        <v>10</v>
      </c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 t="s">
        <v>12</v>
      </c>
      <c r="U171" s="97"/>
      <c r="V171" s="97"/>
      <c r="W171" s="97"/>
      <c r="X171" s="98"/>
      <c r="Y171" s="26"/>
      <c r="Z171" s="26"/>
      <c r="AA171" s="28" t="s">
        <v>16</v>
      </c>
      <c r="AB171" s="29" t="s">
        <v>13</v>
      </c>
      <c r="AC171" s="26"/>
      <c r="AD171" s="26"/>
      <c r="AE171" s="27"/>
      <c r="AF171" s="26"/>
      <c r="AG171" s="26"/>
      <c r="AH171" s="28" t="s">
        <v>14</v>
      </c>
      <c r="AI171" s="29" t="s">
        <v>11</v>
      </c>
      <c r="AJ171" s="26"/>
      <c r="AK171" s="26"/>
      <c r="AL171" s="27"/>
      <c r="AM171" s="26"/>
      <c r="AN171" s="28" t="s">
        <v>15</v>
      </c>
      <c r="AO171" s="35"/>
      <c r="AP171" s="26"/>
      <c r="AQ171" s="25">
        <v>17</v>
      </c>
      <c r="AR171" s="25"/>
      <c r="AS171" s="25"/>
      <c r="AT171" s="25"/>
      <c r="AU171" s="25"/>
      <c r="AV171" s="25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  <c r="CO171" s="32"/>
      <c r="CP171" s="32"/>
    </row>
    <row r="172" spans="1:95" x14ac:dyDescent="0.25">
      <c r="A172" s="25" t="s">
        <v>132</v>
      </c>
      <c r="B172" s="25" t="s">
        <v>331</v>
      </c>
      <c r="C172" s="25" t="s">
        <v>500</v>
      </c>
      <c r="D172" s="25">
        <v>142</v>
      </c>
      <c r="E172" s="34" t="str" cm="1">
        <f t="array" ref="E172">IFERROR(INDEX($J$5:$AVX$5, _xlfn.AGGREGATE(15,6, COLUMN(J172:AVX172)-COLUMN(J172)+1 / (J172:AVX172="T"), F172)), "")</f>
        <v/>
      </c>
      <c r="F172" s="96">
        <f>$A$2</f>
        <v>2</v>
      </c>
      <c r="G172" s="34" cm="1">
        <f t="array" ref="G172">IFERROR(INDEX($J$5:$AVW$5,_xlfn.AGGREGATE(14,6,(COLUMN($J172:$AVW172)-COLUMN($J172)+1)/($J172:$AVW172="T"),1)),"")</f>
        <v>45972</v>
      </c>
      <c r="H172" s="105">
        <f>COUNTIF($J172:$AVV172,"T")</f>
        <v>1</v>
      </c>
      <c r="I172" s="36" t="s">
        <v>10</v>
      </c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 t="s">
        <v>12</v>
      </c>
      <c r="U172" s="97"/>
      <c r="V172" s="97"/>
      <c r="W172" s="97"/>
      <c r="X172" s="98"/>
      <c r="Y172" s="26"/>
      <c r="Z172" s="26"/>
      <c r="AA172" s="28" t="s">
        <v>16</v>
      </c>
      <c r="AB172" s="29" t="s">
        <v>13</v>
      </c>
      <c r="AC172" s="26"/>
      <c r="AD172" s="26"/>
      <c r="AE172" s="27"/>
      <c r="AF172" s="26"/>
      <c r="AG172" s="26"/>
      <c r="AH172" s="28" t="s">
        <v>14</v>
      </c>
      <c r="AI172" s="29" t="s">
        <v>11</v>
      </c>
      <c r="AJ172" s="26"/>
      <c r="AK172" s="26"/>
      <c r="AL172" s="27"/>
      <c r="AM172" s="26"/>
      <c r="AN172" s="28" t="s">
        <v>15</v>
      </c>
      <c r="AO172" s="35"/>
      <c r="AP172" s="26"/>
      <c r="AQ172" s="25">
        <v>17</v>
      </c>
      <c r="AR172" s="25"/>
      <c r="AS172" s="25"/>
      <c r="AT172" s="25"/>
      <c r="AU172" s="25"/>
      <c r="AV172" s="25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  <c r="CO172" s="32"/>
      <c r="CP172" s="32"/>
    </row>
    <row r="173" spans="1:95" x14ac:dyDescent="0.25">
      <c r="A173" s="25" t="s">
        <v>132</v>
      </c>
      <c r="B173" s="25" t="s">
        <v>332</v>
      </c>
      <c r="C173" s="25" t="s">
        <v>501</v>
      </c>
      <c r="D173" s="25">
        <v>143</v>
      </c>
      <c r="E173" s="34" t="str" cm="1">
        <f t="array" ref="E173">IFERROR(INDEX($J$5:$AVX$5, _xlfn.AGGREGATE(15,6, COLUMN(J173:AVX173)-COLUMN(J173)+1 / (J173:AVX173="T"), F173)), "")</f>
        <v/>
      </c>
      <c r="F173" s="96">
        <f>$A$2</f>
        <v>2</v>
      </c>
      <c r="G173" s="34" cm="1">
        <f t="array" ref="G173">IFERROR(INDEX($J$5:$AVW$5,_xlfn.AGGREGATE(14,6,(COLUMN($J173:$AVW173)-COLUMN($J173)+1)/($J173:$AVW173="T"),1)),"")</f>
        <v>45972</v>
      </c>
      <c r="H173" s="105">
        <f>COUNTIF($J173:$AVV173,"T")</f>
        <v>1</v>
      </c>
      <c r="I173" s="36" t="s">
        <v>10</v>
      </c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 t="s">
        <v>12</v>
      </c>
      <c r="U173" s="97"/>
      <c r="V173" s="97"/>
      <c r="W173" s="97"/>
      <c r="X173" s="98"/>
      <c r="Y173" s="26"/>
      <c r="Z173" s="26"/>
      <c r="AA173" s="28" t="s">
        <v>16</v>
      </c>
      <c r="AB173" s="29" t="s">
        <v>13</v>
      </c>
      <c r="AC173" s="26"/>
      <c r="AD173" s="26"/>
      <c r="AE173" s="27"/>
      <c r="AF173" s="26"/>
      <c r="AG173" s="26"/>
      <c r="AH173" s="28" t="s">
        <v>14</v>
      </c>
      <c r="AI173" s="29" t="s">
        <v>11</v>
      </c>
      <c r="AJ173" s="26"/>
      <c r="AK173" s="26"/>
      <c r="AL173" s="27"/>
      <c r="AM173" s="26"/>
      <c r="AN173" s="28" t="s">
        <v>15</v>
      </c>
      <c r="AO173" s="35"/>
      <c r="AP173" s="26"/>
      <c r="AQ173" s="25">
        <v>17</v>
      </c>
      <c r="AR173" s="25"/>
      <c r="AS173" s="25"/>
      <c r="AT173" s="25"/>
      <c r="AU173" s="25"/>
      <c r="AV173" s="25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  <c r="CO173" s="32"/>
      <c r="CP173" s="32"/>
    </row>
    <row r="174" spans="1:95" x14ac:dyDescent="0.25">
      <c r="A174" s="25" t="s">
        <v>132</v>
      </c>
      <c r="B174" s="25" t="s">
        <v>333</v>
      </c>
      <c r="C174" s="25" t="s">
        <v>502</v>
      </c>
      <c r="D174" s="25">
        <v>144</v>
      </c>
      <c r="E174" s="34" t="str" cm="1">
        <f t="array" ref="E174">IFERROR(INDEX($J$5:$AVX$5, _xlfn.AGGREGATE(15,6, COLUMN(J174:AVX174)-COLUMN(J174)+1 / (J174:AVX174="T"), F174)), "")</f>
        <v/>
      </c>
      <c r="F174" s="96">
        <f>$A$2</f>
        <v>2</v>
      </c>
      <c r="G174" s="34" cm="1">
        <f t="array" ref="G174">IFERROR(INDEX($J$5:$AVW$5,_xlfn.AGGREGATE(14,6,(COLUMN($J174:$AVW174)-COLUMN($J174)+1)/($J174:$AVW174="T"),1)),"")</f>
        <v>45972</v>
      </c>
      <c r="H174" s="105">
        <f>COUNTIF($J174:$AVV174,"T")</f>
        <v>1</v>
      </c>
      <c r="I174" s="36" t="s">
        <v>10</v>
      </c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 t="s">
        <v>12</v>
      </c>
      <c r="U174" s="97"/>
      <c r="V174" s="97"/>
      <c r="W174" s="97"/>
      <c r="X174" s="98"/>
      <c r="Y174" s="26"/>
      <c r="Z174" s="26"/>
      <c r="AA174" s="28" t="s">
        <v>16</v>
      </c>
      <c r="AB174" s="29" t="s">
        <v>13</v>
      </c>
      <c r="AC174" s="26"/>
      <c r="AD174" s="26"/>
      <c r="AE174" s="27"/>
      <c r="AF174" s="26"/>
      <c r="AG174" s="26"/>
      <c r="AH174" s="28" t="s">
        <v>14</v>
      </c>
      <c r="AI174" s="29" t="s">
        <v>11</v>
      </c>
      <c r="AJ174" s="26"/>
      <c r="AK174" s="26"/>
      <c r="AL174" s="27"/>
      <c r="AM174" s="26"/>
      <c r="AN174" s="28" t="s">
        <v>15</v>
      </c>
      <c r="AO174" s="35"/>
      <c r="AP174" s="26"/>
      <c r="AQ174" s="25">
        <v>17</v>
      </c>
      <c r="AR174" s="25"/>
      <c r="AS174" s="25"/>
      <c r="AT174" s="25"/>
      <c r="AU174" s="25"/>
      <c r="AV174" s="25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  <c r="CO174" s="32"/>
      <c r="CP174" s="32"/>
    </row>
    <row r="175" spans="1:95" x14ac:dyDescent="0.25">
      <c r="A175" s="25" t="s">
        <v>132</v>
      </c>
      <c r="B175" s="25" t="s">
        <v>334</v>
      </c>
      <c r="C175" s="25" t="s">
        <v>503</v>
      </c>
      <c r="D175" s="25">
        <v>145</v>
      </c>
      <c r="E175" s="34" t="str" cm="1">
        <f t="array" ref="E175">IFERROR(INDEX($J$5:$AVX$5, _xlfn.AGGREGATE(15,6, COLUMN(J175:AVX175)-COLUMN(J175)+1 / (J175:AVX175="T"), F175)), "")</f>
        <v/>
      </c>
      <c r="F175" s="96">
        <f>$A$2</f>
        <v>2</v>
      </c>
      <c r="G175" s="34" cm="1">
        <f t="array" ref="G175">IFERROR(INDEX($J$5:$AVW$5,_xlfn.AGGREGATE(14,6,(COLUMN($J175:$AVW175)-COLUMN($J175)+1)/($J175:$AVW175="T"),1)),"")</f>
        <v>45972</v>
      </c>
      <c r="H175" s="105">
        <f>COUNTIF($J175:$AVV175,"T")</f>
        <v>1</v>
      </c>
      <c r="I175" s="36" t="s">
        <v>10</v>
      </c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 t="s">
        <v>12</v>
      </c>
      <c r="U175" s="97"/>
      <c r="V175" s="97"/>
      <c r="W175" s="97"/>
      <c r="X175" s="98"/>
      <c r="Y175" s="97"/>
      <c r="Z175" s="26"/>
      <c r="AA175" s="28" t="s">
        <v>16</v>
      </c>
      <c r="AB175" s="29" t="s">
        <v>13</v>
      </c>
      <c r="AC175" s="26"/>
      <c r="AD175" s="26"/>
      <c r="AE175" s="27"/>
      <c r="AF175" s="26"/>
      <c r="AG175" s="26"/>
      <c r="AH175" s="28" t="s">
        <v>14</v>
      </c>
      <c r="AI175" s="29" t="s">
        <v>11</v>
      </c>
      <c r="AJ175" s="26"/>
      <c r="AK175" s="26"/>
      <c r="AL175" s="27"/>
      <c r="AM175" s="26"/>
      <c r="AN175" s="31" t="s">
        <v>15</v>
      </c>
      <c r="AO175" s="26"/>
      <c r="AP175" s="26"/>
      <c r="AQ175" s="25">
        <v>17</v>
      </c>
      <c r="AR175" s="25"/>
      <c r="AS175" s="25"/>
      <c r="AT175" s="25"/>
      <c r="AU175" s="25"/>
      <c r="AV175" s="25"/>
      <c r="AW175" s="25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  <c r="CO175" s="32"/>
      <c r="CP175" s="32"/>
    </row>
    <row r="176" spans="1:95" x14ac:dyDescent="0.25">
      <c r="A176" s="25" t="s">
        <v>132</v>
      </c>
      <c r="B176" s="25" t="s">
        <v>236</v>
      </c>
      <c r="C176" s="25" t="s">
        <v>490</v>
      </c>
      <c r="D176" s="25">
        <v>132</v>
      </c>
      <c r="E176" s="34" t="str" cm="1">
        <f t="array" ref="E176">IFERROR(INDEX($J$5:$AVX$5, _xlfn.AGGREGATE(15,6, COLUMN(J176:AVX176)-COLUMN(J176)+1 / (J176:AVX176="T"), F176)), "")</f>
        <v/>
      </c>
      <c r="F176" s="96">
        <f>$A$2</f>
        <v>2</v>
      </c>
      <c r="G176" s="34" cm="1">
        <f t="array" ref="G176">IFERROR(INDEX($J$5:$AVW$5,_xlfn.AGGREGATE(14,6,(COLUMN($J176:$AVW176)-COLUMN($J176)+1)/($J176:$AVW176="T"),1)),"")</f>
        <v>45971</v>
      </c>
      <c r="H176" s="105">
        <f>COUNTIF($J176:$AVV176,"T")</f>
        <v>1</v>
      </c>
      <c r="I176" s="36" t="s">
        <v>10</v>
      </c>
      <c r="J176" s="32"/>
      <c r="K176" s="32"/>
      <c r="L176" s="32"/>
      <c r="M176" s="32"/>
      <c r="N176" s="32"/>
      <c r="O176" s="32"/>
      <c r="P176" s="32"/>
      <c r="Q176" s="32"/>
      <c r="R176" s="32"/>
      <c r="S176" s="32" t="s">
        <v>12</v>
      </c>
      <c r="T176" s="97"/>
      <c r="U176" s="97"/>
      <c r="V176" s="97"/>
      <c r="W176" s="98"/>
      <c r="X176" s="97"/>
      <c r="Y176" s="97"/>
      <c r="Z176" s="28" t="s">
        <v>16</v>
      </c>
      <c r="AA176" s="29" t="s">
        <v>13</v>
      </c>
      <c r="AB176" s="26"/>
      <c r="AC176" s="26"/>
      <c r="AD176" s="27"/>
      <c r="AE176" s="26"/>
      <c r="AF176" s="26"/>
      <c r="AG176" s="28" t="s">
        <v>14</v>
      </c>
      <c r="AH176" s="29" t="s">
        <v>11</v>
      </c>
      <c r="AI176" s="26"/>
      <c r="AJ176" s="26"/>
      <c r="AK176" s="27"/>
      <c r="AL176" s="26"/>
      <c r="AM176" s="28" t="s">
        <v>15</v>
      </c>
      <c r="AN176" s="26"/>
      <c r="AO176" s="26"/>
      <c r="AP176" s="30">
        <v>17</v>
      </c>
      <c r="AQ176" s="25"/>
      <c r="AR176" s="25"/>
      <c r="AS176" s="25"/>
      <c r="AT176" s="25"/>
      <c r="AU176" s="25"/>
      <c r="AV176" s="25"/>
      <c r="AW176" s="25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  <c r="CO176" s="32"/>
      <c r="CP176" s="32"/>
    </row>
    <row r="177" spans="1:94" x14ac:dyDescent="0.25">
      <c r="A177" s="25" t="s">
        <v>132</v>
      </c>
      <c r="B177" s="25" t="s">
        <v>237</v>
      </c>
      <c r="C177" s="25" t="s">
        <v>491</v>
      </c>
      <c r="D177" s="25">
        <v>133</v>
      </c>
      <c r="E177" s="34" t="str" cm="1">
        <f t="array" ref="E177">IFERROR(INDEX($J$5:$AVX$5, _xlfn.AGGREGATE(15,6, COLUMN(J177:AVX177)-COLUMN(J177)+1 / (J177:AVX177="T"), F177)), "")</f>
        <v/>
      </c>
      <c r="F177" s="96">
        <f>$A$2</f>
        <v>2</v>
      </c>
      <c r="G177" s="34" cm="1">
        <f t="array" ref="G177">IFERROR(INDEX($J$5:$AVW$5,_xlfn.AGGREGATE(14,6,(COLUMN($J177:$AVW177)-COLUMN($J177)+1)/($J177:$AVW177="T"),1)),"")</f>
        <v>45971</v>
      </c>
      <c r="H177" s="105">
        <f>COUNTIF($J177:$AVV177,"T")</f>
        <v>1</v>
      </c>
      <c r="I177" s="36" t="s">
        <v>10</v>
      </c>
      <c r="J177" s="32"/>
      <c r="K177" s="32"/>
      <c r="L177" s="32"/>
      <c r="M177" s="32"/>
      <c r="N177" s="32"/>
      <c r="O177" s="32"/>
      <c r="P177" s="32"/>
      <c r="Q177" s="32"/>
      <c r="R177" s="32"/>
      <c r="S177" s="32" t="s">
        <v>12</v>
      </c>
      <c r="T177" s="97"/>
      <c r="U177" s="97"/>
      <c r="V177" s="97"/>
      <c r="W177" s="98"/>
      <c r="X177" s="97"/>
      <c r="Y177" s="97"/>
      <c r="Z177" s="28" t="s">
        <v>16</v>
      </c>
      <c r="AA177" s="29" t="s">
        <v>13</v>
      </c>
      <c r="AB177" s="26"/>
      <c r="AC177" s="26"/>
      <c r="AD177" s="27"/>
      <c r="AE177" s="26"/>
      <c r="AF177" s="26"/>
      <c r="AG177" s="28" t="s">
        <v>14</v>
      </c>
      <c r="AH177" s="29" t="s">
        <v>11</v>
      </c>
      <c r="AI177" s="26"/>
      <c r="AJ177" s="26"/>
      <c r="AK177" s="27"/>
      <c r="AL177" s="26"/>
      <c r="AM177" s="28" t="s">
        <v>15</v>
      </c>
      <c r="AN177" s="26"/>
      <c r="AO177" s="26"/>
      <c r="AP177" s="30">
        <v>17</v>
      </c>
      <c r="AQ177" s="25"/>
      <c r="AR177" s="25"/>
      <c r="AS177" s="25"/>
      <c r="AT177" s="25"/>
      <c r="AU177" s="25"/>
      <c r="AV177" s="25"/>
      <c r="AW177" s="25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  <c r="CO177" s="32"/>
      <c r="CP177" s="32"/>
    </row>
    <row r="178" spans="1:94" x14ac:dyDescent="0.25">
      <c r="A178" s="25" t="s">
        <v>132</v>
      </c>
      <c r="B178" s="25" t="s">
        <v>238</v>
      </c>
      <c r="C178" s="25" t="s">
        <v>492</v>
      </c>
      <c r="D178" s="25">
        <v>134</v>
      </c>
      <c r="E178" s="34" t="str" cm="1">
        <f t="array" ref="E178">IFERROR(INDEX($J$5:$AVX$5, _xlfn.AGGREGATE(15,6, COLUMN(J178:AVX178)-COLUMN(J178)+1 / (J178:AVX178="T"), F178)), "")</f>
        <v/>
      </c>
      <c r="F178" s="96">
        <f>$A$2</f>
        <v>2</v>
      </c>
      <c r="G178" s="34" cm="1">
        <f t="array" ref="G178">IFERROR(INDEX($J$5:$AVW$5,_xlfn.AGGREGATE(14,6,(COLUMN($J178:$AVW178)-COLUMN($J178)+1)/($J178:$AVW178="T"),1)),"")</f>
        <v>45971</v>
      </c>
      <c r="H178" s="105">
        <f>COUNTIF($J178:$AVV178,"T")</f>
        <v>1</v>
      </c>
      <c r="I178" s="36" t="s">
        <v>10</v>
      </c>
      <c r="J178" s="32"/>
      <c r="K178" s="32"/>
      <c r="L178" s="32"/>
      <c r="M178" s="32"/>
      <c r="N178" s="32"/>
      <c r="O178" s="32"/>
      <c r="P178" s="32"/>
      <c r="Q178" s="32"/>
      <c r="R178" s="32"/>
      <c r="S178" s="32" t="s">
        <v>12</v>
      </c>
      <c r="T178" s="97"/>
      <c r="U178" s="97"/>
      <c r="V178" s="97"/>
      <c r="W178" s="98"/>
      <c r="X178" s="97"/>
      <c r="Y178" s="97"/>
      <c r="Z178" s="28" t="s">
        <v>16</v>
      </c>
      <c r="AA178" s="29" t="s">
        <v>13</v>
      </c>
      <c r="AB178" s="26"/>
      <c r="AC178" s="26"/>
      <c r="AD178" s="27"/>
      <c r="AE178" s="26"/>
      <c r="AF178" s="26"/>
      <c r="AG178" s="28" t="s">
        <v>14</v>
      </c>
      <c r="AH178" s="29" t="s">
        <v>11</v>
      </c>
      <c r="AI178" s="26"/>
      <c r="AJ178" s="26"/>
      <c r="AK178" s="27"/>
      <c r="AL178" s="26"/>
      <c r="AM178" s="28" t="s">
        <v>15</v>
      </c>
      <c r="AN178" s="26"/>
      <c r="AO178" s="26"/>
      <c r="AP178" s="30">
        <v>17</v>
      </c>
      <c r="AQ178" s="25"/>
      <c r="AR178" s="25"/>
      <c r="AS178" s="25"/>
      <c r="AT178" s="25"/>
      <c r="AU178" s="25"/>
      <c r="AV178" s="25"/>
      <c r="AW178" s="25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  <c r="CO178" s="32"/>
      <c r="CP178" s="32"/>
    </row>
    <row r="179" spans="1:94" x14ac:dyDescent="0.25">
      <c r="A179" s="25" t="s">
        <v>132</v>
      </c>
      <c r="B179" s="25" t="s">
        <v>239</v>
      </c>
      <c r="C179" s="25" t="s">
        <v>493</v>
      </c>
      <c r="D179" s="25">
        <v>135</v>
      </c>
      <c r="E179" s="34" t="str" cm="1">
        <f t="array" ref="E179">IFERROR(INDEX($J$5:$AVX$5, _xlfn.AGGREGATE(15,6, COLUMN(J179:AVX179)-COLUMN(J179)+1 / (J179:AVX179="T"), F179)), "")</f>
        <v/>
      </c>
      <c r="F179" s="96">
        <f>$A$2</f>
        <v>2</v>
      </c>
      <c r="G179" s="34" cm="1">
        <f t="array" ref="G179">IFERROR(INDEX($J$5:$AVW$5,_xlfn.AGGREGATE(14,6,(COLUMN($J179:$AVW179)-COLUMN($J179)+1)/($J179:$AVW179="T"),1)),"")</f>
        <v>45971</v>
      </c>
      <c r="H179" s="105">
        <f>COUNTIF($J179:$AVV179,"T")</f>
        <v>1</v>
      </c>
      <c r="I179" s="36" t="s">
        <v>10</v>
      </c>
      <c r="J179" s="32"/>
      <c r="K179" s="32"/>
      <c r="L179" s="32"/>
      <c r="M179" s="32"/>
      <c r="N179" s="32"/>
      <c r="O179" s="32"/>
      <c r="P179" s="32"/>
      <c r="Q179" s="32"/>
      <c r="R179" s="32"/>
      <c r="S179" s="32" t="s">
        <v>12</v>
      </c>
      <c r="T179" s="97"/>
      <c r="U179" s="97"/>
      <c r="V179" s="97"/>
      <c r="W179" s="98"/>
      <c r="X179" s="97"/>
      <c r="Y179" s="97"/>
      <c r="Z179" s="28" t="s">
        <v>16</v>
      </c>
      <c r="AA179" s="29" t="s">
        <v>13</v>
      </c>
      <c r="AB179" s="26"/>
      <c r="AC179" s="26"/>
      <c r="AD179" s="27"/>
      <c r="AE179" s="26"/>
      <c r="AF179" s="26"/>
      <c r="AG179" s="28" t="s">
        <v>14</v>
      </c>
      <c r="AH179" s="29" t="s">
        <v>11</v>
      </c>
      <c r="AI179" s="26"/>
      <c r="AJ179" s="26"/>
      <c r="AK179" s="27"/>
      <c r="AL179" s="26"/>
      <c r="AM179" s="28" t="s">
        <v>15</v>
      </c>
      <c r="AN179" s="26"/>
      <c r="AO179" s="26"/>
      <c r="AP179" s="30">
        <v>17</v>
      </c>
      <c r="AQ179" s="25"/>
      <c r="AR179" s="25"/>
      <c r="AS179" s="25"/>
      <c r="AT179" s="25"/>
      <c r="AU179" s="25"/>
      <c r="AV179" s="25"/>
      <c r="AW179" s="25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  <c r="CO179" s="32"/>
      <c r="CP179" s="32"/>
    </row>
    <row r="180" spans="1:94" x14ac:dyDescent="0.25">
      <c r="A180" s="25" t="s">
        <v>132</v>
      </c>
      <c r="B180" s="25" t="s">
        <v>240</v>
      </c>
      <c r="C180" s="25" t="s">
        <v>494</v>
      </c>
      <c r="D180" s="25">
        <v>136</v>
      </c>
      <c r="E180" s="34" t="str" cm="1">
        <f t="array" ref="E180">IFERROR(INDEX($J$5:$AVX$5, _xlfn.AGGREGATE(15,6, COLUMN(J180:AVX180)-COLUMN(J180)+1 / (J180:AVX180="T"), F180)), "")</f>
        <v/>
      </c>
      <c r="F180" s="96">
        <f>$A$2</f>
        <v>2</v>
      </c>
      <c r="G180" s="34" cm="1">
        <f t="array" ref="G180">IFERROR(INDEX($J$5:$AVW$5,_xlfn.AGGREGATE(14,6,(COLUMN($J180:$AVW180)-COLUMN($J180)+1)/($J180:$AVW180="T"),1)),"")</f>
        <v>45971</v>
      </c>
      <c r="H180" s="105">
        <f>COUNTIF($J180:$AVV180,"T")</f>
        <v>1</v>
      </c>
      <c r="I180" s="36" t="s">
        <v>10</v>
      </c>
      <c r="J180" s="32"/>
      <c r="K180" s="32"/>
      <c r="L180" s="32"/>
      <c r="M180" s="32"/>
      <c r="N180" s="32"/>
      <c r="O180" s="32"/>
      <c r="P180" s="32"/>
      <c r="Q180" s="32"/>
      <c r="R180" s="32"/>
      <c r="S180" s="32" t="s">
        <v>12</v>
      </c>
      <c r="T180" s="97"/>
      <c r="U180" s="97"/>
      <c r="V180" s="97"/>
      <c r="W180" s="98"/>
      <c r="X180" s="97"/>
      <c r="Y180" s="97"/>
      <c r="Z180" s="28" t="s">
        <v>16</v>
      </c>
      <c r="AA180" s="29" t="s">
        <v>13</v>
      </c>
      <c r="AB180" s="26"/>
      <c r="AC180" s="26"/>
      <c r="AD180" s="27"/>
      <c r="AE180" s="26"/>
      <c r="AF180" s="26"/>
      <c r="AG180" s="28" t="s">
        <v>14</v>
      </c>
      <c r="AH180" s="29" t="s">
        <v>11</v>
      </c>
      <c r="AI180" s="26"/>
      <c r="AJ180" s="26"/>
      <c r="AK180" s="27"/>
      <c r="AL180" s="26"/>
      <c r="AM180" s="28" t="s">
        <v>15</v>
      </c>
      <c r="AN180" s="26"/>
      <c r="AO180" s="26"/>
      <c r="AP180" s="30">
        <v>17</v>
      </c>
      <c r="AQ180" s="25"/>
      <c r="AR180" s="25"/>
      <c r="AS180" s="25"/>
      <c r="AT180" s="25"/>
      <c r="AU180" s="25"/>
      <c r="AV180" s="25"/>
      <c r="AW180" s="25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  <c r="CO180" s="32"/>
      <c r="CP180" s="32"/>
    </row>
    <row r="181" spans="1:94" x14ac:dyDescent="0.25">
      <c r="A181" s="25" t="s">
        <v>132</v>
      </c>
      <c r="B181" s="25" t="s">
        <v>241</v>
      </c>
      <c r="C181" s="25" t="s">
        <v>495</v>
      </c>
      <c r="D181" s="25">
        <v>137</v>
      </c>
      <c r="E181" s="34" t="str" cm="1">
        <f t="array" ref="E181">IFERROR(INDEX($J$5:$AVX$5, _xlfn.AGGREGATE(15,6, COLUMN(J181:AVX181)-COLUMN(J181)+1 / (J181:AVX181="T"), F181)), "")</f>
        <v/>
      </c>
      <c r="F181" s="96">
        <f>$A$2</f>
        <v>2</v>
      </c>
      <c r="G181" s="34" cm="1">
        <f t="array" ref="G181">IFERROR(INDEX($J$5:$AVW$5,_xlfn.AGGREGATE(14,6,(COLUMN($J181:$AVW181)-COLUMN($J181)+1)/($J181:$AVW181="T"),1)),"")</f>
        <v>45971</v>
      </c>
      <c r="H181" s="105">
        <f>COUNTIF($J181:$AVV181,"T")</f>
        <v>1</v>
      </c>
      <c r="I181" s="36" t="s">
        <v>10</v>
      </c>
      <c r="J181" s="32"/>
      <c r="K181" s="32"/>
      <c r="L181" s="32"/>
      <c r="M181" s="32"/>
      <c r="N181" s="32"/>
      <c r="O181" s="32"/>
      <c r="P181" s="32"/>
      <c r="Q181" s="32"/>
      <c r="R181" s="32"/>
      <c r="S181" s="32" t="s">
        <v>12</v>
      </c>
      <c r="T181" s="97"/>
      <c r="U181" s="97"/>
      <c r="V181" s="97"/>
      <c r="W181" s="98"/>
      <c r="X181" s="97"/>
      <c r="Y181" s="97"/>
      <c r="Z181" s="28" t="s">
        <v>16</v>
      </c>
      <c r="AA181" s="29" t="s">
        <v>13</v>
      </c>
      <c r="AB181" s="26"/>
      <c r="AC181" s="26"/>
      <c r="AD181" s="27"/>
      <c r="AE181" s="26"/>
      <c r="AF181" s="26"/>
      <c r="AG181" s="28" t="s">
        <v>14</v>
      </c>
      <c r="AH181" s="29" t="s">
        <v>11</v>
      </c>
      <c r="AI181" s="26"/>
      <c r="AJ181" s="26"/>
      <c r="AK181" s="27"/>
      <c r="AL181" s="26"/>
      <c r="AM181" s="28" t="s">
        <v>15</v>
      </c>
      <c r="AN181" s="26"/>
      <c r="AO181" s="26"/>
      <c r="AP181" s="30">
        <v>17</v>
      </c>
      <c r="AQ181" s="25"/>
      <c r="AR181" s="25"/>
      <c r="AS181" s="25"/>
      <c r="AT181" s="25"/>
      <c r="AU181" s="25"/>
      <c r="AV181" s="25"/>
      <c r="AW181" s="25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  <c r="CO181" s="32"/>
      <c r="CP181" s="32"/>
    </row>
    <row r="182" spans="1:94" x14ac:dyDescent="0.25">
      <c r="A182" s="25" t="s">
        <v>132</v>
      </c>
      <c r="B182" s="25" t="s">
        <v>242</v>
      </c>
      <c r="C182" s="25" t="s">
        <v>496</v>
      </c>
      <c r="D182" s="25">
        <v>138</v>
      </c>
      <c r="E182" s="34" t="str" cm="1">
        <f t="array" ref="E182">IFERROR(INDEX($J$5:$AVX$5, _xlfn.AGGREGATE(15,6, COLUMN(J182:AVX182)-COLUMN(J182)+1 / (J182:AVX182="T"), F182)), "")</f>
        <v/>
      </c>
      <c r="F182" s="96">
        <f>$A$2</f>
        <v>2</v>
      </c>
      <c r="G182" s="34" cm="1">
        <f t="array" ref="G182">IFERROR(INDEX($J$5:$AVW$5,_xlfn.AGGREGATE(14,6,(COLUMN($J182:$AVW182)-COLUMN($J182)+1)/($J182:$AVW182="T"),1)),"")</f>
        <v>45971</v>
      </c>
      <c r="H182" s="105">
        <f>COUNTIF($J182:$AVV182,"T")</f>
        <v>1</v>
      </c>
      <c r="I182" s="36" t="s">
        <v>10</v>
      </c>
      <c r="J182" s="32"/>
      <c r="K182" s="32"/>
      <c r="L182" s="32"/>
      <c r="M182" s="32"/>
      <c r="N182" s="32"/>
      <c r="O182" s="32"/>
      <c r="P182" s="32"/>
      <c r="Q182" s="32"/>
      <c r="R182" s="32"/>
      <c r="S182" s="32" t="s">
        <v>12</v>
      </c>
      <c r="T182" s="97"/>
      <c r="U182" s="97"/>
      <c r="V182" s="97"/>
      <c r="W182" s="98"/>
      <c r="X182" s="97"/>
      <c r="Y182" s="97"/>
      <c r="Z182" s="99" t="s">
        <v>16</v>
      </c>
      <c r="AA182" s="29" t="s">
        <v>13</v>
      </c>
      <c r="AB182" s="26"/>
      <c r="AC182" s="26"/>
      <c r="AD182" s="27"/>
      <c r="AE182" s="26"/>
      <c r="AF182" s="26"/>
      <c r="AG182" s="28" t="s">
        <v>14</v>
      </c>
      <c r="AH182" s="29" t="s">
        <v>11</v>
      </c>
      <c r="AI182" s="26"/>
      <c r="AJ182" s="26"/>
      <c r="AK182" s="27"/>
      <c r="AL182" s="26"/>
      <c r="AM182" s="28" t="s">
        <v>15</v>
      </c>
      <c r="AN182" s="26"/>
      <c r="AO182" s="35"/>
      <c r="AP182" s="25">
        <v>17</v>
      </c>
      <c r="AQ182" s="25"/>
      <c r="AR182" s="25"/>
      <c r="AS182" s="25"/>
      <c r="AT182" s="25"/>
      <c r="AU182" s="25"/>
      <c r="AV182" s="25"/>
      <c r="AW182" s="25"/>
      <c r="AX182" s="25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  <c r="CO182" s="32"/>
      <c r="CP182" s="32"/>
    </row>
    <row r="183" spans="1:94" x14ac:dyDescent="0.25">
      <c r="A183" s="25" t="s">
        <v>132</v>
      </c>
      <c r="B183" s="25" t="s">
        <v>221</v>
      </c>
      <c r="C183" s="25" t="s">
        <v>483</v>
      </c>
      <c r="D183" s="25">
        <v>125</v>
      </c>
      <c r="E183" s="34" t="str" cm="1">
        <f t="array" ref="E183">IFERROR(INDEX($J$5:$AVX$5, _xlfn.AGGREGATE(15,6, COLUMN(J183:AVX183)-COLUMN(J183)+1 / (J183:AVX183="T"), F183)), "")</f>
        <v/>
      </c>
      <c r="F183" s="96">
        <f>$A$2</f>
        <v>2</v>
      </c>
      <c r="G183" s="34" cm="1">
        <f t="array" ref="G183">IFERROR(INDEX($J$5:$AVW$5,_xlfn.AGGREGATE(14,6,(COLUMN($J183:$AVW183)-COLUMN($J183)+1)/($J183:$AVW183="T"),1)),"")</f>
        <v>45970</v>
      </c>
      <c r="H183" s="105">
        <f>COUNTIF($J183:$AVV183,"T")</f>
        <v>1</v>
      </c>
      <c r="I183" s="36" t="s">
        <v>10</v>
      </c>
      <c r="J183" s="32"/>
      <c r="K183" s="32"/>
      <c r="L183" s="32"/>
      <c r="M183" s="32"/>
      <c r="N183" s="32"/>
      <c r="O183" s="32"/>
      <c r="P183" s="32"/>
      <c r="Q183" s="32"/>
      <c r="R183" s="32" t="s">
        <v>12</v>
      </c>
      <c r="S183" s="97"/>
      <c r="T183" s="97"/>
      <c r="U183" s="97"/>
      <c r="V183" s="98"/>
      <c r="W183" s="97"/>
      <c r="X183" s="97"/>
      <c r="Y183" s="99" t="s">
        <v>16</v>
      </c>
      <c r="Z183" s="100" t="s">
        <v>13</v>
      </c>
      <c r="AA183" s="26"/>
      <c r="AB183" s="26"/>
      <c r="AC183" s="27"/>
      <c r="AD183" s="26"/>
      <c r="AE183" s="26"/>
      <c r="AF183" s="28" t="s">
        <v>14</v>
      </c>
      <c r="AG183" s="29" t="s">
        <v>11</v>
      </c>
      <c r="AH183" s="26"/>
      <c r="AI183" s="26"/>
      <c r="AJ183" s="27"/>
      <c r="AK183" s="26"/>
      <c r="AL183" s="28" t="s">
        <v>15</v>
      </c>
      <c r="AM183" s="26"/>
      <c r="AN183" s="26"/>
      <c r="AO183" s="25">
        <v>17</v>
      </c>
      <c r="AP183" s="25"/>
      <c r="AQ183" s="30"/>
      <c r="AR183" s="25"/>
      <c r="AS183" s="25"/>
      <c r="AT183" s="25"/>
      <c r="AU183" s="25"/>
      <c r="AV183" s="25"/>
      <c r="AW183" s="25"/>
      <c r="AX183" s="25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  <c r="CO183" s="32"/>
      <c r="CP183" s="32"/>
    </row>
    <row r="184" spans="1:94" x14ac:dyDescent="0.25">
      <c r="A184" s="25" t="s">
        <v>132</v>
      </c>
      <c r="B184" s="25" t="s">
        <v>222</v>
      </c>
      <c r="C184" s="25" t="s">
        <v>484</v>
      </c>
      <c r="D184" s="25">
        <v>126</v>
      </c>
      <c r="E184" s="34" t="str" cm="1">
        <f t="array" ref="E184">IFERROR(INDEX($J$5:$AVX$5, _xlfn.AGGREGATE(15,6, COLUMN(J184:AVX184)-COLUMN(J184)+1 / (J184:AVX184="T"), F184)), "")</f>
        <v/>
      </c>
      <c r="F184" s="96">
        <f>$A$2</f>
        <v>2</v>
      </c>
      <c r="G184" s="34" cm="1">
        <f t="array" ref="G184">IFERROR(INDEX($J$5:$AVW$5,_xlfn.AGGREGATE(14,6,(COLUMN($J184:$AVW184)-COLUMN($J184)+1)/($J184:$AVW184="T"),1)),"")</f>
        <v>45970</v>
      </c>
      <c r="H184" s="105">
        <f>COUNTIF($J184:$AVV184,"T")</f>
        <v>1</v>
      </c>
      <c r="I184" s="36" t="s">
        <v>10</v>
      </c>
      <c r="J184" s="32"/>
      <c r="K184" s="32"/>
      <c r="L184" s="32"/>
      <c r="M184" s="32"/>
      <c r="N184" s="32"/>
      <c r="O184" s="32"/>
      <c r="P184" s="32"/>
      <c r="Q184" s="32"/>
      <c r="R184" s="32" t="s">
        <v>12</v>
      </c>
      <c r="S184" s="97"/>
      <c r="T184" s="97"/>
      <c r="U184" s="97"/>
      <c r="V184" s="98"/>
      <c r="W184" s="97"/>
      <c r="X184" s="97"/>
      <c r="Y184" s="99" t="s">
        <v>16</v>
      </c>
      <c r="Z184" s="100" t="s">
        <v>13</v>
      </c>
      <c r="AA184" s="26"/>
      <c r="AB184" s="26"/>
      <c r="AC184" s="27"/>
      <c r="AD184" s="26"/>
      <c r="AE184" s="26"/>
      <c r="AF184" s="28" t="s">
        <v>14</v>
      </c>
      <c r="AG184" s="29" t="s">
        <v>11</v>
      </c>
      <c r="AH184" s="26"/>
      <c r="AI184" s="26"/>
      <c r="AJ184" s="27"/>
      <c r="AK184" s="26"/>
      <c r="AL184" s="28" t="s">
        <v>15</v>
      </c>
      <c r="AM184" s="26"/>
      <c r="AN184" s="26"/>
      <c r="AO184" s="25">
        <v>17</v>
      </c>
      <c r="AP184" s="25"/>
      <c r="AQ184" s="30"/>
      <c r="AR184" s="25"/>
      <c r="AS184" s="25"/>
      <c r="AT184" s="25"/>
      <c r="AU184" s="25"/>
      <c r="AV184" s="25"/>
      <c r="AW184" s="25"/>
      <c r="AX184" s="25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  <c r="CO184" s="32"/>
      <c r="CP184" s="32"/>
    </row>
    <row r="185" spans="1:94" x14ac:dyDescent="0.25">
      <c r="A185" s="25" t="s">
        <v>132</v>
      </c>
      <c r="B185" s="25" t="s">
        <v>223</v>
      </c>
      <c r="C185" s="25" t="s">
        <v>485</v>
      </c>
      <c r="D185" s="25">
        <v>127</v>
      </c>
      <c r="E185" s="34" t="str" cm="1">
        <f t="array" ref="E185">IFERROR(INDEX($J$5:$AVX$5, _xlfn.AGGREGATE(15,6, COLUMN(J185:AVX185)-COLUMN(J185)+1 / (J185:AVX185="T"), F185)), "")</f>
        <v/>
      </c>
      <c r="F185" s="96">
        <f>$A$2</f>
        <v>2</v>
      </c>
      <c r="G185" s="34" cm="1">
        <f t="array" ref="G185">IFERROR(INDEX($J$5:$AVW$5,_xlfn.AGGREGATE(14,6,(COLUMN($J185:$AVW185)-COLUMN($J185)+1)/($J185:$AVW185="T"),1)),"")</f>
        <v>45970</v>
      </c>
      <c r="H185" s="105">
        <f>COUNTIF($J185:$AVV185,"T")</f>
        <v>1</v>
      </c>
      <c r="I185" s="36" t="s">
        <v>10</v>
      </c>
      <c r="J185" s="32"/>
      <c r="K185" s="32"/>
      <c r="L185" s="32"/>
      <c r="M185" s="32"/>
      <c r="N185" s="32"/>
      <c r="O185" s="32"/>
      <c r="P185" s="32"/>
      <c r="Q185" s="32"/>
      <c r="R185" s="32" t="s">
        <v>12</v>
      </c>
      <c r="S185" s="97"/>
      <c r="T185" s="97"/>
      <c r="U185" s="97"/>
      <c r="V185" s="98"/>
      <c r="W185" s="97"/>
      <c r="X185" s="97"/>
      <c r="Y185" s="99" t="s">
        <v>16</v>
      </c>
      <c r="Z185" s="100" t="s">
        <v>13</v>
      </c>
      <c r="AA185" s="26"/>
      <c r="AB185" s="26"/>
      <c r="AC185" s="27"/>
      <c r="AD185" s="26"/>
      <c r="AE185" s="26"/>
      <c r="AF185" s="28" t="s">
        <v>14</v>
      </c>
      <c r="AG185" s="29" t="s">
        <v>11</v>
      </c>
      <c r="AH185" s="26"/>
      <c r="AI185" s="26"/>
      <c r="AJ185" s="27"/>
      <c r="AK185" s="26"/>
      <c r="AL185" s="28" t="s">
        <v>15</v>
      </c>
      <c r="AM185" s="26"/>
      <c r="AN185" s="26"/>
      <c r="AO185" s="25">
        <v>17</v>
      </c>
      <c r="AP185" s="25"/>
      <c r="AQ185" s="30"/>
      <c r="AR185" s="25"/>
      <c r="AS185" s="25"/>
      <c r="AT185" s="25"/>
      <c r="AU185" s="25"/>
      <c r="AV185" s="25"/>
      <c r="AW185" s="25"/>
      <c r="AX185" s="25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  <c r="CO185" s="32"/>
      <c r="CP185" s="32"/>
    </row>
    <row r="186" spans="1:94" x14ac:dyDescent="0.25">
      <c r="A186" s="25" t="s">
        <v>132</v>
      </c>
      <c r="B186" s="25" t="s">
        <v>224</v>
      </c>
      <c r="C186" s="25" t="s">
        <v>486</v>
      </c>
      <c r="D186" s="25">
        <v>128</v>
      </c>
      <c r="E186" s="34" t="str" cm="1">
        <f t="array" ref="E186">IFERROR(INDEX($J$5:$AVX$5, _xlfn.AGGREGATE(15,6, COLUMN(J186:AVX186)-COLUMN(J186)+1 / (J186:AVX186="T"), F186)), "")</f>
        <v/>
      </c>
      <c r="F186" s="96">
        <f>$A$2</f>
        <v>2</v>
      </c>
      <c r="G186" s="34" cm="1">
        <f t="array" ref="G186">IFERROR(INDEX($J$5:$AVW$5,_xlfn.AGGREGATE(14,6,(COLUMN($J186:$AVW186)-COLUMN($J186)+1)/($J186:$AVW186="T"),1)),"")</f>
        <v>45970</v>
      </c>
      <c r="H186" s="105">
        <f>COUNTIF($J186:$AVV186,"T")</f>
        <v>1</v>
      </c>
      <c r="I186" s="36" t="s">
        <v>10</v>
      </c>
      <c r="J186" s="32"/>
      <c r="K186" s="32"/>
      <c r="L186" s="32"/>
      <c r="M186" s="32"/>
      <c r="N186" s="32"/>
      <c r="O186" s="32"/>
      <c r="P186" s="32"/>
      <c r="Q186" s="32"/>
      <c r="R186" s="32" t="s">
        <v>12</v>
      </c>
      <c r="S186" s="97"/>
      <c r="T186" s="97"/>
      <c r="U186" s="97"/>
      <c r="V186" s="98"/>
      <c r="W186" s="97"/>
      <c r="X186" s="97"/>
      <c r="Y186" s="99" t="s">
        <v>16</v>
      </c>
      <c r="Z186" s="100" t="s">
        <v>13</v>
      </c>
      <c r="AA186" s="26"/>
      <c r="AB186" s="26"/>
      <c r="AC186" s="27"/>
      <c r="AD186" s="26"/>
      <c r="AE186" s="26"/>
      <c r="AF186" s="28" t="s">
        <v>14</v>
      </c>
      <c r="AG186" s="29" t="s">
        <v>11</v>
      </c>
      <c r="AH186" s="26"/>
      <c r="AI186" s="26"/>
      <c r="AJ186" s="27"/>
      <c r="AK186" s="26"/>
      <c r="AL186" s="28" t="s">
        <v>15</v>
      </c>
      <c r="AM186" s="26"/>
      <c r="AN186" s="26"/>
      <c r="AO186" s="25">
        <v>17</v>
      </c>
      <c r="AP186" s="25"/>
      <c r="AQ186" s="30"/>
      <c r="AR186" s="25"/>
      <c r="AS186" s="25"/>
      <c r="AT186" s="25"/>
      <c r="AU186" s="25"/>
      <c r="AV186" s="25"/>
      <c r="AW186" s="25"/>
      <c r="AX186" s="25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  <c r="CO186" s="32"/>
      <c r="CP186" s="32"/>
    </row>
    <row r="187" spans="1:94" x14ac:dyDescent="0.25">
      <c r="A187" s="25" t="s">
        <v>132</v>
      </c>
      <c r="B187" s="25" t="s">
        <v>225</v>
      </c>
      <c r="C187" s="25" t="s">
        <v>487</v>
      </c>
      <c r="D187" s="25">
        <v>129</v>
      </c>
      <c r="E187" s="34" t="str" cm="1">
        <f t="array" ref="E187">IFERROR(INDEX($J$5:$AVX$5, _xlfn.AGGREGATE(15,6, COLUMN(J187:AVX187)-COLUMN(J187)+1 / (J187:AVX187="T"), F187)), "")</f>
        <v/>
      </c>
      <c r="F187" s="96">
        <f>$A$2</f>
        <v>2</v>
      </c>
      <c r="G187" s="34" cm="1">
        <f t="array" ref="G187">IFERROR(INDEX($J$5:$AVW$5,_xlfn.AGGREGATE(14,6,(COLUMN($J187:$AVW187)-COLUMN($J187)+1)/($J187:$AVW187="T"),1)),"")</f>
        <v>45970</v>
      </c>
      <c r="H187" s="105">
        <f>COUNTIF($J187:$AVV187,"T")</f>
        <v>1</v>
      </c>
      <c r="I187" s="36" t="s">
        <v>10</v>
      </c>
      <c r="J187" s="32"/>
      <c r="K187" s="32"/>
      <c r="L187" s="32"/>
      <c r="M187" s="32"/>
      <c r="N187" s="32"/>
      <c r="O187" s="32"/>
      <c r="P187" s="32"/>
      <c r="Q187" s="32"/>
      <c r="R187" s="32" t="s">
        <v>12</v>
      </c>
      <c r="S187" s="97"/>
      <c r="T187" s="97"/>
      <c r="U187" s="97"/>
      <c r="V187" s="98"/>
      <c r="W187" s="97"/>
      <c r="X187" s="97"/>
      <c r="Y187" s="99" t="s">
        <v>16</v>
      </c>
      <c r="Z187" s="100" t="s">
        <v>13</v>
      </c>
      <c r="AA187" s="26"/>
      <c r="AB187" s="26"/>
      <c r="AC187" s="27"/>
      <c r="AD187" s="26"/>
      <c r="AE187" s="26"/>
      <c r="AF187" s="28" t="s">
        <v>14</v>
      </c>
      <c r="AG187" s="29" t="s">
        <v>11</v>
      </c>
      <c r="AH187" s="26"/>
      <c r="AI187" s="26"/>
      <c r="AJ187" s="27"/>
      <c r="AK187" s="26"/>
      <c r="AL187" s="28" t="s">
        <v>15</v>
      </c>
      <c r="AM187" s="26"/>
      <c r="AN187" s="26"/>
      <c r="AO187" s="25">
        <v>17</v>
      </c>
      <c r="AP187" s="25"/>
      <c r="AQ187" s="30"/>
      <c r="AR187" s="25"/>
      <c r="AS187" s="25"/>
      <c r="AT187" s="25"/>
      <c r="AU187" s="25"/>
      <c r="AV187" s="25"/>
      <c r="AW187" s="25"/>
      <c r="AX187" s="25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  <c r="CO187" s="32"/>
      <c r="CP187" s="32"/>
    </row>
    <row r="188" spans="1:94" x14ac:dyDescent="0.25">
      <c r="A188" s="25" t="s">
        <v>132</v>
      </c>
      <c r="B188" s="25" t="s">
        <v>234</v>
      </c>
      <c r="C188" s="25" t="s">
        <v>488</v>
      </c>
      <c r="D188" s="25">
        <v>130</v>
      </c>
      <c r="E188" s="34" t="str" cm="1">
        <f t="array" ref="E188">IFERROR(INDEX($J$5:$AVX$5, _xlfn.AGGREGATE(15,6, COLUMN(J188:AVX188)-COLUMN(J188)+1 / (J188:AVX188="T"), F188)), "")</f>
        <v/>
      </c>
      <c r="F188" s="96">
        <f>$A$2</f>
        <v>2</v>
      </c>
      <c r="G188" s="34" cm="1">
        <f t="array" ref="G188">IFERROR(INDEX($J$5:$AVW$5,_xlfn.AGGREGATE(14,6,(COLUMN($J188:$AVW188)-COLUMN($J188)+1)/($J188:$AVW188="T"),1)),"")</f>
        <v>45970</v>
      </c>
      <c r="H188" s="105">
        <f>COUNTIF($J188:$AVV188,"T")</f>
        <v>1</v>
      </c>
      <c r="I188" s="36" t="s">
        <v>10</v>
      </c>
      <c r="J188" s="32"/>
      <c r="K188" s="32"/>
      <c r="L188" s="32"/>
      <c r="M188" s="32"/>
      <c r="N188" s="32"/>
      <c r="O188" s="32"/>
      <c r="P188" s="32"/>
      <c r="Q188" s="32"/>
      <c r="R188" s="32" t="s">
        <v>12</v>
      </c>
      <c r="S188" s="97"/>
      <c r="T188" s="97"/>
      <c r="U188" s="97"/>
      <c r="V188" s="98"/>
      <c r="W188" s="97"/>
      <c r="X188" s="97"/>
      <c r="Y188" s="99" t="s">
        <v>16</v>
      </c>
      <c r="Z188" s="100" t="s">
        <v>13</v>
      </c>
      <c r="AA188" s="26"/>
      <c r="AB188" s="26"/>
      <c r="AC188" s="27"/>
      <c r="AD188" s="26"/>
      <c r="AE188" s="26"/>
      <c r="AF188" s="28" t="s">
        <v>14</v>
      </c>
      <c r="AG188" s="29" t="s">
        <v>11</v>
      </c>
      <c r="AH188" s="26"/>
      <c r="AI188" s="26"/>
      <c r="AJ188" s="27"/>
      <c r="AK188" s="26"/>
      <c r="AL188" s="28" t="s">
        <v>15</v>
      </c>
      <c r="AM188" s="26"/>
      <c r="AN188" s="26"/>
      <c r="AO188" s="25">
        <v>17</v>
      </c>
      <c r="AP188" s="25"/>
      <c r="AQ188" s="30"/>
      <c r="AR188" s="25"/>
      <c r="AS188" s="25"/>
      <c r="AT188" s="25"/>
      <c r="AU188" s="25"/>
      <c r="AV188" s="25"/>
      <c r="AW188" s="25"/>
      <c r="AX188" s="25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  <c r="CO188" s="32"/>
      <c r="CP188" s="32"/>
    </row>
    <row r="189" spans="1:94" x14ac:dyDescent="0.25">
      <c r="A189" s="25" t="s">
        <v>132</v>
      </c>
      <c r="B189" s="25" t="s">
        <v>235</v>
      </c>
      <c r="C189" s="25" t="s">
        <v>489</v>
      </c>
      <c r="D189" s="25">
        <v>131</v>
      </c>
      <c r="E189" s="34" t="str" cm="1">
        <f t="array" ref="E189">IFERROR(INDEX($J$5:$AVX$5, _xlfn.AGGREGATE(15,6, COLUMN(J189:AVX189)-COLUMN(J189)+1 / (J189:AVX189="T"), F189)), "")</f>
        <v/>
      </c>
      <c r="F189" s="96">
        <f>$A$2</f>
        <v>2</v>
      </c>
      <c r="G189" s="34" cm="1">
        <f t="array" ref="G189">IFERROR(INDEX($J$5:$AVW$5,_xlfn.AGGREGATE(14,6,(COLUMN($J189:$AVW189)-COLUMN($J189)+1)/($J189:$AVW189="T"),1)),"")</f>
        <v>45970</v>
      </c>
      <c r="H189" s="105">
        <f>COUNTIF($J189:$AVV189,"T")</f>
        <v>1</v>
      </c>
      <c r="I189" s="36" t="s">
        <v>10</v>
      </c>
      <c r="J189" s="32"/>
      <c r="K189" s="32"/>
      <c r="L189" s="32"/>
      <c r="M189" s="32"/>
      <c r="N189" s="32"/>
      <c r="O189" s="32"/>
      <c r="P189" s="32"/>
      <c r="Q189" s="32"/>
      <c r="R189" s="32" t="s">
        <v>12</v>
      </c>
      <c r="S189" s="97"/>
      <c r="T189" s="97"/>
      <c r="U189" s="97"/>
      <c r="V189" s="98"/>
      <c r="W189" s="97"/>
      <c r="X189" s="97"/>
      <c r="Y189" s="99" t="s">
        <v>16</v>
      </c>
      <c r="Z189" s="100" t="s">
        <v>13</v>
      </c>
      <c r="AA189" s="26"/>
      <c r="AB189" s="26"/>
      <c r="AC189" s="27"/>
      <c r="AD189" s="26"/>
      <c r="AE189" s="26"/>
      <c r="AF189" s="28" t="s">
        <v>14</v>
      </c>
      <c r="AG189" s="29" t="s">
        <v>11</v>
      </c>
      <c r="AH189" s="26"/>
      <c r="AI189" s="26"/>
      <c r="AJ189" s="27"/>
      <c r="AK189" s="26"/>
      <c r="AL189" s="28" t="s">
        <v>15</v>
      </c>
      <c r="AM189" s="26"/>
      <c r="AN189" s="26"/>
      <c r="AO189" s="25">
        <v>17</v>
      </c>
      <c r="AP189" s="25"/>
      <c r="AQ189" s="30"/>
      <c r="AR189" s="25"/>
      <c r="AS189" s="25"/>
      <c r="AT189" s="25"/>
      <c r="AU189" s="25"/>
      <c r="AV189" s="25"/>
      <c r="AW189" s="25"/>
      <c r="AX189" s="25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  <c r="CO189" s="32"/>
      <c r="CP189" s="32"/>
    </row>
    <row r="190" spans="1:94" x14ac:dyDescent="0.25">
      <c r="A190" s="25" t="s">
        <v>132</v>
      </c>
      <c r="B190" s="25" t="s">
        <v>214</v>
      </c>
      <c r="C190" s="25" t="s">
        <v>476</v>
      </c>
      <c r="D190" s="25">
        <v>118</v>
      </c>
      <c r="E190" s="34" t="str" cm="1">
        <f t="array" ref="E190">IFERROR(INDEX($J$5:$AVX$5, _xlfn.AGGREGATE(15,6, COLUMN(J190:AVX190)-COLUMN(J190)+1 / (J190:AVX190="T"), F190)), "")</f>
        <v/>
      </c>
      <c r="F190" s="96">
        <f>$A$2</f>
        <v>2</v>
      </c>
      <c r="G190" s="34" cm="1">
        <f t="array" ref="G190">IFERROR(INDEX($J$5:$AVW$5,_xlfn.AGGREGATE(14,6,(COLUMN($J190:$AVW190)-COLUMN($J190)+1)/($J190:$AVW190="T"),1)),"")</f>
        <v>45969</v>
      </c>
      <c r="H190" s="105">
        <f>COUNTIF($J190:$AVV190,"T")</f>
        <v>1</v>
      </c>
      <c r="I190" s="36" t="s">
        <v>10</v>
      </c>
      <c r="J190" s="32"/>
      <c r="K190" s="32"/>
      <c r="L190" s="32"/>
      <c r="M190" s="32"/>
      <c r="N190" s="32"/>
      <c r="O190" s="32"/>
      <c r="P190" s="32"/>
      <c r="Q190" s="32" t="s">
        <v>12</v>
      </c>
      <c r="R190" s="97"/>
      <c r="S190" s="97"/>
      <c r="T190" s="97"/>
      <c r="U190" s="98"/>
      <c r="V190" s="97"/>
      <c r="W190" s="97"/>
      <c r="X190" s="99" t="s">
        <v>16</v>
      </c>
      <c r="Y190" s="100" t="s">
        <v>13</v>
      </c>
      <c r="Z190" s="97"/>
      <c r="AA190" s="26"/>
      <c r="AB190" s="27"/>
      <c r="AC190" s="26"/>
      <c r="AD190" s="26"/>
      <c r="AE190" s="28" t="s">
        <v>14</v>
      </c>
      <c r="AF190" s="29" t="s">
        <v>11</v>
      </c>
      <c r="AG190" s="26"/>
      <c r="AH190" s="26"/>
      <c r="AI190" s="27"/>
      <c r="AJ190" s="26"/>
      <c r="AK190" s="28" t="s">
        <v>15</v>
      </c>
      <c r="AL190" s="26"/>
      <c r="AM190" s="26"/>
      <c r="AN190" s="25">
        <v>17</v>
      </c>
      <c r="AO190" s="25"/>
      <c r="AP190" s="25"/>
      <c r="AQ190" s="30"/>
      <c r="AR190" s="25"/>
      <c r="AS190" s="25"/>
      <c r="AT190" s="25"/>
      <c r="AU190" s="25"/>
      <c r="AV190" s="25"/>
      <c r="AW190" s="25"/>
      <c r="AX190" s="25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  <c r="CO190" s="32"/>
      <c r="CP190" s="32"/>
    </row>
    <row r="191" spans="1:94" x14ac:dyDescent="0.25">
      <c r="A191" s="25" t="s">
        <v>132</v>
      </c>
      <c r="B191" s="25" t="s">
        <v>215</v>
      </c>
      <c r="C191" s="25" t="s">
        <v>477</v>
      </c>
      <c r="D191" s="25">
        <v>119</v>
      </c>
      <c r="E191" s="34" t="str" cm="1">
        <f t="array" ref="E191">IFERROR(INDEX($J$5:$AVX$5, _xlfn.AGGREGATE(15,6, COLUMN(J191:AVX191)-COLUMN(J191)+1 / (J191:AVX191="T"), F191)), "")</f>
        <v/>
      </c>
      <c r="F191" s="96">
        <f>$A$2</f>
        <v>2</v>
      </c>
      <c r="G191" s="34" cm="1">
        <f t="array" ref="G191">IFERROR(INDEX($J$5:$AVW$5,_xlfn.AGGREGATE(14,6,(COLUMN($J191:$AVW191)-COLUMN($J191)+1)/($J191:$AVW191="T"),1)),"")</f>
        <v>45969</v>
      </c>
      <c r="H191" s="105">
        <f>COUNTIF($J191:$AVV191,"T")</f>
        <v>1</v>
      </c>
      <c r="I191" s="36" t="s">
        <v>10</v>
      </c>
      <c r="J191" s="32"/>
      <c r="K191" s="32"/>
      <c r="L191" s="32"/>
      <c r="M191" s="32"/>
      <c r="N191" s="32"/>
      <c r="O191" s="32"/>
      <c r="P191" s="32"/>
      <c r="Q191" s="32" t="s">
        <v>12</v>
      </c>
      <c r="R191" s="97"/>
      <c r="S191" s="97"/>
      <c r="T191" s="97"/>
      <c r="U191" s="98"/>
      <c r="V191" s="97"/>
      <c r="W191" s="97"/>
      <c r="X191" s="99" t="s">
        <v>16</v>
      </c>
      <c r="Y191" s="100" t="s">
        <v>13</v>
      </c>
      <c r="Z191" s="97"/>
      <c r="AA191" s="97"/>
      <c r="AB191" s="98"/>
      <c r="AC191" s="97"/>
      <c r="AD191" s="97"/>
      <c r="AE191" s="99" t="s">
        <v>14</v>
      </c>
      <c r="AF191" s="100" t="s">
        <v>11</v>
      </c>
      <c r="AG191" s="97"/>
      <c r="AH191" s="97"/>
      <c r="AI191" s="98"/>
      <c r="AJ191" s="97"/>
      <c r="AK191" s="99" t="s">
        <v>15</v>
      </c>
      <c r="AL191" s="97"/>
      <c r="AM191" s="97"/>
      <c r="AN191" s="32">
        <v>17</v>
      </c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  <c r="CO191" s="32"/>
      <c r="CP191" s="32"/>
    </row>
    <row r="192" spans="1:94" x14ac:dyDescent="0.25">
      <c r="A192" s="25" t="s">
        <v>132</v>
      </c>
      <c r="B192" s="25" t="s">
        <v>216</v>
      </c>
      <c r="C192" s="25" t="s">
        <v>478</v>
      </c>
      <c r="D192" s="25">
        <v>120</v>
      </c>
      <c r="E192" s="34" t="str" cm="1">
        <f t="array" ref="E192">IFERROR(INDEX($J$5:$AVX$5, _xlfn.AGGREGATE(15,6, COLUMN(J192:AVX192)-COLUMN(J192)+1 / (J192:AVX192="T"), F192)), "")</f>
        <v/>
      </c>
      <c r="F192" s="96">
        <f>$A$2</f>
        <v>2</v>
      </c>
      <c r="G192" s="34" cm="1">
        <f t="array" ref="G192">IFERROR(INDEX($J$5:$AVW$5,_xlfn.AGGREGATE(14,6,(COLUMN($J192:$AVW192)-COLUMN($J192)+1)/($J192:$AVW192="T"),1)),"")</f>
        <v>45969</v>
      </c>
      <c r="H192" s="105">
        <f>COUNTIF($J192:$AVV192,"T")</f>
        <v>1</v>
      </c>
      <c r="I192" s="36" t="s">
        <v>10</v>
      </c>
      <c r="J192" s="32"/>
      <c r="K192" s="32"/>
      <c r="L192" s="32"/>
      <c r="M192" s="32"/>
      <c r="N192" s="32"/>
      <c r="O192" s="32"/>
      <c r="P192" s="32"/>
      <c r="Q192" s="32" t="s">
        <v>12</v>
      </c>
      <c r="R192" s="97"/>
      <c r="S192" s="97"/>
      <c r="T192" s="97"/>
      <c r="U192" s="98"/>
      <c r="V192" s="97"/>
      <c r="W192" s="97"/>
      <c r="X192" s="28" t="s">
        <v>16</v>
      </c>
      <c r="Y192" s="29" t="s">
        <v>13</v>
      </c>
      <c r="Z192" s="26"/>
      <c r="AA192" s="26"/>
      <c r="AB192" s="27"/>
      <c r="AC192" s="26"/>
      <c r="AD192" s="26"/>
      <c r="AE192" s="28" t="s">
        <v>14</v>
      </c>
      <c r="AF192" s="29" t="s">
        <v>11</v>
      </c>
      <c r="AG192" s="26"/>
      <c r="AH192" s="26"/>
      <c r="AI192" s="27"/>
      <c r="AJ192" s="26"/>
      <c r="AK192" s="28" t="s">
        <v>15</v>
      </c>
      <c r="AL192" s="35"/>
      <c r="AM192" s="26"/>
      <c r="AN192" s="25">
        <v>17</v>
      </c>
      <c r="AO192" s="25"/>
      <c r="AP192" s="25"/>
      <c r="AQ192" s="25"/>
      <c r="AR192" s="25"/>
      <c r="AS192" s="25"/>
      <c r="AT192" s="25"/>
      <c r="AU192" s="25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  <c r="CO192" s="32"/>
      <c r="CP192" s="32"/>
    </row>
    <row r="193" spans="1:94" s="42" customFormat="1" x14ac:dyDescent="0.25">
      <c r="A193" s="25" t="s">
        <v>132</v>
      </c>
      <c r="B193" s="25" t="s">
        <v>217</v>
      </c>
      <c r="C193" s="25" t="s">
        <v>479</v>
      </c>
      <c r="D193" s="25">
        <v>121</v>
      </c>
      <c r="E193" s="34" t="str" cm="1">
        <f t="array" ref="E193">IFERROR(INDEX($J$5:$AVX$5, _xlfn.AGGREGATE(15,6, COLUMN(J193:AVX193)-COLUMN(J193)+1 / (J193:AVX193="T"), F193)), "")</f>
        <v/>
      </c>
      <c r="F193" s="96">
        <f>$A$2</f>
        <v>2</v>
      </c>
      <c r="G193" s="34" cm="1">
        <f t="array" ref="G193">IFERROR(INDEX($J$5:$AVW$5,_xlfn.AGGREGATE(14,6,(COLUMN($J193:$AVW193)-COLUMN($J193)+1)/($J193:$AVW193="T"),1)),"")</f>
        <v>45969</v>
      </c>
      <c r="H193" s="105">
        <f>COUNTIF($J193:$AVV193,"T")</f>
        <v>1</v>
      </c>
      <c r="I193" s="36" t="s">
        <v>10</v>
      </c>
      <c r="J193" s="32"/>
      <c r="K193" s="32"/>
      <c r="L193" s="32"/>
      <c r="M193" s="32"/>
      <c r="N193" s="32"/>
      <c r="O193" s="32"/>
      <c r="P193" s="32"/>
      <c r="Q193" s="32" t="s">
        <v>12</v>
      </c>
      <c r="R193" s="97"/>
      <c r="S193" s="97"/>
      <c r="T193" s="97"/>
      <c r="U193" s="98"/>
      <c r="V193" s="97"/>
      <c r="W193" s="97"/>
      <c r="X193" s="28" t="s">
        <v>16</v>
      </c>
      <c r="Y193" s="29" t="s">
        <v>13</v>
      </c>
      <c r="Z193" s="26"/>
      <c r="AA193" s="26"/>
      <c r="AB193" s="27"/>
      <c r="AC193" s="26"/>
      <c r="AD193" s="26"/>
      <c r="AE193" s="28" t="s">
        <v>14</v>
      </c>
      <c r="AF193" s="29" t="s">
        <v>11</v>
      </c>
      <c r="AG193" s="26"/>
      <c r="AH193" s="26"/>
      <c r="AI193" s="27"/>
      <c r="AJ193" s="26"/>
      <c r="AK193" s="28" t="s">
        <v>15</v>
      </c>
      <c r="AL193" s="35"/>
      <c r="AM193" s="26"/>
      <c r="AN193" s="25">
        <v>17</v>
      </c>
      <c r="AO193" s="25"/>
      <c r="AP193" s="25"/>
      <c r="AQ193" s="25"/>
      <c r="AR193" s="25"/>
      <c r="AS193" s="25"/>
      <c r="AT193" s="25"/>
      <c r="AU193" s="25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  <c r="CO193" s="32"/>
      <c r="CP193" s="32"/>
    </row>
    <row r="194" spans="1:94" s="47" customFormat="1" x14ac:dyDescent="0.25">
      <c r="A194" s="25" t="s">
        <v>132</v>
      </c>
      <c r="B194" s="25" t="s">
        <v>218</v>
      </c>
      <c r="C194" s="25" t="s">
        <v>480</v>
      </c>
      <c r="D194" s="25">
        <v>122</v>
      </c>
      <c r="E194" s="34" t="str" cm="1">
        <f t="array" ref="E194">IFERROR(INDEX($J$5:$AVX$5, _xlfn.AGGREGATE(15,6, COLUMN(J194:AVX194)-COLUMN(J194)+1 / (J194:AVX194="T"), F194)), "")</f>
        <v/>
      </c>
      <c r="F194" s="96">
        <f>$A$2</f>
        <v>2</v>
      </c>
      <c r="G194" s="34" cm="1">
        <f t="array" ref="G194">IFERROR(INDEX($J$5:$AVW$5,_xlfn.AGGREGATE(14,6,(COLUMN($J194:$AVW194)-COLUMN($J194)+1)/($J194:$AVW194="T"),1)),"")</f>
        <v>45969</v>
      </c>
      <c r="H194" s="105">
        <f>COUNTIF($J194:$AVV194,"T")</f>
        <v>1</v>
      </c>
      <c r="I194" s="36" t="s">
        <v>10</v>
      </c>
      <c r="J194" s="32"/>
      <c r="K194" s="32"/>
      <c r="L194" s="32"/>
      <c r="M194" s="32"/>
      <c r="N194" s="32"/>
      <c r="O194" s="32"/>
      <c r="P194" s="32"/>
      <c r="Q194" s="32" t="s">
        <v>12</v>
      </c>
      <c r="R194" s="97"/>
      <c r="S194" s="97"/>
      <c r="T194" s="97"/>
      <c r="U194" s="98"/>
      <c r="V194" s="97"/>
      <c r="W194" s="97"/>
      <c r="X194" s="28" t="s">
        <v>16</v>
      </c>
      <c r="Y194" s="29" t="s">
        <v>13</v>
      </c>
      <c r="Z194" s="26"/>
      <c r="AA194" s="26"/>
      <c r="AB194" s="27"/>
      <c r="AC194" s="26"/>
      <c r="AD194" s="26"/>
      <c r="AE194" s="28" t="s">
        <v>14</v>
      </c>
      <c r="AF194" s="29" t="s">
        <v>11</v>
      </c>
      <c r="AG194" s="26"/>
      <c r="AH194" s="26"/>
      <c r="AI194" s="27"/>
      <c r="AJ194" s="26"/>
      <c r="AK194" s="28" t="s">
        <v>15</v>
      </c>
      <c r="AL194" s="26"/>
      <c r="AM194" s="26"/>
      <c r="AN194" s="30">
        <v>17</v>
      </c>
      <c r="AO194" s="25"/>
      <c r="AP194" s="25"/>
      <c r="AQ194" s="25"/>
      <c r="AR194" s="25"/>
      <c r="AS194" s="25"/>
      <c r="AT194" s="25"/>
      <c r="AU194" s="25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  <c r="CO194" s="32"/>
      <c r="CP194" s="32"/>
    </row>
    <row r="195" spans="1:94" s="47" customFormat="1" x14ac:dyDescent="0.25">
      <c r="A195" s="25" t="s">
        <v>132</v>
      </c>
      <c r="B195" s="25" t="s">
        <v>219</v>
      </c>
      <c r="C195" s="25" t="s">
        <v>481</v>
      </c>
      <c r="D195" s="25">
        <v>123</v>
      </c>
      <c r="E195" s="34" t="str" cm="1">
        <f t="array" ref="E195">IFERROR(INDEX($J$5:$AVX$5, _xlfn.AGGREGATE(15,6, COLUMN(J195:AVX195)-COLUMN(J195)+1 / (J195:AVX195="T"), F195)), "")</f>
        <v/>
      </c>
      <c r="F195" s="96">
        <f>$A$2</f>
        <v>2</v>
      </c>
      <c r="G195" s="34" cm="1">
        <f t="array" ref="G195">IFERROR(INDEX($J$5:$AVW$5,_xlfn.AGGREGATE(14,6,(COLUMN($J195:$AVW195)-COLUMN($J195)+1)/($J195:$AVW195="T"),1)),"")</f>
        <v>45969</v>
      </c>
      <c r="H195" s="105">
        <f>COUNTIF($J195:$AVV195,"T")</f>
        <v>1</v>
      </c>
      <c r="I195" s="36" t="s">
        <v>10</v>
      </c>
      <c r="J195" s="32"/>
      <c r="K195" s="32"/>
      <c r="L195" s="32"/>
      <c r="M195" s="32"/>
      <c r="N195" s="32"/>
      <c r="O195" s="32"/>
      <c r="P195" s="32"/>
      <c r="Q195" s="32" t="s">
        <v>12</v>
      </c>
      <c r="R195" s="97"/>
      <c r="S195" s="97"/>
      <c r="T195" s="97"/>
      <c r="U195" s="98"/>
      <c r="V195" s="97"/>
      <c r="W195" s="97"/>
      <c r="X195" s="28" t="s">
        <v>16</v>
      </c>
      <c r="Y195" s="29" t="s">
        <v>13</v>
      </c>
      <c r="Z195" s="26"/>
      <c r="AA195" s="26"/>
      <c r="AB195" s="27"/>
      <c r="AC195" s="26"/>
      <c r="AD195" s="26"/>
      <c r="AE195" s="28" t="s">
        <v>14</v>
      </c>
      <c r="AF195" s="29" t="s">
        <v>11</v>
      </c>
      <c r="AG195" s="26"/>
      <c r="AH195" s="26"/>
      <c r="AI195" s="27"/>
      <c r="AJ195" s="26"/>
      <c r="AK195" s="28" t="s">
        <v>15</v>
      </c>
      <c r="AL195" s="26"/>
      <c r="AM195" s="26"/>
      <c r="AN195" s="30">
        <v>17</v>
      </c>
      <c r="AO195" s="25"/>
      <c r="AP195" s="25"/>
      <c r="AQ195" s="25"/>
      <c r="AR195" s="25"/>
      <c r="AS195" s="25"/>
      <c r="AT195" s="25"/>
      <c r="AU195" s="25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  <c r="CO195" s="32"/>
      <c r="CP195" s="32"/>
    </row>
    <row r="196" spans="1:94" s="47" customFormat="1" x14ac:dyDescent="0.25">
      <c r="A196" s="25" t="s">
        <v>132</v>
      </c>
      <c r="B196" s="25" t="s">
        <v>220</v>
      </c>
      <c r="C196" s="25" t="s">
        <v>482</v>
      </c>
      <c r="D196" s="25">
        <v>124</v>
      </c>
      <c r="E196" s="34" t="str" cm="1">
        <f t="array" ref="E196">IFERROR(INDEX($J$5:$AVX$5, _xlfn.AGGREGATE(15,6, COLUMN(J196:AVX196)-COLUMN(J196)+1 / (J196:AVX196="T"), F196)), "")</f>
        <v/>
      </c>
      <c r="F196" s="96">
        <f>$A$2</f>
        <v>2</v>
      </c>
      <c r="G196" s="34" cm="1">
        <f t="array" ref="G196">IFERROR(INDEX($J$5:$AVW$5,_xlfn.AGGREGATE(14,6,(COLUMN($J196:$AVW196)-COLUMN($J196)+1)/($J196:$AVW196="T"),1)),"")</f>
        <v>45969</v>
      </c>
      <c r="H196" s="105">
        <f>COUNTIF($J196:$AVV196,"T")</f>
        <v>1</v>
      </c>
      <c r="I196" s="36" t="s">
        <v>10</v>
      </c>
      <c r="J196" s="32"/>
      <c r="K196" s="32"/>
      <c r="L196" s="32"/>
      <c r="M196" s="32"/>
      <c r="N196" s="32"/>
      <c r="O196" s="32"/>
      <c r="P196" s="32"/>
      <c r="Q196" s="32" t="s">
        <v>12</v>
      </c>
      <c r="R196" s="97"/>
      <c r="S196" s="97"/>
      <c r="T196" s="97"/>
      <c r="U196" s="98"/>
      <c r="V196" s="97"/>
      <c r="W196" s="97"/>
      <c r="X196" s="28" t="s">
        <v>16</v>
      </c>
      <c r="Y196" s="29" t="s">
        <v>13</v>
      </c>
      <c r="Z196" s="26"/>
      <c r="AA196" s="26"/>
      <c r="AB196" s="27"/>
      <c r="AC196" s="26"/>
      <c r="AD196" s="26"/>
      <c r="AE196" s="28" t="s">
        <v>14</v>
      </c>
      <c r="AF196" s="29" t="s">
        <v>11</v>
      </c>
      <c r="AG196" s="26"/>
      <c r="AH196" s="26"/>
      <c r="AI196" s="27"/>
      <c r="AJ196" s="26"/>
      <c r="AK196" s="28" t="s">
        <v>15</v>
      </c>
      <c r="AL196" s="26"/>
      <c r="AM196" s="26"/>
      <c r="AN196" s="30">
        <v>17</v>
      </c>
      <c r="AO196" s="25"/>
      <c r="AP196" s="25"/>
      <c r="AQ196" s="25"/>
      <c r="AR196" s="25"/>
      <c r="AS196" s="25"/>
      <c r="AT196" s="25"/>
      <c r="AU196" s="25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  <c r="CO196" s="32"/>
      <c r="CP196" s="32"/>
    </row>
    <row r="197" spans="1:94" s="47" customFormat="1" x14ac:dyDescent="0.25">
      <c r="A197" s="25" t="s">
        <v>56</v>
      </c>
      <c r="B197" s="25" t="s">
        <v>267</v>
      </c>
      <c r="C197" s="25" t="s">
        <v>412</v>
      </c>
      <c r="D197" s="25">
        <v>54</v>
      </c>
      <c r="E197" s="34" t="str" cm="1">
        <f t="array" ref="E197">IFERROR(INDEX($J$5:$AVX$5, _xlfn.AGGREGATE(15,6, COLUMN(J197:AVX197)-COLUMN(J197)+1 / (J197:AVX197="T"), F197)), "")</f>
        <v/>
      </c>
      <c r="F197" s="96">
        <f>$A$2</f>
        <v>2</v>
      </c>
      <c r="G197" s="34" cm="1">
        <f t="array" ref="G197">IFERROR(INDEX($J$5:$AVW$5,_xlfn.AGGREGATE(14,6,(COLUMN($J197:$AVW197)-COLUMN($J197)+1)/($J197:$AVW197="T"),1)),"")</f>
        <v>45968</v>
      </c>
      <c r="H197" s="105">
        <f>COUNTIF($J197:$AVV197,"T")</f>
        <v>1</v>
      </c>
      <c r="I197" s="36" t="s">
        <v>10</v>
      </c>
      <c r="J197" s="32"/>
      <c r="K197" s="32"/>
      <c r="L197" s="32"/>
      <c r="M197" s="32"/>
      <c r="N197" s="32"/>
      <c r="O197" s="32"/>
      <c r="P197" s="32" t="s">
        <v>12</v>
      </c>
      <c r="Q197" s="97"/>
      <c r="R197" s="97"/>
      <c r="S197" s="97"/>
      <c r="T197" s="98"/>
      <c r="U197" s="97"/>
      <c r="V197" s="97"/>
      <c r="W197" s="99" t="s">
        <v>16</v>
      </c>
      <c r="X197" s="29" t="s">
        <v>13</v>
      </c>
      <c r="Y197" s="26"/>
      <c r="Z197" s="26"/>
      <c r="AA197" s="27"/>
      <c r="AB197" s="26"/>
      <c r="AC197" s="26"/>
      <c r="AD197" s="28" t="s">
        <v>14</v>
      </c>
      <c r="AE197" s="29" t="s">
        <v>11</v>
      </c>
      <c r="AF197" s="26"/>
      <c r="AG197" s="26"/>
      <c r="AH197" s="27"/>
      <c r="AI197" s="26"/>
      <c r="AJ197" s="28" t="s">
        <v>15</v>
      </c>
      <c r="AK197" s="26"/>
      <c r="AL197" s="26"/>
      <c r="AM197" s="25">
        <v>17</v>
      </c>
      <c r="AN197" s="30"/>
      <c r="AO197" s="25"/>
      <c r="AP197" s="25"/>
      <c r="AQ197" s="25"/>
      <c r="AR197" s="25"/>
      <c r="AS197" s="25"/>
      <c r="AT197" s="25"/>
      <c r="AU197" s="25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  <c r="CO197" s="32"/>
      <c r="CP197" s="32"/>
    </row>
    <row r="198" spans="1:94" s="47" customFormat="1" x14ac:dyDescent="0.25">
      <c r="A198" s="25" t="s">
        <v>56</v>
      </c>
      <c r="B198" s="25" t="s">
        <v>268</v>
      </c>
      <c r="C198" s="25" t="s">
        <v>413</v>
      </c>
      <c r="D198" s="25">
        <v>55</v>
      </c>
      <c r="E198" s="34" t="str" cm="1">
        <f t="array" ref="E198">IFERROR(INDEX($J$5:$AVX$5, _xlfn.AGGREGATE(15,6, COLUMN(J198:AVX198)-COLUMN(J198)+1 / (J198:AVX198="T"), F198)), "")</f>
        <v/>
      </c>
      <c r="F198" s="96">
        <f>$A$2</f>
        <v>2</v>
      </c>
      <c r="G198" s="34" cm="1">
        <f t="array" ref="G198">IFERROR(INDEX($J$5:$AVW$5,_xlfn.AGGREGATE(14,6,(COLUMN($J198:$AVW198)-COLUMN($J198)+1)/($J198:$AVW198="T"),1)),"")</f>
        <v>45968</v>
      </c>
      <c r="H198" s="105">
        <f>COUNTIF($J198:$AVV198,"T")</f>
        <v>1</v>
      </c>
      <c r="I198" s="36" t="s">
        <v>10</v>
      </c>
      <c r="J198" s="32"/>
      <c r="K198" s="32"/>
      <c r="L198" s="32"/>
      <c r="M198" s="32"/>
      <c r="N198" s="32"/>
      <c r="O198" s="32"/>
      <c r="P198" s="32" t="s">
        <v>12</v>
      </c>
      <c r="Q198" s="97"/>
      <c r="R198" s="97"/>
      <c r="S198" s="97"/>
      <c r="T198" s="98"/>
      <c r="U198" s="97"/>
      <c r="V198" s="97"/>
      <c r="W198" s="99" t="s">
        <v>16</v>
      </c>
      <c r="X198" s="29" t="s">
        <v>13</v>
      </c>
      <c r="Y198" s="26"/>
      <c r="Z198" s="26"/>
      <c r="AA198" s="27"/>
      <c r="AB198" s="26"/>
      <c r="AC198" s="26"/>
      <c r="AD198" s="28" t="s">
        <v>14</v>
      </c>
      <c r="AE198" s="29" t="s">
        <v>11</v>
      </c>
      <c r="AF198" s="26"/>
      <c r="AG198" s="26"/>
      <c r="AH198" s="27"/>
      <c r="AI198" s="26"/>
      <c r="AJ198" s="28" t="s">
        <v>15</v>
      </c>
      <c r="AK198" s="26"/>
      <c r="AL198" s="26"/>
      <c r="AM198" s="25">
        <v>17</v>
      </c>
      <c r="AN198" s="30"/>
      <c r="AO198" s="25"/>
      <c r="AP198" s="25"/>
      <c r="AQ198" s="25"/>
      <c r="AR198" s="25"/>
      <c r="AS198" s="25"/>
      <c r="AT198" s="25"/>
      <c r="AU198" s="25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  <c r="CO198" s="32"/>
      <c r="CP198" s="32"/>
    </row>
    <row r="199" spans="1:94" x14ac:dyDescent="0.25">
      <c r="A199" s="25" t="s">
        <v>56</v>
      </c>
      <c r="B199" s="25" t="s">
        <v>297</v>
      </c>
      <c r="C199" s="25" t="s">
        <v>442</v>
      </c>
      <c r="D199" s="25">
        <v>84</v>
      </c>
      <c r="E199" s="34" t="str" cm="1">
        <f t="array" ref="E199">IFERROR(INDEX($J$5:$AVX$5, _xlfn.AGGREGATE(15,6, COLUMN(J199:AVX199)-COLUMN(J199)+1 / (J199:AVX199="T"), F199)), "")</f>
        <v/>
      </c>
      <c r="F199" s="96">
        <f>$A$2</f>
        <v>2</v>
      </c>
      <c r="G199" s="34" cm="1">
        <f t="array" ref="G199">IFERROR(INDEX($J$5:$AVW$5,_xlfn.AGGREGATE(14,6,(COLUMN($J199:$AVW199)-COLUMN($J199)+1)/($J199:$AVW199="T"),1)),"")</f>
        <v>45968</v>
      </c>
      <c r="H199" s="105">
        <f>COUNTIF($J199:$AVV199,"T")</f>
        <v>1</v>
      </c>
      <c r="I199" s="36" t="s">
        <v>10</v>
      </c>
      <c r="J199" s="32"/>
      <c r="K199" s="32"/>
      <c r="L199" s="32"/>
      <c r="M199" s="32"/>
      <c r="N199" s="32"/>
      <c r="O199" s="32"/>
      <c r="P199" s="32" t="s">
        <v>12</v>
      </c>
      <c r="Q199" s="97"/>
      <c r="R199" s="97"/>
      <c r="S199" s="97"/>
      <c r="T199" s="98"/>
      <c r="U199" s="97"/>
      <c r="V199" s="97"/>
      <c r="W199" s="99" t="s">
        <v>16</v>
      </c>
      <c r="X199" s="29" t="s">
        <v>13</v>
      </c>
      <c r="Y199" s="26"/>
      <c r="Z199" s="26"/>
      <c r="AA199" s="27"/>
      <c r="AB199" s="26"/>
      <c r="AC199" s="26"/>
      <c r="AD199" s="28" t="s">
        <v>14</v>
      </c>
      <c r="AE199" s="29" t="s">
        <v>11</v>
      </c>
      <c r="AF199" s="26"/>
      <c r="AG199" s="26"/>
      <c r="AH199" s="27"/>
      <c r="AI199" s="26"/>
      <c r="AJ199" s="28" t="s">
        <v>15</v>
      </c>
      <c r="AK199" s="26"/>
      <c r="AL199" s="26"/>
      <c r="AM199" s="25">
        <v>17</v>
      </c>
      <c r="AN199" s="30"/>
      <c r="AO199" s="25"/>
      <c r="AP199" s="25"/>
      <c r="AQ199" s="25"/>
      <c r="AR199" s="25"/>
      <c r="AS199" s="25"/>
      <c r="AT199" s="25"/>
      <c r="AU199" s="25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  <c r="CO199" s="32"/>
      <c r="CP199" s="32"/>
    </row>
    <row r="200" spans="1:94" x14ac:dyDescent="0.25">
      <c r="A200" s="25" t="s">
        <v>56</v>
      </c>
      <c r="B200" s="25" t="s">
        <v>298</v>
      </c>
      <c r="C200" s="25" t="s">
        <v>443</v>
      </c>
      <c r="D200" s="25">
        <v>85</v>
      </c>
      <c r="E200" s="34" t="str" cm="1">
        <f t="array" ref="E200">IFERROR(INDEX($J$5:$AVX$5, _xlfn.AGGREGATE(15,6, COLUMN(J200:AVX200)-COLUMN(J200)+1 / (J200:AVX200="T"), F200)), "")</f>
        <v/>
      </c>
      <c r="F200" s="96">
        <f>$A$2</f>
        <v>2</v>
      </c>
      <c r="G200" s="34" cm="1">
        <f t="array" ref="G200">IFERROR(INDEX($J$5:$AVW$5,_xlfn.AGGREGATE(14,6,(COLUMN($J200:$AVW200)-COLUMN($J200)+1)/($J200:$AVW200="T"),1)),"")</f>
        <v>45968</v>
      </c>
      <c r="H200" s="105">
        <f>COUNTIF($J200:$AVV200,"T")</f>
        <v>1</v>
      </c>
      <c r="I200" s="36" t="s">
        <v>10</v>
      </c>
      <c r="J200" s="32"/>
      <c r="K200" s="32"/>
      <c r="L200" s="32"/>
      <c r="M200" s="32"/>
      <c r="N200" s="32"/>
      <c r="O200" s="32"/>
      <c r="P200" s="32" t="s">
        <v>12</v>
      </c>
      <c r="Q200" s="97"/>
      <c r="R200" s="97"/>
      <c r="S200" s="97"/>
      <c r="T200" s="98"/>
      <c r="U200" s="97"/>
      <c r="V200" s="97"/>
      <c r="W200" s="28" t="s">
        <v>16</v>
      </c>
      <c r="X200" s="29" t="s">
        <v>13</v>
      </c>
      <c r="Y200" s="26"/>
      <c r="Z200" s="26"/>
      <c r="AA200" s="27"/>
      <c r="AB200" s="26"/>
      <c r="AC200" s="26"/>
      <c r="AD200" s="28" t="s">
        <v>14</v>
      </c>
      <c r="AE200" s="29" t="s">
        <v>11</v>
      </c>
      <c r="AF200" s="26"/>
      <c r="AG200" s="26"/>
      <c r="AH200" s="27"/>
      <c r="AI200" s="26"/>
      <c r="AJ200" s="28" t="s">
        <v>15</v>
      </c>
      <c r="AK200" s="35"/>
      <c r="AL200" s="26"/>
      <c r="AM200" s="25">
        <v>17</v>
      </c>
      <c r="AN200" s="25"/>
      <c r="AO200" s="25"/>
      <c r="AP200" s="25"/>
      <c r="AQ200" s="25"/>
      <c r="AR200" s="25"/>
      <c r="AS200" s="25"/>
      <c r="AT200" s="25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  <c r="CO200" s="32"/>
      <c r="CP200" s="32"/>
    </row>
    <row r="201" spans="1:94" x14ac:dyDescent="0.25">
      <c r="A201" s="37" t="s">
        <v>56</v>
      </c>
      <c r="B201" s="37" t="s">
        <v>327</v>
      </c>
      <c r="C201" s="25" t="s">
        <v>472</v>
      </c>
      <c r="D201" s="25">
        <v>114</v>
      </c>
      <c r="E201" s="34" t="str" cm="1">
        <f t="array" ref="E201">IFERROR(INDEX($J$5:$AVX$5, _xlfn.AGGREGATE(15,6, COLUMN(J201:AVX201)-COLUMN(J201)+1 / (J201:AVX201="T"), F201)), "")</f>
        <v/>
      </c>
      <c r="F201" s="96">
        <f>$A$2</f>
        <v>2</v>
      </c>
      <c r="G201" s="34" cm="1">
        <f t="array" ref="G201">IFERROR(INDEX($J$5:$AVW$5,_xlfn.AGGREGATE(14,6,(COLUMN($J201:$AVW201)-COLUMN($J201)+1)/($J201:$AVW201="T"),1)),"")</f>
        <v>45968</v>
      </c>
      <c r="H201" s="105">
        <f>COUNTIF($J201:$AVV201,"T")</f>
        <v>1</v>
      </c>
      <c r="I201" s="43" t="s">
        <v>10</v>
      </c>
      <c r="J201" s="32"/>
      <c r="K201" s="32"/>
      <c r="L201" s="32"/>
      <c r="M201" s="32"/>
      <c r="N201" s="32"/>
      <c r="O201" s="32"/>
      <c r="P201" s="32" t="s">
        <v>12</v>
      </c>
      <c r="Q201" s="97"/>
      <c r="R201" s="97"/>
      <c r="S201" s="97"/>
      <c r="T201" s="98"/>
      <c r="U201" s="97"/>
      <c r="V201" s="97"/>
      <c r="W201" s="28" t="s">
        <v>16</v>
      </c>
      <c r="X201" s="29" t="s">
        <v>13</v>
      </c>
      <c r="Y201" s="26"/>
      <c r="Z201" s="26"/>
      <c r="AA201" s="27"/>
      <c r="AB201" s="26"/>
      <c r="AC201" s="26"/>
      <c r="AD201" s="28" t="s">
        <v>14</v>
      </c>
      <c r="AE201" s="29" t="s">
        <v>11</v>
      </c>
      <c r="AF201" s="26"/>
      <c r="AG201" s="26"/>
      <c r="AH201" s="27"/>
      <c r="AI201" s="26"/>
      <c r="AJ201" s="28" t="s">
        <v>15</v>
      </c>
      <c r="AK201" s="26"/>
      <c r="AL201" s="26"/>
      <c r="AM201" s="30">
        <v>17</v>
      </c>
      <c r="AN201" s="25"/>
      <c r="AO201" s="25"/>
      <c r="AP201" s="25"/>
      <c r="AQ201" s="25"/>
      <c r="AR201" s="25"/>
      <c r="AS201" s="25"/>
      <c r="AT201" s="25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  <c r="CO201" s="32"/>
      <c r="CP201" s="32"/>
    </row>
    <row r="202" spans="1:94" x14ac:dyDescent="0.25">
      <c r="A202" s="37" t="s">
        <v>56</v>
      </c>
      <c r="B202" s="37" t="s">
        <v>328</v>
      </c>
      <c r="C202" s="25" t="s">
        <v>473</v>
      </c>
      <c r="D202" s="25">
        <v>115</v>
      </c>
      <c r="E202" s="34" t="str" cm="1">
        <f t="array" ref="E202">IFERROR(INDEX($J$5:$AVX$5, _xlfn.AGGREGATE(15,6, COLUMN(J202:AVX202)-COLUMN(J202)+1 / (J202:AVX202="T"), F202)), "")</f>
        <v/>
      </c>
      <c r="F202" s="96">
        <f>$A$2</f>
        <v>2</v>
      </c>
      <c r="G202" s="34" cm="1">
        <f t="array" ref="G202">IFERROR(INDEX($J$5:$AVW$5,_xlfn.AGGREGATE(14,6,(COLUMN($J202:$AVW202)-COLUMN($J202)+1)/($J202:$AVW202="T"),1)),"")</f>
        <v>45968</v>
      </c>
      <c r="H202" s="105">
        <f>COUNTIF($J202:$AVV202,"T")</f>
        <v>1</v>
      </c>
      <c r="I202" s="43" t="s">
        <v>10</v>
      </c>
      <c r="J202" s="32"/>
      <c r="K202" s="32"/>
      <c r="L202" s="32"/>
      <c r="M202" s="32"/>
      <c r="N202" s="32"/>
      <c r="O202" s="32"/>
      <c r="P202" s="32" t="s">
        <v>12</v>
      </c>
      <c r="Q202" s="97"/>
      <c r="R202" s="97"/>
      <c r="S202" s="97"/>
      <c r="T202" s="98"/>
      <c r="U202" s="97"/>
      <c r="V202" s="97"/>
      <c r="W202" s="28" t="s">
        <v>16</v>
      </c>
      <c r="X202" s="29" t="s">
        <v>13</v>
      </c>
      <c r="Y202" s="26"/>
      <c r="Z202" s="26"/>
      <c r="AA202" s="27"/>
      <c r="AB202" s="26"/>
      <c r="AC202" s="26"/>
      <c r="AD202" s="28" t="s">
        <v>14</v>
      </c>
      <c r="AE202" s="29" t="s">
        <v>11</v>
      </c>
      <c r="AF202" s="26"/>
      <c r="AG202" s="26"/>
      <c r="AH202" s="27"/>
      <c r="AI202" s="26"/>
      <c r="AJ202" s="28" t="s">
        <v>15</v>
      </c>
      <c r="AK202" s="26"/>
      <c r="AL202" s="26"/>
      <c r="AM202" s="30">
        <v>17</v>
      </c>
      <c r="AN202" s="25"/>
      <c r="AO202" s="25"/>
      <c r="AP202" s="25"/>
      <c r="AQ202" s="25"/>
      <c r="AR202" s="25"/>
      <c r="AS202" s="25"/>
      <c r="AT202" s="25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  <c r="CO202" s="32"/>
      <c r="CP202" s="32"/>
    </row>
    <row r="203" spans="1:94" x14ac:dyDescent="0.25">
      <c r="A203" s="48" t="s">
        <v>56</v>
      </c>
      <c r="B203" s="48" t="s">
        <v>329</v>
      </c>
      <c r="C203" s="25" t="s">
        <v>474</v>
      </c>
      <c r="D203" s="25">
        <v>116</v>
      </c>
      <c r="E203" s="34" t="str" cm="1">
        <f t="array" ref="E203">IFERROR(INDEX($J$5:$AVX$5, _xlfn.AGGREGATE(15,6, COLUMN(J203:AVX203)-COLUMN(J203)+1 / (J203:AVX203="T"), F203)), "")</f>
        <v/>
      </c>
      <c r="F203" s="96">
        <f>$A$2</f>
        <v>2</v>
      </c>
      <c r="G203" s="34" cm="1">
        <f t="array" ref="G203">IFERROR(INDEX($J$5:$AVW$5,_xlfn.AGGREGATE(14,6,(COLUMN($J203:$AVW203)-COLUMN($J203)+1)/($J203:$AVW203="T"),1)),"")</f>
        <v>45968</v>
      </c>
      <c r="H203" s="105">
        <f>COUNTIF($J203:$AVV203,"T")</f>
        <v>1</v>
      </c>
      <c r="I203" s="49" t="s">
        <v>10</v>
      </c>
      <c r="J203" s="32"/>
      <c r="K203" s="32"/>
      <c r="L203" s="32"/>
      <c r="M203" s="32"/>
      <c r="N203" s="32"/>
      <c r="O203" s="32"/>
      <c r="P203" s="32" t="s">
        <v>12</v>
      </c>
      <c r="Q203" s="97"/>
      <c r="R203" s="97"/>
      <c r="S203" s="97"/>
      <c r="T203" s="98"/>
      <c r="U203" s="97"/>
      <c r="V203" s="97"/>
      <c r="W203" s="28" t="s">
        <v>16</v>
      </c>
      <c r="X203" s="29" t="s">
        <v>13</v>
      </c>
      <c r="Y203" s="26"/>
      <c r="Z203" s="26"/>
      <c r="AA203" s="27"/>
      <c r="AB203" s="26"/>
      <c r="AC203" s="26"/>
      <c r="AD203" s="28" t="s">
        <v>14</v>
      </c>
      <c r="AE203" s="29" t="s">
        <v>11</v>
      </c>
      <c r="AF203" s="26"/>
      <c r="AG203" s="26"/>
      <c r="AH203" s="27"/>
      <c r="AI203" s="26"/>
      <c r="AJ203" s="28" t="s">
        <v>15</v>
      </c>
      <c r="AK203" s="26"/>
      <c r="AL203" s="26"/>
      <c r="AM203" s="30">
        <v>17</v>
      </c>
      <c r="AN203" s="25"/>
      <c r="AO203" s="25"/>
      <c r="AP203" s="25"/>
      <c r="AQ203" s="25"/>
      <c r="AR203" s="25"/>
      <c r="AS203" s="25"/>
      <c r="AT203" s="25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  <c r="CO203" s="32"/>
      <c r="CP203" s="32"/>
    </row>
    <row r="204" spans="1:94" x14ac:dyDescent="0.25">
      <c r="A204" s="25" t="s">
        <v>56</v>
      </c>
      <c r="B204" s="25" t="s">
        <v>299</v>
      </c>
      <c r="C204" s="25" t="s">
        <v>444</v>
      </c>
      <c r="D204" s="25">
        <v>86</v>
      </c>
      <c r="E204" s="34" t="str" cm="1">
        <f t="array" ref="E204">IFERROR(INDEX($J$5:$AVX$5, _xlfn.AGGREGATE(15,6, COLUMN(J204:AVX204)-COLUMN(J204)+1 / (J204:AVX204="T"), F204)), "")</f>
        <v/>
      </c>
      <c r="F204" s="96">
        <f>$A$2</f>
        <v>2</v>
      </c>
      <c r="G204" s="34" cm="1">
        <f t="array" ref="G204">IFERROR(INDEX($J$5:$AVW$5,_xlfn.AGGREGATE(14,6,(COLUMN($J204:$AVW204)-COLUMN($J204)+1)/($J204:$AVW204="T"),1)),"")</f>
        <v>45967</v>
      </c>
      <c r="H204" s="105">
        <f>COUNTIF($J204:$AVV204,"T")</f>
        <v>1</v>
      </c>
      <c r="I204" s="36" t="s">
        <v>10</v>
      </c>
      <c r="J204" s="32"/>
      <c r="K204" s="32"/>
      <c r="L204" s="32"/>
      <c r="M204" s="32"/>
      <c r="N204" s="32"/>
      <c r="O204" s="32" t="s">
        <v>12</v>
      </c>
      <c r="P204" s="97"/>
      <c r="Q204" s="97"/>
      <c r="R204" s="97"/>
      <c r="S204" s="98"/>
      <c r="T204" s="97"/>
      <c r="U204" s="97"/>
      <c r="V204" s="99" t="s">
        <v>16</v>
      </c>
      <c r="W204" s="29" t="s">
        <v>13</v>
      </c>
      <c r="X204" s="26"/>
      <c r="Y204" s="26"/>
      <c r="Z204" s="27"/>
      <c r="AA204" s="26"/>
      <c r="AB204" s="26"/>
      <c r="AC204" s="28" t="s">
        <v>14</v>
      </c>
      <c r="AD204" s="29" t="s">
        <v>11</v>
      </c>
      <c r="AE204" s="26"/>
      <c r="AF204" s="26"/>
      <c r="AG204" s="27"/>
      <c r="AH204" s="26"/>
      <c r="AI204" s="28" t="s">
        <v>15</v>
      </c>
      <c r="AJ204" s="26"/>
      <c r="AK204" s="26"/>
      <c r="AL204" s="25">
        <v>17</v>
      </c>
      <c r="AM204" s="30"/>
      <c r="AN204" s="25"/>
      <c r="AO204" s="25"/>
      <c r="AP204" s="25"/>
      <c r="AQ204" s="25"/>
      <c r="AR204" s="25"/>
      <c r="AS204" s="25"/>
      <c r="AT204" s="25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  <c r="CO204" s="32"/>
      <c r="CP204" s="32"/>
    </row>
    <row r="205" spans="1:94" x14ac:dyDescent="0.25">
      <c r="A205" s="25" t="s">
        <v>56</v>
      </c>
      <c r="B205" s="25" t="s">
        <v>300</v>
      </c>
      <c r="C205" s="25" t="s">
        <v>445</v>
      </c>
      <c r="D205" s="25">
        <v>87</v>
      </c>
      <c r="E205" s="34" t="str" cm="1">
        <f t="array" ref="E205">IFERROR(INDEX($J$5:$AVX$5, _xlfn.AGGREGATE(15,6, COLUMN(J205:AVX205)-COLUMN(J205)+1 / (J205:AVX205="T"), F205)), "")</f>
        <v/>
      </c>
      <c r="F205" s="96">
        <f>$A$2</f>
        <v>2</v>
      </c>
      <c r="G205" s="34" cm="1">
        <f t="array" ref="G205">IFERROR(INDEX($J$5:$AVW$5,_xlfn.AGGREGATE(14,6,(COLUMN($J205:$AVW205)-COLUMN($J205)+1)/($J205:$AVW205="T"),1)),"")</f>
        <v>45967</v>
      </c>
      <c r="H205" s="105">
        <f>COUNTIF($J205:$AVV205,"T")</f>
        <v>1</v>
      </c>
      <c r="I205" s="36" t="s">
        <v>10</v>
      </c>
      <c r="J205" s="32"/>
      <c r="K205" s="32"/>
      <c r="L205" s="32"/>
      <c r="M205" s="32"/>
      <c r="N205" s="32"/>
      <c r="O205" s="32" t="s">
        <v>12</v>
      </c>
      <c r="P205" s="97"/>
      <c r="Q205" s="97"/>
      <c r="R205" s="97"/>
      <c r="S205" s="98"/>
      <c r="T205" s="97"/>
      <c r="U205" s="97"/>
      <c r="V205" s="99" t="s">
        <v>16</v>
      </c>
      <c r="W205" s="29" t="s">
        <v>13</v>
      </c>
      <c r="X205" s="26"/>
      <c r="Y205" s="26"/>
      <c r="Z205" s="27"/>
      <c r="AA205" s="26"/>
      <c r="AB205" s="26"/>
      <c r="AC205" s="28" t="s">
        <v>14</v>
      </c>
      <c r="AD205" s="29" t="s">
        <v>11</v>
      </c>
      <c r="AE205" s="26"/>
      <c r="AF205" s="26"/>
      <c r="AG205" s="27"/>
      <c r="AH205" s="26"/>
      <c r="AI205" s="28" t="s">
        <v>15</v>
      </c>
      <c r="AJ205" s="26"/>
      <c r="AK205" s="26"/>
      <c r="AL205" s="25">
        <v>17</v>
      </c>
      <c r="AM205" s="30"/>
      <c r="AN205" s="25"/>
      <c r="AO205" s="25"/>
      <c r="AP205" s="25"/>
      <c r="AQ205" s="25"/>
      <c r="AR205" s="25"/>
      <c r="AS205" s="25"/>
      <c r="AT205" s="25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  <c r="CO205" s="32"/>
      <c r="CP205" s="32"/>
    </row>
    <row r="206" spans="1:94" x14ac:dyDescent="0.25">
      <c r="A206" s="25" t="s">
        <v>56</v>
      </c>
      <c r="B206" s="25" t="s">
        <v>301</v>
      </c>
      <c r="C206" s="25" t="s">
        <v>446</v>
      </c>
      <c r="D206" s="25">
        <v>88</v>
      </c>
      <c r="E206" s="34" t="str" cm="1">
        <f t="array" ref="E206">IFERROR(INDEX($J$5:$AVX$5, _xlfn.AGGREGATE(15,6, COLUMN(J206:AVX206)-COLUMN(J206)+1 / (J206:AVX206="T"), F206)), "")</f>
        <v/>
      </c>
      <c r="F206" s="96">
        <f>$A$2</f>
        <v>2</v>
      </c>
      <c r="G206" s="34" cm="1">
        <f t="array" ref="G206">IFERROR(INDEX($J$5:$AVW$5,_xlfn.AGGREGATE(14,6,(COLUMN($J206:$AVW206)-COLUMN($J206)+1)/($J206:$AVW206="T"),1)),"")</f>
        <v>45967</v>
      </c>
      <c r="H206" s="105">
        <f>COUNTIF($J206:$AVV206,"T")</f>
        <v>1</v>
      </c>
      <c r="I206" s="36" t="s">
        <v>10</v>
      </c>
      <c r="J206" s="32"/>
      <c r="K206" s="32"/>
      <c r="L206" s="32"/>
      <c r="M206" s="32"/>
      <c r="N206" s="32"/>
      <c r="O206" s="32" t="s">
        <v>12</v>
      </c>
      <c r="P206" s="97"/>
      <c r="Q206" s="97"/>
      <c r="R206" s="97"/>
      <c r="S206" s="98"/>
      <c r="T206" s="97"/>
      <c r="U206" s="97"/>
      <c r="V206" s="99" t="s">
        <v>16</v>
      </c>
      <c r="W206" s="29" t="s">
        <v>13</v>
      </c>
      <c r="X206" s="26"/>
      <c r="Y206" s="26"/>
      <c r="Z206" s="27"/>
      <c r="AA206" s="26"/>
      <c r="AB206" s="26"/>
      <c r="AC206" s="28" t="s">
        <v>14</v>
      </c>
      <c r="AD206" s="29" t="s">
        <v>11</v>
      </c>
      <c r="AE206" s="26"/>
      <c r="AF206" s="26"/>
      <c r="AG206" s="27"/>
      <c r="AH206" s="26"/>
      <c r="AI206" s="28" t="s">
        <v>15</v>
      </c>
      <c r="AJ206" s="26"/>
      <c r="AK206" s="26"/>
      <c r="AL206" s="25">
        <v>17</v>
      </c>
      <c r="AM206" s="30"/>
      <c r="AN206" s="25"/>
      <c r="AO206" s="25"/>
      <c r="AP206" s="25"/>
      <c r="AQ206" s="25"/>
      <c r="AR206" s="25"/>
      <c r="AS206" s="25"/>
      <c r="AT206" s="25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  <c r="CO206" s="32"/>
      <c r="CP206" s="32"/>
    </row>
    <row r="207" spans="1:94" x14ac:dyDescent="0.25">
      <c r="A207" s="25" t="s">
        <v>56</v>
      </c>
      <c r="B207" s="25" t="s">
        <v>302</v>
      </c>
      <c r="C207" s="25" t="s">
        <v>447</v>
      </c>
      <c r="D207" s="25">
        <v>89</v>
      </c>
      <c r="E207" s="34" t="str" cm="1">
        <f t="array" ref="E207">IFERROR(INDEX($J$5:$AVX$5, _xlfn.AGGREGATE(15,6, COLUMN(J207:AVX207)-COLUMN(J207)+1 / (J207:AVX207="T"), F207)), "")</f>
        <v/>
      </c>
      <c r="F207" s="96">
        <f>$A$2</f>
        <v>2</v>
      </c>
      <c r="G207" s="34" cm="1">
        <f t="array" ref="G207">IFERROR(INDEX($J$5:$AVW$5,_xlfn.AGGREGATE(14,6,(COLUMN($J207:$AVW207)-COLUMN($J207)+1)/($J207:$AVW207="T"),1)),"")</f>
        <v>45967</v>
      </c>
      <c r="H207" s="105">
        <f>COUNTIF($J207:$AVV207,"T")</f>
        <v>1</v>
      </c>
      <c r="I207" s="36" t="s">
        <v>10</v>
      </c>
      <c r="J207" s="32"/>
      <c r="K207" s="32"/>
      <c r="L207" s="32"/>
      <c r="M207" s="32"/>
      <c r="N207" s="32"/>
      <c r="O207" s="32" t="s">
        <v>12</v>
      </c>
      <c r="P207" s="97"/>
      <c r="Q207" s="97"/>
      <c r="R207" s="97"/>
      <c r="S207" s="98"/>
      <c r="T207" s="97"/>
      <c r="U207" s="97"/>
      <c r="V207" s="28" t="s">
        <v>16</v>
      </c>
      <c r="W207" s="29" t="s">
        <v>13</v>
      </c>
      <c r="X207" s="26"/>
      <c r="Y207" s="26"/>
      <c r="Z207" s="27"/>
      <c r="AA207" s="26"/>
      <c r="AB207" s="26"/>
      <c r="AC207" s="28" t="s">
        <v>14</v>
      </c>
      <c r="AD207" s="29" t="s">
        <v>11</v>
      </c>
      <c r="AE207" s="26"/>
      <c r="AF207" s="26"/>
      <c r="AG207" s="27"/>
      <c r="AH207" s="26"/>
      <c r="AI207" s="28" t="s">
        <v>15</v>
      </c>
      <c r="AJ207" s="35"/>
      <c r="AK207" s="26"/>
      <c r="AL207" s="25">
        <v>17</v>
      </c>
      <c r="AM207" s="25"/>
      <c r="AN207" s="25"/>
      <c r="AO207" s="25"/>
      <c r="AP207" s="25"/>
      <c r="AQ207" s="25"/>
      <c r="AR207" s="25"/>
      <c r="AS207" s="25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  <c r="CO207" s="32"/>
      <c r="CP207" s="32"/>
    </row>
    <row r="208" spans="1:94" x14ac:dyDescent="0.25">
      <c r="A208" s="25" t="s">
        <v>56</v>
      </c>
      <c r="B208" s="25" t="s">
        <v>303</v>
      </c>
      <c r="C208" s="25" t="s">
        <v>448</v>
      </c>
      <c r="D208" s="25">
        <v>90</v>
      </c>
      <c r="E208" s="34" t="str" cm="1">
        <f t="array" ref="E208">IFERROR(INDEX($J$5:$AVX$5, _xlfn.AGGREGATE(15,6, COLUMN(J208:AVX208)-COLUMN(J208)+1 / (J208:AVX208="T"), F208)), "")</f>
        <v/>
      </c>
      <c r="F208" s="96">
        <f>$A$2</f>
        <v>2</v>
      </c>
      <c r="G208" s="34" cm="1">
        <f t="array" ref="G208">IFERROR(INDEX($J$5:$AVW$5,_xlfn.AGGREGATE(14,6,(COLUMN($J208:$AVW208)-COLUMN($J208)+1)/($J208:$AVW208="T"),1)),"")</f>
        <v>45967</v>
      </c>
      <c r="H208" s="105">
        <f>COUNTIF($J208:$AVV208,"T")</f>
        <v>1</v>
      </c>
      <c r="I208" s="36" t="s">
        <v>10</v>
      </c>
      <c r="J208" s="32"/>
      <c r="K208" s="32"/>
      <c r="L208" s="32"/>
      <c r="M208" s="32"/>
      <c r="N208" s="32"/>
      <c r="O208" s="32" t="s">
        <v>12</v>
      </c>
      <c r="P208" s="97"/>
      <c r="Q208" s="97"/>
      <c r="R208" s="97"/>
      <c r="S208" s="98"/>
      <c r="T208" s="97"/>
      <c r="U208" s="97"/>
      <c r="V208" s="28" t="s">
        <v>16</v>
      </c>
      <c r="W208" s="29" t="s">
        <v>13</v>
      </c>
      <c r="X208" s="26"/>
      <c r="Y208" s="26"/>
      <c r="Z208" s="27"/>
      <c r="AA208" s="26"/>
      <c r="AB208" s="26"/>
      <c r="AC208" s="28" t="s">
        <v>14</v>
      </c>
      <c r="AD208" s="29" t="s">
        <v>11</v>
      </c>
      <c r="AE208" s="26"/>
      <c r="AF208" s="26"/>
      <c r="AG208" s="27"/>
      <c r="AH208" s="26"/>
      <c r="AI208" s="28" t="s">
        <v>15</v>
      </c>
      <c r="AJ208" s="26"/>
      <c r="AK208" s="26"/>
      <c r="AL208" s="30">
        <v>17</v>
      </c>
      <c r="AM208" s="25"/>
      <c r="AN208" s="25"/>
      <c r="AO208" s="25"/>
      <c r="AP208" s="25"/>
      <c r="AQ208" s="25"/>
      <c r="AR208" s="25"/>
      <c r="AS208" s="25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  <c r="CO208" s="32"/>
      <c r="CP208" s="32"/>
    </row>
    <row r="209" spans="1:94" x14ac:dyDescent="0.25">
      <c r="A209" s="25" t="s">
        <v>56</v>
      </c>
      <c r="B209" s="25" t="s">
        <v>304</v>
      </c>
      <c r="C209" s="25" t="s">
        <v>449</v>
      </c>
      <c r="D209" s="25">
        <v>91</v>
      </c>
      <c r="E209" s="34" t="str" cm="1">
        <f t="array" ref="E209">IFERROR(INDEX($J$5:$AVX$5, _xlfn.AGGREGATE(15,6, COLUMN(J209:AVX209)-COLUMN(J209)+1 / (J209:AVX209="T"), F209)), "")</f>
        <v/>
      </c>
      <c r="F209" s="96">
        <f>$A$2</f>
        <v>2</v>
      </c>
      <c r="G209" s="34" cm="1">
        <f t="array" ref="G209">IFERROR(INDEX($J$5:$AVW$5,_xlfn.AGGREGATE(14,6,(COLUMN($J209:$AVW209)-COLUMN($J209)+1)/($J209:$AVW209="T"),1)),"")</f>
        <v>45967</v>
      </c>
      <c r="H209" s="105">
        <f>COUNTIF($J209:$AVV209,"T")</f>
        <v>1</v>
      </c>
      <c r="I209" s="36" t="s">
        <v>10</v>
      </c>
      <c r="J209" s="32"/>
      <c r="K209" s="32"/>
      <c r="L209" s="32"/>
      <c r="M209" s="32"/>
      <c r="N209" s="32"/>
      <c r="O209" s="32" t="s">
        <v>12</v>
      </c>
      <c r="P209" s="97"/>
      <c r="Q209" s="97"/>
      <c r="R209" s="97"/>
      <c r="S209" s="98"/>
      <c r="T209" s="97"/>
      <c r="U209" s="97"/>
      <c r="V209" s="28" t="s">
        <v>16</v>
      </c>
      <c r="W209" s="29" t="s">
        <v>13</v>
      </c>
      <c r="X209" s="26"/>
      <c r="Y209" s="26"/>
      <c r="Z209" s="27"/>
      <c r="AA209" s="26"/>
      <c r="AB209" s="26"/>
      <c r="AC209" s="28" t="s">
        <v>14</v>
      </c>
      <c r="AD209" s="29" t="s">
        <v>11</v>
      </c>
      <c r="AE209" s="26"/>
      <c r="AF209" s="26"/>
      <c r="AG209" s="27"/>
      <c r="AH209" s="26"/>
      <c r="AI209" s="28" t="s">
        <v>15</v>
      </c>
      <c r="AJ209" s="26"/>
      <c r="AK209" s="26"/>
      <c r="AL209" s="30">
        <v>17</v>
      </c>
      <c r="AM209" s="25"/>
      <c r="AN209" s="25"/>
      <c r="AO209" s="25"/>
      <c r="AP209" s="25"/>
      <c r="AQ209" s="25"/>
      <c r="AR209" s="25"/>
      <c r="AS209" s="25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  <c r="CO209" s="32"/>
      <c r="CP209" s="32"/>
    </row>
    <row r="210" spans="1:94" x14ac:dyDescent="0.25">
      <c r="A210" s="25" t="s">
        <v>56</v>
      </c>
      <c r="B210" s="25" t="s">
        <v>305</v>
      </c>
      <c r="C210" s="25" t="s">
        <v>450</v>
      </c>
      <c r="D210" s="25">
        <v>92</v>
      </c>
      <c r="E210" s="34" t="str" cm="1">
        <f t="array" ref="E210">IFERROR(INDEX($J$5:$AVX$5, _xlfn.AGGREGATE(15,6, COLUMN(J210:AVX210)-COLUMN(J210)+1 / (J210:AVX210="T"), F210)), "")</f>
        <v/>
      </c>
      <c r="F210" s="96">
        <f>$A$2</f>
        <v>2</v>
      </c>
      <c r="G210" s="34" cm="1">
        <f t="array" ref="G210">IFERROR(INDEX($J$5:$AVW$5,_xlfn.AGGREGATE(14,6,(COLUMN($J210:$AVW210)-COLUMN($J210)+1)/($J210:$AVW210="T"),1)),"")</f>
        <v>45967</v>
      </c>
      <c r="H210" s="105">
        <f>COUNTIF($J210:$AVV210,"T")</f>
        <v>1</v>
      </c>
      <c r="I210" s="36" t="s">
        <v>10</v>
      </c>
      <c r="J210" s="32"/>
      <c r="K210" s="32"/>
      <c r="L210" s="32"/>
      <c r="M210" s="32"/>
      <c r="N210" s="32"/>
      <c r="O210" s="32" t="s">
        <v>12</v>
      </c>
      <c r="P210" s="97"/>
      <c r="Q210" s="97"/>
      <c r="R210" s="97"/>
      <c r="S210" s="98"/>
      <c r="T210" s="97"/>
      <c r="U210" s="97"/>
      <c r="V210" s="28" t="s">
        <v>16</v>
      </c>
      <c r="W210" s="29" t="s">
        <v>13</v>
      </c>
      <c r="X210" s="26"/>
      <c r="Y210" s="26"/>
      <c r="Z210" s="27"/>
      <c r="AA210" s="26"/>
      <c r="AB210" s="26"/>
      <c r="AC210" s="28" t="s">
        <v>14</v>
      </c>
      <c r="AD210" s="29" t="s">
        <v>11</v>
      </c>
      <c r="AE210" s="26"/>
      <c r="AF210" s="26"/>
      <c r="AG210" s="27"/>
      <c r="AH210" s="26"/>
      <c r="AI210" s="28" t="s">
        <v>15</v>
      </c>
      <c r="AJ210" s="26"/>
      <c r="AK210" s="26"/>
      <c r="AL210" s="30">
        <v>17</v>
      </c>
      <c r="AM210" s="25"/>
      <c r="AN210" s="25"/>
      <c r="AO210" s="25"/>
      <c r="AP210" s="25"/>
      <c r="AQ210" s="25"/>
      <c r="AR210" s="25"/>
      <c r="AS210" s="25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  <c r="CO210" s="32"/>
      <c r="CP210" s="32"/>
    </row>
    <row r="211" spans="1:94" x14ac:dyDescent="0.25">
      <c r="A211" s="25" t="s">
        <v>56</v>
      </c>
      <c r="B211" s="25" t="s">
        <v>269</v>
      </c>
      <c r="C211" s="25" t="s">
        <v>414</v>
      </c>
      <c r="D211" s="25">
        <v>56</v>
      </c>
      <c r="E211" s="34" t="str" cm="1">
        <f t="array" ref="E211">IFERROR(INDEX($J$5:$AVX$5, _xlfn.AGGREGATE(15,6, COLUMN(J211:AVX211)-COLUMN(J211)+1 / (J211:AVX211="T"), F211)), "")</f>
        <v/>
      </c>
      <c r="F211" s="96">
        <f>$A$2</f>
        <v>2</v>
      </c>
      <c r="G211" s="34" cm="1">
        <f t="array" ref="G211">IFERROR(INDEX($J$5:$AVW$5,_xlfn.AGGREGATE(14,6,(COLUMN($J211:$AVW211)-COLUMN($J211)+1)/($J211:$AVW211="T"),1)),"")</f>
        <v>45966</v>
      </c>
      <c r="H211" s="105">
        <f>COUNTIF($J211:$AVV211,"T")</f>
        <v>1</v>
      </c>
      <c r="I211" s="36" t="s">
        <v>10</v>
      </c>
      <c r="J211" s="32"/>
      <c r="K211" s="32"/>
      <c r="L211" s="32"/>
      <c r="M211" s="32"/>
      <c r="N211" s="32" t="s">
        <v>12</v>
      </c>
      <c r="O211" s="97"/>
      <c r="P211" s="97"/>
      <c r="Q211" s="97"/>
      <c r="R211" s="98"/>
      <c r="S211" s="97"/>
      <c r="T211" s="97"/>
      <c r="U211" s="99" t="s">
        <v>16</v>
      </c>
      <c r="V211" s="29" t="s">
        <v>13</v>
      </c>
      <c r="W211" s="26"/>
      <c r="X211" s="26"/>
      <c r="Y211" s="27"/>
      <c r="Z211" s="26"/>
      <c r="AA211" s="26"/>
      <c r="AB211" s="28" t="s">
        <v>14</v>
      </c>
      <c r="AC211" s="29" t="s">
        <v>11</v>
      </c>
      <c r="AD211" s="26"/>
      <c r="AE211" s="26"/>
      <c r="AF211" s="27"/>
      <c r="AG211" s="26"/>
      <c r="AH211" s="28" t="s">
        <v>15</v>
      </c>
      <c r="AI211" s="26"/>
      <c r="AJ211" s="26"/>
      <c r="AK211" s="25">
        <v>17</v>
      </c>
      <c r="AL211" s="30"/>
      <c r="AM211" s="25"/>
      <c r="AN211" s="25"/>
      <c r="AO211" s="25"/>
      <c r="AP211" s="25"/>
      <c r="AQ211" s="25"/>
      <c r="AR211" s="25"/>
      <c r="AS211" s="25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  <c r="CO211" s="32"/>
      <c r="CP211" s="32"/>
    </row>
    <row r="212" spans="1:94" x14ac:dyDescent="0.25">
      <c r="A212" s="25" t="s">
        <v>56</v>
      </c>
      <c r="B212" s="25" t="s">
        <v>270</v>
      </c>
      <c r="C212" s="25" t="s">
        <v>415</v>
      </c>
      <c r="D212" s="25">
        <v>57</v>
      </c>
      <c r="E212" s="34" t="str" cm="1">
        <f t="array" ref="E212">IFERROR(INDEX($J$5:$AVX$5, _xlfn.AGGREGATE(15,6, COLUMN(J212:AVX212)-COLUMN(J212)+1 / (J212:AVX212="T"), F212)), "")</f>
        <v/>
      </c>
      <c r="F212" s="96">
        <f>$A$2</f>
        <v>2</v>
      </c>
      <c r="G212" s="34" cm="1">
        <f t="array" ref="G212">IFERROR(INDEX($J$5:$AVW$5,_xlfn.AGGREGATE(14,6,(COLUMN($J212:$AVW212)-COLUMN($J212)+1)/($J212:$AVW212="T"),1)),"")</f>
        <v>45966</v>
      </c>
      <c r="H212" s="105">
        <f>COUNTIF($J212:$AVV212,"T")</f>
        <v>1</v>
      </c>
      <c r="I212" s="36" t="s">
        <v>10</v>
      </c>
      <c r="J212" s="32"/>
      <c r="K212" s="32"/>
      <c r="L212" s="32"/>
      <c r="M212" s="32"/>
      <c r="N212" s="32" t="s">
        <v>12</v>
      </c>
      <c r="O212" s="97"/>
      <c r="P212" s="97"/>
      <c r="Q212" s="97"/>
      <c r="R212" s="98"/>
      <c r="S212" s="97"/>
      <c r="T212" s="97"/>
      <c r="U212" s="99" t="s">
        <v>16</v>
      </c>
      <c r="V212" s="29" t="s">
        <v>13</v>
      </c>
      <c r="W212" s="26"/>
      <c r="X212" s="26"/>
      <c r="Y212" s="27"/>
      <c r="Z212" s="26"/>
      <c r="AA212" s="26"/>
      <c r="AB212" s="28" t="s">
        <v>14</v>
      </c>
      <c r="AC212" s="29" t="s">
        <v>11</v>
      </c>
      <c r="AD212" s="26"/>
      <c r="AE212" s="26"/>
      <c r="AF212" s="27"/>
      <c r="AG212" s="26"/>
      <c r="AH212" s="28" t="s">
        <v>15</v>
      </c>
      <c r="AI212" s="26"/>
      <c r="AJ212" s="26"/>
      <c r="AK212" s="25">
        <v>17</v>
      </c>
      <c r="AL212" s="30"/>
      <c r="AM212" s="25"/>
      <c r="AN212" s="25"/>
      <c r="AO212" s="25"/>
      <c r="AP212" s="25"/>
      <c r="AQ212" s="25"/>
      <c r="AR212" s="25"/>
      <c r="AS212" s="25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  <c r="CO212" s="32"/>
      <c r="CP212" s="32"/>
    </row>
    <row r="213" spans="1:94" x14ac:dyDescent="0.25">
      <c r="A213" s="25" t="s">
        <v>56</v>
      </c>
      <c r="B213" s="25" t="s">
        <v>271</v>
      </c>
      <c r="C213" s="25" t="s">
        <v>416</v>
      </c>
      <c r="D213" s="25">
        <v>58</v>
      </c>
      <c r="E213" s="34" t="str" cm="1">
        <f t="array" ref="E213">IFERROR(INDEX($J$5:$AVX$5, _xlfn.AGGREGATE(15,6, COLUMN(J213:AVX213)-COLUMN(J213)+1 / (J213:AVX213="T"), F213)), "")</f>
        <v/>
      </c>
      <c r="F213" s="96">
        <f>$A$2</f>
        <v>2</v>
      </c>
      <c r="G213" s="34" cm="1">
        <f t="array" ref="G213">IFERROR(INDEX($J$5:$AVW$5,_xlfn.AGGREGATE(14,6,(COLUMN($J213:$AVW213)-COLUMN($J213)+1)/($J213:$AVW213="T"),1)),"")</f>
        <v>45966</v>
      </c>
      <c r="H213" s="105">
        <f>COUNTIF($J213:$AVV213,"T")</f>
        <v>1</v>
      </c>
      <c r="I213" s="36" t="s">
        <v>10</v>
      </c>
      <c r="J213" s="32"/>
      <c r="K213" s="32"/>
      <c r="L213" s="32"/>
      <c r="M213" s="32"/>
      <c r="N213" s="32" t="s">
        <v>12</v>
      </c>
      <c r="O213" s="97"/>
      <c r="P213" s="97"/>
      <c r="Q213" s="97"/>
      <c r="R213" s="98"/>
      <c r="S213" s="97"/>
      <c r="T213" s="97"/>
      <c r="U213" s="99" t="s">
        <v>16</v>
      </c>
      <c r="V213" s="29" t="s">
        <v>13</v>
      </c>
      <c r="W213" s="26"/>
      <c r="X213" s="26"/>
      <c r="Y213" s="27"/>
      <c r="Z213" s="26"/>
      <c r="AA213" s="26"/>
      <c r="AB213" s="28" t="s">
        <v>14</v>
      </c>
      <c r="AC213" s="29" t="s">
        <v>11</v>
      </c>
      <c r="AD213" s="26"/>
      <c r="AE213" s="26"/>
      <c r="AF213" s="27"/>
      <c r="AG213" s="26"/>
      <c r="AH213" s="28" t="s">
        <v>15</v>
      </c>
      <c r="AI213" s="26"/>
      <c r="AJ213" s="26"/>
      <c r="AK213" s="25">
        <v>17</v>
      </c>
      <c r="AL213" s="30"/>
      <c r="AM213" s="25"/>
      <c r="AN213" s="25"/>
      <c r="AO213" s="25"/>
      <c r="AP213" s="25"/>
      <c r="AQ213" s="25"/>
      <c r="AR213" s="25"/>
      <c r="AS213" s="25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  <c r="CO213" s="32"/>
      <c r="CP213" s="32"/>
    </row>
    <row r="214" spans="1:94" x14ac:dyDescent="0.25">
      <c r="A214" s="25" t="s">
        <v>56</v>
      </c>
      <c r="B214" s="25" t="s">
        <v>272</v>
      </c>
      <c r="C214" s="25" t="s">
        <v>417</v>
      </c>
      <c r="D214" s="25">
        <v>59</v>
      </c>
      <c r="E214" s="34" t="str" cm="1">
        <f t="array" ref="E214">IFERROR(INDEX($J$5:$AVX$5, _xlfn.AGGREGATE(15,6, COLUMN(J214:AVX214)-COLUMN(J214)+1 / (J214:AVX214="T"), F214)), "")</f>
        <v/>
      </c>
      <c r="F214" s="96">
        <f>$A$2</f>
        <v>2</v>
      </c>
      <c r="G214" s="34" cm="1">
        <f t="array" ref="G214">IFERROR(INDEX($J$5:$AVW$5,_xlfn.AGGREGATE(14,6,(COLUMN($J214:$AVW214)-COLUMN($J214)+1)/($J214:$AVW214="T"),1)),"")</f>
        <v>45966</v>
      </c>
      <c r="H214" s="105">
        <f>COUNTIF($J214:$AVV214,"T")</f>
        <v>1</v>
      </c>
      <c r="I214" s="36" t="s">
        <v>10</v>
      </c>
      <c r="J214" s="32"/>
      <c r="K214" s="32"/>
      <c r="L214" s="32"/>
      <c r="M214" s="32"/>
      <c r="N214" s="32" t="s">
        <v>12</v>
      </c>
      <c r="O214" s="97"/>
      <c r="P214" s="97"/>
      <c r="Q214" s="97"/>
      <c r="R214" s="98"/>
      <c r="S214" s="97"/>
      <c r="T214" s="97"/>
      <c r="U214" s="99" t="s">
        <v>16</v>
      </c>
      <c r="V214" s="100" t="s">
        <v>13</v>
      </c>
      <c r="W214" s="97"/>
      <c r="X214" s="97"/>
      <c r="Y214" s="98"/>
      <c r="Z214" s="97"/>
      <c r="AA214" s="97"/>
      <c r="AB214" s="99" t="s">
        <v>14</v>
      </c>
      <c r="AC214" s="100" t="s">
        <v>11</v>
      </c>
      <c r="AD214" s="97"/>
      <c r="AE214" s="97"/>
      <c r="AF214" s="98"/>
      <c r="AG214" s="97"/>
      <c r="AH214" s="99" t="s">
        <v>15</v>
      </c>
      <c r="AI214" s="97"/>
      <c r="AJ214" s="26"/>
      <c r="AK214" s="25">
        <v>17</v>
      </c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  <c r="AW214" s="25"/>
      <c r="AX214" s="30"/>
      <c r="AY214" s="25"/>
      <c r="AZ214" s="25"/>
      <c r="BA214" s="25"/>
      <c r="BB214" s="25"/>
      <c r="BC214" s="25"/>
      <c r="BD214" s="25"/>
      <c r="BE214" s="25"/>
      <c r="BF214" s="25"/>
      <c r="BG214" s="25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  <c r="CO214" s="32"/>
      <c r="CP214" s="32"/>
    </row>
    <row r="215" spans="1:94" x14ac:dyDescent="0.25">
      <c r="A215" s="25" t="s">
        <v>56</v>
      </c>
      <c r="B215" s="25" t="s">
        <v>273</v>
      </c>
      <c r="C215" s="25" t="s">
        <v>418</v>
      </c>
      <c r="D215" s="25">
        <v>60</v>
      </c>
      <c r="E215" s="34" t="str" cm="1">
        <f t="array" ref="E215">IFERROR(INDEX($J$5:$AVX$5, _xlfn.AGGREGATE(15,6, COLUMN(J215:AVX215)-COLUMN(J215)+1 / (J215:AVX215="T"), F215)), "")</f>
        <v/>
      </c>
      <c r="F215" s="96">
        <f>$A$2</f>
        <v>2</v>
      </c>
      <c r="G215" s="34" cm="1">
        <f t="array" ref="G215">IFERROR(INDEX($J$5:$AVW$5,_xlfn.AGGREGATE(14,6,(COLUMN($J215:$AVW215)-COLUMN($J215)+1)/($J215:$AVW215="T"),1)),"")</f>
        <v>45966</v>
      </c>
      <c r="H215" s="105">
        <f>COUNTIF($J215:$AVV215,"T")</f>
        <v>1</v>
      </c>
      <c r="I215" s="36" t="s">
        <v>10</v>
      </c>
      <c r="J215" s="32"/>
      <c r="K215" s="32"/>
      <c r="L215" s="32"/>
      <c r="M215" s="32"/>
      <c r="N215" s="32" t="s">
        <v>12</v>
      </c>
      <c r="O215" s="97"/>
      <c r="P215" s="97"/>
      <c r="Q215" s="97"/>
      <c r="R215" s="98"/>
      <c r="S215" s="97"/>
      <c r="T215" s="97"/>
      <c r="U215" s="99" t="s">
        <v>16</v>
      </c>
      <c r="V215" s="100" t="s">
        <v>13</v>
      </c>
      <c r="W215" s="97"/>
      <c r="X215" s="97"/>
      <c r="Y215" s="98"/>
      <c r="Z215" s="97"/>
      <c r="AA215" s="97"/>
      <c r="AB215" s="99" t="s">
        <v>14</v>
      </c>
      <c r="AC215" s="100" t="s">
        <v>11</v>
      </c>
      <c r="AD215" s="97"/>
      <c r="AE215" s="97"/>
      <c r="AF215" s="98"/>
      <c r="AG215" s="97"/>
      <c r="AH215" s="99" t="s">
        <v>15</v>
      </c>
      <c r="AI215" s="97"/>
      <c r="AJ215" s="26"/>
      <c r="AK215" s="25">
        <v>17</v>
      </c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  <c r="AW215" s="25"/>
      <c r="AX215" s="30"/>
      <c r="AY215" s="25"/>
      <c r="AZ215" s="25"/>
      <c r="BA215" s="25"/>
      <c r="BB215" s="25"/>
      <c r="BC215" s="25"/>
      <c r="BD215" s="25"/>
      <c r="BE215" s="25"/>
      <c r="BF215" s="25"/>
      <c r="BG215" s="25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  <c r="CO215" s="32"/>
      <c r="CP215" s="32"/>
    </row>
    <row r="216" spans="1:94" x14ac:dyDescent="0.25">
      <c r="A216" s="25" t="s">
        <v>56</v>
      </c>
      <c r="B216" s="25" t="s">
        <v>274</v>
      </c>
      <c r="C216" s="25" t="s">
        <v>419</v>
      </c>
      <c r="D216" s="25">
        <v>61</v>
      </c>
      <c r="E216" s="34" t="str" cm="1">
        <f t="array" ref="E216">IFERROR(INDEX($J$5:$AVX$5, _xlfn.AGGREGATE(15,6, COLUMN(J216:AVX216)-COLUMN(J216)+1 / (J216:AVX216="T"), F216)), "")</f>
        <v/>
      </c>
      <c r="F216" s="96">
        <f>$A$2</f>
        <v>2</v>
      </c>
      <c r="G216" s="34" cm="1">
        <f t="array" ref="G216">IFERROR(INDEX($J$5:$AVW$5,_xlfn.AGGREGATE(14,6,(COLUMN($J216:$AVW216)-COLUMN($J216)+1)/($J216:$AVW216="T"),1)),"")</f>
        <v>45966</v>
      </c>
      <c r="H216" s="105">
        <f>COUNTIF($J216:$AVV216,"T")</f>
        <v>1</v>
      </c>
      <c r="I216" s="36" t="s">
        <v>10</v>
      </c>
      <c r="J216" s="32"/>
      <c r="K216" s="32"/>
      <c r="L216" s="32"/>
      <c r="M216" s="32"/>
      <c r="N216" s="32" t="s">
        <v>12</v>
      </c>
      <c r="O216" s="97"/>
      <c r="P216" s="97"/>
      <c r="Q216" s="97"/>
      <c r="R216" s="98"/>
      <c r="S216" s="97"/>
      <c r="T216" s="97"/>
      <c r="U216" s="99" t="s">
        <v>16</v>
      </c>
      <c r="V216" s="100" t="s">
        <v>13</v>
      </c>
      <c r="W216" s="97"/>
      <c r="X216" s="97"/>
      <c r="Y216" s="98"/>
      <c r="Z216" s="97"/>
      <c r="AA216" s="97"/>
      <c r="AB216" s="99" t="s">
        <v>14</v>
      </c>
      <c r="AC216" s="100" t="s">
        <v>11</v>
      </c>
      <c r="AD216" s="97"/>
      <c r="AE216" s="97"/>
      <c r="AF216" s="98"/>
      <c r="AG216" s="97"/>
      <c r="AH216" s="99" t="s">
        <v>15</v>
      </c>
      <c r="AI216" s="97"/>
      <c r="AJ216" s="26"/>
      <c r="AK216" s="25">
        <v>17</v>
      </c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  <c r="AW216" s="25"/>
      <c r="AX216" s="30"/>
      <c r="AY216" s="25"/>
      <c r="AZ216" s="25"/>
      <c r="BA216" s="25"/>
      <c r="BB216" s="25"/>
      <c r="BC216" s="25"/>
      <c r="BD216" s="25"/>
      <c r="BE216" s="25"/>
      <c r="BF216" s="25"/>
      <c r="BG216" s="25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  <c r="CO216" s="32"/>
      <c r="CP216" s="32"/>
    </row>
    <row r="217" spans="1:94" x14ac:dyDescent="0.25">
      <c r="A217" s="25" t="s">
        <v>56</v>
      </c>
      <c r="B217" s="25" t="s">
        <v>275</v>
      </c>
      <c r="C217" s="25" t="s">
        <v>420</v>
      </c>
      <c r="D217" s="25">
        <v>62</v>
      </c>
      <c r="E217" s="34" t="str" cm="1">
        <f t="array" ref="E217">IFERROR(INDEX($J$5:$AVX$5, _xlfn.AGGREGATE(15,6, COLUMN(J217:AVX217)-COLUMN(J217)+1 / (J217:AVX217="T"), F217)), "")</f>
        <v/>
      </c>
      <c r="F217" s="96">
        <f>$A$2</f>
        <v>2</v>
      </c>
      <c r="G217" s="34" cm="1">
        <f t="array" ref="G217">IFERROR(INDEX($J$5:$AVW$5,_xlfn.AGGREGATE(14,6,(COLUMN($J217:$AVW217)-COLUMN($J217)+1)/($J217:$AVW217="T"),1)),"")</f>
        <v>45966</v>
      </c>
      <c r="H217" s="105">
        <f>COUNTIF($J217:$AVV217,"T")</f>
        <v>1</v>
      </c>
      <c r="I217" s="36" t="s">
        <v>10</v>
      </c>
      <c r="J217" s="32"/>
      <c r="K217" s="32"/>
      <c r="L217" s="32"/>
      <c r="M217" s="32"/>
      <c r="N217" s="32" t="s">
        <v>12</v>
      </c>
      <c r="O217" s="97"/>
      <c r="P217" s="97"/>
      <c r="Q217" s="97"/>
      <c r="R217" s="98"/>
      <c r="S217" s="97"/>
      <c r="T217" s="97"/>
      <c r="U217" s="99" t="s">
        <v>16</v>
      </c>
      <c r="V217" s="100" t="s">
        <v>13</v>
      </c>
      <c r="W217" s="97"/>
      <c r="X217" s="97"/>
      <c r="Y217" s="98"/>
      <c r="Z217" s="97"/>
      <c r="AA217" s="97"/>
      <c r="AB217" s="99" t="s">
        <v>14</v>
      </c>
      <c r="AC217" s="100" t="s">
        <v>11</v>
      </c>
      <c r="AD217" s="97"/>
      <c r="AE217" s="97"/>
      <c r="AF217" s="98"/>
      <c r="AG217" s="97"/>
      <c r="AH217" s="99" t="s">
        <v>15</v>
      </c>
      <c r="AI217" s="97"/>
      <c r="AJ217" s="26"/>
      <c r="AK217" s="25">
        <v>17</v>
      </c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  <c r="AW217" s="25"/>
      <c r="AX217" s="30"/>
      <c r="AY217" s="25"/>
      <c r="AZ217" s="25"/>
      <c r="BA217" s="25"/>
      <c r="BB217" s="25"/>
      <c r="BC217" s="25"/>
      <c r="BD217" s="25"/>
      <c r="BE217" s="25"/>
      <c r="BF217" s="25"/>
      <c r="BG217" s="25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  <c r="CO217" s="32"/>
      <c r="CP217" s="32"/>
    </row>
    <row r="218" spans="1:94" x14ac:dyDescent="0.25">
      <c r="A218" s="25" t="s">
        <v>56</v>
      </c>
      <c r="B218" s="25" t="s">
        <v>320</v>
      </c>
      <c r="C218" s="25" t="s">
        <v>465</v>
      </c>
      <c r="D218" s="25">
        <v>107</v>
      </c>
      <c r="E218" s="34" t="str" cm="1">
        <f t="array" ref="E218">IFERROR(INDEX($J$5:$AVX$5, _xlfn.AGGREGATE(15,6, COLUMN(J218:AVX218)-COLUMN(J218)+1 / (J218:AVX218="T"), F218)), "")</f>
        <v/>
      </c>
      <c r="F218" s="96">
        <f>$A$2</f>
        <v>2</v>
      </c>
      <c r="G218" s="34" cm="1">
        <f t="array" ref="G218">IFERROR(INDEX($J$5:$AVW$5,_xlfn.AGGREGATE(14,6,(COLUMN($J218:$AVW218)-COLUMN($J218)+1)/($J218:$AVW218="T"),1)),"")</f>
        <v>45965</v>
      </c>
      <c r="H218" s="105">
        <f>COUNTIF($J218:$AVV218,"T")</f>
        <v>1</v>
      </c>
      <c r="I218" s="36" t="s">
        <v>10</v>
      </c>
      <c r="J218" s="32"/>
      <c r="K218" s="32"/>
      <c r="L218" s="32"/>
      <c r="M218" s="32" t="s">
        <v>12</v>
      </c>
      <c r="N218" s="97"/>
      <c r="O218" s="97"/>
      <c r="P218" s="97"/>
      <c r="Q218" s="98"/>
      <c r="R218" s="97"/>
      <c r="S218" s="97"/>
      <c r="T218" s="99" t="s">
        <v>16</v>
      </c>
      <c r="U218" s="100" t="s">
        <v>13</v>
      </c>
      <c r="V218" s="97"/>
      <c r="W218" s="97"/>
      <c r="X218" s="98"/>
      <c r="Y218" s="97"/>
      <c r="Z218" s="97"/>
      <c r="AA218" s="99" t="s">
        <v>14</v>
      </c>
      <c r="AB218" s="100" t="s">
        <v>11</v>
      </c>
      <c r="AC218" s="97"/>
      <c r="AD218" s="97"/>
      <c r="AE218" s="98"/>
      <c r="AF218" s="97"/>
      <c r="AG218" s="99" t="s">
        <v>15</v>
      </c>
      <c r="AH218" s="97"/>
      <c r="AI218" s="97"/>
      <c r="AJ218" s="32">
        <v>17</v>
      </c>
      <c r="AK218" s="25"/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Y218" s="30"/>
      <c r="AZ218" s="25"/>
      <c r="BA218" s="25"/>
      <c r="BB218" s="25"/>
      <c r="BC218" s="25"/>
      <c r="BD218" s="25"/>
      <c r="BE218" s="25"/>
      <c r="BF218" s="25"/>
      <c r="BG218" s="25"/>
      <c r="BH218" s="25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  <c r="CO218" s="32"/>
      <c r="CP218" s="32"/>
    </row>
    <row r="219" spans="1:94" x14ac:dyDescent="0.25">
      <c r="A219" s="25" t="s">
        <v>56</v>
      </c>
      <c r="B219" s="25" t="s">
        <v>321</v>
      </c>
      <c r="C219" s="25" t="s">
        <v>466</v>
      </c>
      <c r="D219" s="25">
        <v>108</v>
      </c>
      <c r="E219" s="34" t="str" cm="1">
        <f t="array" ref="E219">IFERROR(INDEX($J$5:$AVX$5, _xlfn.AGGREGATE(15,6, COLUMN(J219:AVX219)-COLUMN(J219)+1 / (J219:AVX219="T"), F219)), "")</f>
        <v/>
      </c>
      <c r="F219" s="96">
        <f>$A$2</f>
        <v>2</v>
      </c>
      <c r="G219" s="34" cm="1">
        <f t="array" ref="G219">IFERROR(INDEX($J$5:$AVW$5,_xlfn.AGGREGATE(14,6,(COLUMN($J219:$AVW219)-COLUMN($J219)+1)/($J219:$AVW219="T"),1)),"")</f>
        <v>45965</v>
      </c>
      <c r="H219" s="105">
        <f>COUNTIF($J219:$AVV219,"T")</f>
        <v>1</v>
      </c>
      <c r="I219" s="36" t="s">
        <v>10</v>
      </c>
      <c r="J219" s="32"/>
      <c r="K219" s="32"/>
      <c r="L219" s="32"/>
      <c r="M219" s="32" t="s">
        <v>12</v>
      </c>
      <c r="N219" s="97"/>
      <c r="O219" s="97"/>
      <c r="P219" s="97"/>
      <c r="Q219" s="98"/>
      <c r="R219" s="97"/>
      <c r="S219" s="97"/>
      <c r="T219" s="99" t="s">
        <v>16</v>
      </c>
      <c r="U219" s="100" t="s">
        <v>13</v>
      </c>
      <c r="V219" s="97"/>
      <c r="W219" s="97"/>
      <c r="X219" s="98"/>
      <c r="Y219" s="97"/>
      <c r="Z219" s="97"/>
      <c r="AA219" s="99" t="s">
        <v>14</v>
      </c>
      <c r="AB219" s="100" t="s">
        <v>11</v>
      </c>
      <c r="AC219" s="97"/>
      <c r="AD219" s="97"/>
      <c r="AE219" s="98"/>
      <c r="AF219" s="97"/>
      <c r="AG219" s="99" t="s">
        <v>15</v>
      </c>
      <c r="AH219" s="97"/>
      <c r="AI219" s="97"/>
      <c r="AJ219" s="32">
        <v>17</v>
      </c>
      <c r="AK219" s="25"/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Y219" s="30"/>
      <c r="AZ219" s="25"/>
      <c r="BA219" s="25"/>
      <c r="BB219" s="25"/>
      <c r="BC219" s="25"/>
      <c r="BD219" s="25"/>
      <c r="BE219" s="25"/>
      <c r="BF219" s="25"/>
      <c r="BG219" s="25"/>
      <c r="BH219" s="25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  <c r="CO219" s="32"/>
      <c r="CP219" s="32"/>
    </row>
    <row r="220" spans="1:94" x14ac:dyDescent="0.25">
      <c r="A220" s="25" t="s">
        <v>56</v>
      </c>
      <c r="B220" s="25" t="s">
        <v>322</v>
      </c>
      <c r="C220" s="25" t="s">
        <v>467</v>
      </c>
      <c r="D220" s="25">
        <v>109</v>
      </c>
      <c r="E220" s="34" t="str" cm="1">
        <f t="array" ref="E220">IFERROR(INDEX($J$5:$AVX$5, _xlfn.AGGREGATE(15,6, COLUMN(J220:AVX220)-COLUMN(J220)+1 / (J220:AVX220="T"), F220)), "")</f>
        <v/>
      </c>
      <c r="F220" s="96">
        <f>$A$2</f>
        <v>2</v>
      </c>
      <c r="G220" s="34" cm="1">
        <f t="array" ref="G220">IFERROR(INDEX($J$5:$AVW$5,_xlfn.AGGREGATE(14,6,(COLUMN($J220:$AVW220)-COLUMN($J220)+1)/($J220:$AVW220="T"),1)),"")</f>
        <v>45965</v>
      </c>
      <c r="H220" s="105">
        <f>COUNTIF($J220:$AVV220,"T")</f>
        <v>1</v>
      </c>
      <c r="I220" s="36" t="s">
        <v>10</v>
      </c>
      <c r="J220" s="32"/>
      <c r="K220" s="32"/>
      <c r="L220" s="32"/>
      <c r="M220" s="32" t="s">
        <v>12</v>
      </c>
      <c r="N220" s="97"/>
      <c r="O220" s="97"/>
      <c r="P220" s="97"/>
      <c r="Q220" s="98"/>
      <c r="R220" s="97"/>
      <c r="S220" s="97"/>
      <c r="T220" s="99" t="s">
        <v>16</v>
      </c>
      <c r="U220" s="100" t="s">
        <v>13</v>
      </c>
      <c r="V220" s="97"/>
      <c r="W220" s="97"/>
      <c r="X220" s="98"/>
      <c r="Y220" s="97"/>
      <c r="Z220" s="97"/>
      <c r="AA220" s="99" t="s">
        <v>14</v>
      </c>
      <c r="AB220" s="100" t="s">
        <v>11</v>
      </c>
      <c r="AC220" s="97"/>
      <c r="AD220" s="97"/>
      <c r="AE220" s="98"/>
      <c r="AF220" s="97"/>
      <c r="AG220" s="99" t="s">
        <v>15</v>
      </c>
      <c r="AH220" s="97"/>
      <c r="AI220" s="97"/>
      <c r="AJ220" s="32">
        <v>17</v>
      </c>
      <c r="AK220" s="25"/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Y220" s="30"/>
      <c r="AZ220" s="25"/>
      <c r="BA220" s="25"/>
      <c r="BB220" s="25"/>
      <c r="BC220" s="25"/>
      <c r="BD220" s="25"/>
      <c r="BE220" s="25"/>
      <c r="BF220" s="25"/>
      <c r="BG220" s="25"/>
      <c r="BH220" s="25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  <c r="CO220" s="32"/>
      <c r="CP220" s="32"/>
    </row>
    <row r="221" spans="1:94" x14ac:dyDescent="0.25">
      <c r="A221" s="25" t="s">
        <v>56</v>
      </c>
      <c r="B221" s="25" t="s">
        <v>323</v>
      </c>
      <c r="C221" s="25" t="s">
        <v>468</v>
      </c>
      <c r="D221" s="25">
        <v>110</v>
      </c>
      <c r="E221" s="34" t="str" cm="1">
        <f t="array" ref="E221">IFERROR(INDEX($J$5:$AVX$5, _xlfn.AGGREGATE(15,6, COLUMN(J221:AVX221)-COLUMN(J221)+1 / (J221:AVX221="T"), F221)), "")</f>
        <v/>
      </c>
      <c r="F221" s="96">
        <f>$A$2</f>
        <v>2</v>
      </c>
      <c r="G221" s="34" cm="1">
        <f t="array" ref="G221">IFERROR(INDEX($J$5:$AVW$5,_xlfn.AGGREGATE(14,6,(COLUMN($J221:$AVW221)-COLUMN($J221)+1)/($J221:$AVW221="T"),1)),"")</f>
        <v>45965</v>
      </c>
      <c r="H221" s="105">
        <f>COUNTIF($J221:$AVV221,"T")</f>
        <v>1</v>
      </c>
      <c r="I221" s="36" t="s">
        <v>10</v>
      </c>
      <c r="J221" s="32"/>
      <c r="K221" s="32"/>
      <c r="L221" s="32"/>
      <c r="M221" s="32" t="s">
        <v>12</v>
      </c>
      <c r="N221" s="97"/>
      <c r="O221" s="97"/>
      <c r="P221" s="97"/>
      <c r="Q221" s="98"/>
      <c r="R221" s="97"/>
      <c r="S221" s="97"/>
      <c r="T221" s="99" t="s">
        <v>16</v>
      </c>
      <c r="U221" s="100" t="s">
        <v>13</v>
      </c>
      <c r="V221" s="97"/>
      <c r="W221" s="97"/>
      <c r="X221" s="98"/>
      <c r="Y221" s="97"/>
      <c r="Z221" s="97"/>
      <c r="AA221" s="99" t="s">
        <v>14</v>
      </c>
      <c r="AB221" s="100" t="s">
        <v>11</v>
      </c>
      <c r="AC221" s="97"/>
      <c r="AD221" s="97"/>
      <c r="AE221" s="98"/>
      <c r="AF221" s="97"/>
      <c r="AG221" s="99" t="s">
        <v>15</v>
      </c>
      <c r="AH221" s="97"/>
      <c r="AI221" s="97"/>
      <c r="AJ221" s="32">
        <v>17</v>
      </c>
      <c r="AK221" s="25"/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Y221" s="30"/>
      <c r="AZ221" s="25"/>
      <c r="BA221" s="25"/>
      <c r="BB221" s="25"/>
      <c r="BC221" s="25"/>
      <c r="BD221" s="25"/>
      <c r="BE221" s="25"/>
      <c r="BF221" s="25"/>
      <c r="BG221" s="25"/>
      <c r="BH221" s="25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  <c r="CO221" s="32"/>
      <c r="CP221" s="32"/>
    </row>
    <row r="222" spans="1:94" x14ac:dyDescent="0.25">
      <c r="A222" s="25" t="s">
        <v>56</v>
      </c>
      <c r="B222" s="25" t="s">
        <v>324</v>
      </c>
      <c r="C222" s="25" t="s">
        <v>469</v>
      </c>
      <c r="D222" s="25">
        <v>111</v>
      </c>
      <c r="E222" s="34" t="str" cm="1">
        <f t="array" ref="E222">IFERROR(INDEX($J$5:$AVX$5, _xlfn.AGGREGATE(15,6, COLUMN(J222:AVX222)-COLUMN(J222)+1 / (J222:AVX222="T"), F222)), "")</f>
        <v/>
      </c>
      <c r="F222" s="96">
        <f>$A$2</f>
        <v>2</v>
      </c>
      <c r="G222" s="34" cm="1">
        <f t="array" ref="G222">IFERROR(INDEX($J$5:$AVW$5,_xlfn.AGGREGATE(14,6,(COLUMN($J222:$AVW222)-COLUMN($J222)+1)/($J222:$AVW222="T"),1)),"")</f>
        <v>45965</v>
      </c>
      <c r="H222" s="105">
        <f>COUNTIF($J222:$AVV222,"T")</f>
        <v>1</v>
      </c>
      <c r="I222" s="36" t="s">
        <v>10</v>
      </c>
      <c r="J222" s="32"/>
      <c r="K222" s="32"/>
      <c r="L222" s="32"/>
      <c r="M222" s="32" t="s">
        <v>12</v>
      </c>
      <c r="N222" s="97"/>
      <c r="O222" s="97"/>
      <c r="P222" s="97"/>
      <c r="Q222" s="98"/>
      <c r="R222" s="97"/>
      <c r="S222" s="97"/>
      <c r="T222" s="99" t="s">
        <v>16</v>
      </c>
      <c r="U222" s="100" t="s">
        <v>13</v>
      </c>
      <c r="V222" s="97"/>
      <c r="W222" s="97"/>
      <c r="X222" s="98"/>
      <c r="Y222" s="97"/>
      <c r="Z222" s="97"/>
      <c r="AA222" s="99" t="s">
        <v>14</v>
      </c>
      <c r="AB222" s="100" t="s">
        <v>11</v>
      </c>
      <c r="AC222" s="97"/>
      <c r="AD222" s="97"/>
      <c r="AE222" s="98"/>
      <c r="AF222" s="97"/>
      <c r="AG222" s="99" t="s">
        <v>15</v>
      </c>
      <c r="AH222" s="97"/>
      <c r="AI222" s="97"/>
      <c r="AJ222" s="32">
        <v>17</v>
      </c>
      <c r="AK222" s="25"/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Y222" s="30"/>
      <c r="AZ222" s="25"/>
      <c r="BA222" s="25"/>
      <c r="BB222" s="25"/>
      <c r="BC222" s="25"/>
      <c r="BD222" s="25"/>
      <c r="BE222" s="25"/>
      <c r="BF222" s="25"/>
      <c r="BG222" s="25"/>
      <c r="BH222" s="25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  <c r="CO222" s="32"/>
      <c r="CP222" s="32"/>
    </row>
    <row r="223" spans="1:94" x14ac:dyDescent="0.25">
      <c r="A223" s="25" t="s">
        <v>56</v>
      </c>
      <c r="B223" s="25" t="s">
        <v>325</v>
      </c>
      <c r="C223" s="25" t="s">
        <v>470</v>
      </c>
      <c r="D223" s="25">
        <v>112</v>
      </c>
      <c r="E223" s="34" t="str" cm="1">
        <f t="array" ref="E223">IFERROR(INDEX($J$5:$AVX$5, _xlfn.AGGREGATE(15,6, COLUMN(J223:AVX223)-COLUMN(J223)+1 / (J223:AVX223="T"), F223)), "")</f>
        <v/>
      </c>
      <c r="F223" s="96">
        <f>$A$2</f>
        <v>2</v>
      </c>
      <c r="G223" s="34" cm="1">
        <f t="array" ref="G223">IFERROR(INDEX($J$5:$AVW$5,_xlfn.AGGREGATE(14,6,(COLUMN($J223:$AVW223)-COLUMN($J223)+1)/($J223:$AVW223="T"),1)),"")</f>
        <v>45965</v>
      </c>
      <c r="H223" s="105">
        <f>COUNTIF($J223:$AVV223,"T")</f>
        <v>1</v>
      </c>
      <c r="I223" s="36" t="s">
        <v>10</v>
      </c>
      <c r="J223" s="32"/>
      <c r="K223" s="32"/>
      <c r="L223" s="32"/>
      <c r="M223" s="32" t="s">
        <v>12</v>
      </c>
      <c r="N223" s="97"/>
      <c r="O223" s="97"/>
      <c r="P223" s="97"/>
      <c r="Q223" s="98"/>
      <c r="R223" s="97"/>
      <c r="S223" s="97"/>
      <c r="T223" s="99" t="s">
        <v>16</v>
      </c>
      <c r="U223" s="100" t="s">
        <v>13</v>
      </c>
      <c r="V223" s="97"/>
      <c r="W223" s="97"/>
      <c r="X223" s="98"/>
      <c r="Y223" s="97"/>
      <c r="Z223" s="97"/>
      <c r="AA223" s="99" t="s">
        <v>14</v>
      </c>
      <c r="AB223" s="100" t="s">
        <v>11</v>
      </c>
      <c r="AC223" s="97"/>
      <c r="AD223" s="97"/>
      <c r="AE223" s="98"/>
      <c r="AF223" s="97"/>
      <c r="AG223" s="99" t="s">
        <v>15</v>
      </c>
      <c r="AH223" s="97"/>
      <c r="AI223" s="97"/>
      <c r="AJ223" s="32">
        <v>17</v>
      </c>
      <c r="AK223" s="25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30"/>
      <c r="AZ223" s="25"/>
      <c r="BA223" s="25"/>
      <c r="BB223" s="25"/>
      <c r="BC223" s="25"/>
      <c r="BD223" s="25"/>
      <c r="BE223" s="25"/>
      <c r="BF223" s="25"/>
      <c r="BG223" s="25"/>
      <c r="BH223" s="25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  <c r="CO223" s="32"/>
      <c r="CP223" s="32"/>
    </row>
    <row r="224" spans="1:94" x14ac:dyDescent="0.25">
      <c r="A224" s="25" t="s">
        <v>56</v>
      </c>
      <c r="B224" s="25" t="s">
        <v>326</v>
      </c>
      <c r="C224" s="25" t="s">
        <v>471</v>
      </c>
      <c r="D224" s="25">
        <v>113</v>
      </c>
      <c r="E224" s="34" t="str" cm="1">
        <f t="array" ref="E224">IFERROR(INDEX($J$5:$AVX$5, _xlfn.AGGREGATE(15,6, COLUMN(J224:AVX224)-COLUMN(J224)+1 / (J224:AVX224="T"), F224)), "")</f>
        <v/>
      </c>
      <c r="F224" s="96">
        <f>$A$2</f>
        <v>2</v>
      </c>
      <c r="G224" s="34" cm="1">
        <f t="array" ref="G224">IFERROR(INDEX($J$5:$AVW$5,_xlfn.AGGREGATE(14,6,(COLUMN($J224:$AVW224)-COLUMN($J224)+1)/($J224:$AVW224="T"),1)),"")</f>
        <v>45965</v>
      </c>
      <c r="H224" s="105">
        <f>COUNTIF($J224:$AVV224,"T")</f>
        <v>1</v>
      </c>
      <c r="I224" s="36" t="s">
        <v>10</v>
      </c>
      <c r="J224" s="32"/>
      <c r="K224" s="32"/>
      <c r="L224" s="32"/>
      <c r="M224" s="32" t="s">
        <v>12</v>
      </c>
      <c r="N224" s="97"/>
      <c r="O224" s="97"/>
      <c r="P224" s="97"/>
      <c r="Q224" s="98"/>
      <c r="R224" s="97"/>
      <c r="S224" s="97"/>
      <c r="T224" s="99" t="s">
        <v>16</v>
      </c>
      <c r="U224" s="100" t="s">
        <v>13</v>
      </c>
      <c r="V224" s="97"/>
      <c r="W224" s="97"/>
      <c r="X224" s="98"/>
      <c r="Y224" s="97"/>
      <c r="Z224" s="97"/>
      <c r="AA224" s="99" t="s">
        <v>14</v>
      </c>
      <c r="AB224" s="100" t="s">
        <v>11</v>
      </c>
      <c r="AC224" s="97"/>
      <c r="AD224" s="97"/>
      <c r="AE224" s="98"/>
      <c r="AF224" s="97"/>
      <c r="AG224" s="99" t="s">
        <v>15</v>
      </c>
      <c r="AH224" s="97"/>
      <c r="AI224" s="97"/>
      <c r="AJ224" s="32">
        <v>17</v>
      </c>
      <c r="AK224" s="25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Y224" s="30"/>
      <c r="AZ224" s="25"/>
      <c r="BA224" s="25"/>
      <c r="BB224" s="25"/>
      <c r="BC224" s="25"/>
      <c r="BD224" s="25"/>
      <c r="BE224" s="25"/>
      <c r="BF224" s="25"/>
      <c r="BG224" s="25"/>
      <c r="BH224" s="25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  <c r="CO224" s="32"/>
      <c r="CP224" s="32"/>
    </row>
    <row r="225" spans="1:94" x14ac:dyDescent="0.25">
      <c r="A225" s="25" t="s">
        <v>56</v>
      </c>
      <c r="B225" s="25" t="s">
        <v>306</v>
      </c>
      <c r="C225" s="25" t="s">
        <v>451</v>
      </c>
      <c r="D225" s="25">
        <v>93</v>
      </c>
      <c r="E225" s="34" t="str" cm="1">
        <f t="array" ref="E225">IFERROR(INDEX($J$5:$AVX$5, _xlfn.AGGREGATE(15,6, COLUMN(J225:AVX225)-COLUMN(J225)+1 / (J225:AVX225="T"), F225)), "")</f>
        <v/>
      </c>
      <c r="F225" s="96">
        <f>$A$2</f>
        <v>2</v>
      </c>
      <c r="G225" s="34" cm="1">
        <f t="array" ref="G225">IFERROR(INDEX($J$5:$AVW$5,_xlfn.AGGREGATE(14,6,(COLUMN($J225:$AVW225)-COLUMN($J225)+1)/($J225:$AVW225="T"),1)),"")</f>
        <v>45964</v>
      </c>
      <c r="H225" s="105">
        <f>COUNTIF($J225:$AVV225,"T")</f>
        <v>1</v>
      </c>
      <c r="I225" s="36" t="s">
        <v>10</v>
      </c>
      <c r="J225" s="32"/>
      <c r="K225" s="32"/>
      <c r="L225" s="32" t="s">
        <v>12</v>
      </c>
      <c r="M225" s="97"/>
      <c r="N225" s="97"/>
      <c r="O225" s="97"/>
      <c r="P225" s="98"/>
      <c r="Q225" s="97"/>
      <c r="R225" s="97"/>
      <c r="S225" s="99" t="s">
        <v>16</v>
      </c>
      <c r="T225" s="100" t="s">
        <v>13</v>
      </c>
      <c r="U225" s="97"/>
      <c r="V225" s="97"/>
      <c r="W225" s="98"/>
      <c r="X225" s="97"/>
      <c r="Y225" s="97"/>
      <c r="Z225" s="99" t="s">
        <v>14</v>
      </c>
      <c r="AA225" s="100" t="s">
        <v>11</v>
      </c>
      <c r="AB225" s="97"/>
      <c r="AC225" s="97"/>
      <c r="AD225" s="98"/>
      <c r="AE225" s="97"/>
      <c r="AF225" s="99" t="s">
        <v>15</v>
      </c>
      <c r="AG225" s="97"/>
      <c r="AH225" s="97"/>
      <c r="AI225" s="32">
        <v>17</v>
      </c>
      <c r="AJ225" s="32"/>
      <c r="AK225" s="32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Y225" s="25"/>
      <c r="AZ225" s="30"/>
      <c r="BA225" s="25"/>
      <c r="BB225" s="25"/>
      <c r="BC225" s="25"/>
      <c r="BD225" s="25"/>
      <c r="BE225" s="25"/>
      <c r="BF225" s="25"/>
      <c r="BG225" s="25"/>
      <c r="BH225" s="25"/>
      <c r="BI225" s="25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  <c r="CO225" s="32"/>
      <c r="CP225" s="32"/>
    </row>
    <row r="226" spans="1:94" x14ac:dyDescent="0.25">
      <c r="A226" s="25" t="s">
        <v>56</v>
      </c>
      <c r="B226" s="25" t="s">
        <v>307</v>
      </c>
      <c r="C226" s="25" t="s">
        <v>452</v>
      </c>
      <c r="D226" s="25">
        <v>94</v>
      </c>
      <c r="E226" s="34" t="str" cm="1">
        <f t="array" ref="E226">IFERROR(INDEX($J$5:$AVX$5, _xlfn.AGGREGATE(15,6, COLUMN(J226:AVX226)-COLUMN(J226)+1 / (J226:AVX226="T"), F226)), "")</f>
        <v/>
      </c>
      <c r="F226" s="96">
        <f>$A$2</f>
        <v>2</v>
      </c>
      <c r="G226" s="34" cm="1">
        <f t="array" ref="G226">IFERROR(INDEX($J$5:$AVW$5,_xlfn.AGGREGATE(14,6,(COLUMN($J226:$AVW226)-COLUMN($J226)+1)/($J226:$AVW226="T"),1)),"")</f>
        <v>45964</v>
      </c>
      <c r="H226" s="105">
        <f>COUNTIF($J226:$AVV226,"T")</f>
        <v>1</v>
      </c>
      <c r="I226" s="36" t="s">
        <v>10</v>
      </c>
      <c r="J226" s="32"/>
      <c r="K226" s="32"/>
      <c r="L226" s="32" t="s">
        <v>12</v>
      </c>
      <c r="M226" s="97"/>
      <c r="N226" s="97"/>
      <c r="O226" s="97"/>
      <c r="P226" s="98"/>
      <c r="Q226" s="97"/>
      <c r="R226" s="97"/>
      <c r="S226" s="99" t="s">
        <v>16</v>
      </c>
      <c r="T226" s="100" t="s">
        <v>13</v>
      </c>
      <c r="U226" s="97"/>
      <c r="V226" s="97"/>
      <c r="W226" s="98"/>
      <c r="X226" s="97"/>
      <c r="Y226" s="97"/>
      <c r="Z226" s="99" t="s">
        <v>14</v>
      </c>
      <c r="AA226" s="100" t="s">
        <v>11</v>
      </c>
      <c r="AB226" s="97"/>
      <c r="AC226" s="97"/>
      <c r="AD226" s="98"/>
      <c r="AE226" s="97"/>
      <c r="AF226" s="99" t="s">
        <v>15</v>
      </c>
      <c r="AG226" s="97"/>
      <c r="AH226" s="97"/>
      <c r="AI226" s="32">
        <v>17</v>
      </c>
      <c r="AJ226" s="32"/>
      <c r="AK226" s="32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Y226" s="25"/>
      <c r="AZ226" s="30"/>
      <c r="BA226" s="25"/>
      <c r="BB226" s="25"/>
      <c r="BC226" s="25"/>
      <c r="BD226" s="25"/>
      <c r="BE226" s="25"/>
      <c r="BF226" s="25"/>
      <c r="BG226" s="25"/>
      <c r="BH226" s="25"/>
      <c r="BI226" s="25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  <c r="CO226" s="32"/>
      <c r="CP226" s="32"/>
    </row>
    <row r="227" spans="1:94" x14ac:dyDescent="0.25">
      <c r="A227" s="25" t="s">
        <v>56</v>
      </c>
      <c r="B227" s="25" t="s">
        <v>308</v>
      </c>
      <c r="C227" s="25" t="s">
        <v>453</v>
      </c>
      <c r="D227" s="25">
        <v>95</v>
      </c>
      <c r="E227" s="34" t="str" cm="1">
        <f t="array" ref="E227">IFERROR(INDEX($J$5:$AVX$5, _xlfn.AGGREGATE(15,6, COLUMN(J227:AVX227)-COLUMN(J227)+1 / (J227:AVX227="T"), F227)), "")</f>
        <v/>
      </c>
      <c r="F227" s="96">
        <f>$A$2</f>
        <v>2</v>
      </c>
      <c r="G227" s="34" cm="1">
        <f t="array" ref="G227">IFERROR(INDEX($J$5:$AVW$5,_xlfn.AGGREGATE(14,6,(COLUMN($J227:$AVW227)-COLUMN($J227)+1)/($J227:$AVW227="T"),1)),"")</f>
        <v>45964</v>
      </c>
      <c r="H227" s="105">
        <f>COUNTIF($J227:$AVV227,"T")</f>
        <v>1</v>
      </c>
      <c r="I227" s="36" t="s">
        <v>10</v>
      </c>
      <c r="J227" s="32"/>
      <c r="K227" s="32"/>
      <c r="L227" s="32" t="s">
        <v>12</v>
      </c>
      <c r="M227" s="97"/>
      <c r="N227" s="97"/>
      <c r="O227" s="97"/>
      <c r="P227" s="98"/>
      <c r="Q227" s="97"/>
      <c r="R227" s="97"/>
      <c r="S227" s="99" t="s">
        <v>16</v>
      </c>
      <c r="T227" s="100" t="s">
        <v>13</v>
      </c>
      <c r="U227" s="97"/>
      <c r="V227" s="97"/>
      <c r="W227" s="98"/>
      <c r="X227" s="97"/>
      <c r="Y227" s="97"/>
      <c r="Z227" s="99" t="s">
        <v>14</v>
      </c>
      <c r="AA227" s="100" t="s">
        <v>11</v>
      </c>
      <c r="AB227" s="97"/>
      <c r="AC227" s="97"/>
      <c r="AD227" s="98"/>
      <c r="AE227" s="97"/>
      <c r="AF227" s="99" t="s">
        <v>15</v>
      </c>
      <c r="AG227" s="97"/>
      <c r="AH227" s="97"/>
      <c r="AI227" s="32">
        <v>17</v>
      </c>
      <c r="AJ227" s="32"/>
      <c r="AK227" s="32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Y227" s="25"/>
      <c r="AZ227" s="30"/>
      <c r="BA227" s="25"/>
      <c r="BB227" s="25"/>
      <c r="BC227" s="25"/>
      <c r="BD227" s="25"/>
      <c r="BE227" s="25"/>
      <c r="BF227" s="25"/>
      <c r="BG227" s="25"/>
      <c r="BH227" s="25"/>
      <c r="BI227" s="25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  <c r="CO227" s="32"/>
      <c r="CP227" s="32"/>
    </row>
    <row r="228" spans="1:94" x14ac:dyDescent="0.25">
      <c r="A228" s="25" t="s">
        <v>56</v>
      </c>
      <c r="B228" s="25" t="s">
        <v>309</v>
      </c>
      <c r="C228" s="25" t="s">
        <v>454</v>
      </c>
      <c r="D228" s="25">
        <v>96</v>
      </c>
      <c r="E228" s="34" t="str" cm="1">
        <f t="array" ref="E228">IFERROR(INDEX($J$5:$AVX$5, _xlfn.AGGREGATE(15,6, COLUMN(J228:AVX228)-COLUMN(J228)+1 / (J228:AVX228="T"), F228)), "")</f>
        <v/>
      </c>
      <c r="F228" s="96">
        <f>$A$2</f>
        <v>2</v>
      </c>
      <c r="G228" s="34" cm="1">
        <f t="array" ref="G228">IFERROR(INDEX($J$5:$AVW$5,_xlfn.AGGREGATE(14,6,(COLUMN($J228:$AVW228)-COLUMN($J228)+1)/($J228:$AVW228="T"),1)),"")</f>
        <v>45964</v>
      </c>
      <c r="H228" s="105">
        <f>COUNTIF($J228:$AVV228,"T")</f>
        <v>1</v>
      </c>
      <c r="I228" s="36" t="s">
        <v>10</v>
      </c>
      <c r="J228" s="32"/>
      <c r="K228" s="32"/>
      <c r="L228" s="32" t="s">
        <v>12</v>
      </c>
      <c r="M228" s="97"/>
      <c r="N228" s="97"/>
      <c r="O228" s="97"/>
      <c r="P228" s="98"/>
      <c r="Q228" s="97"/>
      <c r="R228" s="97"/>
      <c r="S228" s="99" t="s">
        <v>16</v>
      </c>
      <c r="T228" s="100" t="s">
        <v>13</v>
      </c>
      <c r="U228" s="97"/>
      <c r="V228" s="97"/>
      <c r="W228" s="98"/>
      <c r="X228" s="97"/>
      <c r="Y228" s="97"/>
      <c r="Z228" s="99" t="s">
        <v>14</v>
      </c>
      <c r="AA228" s="100" t="s">
        <v>11</v>
      </c>
      <c r="AB228" s="97"/>
      <c r="AC228" s="97"/>
      <c r="AD228" s="98"/>
      <c r="AE228" s="97"/>
      <c r="AF228" s="99" t="s">
        <v>15</v>
      </c>
      <c r="AG228" s="97"/>
      <c r="AH228" s="97"/>
      <c r="AI228" s="32">
        <v>17</v>
      </c>
      <c r="AJ228" s="32"/>
      <c r="AK228" s="32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Y228" s="25"/>
      <c r="AZ228" s="30"/>
      <c r="BA228" s="25"/>
      <c r="BB228" s="25"/>
      <c r="BC228" s="25"/>
      <c r="BD228" s="25"/>
      <c r="BE228" s="25"/>
      <c r="BF228" s="25"/>
      <c r="BG228" s="25"/>
      <c r="BH228" s="25"/>
      <c r="BI228" s="25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  <c r="CO228" s="32"/>
      <c r="CP228" s="32"/>
    </row>
    <row r="229" spans="1:94" x14ac:dyDescent="0.25">
      <c r="A229" s="25" t="s">
        <v>56</v>
      </c>
      <c r="B229" s="25" t="s">
        <v>310</v>
      </c>
      <c r="C229" s="25" t="s">
        <v>455</v>
      </c>
      <c r="D229" s="25">
        <v>97</v>
      </c>
      <c r="E229" s="34" t="str" cm="1">
        <f t="array" ref="E229">IFERROR(INDEX($J$5:$AVX$5, _xlfn.AGGREGATE(15,6, COLUMN(J229:AVX229)-COLUMN(J229)+1 / (J229:AVX229="T"), F229)), "")</f>
        <v/>
      </c>
      <c r="F229" s="96">
        <f>$A$2</f>
        <v>2</v>
      </c>
      <c r="G229" s="34" cm="1">
        <f t="array" ref="G229">IFERROR(INDEX($J$5:$AVW$5,_xlfn.AGGREGATE(14,6,(COLUMN($J229:$AVW229)-COLUMN($J229)+1)/($J229:$AVW229="T"),1)),"")</f>
        <v>45964</v>
      </c>
      <c r="H229" s="105">
        <f>COUNTIF($J229:$AVV229,"T")</f>
        <v>1</v>
      </c>
      <c r="I229" s="36" t="s">
        <v>10</v>
      </c>
      <c r="J229" s="32"/>
      <c r="K229" s="32"/>
      <c r="L229" s="32" t="s">
        <v>12</v>
      </c>
      <c r="M229" s="97"/>
      <c r="N229" s="97"/>
      <c r="O229" s="97"/>
      <c r="P229" s="98"/>
      <c r="Q229" s="97"/>
      <c r="R229" s="97"/>
      <c r="S229" s="99" t="s">
        <v>16</v>
      </c>
      <c r="T229" s="100" t="s">
        <v>13</v>
      </c>
      <c r="U229" s="97"/>
      <c r="V229" s="97"/>
      <c r="W229" s="98"/>
      <c r="X229" s="97"/>
      <c r="Y229" s="97"/>
      <c r="Z229" s="99" t="s">
        <v>14</v>
      </c>
      <c r="AA229" s="100" t="s">
        <v>11</v>
      </c>
      <c r="AB229" s="97"/>
      <c r="AC229" s="97"/>
      <c r="AD229" s="98"/>
      <c r="AE229" s="97"/>
      <c r="AF229" s="99" t="s">
        <v>15</v>
      </c>
      <c r="AG229" s="97"/>
      <c r="AH229" s="97"/>
      <c r="AI229" s="32">
        <v>17</v>
      </c>
      <c r="AJ229" s="32"/>
      <c r="AK229" s="32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Y229" s="25"/>
      <c r="AZ229" s="30"/>
      <c r="BA229" s="25"/>
      <c r="BB229" s="25"/>
      <c r="BC229" s="25"/>
      <c r="BD229" s="25"/>
      <c r="BE229" s="25"/>
      <c r="BF229" s="25"/>
      <c r="BG229" s="25"/>
      <c r="BH229" s="25"/>
      <c r="BI229" s="25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  <c r="CO229" s="32"/>
      <c r="CP229" s="32"/>
    </row>
    <row r="230" spans="1:94" x14ac:dyDescent="0.25">
      <c r="A230" s="25" t="s">
        <v>56</v>
      </c>
      <c r="B230" s="25" t="s">
        <v>311</v>
      </c>
      <c r="C230" s="25" t="s">
        <v>456</v>
      </c>
      <c r="D230" s="25">
        <v>98</v>
      </c>
      <c r="E230" s="34" t="str" cm="1">
        <f t="array" ref="E230">IFERROR(INDEX($J$5:$AVX$5, _xlfn.AGGREGATE(15,6, COLUMN(J230:AVX230)-COLUMN(J230)+1 / (J230:AVX230="T"), F230)), "")</f>
        <v/>
      </c>
      <c r="F230" s="96">
        <f>$A$2</f>
        <v>2</v>
      </c>
      <c r="G230" s="34" cm="1">
        <f t="array" ref="G230">IFERROR(INDEX($J$5:$AVW$5,_xlfn.AGGREGATE(14,6,(COLUMN($J230:$AVW230)-COLUMN($J230)+1)/($J230:$AVW230="T"),1)),"")</f>
        <v>45964</v>
      </c>
      <c r="H230" s="105">
        <f>COUNTIF($J230:$AVV230,"T")</f>
        <v>1</v>
      </c>
      <c r="I230" s="36" t="s">
        <v>10</v>
      </c>
      <c r="J230" s="32"/>
      <c r="K230" s="32"/>
      <c r="L230" s="32" t="s">
        <v>12</v>
      </c>
      <c r="M230" s="97"/>
      <c r="N230" s="97"/>
      <c r="O230" s="97"/>
      <c r="P230" s="98"/>
      <c r="Q230" s="97"/>
      <c r="R230" s="97"/>
      <c r="S230" s="99" t="s">
        <v>16</v>
      </c>
      <c r="T230" s="100" t="s">
        <v>13</v>
      </c>
      <c r="U230" s="97"/>
      <c r="V230" s="97"/>
      <c r="W230" s="98"/>
      <c r="X230" s="97"/>
      <c r="Y230" s="97"/>
      <c r="Z230" s="99" t="s">
        <v>14</v>
      </c>
      <c r="AA230" s="100" t="s">
        <v>11</v>
      </c>
      <c r="AB230" s="97"/>
      <c r="AC230" s="97"/>
      <c r="AD230" s="98"/>
      <c r="AE230" s="97"/>
      <c r="AF230" s="99" t="s">
        <v>15</v>
      </c>
      <c r="AG230" s="97"/>
      <c r="AH230" s="97"/>
      <c r="AI230" s="32">
        <v>17</v>
      </c>
      <c r="AJ230" s="32"/>
      <c r="AK230" s="32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Y230" s="25"/>
      <c r="AZ230" s="30"/>
      <c r="BA230" s="25"/>
      <c r="BB230" s="25"/>
      <c r="BC230" s="25"/>
      <c r="BD230" s="25"/>
      <c r="BE230" s="25"/>
      <c r="BF230" s="25"/>
      <c r="BG230" s="25"/>
      <c r="BH230" s="25"/>
      <c r="BI230" s="25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  <c r="CO230" s="32"/>
      <c r="CP230" s="32"/>
    </row>
    <row r="231" spans="1:94" x14ac:dyDescent="0.25">
      <c r="A231" s="25" t="s">
        <v>56</v>
      </c>
      <c r="B231" s="25" t="s">
        <v>312</v>
      </c>
      <c r="C231" s="25" t="s">
        <v>457</v>
      </c>
      <c r="D231" s="25">
        <v>99</v>
      </c>
      <c r="E231" s="34" t="str" cm="1">
        <f t="array" ref="E231">IFERROR(INDEX($J$5:$AVX$5, _xlfn.AGGREGATE(15,6, COLUMN(J231:AVX231)-COLUMN(J231)+1 / (J231:AVX231="T"), F231)), "")</f>
        <v/>
      </c>
      <c r="F231" s="96">
        <f>$A$2</f>
        <v>2</v>
      </c>
      <c r="G231" s="34" cm="1">
        <f t="array" ref="G231">IFERROR(INDEX($J$5:$AVW$5,_xlfn.AGGREGATE(14,6,(COLUMN($J231:$AVW231)-COLUMN($J231)+1)/($J231:$AVW231="T"),1)),"")</f>
        <v>45964</v>
      </c>
      <c r="H231" s="105">
        <f>COUNTIF($J231:$AVV231,"T")</f>
        <v>1</v>
      </c>
      <c r="I231" s="36" t="s">
        <v>10</v>
      </c>
      <c r="J231" s="32"/>
      <c r="K231" s="32"/>
      <c r="L231" s="32" t="s">
        <v>12</v>
      </c>
      <c r="M231" s="97"/>
      <c r="N231" s="97"/>
      <c r="O231" s="97"/>
      <c r="P231" s="98"/>
      <c r="Q231" s="97"/>
      <c r="R231" s="97"/>
      <c r="S231" s="99" t="s">
        <v>16</v>
      </c>
      <c r="T231" s="100" t="s">
        <v>13</v>
      </c>
      <c r="U231" s="97"/>
      <c r="V231" s="97"/>
      <c r="W231" s="98"/>
      <c r="X231" s="97"/>
      <c r="Y231" s="97"/>
      <c r="Z231" s="99" t="s">
        <v>14</v>
      </c>
      <c r="AA231" s="100" t="s">
        <v>11</v>
      </c>
      <c r="AB231" s="97"/>
      <c r="AC231" s="97"/>
      <c r="AD231" s="98"/>
      <c r="AE231" s="97"/>
      <c r="AF231" s="99" t="s">
        <v>15</v>
      </c>
      <c r="AG231" s="97"/>
      <c r="AH231" s="97"/>
      <c r="AI231" s="32">
        <v>17</v>
      </c>
      <c r="AJ231" s="32"/>
      <c r="AK231" s="32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Y231" s="25"/>
      <c r="AZ231" s="30"/>
      <c r="BA231" s="25"/>
      <c r="BB231" s="25"/>
      <c r="BC231" s="25"/>
      <c r="BD231" s="25"/>
      <c r="BE231" s="25"/>
      <c r="BF231" s="25"/>
      <c r="BG231" s="25"/>
      <c r="BH231" s="25"/>
      <c r="BI231" s="25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  <c r="CO231" s="32"/>
      <c r="CP231" s="32"/>
    </row>
    <row r="232" spans="1:94" x14ac:dyDescent="0.25">
      <c r="A232" s="25" t="s">
        <v>56</v>
      </c>
      <c r="B232" s="25" t="s">
        <v>276</v>
      </c>
      <c r="C232" s="25" t="s">
        <v>421</v>
      </c>
      <c r="D232" s="25">
        <v>63</v>
      </c>
      <c r="E232" s="34" t="str" cm="1">
        <f t="array" ref="E232">IFERROR(INDEX($J$5:$AVX$5, _xlfn.AGGREGATE(15,6, COLUMN(J232:AVX232)-COLUMN(J232)+1 / (J232:AVX232="T"), F232)), "")</f>
        <v/>
      </c>
      <c r="F232" s="96">
        <f>$A$2</f>
        <v>2</v>
      </c>
      <c r="G232" s="34" cm="1">
        <f t="array" ref="G232">IFERROR(INDEX($J$5:$AVW$5,_xlfn.AGGREGATE(14,6,(COLUMN($J232:$AVW232)-COLUMN($J232)+1)/($J232:$AVW232="T"),1)),"")</f>
        <v>45963</v>
      </c>
      <c r="H232" s="105">
        <f>COUNTIF($J232:$AVV232,"T")</f>
        <v>1</v>
      </c>
      <c r="I232" s="36" t="s">
        <v>10</v>
      </c>
      <c r="J232" s="32"/>
      <c r="K232" s="32" t="s">
        <v>12</v>
      </c>
      <c r="L232" s="97"/>
      <c r="M232" s="97"/>
      <c r="N232" s="97"/>
      <c r="O232" s="98"/>
      <c r="P232" s="97"/>
      <c r="Q232" s="97"/>
      <c r="R232" s="99" t="s">
        <v>16</v>
      </c>
      <c r="S232" s="100" t="s">
        <v>13</v>
      </c>
      <c r="T232" s="97"/>
      <c r="U232" s="97"/>
      <c r="V232" s="98"/>
      <c r="W232" s="97"/>
      <c r="X232" s="97"/>
      <c r="Y232" s="99" t="s">
        <v>14</v>
      </c>
      <c r="Z232" s="100" t="s">
        <v>11</v>
      </c>
      <c r="AA232" s="97"/>
      <c r="AB232" s="97"/>
      <c r="AC232" s="98"/>
      <c r="AD232" s="97"/>
      <c r="AE232" s="99" t="s">
        <v>15</v>
      </c>
      <c r="AF232" s="97"/>
      <c r="AG232" s="97"/>
      <c r="AH232" s="32">
        <v>17</v>
      </c>
      <c r="AI232" s="32"/>
      <c r="AJ232" s="32"/>
      <c r="AK232" s="32"/>
      <c r="AL232" s="32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25"/>
      <c r="AZ232" s="25"/>
      <c r="BA232" s="30"/>
      <c r="BB232" s="25"/>
      <c r="BC232" s="25"/>
      <c r="BD232" s="25"/>
      <c r="BE232" s="25"/>
      <c r="BF232" s="25"/>
      <c r="BG232" s="25"/>
      <c r="BH232" s="25"/>
      <c r="BI232" s="25"/>
      <c r="BJ232" s="25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  <c r="CO232" s="32"/>
      <c r="CP232" s="32"/>
    </row>
    <row r="233" spans="1:94" x14ac:dyDescent="0.25">
      <c r="A233" s="25" t="s">
        <v>56</v>
      </c>
      <c r="B233" s="25" t="s">
        <v>277</v>
      </c>
      <c r="C233" s="25" t="s">
        <v>422</v>
      </c>
      <c r="D233" s="25">
        <v>64</v>
      </c>
      <c r="E233" s="34" t="str" cm="1">
        <f t="array" ref="E233">IFERROR(INDEX($J$5:$AVX$5, _xlfn.AGGREGATE(15,6, COLUMN(J233:AVX233)-COLUMN(J233)+1 / (J233:AVX233="T"), F233)), "")</f>
        <v/>
      </c>
      <c r="F233" s="96">
        <f>$A$2</f>
        <v>2</v>
      </c>
      <c r="G233" s="34" cm="1">
        <f t="array" ref="G233">IFERROR(INDEX($J$5:$AVW$5,_xlfn.AGGREGATE(14,6,(COLUMN($J233:$AVW233)-COLUMN($J233)+1)/($J233:$AVW233="T"),1)),"")</f>
        <v>45963</v>
      </c>
      <c r="H233" s="105">
        <f>COUNTIF($J233:$AVV233,"T")</f>
        <v>1</v>
      </c>
      <c r="I233" s="36" t="s">
        <v>10</v>
      </c>
      <c r="J233" s="32"/>
      <c r="K233" s="32" t="s">
        <v>12</v>
      </c>
      <c r="L233" s="97"/>
      <c r="M233" s="97"/>
      <c r="N233" s="97"/>
      <c r="O233" s="98"/>
      <c r="P233" s="97"/>
      <c r="Q233" s="97"/>
      <c r="R233" s="99" t="s">
        <v>16</v>
      </c>
      <c r="S233" s="100" t="s">
        <v>13</v>
      </c>
      <c r="T233" s="97"/>
      <c r="U233" s="97"/>
      <c r="V233" s="98"/>
      <c r="W233" s="97"/>
      <c r="X233" s="97"/>
      <c r="Y233" s="99" t="s">
        <v>14</v>
      </c>
      <c r="Z233" s="100" t="s">
        <v>11</v>
      </c>
      <c r="AA233" s="97"/>
      <c r="AB233" s="97"/>
      <c r="AC233" s="98"/>
      <c r="AD233" s="97"/>
      <c r="AE233" s="99" t="s">
        <v>15</v>
      </c>
      <c r="AF233" s="97"/>
      <c r="AG233" s="97"/>
      <c r="AH233" s="32">
        <v>17</v>
      </c>
      <c r="AI233" s="32"/>
      <c r="AJ233" s="32"/>
      <c r="AK233" s="32"/>
      <c r="AL233" s="32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25"/>
      <c r="AZ233" s="25"/>
      <c r="BA233" s="30"/>
      <c r="BB233" s="25"/>
      <c r="BC233" s="25"/>
      <c r="BD233" s="25"/>
      <c r="BE233" s="25"/>
      <c r="BF233" s="25"/>
      <c r="BG233" s="25"/>
      <c r="BH233" s="25"/>
      <c r="BI233" s="25"/>
      <c r="BJ233" s="25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  <c r="CO233" s="32"/>
      <c r="CP233" s="32"/>
    </row>
    <row r="234" spans="1:94" x14ac:dyDescent="0.25">
      <c r="A234" s="25" t="s">
        <v>56</v>
      </c>
      <c r="B234" s="25" t="s">
        <v>278</v>
      </c>
      <c r="C234" s="25" t="s">
        <v>423</v>
      </c>
      <c r="D234" s="25">
        <v>65</v>
      </c>
      <c r="E234" s="34" t="str" cm="1">
        <f t="array" ref="E234">IFERROR(INDEX($J$5:$AVX$5, _xlfn.AGGREGATE(15,6, COLUMN(J234:AVX234)-COLUMN(J234)+1 / (J234:AVX234="T"), F234)), "")</f>
        <v/>
      </c>
      <c r="F234" s="96">
        <f>$A$2</f>
        <v>2</v>
      </c>
      <c r="G234" s="34" cm="1">
        <f t="array" ref="G234">IFERROR(INDEX($J$5:$AVW$5,_xlfn.AGGREGATE(14,6,(COLUMN($J234:$AVW234)-COLUMN($J234)+1)/($J234:$AVW234="T"),1)),"")</f>
        <v>45963</v>
      </c>
      <c r="H234" s="105">
        <f>COUNTIF($J234:$AVV234,"T")</f>
        <v>1</v>
      </c>
      <c r="I234" s="36" t="s">
        <v>10</v>
      </c>
      <c r="J234" s="32"/>
      <c r="K234" s="32" t="s">
        <v>12</v>
      </c>
      <c r="L234" s="97"/>
      <c r="M234" s="97"/>
      <c r="N234" s="97"/>
      <c r="O234" s="98"/>
      <c r="P234" s="97"/>
      <c r="Q234" s="97"/>
      <c r="R234" s="99" t="s">
        <v>16</v>
      </c>
      <c r="S234" s="100" t="s">
        <v>13</v>
      </c>
      <c r="T234" s="97"/>
      <c r="U234" s="97"/>
      <c r="V234" s="98"/>
      <c r="W234" s="97"/>
      <c r="X234" s="97"/>
      <c r="Y234" s="99" t="s">
        <v>14</v>
      </c>
      <c r="Z234" s="100" t="s">
        <v>11</v>
      </c>
      <c r="AA234" s="97"/>
      <c r="AB234" s="97"/>
      <c r="AC234" s="98"/>
      <c r="AD234" s="97"/>
      <c r="AE234" s="99" t="s">
        <v>15</v>
      </c>
      <c r="AF234" s="97"/>
      <c r="AG234" s="97"/>
      <c r="AH234" s="32">
        <v>17</v>
      </c>
      <c r="AI234" s="32"/>
      <c r="AJ234" s="32"/>
      <c r="AK234" s="32"/>
      <c r="AL234" s="32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25"/>
      <c r="AZ234" s="25"/>
      <c r="BA234" s="30"/>
      <c r="BB234" s="25"/>
      <c r="BC234" s="25"/>
      <c r="BD234" s="25"/>
      <c r="BE234" s="25"/>
      <c r="BF234" s="25"/>
      <c r="BG234" s="25"/>
      <c r="BH234" s="25"/>
      <c r="BI234" s="25"/>
      <c r="BJ234" s="25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  <c r="CO234" s="32"/>
      <c r="CP234" s="32"/>
    </row>
  </sheetData>
  <autoFilter ref="A13:BS234" xr:uid="{B02859C0-7031-4F52-8D1A-FCBDF86448AE}">
    <sortState xmlns:xlrd2="http://schemas.microsoft.com/office/spreadsheetml/2017/richdata2" ref="A14:BS234">
      <sortCondition descending="1" ref="G13:G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755" priority="468">
      <formula>LEN(TRIM(E14))=0</formula>
    </cfRule>
  </conditionalFormatting>
  <conditionalFormatting sqref="J114:J119">
    <cfRule type="containsText" dxfId="754" priority="463" operator="containsText" text="T">
      <formula>NOT(ISERROR(SEARCH("T",J114)))</formula>
    </cfRule>
  </conditionalFormatting>
  <conditionalFormatting sqref="J113:T113">
    <cfRule type="containsText" dxfId="753" priority="455" operator="containsText" text="17">
      <formula>NOT(ISERROR(SEARCH("17",J113)))</formula>
    </cfRule>
    <cfRule type="containsText" dxfId="752" priority="456" operator="containsText" text="T">
      <formula>NOT(ISERROR(SEARCH("T",J113)))</formula>
    </cfRule>
  </conditionalFormatting>
  <conditionalFormatting sqref="J67:X68">
    <cfRule type="containsText" dxfId="751" priority="400" operator="containsText" text="17">
      <formula>NOT(ISERROR(SEARCH("17",J67)))</formula>
    </cfRule>
  </conditionalFormatting>
  <conditionalFormatting sqref="J97:X98">
    <cfRule type="containsText" dxfId="750" priority="390" operator="containsText" text="17">
      <formula>NOT(ISERROR(SEARCH("17",J97)))</formula>
    </cfRule>
  </conditionalFormatting>
  <conditionalFormatting sqref="J67:Z68">
    <cfRule type="containsText" dxfId="749" priority="394" operator="containsText" text="T">
      <formula>NOT(ISERROR(SEARCH("T",J67)))</formula>
    </cfRule>
  </conditionalFormatting>
  <conditionalFormatting sqref="J97:Z98">
    <cfRule type="containsText" dxfId="748" priority="384" operator="containsText" text="T">
      <formula>NOT(ISERROR(SEARCH("T",J97)))</formula>
    </cfRule>
  </conditionalFormatting>
  <conditionalFormatting sqref="J127:Z130">
    <cfRule type="containsText" dxfId="747" priority="364" operator="containsText" text="T">
      <formula>NOT(ISERROR(SEARCH("T",J127)))</formula>
    </cfRule>
  </conditionalFormatting>
  <conditionalFormatting sqref="J114:AD119 J113:R113">
    <cfRule type="containsText" dxfId="746" priority="462" operator="containsText" text="17">
      <formula>NOT(ISERROR(SEARCH("17",J113)))</formula>
    </cfRule>
  </conditionalFormatting>
  <conditionalFormatting sqref="J48:AO49">
    <cfRule type="containsText" dxfId="745" priority="137" operator="containsText" text="17">
      <formula>NOT(ISERROR(SEARCH("17",J48)))</formula>
    </cfRule>
  </conditionalFormatting>
  <conditionalFormatting sqref="J63:AP66">
    <cfRule type="containsText" dxfId="744" priority="117" operator="containsText" text="17">
      <formula>NOT(ISERROR(SEARCH("17",J63)))</formula>
    </cfRule>
  </conditionalFormatting>
  <conditionalFormatting sqref="J48:AQ49">
    <cfRule type="containsText" dxfId="743" priority="131" operator="containsText" text="T">
      <formula>NOT(ISERROR(SEARCH("T",J48)))</formula>
    </cfRule>
  </conditionalFormatting>
  <conditionalFormatting sqref="J59:AQ62">
    <cfRule type="containsText" dxfId="742" priority="103" operator="containsText" text="17">
      <formula>NOT(ISERROR(SEARCH("17",J59)))</formula>
    </cfRule>
  </conditionalFormatting>
  <conditionalFormatting sqref="J86:AQ89">
    <cfRule type="containsText" dxfId="741" priority="93" operator="containsText" text="17">
      <formula>NOT(ISERROR(SEARCH("17",J86)))</formula>
    </cfRule>
  </conditionalFormatting>
  <conditionalFormatting sqref="J50:AR53">
    <cfRule type="containsText" dxfId="740" priority="121" operator="containsText" text="T">
      <formula>NOT(ISERROR(SEARCH("T",J50)))</formula>
    </cfRule>
  </conditionalFormatting>
  <conditionalFormatting sqref="J63:AR66">
    <cfRule type="containsText" dxfId="739" priority="111" operator="containsText" text="T">
      <formula>NOT(ISERROR(SEARCH("T",J63)))</formula>
    </cfRule>
  </conditionalFormatting>
  <conditionalFormatting sqref="J83:AR85">
    <cfRule type="containsText" dxfId="738" priority="83" operator="containsText" text="17">
      <formula>NOT(ISERROR(SEARCH("17",J83)))</formula>
    </cfRule>
  </conditionalFormatting>
  <conditionalFormatting sqref="J214:AR217">
    <cfRule type="containsText" dxfId="737" priority="73" operator="containsText" text="17">
      <formula>NOT(ISERROR(SEARCH("17",J214)))</formula>
    </cfRule>
  </conditionalFormatting>
  <conditionalFormatting sqref="J59:AS62">
    <cfRule type="containsText" dxfId="736" priority="97" operator="containsText" text="T">
      <formula>NOT(ISERROR(SEARCH("T",J59)))</formula>
    </cfRule>
  </conditionalFormatting>
  <conditionalFormatting sqref="J86:AS89">
    <cfRule type="containsText" dxfId="735" priority="87" operator="containsText" text="T">
      <formula>NOT(ISERROR(SEARCH("T",J86)))</formula>
    </cfRule>
  </conditionalFormatting>
  <conditionalFormatting sqref="J83:AT85">
    <cfRule type="containsText" dxfId="734" priority="77" operator="containsText" text="T">
      <formula>NOT(ISERROR(SEARCH("T",J83)))</formula>
    </cfRule>
  </conditionalFormatting>
  <conditionalFormatting sqref="J214:AT217">
    <cfRule type="containsText" dxfId="733" priority="67" operator="containsText" text="T">
      <formula>NOT(ISERROR(SEARCH("T",J214)))</formula>
    </cfRule>
  </conditionalFormatting>
  <conditionalFormatting sqref="K77:K82">
    <cfRule type="containsText" dxfId="732" priority="450" operator="containsText" text="T">
      <formula>NOT(ISERROR(SEARCH("T",K77)))</formula>
    </cfRule>
  </conditionalFormatting>
  <conditionalFormatting sqref="K76:U76">
    <cfRule type="containsText" dxfId="731" priority="442" operator="containsText" text="17">
      <formula>NOT(ISERROR(SEARCH("17",K76)))</formula>
    </cfRule>
    <cfRule type="containsText" dxfId="730" priority="443" operator="containsText" text="T">
      <formula>NOT(ISERROR(SEARCH("T",K76)))</formula>
    </cfRule>
  </conditionalFormatting>
  <conditionalFormatting sqref="K77:AE82 K76:S76">
    <cfRule type="containsText" dxfId="729" priority="449" operator="containsText" text="17">
      <formula>NOT(ISERROR(SEARCH("17",K76)))</formula>
    </cfRule>
  </conditionalFormatting>
  <conditionalFormatting sqref="L107:L112">
    <cfRule type="containsText" dxfId="728" priority="437" operator="containsText" text="T">
      <formula>NOT(ISERROR(SEARCH("T",L107)))</formula>
    </cfRule>
  </conditionalFormatting>
  <conditionalFormatting sqref="L106:V106">
    <cfRule type="containsText" dxfId="727" priority="429" operator="containsText" text="17">
      <formula>NOT(ISERROR(SEARCH("17",L106)))</formula>
    </cfRule>
    <cfRule type="containsText" dxfId="726" priority="430" operator="containsText" text="T">
      <formula>NOT(ISERROR(SEARCH("T",L106)))</formula>
    </cfRule>
  </conditionalFormatting>
  <conditionalFormatting sqref="L107:AF112 L106:T106">
    <cfRule type="containsText" dxfId="725" priority="436" operator="containsText" text="17">
      <formula>NOT(ISERROR(SEARCH("17",L106)))</formula>
    </cfRule>
  </conditionalFormatting>
  <conditionalFormatting sqref="N70:N75">
    <cfRule type="containsText" dxfId="724" priority="424" operator="containsText" text="T">
      <formula>NOT(ISERROR(SEARCH("T",N70)))</formula>
    </cfRule>
  </conditionalFormatting>
  <conditionalFormatting sqref="N69:X69">
    <cfRule type="containsText" dxfId="723" priority="416" operator="containsText" text="17">
      <formula>NOT(ISERROR(SEARCH("17",N69)))</formula>
    </cfRule>
    <cfRule type="containsText" dxfId="722" priority="417" operator="containsText" text="T">
      <formula>NOT(ISERROR(SEARCH("T",N69)))</formula>
    </cfRule>
  </conditionalFormatting>
  <conditionalFormatting sqref="N70:AH75 N69:V69">
    <cfRule type="containsText" dxfId="721" priority="423" operator="containsText" text="17">
      <formula>NOT(ISERROR(SEARCH("17",N69)))</formula>
    </cfRule>
  </conditionalFormatting>
  <conditionalFormatting sqref="O100:O105">
    <cfRule type="containsText" dxfId="720" priority="411" operator="containsText" text="T">
      <formula>NOT(ISERROR(SEARCH("T",O100)))</formula>
    </cfRule>
  </conditionalFormatting>
  <conditionalFormatting sqref="O99:Y99">
    <cfRule type="containsText" dxfId="719" priority="403" operator="containsText" text="17">
      <formula>NOT(ISERROR(SEARCH("17",O99)))</formula>
    </cfRule>
    <cfRule type="containsText" dxfId="718" priority="404" operator="containsText" text="T">
      <formula>NOT(ISERROR(SEARCH("T",O99)))</formula>
    </cfRule>
  </conditionalFormatting>
  <conditionalFormatting sqref="O100:AI105 O99:W99">
    <cfRule type="containsText" dxfId="717" priority="410" operator="containsText" text="17">
      <formula>NOT(ISERROR(SEARCH("17",O99)))</formula>
    </cfRule>
  </conditionalFormatting>
  <conditionalFormatting sqref="P67:Z68">
    <cfRule type="containsText" dxfId="716" priority="393" operator="containsText" text="17">
      <formula>NOT(ISERROR(SEARCH("17",P67)))</formula>
    </cfRule>
  </conditionalFormatting>
  <conditionalFormatting sqref="P97:Z98">
    <cfRule type="containsText" dxfId="715" priority="383" operator="containsText" text="17">
      <formula>NOT(ISERROR(SEARCH("17",P97)))</formula>
    </cfRule>
  </conditionalFormatting>
  <conditionalFormatting sqref="P127:Z130">
    <cfRule type="containsText" dxfId="714" priority="363" operator="containsText" text="17">
      <formula>NOT(ISERROR(SEARCH("17",P127)))</formula>
    </cfRule>
  </conditionalFormatting>
  <conditionalFormatting sqref="Q132:Q137">
    <cfRule type="containsText" dxfId="713" priority="358" operator="containsText" text="T">
      <formula>NOT(ISERROR(SEARCH("T",Q132)))</formula>
    </cfRule>
  </conditionalFormatting>
  <conditionalFormatting sqref="Q131:AA131">
    <cfRule type="containsText" dxfId="712" priority="350" operator="containsText" text="17">
      <formula>NOT(ISERROR(SEARCH("17",Q131)))</formula>
    </cfRule>
    <cfRule type="containsText" dxfId="711" priority="351" operator="containsText" text="T">
      <formula>NOT(ISERROR(SEARCH("T",Q131)))</formula>
    </cfRule>
  </conditionalFormatting>
  <conditionalFormatting sqref="Q132:AK137 Q131:Y131">
    <cfRule type="containsText" dxfId="710" priority="357" operator="containsText" text="17">
      <formula>NOT(ISERROR(SEARCH("17",Q131)))</formula>
    </cfRule>
  </conditionalFormatting>
  <conditionalFormatting sqref="R139:R144">
    <cfRule type="containsText" dxfId="709" priority="345" operator="containsText" text="T">
      <formula>NOT(ISERROR(SEARCH("T",R139)))</formula>
    </cfRule>
  </conditionalFormatting>
  <conditionalFormatting sqref="R138:AB138">
    <cfRule type="containsText" dxfId="708" priority="337" operator="containsText" text="17">
      <formula>NOT(ISERROR(SEARCH("17",R138)))</formula>
    </cfRule>
    <cfRule type="containsText" dxfId="707" priority="338" operator="containsText" text="T">
      <formula>NOT(ISERROR(SEARCH("T",R138)))</formula>
    </cfRule>
  </conditionalFormatting>
  <conditionalFormatting sqref="R139:AL144 R138:Z138">
    <cfRule type="containsText" dxfId="706" priority="344" operator="containsText" text="17">
      <formula>NOT(ISERROR(SEARCH("17",R138)))</formula>
    </cfRule>
  </conditionalFormatting>
  <conditionalFormatting sqref="S146:S151">
    <cfRule type="containsText" dxfId="705" priority="332" operator="containsText" text="T">
      <formula>NOT(ISERROR(SEARCH("T",S146)))</formula>
    </cfRule>
  </conditionalFormatting>
  <conditionalFormatting sqref="S145:AC145">
    <cfRule type="containsText" dxfId="704" priority="324" operator="containsText" text="17">
      <formula>NOT(ISERROR(SEARCH("17",S145)))</formula>
    </cfRule>
    <cfRule type="containsText" dxfId="703" priority="325" operator="containsText" text="T">
      <formula>NOT(ISERROR(SEARCH("T",S145)))</formula>
    </cfRule>
  </conditionalFormatting>
  <conditionalFormatting sqref="S146:AM151 S145:AA145">
    <cfRule type="containsText" dxfId="702" priority="331" operator="containsText" text="17">
      <formula>NOT(ISERROR(SEARCH("17",S145)))</formula>
    </cfRule>
  </conditionalFormatting>
  <conditionalFormatting sqref="T153:T158">
    <cfRule type="containsText" dxfId="701" priority="319" operator="containsText" text="T">
      <formula>NOT(ISERROR(SEARCH("T",T153)))</formula>
    </cfRule>
  </conditionalFormatting>
  <conditionalFormatting sqref="T152:AD152">
    <cfRule type="containsText" dxfId="700" priority="311" operator="containsText" text="17">
      <formula>NOT(ISERROR(SEARCH("17",T152)))</formula>
    </cfRule>
    <cfRule type="containsText" dxfId="699" priority="312" operator="containsText" text="T">
      <formula>NOT(ISERROR(SEARCH("T",T152)))</formula>
    </cfRule>
  </conditionalFormatting>
  <conditionalFormatting sqref="T153:AN158 T152:AB152">
    <cfRule type="containsText" dxfId="698" priority="318" operator="containsText" text="17">
      <formula>NOT(ISERROR(SEARCH("17",T152)))</formula>
    </cfRule>
  </conditionalFormatting>
  <conditionalFormatting sqref="U160:U165">
    <cfRule type="containsText" dxfId="697" priority="306" operator="containsText" text="T">
      <formula>NOT(ISERROR(SEARCH("T",U160)))</formula>
    </cfRule>
  </conditionalFormatting>
  <conditionalFormatting sqref="U113:AA113">
    <cfRule type="containsText" dxfId="696" priority="464" operator="containsText" text="17">
      <formula>NOT(ISERROR(SEARCH("17",U113)))</formula>
    </cfRule>
    <cfRule type="containsText" dxfId="695" priority="465" operator="containsText" text="T">
      <formula>NOT(ISERROR(SEARCH("T",U113)))</formula>
    </cfRule>
  </conditionalFormatting>
  <conditionalFormatting sqref="U159:AE159">
    <cfRule type="containsText" dxfId="694" priority="298" operator="containsText" text="17">
      <formula>NOT(ISERROR(SEARCH("17",U159)))</formula>
    </cfRule>
    <cfRule type="containsText" dxfId="693" priority="299" operator="containsText" text="T">
      <formula>NOT(ISERROR(SEARCH("T",U159)))</formula>
    </cfRule>
  </conditionalFormatting>
  <conditionalFormatting sqref="U160:AO165 U159:AC159">
    <cfRule type="containsText" dxfId="692" priority="305" operator="containsText" text="17">
      <formula>NOT(ISERROR(SEARCH("17",U159)))</formula>
    </cfRule>
  </conditionalFormatting>
  <conditionalFormatting sqref="V113">
    <cfRule type="containsText" dxfId="691" priority="460" operator="containsText" text="17">
      <formula>NOT(ISERROR(SEARCH("17",V113)))</formula>
    </cfRule>
    <cfRule type="containsText" dxfId="690" priority="461" operator="containsText" text="T">
      <formula>NOT(ISERROR(SEARCH("T",V113)))</formula>
    </cfRule>
  </conditionalFormatting>
  <conditionalFormatting sqref="V208:V213">
    <cfRule type="containsText" dxfId="689" priority="293" operator="containsText" text="T">
      <formula>NOT(ISERROR(SEARCH("T",V208)))</formula>
    </cfRule>
  </conditionalFormatting>
  <conditionalFormatting sqref="V76:AB76">
    <cfRule type="containsText" dxfId="688" priority="451" operator="containsText" text="17">
      <formula>NOT(ISERROR(SEARCH("17",V76)))</formula>
    </cfRule>
    <cfRule type="containsText" dxfId="687" priority="452" operator="containsText" text="T">
      <formula>NOT(ISERROR(SEARCH("T",V76)))</formula>
    </cfRule>
  </conditionalFormatting>
  <conditionalFormatting sqref="V207:AF207">
    <cfRule type="containsText" dxfId="686" priority="285" operator="containsText" text="17">
      <formula>NOT(ISERROR(SEARCH("17",V207)))</formula>
    </cfRule>
    <cfRule type="containsText" dxfId="685" priority="286" operator="containsText" text="T">
      <formula>NOT(ISERROR(SEARCH("T",V207)))</formula>
    </cfRule>
  </conditionalFormatting>
  <conditionalFormatting sqref="V208:AP213 V207:AD207">
    <cfRule type="containsText" dxfId="684" priority="292" operator="containsText" text="17">
      <formula>NOT(ISERROR(SEARCH("17",V207)))</formula>
    </cfRule>
  </conditionalFormatting>
  <conditionalFormatting sqref="W76">
    <cfRule type="containsText" dxfId="683" priority="447" operator="containsText" text="17">
      <formula>NOT(ISERROR(SEARCH("17",W76)))</formula>
    </cfRule>
    <cfRule type="containsText" dxfId="682" priority="448" operator="containsText" text="T">
      <formula>NOT(ISERROR(SEARCH("T",W76)))</formula>
    </cfRule>
  </conditionalFormatting>
  <conditionalFormatting sqref="W201:W206">
    <cfRule type="containsText" dxfId="681" priority="280" operator="containsText" text="T">
      <formula>NOT(ISERROR(SEARCH("T",W201)))</formula>
    </cfRule>
  </conditionalFormatting>
  <conditionalFormatting sqref="W106:AC106">
    <cfRule type="containsText" dxfId="680" priority="438" operator="containsText" text="17">
      <formula>NOT(ISERROR(SEARCH("17",W106)))</formula>
    </cfRule>
    <cfRule type="containsText" dxfId="679" priority="439" operator="containsText" text="T">
      <formula>NOT(ISERROR(SEARCH("T",W106)))</formula>
    </cfRule>
  </conditionalFormatting>
  <conditionalFormatting sqref="W200:AG200">
    <cfRule type="containsText" dxfId="678" priority="272" operator="containsText" text="17">
      <formula>NOT(ISERROR(SEARCH("17",W200)))</formula>
    </cfRule>
    <cfRule type="containsText" dxfId="677" priority="273" operator="containsText" text="T">
      <formula>NOT(ISERROR(SEARCH("T",W200)))</formula>
    </cfRule>
  </conditionalFormatting>
  <conditionalFormatting sqref="W201:AQ206 W200:AE200">
    <cfRule type="containsText" dxfId="676" priority="279" operator="containsText" text="17">
      <formula>NOT(ISERROR(SEARCH("17",W200)))</formula>
    </cfRule>
  </conditionalFormatting>
  <conditionalFormatting sqref="X106">
    <cfRule type="containsText" dxfId="675" priority="434" operator="containsText" text="17">
      <formula>NOT(ISERROR(SEARCH("17",X106)))</formula>
    </cfRule>
    <cfRule type="containsText" dxfId="674" priority="435" operator="containsText" text="T">
      <formula>NOT(ISERROR(SEARCH("T",X106)))</formula>
    </cfRule>
  </conditionalFormatting>
  <conditionalFormatting sqref="X194:X199">
    <cfRule type="containsText" dxfId="673" priority="267" operator="containsText" text="T">
      <formula>NOT(ISERROR(SEARCH("T",X194)))</formula>
    </cfRule>
  </conditionalFormatting>
  <conditionalFormatting sqref="X192:AH193">
    <cfRule type="containsText" dxfId="672" priority="254" operator="containsText" text="17">
      <formula>NOT(ISERROR(SEARCH("17",X192)))</formula>
    </cfRule>
    <cfRule type="containsText" dxfId="671" priority="255" operator="containsText" text="T">
      <formula>NOT(ISERROR(SEARCH("T",X192)))</formula>
    </cfRule>
  </conditionalFormatting>
  <conditionalFormatting sqref="Y169:Y174">
    <cfRule type="containsText" dxfId="670" priority="249" operator="containsText" text="T">
      <formula>NOT(ISERROR(SEARCH("T",Y169)))</formula>
    </cfRule>
  </conditionalFormatting>
  <conditionalFormatting sqref="Y69:AE69">
    <cfRule type="containsText" dxfId="669" priority="425" operator="containsText" text="17">
      <formula>NOT(ISERROR(SEARCH("17",Y69)))</formula>
    </cfRule>
    <cfRule type="containsText" dxfId="668" priority="426" operator="containsText" text="T">
      <formula>NOT(ISERROR(SEARCH("T",Y69)))</formula>
    </cfRule>
  </conditionalFormatting>
  <conditionalFormatting sqref="Y168:AI168">
    <cfRule type="containsText" dxfId="667" priority="241" operator="containsText" text="17">
      <formula>NOT(ISERROR(SEARCH("17",Y168)))</formula>
    </cfRule>
    <cfRule type="containsText" dxfId="666" priority="242" operator="containsText" text="T">
      <formula>NOT(ISERROR(SEARCH("T",Y168)))</formula>
    </cfRule>
  </conditionalFormatting>
  <conditionalFormatting sqref="Y169:AS174 Y168:AG168">
    <cfRule type="containsText" dxfId="665" priority="248" operator="containsText" text="17">
      <formula>NOT(ISERROR(SEARCH("17",Y168)))</formula>
    </cfRule>
  </conditionalFormatting>
  <conditionalFormatting sqref="Z69">
    <cfRule type="containsText" dxfId="664" priority="421" operator="containsText" text="17">
      <formula>NOT(ISERROR(SEARCH("17",Z69)))</formula>
    </cfRule>
    <cfRule type="containsText" dxfId="663" priority="422" operator="containsText" text="T">
      <formula>NOT(ISERROR(SEARCH("T",Z69)))</formula>
    </cfRule>
  </conditionalFormatting>
  <conditionalFormatting sqref="Z176:Z181">
    <cfRule type="containsText" dxfId="662" priority="236" operator="containsText" text="T">
      <formula>NOT(ISERROR(SEARCH("T",Z176)))</formula>
    </cfRule>
  </conditionalFormatting>
  <conditionalFormatting sqref="Z99:AF99">
    <cfRule type="containsText" dxfId="661" priority="412" operator="containsText" text="17">
      <formula>NOT(ISERROR(SEARCH("17",Z99)))</formula>
    </cfRule>
    <cfRule type="containsText" dxfId="660" priority="413" operator="containsText" text="T">
      <formula>NOT(ISERROR(SEARCH("T",Z99)))</formula>
    </cfRule>
  </conditionalFormatting>
  <conditionalFormatting sqref="Z175:AJ175">
    <cfRule type="containsText" dxfId="659" priority="228" operator="containsText" text="17">
      <formula>NOT(ISERROR(SEARCH("17",Z175)))</formula>
    </cfRule>
    <cfRule type="containsText" dxfId="658" priority="229" operator="containsText" text="T">
      <formula>NOT(ISERROR(SEARCH("T",Z175)))</formula>
    </cfRule>
  </conditionalFormatting>
  <conditionalFormatting sqref="Z176:AT181 Z175:AH175">
    <cfRule type="containsText" dxfId="657" priority="235" operator="containsText" text="17">
      <formula>NOT(ISERROR(SEARCH("17",Z175)))</formula>
    </cfRule>
  </conditionalFormatting>
  <conditionalFormatting sqref="AA99">
    <cfRule type="containsText" dxfId="656" priority="408" operator="containsText" text="17">
      <formula>NOT(ISERROR(SEARCH("17",AA99)))</formula>
    </cfRule>
    <cfRule type="containsText" dxfId="655" priority="409" operator="containsText" text="T">
      <formula>NOT(ISERROR(SEARCH("T",AA99)))</formula>
    </cfRule>
  </conditionalFormatting>
  <conditionalFormatting sqref="AA113 AE113:AG113 J114:AD119 AG114:AG119">
    <cfRule type="containsText" dxfId="654" priority="457" operator="containsText" text="T">
      <formula>NOT(ISERROR(SEARCH("T",J113)))</formula>
    </cfRule>
  </conditionalFormatting>
  <conditionalFormatting sqref="AA183:AA190">
    <cfRule type="containsText" dxfId="653" priority="223" operator="containsText" text="T">
      <formula>NOT(ISERROR(SEARCH("T",AA183)))</formula>
    </cfRule>
  </conditionalFormatting>
  <conditionalFormatting sqref="AA113:AB113 AE113:AG113 AG114:AG119">
    <cfRule type="containsText" dxfId="652" priority="458" operator="containsText" text="17">
      <formula>NOT(ISERROR(SEARCH("17",AA113)))</formula>
    </cfRule>
  </conditionalFormatting>
  <conditionalFormatting sqref="AA67:AG68">
    <cfRule type="containsText" dxfId="651" priority="401" operator="containsText" text="17">
      <formula>NOT(ISERROR(SEARCH("17",AA67)))</formula>
    </cfRule>
    <cfRule type="containsText" dxfId="650" priority="402" operator="containsText" text="T">
      <formula>NOT(ISERROR(SEARCH("T",AA67)))</formula>
    </cfRule>
  </conditionalFormatting>
  <conditionalFormatting sqref="AA97:AG98">
    <cfRule type="containsText" dxfId="649" priority="391" operator="containsText" text="17">
      <formula>NOT(ISERROR(SEARCH("17",AA97)))</formula>
    </cfRule>
    <cfRule type="containsText" dxfId="648" priority="392" operator="containsText" text="T">
      <formula>NOT(ISERROR(SEARCH("T",AA97)))</formula>
    </cfRule>
  </conditionalFormatting>
  <conditionalFormatting sqref="AA127:AG130">
    <cfRule type="containsText" dxfId="647" priority="371" operator="containsText" text="17">
      <formula>NOT(ISERROR(SEARCH("17",AA127)))</formula>
    </cfRule>
    <cfRule type="containsText" dxfId="646" priority="372" operator="containsText" text="T">
      <formula>NOT(ISERROR(SEARCH("T",AA127)))</formula>
    </cfRule>
  </conditionalFormatting>
  <conditionalFormatting sqref="AA182:AK182">
    <cfRule type="containsText" dxfId="645" priority="215" operator="containsText" text="17">
      <formula>NOT(ISERROR(SEARCH("17",AA182)))</formula>
    </cfRule>
    <cfRule type="containsText" dxfId="644" priority="216" operator="containsText" text="T">
      <formula>NOT(ISERROR(SEARCH("T",AA182)))</formula>
    </cfRule>
  </conditionalFormatting>
  <conditionalFormatting sqref="AA183:AU190 AA182:AI182">
    <cfRule type="containsText" dxfId="643" priority="222" operator="containsText" text="17">
      <formula>NOT(ISERROR(SEARCH("17",AA182)))</formula>
    </cfRule>
  </conditionalFormatting>
  <conditionalFormatting sqref="AB67:AB68">
    <cfRule type="containsText" dxfId="642" priority="398" operator="containsText" text="17">
      <formula>NOT(ISERROR(SEARCH("17",AB67)))</formula>
    </cfRule>
    <cfRule type="containsText" dxfId="641" priority="399" operator="containsText" text="T">
      <formula>NOT(ISERROR(SEARCH("T",AB67)))</formula>
    </cfRule>
  </conditionalFormatting>
  <conditionalFormatting sqref="AB76 AF76:AH76 K77:AE82 AH77:AH82">
    <cfRule type="containsText" dxfId="640" priority="444" operator="containsText" text="T">
      <formula>NOT(ISERROR(SEARCH("T",K76)))</formula>
    </cfRule>
  </conditionalFormatting>
  <conditionalFormatting sqref="AB91:AB96">
    <cfRule type="containsText" dxfId="639" priority="210" operator="containsText" text="T">
      <formula>NOT(ISERROR(SEARCH("T",AB91)))</formula>
    </cfRule>
  </conditionalFormatting>
  <conditionalFormatting sqref="AB97:AB98">
    <cfRule type="containsText" dxfId="638" priority="388" operator="containsText" text="17">
      <formula>NOT(ISERROR(SEARCH("17",AB97)))</formula>
    </cfRule>
    <cfRule type="containsText" dxfId="637" priority="389" operator="containsText" text="T">
      <formula>NOT(ISERROR(SEARCH("T",AB97)))</formula>
    </cfRule>
  </conditionalFormatting>
  <conditionalFormatting sqref="AB113">
    <cfRule type="containsText" dxfId="636" priority="459" operator="containsText" text="T">
      <formula>NOT(ISERROR(SEARCH("T",AB113)))</formula>
    </cfRule>
  </conditionalFormatting>
  <conditionalFormatting sqref="AB127:AB130">
    <cfRule type="containsText" dxfId="635" priority="368" operator="containsText" text="17">
      <formula>NOT(ISERROR(SEARCH("17",AB127)))</formula>
    </cfRule>
    <cfRule type="containsText" dxfId="634" priority="369" operator="containsText" text="T">
      <formula>NOT(ISERROR(SEARCH("T",AB127)))</formula>
    </cfRule>
  </conditionalFormatting>
  <conditionalFormatting sqref="AB76:AC76 AF76:AH76 AH77:AH82">
    <cfRule type="containsText" dxfId="633" priority="445" operator="containsText" text="17">
      <formula>NOT(ISERROR(SEARCH("17",AB76)))</formula>
    </cfRule>
  </conditionalFormatting>
  <conditionalFormatting sqref="AB131:AH131">
    <cfRule type="containsText" dxfId="632" priority="359" operator="containsText" text="17">
      <formula>NOT(ISERROR(SEARCH("17",AB131)))</formula>
    </cfRule>
    <cfRule type="containsText" dxfId="631" priority="360" operator="containsText" text="T">
      <formula>NOT(ISERROR(SEARCH("T",AB131)))</formula>
    </cfRule>
  </conditionalFormatting>
  <conditionalFormatting sqref="AB90:AL90">
    <cfRule type="containsText" dxfId="630" priority="202" operator="containsText" text="17">
      <formula>NOT(ISERROR(SEARCH("17",AB90)))</formula>
    </cfRule>
    <cfRule type="containsText" dxfId="629" priority="203" operator="containsText" text="T">
      <formula>NOT(ISERROR(SEARCH("T",AB90)))</formula>
    </cfRule>
  </conditionalFormatting>
  <conditionalFormatting sqref="AB91:AV96 AB90:AJ90">
    <cfRule type="containsText" dxfId="628" priority="209" operator="containsText" text="17">
      <formula>NOT(ISERROR(SEARCH("17",AB90)))</formula>
    </cfRule>
  </conditionalFormatting>
  <conditionalFormatting sqref="AC15:AC20">
    <cfRule type="containsText" dxfId="627" priority="197" operator="containsText" text="T">
      <formula>NOT(ISERROR(SEARCH("T",AC15)))</formula>
    </cfRule>
  </conditionalFormatting>
  <conditionalFormatting sqref="AC76">
    <cfRule type="containsText" dxfId="626" priority="446" operator="containsText" text="T">
      <formula>NOT(ISERROR(SEARCH("T",AC76)))</formula>
    </cfRule>
  </conditionalFormatting>
  <conditionalFormatting sqref="AC106 AG106:AI106 L107:AF112 AI107:AI112">
    <cfRule type="containsText" dxfId="625" priority="431" operator="containsText" text="T">
      <formula>NOT(ISERROR(SEARCH("T",L106)))</formula>
    </cfRule>
  </conditionalFormatting>
  <conditionalFormatting sqref="AC131">
    <cfRule type="containsText" dxfId="624" priority="355" operator="containsText" text="17">
      <formula>NOT(ISERROR(SEARCH("17",AC131)))</formula>
    </cfRule>
    <cfRule type="containsText" dxfId="623" priority="356" operator="containsText" text="T">
      <formula>NOT(ISERROR(SEARCH("T",AC131)))</formula>
    </cfRule>
  </conditionalFormatting>
  <conditionalFormatting sqref="AC106:AD106 AG106:AI106 AI107:AI112">
    <cfRule type="containsText" dxfId="622" priority="432" operator="containsText" text="17">
      <formula>NOT(ISERROR(SEARCH("17",AC106)))</formula>
    </cfRule>
  </conditionalFormatting>
  <conditionalFormatting sqref="AC138:AI138">
    <cfRule type="containsText" dxfId="621" priority="346" operator="containsText" text="17">
      <formula>NOT(ISERROR(SEARCH("17",AC138)))</formula>
    </cfRule>
    <cfRule type="containsText" dxfId="620" priority="347" operator="containsText" text="T">
      <formula>NOT(ISERROR(SEARCH("T",AC138)))</formula>
    </cfRule>
  </conditionalFormatting>
  <conditionalFormatting sqref="AC14:AM14">
    <cfRule type="containsText" dxfId="619" priority="189" operator="containsText" text="17">
      <formula>NOT(ISERROR(SEARCH("17",AC14)))</formula>
    </cfRule>
    <cfRule type="containsText" dxfId="618" priority="190" operator="containsText" text="T">
      <formula>NOT(ISERROR(SEARCH("T",AC14)))</formula>
    </cfRule>
  </conditionalFormatting>
  <conditionalFormatting sqref="AC15:AW20 AC14:AK14">
    <cfRule type="containsText" dxfId="617" priority="196" operator="containsText" text="17">
      <formula>NOT(ISERROR(SEARCH("17",AC14)))</formula>
    </cfRule>
  </conditionalFormatting>
  <conditionalFormatting sqref="AD35:AD40">
    <cfRule type="containsText" dxfId="616" priority="184" operator="containsText" text="T">
      <formula>NOT(ISERROR(SEARCH("T",AD35)))</formula>
    </cfRule>
  </conditionalFormatting>
  <conditionalFormatting sqref="AD106">
    <cfRule type="containsText" dxfId="615" priority="433" operator="containsText" text="T">
      <formula>NOT(ISERROR(SEARCH("T",AD106)))</formula>
    </cfRule>
  </conditionalFormatting>
  <conditionalFormatting sqref="AD138">
    <cfRule type="containsText" dxfId="614" priority="342" operator="containsText" text="17">
      <formula>NOT(ISERROR(SEARCH("17",AD138)))</formula>
    </cfRule>
    <cfRule type="containsText" dxfId="613" priority="343" operator="containsText" text="T">
      <formula>NOT(ISERROR(SEARCH("T",AD138)))</formula>
    </cfRule>
  </conditionalFormatting>
  <conditionalFormatting sqref="AD145:AJ145">
    <cfRule type="containsText" dxfId="612" priority="333" operator="containsText" text="17">
      <formula>NOT(ISERROR(SEARCH("17",AD145)))</formula>
    </cfRule>
    <cfRule type="containsText" dxfId="611" priority="334" operator="containsText" text="T">
      <formula>NOT(ISERROR(SEARCH("T",AD145)))</formula>
    </cfRule>
  </conditionalFormatting>
  <conditionalFormatting sqref="AD34:AN34">
    <cfRule type="containsText" dxfId="610" priority="176" operator="containsText" text="17">
      <formula>NOT(ISERROR(SEARCH("17",AD34)))</formula>
    </cfRule>
    <cfRule type="containsText" dxfId="609" priority="177" operator="containsText" text="T">
      <formula>NOT(ISERROR(SEARCH("T",AD34)))</formula>
    </cfRule>
  </conditionalFormatting>
  <conditionalFormatting sqref="AD35:AX40 AD34:AL34">
    <cfRule type="containsText" dxfId="608" priority="183" operator="containsText" text="17">
      <formula>NOT(ISERROR(SEARCH("17",AD34)))</formula>
    </cfRule>
  </conditionalFormatting>
  <conditionalFormatting sqref="AE22:AE27">
    <cfRule type="containsText" dxfId="607" priority="171" operator="containsText" text="T">
      <formula>NOT(ISERROR(SEARCH("T",AE22)))</formula>
    </cfRule>
  </conditionalFormatting>
  <conditionalFormatting sqref="AE69 AI69:AK69 N70:AH75 AK70:AK75">
    <cfRule type="containsText" dxfId="606" priority="418" operator="containsText" text="T">
      <formula>NOT(ISERROR(SEARCH("T",N69)))</formula>
    </cfRule>
  </conditionalFormatting>
  <conditionalFormatting sqref="AE145">
    <cfRule type="containsText" dxfId="605" priority="329" operator="containsText" text="17">
      <formula>NOT(ISERROR(SEARCH("17",AE145)))</formula>
    </cfRule>
    <cfRule type="containsText" dxfId="604" priority="330" operator="containsText" text="T">
      <formula>NOT(ISERROR(SEARCH("T",AE145)))</formula>
    </cfRule>
  </conditionalFormatting>
  <conditionalFormatting sqref="AE69:AF69 AI69:AK69 AK70:AK75">
    <cfRule type="containsText" dxfId="603" priority="419" operator="containsText" text="17">
      <formula>NOT(ISERROR(SEARCH("17",AE69)))</formula>
    </cfRule>
  </conditionalFormatting>
  <conditionalFormatting sqref="AE152:AK152">
    <cfRule type="containsText" dxfId="602" priority="320" operator="containsText" text="17">
      <formula>NOT(ISERROR(SEARCH("17",AE152)))</formula>
    </cfRule>
    <cfRule type="containsText" dxfId="601" priority="321" operator="containsText" text="T">
      <formula>NOT(ISERROR(SEARCH("T",AE152)))</formula>
    </cfRule>
  </conditionalFormatting>
  <conditionalFormatting sqref="AE21:AO21">
    <cfRule type="containsText" dxfId="600" priority="163" operator="containsText" text="17">
      <formula>NOT(ISERROR(SEARCH("17",AE21)))</formula>
    </cfRule>
    <cfRule type="containsText" dxfId="599" priority="164" operator="containsText" text="T">
      <formula>NOT(ISERROR(SEARCH("T",AE21)))</formula>
    </cfRule>
  </conditionalFormatting>
  <conditionalFormatting sqref="AE22:AY27 AE21:AM21">
    <cfRule type="containsText" dxfId="598" priority="170" operator="containsText" text="17">
      <formula>NOT(ISERROR(SEARCH("17",AE21)))</formula>
    </cfRule>
  </conditionalFormatting>
  <conditionalFormatting sqref="AF42:AF47">
    <cfRule type="containsText" dxfId="597" priority="158" operator="containsText" text="T">
      <formula>NOT(ISERROR(SEARCH("T",AF42)))</formula>
    </cfRule>
  </conditionalFormatting>
  <conditionalFormatting sqref="AF69">
    <cfRule type="containsText" dxfId="596" priority="420" operator="containsText" text="T">
      <formula>NOT(ISERROR(SEARCH("T",AF69)))</formula>
    </cfRule>
  </conditionalFormatting>
  <conditionalFormatting sqref="AF99 AJ99:AL99 O100:AI105 AL100:AL105">
    <cfRule type="containsText" dxfId="595" priority="405" operator="containsText" text="T">
      <formula>NOT(ISERROR(SEARCH("T",O99)))</formula>
    </cfRule>
  </conditionalFormatting>
  <conditionalFormatting sqref="AF152">
    <cfRule type="containsText" dxfId="594" priority="316" operator="containsText" text="17">
      <formula>NOT(ISERROR(SEARCH("17",AF152)))</formula>
    </cfRule>
    <cfRule type="containsText" dxfId="593" priority="317" operator="containsText" text="T">
      <formula>NOT(ISERROR(SEARCH("T",AF152)))</formula>
    </cfRule>
  </conditionalFormatting>
  <conditionalFormatting sqref="AF99:AG99 AJ99:AL99 AL100:AL105">
    <cfRule type="containsText" dxfId="592" priority="406" operator="containsText" text="17">
      <formula>NOT(ISERROR(SEARCH("17",AF99)))</formula>
    </cfRule>
  </conditionalFormatting>
  <conditionalFormatting sqref="AF159:AL159">
    <cfRule type="containsText" dxfId="591" priority="307" operator="containsText" text="17">
      <formula>NOT(ISERROR(SEARCH("17",AF159)))</formula>
    </cfRule>
    <cfRule type="containsText" dxfId="590" priority="308" operator="containsText" text="T">
      <formula>NOT(ISERROR(SEARCH("T",AF159)))</formula>
    </cfRule>
  </conditionalFormatting>
  <conditionalFormatting sqref="AF41:AP41">
    <cfRule type="containsText" dxfId="589" priority="150" operator="containsText" text="17">
      <formula>NOT(ISERROR(SEARCH("17",AF41)))</formula>
    </cfRule>
    <cfRule type="containsText" dxfId="588" priority="151" operator="containsText" text="T">
      <formula>NOT(ISERROR(SEARCH("T",AF41)))</formula>
    </cfRule>
  </conditionalFormatting>
  <conditionalFormatting sqref="AF42:AZ47 AF41:AN41">
    <cfRule type="containsText" dxfId="587" priority="157" operator="containsText" text="17">
      <formula>NOT(ISERROR(SEARCH("17",AF41)))</formula>
    </cfRule>
  </conditionalFormatting>
  <conditionalFormatting sqref="AG67:AG68 AK67:AM68">
    <cfRule type="containsText" dxfId="586" priority="395" operator="containsText" text="T">
      <formula>NOT(ISERROR(SEARCH("T",AG67)))</formula>
    </cfRule>
  </conditionalFormatting>
  <conditionalFormatting sqref="AG97:AG98 AK97:CP98">
    <cfRule type="containsText" dxfId="585" priority="385" operator="containsText" text="T">
      <formula>NOT(ISERROR(SEARCH("T",AG97)))</formula>
    </cfRule>
  </conditionalFormatting>
  <conditionalFormatting sqref="AG99">
    <cfRule type="containsText" dxfId="584" priority="407" operator="containsText" text="T">
      <formula>NOT(ISERROR(SEARCH("T",AG99)))</formula>
    </cfRule>
  </conditionalFormatting>
  <conditionalFormatting sqref="AG114:AG119">
    <cfRule type="containsText" dxfId="583" priority="467" operator="containsText" text="T">
      <formula>NOT(ISERROR(SEARCH("T",AG114)))</formula>
    </cfRule>
  </conditionalFormatting>
  <conditionalFormatting sqref="AG127:AG130 AK127:AM130">
    <cfRule type="containsText" dxfId="582" priority="365" operator="containsText" text="T">
      <formula>NOT(ISERROR(SEARCH("T",AG127)))</formula>
    </cfRule>
  </conditionalFormatting>
  <conditionalFormatting sqref="AG159">
    <cfRule type="containsText" dxfId="581" priority="303" operator="containsText" text="17">
      <formula>NOT(ISERROR(SEARCH("17",AG159)))</formula>
    </cfRule>
    <cfRule type="containsText" dxfId="580" priority="304" operator="containsText" text="T">
      <formula>NOT(ISERROR(SEARCH("T",AG159)))</formula>
    </cfRule>
  </conditionalFormatting>
  <conditionalFormatting sqref="AG67:AH68 AK67:AM68">
    <cfRule type="containsText" dxfId="579" priority="396" operator="containsText" text="17">
      <formula>NOT(ISERROR(SEARCH("17",AG67)))</formula>
    </cfRule>
  </conditionalFormatting>
  <conditionalFormatting sqref="AG97:AH98 AK97:CP98">
    <cfRule type="containsText" dxfId="578" priority="386" operator="containsText" text="17">
      <formula>NOT(ISERROR(SEARCH("17",AG97)))</formula>
    </cfRule>
  </conditionalFormatting>
  <conditionalFormatting sqref="AG127:AH130 AK127:AM130">
    <cfRule type="containsText" dxfId="577" priority="366" operator="containsText" text="17">
      <formula>NOT(ISERROR(SEARCH("17",AG127)))</formula>
    </cfRule>
  </conditionalFormatting>
  <conditionalFormatting sqref="AG207:AM207">
    <cfRule type="containsText" dxfId="576" priority="294" operator="containsText" text="17">
      <formula>NOT(ISERROR(SEARCH("17",AG207)))</formula>
    </cfRule>
    <cfRule type="containsText" dxfId="575" priority="295" operator="containsText" text="T">
      <formula>NOT(ISERROR(SEARCH("T",AG207)))</formula>
    </cfRule>
  </conditionalFormatting>
  <conditionalFormatting sqref="AG28:AO32">
    <cfRule type="containsText" dxfId="574" priority="147" operator="containsText" text="17">
      <formula>NOT(ISERROR(SEARCH("17",AG28)))</formula>
    </cfRule>
  </conditionalFormatting>
  <conditionalFormatting sqref="AG28:AQ32">
    <cfRule type="containsText" dxfId="573" priority="140" operator="containsText" text="17">
      <formula>NOT(ISERROR(SEARCH("17",AG28)))</formula>
    </cfRule>
    <cfRule type="containsText" dxfId="572" priority="141" operator="containsText" text="T">
      <formula>NOT(ISERROR(SEARCH("T",AG28)))</formula>
    </cfRule>
  </conditionalFormatting>
  <conditionalFormatting sqref="AG48:AQ49">
    <cfRule type="containsText" dxfId="571" priority="130" operator="containsText" text="17">
      <formula>NOT(ISERROR(SEARCH("17",AG48)))</formula>
    </cfRule>
  </conditionalFormatting>
  <conditionalFormatting sqref="AH67:AH68">
    <cfRule type="containsText" dxfId="570" priority="397" operator="containsText" text="T">
      <formula>NOT(ISERROR(SEARCH("T",AH67)))</formula>
    </cfRule>
  </conditionalFormatting>
  <conditionalFormatting sqref="AH77:AH82">
    <cfRule type="containsText" dxfId="569" priority="454" operator="containsText" text="T">
      <formula>NOT(ISERROR(SEARCH("T",AH77)))</formula>
    </cfRule>
  </conditionalFormatting>
  <conditionalFormatting sqref="AH97:AH98">
    <cfRule type="containsText" dxfId="568" priority="387" operator="containsText" text="T">
      <formula>NOT(ISERROR(SEARCH("T",AH97)))</formula>
    </cfRule>
  </conditionalFormatting>
  <conditionalFormatting sqref="AH127:AH130">
    <cfRule type="containsText" dxfId="567" priority="367" operator="containsText" text="T">
      <formula>NOT(ISERROR(SEARCH("T",AH127)))</formula>
    </cfRule>
  </conditionalFormatting>
  <conditionalFormatting sqref="AH131 AL131:AN131 Q132:AK137 AN132:AN137">
    <cfRule type="containsText" dxfId="566" priority="352" operator="containsText" text="T">
      <formula>NOT(ISERROR(SEARCH("T",Q131)))</formula>
    </cfRule>
  </conditionalFormatting>
  <conditionalFormatting sqref="AH207">
    <cfRule type="containsText" dxfId="565" priority="290" operator="containsText" text="17">
      <formula>NOT(ISERROR(SEARCH("17",AH207)))</formula>
    </cfRule>
    <cfRule type="containsText" dxfId="564" priority="291" operator="containsText" text="T">
      <formula>NOT(ISERROR(SEARCH("T",AH207)))</formula>
    </cfRule>
  </conditionalFormatting>
  <conditionalFormatting sqref="AH131:AI131 AL131:AN131 AN132:AN137">
    <cfRule type="containsText" dxfId="563" priority="353" operator="containsText" text="17">
      <formula>NOT(ISERROR(SEARCH("17",AH131)))</formula>
    </cfRule>
  </conditionalFormatting>
  <conditionalFormatting sqref="AH200:AN200">
    <cfRule type="containsText" dxfId="562" priority="281" operator="containsText" text="17">
      <formula>NOT(ISERROR(SEARCH("17",AH200)))</formula>
    </cfRule>
    <cfRule type="containsText" dxfId="561" priority="282" operator="containsText" text="T">
      <formula>NOT(ISERROR(SEARCH("T",AH200)))</formula>
    </cfRule>
  </conditionalFormatting>
  <conditionalFormatting sqref="AH50:AP53">
    <cfRule type="containsText" dxfId="560" priority="127" operator="containsText" text="17">
      <formula>NOT(ISERROR(SEARCH("17",AH50)))</formula>
    </cfRule>
  </conditionalFormatting>
  <conditionalFormatting sqref="AH50:AR53">
    <cfRule type="containsText" dxfId="559" priority="120" operator="containsText" text="17">
      <formula>NOT(ISERROR(SEARCH("17",AH50)))</formula>
    </cfRule>
  </conditionalFormatting>
  <conditionalFormatting sqref="AH63:AR66">
    <cfRule type="containsText" dxfId="558" priority="110" operator="containsText" text="17">
      <formula>NOT(ISERROR(SEARCH("17",AH63)))</formula>
    </cfRule>
  </conditionalFormatting>
  <conditionalFormatting sqref="AI107:AI112">
    <cfRule type="containsText" dxfId="557" priority="441" operator="containsText" text="T">
      <formula>NOT(ISERROR(SEARCH("T",AI107)))</formula>
    </cfRule>
  </conditionalFormatting>
  <conditionalFormatting sqref="AI131">
    <cfRule type="containsText" dxfId="556" priority="354" operator="containsText" text="T">
      <formula>NOT(ISERROR(SEARCH("T",AI131)))</formula>
    </cfRule>
  </conditionalFormatting>
  <conditionalFormatting sqref="AI138 AM138:AO138 R139:AL144 AO139:AO144">
    <cfRule type="containsText" dxfId="555" priority="339" operator="containsText" text="T">
      <formula>NOT(ISERROR(SEARCH("T",R138)))</formula>
    </cfRule>
  </conditionalFormatting>
  <conditionalFormatting sqref="AI200">
    <cfRule type="containsText" dxfId="554" priority="277" operator="containsText" text="17">
      <formula>NOT(ISERROR(SEARCH("17",AI200)))</formula>
    </cfRule>
    <cfRule type="containsText" dxfId="553" priority="278" operator="containsText" text="T">
      <formula>NOT(ISERROR(SEARCH("T",AI200)))</formula>
    </cfRule>
  </conditionalFormatting>
  <conditionalFormatting sqref="AI138:AJ138 AM138:AO138 AO139:AO144">
    <cfRule type="containsText" dxfId="552" priority="340" operator="containsText" text="17">
      <formula>NOT(ISERROR(SEARCH("17",AI138)))</formula>
    </cfRule>
  </conditionalFormatting>
  <conditionalFormatting sqref="AI192:AO192">
    <cfRule type="containsText" dxfId="551" priority="258" operator="containsText" text="T">
      <formula>NOT(ISERROR(SEARCH("T",AI192)))</formula>
    </cfRule>
  </conditionalFormatting>
  <conditionalFormatting sqref="AI193:AO193">
    <cfRule type="containsText" dxfId="550" priority="268" operator="containsText" text="17">
      <formula>NOT(ISERROR(SEARCH("17",AI193)))</formula>
    </cfRule>
    <cfRule type="containsText" dxfId="549" priority="269" operator="containsText" text="T">
      <formula>NOT(ISERROR(SEARCH("T",AI193)))</formula>
    </cfRule>
  </conditionalFormatting>
  <conditionalFormatting sqref="AI192:AP192 AS192:AU192">
    <cfRule type="containsText" dxfId="548" priority="256" operator="containsText" text="17">
      <formula>NOT(ISERROR(SEARCH("17",AI192)))</formula>
    </cfRule>
  </conditionalFormatting>
  <conditionalFormatting sqref="AI59:AS62">
    <cfRule type="containsText" dxfId="547" priority="96" operator="containsText" text="17">
      <formula>NOT(ISERROR(SEARCH("17",AI59)))</formula>
    </cfRule>
  </conditionalFormatting>
  <conditionalFormatting sqref="AI86:AS89">
    <cfRule type="containsText" dxfId="546" priority="86" operator="containsText" text="17">
      <formula>NOT(ISERROR(SEARCH("17",AI86)))</formula>
    </cfRule>
  </conditionalFormatting>
  <conditionalFormatting sqref="AJ138">
    <cfRule type="containsText" dxfId="545" priority="341" operator="containsText" text="T">
      <formula>NOT(ISERROR(SEARCH("T",AJ138)))</formula>
    </cfRule>
  </conditionalFormatting>
  <conditionalFormatting sqref="AJ145 AN145:AP145 S146:AM151 AP146:AP151">
    <cfRule type="containsText" dxfId="544" priority="326" operator="containsText" text="T">
      <formula>NOT(ISERROR(SEARCH("T",S145)))</formula>
    </cfRule>
  </conditionalFormatting>
  <conditionalFormatting sqref="AJ192:AJ193">
    <cfRule type="containsText" dxfId="543" priority="264" operator="containsText" text="17">
      <formula>NOT(ISERROR(SEARCH("17",AJ192)))</formula>
    </cfRule>
    <cfRule type="containsText" dxfId="542" priority="265" operator="containsText" text="T">
      <formula>NOT(ISERROR(SEARCH("T",AJ192)))</formula>
    </cfRule>
  </conditionalFormatting>
  <conditionalFormatting sqref="AJ145:AK145 AN145:AP145 AP146:AP151">
    <cfRule type="containsText" dxfId="541" priority="327" operator="containsText" text="17">
      <formula>NOT(ISERROR(SEARCH("17",AJ145)))</formula>
    </cfRule>
  </conditionalFormatting>
  <conditionalFormatting sqref="AJ168:AP168">
    <cfRule type="containsText" dxfId="540" priority="250" operator="containsText" text="17">
      <formula>NOT(ISERROR(SEARCH("17",AJ168)))</formula>
    </cfRule>
    <cfRule type="containsText" dxfId="539" priority="251" operator="containsText" text="T">
      <formula>NOT(ISERROR(SEARCH("T",AJ168)))</formula>
    </cfRule>
  </conditionalFormatting>
  <conditionalFormatting sqref="AJ83:AT85">
    <cfRule type="containsText" dxfId="538" priority="76" operator="containsText" text="17">
      <formula>NOT(ISERROR(SEARCH("17",AJ83)))</formula>
    </cfRule>
  </conditionalFormatting>
  <conditionalFormatting sqref="AJ214:AT217">
    <cfRule type="containsText" dxfId="537" priority="66" operator="containsText" text="17">
      <formula>NOT(ISERROR(SEARCH("17",AJ214)))</formula>
    </cfRule>
  </conditionalFormatting>
  <conditionalFormatting sqref="AK70:AK75">
    <cfRule type="containsText" dxfId="536" priority="428" operator="containsText" text="T">
      <formula>NOT(ISERROR(SEARCH("T",AK70)))</formula>
    </cfRule>
  </conditionalFormatting>
  <conditionalFormatting sqref="AK129:AK130 P127:X130">
    <cfRule type="containsText" dxfId="535" priority="370" operator="containsText" text="17">
      <formula>NOT(ISERROR(SEARCH("17",P127)))</formula>
    </cfRule>
  </conditionalFormatting>
  <conditionalFormatting sqref="AK145">
    <cfRule type="containsText" dxfId="534" priority="328" operator="containsText" text="T">
      <formula>NOT(ISERROR(SEARCH("T",AK145)))</formula>
    </cfRule>
  </conditionalFormatting>
  <conditionalFormatting sqref="AK152 AO152:AQ152 T153:AN158 AQ153:AQ158">
    <cfRule type="containsText" dxfId="533" priority="313" operator="containsText" text="T">
      <formula>NOT(ISERROR(SEARCH("T",T152)))</formula>
    </cfRule>
  </conditionalFormatting>
  <conditionalFormatting sqref="AK168">
    <cfRule type="containsText" dxfId="532" priority="246" operator="containsText" text="17">
      <formula>NOT(ISERROR(SEARCH("17",AK168)))</formula>
    </cfRule>
    <cfRule type="containsText" dxfId="531" priority="247" operator="containsText" text="T">
      <formula>NOT(ISERROR(SEARCH("T",AK168)))</formula>
    </cfRule>
  </conditionalFormatting>
  <conditionalFormatting sqref="AK152:AL152 AO152:AQ152 AQ153:AQ158">
    <cfRule type="containsText" dxfId="530" priority="314" operator="containsText" text="17">
      <formula>NOT(ISERROR(SEARCH("17",AK152)))</formula>
    </cfRule>
  </conditionalFormatting>
  <conditionalFormatting sqref="AK175:AQ175">
    <cfRule type="containsText" dxfId="529" priority="237" operator="containsText" text="17">
      <formula>NOT(ISERROR(SEARCH("17",AK175)))</formula>
    </cfRule>
    <cfRule type="containsText" dxfId="528" priority="238" operator="containsText" text="T">
      <formula>NOT(ISERROR(SEARCH("T",AK175)))</formula>
    </cfRule>
  </conditionalFormatting>
  <conditionalFormatting sqref="AL100:AL105">
    <cfRule type="containsText" dxfId="527" priority="415" operator="containsText" text="T">
      <formula>NOT(ISERROR(SEARCH("T",AL100)))</formula>
    </cfRule>
  </conditionalFormatting>
  <conditionalFormatting sqref="AL152">
    <cfRule type="containsText" dxfId="526" priority="315" operator="containsText" text="T">
      <formula>NOT(ISERROR(SEARCH("T",AL152)))</formula>
    </cfRule>
  </conditionalFormatting>
  <conditionalFormatting sqref="AL159 AP159:AR159 U160:AO165 AR160:AR165">
    <cfRule type="containsText" dxfId="525" priority="300" operator="containsText" text="T">
      <formula>NOT(ISERROR(SEARCH("T",U159)))</formula>
    </cfRule>
  </conditionalFormatting>
  <conditionalFormatting sqref="AL175">
    <cfRule type="containsText" dxfId="524" priority="233" operator="containsText" text="17">
      <formula>NOT(ISERROR(SEARCH("17",AL175)))</formula>
    </cfRule>
    <cfRule type="containsText" dxfId="523" priority="234" operator="containsText" text="T">
      <formula>NOT(ISERROR(SEARCH("T",AL175)))</formula>
    </cfRule>
  </conditionalFormatting>
  <conditionalFormatting sqref="AL159:AM159 AP159:AR159 AR160:AR165">
    <cfRule type="containsText" dxfId="522" priority="301" operator="containsText" text="17">
      <formula>NOT(ISERROR(SEARCH("17",AL159)))</formula>
    </cfRule>
  </conditionalFormatting>
  <conditionalFormatting sqref="AL182:AR182">
    <cfRule type="containsText" dxfId="521" priority="224" operator="containsText" text="17">
      <formula>NOT(ISERROR(SEARCH("17",AL182)))</formula>
    </cfRule>
    <cfRule type="containsText" dxfId="520" priority="225" operator="containsText" text="T">
      <formula>NOT(ISERROR(SEARCH("T",AL182)))</formula>
    </cfRule>
  </conditionalFormatting>
  <conditionalFormatting sqref="AM159">
    <cfRule type="containsText" dxfId="519" priority="302" operator="containsText" text="T">
      <formula>NOT(ISERROR(SEARCH("T",AM159)))</formula>
    </cfRule>
  </conditionalFormatting>
  <conditionalFormatting sqref="AM182">
    <cfRule type="containsText" dxfId="518" priority="220" operator="containsText" text="17">
      <formula>NOT(ISERROR(SEARCH("17",AM182)))</formula>
    </cfRule>
    <cfRule type="containsText" dxfId="517" priority="221" operator="containsText" text="T">
      <formula>NOT(ISERROR(SEARCH("T",AM182)))</formula>
    </cfRule>
  </conditionalFormatting>
  <conditionalFormatting sqref="AM207 AQ207:AS207 V208:AP213 AS208:AS213">
    <cfRule type="containsText" dxfId="516" priority="287" operator="containsText" text="T">
      <formula>NOT(ISERROR(SEARCH("T",V207)))</formula>
    </cfRule>
  </conditionalFormatting>
  <conditionalFormatting sqref="AM207:AN207 AQ207:AS207 AS208:AS213">
    <cfRule type="containsText" dxfId="515" priority="288" operator="containsText" text="17">
      <formula>NOT(ISERROR(SEARCH("17",AM207)))</formula>
    </cfRule>
  </conditionalFormatting>
  <conditionalFormatting sqref="AM90:AS90">
    <cfRule type="containsText" dxfId="514" priority="211" operator="containsText" text="17">
      <formula>NOT(ISERROR(SEARCH("17",AM90)))</formula>
    </cfRule>
    <cfRule type="containsText" dxfId="513" priority="212" operator="containsText" text="T">
      <formula>NOT(ISERROR(SEARCH("T",AM90)))</formula>
    </cfRule>
  </conditionalFormatting>
  <conditionalFormatting sqref="AN90">
    <cfRule type="containsText" dxfId="512" priority="207" operator="containsText" text="17">
      <formula>NOT(ISERROR(SEARCH("17",AN90)))</formula>
    </cfRule>
    <cfRule type="containsText" dxfId="511" priority="208" operator="containsText" text="T">
      <formula>NOT(ISERROR(SEARCH("T",AN90)))</formula>
    </cfRule>
  </conditionalFormatting>
  <conditionalFormatting sqref="AN132:AN137">
    <cfRule type="containsText" dxfId="510" priority="362" operator="containsText" text="T">
      <formula>NOT(ISERROR(SEARCH("T",AN132)))</formula>
    </cfRule>
  </conditionalFormatting>
  <conditionalFormatting sqref="AN200 AR200:AT200 W201:AQ206 AT201:AT206">
    <cfRule type="containsText" dxfId="509" priority="274" operator="containsText" text="T">
      <formula>NOT(ISERROR(SEARCH("T",W200)))</formula>
    </cfRule>
  </conditionalFormatting>
  <conditionalFormatting sqref="AN207">
    <cfRule type="containsText" dxfId="508" priority="289" operator="containsText" text="T">
      <formula>NOT(ISERROR(SEARCH("T",AN207)))</formula>
    </cfRule>
  </conditionalFormatting>
  <conditionalFormatting sqref="AN200:AO200 AR200:AT200 AT201:AT206">
    <cfRule type="containsText" dxfId="507" priority="275" operator="containsText" text="17">
      <formula>NOT(ISERROR(SEARCH("17",AN200)))</formula>
    </cfRule>
  </conditionalFormatting>
  <conditionalFormatting sqref="AN14:AT14">
    <cfRule type="containsText" dxfId="506" priority="198" operator="containsText" text="17">
      <formula>NOT(ISERROR(SEARCH("17",AN14)))</formula>
    </cfRule>
    <cfRule type="containsText" dxfId="505" priority="199" operator="containsText" text="T">
      <formula>NOT(ISERROR(SEARCH("T",AN14)))</formula>
    </cfRule>
  </conditionalFormatting>
  <conditionalFormatting sqref="AO14">
    <cfRule type="containsText" dxfId="504" priority="194" operator="containsText" text="17">
      <formula>NOT(ISERROR(SEARCH("17",AO14)))</formula>
    </cfRule>
    <cfRule type="containsText" dxfId="503" priority="195" operator="containsText" text="T">
      <formula>NOT(ISERROR(SEARCH("T",AO14)))</formula>
    </cfRule>
  </conditionalFormatting>
  <conditionalFormatting sqref="AO139:AO144">
    <cfRule type="containsText" dxfId="502" priority="349" operator="containsText" text="T">
      <formula>NOT(ISERROR(SEARCH("T",AO139)))</formula>
    </cfRule>
  </conditionalFormatting>
  <conditionalFormatting sqref="AO192:AO193 AS192:AU193 X194:AR199 AU194:AU199">
    <cfRule type="containsText" dxfId="501" priority="261" operator="containsText" text="T">
      <formula>NOT(ISERROR(SEARCH("T",X192)))</formula>
    </cfRule>
  </conditionalFormatting>
  <conditionalFormatting sqref="AO200">
    <cfRule type="containsText" dxfId="500" priority="276" operator="containsText" text="T">
      <formula>NOT(ISERROR(SEARCH("T",AO200)))</formula>
    </cfRule>
  </conditionalFormatting>
  <conditionalFormatting sqref="AO193:AP193 AS193:AU193 AU194:AU199">
    <cfRule type="containsText" dxfId="499" priority="262" operator="containsText" text="17">
      <formula>NOT(ISERROR(SEARCH("17",AO193)))</formula>
    </cfRule>
  </conditionalFormatting>
  <conditionalFormatting sqref="AO34:AU34">
    <cfRule type="containsText" dxfId="498" priority="185" operator="containsText" text="17">
      <formula>NOT(ISERROR(SEARCH("17",AO34)))</formula>
    </cfRule>
    <cfRule type="containsText" dxfId="497" priority="186" operator="containsText" text="T">
      <formula>NOT(ISERROR(SEARCH("T",AO34)))</formula>
    </cfRule>
  </conditionalFormatting>
  <conditionalFormatting sqref="AP34">
    <cfRule type="containsText" dxfId="496" priority="181" operator="containsText" text="17">
      <formula>NOT(ISERROR(SEARCH("17",AP34)))</formula>
    </cfRule>
    <cfRule type="containsText" dxfId="495" priority="182" operator="containsText" text="T">
      <formula>NOT(ISERROR(SEARCH("T",AP34)))</formula>
    </cfRule>
  </conditionalFormatting>
  <conditionalFormatting sqref="AP146:AP151">
    <cfRule type="containsText" dxfId="494" priority="336" operator="containsText" text="T">
      <formula>NOT(ISERROR(SEARCH("T",AP146)))</formula>
    </cfRule>
  </conditionalFormatting>
  <conditionalFormatting sqref="AP168 AT168:AV168 Y169:AS174 AV169:AV174">
    <cfRule type="containsText" dxfId="493" priority="243" operator="containsText" text="T">
      <formula>NOT(ISERROR(SEARCH("T",Y168)))</formula>
    </cfRule>
  </conditionalFormatting>
  <conditionalFormatting sqref="AP192:AP193">
    <cfRule type="containsText" dxfId="492" priority="263" operator="containsText" text="T">
      <formula>NOT(ISERROR(SEARCH("T",AP192)))</formula>
    </cfRule>
  </conditionalFormatting>
  <conditionalFormatting sqref="AP168:AQ168 AT168:AV168 AV169:AV174">
    <cfRule type="containsText" dxfId="491" priority="244" operator="containsText" text="17">
      <formula>NOT(ISERROR(SEARCH("17",AP168)))</formula>
    </cfRule>
  </conditionalFormatting>
  <conditionalFormatting sqref="AP21:AV21">
    <cfRule type="containsText" dxfId="490" priority="172" operator="containsText" text="17">
      <formula>NOT(ISERROR(SEARCH("17",AP21)))</formula>
    </cfRule>
    <cfRule type="containsText" dxfId="489" priority="173" operator="containsText" text="T">
      <formula>NOT(ISERROR(SEARCH("T",AP21)))</formula>
    </cfRule>
  </conditionalFormatting>
  <conditionalFormatting sqref="AQ21">
    <cfRule type="containsText" dxfId="488" priority="168" operator="containsText" text="17">
      <formula>NOT(ISERROR(SEARCH("17",AQ21)))</formula>
    </cfRule>
    <cfRule type="containsText" dxfId="487" priority="169" operator="containsText" text="T">
      <formula>NOT(ISERROR(SEARCH("T",AQ21)))</formula>
    </cfRule>
  </conditionalFormatting>
  <conditionalFormatting sqref="AQ153:AQ158">
    <cfRule type="containsText" dxfId="486" priority="323" operator="containsText" text="T">
      <formula>NOT(ISERROR(SEARCH("T",AQ153)))</formula>
    </cfRule>
  </conditionalFormatting>
  <conditionalFormatting sqref="AQ168">
    <cfRule type="containsText" dxfId="485" priority="245" operator="containsText" text="T">
      <formula>NOT(ISERROR(SEARCH("T",AQ168)))</formula>
    </cfRule>
  </conditionalFormatting>
  <conditionalFormatting sqref="AQ175 AU175:AW175 Z176:AT181 AW176:AW181">
    <cfRule type="containsText" dxfId="484" priority="230" operator="containsText" text="T">
      <formula>NOT(ISERROR(SEARCH("T",Z175)))</formula>
    </cfRule>
  </conditionalFormatting>
  <conditionalFormatting sqref="AQ175:AR175 AU175:AW175 AW176:AW181">
    <cfRule type="containsText" dxfId="483" priority="231" operator="containsText" text="17">
      <formula>NOT(ISERROR(SEARCH("17",AQ175)))</formula>
    </cfRule>
  </conditionalFormatting>
  <conditionalFormatting sqref="AQ41:AW41">
    <cfRule type="containsText" dxfId="482" priority="159" operator="containsText" text="17">
      <formula>NOT(ISERROR(SEARCH("17",AQ41)))</formula>
    </cfRule>
    <cfRule type="containsText" dxfId="481" priority="160" operator="containsText" text="T">
      <formula>NOT(ISERROR(SEARCH("T",AQ41)))</formula>
    </cfRule>
  </conditionalFormatting>
  <conditionalFormatting sqref="AR41">
    <cfRule type="containsText" dxfId="480" priority="155" operator="containsText" text="17">
      <formula>NOT(ISERROR(SEARCH("17",AR41)))</formula>
    </cfRule>
    <cfRule type="containsText" dxfId="479" priority="156" operator="containsText" text="T">
      <formula>NOT(ISERROR(SEARCH("T",AR41)))</formula>
    </cfRule>
  </conditionalFormatting>
  <conditionalFormatting sqref="AR160:AR165">
    <cfRule type="containsText" dxfId="478" priority="310" operator="containsText" text="T">
      <formula>NOT(ISERROR(SEARCH("T",AR160)))</formula>
    </cfRule>
  </conditionalFormatting>
  <conditionalFormatting sqref="AR175">
    <cfRule type="containsText" dxfId="477" priority="232" operator="containsText" text="T">
      <formula>NOT(ISERROR(SEARCH("T",AR175)))</formula>
    </cfRule>
  </conditionalFormatting>
  <conditionalFormatting sqref="AR182 AV182:AX182 AA183:AU190 AX183:AX190">
    <cfRule type="containsText" dxfId="476" priority="217" operator="containsText" text="T">
      <formula>NOT(ISERROR(SEARCH("T",AA182)))</formula>
    </cfRule>
  </conditionalFormatting>
  <conditionalFormatting sqref="AR182:AS182 AV182:AX182 AX183:AX190">
    <cfRule type="containsText" dxfId="475" priority="218" operator="containsText" text="17">
      <formula>NOT(ISERROR(SEARCH("17",AR182)))</formula>
    </cfRule>
  </conditionalFormatting>
  <conditionalFormatting sqref="AR28:AX32">
    <cfRule type="containsText" dxfId="474" priority="148" operator="containsText" text="17">
      <formula>NOT(ISERROR(SEARCH("17",AR28)))</formula>
    </cfRule>
    <cfRule type="containsText" dxfId="473" priority="149" operator="containsText" text="T">
      <formula>NOT(ISERROR(SEARCH("T",AR28)))</formula>
    </cfRule>
  </conditionalFormatting>
  <conditionalFormatting sqref="AR48:AX49">
    <cfRule type="containsText" dxfId="472" priority="138" operator="containsText" text="17">
      <formula>NOT(ISERROR(SEARCH("17",AR48)))</formula>
    </cfRule>
    <cfRule type="containsText" dxfId="471" priority="139" operator="containsText" text="T">
      <formula>NOT(ISERROR(SEARCH("T",AR48)))</formula>
    </cfRule>
  </conditionalFormatting>
  <conditionalFormatting sqref="AS28:AS32">
    <cfRule type="containsText" dxfId="470" priority="145" operator="containsText" text="17">
      <formula>NOT(ISERROR(SEARCH("17",AS28)))</formula>
    </cfRule>
    <cfRule type="containsText" dxfId="469" priority="146" operator="containsText" text="T">
      <formula>NOT(ISERROR(SEARCH("T",AS28)))</formula>
    </cfRule>
  </conditionalFormatting>
  <conditionalFormatting sqref="AS48:AS49">
    <cfRule type="containsText" dxfId="468" priority="135" operator="containsText" text="17">
      <formula>NOT(ISERROR(SEARCH("17",AS48)))</formula>
    </cfRule>
    <cfRule type="containsText" dxfId="467" priority="136" operator="containsText" text="T">
      <formula>NOT(ISERROR(SEARCH("T",AS48)))</formula>
    </cfRule>
  </conditionalFormatting>
  <conditionalFormatting sqref="AS90 AW90:AY90 AB91:AV96 AY91:AY96">
    <cfRule type="containsText" dxfId="466" priority="204" operator="containsText" text="T">
      <formula>NOT(ISERROR(SEARCH("T",AB90)))</formula>
    </cfRule>
  </conditionalFormatting>
  <conditionalFormatting sqref="AS182">
    <cfRule type="containsText" dxfId="465" priority="219" operator="containsText" text="T">
      <formula>NOT(ISERROR(SEARCH("T",AS182)))</formula>
    </cfRule>
  </conditionalFormatting>
  <conditionalFormatting sqref="AS192:AS193 X194:AR199 X192:AF193">
    <cfRule type="containsText" dxfId="464" priority="266" operator="containsText" text="17">
      <formula>NOT(ISERROR(SEARCH("17",X192)))</formula>
    </cfRule>
  </conditionalFormatting>
  <conditionalFormatting sqref="AS208:AS213">
    <cfRule type="containsText" dxfId="463" priority="297" operator="containsText" text="T">
      <formula>NOT(ISERROR(SEARCH("T",AS208)))</formula>
    </cfRule>
  </conditionalFormatting>
  <conditionalFormatting sqref="AS90:AT90 AW90:AY90 AY91:AY96">
    <cfRule type="containsText" dxfId="462" priority="205" operator="containsText" text="17">
      <formula>NOT(ISERROR(SEARCH("17",AS90)))</formula>
    </cfRule>
  </conditionalFormatting>
  <conditionalFormatting sqref="AS50:AY53">
    <cfRule type="containsText" dxfId="461" priority="128" operator="containsText" text="17">
      <formula>NOT(ISERROR(SEARCH("17",AS50)))</formula>
    </cfRule>
    <cfRule type="containsText" dxfId="460" priority="129" operator="containsText" text="T">
      <formula>NOT(ISERROR(SEARCH("T",AS50)))</formula>
    </cfRule>
  </conditionalFormatting>
  <conditionalFormatting sqref="AS63:AY66">
    <cfRule type="containsText" dxfId="459" priority="118" operator="containsText" text="17">
      <formula>NOT(ISERROR(SEARCH("17",AS63)))</formula>
    </cfRule>
    <cfRule type="containsText" dxfId="458" priority="119" operator="containsText" text="T">
      <formula>NOT(ISERROR(SEARCH("T",AS63)))</formula>
    </cfRule>
  </conditionalFormatting>
  <conditionalFormatting sqref="AT14 AX14:AZ14 AC15:AW20 AZ15:AZ20">
    <cfRule type="containsText" dxfId="457" priority="191" operator="containsText" text="T">
      <formula>NOT(ISERROR(SEARCH("T",AC14)))</formula>
    </cfRule>
  </conditionalFormatting>
  <conditionalFormatting sqref="AT50:AT53">
    <cfRule type="containsText" dxfId="456" priority="125" operator="containsText" text="17">
      <formula>NOT(ISERROR(SEARCH("17",AT50)))</formula>
    </cfRule>
    <cfRule type="containsText" dxfId="455" priority="126" operator="containsText" text="T">
      <formula>NOT(ISERROR(SEARCH("T",AT50)))</formula>
    </cfRule>
  </conditionalFormatting>
  <conditionalFormatting sqref="AT63:AT66">
    <cfRule type="containsText" dxfId="454" priority="115" operator="containsText" text="17">
      <formula>NOT(ISERROR(SEARCH("17",AT63)))</formula>
    </cfRule>
    <cfRule type="containsText" dxfId="453" priority="116" operator="containsText" text="T">
      <formula>NOT(ISERROR(SEARCH("T",AT63)))</formula>
    </cfRule>
  </conditionalFormatting>
  <conditionalFormatting sqref="AT90">
    <cfRule type="containsText" dxfId="452" priority="206" operator="containsText" text="T">
      <formula>NOT(ISERROR(SEARCH("T",AT90)))</formula>
    </cfRule>
  </conditionalFormatting>
  <conditionalFormatting sqref="AT201:AT206">
    <cfRule type="containsText" dxfId="451" priority="284" operator="containsText" text="T">
      <formula>NOT(ISERROR(SEARCH("T",AT201)))</formula>
    </cfRule>
  </conditionalFormatting>
  <conditionalFormatting sqref="AT14:AU14 AX14:AZ14 AZ15:AZ20">
    <cfRule type="containsText" dxfId="450" priority="192" operator="containsText" text="17">
      <formula>NOT(ISERROR(SEARCH("17",AT14)))</formula>
    </cfRule>
  </conditionalFormatting>
  <conditionalFormatting sqref="AT59:AZ62">
    <cfRule type="containsText" dxfId="449" priority="104" operator="containsText" text="17">
      <formula>NOT(ISERROR(SEARCH("17",AT59)))</formula>
    </cfRule>
    <cfRule type="containsText" dxfId="448" priority="105" operator="containsText" text="T">
      <formula>NOT(ISERROR(SEARCH("T",AT59)))</formula>
    </cfRule>
  </conditionalFormatting>
  <conditionalFormatting sqref="AT86:AZ89">
    <cfRule type="containsText" dxfId="447" priority="94" operator="containsText" text="17">
      <formula>NOT(ISERROR(SEARCH("17",AT86)))</formula>
    </cfRule>
    <cfRule type="containsText" dxfId="446" priority="95" operator="containsText" text="T">
      <formula>NOT(ISERROR(SEARCH("T",AT86)))</formula>
    </cfRule>
  </conditionalFormatting>
  <conditionalFormatting sqref="AU14">
    <cfRule type="containsText" dxfId="445" priority="193" operator="containsText" text="T">
      <formula>NOT(ISERROR(SEARCH("T",AU14)))</formula>
    </cfRule>
  </conditionalFormatting>
  <conditionalFormatting sqref="AU34 AY34:BA34 AD35:AX40 BA35:BA40">
    <cfRule type="containsText" dxfId="444" priority="178" operator="containsText" text="T">
      <formula>NOT(ISERROR(SEARCH("T",AD34)))</formula>
    </cfRule>
  </conditionalFormatting>
  <conditionalFormatting sqref="AU59:AU62">
    <cfRule type="containsText" dxfId="443" priority="101" operator="containsText" text="17">
      <formula>NOT(ISERROR(SEARCH("17",AU59)))</formula>
    </cfRule>
    <cfRule type="containsText" dxfId="442" priority="102" operator="containsText" text="T">
      <formula>NOT(ISERROR(SEARCH("T",AU59)))</formula>
    </cfRule>
  </conditionalFormatting>
  <conditionalFormatting sqref="AU86:AU89">
    <cfRule type="containsText" dxfId="441" priority="91" operator="containsText" text="17">
      <formula>NOT(ISERROR(SEARCH("17",AU86)))</formula>
    </cfRule>
    <cfRule type="containsText" dxfId="440" priority="92" operator="containsText" text="T">
      <formula>NOT(ISERROR(SEARCH("T",AU86)))</formula>
    </cfRule>
  </conditionalFormatting>
  <conditionalFormatting sqref="AU194:AU199">
    <cfRule type="containsText" dxfId="439" priority="271" operator="containsText" text="T">
      <formula>NOT(ISERROR(SEARCH("T",AU194)))</formula>
    </cfRule>
  </conditionalFormatting>
  <conditionalFormatting sqref="AU34:AV34 AY34:BA34 BA35:BA40">
    <cfRule type="containsText" dxfId="438" priority="179" operator="containsText" text="17">
      <formula>NOT(ISERROR(SEARCH("17",AU34)))</formula>
    </cfRule>
  </conditionalFormatting>
  <conditionalFormatting sqref="AU83:BA85">
    <cfRule type="containsText" dxfId="437" priority="84" operator="containsText" text="17">
      <formula>NOT(ISERROR(SEARCH("17",AU83)))</formula>
    </cfRule>
    <cfRule type="containsText" dxfId="436" priority="85" operator="containsText" text="T">
      <formula>NOT(ISERROR(SEARCH("T",AU83)))</formula>
    </cfRule>
  </conditionalFormatting>
  <conditionalFormatting sqref="AU214:BA217">
    <cfRule type="containsText" dxfId="435" priority="74" operator="containsText" text="17">
      <formula>NOT(ISERROR(SEARCH("17",AU214)))</formula>
    </cfRule>
    <cfRule type="containsText" dxfId="434" priority="75" operator="containsText" text="T">
      <formula>NOT(ISERROR(SEARCH("T",AU214)))</formula>
    </cfRule>
  </conditionalFormatting>
  <conditionalFormatting sqref="AU200:CP206 AT207:CP213 AY182:CP190 J191:CP191 BA14:CP20 J33:CP33 BB34:CP40 AL69:CP75 AR152:CP158 AX175:CP181 J14:AB20 J21:AD27 BC21:CP27 J28:AE32 BE28:CP32 AE28:AF33 J34:AC40 J41:AE47 BD41:CP47 BE48:CP49 J50:AG53 BF50:CP53 AG53:BG53 J54:CP58 BG59:CP62 BF63:CP66 AN67:CP68 J69:M75 J76:J82 AI76:CP78 BH83:CP85 BG86:CP89 J90:AA96 AZ90:CP96 J99:N105 AM99:CP105 J106:K112 AJ106:CP112 AH117:AM119 J120:L126 J127:O130 AN127:CP130 O130:AO130 J131:P137 AO131:CP137 J138:Q144 AP138:CP144 J145:R151 AQ145:CP151 J152:S158 J159:T165 AS159:CP165 J166:CP167 J168:X174 AW168:CP174 J175:Y181 J182:Z190 J192:W199 AV192:CP199 J200:V206 J207:U213 BH214:XFD217 BI218:XFD220 J218:AJ224 BI218:CP224 J225:AK231 BJ225:CP231 J232:AL234 BK232:CP234 AH113:AL116 BK113:CP116 BL117:CP119 AI79:AM82 BL79:CP82 AK120:CP126">
    <cfRule type="containsText" dxfId="433" priority="8090" operator="containsText" text="17">
      <formula>NOT(ISERROR(SEARCH("17",J14)))</formula>
    </cfRule>
  </conditionalFormatting>
  <conditionalFormatting sqref="AV21 AZ21:BB21 AE22:AY27">
    <cfRule type="containsText" dxfId="432" priority="165" operator="containsText" text="T">
      <formula>NOT(ISERROR(SEARCH("T",AE21)))</formula>
    </cfRule>
  </conditionalFormatting>
  <conditionalFormatting sqref="AV34">
    <cfRule type="containsText" dxfId="431" priority="180" operator="containsText" text="T">
      <formula>NOT(ISERROR(SEARCH("T",AV34)))</formula>
    </cfRule>
  </conditionalFormatting>
  <conditionalFormatting sqref="AV83:AV85">
    <cfRule type="containsText" dxfId="430" priority="81" operator="containsText" text="17">
      <formula>NOT(ISERROR(SEARCH("17",AV83)))</formula>
    </cfRule>
    <cfRule type="containsText" dxfId="429" priority="82" operator="containsText" text="T">
      <formula>NOT(ISERROR(SEARCH("T",AV83)))</formula>
    </cfRule>
  </conditionalFormatting>
  <conditionalFormatting sqref="AV169:AV174">
    <cfRule type="containsText" dxfId="428" priority="253" operator="containsText" text="T">
      <formula>NOT(ISERROR(SEARCH("T",AV169)))</formula>
    </cfRule>
  </conditionalFormatting>
  <conditionalFormatting sqref="AV214:AV217">
    <cfRule type="containsText" dxfId="427" priority="71" operator="containsText" text="17">
      <formula>NOT(ISERROR(SEARCH("17",AV214)))</formula>
    </cfRule>
    <cfRule type="containsText" dxfId="426" priority="72" operator="containsText" text="T">
      <formula>NOT(ISERROR(SEARCH("T",AV214)))</formula>
    </cfRule>
  </conditionalFormatting>
  <conditionalFormatting sqref="AV21:AW21 AZ21:BB21 BB22:BY27">
    <cfRule type="containsText" dxfId="425" priority="166" operator="containsText" text="17">
      <formula>NOT(ISERROR(SEARCH("17",AV21)))</formula>
    </cfRule>
  </conditionalFormatting>
  <conditionalFormatting sqref="AV192:CP199 BH214:XFD217 BI218:XFD220 AU200:CP206 AT207:CP213 AN127:CP130 AY182:CP190 AJ106:CP112 AH117:AM119 J120:L126 AM99:CP105 BG86:CP89 AZ90:CP96 AI76:CP78 AL69:CP75 AQ145:CP151 AP138:CP144 AO131:CP137 AR152:CP158 AS159:CP165 BC21:CP27 BE28:CP32 J33:CP33 BB34:CP40 BD41:CP47 BE48:CP49 BF50:CP53 AG53:BG53 J54:CP58 BG59:CP62 BF63:CP66 AN67:CP68 BH83:CP85 AW168:CP174 AX175:CP181 O130:AO130 J14:AB20 BA14:CP20 J21:AD27 J28:AE32 AE28:AF33 J34:AC40 J41:AE47 J69:M75 J76:J82 J90:AA96 J99:N105 J106:K112 J131:P137 J138:Q144 J145:R151 J152:S158 J159:T165 J166:CP167 J168:X174 J175:Y181 J182:Z190 J191:CP191 J192:W199 J200:V206 J207:U213 J218:AJ224 BI218:CP224 J225:AK231 BJ225:CP231 J232:AL234 BK232:CP234 AH113:AL116 BK113:CP116 BL117:CP119 AI79:AM82 BL79:CP82 AK120:CP126">
    <cfRule type="containsText" dxfId="424" priority="6860" operator="containsText" text="T">
      <formula>NOT(ISERROR(SEARCH("T",J14)))</formula>
    </cfRule>
  </conditionalFormatting>
  <conditionalFormatting sqref="AW21">
    <cfRule type="containsText" dxfId="423" priority="167" operator="containsText" text="T">
      <formula>NOT(ISERROR(SEARCH("T",AW21)))</formula>
    </cfRule>
  </conditionalFormatting>
  <conditionalFormatting sqref="AW41 BA41:BC41 AF42:AZ47 BC42:BC47">
    <cfRule type="containsText" dxfId="422" priority="152" operator="containsText" text="T">
      <formula>NOT(ISERROR(SEARCH("T",AF41)))</formula>
    </cfRule>
  </conditionalFormatting>
  <conditionalFormatting sqref="AW176:AW181">
    <cfRule type="containsText" dxfId="421" priority="240" operator="containsText" text="T">
      <formula>NOT(ISERROR(SEARCH("T",AW176)))</formula>
    </cfRule>
  </conditionalFormatting>
  <conditionalFormatting sqref="AW41:AX41 BA41:BC41 BC42:BC47">
    <cfRule type="containsText" dxfId="420" priority="153" operator="containsText" text="17">
      <formula>NOT(ISERROR(SEARCH("17",AW41)))</formula>
    </cfRule>
  </conditionalFormatting>
  <conditionalFormatting sqref="AX28:AX32 BB28:BD32">
    <cfRule type="containsText" dxfId="419" priority="142" operator="containsText" text="T">
      <formula>NOT(ISERROR(SEARCH("T",AX28)))</formula>
    </cfRule>
  </conditionalFormatting>
  <conditionalFormatting sqref="AX41">
    <cfRule type="containsText" dxfId="418" priority="154" operator="containsText" text="T">
      <formula>NOT(ISERROR(SEARCH("T",AX41)))</formula>
    </cfRule>
  </conditionalFormatting>
  <conditionalFormatting sqref="AX48:AX49 BB48:BD49">
    <cfRule type="containsText" dxfId="417" priority="132" operator="containsText" text="T">
      <formula>NOT(ISERROR(SEARCH("T",AX48)))</formula>
    </cfRule>
  </conditionalFormatting>
  <conditionalFormatting sqref="AX109">
    <cfRule type="containsText" dxfId="416" priority="3987" operator="containsText" text="17">
      <formula>NOT(ISERROR(SEARCH("17",AX109)))</formula>
    </cfRule>
    <cfRule type="containsText" dxfId="415" priority="3988" operator="containsText" text="T">
      <formula>NOT(ISERROR(SEARCH("T",AX109)))</formula>
    </cfRule>
  </conditionalFormatting>
  <conditionalFormatting sqref="AX145:AX148">
    <cfRule type="containsText" dxfId="414" priority="1226" operator="containsText" text="17">
      <formula>NOT(ISERROR(SEARCH("17",AX145)))</formula>
    </cfRule>
    <cfRule type="containsText" dxfId="413" priority="1227" operator="containsText" text="T">
      <formula>NOT(ISERROR(SEARCH("T",AX145)))</formula>
    </cfRule>
  </conditionalFormatting>
  <conditionalFormatting sqref="AX170">
    <cfRule type="containsText" dxfId="412" priority="8285" operator="containsText" text="17">
      <formula>NOT(ISERROR(SEARCH("17",AX170)))</formula>
    </cfRule>
    <cfRule type="containsText" dxfId="411" priority="8286" operator="containsText" text="T">
      <formula>NOT(ISERROR(SEARCH("T",AX170)))</formula>
    </cfRule>
  </conditionalFormatting>
  <conditionalFormatting sqref="AX183:AX190">
    <cfRule type="containsText" dxfId="410" priority="227" operator="containsText" text="T">
      <formula>NOT(ISERROR(SEARCH("T",AX183)))</formula>
    </cfRule>
  </conditionalFormatting>
  <conditionalFormatting sqref="AX192">
    <cfRule type="containsText" dxfId="409" priority="1926" operator="containsText" text="17">
      <formula>NOT(ISERROR(SEARCH("17",AX192)))</formula>
    </cfRule>
    <cfRule type="containsText" dxfId="408" priority="1927" operator="containsText" text="T">
      <formula>NOT(ISERROR(SEARCH("T",AX192)))</formula>
    </cfRule>
    <cfRule type="containsText" dxfId="407" priority="5823" operator="containsText" text="17">
      <formula>NOT(ISERROR(SEARCH("17",AX192)))</formula>
    </cfRule>
    <cfRule type="containsText" dxfId="406" priority="5824" operator="containsText" text="T">
      <formula>NOT(ISERROR(SEARCH("T",AX192)))</formula>
    </cfRule>
  </conditionalFormatting>
  <conditionalFormatting sqref="AX196:AX198">
    <cfRule type="containsText" dxfId="405" priority="6851" operator="containsText" text="17">
      <formula>NOT(ISERROR(SEARCH("17",AX196)))</formula>
    </cfRule>
    <cfRule type="containsText" dxfId="404" priority="6852" operator="containsText" text="T">
      <formula>NOT(ISERROR(SEARCH("T",AX196)))</formula>
    </cfRule>
  </conditionalFormatting>
  <conditionalFormatting sqref="AX28:AY32 BB28:BD32">
    <cfRule type="containsText" dxfId="403" priority="143" operator="containsText" text="17">
      <formula>NOT(ISERROR(SEARCH("17",AX28)))</formula>
    </cfRule>
  </conditionalFormatting>
  <conditionalFormatting sqref="AX48:AY49 BB48:BD49">
    <cfRule type="containsText" dxfId="402" priority="133" operator="containsText" text="17">
      <formula>NOT(ISERROR(SEARCH("17",AX48)))</formula>
    </cfRule>
  </conditionalFormatting>
  <conditionalFormatting sqref="AX131:AY136 BB131:BB136 BD131:BF136 AZ135:BA136 BC135:BC136 BG135:BK136 AX137:BL137 AX138:AZ142 BC138:BC142 BE138:BG142 BA142:BB142 BD142 BH142:BL142 AX143:BM144 BO143:BP144 BT145:BT148 AX149:BN154 BQ152:BR158 AX155:BF155 BH155:BN155 BG155:BG158 AX156:BB158 BE156:BE158 BH156:BI158 BR159:BR160 AX159:BO162 BP161:BP165 AX163:BC165 BF163:BF165 BH163:BJ165">
    <cfRule type="containsText" dxfId="401" priority="8091" operator="containsText" text="T">
      <formula>NOT(ISERROR(SEARCH("T",AX131)))</formula>
    </cfRule>
  </conditionalFormatting>
  <conditionalFormatting sqref="AX72:AZ72">
    <cfRule type="containsText" dxfId="400" priority="3169" operator="containsText" text="17">
      <formula>NOT(ISERROR(SEARCH("17",AX72)))</formula>
    </cfRule>
    <cfRule type="containsText" dxfId="399" priority="3170" operator="containsText" text="T">
      <formula>NOT(ISERROR(SEARCH("T",AX72)))</formula>
    </cfRule>
  </conditionalFormatting>
  <conditionalFormatting sqref="AZ93:BB93">
    <cfRule type="containsText" dxfId="398" priority="3613" operator="containsText" text="17">
      <formula>NOT(ISERROR(SEARCH("17",AZ93)))</formula>
    </cfRule>
    <cfRule type="containsText" dxfId="397" priority="3614" operator="containsText" text="T">
      <formula>NOT(ISERROR(SEARCH("T",AZ93)))</formula>
    </cfRule>
  </conditionalFormatting>
  <conditionalFormatting sqref="AX156:AZ158">
    <cfRule type="containsText" dxfId="396" priority="996" operator="containsText" text="17">
      <formula>NOT(ISERROR(SEARCH("17",AX156)))</formula>
    </cfRule>
    <cfRule type="containsText" dxfId="395" priority="997" operator="containsText" text="T">
      <formula>NOT(ISERROR(SEARCH("T",AX156)))</formula>
    </cfRule>
  </conditionalFormatting>
  <conditionalFormatting sqref="AX131:BA134">
    <cfRule type="containsText" dxfId="394" priority="1198" operator="containsText" text="17">
      <formula>NOT(ISERROR(SEARCH("17",AX131)))</formula>
    </cfRule>
    <cfRule type="containsText" dxfId="393" priority="1199" operator="containsText" text="T">
      <formula>NOT(ISERROR(SEARCH("T",AX131)))</formula>
    </cfRule>
  </conditionalFormatting>
  <conditionalFormatting sqref="AX163:BA165">
    <cfRule type="containsText" dxfId="392" priority="986" operator="containsText" text="17">
      <formula>NOT(ISERROR(SEARCH("17",AX163)))</formula>
    </cfRule>
    <cfRule type="containsText" dxfId="391" priority="987" operator="containsText" text="T">
      <formula>NOT(ISERROR(SEARCH("T",AX163)))</formula>
    </cfRule>
  </conditionalFormatting>
  <conditionalFormatting sqref="AX138:BB141">
    <cfRule type="containsText" dxfId="390" priority="1170" operator="containsText" text="17">
      <formula>NOT(ISERROR(SEARCH("17",AX138)))</formula>
    </cfRule>
    <cfRule type="containsText" dxfId="389" priority="1171" operator="containsText" text="T">
      <formula>NOT(ISERROR(SEARCH("T",AX138)))</formula>
    </cfRule>
  </conditionalFormatting>
  <conditionalFormatting sqref="AX199:BB199 AX206:BA206 AX213:AZ213 BP199:BR199 BO206:BQ206 BN213:BP213 BT199 BS206 BR213 BV199 BU206 BT213">
    <cfRule type="containsText" dxfId="388" priority="4617" operator="containsText" text="17">
      <formula>NOT(ISERROR(SEARCH("17",AX199)))</formula>
    </cfRule>
  </conditionalFormatting>
  <conditionalFormatting sqref="AX199:BB199 BP199:BR199 BT199 BV199 AX206:BA206 BO206:BQ206 BS206 BU206 AX213:AZ213 BN213:BP213 BR213 BT213">
    <cfRule type="containsText" dxfId="387" priority="4618" operator="containsText" text="T">
      <formula>NOT(ISERROR(SEARCH("T",AX199)))</formula>
    </cfRule>
  </conditionalFormatting>
  <conditionalFormatting sqref="AX33:BC33">
    <cfRule type="containsText" dxfId="386" priority="8389" operator="containsText" text="T">
      <formula>NOT(ISERROR(SEARCH("T",AX33)))</formula>
    </cfRule>
  </conditionalFormatting>
  <conditionalFormatting sqref="AX70:BC70">
    <cfRule type="containsText" dxfId="385" priority="7412" operator="containsText" text="T">
      <formula>NOT(ISERROR(SEARCH("T",AX70)))</formula>
    </cfRule>
  </conditionalFormatting>
  <conditionalFormatting sqref="AX145:BC148">
    <cfRule type="containsText" dxfId="384" priority="1224" operator="containsText" text="17">
      <formula>NOT(ISERROR(SEARCH("17",AX145)))</formula>
    </cfRule>
    <cfRule type="containsText" dxfId="383" priority="1225" operator="containsText" text="T">
      <formula>NOT(ISERROR(SEARCH("T",AX145)))</formula>
    </cfRule>
  </conditionalFormatting>
  <conditionalFormatting sqref="AX199:BE199 AX206:BD206 AX213:BC213">
    <cfRule type="containsText" dxfId="382" priority="4625" operator="containsText" text="17">
      <formula>NOT(ISERROR(SEARCH("17",AX199)))</formula>
    </cfRule>
    <cfRule type="containsText" dxfId="381" priority="4626" operator="containsText" text="T">
      <formula>NOT(ISERROR(SEARCH("T",AX199)))</formula>
    </cfRule>
  </conditionalFormatting>
  <conditionalFormatting sqref="AX102:BF102">
    <cfRule type="containsText" dxfId="380" priority="3703" operator="containsText" text="17">
      <formula>NOT(ISERROR(SEARCH("17",AX102)))</formula>
    </cfRule>
    <cfRule type="containsText" dxfId="379" priority="3704" operator="containsText" text="T">
      <formula>NOT(ISERROR(SEARCH("T",AX102)))</formula>
    </cfRule>
  </conditionalFormatting>
  <conditionalFormatting sqref="AX109:BG109 AX123:BD123">
    <cfRule type="containsText" dxfId="378" priority="3965" operator="containsText" text="17">
      <formula>NOT(ISERROR(SEARCH("17",AX109)))</formula>
    </cfRule>
    <cfRule type="containsText" dxfId="377" priority="3966" operator="containsText" text="T">
      <formula>NOT(ISERROR(SEARCH("T",AX109)))</formula>
    </cfRule>
  </conditionalFormatting>
  <conditionalFormatting sqref="AX72:BI72">
    <cfRule type="containsText" dxfId="376" priority="3147" operator="containsText" text="17">
      <formula>NOT(ISERROR(SEARCH("17",AX72)))</formula>
    </cfRule>
    <cfRule type="containsText" dxfId="375" priority="3148" operator="containsText" text="T">
      <formula>NOT(ISERROR(SEARCH("T",AX72)))</formula>
    </cfRule>
  </conditionalFormatting>
  <conditionalFormatting sqref="AX101:BI101">
    <cfRule type="containsText" dxfId="374" priority="8309" operator="containsText" text="17">
      <formula>NOT(ISERROR(SEARCH("17",AX101)))</formula>
    </cfRule>
    <cfRule type="containsText" dxfId="373" priority="8310" operator="containsText" text="T">
      <formula>NOT(ISERROR(SEARCH("T",AX101)))</formula>
    </cfRule>
  </conditionalFormatting>
  <conditionalFormatting sqref="AX131:BK134">
    <cfRule type="containsText" dxfId="372" priority="1178" operator="containsText" text="17">
      <formula>NOT(ISERROR(SEARCH("17",AX131)))</formula>
    </cfRule>
    <cfRule type="containsText" dxfId="371" priority="1179" operator="containsText" text="T">
      <formula>NOT(ISERROR(SEARCH("T",AX131)))</formula>
    </cfRule>
  </conditionalFormatting>
  <conditionalFormatting sqref="AX71:BL71">
    <cfRule type="containsText" dxfId="370" priority="8325" operator="containsText" text="17">
      <formula>NOT(ISERROR(SEARCH("17",AX71)))</formula>
    </cfRule>
    <cfRule type="containsText" dxfId="369" priority="8326" operator="containsText" text="T">
      <formula>NOT(ISERROR(SEARCH("T",AX71)))</formula>
    </cfRule>
  </conditionalFormatting>
  <conditionalFormatting sqref="AX138:BL141">
    <cfRule type="containsText" dxfId="368" priority="1152" operator="containsText" text="17">
      <formula>NOT(ISERROR(SEARCH("17",AX138)))</formula>
    </cfRule>
    <cfRule type="containsText" dxfId="367" priority="1153" operator="containsText" text="T">
      <formula>NOT(ISERROR(SEARCH("T",AX138)))</formula>
    </cfRule>
  </conditionalFormatting>
  <conditionalFormatting sqref="BK232:BV234 BJ228:BV231">
    <cfRule type="containsText" dxfId="366" priority="5243" operator="containsText" text="17">
      <formula>NOT(ISERROR(SEARCH("17",BJ228)))</formula>
    </cfRule>
    <cfRule type="containsText" dxfId="365" priority="5244" operator="containsText" text="T">
      <formula>NOT(ISERROR(SEARCH("T",BJ228)))</formula>
    </cfRule>
    <cfRule type="containsText" dxfId="364" priority="5247" operator="containsText" text="17">
      <formula>NOT(ISERROR(SEARCH("17",BJ228)))</formula>
    </cfRule>
    <cfRule type="containsText" dxfId="363" priority="5248" operator="containsText" text="T">
      <formula>NOT(ISERROR(SEARCH("T",BJ228)))</formula>
    </cfRule>
  </conditionalFormatting>
  <conditionalFormatting sqref="AY28:AY32">
    <cfRule type="containsText" dxfId="362" priority="144" operator="containsText" text="T">
      <formula>NOT(ISERROR(SEARCH("T",AY28)))</formula>
    </cfRule>
  </conditionalFormatting>
  <conditionalFormatting sqref="AY33">
    <cfRule type="containsText" dxfId="361" priority="7763" operator="containsText" text="17">
      <formula>NOT(ISERROR(SEARCH("17",AY33)))</formula>
    </cfRule>
    <cfRule type="containsText" dxfId="360" priority="7764" operator="containsText" text="T">
      <formula>NOT(ISERROR(SEARCH("T",AY33)))</formula>
    </cfRule>
  </conditionalFormatting>
  <conditionalFormatting sqref="AY48:AY49">
    <cfRule type="containsText" dxfId="359" priority="134" operator="containsText" text="T">
      <formula>NOT(ISERROR(SEARCH("T",AY48)))</formula>
    </cfRule>
  </conditionalFormatting>
  <conditionalFormatting sqref="AY50:AY53 BC50:BE53">
    <cfRule type="containsText" dxfId="358" priority="122" operator="containsText" text="T">
      <formula>NOT(ISERROR(SEARCH("T",AY50)))</formula>
    </cfRule>
  </conditionalFormatting>
  <conditionalFormatting sqref="AY63:AY66 BC63:BN66">
    <cfRule type="containsText" dxfId="357" priority="112" operator="containsText" text="T">
      <formula>NOT(ISERROR(SEARCH("T",AY63)))</formula>
    </cfRule>
  </conditionalFormatting>
  <conditionalFormatting sqref="AY91:AY96">
    <cfRule type="containsText" dxfId="356" priority="214" operator="containsText" text="T">
      <formula>NOT(ISERROR(SEARCH("T",AY91)))</formula>
    </cfRule>
  </conditionalFormatting>
  <conditionalFormatting sqref="AY189">
    <cfRule type="containsText" dxfId="355" priority="4449" operator="containsText" text="17">
      <formula>NOT(ISERROR(SEARCH("17",AY189)))</formula>
    </cfRule>
    <cfRule type="containsText" dxfId="354" priority="4450" operator="containsText" text="T">
      <formula>NOT(ISERROR(SEARCH("T",AY189)))</formula>
    </cfRule>
    <cfRule type="containsText" dxfId="353" priority="4467" operator="containsText" text="17">
      <formula>NOT(ISERROR(SEARCH("17",AY189)))</formula>
    </cfRule>
    <cfRule type="containsText" dxfId="352" priority="4468" operator="containsText" text="T">
      <formula>NOT(ISERROR(SEARCH("T",AY189)))</formula>
    </cfRule>
  </conditionalFormatting>
  <conditionalFormatting sqref="AY190 AX191:BH191 BK191 BO191:BS191">
    <cfRule type="containsText" dxfId="351" priority="8071" operator="containsText" text="T">
      <formula>NOT(ISERROR(SEARCH("T",AX190)))</formula>
    </cfRule>
  </conditionalFormatting>
  <conditionalFormatting sqref="AY199 AX206">
    <cfRule type="containsText" dxfId="350" priority="1700" operator="containsText" text="17">
      <formula>NOT(ISERROR(SEARCH("17",AX199)))</formula>
    </cfRule>
    <cfRule type="containsText" dxfId="349" priority="1701" operator="containsText" text="T">
      <formula>NOT(ISERROR(SEARCH("T",AX199)))</formula>
    </cfRule>
  </conditionalFormatting>
  <conditionalFormatting sqref="AY50:AZ53 BC50:BE53">
    <cfRule type="containsText" dxfId="348" priority="123" operator="containsText" text="17">
      <formula>NOT(ISERROR(SEARCH("17",AY50)))</formula>
    </cfRule>
  </conditionalFormatting>
  <conditionalFormatting sqref="AY63:AZ66 BC63:BE66">
    <cfRule type="containsText" dxfId="347" priority="113" operator="containsText" text="17">
      <formula>NOT(ISERROR(SEARCH("17",AY63)))</formula>
    </cfRule>
  </conditionalFormatting>
  <conditionalFormatting sqref="AY145:BL148">
    <cfRule type="containsText" dxfId="346" priority="1204" operator="containsText" text="17">
      <formula>NOT(ISERROR(SEARCH("17",AY145)))</formula>
    </cfRule>
    <cfRule type="containsText" dxfId="345" priority="1205" operator="containsText" text="T">
      <formula>NOT(ISERROR(SEARCH("T",AY145)))</formula>
    </cfRule>
  </conditionalFormatting>
  <conditionalFormatting sqref="AY169:BV173 AY174">
    <cfRule type="containsText" dxfId="344" priority="496" operator="containsText" text="T">
      <formula>NOT(ISERROR(SEARCH("T",AY169)))</formula>
    </cfRule>
  </conditionalFormatting>
  <conditionalFormatting sqref="AY193:BV213 AX195:BV195 BH214:BV215">
    <cfRule type="containsText" dxfId="343" priority="471" operator="containsText" text="T">
      <formula>NOT(ISERROR(SEARCH("T",AX193)))</formula>
    </cfRule>
    <cfRule type="containsText" dxfId="342" priority="472" operator="containsText" text="17">
      <formula>NOT(ISERROR(SEARCH("17",AX193)))</formula>
    </cfRule>
  </conditionalFormatting>
  <conditionalFormatting sqref="AZ15:AZ20">
    <cfRule type="containsText" dxfId="341" priority="201" operator="containsText" text="T">
      <formula>NOT(ISERROR(SEARCH("T",AZ15)))</formula>
    </cfRule>
  </conditionalFormatting>
  <conditionalFormatting sqref="AZ50:AZ53">
    <cfRule type="containsText" dxfId="340" priority="124" operator="containsText" text="T">
      <formula>NOT(ISERROR(SEARCH("T",AZ50)))</formula>
    </cfRule>
  </conditionalFormatting>
  <conditionalFormatting sqref="AZ63:AZ66">
    <cfRule type="containsText" dxfId="339" priority="114" operator="containsText" text="T">
      <formula>NOT(ISERROR(SEARCH("T",AZ63)))</formula>
    </cfRule>
  </conditionalFormatting>
  <conditionalFormatting sqref="AZ86:AZ89 BD86:BF89">
    <cfRule type="containsText" dxfId="338" priority="88" operator="containsText" text="T">
      <formula>NOT(ISERROR(SEARCH("T",AZ86)))</formula>
    </cfRule>
  </conditionalFormatting>
  <conditionalFormatting sqref="AZ59:BA62 BD59:BF62">
    <cfRule type="containsText" dxfId="337" priority="99" operator="containsText" text="17">
      <formula>NOT(ISERROR(SEARCH("17",AZ59)))</formula>
    </cfRule>
  </conditionalFormatting>
  <conditionalFormatting sqref="AZ86:BA89 BD86:BF89">
    <cfRule type="containsText" dxfId="336" priority="89" operator="containsText" text="17">
      <formula>NOT(ISERROR(SEARCH("17",AZ86)))</formula>
    </cfRule>
  </conditionalFormatting>
  <conditionalFormatting sqref="AZ175:BW178">
    <cfRule type="containsText" dxfId="335" priority="490" operator="containsText" text="T">
      <formula>NOT(ISERROR(SEARCH("T",AZ175)))</formula>
    </cfRule>
  </conditionalFormatting>
  <conditionalFormatting sqref="AZ180:BW183">
    <cfRule type="containsText" dxfId="334" priority="484" operator="containsText" text="T">
      <formula>NOT(ISERROR(SEARCH("T",AZ180)))</formula>
    </cfRule>
  </conditionalFormatting>
  <conditionalFormatting sqref="AZ185:BW190">
    <cfRule type="containsText" dxfId="333" priority="478" operator="containsText" text="T">
      <formula>NOT(ISERROR(SEARCH("T",AZ185)))</formula>
    </cfRule>
  </conditionalFormatting>
  <conditionalFormatting sqref="BA22:BA27">
    <cfRule type="containsText" dxfId="332" priority="106" operator="containsText" text="T">
      <formula>NOT(ISERROR(SEARCH("T",BA22)))</formula>
    </cfRule>
    <cfRule type="containsText" dxfId="331" priority="107" operator="containsText" text="17">
      <formula>NOT(ISERROR(SEARCH("17",BA22)))</formula>
    </cfRule>
  </conditionalFormatting>
  <conditionalFormatting sqref="BA35:BA40">
    <cfRule type="containsText" dxfId="330" priority="188" operator="containsText" text="T">
      <formula>NOT(ISERROR(SEARCH("T",BA35)))</formula>
    </cfRule>
  </conditionalFormatting>
  <conditionalFormatting sqref="BA59:BA62">
    <cfRule type="containsText" dxfId="329" priority="100" operator="containsText" text="T">
      <formula>NOT(ISERROR(SEARCH("T",BA59)))</formula>
    </cfRule>
  </conditionalFormatting>
  <conditionalFormatting sqref="BA83:BA85 BE83:BG85">
    <cfRule type="containsText" dxfId="328" priority="78" operator="containsText" text="T">
      <formula>NOT(ISERROR(SEARCH("T",BA83)))</formula>
    </cfRule>
  </conditionalFormatting>
  <conditionalFormatting sqref="BA86:BA89">
    <cfRule type="containsText" dxfId="327" priority="90" operator="containsText" text="T">
      <formula>NOT(ISERROR(SEARCH("T",BA86)))</formula>
    </cfRule>
  </conditionalFormatting>
  <conditionalFormatting sqref="BA102">
    <cfRule type="containsText" dxfId="326" priority="3719" operator="containsText" text="17">
      <formula>NOT(ISERROR(SEARCH("17",BA102)))</formula>
    </cfRule>
    <cfRule type="containsText" dxfId="325" priority="3720" operator="containsText" text="T">
      <formula>NOT(ISERROR(SEARCH("T",BA102)))</formula>
    </cfRule>
  </conditionalFormatting>
  <conditionalFormatting sqref="BA199 AZ206 AY213">
    <cfRule type="containsText" dxfId="324" priority="4613" operator="containsText" text="17">
      <formula>NOT(ISERROR(SEARCH("17",AY199)))</formula>
    </cfRule>
    <cfRule type="containsText" dxfId="323" priority="4614" operator="containsText" text="T">
      <formula>NOT(ISERROR(SEARCH("T",AY199)))</formula>
    </cfRule>
  </conditionalFormatting>
  <conditionalFormatting sqref="BA214:BA217 BE214:BG217">
    <cfRule type="containsText" dxfId="322" priority="68" operator="containsText" text="T">
      <formula>NOT(ISERROR(SEARCH("T",BA214)))</formula>
    </cfRule>
  </conditionalFormatting>
  <conditionalFormatting sqref="BA22:BB27">
    <cfRule type="containsText" dxfId="321" priority="109" operator="containsText" text="T">
      <formula>NOT(ISERROR(SEARCH("T",BA22)))</formula>
    </cfRule>
  </conditionalFormatting>
  <conditionalFormatting sqref="BA83:BB85 BE83:BG85">
    <cfRule type="containsText" dxfId="320" priority="79" operator="containsText" text="17">
      <formula>NOT(ISERROR(SEARCH("17",BA83)))</formula>
    </cfRule>
  </conditionalFormatting>
  <conditionalFormatting sqref="BA214:BB217 BE214:BG217">
    <cfRule type="containsText" dxfId="319" priority="69" operator="containsText" text="17">
      <formula>NOT(ISERROR(SEARCH("17",BA214)))</formula>
    </cfRule>
  </conditionalFormatting>
  <conditionalFormatting sqref="BB22:BB27">
    <cfRule type="containsText" dxfId="318" priority="175" operator="containsText" text="T">
      <formula>NOT(ISERROR(SEARCH("T",BB22)))</formula>
    </cfRule>
  </conditionalFormatting>
  <conditionalFormatting sqref="BB83:BB85">
    <cfRule type="containsText" dxfId="317" priority="80" operator="containsText" text="T">
      <formula>NOT(ISERROR(SEARCH("T",BB83)))</formula>
    </cfRule>
  </conditionalFormatting>
  <conditionalFormatting sqref="BB109 AY123">
    <cfRule type="containsText" dxfId="316" priority="3981" operator="containsText" text="17">
      <formula>NOT(ISERROR(SEARCH("17",AY109)))</formula>
    </cfRule>
    <cfRule type="containsText" dxfId="315" priority="3982" operator="containsText" text="T">
      <formula>NOT(ISERROR(SEARCH("T",AY109)))</formula>
    </cfRule>
  </conditionalFormatting>
  <conditionalFormatting sqref="BB199 BD199:BI199 BA206 BC206:BH206 AZ213 BB213:BG213">
    <cfRule type="containsText" dxfId="314" priority="4627" operator="containsText" text="17">
      <formula>NOT(ISERROR(SEARCH("17",AZ199)))</formula>
    </cfRule>
    <cfRule type="containsText" dxfId="313" priority="4628" operator="containsText" text="T">
      <formula>NOT(ISERROR(SEARCH("T",AZ199)))</formula>
    </cfRule>
  </conditionalFormatting>
  <conditionalFormatting sqref="BB214:BB217">
    <cfRule type="containsText" dxfId="312" priority="70" operator="containsText" text="T">
      <formula>NOT(ISERROR(SEARCH("T",BB214)))</formula>
    </cfRule>
  </conditionalFormatting>
  <conditionalFormatting sqref="BB35:BC40 AX54:BC58 AX67:BC69 BK69:BM69 BN69:BN70 AX73:BJ78 BB93:BC96 BF93:BF96 AY99:AZ100 BJ120:BK120 BJ121:BJ122 BD124:BD126 BK131:BK136 BS161:BS165 AX166:BI167 BL166:BM167 BP166:BS167 AX175:AX178 AX196:AX198 AX203:BT205 BV203:BV205 BU210:BU212 AX212:BS212 BO97:BP97 BS97:BT97 AX97:AZ98 BB97:BB98">
    <cfRule type="containsText" dxfId="311" priority="8103" operator="containsText" text="T">
      <formula>NOT(ISERROR(SEARCH("T",AX35)))</formula>
    </cfRule>
  </conditionalFormatting>
  <conditionalFormatting sqref="BB156:BD158">
    <cfRule type="containsText" dxfId="310" priority="998" operator="containsText" text="17">
      <formula>NOT(ISERROR(SEARCH("17",BB156)))</formula>
    </cfRule>
    <cfRule type="containsText" dxfId="309" priority="999" operator="containsText" text="T">
      <formula>NOT(ISERROR(SEARCH("T",BB156)))</formula>
    </cfRule>
  </conditionalFormatting>
  <conditionalFormatting sqref="BB169:BL173">
    <cfRule type="containsText" dxfId="308" priority="500" operator="containsText" text="17">
      <formula>NOT(ISERROR(SEARCH("17",BB169)))</formula>
    </cfRule>
  </conditionalFormatting>
  <conditionalFormatting sqref="BB170:BN173">
    <cfRule type="containsText" dxfId="307" priority="497" operator="containsText" text="17">
      <formula>NOT(ISERROR(SEARCH("17",BB170)))</formula>
    </cfRule>
  </conditionalFormatting>
  <conditionalFormatting sqref="BB194:BN194 BB196:BN198">
    <cfRule type="containsText" dxfId="306" priority="473" operator="containsText" text="17">
      <formula>NOT(ISERROR(SEARCH("17",BB194)))</formula>
    </cfRule>
  </conditionalFormatting>
  <conditionalFormatting sqref="BC34">
    <cfRule type="containsText" dxfId="305" priority="7617" operator="containsText" text="17">
      <formula>NOT(ISERROR(SEARCH("17",BC34)))</formula>
    </cfRule>
    <cfRule type="containsText" dxfId="304" priority="7618" operator="containsText" text="T">
      <formula>NOT(ISERROR(SEARCH("T",BC34)))</formula>
    </cfRule>
    <cfRule type="containsText" dxfId="303" priority="7619" operator="containsText" text="17">
      <formula>NOT(ISERROR(SEARCH("17",BC34)))</formula>
    </cfRule>
    <cfRule type="containsText" dxfId="302" priority="7620" operator="containsText" text="T">
      <formula>NOT(ISERROR(SEARCH("T",BC34)))</formula>
    </cfRule>
  </conditionalFormatting>
  <conditionalFormatting sqref="BC42:BC47">
    <cfRule type="containsText" dxfId="301" priority="162" operator="containsText" text="T">
      <formula>NOT(ISERROR(SEARCH("T",BC42)))</formula>
    </cfRule>
  </conditionalFormatting>
  <conditionalFormatting sqref="BC199 BB206 BA213 BS127">
    <cfRule type="containsText" dxfId="300" priority="1702" operator="containsText" text="17">
      <formula>NOT(ISERROR(SEARCH("17",BA127)))</formula>
    </cfRule>
  </conditionalFormatting>
  <conditionalFormatting sqref="BC163:BE165">
    <cfRule type="containsText" dxfId="299" priority="988" operator="containsText" text="17">
      <formula>NOT(ISERROR(SEARCH("17",BC163)))</formula>
    </cfRule>
    <cfRule type="containsText" dxfId="298" priority="989" operator="containsText" text="T">
      <formula>NOT(ISERROR(SEARCH("T",BC163)))</formula>
    </cfRule>
  </conditionalFormatting>
  <conditionalFormatting sqref="BC156:BF158 BI156:BN158">
    <cfRule type="containsText" dxfId="297" priority="994" operator="containsText" text="17">
      <formula>NOT(ISERROR(SEARCH("17",BC156)))</formula>
    </cfRule>
    <cfRule type="containsText" dxfId="296" priority="995" operator="containsText" text="T">
      <formula>NOT(ISERROR(SEARCH("T",BC156)))</formula>
    </cfRule>
  </conditionalFormatting>
  <conditionalFormatting sqref="BC16:BO20">
    <cfRule type="containsText" dxfId="295" priority="7936" operator="containsText" text="17">
      <formula>NOT(ISERROR(SEARCH("17",BC16)))</formula>
    </cfRule>
  </conditionalFormatting>
  <conditionalFormatting sqref="BC176:BO178">
    <cfRule type="containsText" dxfId="294" priority="491" operator="containsText" text="17">
      <formula>NOT(ISERROR(SEARCH("17",BC176)))</formula>
    </cfRule>
  </conditionalFormatting>
  <conditionalFormatting sqref="BC181:BO183">
    <cfRule type="containsText" dxfId="293" priority="485" operator="containsText" text="17">
      <formula>NOT(ISERROR(SEARCH("17",BC181)))</formula>
    </cfRule>
  </conditionalFormatting>
  <conditionalFormatting sqref="BC186:BO190">
    <cfRule type="containsText" dxfId="292" priority="479" operator="containsText" text="17">
      <formula>NOT(ISERROR(SEARCH("17",BC186)))</formula>
    </cfRule>
  </conditionalFormatting>
  <conditionalFormatting sqref="BC199:BR199 BB206:BQ206 BA213:BP213 BS127">
    <cfRule type="containsText" dxfId="291" priority="4607" operator="containsText" text="17">
      <formula>NOT(ISERROR(SEARCH("17",BA127)))</formula>
    </cfRule>
  </conditionalFormatting>
  <conditionalFormatting sqref="BD72">
    <cfRule type="containsText" dxfId="290" priority="3163" operator="containsText" text="17">
      <formula>NOT(ISERROR(SEARCH("17",BD72)))</formula>
    </cfRule>
    <cfRule type="containsText" dxfId="289" priority="3164" operator="containsText" text="T">
      <formula>NOT(ISERROR(SEARCH("T",BD72)))</formula>
    </cfRule>
  </conditionalFormatting>
  <conditionalFormatting sqref="BD163:BG165 BJ163:BO165">
    <cfRule type="containsText" dxfId="288" priority="984" operator="containsText" text="17">
      <formula>NOT(ISERROR(SEARCH("17",BD163)))</formula>
    </cfRule>
    <cfRule type="containsText" dxfId="287" priority="985" operator="containsText" text="T">
      <formula>NOT(ISERROR(SEARCH("T",BD163)))</formula>
    </cfRule>
  </conditionalFormatting>
  <conditionalFormatting sqref="BD54:BN62 AZ59:AZ62">
    <cfRule type="containsText" dxfId="286" priority="98" operator="containsText" text="T">
      <formula>NOT(ISERROR(SEARCH("T",AZ54)))</formula>
    </cfRule>
  </conditionalFormatting>
  <conditionalFormatting sqref="BD35:CA39">
    <cfRule type="containsText" dxfId="285" priority="606" operator="containsText" text="T">
      <formula>NOT(ISERROR(SEARCH("T",BD35)))</formula>
    </cfRule>
  </conditionalFormatting>
  <conditionalFormatting sqref="BD41:CA45">
    <cfRule type="containsText" dxfId="284" priority="599" operator="containsText" text="T">
      <formula>NOT(ISERROR(SEARCH("T",BD41)))</formula>
    </cfRule>
  </conditionalFormatting>
  <conditionalFormatting sqref="BD47:CA47 BE48:CA48">
    <cfRule type="containsText" dxfId="283" priority="594" operator="containsText" text="T">
      <formula>NOT(ISERROR(SEARCH("T",BD47)))</formula>
    </cfRule>
  </conditionalFormatting>
  <conditionalFormatting sqref="BE131:BE134">
    <cfRule type="containsText" dxfId="282" priority="1192" operator="containsText" text="17">
      <formula>NOT(ISERROR(SEARCH("17",BE131)))</formula>
    </cfRule>
    <cfRule type="containsText" dxfId="281" priority="1193" operator="containsText" text="T">
      <formula>NOT(ISERROR(SEARCH("T",BE131)))</formula>
    </cfRule>
  </conditionalFormatting>
  <conditionalFormatting sqref="BE199:BF199 BD206:BE206 BC213:BD213">
    <cfRule type="containsText" dxfId="280" priority="1698" operator="containsText" text="17">
      <formula>NOT(ISERROR(SEARCH("17",BC199)))</formula>
    </cfRule>
    <cfRule type="containsText" dxfId="279" priority="1699" operator="containsText" text="T">
      <formula>NOT(ISERROR(SEARCH("T",BC199)))</formula>
    </cfRule>
  </conditionalFormatting>
  <conditionalFormatting sqref="BE23:BQ27">
    <cfRule type="containsText" dxfId="278" priority="619" operator="containsText" text="17">
      <formula>NOT(ISERROR(SEARCH("17",BE23)))</formula>
    </cfRule>
  </conditionalFormatting>
  <conditionalFormatting sqref="BF93:BF96 AZ94:BB96 AX97:BO97 BS97 AX98:BL98 AX124:BE126 BG69:BI69 BG94:BI96 BQ149:BQ151 BM231:BV234">
    <cfRule type="containsText" dxfId="277" priority="8132" operator="containsText" text="17">
      <formula>NOT(ISERROR(SEARCH("17",AX69)))</formula>
    </cfRule>
  </conditionalFormatting>
  <conditionalFormatting sqref="BF138:BF141">
    <cfRule type="containsText" dxfId="276" priority="1166" operator="containsText" text="17">
      <formula>NOT(ISERROR(SEARCH("17",BF138)))</formula>
    </cfRule>
    <cfRule type="containsText" dxfId="275" priority="1167" operator="containsText" text="T">
      <formula>NOT(ISERROR(SEARCH("T",BF138)))</formula>
    </cfRule>
  </conditionalFormatting>
  <conditionalFormatting sqref="BF102:BG102 BJ102">
    <cfRule type="containsText" dxfId="274" priority="3716" operator="containsText" text="T">
      <formula>NOT(ISERROR(SEARCH("T",BF102)))</formula>
    </cfRule>
  </conditionalFormatting>
  <conditionalFormatting sqref="BF50:CA52 BF53:BN53 BD67:BN68">
    <cfRule type="containsText" dxfId="273" priority="589" operator="containsText" text="T">
      <formula>NOT(ISERROR(SEARCH("T",BD50)))</formula>
    </cfRule>
  </conditionalFormatting>
  <conditionalFormatting sqref="BG70">
    <cfRule type="containsText" dxfId="272" priority="8339" operator="containsText" text="17">
      <formula>NOT(ISERROR(SEARCH("17",BG70)))</formula>
    </cfRule>
    <cfRule type="containsText" dxfId="271" priority="8340" operator="containsText" text="T">
      <formula>NOT(ISERROR(SEARCH("T",BG70)))</formula>
    </cfRule>
    <cfRule type="containsText" dxfId="270" priority="8343" operator="containsText" text="17">
      <formula>NOT(ISERROR(SEARCH("17",BG70)))</formula>
    </cfRule>
    <cfRule type="containsText" dxfId="269" priority="8344" operator="containsText" text="T">
      <formula>NOT(ISERROR(SEARCH("T",BG70)))</formula>
    </cfRule>
  </conditionalFormatting>
  <conditionalFormatting sqref="BG86 BG93:BI93">
    <cfRule type="containsText" dxfId="268" priority="3657" operator="containsText" text="17">
      <formula>NOT(ISERROR(SEARCH("17",BG86)))</formula>
    </cfRule>
    <cfRule type="containsText" dxfId="267" priority="3658" operator="containsText" text="T">
      <formula>NOT(ISERROR(SEARCH("T",BG86)))</formula>
    </cfRule>
  </conditionalFormatting>
  <conditionalFormatting sqref="BG131:BG133">
    <cfRule type="containsText" dxfId="266" priority="1176" operator="containsText" text="17">
      <formula>NOT(ISERROR(SEARCH("17",BG131)))</formula>
    </cfRule>
    <cfRule type="containsText" dxfId="265" priority="1177" operator="containsText" text="T">
      <formula>NOT(ISERROR(SEARCH("T",BG131)))</formula>
    </cfRule>
  </conditionalFormatting>
  <conditionalFormatting sqref="BG145:BG148">
    <cfRule type="containsText" dxfId="264" priority="1220" operator="containsText" text="17">
      <formula>NOT(ISERROR(SEARCH("17",BG145)))</formula>
    </cfRule>
    <cfRule type="containsText" dxfId="263" priority="1221" operator="containsText" text="T">
      <formula>NOT(ISERROR(SEARCH("T",BG145)))</formula>
    </cfRule>
  </conditionalFormatting>
  <conditionalFormatting sqref="BL79">
    <cfRule type="containsText" dxfId="262" priority="3426" operator="containsText" text="T">
      <formula>NOT(ISERROR(SEARCH("T",BL79)))</formula>
    </cfRule>
  </conditionalFormatting>
  <conditionalFormatting sqref="BG109:BH109 BK109 BD123:BE123 BH123">
    <cfRule type="containsText" dxfId="261" priority="3978" operator="containsText" text="T">
      <formula>NOT(ISERROR(SEARCH("T",BD109)))</formula>
    </cfRule>
  </conditionalFormatting>
  <conditionalFormatting sqref="BG69:BI69 BF93:BF96 AZ94:BB96 BG94:BI96 AX97:BO97 BS97 AX98:BL98 AX124:BE126 BQ149:BQ151 BM231:BV234">
    <cfRule type="containsText" dxfId="260" priority="8133" operator="containsText" text="T">
      <formula>NOT(ISERROR(SEARCH("T",AX69)))</formula>
    </cfRule>
  </conditionalFormatting>
  <conditionalFormatting sqref="BG35:BQ39">
    <cfRule type="containsText" dxfId="259" priority="610" operator="containsText" text="17">
      <formula>NOT(ISERROR(SEARCH("17",BG35)))</formula>
    </cfRule>
  </conditionalFormatting>
  <conditionalFormatting sqref="BG41:BQ45">
    <cfRule type="containsText" dxfId="258" priority="603" operator="containsText" text="17">
      <formula>NOT(ISERROR(SEARCH("17",BG41)))</formula>
    </cfRule>
  </conditionalFormatting>
  <conditionalFormatting sqref="BG47:BQ48">
    <cfRule type="containsText" dxfId="257" priority="598" operator="containsText" text="17">
      <formula>NOT(ISERROR(SEARCH("17",BG47)))</formula>
    </cfRule>
  </conditionalFormatting>
  <conditionalFormatting sqref="BG50:BQ52">
    <cfRule type="containsText" dxfId="256" priority="593" operator="containsText" text="17">
      <formula>NOT(ISERROR(SEARCH("17",BG50)))</formula>
    </cfRule>
  </conditionalFormatting>
  <conditionalFormatting sqref="BG30:BS33">
    <cfRule type="containsText" dxfId="255" priority="613" operator="containsText" text="17">
      <formula>NOT(ISERROR(SEARCH("17",BG30)))</formula>
    </cfRule>
  </conditionalFormatting>
  <conditionalFormatting sqref="BG36:BS39">
    <cfRule type="containsText" dxfId="254" priority="607" operator="containsText" text="17">
      <formula>NOT(ISERROR(SEARCH("17",BG36)))</formula>
    </cfRule>
  </conditionalFormatting>
  <conditionalFormatting sqref="BG42:BS45">
    <cfRule type="containsText" dxfId="253" priority="600" operator="containsText" text="17">
      <formula>NOT(ISERROR(SEARCH("17",BG42)))</formula>
    </cfRule>
  </conditionalFormatting>
  <conditionalFormatting sqref="BG48:BS48">
    <cfRule type="containsText" dxfId="252" priority="595" operator="containsText" text="17">
      <formula>NOT(ISERROR(SEARCH("17",BG48)))</formula>
    </cfRule>
  </conditionalFormatting>
  <conditionalFormatting sqref="BG51:BS52 BG53:BN68">
    <cfRule type="containsText" dxfId="251" priority="590" operator="containsText" text="17">
      <formula>NOT(ISERROR(SEARCH("17",BG51)))</formula>
    </cfRule>
  </conditionalFormatting>
  <conditionalFormatting sqref="BH138:BH140">
    <cfRule type="containsText" dxfId="250" priority="1202" operator="containsText" text="17">
      <formula>NOT(ISERROR(SEARCH("17",BH138)))</formula>
    </cfRule>
    <cfRule type="containsText" dxfId="249" priority="1203" operator="containsText" text="T">
      <formula>NOT(ISERROR(SEARCH("T",BH138)))</formula>
    </cfRule>
  </conditionalFormatting>
  <conditionalFormatting sqref="BH214:BI216">
    <cfRule type="containsText" dxfId="248" priority="5413" operator="containsText" text="17">
      <formula>NOT(ISERROR(SEARCH("17",BH214)))</formula>
    </cfRule>
    <cfRule type="containsText" dxfId="247" priority="5414" operator="containsText" text="T">
      <formula>NOT(ISERROR(SEARCH("T",BH214)))</formula>
    </cfRule>
  </conditionalFormatting>
  <conditionalFormatting sqref="BH84:CE89">
    <cfRule type="containsText" dxfId="246" priority="566" operator="containsText" text="17">
      <formula>NOT(ISERROR(SEARCH("17",BH84)))</formula>
    </cfRule>
  </conditionalFormatting>
  <conditionalFormatting sqref="BI72:BJ72 BM72">
    <cfRule type="containsText" dxfId="245" priority="3160" operator="containsText" text="T">
      <formula>NOT(ISERROR(SEARCH("T",BI72)))</formula>
    </cfRule>
  </conditionalFormatting>
  <conditionalFormatting sqref="BI214:BJ216 BM214:BM216">
    <cfRule type="containsText" dxfId="244" priority="5420" operator="containsText" text="T">
      <formula>NOT(ISERROR(SEARCH("T",BI214)))</formula>
    </cfRule>
  </conditionalFormatting>
  <conditionalFormatting sqref="BJ102 BF102:BG102">
    <cfRule type="containsText" dxfId="243" priority="3715" operator="containsText" text="17">
      <formula>NOT(ISERROR(SEARCH("17",BF102)))</formula>
    </cfRule>
  </conditionalFormatting>
  <conditionalFormatting sqref="BJ102">
    <cfRule type="containsText" dxfId="242" priority="3713" operator="containsText" text="17">
      <formula>NOT(ISERROR(SEARCH("17",BJ102)))</formula>
    </cfRule>
    <cfRule type="containsText" dxfId="241" priority="3714" operator="containsText" text="T">
      <formula>NOT(ISERROR(SEARCH("T",BJ102)))</formula>
    </cfRule>
  </conditionalFormatting>
  <conditionalFormatting sqref="BJ152:BJ154">
    <cfRule type="containsText" dxfId="240" priority="992" operator="containsText" text="17">
      <formula>NOT(ISERROR(SEARCH("17",BJ152)))</formula>
    </cfRule>
    <cfRule type="containsText" dxfId="239" priority="993" operator="containsText" text="T">
      <formula>NOT(ISERROR(SEARCH("T",BJ152)))</formula>
    </cfRule>
  </conditionalFormatting>
  <conditionalFormatting sqref="BJ199 BI206 BH213">
    <cfRule type="containsText" dxfId="238" priority="4605" operator="containsText" text="17">
      <formula>NOT(ISERROR(SEARCH("17",BH199)))</formula>
    </cfRule>
    <cfRule type="containsText" dxfId="237" priority="4606" operator="containsText" text="T">
      <formula>NOT(ISERROR(SEARCH("T",BH199)))</formula>
    </cfRule>
  </conditionalFormatting>
  <conditionalFormatting sqref="BJ131:BK134 BN131:BN134">
    <cfRule type="containsText" dxfId="236" priority="1189" operator="containsText" text="T">
      <formula>NOT(ISERROR(SEARCH("T",BJ131)))</formula>
    </cfRule>
  </conditionalFormatting>
  <conditionalFormatting sqref="BK109 BH123 BG109:BH109 BD123:BE123">
    <cfRule type="containsText" dxfId="235" priority="3977" operator="containsText" text="17">
      <formula>NOT(ISERROR(SEARCH("17",BD109)))</formula>
    </cfRule>
  </conditionalFormatting>
  <conditionalFormatting sqref="BK109 BH123">
    <cfRule type="containsText" dxfId="234" priority="3975" operator="containsText" text="17">
      <formula>NOT(ISERROR(SEARCH("17",BH109)))</formula>
    </cfRule>
    <cfRule type="containsText" dxfId="233" priority="3976" operator="containsText" text="T">
      <formula>NOT(ISERROR(SEARCH("T",BH109)))</formula>
    </cfRule>
  </conditionalFormatting>
  <conditionalFormatting sqref="BK199 BJ206 BI213">
    <cfRule type="containsText" dxfId="232" priority="4621" operator="containsText" text="17">
      <formula>NOT(ISERROR(SEARCH("17",BI199)))</formula>
    </cfRule>
    <cfRule type="containsText" dxfId="231" priority="4622" operator="containsText" text="T">
      <formula>NOT(ISERROR(SEARCH("T",BI199)))</formula>
    </cfRule>
  </conditionalFormatting>
  <conditionalFormatting sqref="BK217:BK223 BL224:BL230">
    <cfRule type="containsText" dxfId="230" priority="5171" operator="containsText" text="17">
      <formula>NOT(ISERROR(SEARCH("17",BK217)))</formula>
    </cfRule>
    <cfRule type="containsText" dxfId="229" priority="5172" operator="containsText" text="T">
      <formula>NOT(ISERROR(SEARCH("T",BK217)))</formula>
    </cfRule>
  </conditionalFormatting>
  <conditionalFormatting sqref="BL79">
    <cfRule type="containsText" dxfId="228" priority="3425" operator="containsText" text="17">
      <formula>NOT(ISERROR(SEARCH("17",BL79)))</formula>
    </cfRule>
  </conditionalFormatting>
  <conditionalFormatting sqref="BK138:BL141 BO138:BO141">
    <cfRule type="containsText" dxfId="227" priority="1163" operator="containsText" text="T">
      <formula>NOT(ISERROR(SEARCH("T",BK138)))</formula>
    </cfRule>
  </conditionalFormatting>
  <conditionalFormatting sqref="BK70:BM70">
    <cfRule type="containsText" dxfId="226" priority="7411" operator="containsText" text="T">
      <formula>NOT(ISERROR(SEARCH("T",BK70)))</formula>
    </cfRule>
  </conditionalFormatting>
  <conditionalFormatting sqref="BK217:BN217">
    <cfRule type="containsText" dxfId="225" priority="4869" operator="containsText" text="17">
      <formula>NOT(ISERROR(SEARCH("17",BK217)))</formula>
    </cfRule>
    <cfRule type="containsText" dxfId="224" priority="4870" operator="containsText" text="T">
      <formula>NOT(ISERROR(SEARCH("T",BK217)))</formula>
    </cfRule>
  </conditionalFormatting>
  <conditionalFormatting sqref="BK218:BN223">
    <cfRule type="containsText" dxfId="223" priority="5177" operator="containsText" text="17">
      <formula>NOT(ISERROR(SEARCH("17",BK218)))</formula>
    </cfRule>
    <cfRule type="containsText" dxfId="222" priority="5178" operator="containsText" text="T">
      <formula>NOT(ISERROR(SEARCH("T",BK218)))</formula>
    </cfRule>
  </conditionalFormatting>
  <conditionalFormatting sqref="BK85:BW89">
    <cfRule type="containsText" dxfId="221" priority="567" operator="containsText" text="17">
      <formula>NOT(ISERROR(SEARCH("17",BK85)))</formula>
    </cfRule>
  </conditionalFormatting>
  <conditionalFormatting sqref="BL145:BM148 BP145:BQ148">
    <cfRule type="containsText" dxfId="220" priority="1217" operator="containsText" text="T">
      <formula>NOT(ISERROR(SEARCH("T",BL145)))</formula>
    </cfRule>
  </conditionalFormatting>
  <conditionalFormatting sqref="BL199:BM199 BK206:BL206 BJ213:BK213">
    <cfRule type="containsText" dxfId="219" priority="1696" operator="containsText" text="17">
      <formula>NOT(ISERROR(SEARCH("17",BJ199)))</formula>
    </cfRule>
    <cfRule type="containsText" dxfId="218" priority="1697" operator="containsText" text="T">
      <formula>NOT(ISERROR(SEARCH("T",BJ199)))</formula>
    </cfRule>
  </conditionalFormatting>
  <conditionalFormatting sqref="BL224:BP230 BO214:BO223">
    <cfRule type="containsText" dxfId="217" priority="5175" operator="containsText" text="17">
      <formula>NOT(ISERROR(SEARCH("17",BL214)))</formula>
    </cfRule>
  </conditionalFormatting>
  <conditionalFormatting sqref="BL217:BQ217">
    <cfRule type="containsText" dxfId="216" priority="4871" operator="containsText" text="17">
      <formula>NOT(ISERROR(SEARCH("17",BL217)))</formula>
    </cfRule>
    <cfRule type="containsText" dxfId="215" priority="4872" operator="containsText" text="T">
      <formula>NOT(ISERROR(SEARCH("T",BL217)))</formula>
    </cfRule>
  </conditionalFormatting>
  <conditionalFormatting sqref="BL218:BQ223 BM224:BV230">
    <cfRule type="containsText" dxfId="214" priority="5183" operator="containsText" text="17">
      <formula>NOT(ISERROR(SEARCH("17",BL218)))</formula>
    </cfRule>
    <cfRule type="containsText" dxfId="213" priority="5184" operator="containsText" text="T">
      <formula>NOT(ISERROR(SEARCH("T",BL218)))</formula>
    </cfRule>
  </conditionalFormatting>
  <conditionalFormatting sqref="BL117:CI120 CI121:CI122">
    <cfRule type="containsText" dxfId="212" priority="538" operator="containsText" text="17">
      <formula>NOT(ISERROR(SEARCH("17",BL117)))</formula>
    </cfRule>
  </conditionalFormatting>
  <conditionalFormatting sqref="BM72 BI72:BJ72">
    <cfRule type="containsText" dxfId="211" priority="3159" operator="containsText" text="17">
      <formula>NOT(ISERROR(SEARCH("17",BI72)))</formula>
    </cfRule>
  </conditionalFormatting>
  <conditionalFormatting sqref="BM72">
    <cfRule type="containsText" dxfId="210" priority="3157" operator="containsText" text="17">
      <formula>NOT(ISERROR(SEARCH("17",BM72)))</formula>
    </cfRule>
    <cfRule type="containsText" dxfId="209" priority="3158" operator="containsText" text="T">
      <formula>NOT(ISERROR(SEARCH("T",BM72)))</formula>
    </cfRule>
  </conditionalFormatting>
  <conditionalFormatting sqref="BM214:BM216 BI214:BJ216">
    <cfRule type="containsText" dxfId="208" priority="5419" operator="containsText" text="17">
      <formula>NOT(ISERROR(SEARCH("17",BI214)))</formula>
    </cfRule>
  </conditionalFormatting>
  <conditionalFormatting sqref="BM214:BM216">
    <cfRule type="containsText" dxfId="207" priority="5417" operator="containsText" text="17">
      <formula>NOT(ISERROR(SEARCH("17",BM214)))</formula>
    </cfRule>
    <cfRule type="containsText" dxfId="206" priority="5418" operator="containsText" text="T">
      <formula>NOT(ISERROR(SEARCH("T",BM214)))</formula>
    </cfRule>
  </conditionalFormatting>
  <conditionalFormatting sqref="BM169:BN169 BO169:BU173">
    <cfRule type="containsText" dxfId="205" priority="498" operator="containsText" text="17">
      <formula>NOT(ISERROR(SEARCH("17",BM169)))</formula>
    </cfRule>
    <cfRule type="containsText" dxfId="204" priority="499" operator="containsText" text="T">
      <formula>NOT(ISERROR(SEARCH("T",BM169)))</formula>
    </cfRule>
  </conditionalFormatting>
  <conditionalFormatting sqref="BM193:BN215 BP193:BU215">
    <cfRule type="containsText" dxfId="203" priority="475" operator="containsText" text="T">
      <formula>NOT(ISERROR(SEARCH("T",BM193)))</formula>
    </cfRule>
  </conditionalFormatting>
  <conditionalFormatting sqref="BM193:BU215">
    <cfRule type="containsText" dxfId="202" priority="474" operator="containsText" text="17">
      <formula>NOT(ISERROR(SEARCH("17",BM193)))</formula>
    </cfRule>
  </conditionalFormatting>
  <conditionalFormatting sqref="BM92:BY96">
    <cfRule type="containsText" dxfId="201" priority="561" operator="containsText" text="17">
      <formula>NOT(ISERROR(SEARCH("17",BM92)))</formula>
    </cfRule>
  </conditionalFormatting>
  <conditionalFormatting sqref="BM79:CJ82 CF83:CJ84">
    <cfRule type="containsText" dxfId="200" priority="572" operator="containsText" text="17">
      <formula>NOT(ISERROR(SEARCH("17",BM79)))</formula>
    </cfRule>
  </conditionalFormatting>
  <conditionalFormatting sqref="BM105:CJ109">
    <cfRule type="containsText" dxfId="199" priority="550" operator="containsText" text="17">
      <formula>NOT(ISERROR(SEARCH("17",BM105)))</formula>
    </cfRule>
  </conditionalFormatting>
  <conditionalFormatting sqref="BM111:CJ115 CJ116">
    <cfRule type="containsText" dxfId="198" priority="544" operator="containsText" text="17">
      <formula>NOT(ISERROR(SEARCH("17",BM111)))</formula>
    </cfRule>
  </conditionalFormatting>
  <conditionalFormatting sqref="BN131:BN134 BJ131:BK134">
    <cfRule type="containsText" dxfId="197" priority="1188" operator="containsText" text="17">
      <formula>NOT(ISERROR(SEARCH("17",BJ131)))</formula>
    </cfRule>
  </conditionalFormatting>
  <conditionalFormatting sqref="BN131:BN134">
    <cfRule type="containsText" dxfId="196" priority="1186" operator="containsText" text="17">
      <formula>NOT(ISERROR(SEARCH("17",BN131)))</formula>
    </cfRule>
    <cfRule type="containsText" dxfId="195" priority="1187" operator="containsText" text="T">
      <formula>NOT(ISERROR(SEARCH("T",BN131)))</formula>
    </cfRule>
  </conditionalFormatting>
  <conditionalFormatting sqref="BN15:BO15 BP15:BV20">
    <cfRule type="containsText" dxfId="194" priority="7937" operator="containsText" text="17">
      <formula>NOT(ISERROR(SEARCH("17",BN15)))</formula>
    </cfRule>
  </conditionalFormatting>
  <conditionalFormatting sqref="BN15:BO15 BQ15:BU15">
    <cfRule type="containsText" dxfId="193" priority="7938" operator="containsText" text="T">
      <formula>NOT(ISERROR(SEARCH("T",BN15)))</formula>
    </cfRule>
  </conditionalFormatting>
  <conditionalFormatting sqref="BN175:BO175 BP175:BV178">
    <cfRule type="containsText" dxfId="192" priority="492" operator="containsText" text="17">
      <formula>NOT(ISERROR(SEARCH("17",BN175)))</formula>
    </cfRule>
    <cfRule type="containsText" dxfId="191" priority="493" operator="containsText" text="T">
      <formula>NOT(ISERROR(SEARCH("T",BN175)))</formula>
    </cfRule>
  </conditionalFormatting>
  <conditionalFormatting sqref="BN180:BO180 BP180:BV183">
    <cfRule type="containsText" dxfId="190" priority="486" operator="containsText" text="17">
      <formula>NOT(ISERROR(SEARCH("17",BN180)))</formula>
    </cfRule>
    <cfRule type="containsText" dxfId="189" priority="487" operator="containsText" text="T">
      <formula>NOT(ISERROR(SEARCH("T",BN180)))</formula>
    </cfRule>
  </conditionalFormatting>
  <conditionalFormatting sqref="BN185:BO185 BP185:BV190">
    <cfRule type="containsText" dxfId="188" priority="480" operator="containsText" text="17">
      <formula>NOT(ISERROR(SEARCH("17",BN185)))</formula>
    </cfRule>
    <cfRule type="containsText" dxfId="187" priority="481" operator="containsText" text="T">
      <formula>NOT(ISERROR(SEARCH("T",BN185)))</formula>
    </cfRule>
  </conditionalFormatting>
  <conditionalFormatting sqref="BN123:BZ126">
    <cfRule type="containsText" dxfId="186" priority="533" operator="containsText" text="17">
      <formula>NOT(ISERROR(SEARCH("17",BN123)))</formula>
    </cfRule>
  </conditionalFormatting>
  <conditionalFormatting sqref="BN73:CK77 CK78">
    <cfRule type="containsText" dxfId="185" priority="578" operator="containsText" text="17">
      <formula>NOT(ISERROR(SEARCH("17",BN73)))</formula>
    </cfRule>
  </conditionalFormatting>
  <conditionalFormatting sqref="BO134">
    <cfRule type="containsText" dxfId="184" priority="1200" operator="containsText" text="17">
      <formula>NOT(ISERROR(SEARCH("17",BO134)))</formula>
    </cfRule>
    <cfRule type="containsText" dxfId="183" priority="1201" operator="containsText" text="T">
      <formula>NOT(ISERROR(SEARCH("T",BO134)))</formula>
    </cfRule>
  </conditionalFormatting>
  <conditionalFormatting sqref="BO138:BO141 BK138:BL141">
    <cfRule type="containsText" dxfId="182" priority="1162" operator="containsText" text="17">
      <formula>NOT(ISERROR(SEARCH("17",BK138)))</formula>
    </cfRule>
  </conditionalFormatting>
  <conditionalFormatting sqref="BO138:BO141">
    <cfRule type="containsText" dxfId="181" priority="1160" operator="containsText" text="17">
      <formula>NOT(ISERROR(SEARCH("17",BO138)))</formula>
    </cfRule>
    <cfRule type="containsText" dxfId="180" priority="1161" operator="containsText" text="T">
      <formula>NOT(ISERROR(SEARCH("T",BO138)))</formula>
    </cfRule>
  </conditionalFormatting>
  <conditionalFormatting sqref="BO193:BO215 BP194:BT194 BM195:BS195 BO196:BT198">
    <cfRule type="containsText" dxfId="179" priority="477" operator="containsText" text="T">
      <formula>NOT(ISERROR(SEARCH("T",BM193)))</formula>
    </cfRule>
  </conditionalFormatting>
  <conditionalFormatting sqref="BO214:BO216">
    <cfRule type="containsText" dxfId="178" priority="5441" operator="containsText" text="17">
      <formula>NOT(ISERROR(SEARCH("17",BO214)))</formula>
    </cfRule>
    <cfRule type="containsText" dxfId="177" priority="5442" operator="containsText" text="T">
      <formula>NOT(ISERROR(SEARCH("T",BO214)))</formula>
    </cfRule>
  </conditionalFormatting>
  <conditionalFormatting sqref="BO214:BO223 BL224:BP230">
    <cfRule type="containsText" dxfId="176" priority="5176" operator="containsText" text="T">
      <formula>NOT(ISERROR(SEARCH("T",BL214)))</formula>
    </cfRule>
  </conditionalFormatting>
  <conditionalFormatting sqref="BO118:CA120">
    <cfRule type="containsText" dxfId="175" priority="539" operator="containsText" text="17">
      <formula>NOT(ISERROR(SEARCH("17",BO118)))</formula>
    </cfRule>
  </conditionalFormatting>
  <conditionalFormatting sqref="BP141">
    <cfRule type="containsText" dxfId="174" priority="1174" operator="containsText" text="17">
      <formula>NOT(ISERROR(SEARCH("17",BP141)))</formula>
    </cfRule>
    <cfRule type="containsText" dxfId="173" priority="1175" operator="containsText" text="T">
      <formula>NOT(ISERROR(SEARCH("T",BP141)))</formula>
    </cfRule>
  </conditionalFormatting>
  <conditionalFormatting sqref="BP145:BP148">
    <cfRule type="containsText" dxfId="172" priority="1214" operator="containsText" text="17">
      <formula>NOT(ISERROR(SEARCH("17",BP145)))</formula>
    </cfRule>
    <cfRule type="containsText" dxfId="171" priority="1215" operator="containsText" text="T">
      <formula>NOT(ISERROR(SEARCH("T",BP145)))</formula>
    </cfRule>
  </conditionalFormatting>
  <conditionalFormatting sqref="BP217:BP223 BQ224:BQ230 BR217:BU223">
    <cfRule type="containsText" dxfId="170" priority="5185" operator="containsText" text="17">
      <formula>NOT(ISERROR(SEARCH("17",BP217)))</formula>
    </cfRule>
  </conditionalFormatting>
  <conditionalFormatting sqref="BP217:BP223 BR217:BU223 BQ224:BQ230">
    <cfRule type="containsText" dxfId="169" priority="5186" operator="containsText" text="T">
      <formula>NOT(ISERROR(SEARCH("T",BP217)))</formula>
    </cfRule>
  </conditionalFormatting>
  <conditionalFormatting sqref="BP22:BQ22 BR22:BX27">
    <cfRule type="containsText" dxfId="168" priority="621" operator="containsText" text="T">
      <formula>NOT(ISERROR(SEARCH("T",BP22)))</formula>
    </cfRule>
  </conditionalFormatting>
  <conditionalFormatting sqref="BP22:BQ22">
    <cfRule type="containsText" dxfId="167" priority="620" operator="containsText" text="17">
      <formula>NOT(ISERROR(SEARCH("17",BP22)))</formula>
    </cfRule>
  </conditionalFormatting>
  <conditionalFormatting sqref="BP145:BQ148 BL145:BM148">
    <cfRule type="containsText" dxfId="166" priority="1216" operator="containsText" text="17">
      <formula>NOT(ISERROR(SEARCH("17",BL145)))</formula>
    </cfRule>
  </conditionalFormatting>
  <conditionalFormatting sqref="BP194:BT194 BM195:BS195 BO196:BT198">
    <cfRule type="containsText" dxfId="165" priority="476" operator="containsText" text="17">
      <formula>NOT(ISERROR(SEARCH("17",BM194)))</formula>
    </cfRule>
  </conditionalFormatting>
  <conditionalFormatting sqref="BP80:CB82">
    <cfRule type="containsText" dxfId="164" priority="573" operator="containsText" text="17">
      <formula>NOT(ISERROR(SEARCH("17",BP80)))</formula>
    </cfRule>
  </conditionalFormatting>
  <conditionalFormatting sqref="BP100:CB103">
    <cfRule type="containsText" dxfId="163" priority="556" operator="containsText" text="17">
      <formula>NOT(ISERROR(SEARCH("17",BP100)))</formula>
    </cfRule>
  </conditionalFormatting>
  <conditionalFormatting sqref="BP106:CB109">
    <cfRule type="containsText" dxfId="162" priority="551" operator="containsText" text="17">
      <formula>NOT(ISERROR(SEARCH("17",BP106)))</formula>
    </cfRule>
  </conditionalFormatting>
  <conditionalFormatting sqref="BP112:CB115">
    <cfRule type="containsText" dxfId="161" priority="545" operator="containsText" text="17">
      <formula>NOT(ISERROR(SEARCH("17",BP112)))</formula>
    </cfRule>
  </conditionalFormatting>
  <conditionalFormatting sqref="BQ214:BQ223">
    <cfRule type="containsText" dxfId="160" priority="5169" operator="containsText" text="17">
      <formula>NOT(ISERROR(SEARCH("17",BQ214)))</formula>
    </cfRule>
    <cfRule type="containsText" dxfId="159" priority="5170" operator="containsText" text="T">
      <formula>NOT(ISERROR(SEARCH("T",BQ214)))</formula>
    </cfRule>
  </conditionalFormatting>
  <conditionalFormatting sqref="BQ214:BU216">
    <cfRule type="containsText" dxfId="158" priority="5397" operator="containsText" text="17">
      <formula>NOT(ISERROR(SEARCH("17",BQ214)))</formula>
    </cfRule>
    <cfRule type="containsText" dxfId="157" priority="5398" operator="containsText" text="T">
      <formula>NOT(ISERROR(SEARCH("T",BQ214)))</formula>
    </cfRule>
  </conditionalFormatting>
  <conditionalFormatting sqref="BR155">
    <cfRule type="containsText" dxfId="156" priority="1000" operator="containsText" text="17">
      <formula>NOT(ISERROR(SEARCH("17",BR155)))</formula>
    </cfRule>
    <cfRule type="containsText" dxfId="155" priority="1001" operator="containsText" text="T">
      <formula>NOT(ISERROR(SEARCH("T",BR155)))</formula>
    </cfRule>
  </conditionalFormatting>
  <conditionalFormatting sqref="BR29:BS29 BT29:BZ33">
    <cfRule type="containsText" dxfId="154" priority="614" operator="containsText" text="17">
      <formula>NOT(ISERROR(SEARCH("17",BR29)))</formula>
    </cfRule>
    <cfRule type="containsText" dxfId="153" priority="615" operator="containsText" text="T">
      <formula>NOT(ISERROR(SEARCH("T",BR29)))</formula>
    </cfRule>
  </conditionalFormatting>
  <conditionalFormatting sqref="BR35:BS35 BT35:BZ39">
    <cfRule type="containsText" dxfId="152" priority="608" operator="containsText" text="17">
      <formula>NOT(ISERROR(SEARCH("17",BR35)))</formula>
    </cfRule>
    <cfRule type="containsText" dxfId="151" priority="609" operator="containsText" text="T">
      <formula>NOT(ISERROR(SEARCH("T",BR35)))</formula>
    </cfRule>
  </conditionalFormatting>
  <conditionalFormatting sqref="BR41:BS41 BT41:BZ45">
    <cfRule type="containsText" dxfId="150" priority="601" operator="containsText" text="17">
      <formula>NOT(ISERROR(SEARCH("17",BR41)))</formula>
    </cfRule>
    <cfRule type="containsText" dxfId="149" priority="602" operator="containsText" text="T">
      <formula>NOT(ISERROR(SEARCH("T",BR41)))</formula>
    </cfRule>
  </conditionalFormatting>
  <conditionalFormatting sqref="BR47:BS47 BU47:BY47">
    <cfRule type="containsText" dxfId="148" priority="596" operator="containsText" text="17">
      <formula>NOT(ISERROR(SEARCH("17",BR47)))</formula>
    </cfRule>
    <cfRule type="containsText" dxfId="147" priority="597" operator="containsText" text="T">
      <formula>NOT(ISERROR(SEARCH("T",BR47)))</formula>
    </cfRule>
  </conditionalFormatting>
  <conditionalFormatting sqref="BR50:BS50 BU50:BY50">
    <cfRule type="containsText" dxfId="146" priority="591" operator="containsText" text="17">
      <formula>NOT(ISERROR(SEARCH("17",BR50)))</formula>
    </cfRule>
    <cfRule type="containsText" dxfId="145" priority="592" operator="containsText" text="T">
      <formula>NOT(ISERROR(SEARCH("T",BR50)))</formula>
    </cfRule>
  </conditionalFormatting>
  <conditionalFormatting sqref="BR214:BV216">
    <cfRule type="containsText" dxfId="144" priority="5403" operator="containsText" text="17">
      <formula>NOT(ISERROR(SEARCH("17",BR214)))</formula>
    </cfRule>
    <cfRule type="containsText" dxfId="143" priority="5404" operator="containsText" text="T">
      <formula>NOT(ISERROR(SEARCH("T",BR214)))</formula>
    </cfRule>
  </conditionalFormatting>
  <conditionalFormatting sqref="BR217:BV230">
    <cfRule type="containsText" dxfId="142" priority="4867" operator="containsText" text="17">
      <formula>NOT(ISERROR(SEARCH("17",BR217)))</formula>
    </cfRule>
    <cfRule type="containsText" dxfId="141" priority="4868" operator="containsText" text="T">
      <formula>NOT(ISERROR(SEARCH("T",BR217)))</formula>
    </cfRule>
  </conditionalFormatting>
  <conditionalFormatting sqref="BR68:CD71 BQ74:CC77">
    <cfRule type="containsText" dxfId="140" priority="579" operator="containsText" text="17">
      <formula>NOT(ISERROR(SEARCH("17",BQ68)))</formula>
    </cfRule>
  </conditionalFormatting>
  <conditionalFormatting sqref="BS127 BC199 BB206 BA213">
    <cfRule type="containsText" dxfId="139" priority="1703" operator="containsText" text="T">
      <formula>NOT(ISERROR(SEARCH("T",BA127)))</formula>
    </cfRule>
  </conditionalFormatting>
  <conditionalFormatting sqref="BS127 BC199:BR199 BB206:BQ206 BA213:BP213">
    <cfRule type="containsText" dxfId="138" priority="4608" operator="containsText" text="T">
      <formula>NOT(ISERROR(SEARCH("T",BA127)))</formula>
    </cfRule>
  </conditionalFormatting>
  <conditionalFormatting sqref="BS154 AX180:AX181 AY182:AY185 BM191 BU200:BU202 BV203:BV205 BT207:BT209 BV207:BV209 BU210:BU212">
    <cfRule type="containsText" dxfId="137" priority="6875" operator="containsText" text="17">
      <formula>NOT(ISERROR(SEARCH("17",AX154)))</formula>
    </cfRule>
    <cfRule type="containsText" dxfId="136" priority="6876" operator="containsText" text="T">
      <formula>NOT(ISERROR(SEARCH("T",AX154)))</formula>
    </cfRule>
    <cfRule type="containsText" dxfId="135" priority="6877" operator="containsText" text="17">
      <formula>NOT(ISERROR(SEARCH("17",AX154)))</formula>
    </cfRule>
    <cfRule type="containsText" dxfId="134" priority="6878" operator="containsText" text="T">
      <formula>NOT(ISERROR(SEARCH("T",AX154)))</formula>
    </cfRule>
  </conditionalFormatting>
  <conditionalFormatting sqref="BS156:BS158">
    <cfRule type="containsText" dxfId="133" priority="1016" operator="containsText" text="17">
      <formula>NOT(ISERROR(SEARCH("17",BS156)))</formula>
    </cfRule>
    <cfRule type="containsText" dxfId="132" priority="1017" operator="containsText" text="T">
      <formula>NOT(ISERROR(SEARCH("T",BS156)))</formula>
    </cfRule>
    <cfRule type="containsText" dxfId="131" priority="1018" operator="containsText" text="17">
      <formula>NOT(ISERROR(SEARCH("17",BS156)))</formula>
    </cfRule>
    <cfRule type="containsText" dxfId="130" priority="1019" operator="containsText" text="T">
      <formula>NOT(ISERROR(SEARCH("T",BS156)))</formula>
    </cfRule>
  </conditionalFormatting>
  <conditionalFormatting sqref="BS162">
    <cfRule type="containsText" dxfId="129" priority="990" operator="containsText" text="17">
      <formula>NOT(ISERROR(SEARCH("17",BS162)))</formula>
    </cfRule>
    <cfRule type="containsText" dxfId="128" priority="991" operator="containsText" text="T">
      <formula>NOT(ISERROR(SEARCH("T",BS162)))</formula>
    </cfRule>
  </conditionalFormatting>
  <conditionalFormatting sqref="BS199:BT199 BR206:BS206 BQ213:BR213">
    <cfRule type="containsText" dxfId="123" priority="1706" operator="containsText" text="17">
      <formula>NOT(ISERROR(SEARCH("17",BQ199)))</formula>
    </cfRule>
    <cfRule type="containsText" dxfId="122" priority="1707" operator="containsText" text="T">
      <formula>NOT(ISERROR(SEARCH("T",BQ199)))</formula>
    </cfRule>
  </conditionalFormatting>
  <conditionalFormatting sqref="BT47:BT48 BZ47:BZ48 BU48:BY48 BT50:BT52 BZ50:BZ52 BU51:BY52 BP15:BP20 BV15:BV20 BQ16:BU20">
    <cfRule type="containsText" dxfId="121" priority="8117" operator="containsText" text="T">
      <formula>NOT(ISERROR(SEARCH("T",BP15)))</formula>
    </cfRule>
  </conditionalFormatting>
  <conditionalFormatting sqref="BT47:BT48 BZ47:BZ48 BU48:BY48 BT50:BT52 BZ50:BZ52 BU51:BY52">
    <cfRule type="containsText" dxfId="120" priority="8116" operator="containsText" text="17">
      <formula>NOT(ISERROR(SEARCH("17",BT47)))</formula>
    </cfRule>
  </conditionalFormatting>
  <conditionalFormatting sqref="BT145:BT148">
    <cfRule type="containsText" dxfId="119" priority="1146" operator="containsText" text="17">
      <formula>NOT(ISERROR(SEARCH("17",BT145)))</formula>
    </cfRule>
    <cfRule type="containsText" dxfId="118" priority="1147" operator="containsText" text="T">
      <formula>NOT(ISERROR(SEARCH("T",BT145)))</formula>
    </cfRule>
  </conditionalFormatting>
  <conditionalFormatting sqref="BT139:CQ144">
    <cfRule type="containsText" dxfId="117" priority="522" operator="containsText" text="17">
      <formula>NOT(ISERROR(SEARCH("17",BT139)))</formula>
    </cfRule>
  </conditionalFormatting>
  <conditionalFormatting sqref="BT153:CQ158">
    <cfRule type="containsText" dxfId="116" priority="509" operator="containsText" text="17">
      <formula>NOT(ISERROR(SEARCH("17",BT153)))</formula>
    </cfRule>
  </conditionalFormatting>
  <conditionalFormatting sqref="BT160:CQ165">
    <cfRule type="containsText" dxfId="115" priority="508" operator="containsText" text="T">
      <formula>NOT(ISERROR(SEARCH("T",BT160)))</formula>
    </cfRule>
  </conditionalFormatting>
  <conditionalFormatting sqref="BU200:BU202 BT207:BT209 AX210:BS211">
    <cfRule type="containsText" dxfId="114" priority="8077" operator="containsText" text="T">
      <formula>NOT(ISERROR(SEARCH("T",AX200)))</formula>
    </cfRule>
  </conditionalFormatting>
  <conditionalFormatting sqref="BU200:BU202 BT207:BT209 AY190 AX191:BH191 BK191 BO191:BS191">
    <cfRule type="containsText" dxfId="113" priority="8070" operator="containsText" text="17">
      <formula>NOT(ISERROR(SEARCH("17",AX190)))</formula>
    </cfRule>
  </conditionalFormatting>
  <conditionalFormatting sqref="BU206 BT213 BV199">
    <cfRule type="containsText" dxfId="112" priority="1704" operator="containsText" text="17">
      <formula>NOT(ISERROR(SEARCH("17",BT199)))</formula>
    </cfRule>
  </conditionalFormatting>
  <conditionalFormatting sqref="BU146:CR151 BT160:CQ165">
    <cfRule type="containsText" dxfId="111" priority="7924" operator="containsText" text="17">
      <formula>NOT(ISERROR(SEARCH("17",BT146)))</formula>
    </cfRule>
  </conditionalFormatting>
  <conditionalFormatting sqref="BU146:CR151">
    <cfRule type="containsText" dxfId="110" priority="521" operator="containsText" text="T">
      <formula>NOT(ISERROR(SEARCH("T",BU146)))</formula>
    </cfRule>
  </conditionalFormatting>
  <conditionalFormatting sqref="BV199 BU206 BT213">
    <cfRule type="containsText" dxfId="109" priority="1705" operator="containsText" text="T">
      <formula>NOT(ISERROR(SEARCH("T",BT199)))</formula>
    </cfRule>
  </conditionalFormatting>
  <conditionalFormatting sqref="BV213">
    <cfRule type="containsText" dxfId="108" priority="4597" operator="containsText" text="17">
      <formula>NOT(ISERROR(SEARCH("17",BV213)))</formula>
    </cfRule>
    <cfRule type="containsText" dxfId="107" priority="4598" operator="containsText" text="T">
      <formula>NOT(ISERROR(SEARCH("T",BV213)))</formula>
    </cfRule>
  </conditionalFormatting>
  <conditionalFormatting sqref="BV214:BV216">
    <cfRule type="containsText" dxfId="106" priority="5405" operator="containsText" text="17">
      <formula>NOT(ISERROR(SEARCH("17",BV214)))</formula>
    </cfRule>
    <cfRule type="containsText" dxfId="105" priority="5406" operator="containsText" text="T">
      <formula>NOT(ISERROR(SEARCH("T",BV214)))</formula>
    </cfRule>
  </conditionalFormatting>
  <conditionalFormatting sqref="BV84:BW84 BX84:CD89">
    <cfRule type="containsText" dxfId="104" priority="569" operator="containsText" text="T">
      <formula>NOT(ISERROR(SEARCH("T",BV84)))</formula>
    </cfRule>
  </conditionalFormatting>
  <conditionalFormatting sqref="BV84:BW84">
    <cfRule type="containsText" dxfId="103" priority="568" operator="containsText" text="17">
      <formula>NOT(ISERROR(SEARCH("17",BV84)))</formula>
    </cfRule>
  </conditionalFormatting>
  <conditionalFormatting sqref="BV133:CH137">
    <cfRule type="containsText" dxfId="102" priority="528" operator="containsText" text="17">
      <formula>NOT(ISERROR(SEARCH("17",BV133)))</formula>
    </cfRule>
  </conditionalFormatting>
  <conditionalFormatting sqref="BW160:CG165">
    <cfRule type="containsText" dxfId="101" priority="506" operator="containsText" text="17">
      <formula>NOT(ISERROR(SEARCH("17",BW160)))</formula>
    </cfRule>
  </conditionalFormatting>
  <conditionalFormatting sqref="BW140:CI144">
    <cfRule type="containsText" dxfId="100" priority="523" operator="containsText" text="17">
      <formula>NOT(ISERROR(SEARCH("17",BW140)))</formula>
    </cfRule>
  </conditionalFormatting>
  <conditionalFormatting sqref="BW154:CI158">
    <cfRule type="containsText" dxfId="99" priority="510" operator="containsText" text="17">
      <formula>NOT(ISERROR(SEARCH("17",BW154)))</formula>
    </cfRule>
  </conditionalFormatting>
  <conditionalFormatting sqref="BW161:CI165">
    <cfRule type="containsText" dxfId="98" priority="503" operator="containsText" text="17">
      <formula>NOT(ISERROR(SEARCH("17",BW161)))</formula>
    </cfRule>
  </conditionalFormatting>
  <conditionalFormatting sqref="BX91:BY91 BZ91:CF96">
    <cfRule type="containsText" dxfId="97" priority="562" operator="containsText" text="17">
      <formula>NOT(ISERROR(SEARCH("17",BX91)))</formula>
    </cfRule>
    <cfRule type="containsText" dxfId="96" priority="563" operator="containsText" text="T">
      <formula>NOT(ISERROR(SEARCH("T",BX91)))</formula>
    </cfRule>
  </conditionalFormatting>
  <conditionalFormatting sqref="BX146:CH151">
    <cfRule type="containsText" dxfId="95" priority="519" operator="containsText" text="17">
      <formula>NOT(ISERROR(SEARCH("17",BX146)))</formula>
    </cfRule>
  </conditionalFormatting>
  <conditionalFormatting sqref="BX147:CJ151">
    <cfRule type="containsText" dxfId="94" priority="516" operator="containsText" text="17">
      <formula>NOT(ISERROR(SEARCH("17",BX147)))</formula>
    </cfRule>
  </conditionalFormatting>
  <conditionalFormatting sqref="BY122:BZ122 CA122:CG126">
    <cfRule type="containsText" dxfId="93" priority="534" operator="containsText" text="17">
      <formula>NOT(ISERROR(SEARCH("17",BY122)))</formula>
    </cfRule>
    <cfRule type="containsText" dxfId="92" priority="535" operator="containsText" text="T">
      <formula>NOT(ISERROR(SEARCH("T",BY122)))</formula>
    </cfRule>
  </conditionalFormatting>
  <conditionalFormatting sqref="BZ117:CA117 CB117:CH120">
    <cfRule type="containsText" dxfId="91" priority="541" operator="containsText" text="T">
      <formula>NOT(ISERROR(SEARCH("T",BZ117)))</formula>
    </cfRule>
  </conditionalFormatting>
  <conditionalFormatting sqref="BZ117:CA117">
    <cfRule type="containsText" dxfId="90" priority="540" operator="containsText" text="17">
      <formula>NOT(ISERROR(SEARCH("17",BZ117)))</formula>
    </cfRule>
  </conditionalFormatting>
  <conditionalFormatting sqref="CA79:CB79 CC79:CH82">
    <cfRule type="containsText" dxfId="89" priority="575" operator="containsText" text="T">
      <formula>NOT(ISERROR(SEARCH("T",CA79)))</formula>
    </cfRule>
  </conditionalFormatting>
  <conditionalFormatting sqref="CA79:CB79">
    <cfRule type="containsText" dxfId="88" priority="574" operator="containsText" text="17">
      <formula>NOT(ISERROR(SEARCH("17",CA79)))</formula>
    </cfRule>
  </conditionalFormatting>
  <conditionalFormatting sqref="CA99:CB99 CC99:CI103">
    <cfRule type="containsText" dxfId="87" priority="557" operator="containsText" text="17">
      <formula>NOT(ISERROR(SEARCH("17",CA99)))</formula>
    </cfRule>
    <cfRule type="containsText" dxfId="86" priority="558" operator="containsText" text="T">
      <formula>NOT(ISERROR(SEARCH("T",CA99)))</formula>
    </cfRule>
  </conditionalFormatting>
  <conditionalFormatting sqref="CA105:CB105 CC105:CI109">
    <cfRule type="containsText" dxfId="85" priority="553" operator="containsText" text="T">
      <formula>NOT(ISERROR(SEARCH("T",CA105)))</formula>
    </cfRule>
  </conditionalFormatting>
  <conditionalFormatting sqref="CA105:CB105">
    <cfRule type="containsText" dxfId="84" priority="552" operator="containsText" text="17">
      <formula>NOT(ISERROR(SEARCH("17",CA105)))</formula>
    </cfRule>
  </conditionalFormatting>
  <conditionalFormatting sqref="CA111:CB111 CC111:CI115">
    <cfRule type="containsText" dxfId="83" priority="547" operator="containsText" text="T">
      <formula>NOT(ISERROR(SEARCH("T",CA111)))</formula>
    </cfRule>
  </conditionalFormatting>
  <conditionalFormatting sqref="CA111:CB111">
    <cfRule type="containsText" dxfId="82" priority="546" operator="containsText" text="17">
      <formula>NOT(ISERROR(SEARCH("17",CA111)))</formula>
    </cfRule>
  </conditionalFormatting>
  <conditionalFormatting sqref="CC67:CD67 CE67:CK71 CB73:CC73 CD73:CJ77">
    <cfRule type="containsText" dxfId="81" priority="581" operator="containsText" text="T">
      <formula>NOT(ISERROR(SEARCH("T",CB67)))</formula>
    </cfRule>
  </conditionalFormatting>
  <conditionalFormatting sqref="CC67:CD67 CE67:CK71 CB73:CC73">
    <cfRule type="containsText" dxfId="80" priority="580" operator="containsText" text="17">
      <formula>NOT(ISERROR(SEARCH("17",CB67)))</formula>
    </cfRule>
  </conditionalFormatting>
  <conditionalFormatting sqref="CG132:CH132 CI132:CO137">
    <cfRule type="containsText" dxfId="79" priority="529" operator="containsText" text="17">
      <formula>NOT(ISERROR(SEARCH("17",CG132)))</formula>
    </cfRule>
    <cfRule type="containsText" dxfId="78" priority="530" operator="containsText" text="T">
      <formula>NOT(ISERROR(SEARCH("T",CG132)))</formula>
    </cfRule>
  </conditionalFormatting>
  <conditionalFormatting sqref="BT139:CQ144">
    <cfRule type="containsText" dxfId="77" priority="525" operator="containsText" text="T">
      <formula>NOT(ISERROR(SEARCH("T",BT139)))</formula>
    </cfRule>
  </conditionalFormatting>
  <conditionalFormatting sqref="CH139:CI139">
    <cfRule type="containsText" dxfId="76" priority="524" operator="containsText" text="17">
      <formula>NOT(ISERROR(SEARCH("17",CH139)))</formula>
    </cfRule>
  </conditionalFormatting>
  <conditionalFormatting sqref="BT153:CQ158">
    <cfRule type="containsText" dxfId="75" priority="512" operator="containsText" text="T">
      <formula>NOT(ISERROR(SEARCH("T",BT153)))</formula>
    </cfRule>
  </conditionalFormatting>
  <conditionalFormatting sqref="CH153:CI153">
    <cfRule type="containsText" dxfId="74" priority="511" operator="containsText" text="17">
      <formula>NOT(ISERROR(SEARCH("17",CH153)))</formula>
    </cfRule>
  </conditionalFormatting>
  <conditionalFormatting sqref="CH160:CI160 CJ160:CP165">
    <cfRule type="containsText" dxfId="73" priority="504" operator="containsText" text="17">
      <formula>NOT(ISERROR(SEARCH("17",CH160)))</formula>
    </cfRule>
  </conditionalFormatting>
  <conditionalFormatting sqref="CH160:CI160 CK160:CO165">
    <cfRule type="containsText" dxfId="72" priority="505" operator="containsText" text="T">
      <formula>NOT(ISERROR(SEARCH("T",CH160)))</formula>
    </cfRule>
  </conditionalFormatting>
  <conditionalFormatting sqref="CI79:CI84 CF83:CH84">
    <cfRule type="containsText" dxfId="71" priority="577" operator="containsText" text="T">
      <formula>NOT(ISERROR(SEARCH("T",CF79)))</formula>
    </cfRule>
  </conditionalFormatting>
  <conditionalFormatting sqref="CI79:CI84">
    <cfRule type="containsText" dxfId="70" priority="576" operator="containsText" text="17">
      <formula>NOT(ISERROR(SEARCH("17",CI79)))</formula>
    </cfRule>
  </conditionalFormatting>
  <conditionalFormatting sqref="CI146:CJ146 CK146:CQ151">
    <cfRule type="containsText" dxfId="69" priority="517" operator="containsText" text="17">
      <formula>NOT(ISERROR(SEARCH("17",CI146)))</formula>
    </cfRule>
  </conditionalFormatting>
  <conditionalFormatting sqref="CI146:CJ146 CL146:CP151">
    <cfRule type="containsText" dxfId="68" priority="518" operator="containsText" text="T">
      <formula>NOT(ISERROR(SEARCH("T",CI146)))</formula>
    </cfRule>
  </conditionalFormatting>
  <conditionalFormatting sqref="AK218:AU224">
    <cfRule type="containsText" dxfId="67" priority="57" operator="containsText" text="T">
      <formula>NOT(ISERROR(SEARCH("T",AK218)))</formula>
    </cfRule>
  </conditionalFormatting>
  <conditionalFormatting sqref="AK218:AS224">
    <cfRule type="containsText" dxfId="66" priority="63" operator="containsText" text="17">
      <formula>NOT(ISERROR(SEARCH("17",AK218)))</formula>
    </cfRule>
  </conditionalFormatting>
  <conditionalFormatting sqref="AK218:AU224">
    <cfRule type="containsText" dxfId="65" priority="56" operator="containsText" text="17">
      <formula>NOT(ISERROR(SEARCH("17",AK218)))</formula>
    </cfRule>
  </conditionalFormatting>
  <conditionalFormatting sqref="AV218:BB224">
    <cfRule type="containsText" dxfId="64" priority="64" operator="containsText" text="17">
      <formula>NOT(ISERROR(SEARCH("17",AV218)))</formula>
    </cfRule>
    <cfRule type="containsText" dxfId="63" priority="65" operator="containsText" text="T">
      <formula>NOT(ISERROR(SEARCH("T",AV218)))</formula>
    </cfRule>
  </conditionalFormatting>
  <conditionalFormatting sqref="AW218:AW224">
    <cfRule type="containsText" dxfId="62" priority="61" operator="containsText" text="17">
      <formula>NOT(ISERROR(SEARCH("17",AW218)))</formula>
    </cfRule>
    <cfRule type="containsText" dxfId="61" priority="62" operator="containsText" text="T">
      <formula>NOT(ISERROR(SEARCH("T",AW218)))</formula>
    </cfRule>
  </conditionalFormatting>
  <conditionalFormatting sqref="BB218:BB224 BF218:BH224">
    <cfRule type="containsText" dxfId="60" priority="58" operator="containsText" text="T">
      <formula>NOT(ISERROR(SEARCH("T",BB218)))</formula>
    </cfRule>
  </conditionalFormatting>
  <conditionalFormatting sqref="BB218:BC224 BF218:BH224">
    <cfRule type="containsText" dxfId="59" priority="59" operator="containsText" text="17">
      <formula>NOT(ISERROR(SEARCH("17",BB218)))</formula>
    </cfRule>
  </conditionalFormatting>
  <conditionalFormatting sqref="BC218:BC224">
    <cfRule type="containsText" dxfId="58" priority="60" operator="containsText" text="T">
      <formula>NOT(ISERROR(SEARCH("T",BC218)))</formula>
    </cfRule>
  </conditionalFormatting>
  <conditionalFormatting sqref="AL225:AV231">
    <cfRule type="containsText" dxfId="57" priority="47" operator="containsText" text="T">
      <formula>NOT(ISERROR(SEARCH("T",AL225)))</formula>
    </cfRule>
  </conditionalFormatting>
  <conditionalFormatting sqref="AL225:AT231">
    <cfRule type="containsText" dxfId="56" priority="53" operator="containsText" text="17">
      <formula>NOT(ISERROR(SEARCH("17",AL225)))</formula>
    </cfRule>
  </conditionalFormatting>
  <conditionalFormatting sqref="AL225:AV231">
    <cfRule type="containsText" dxfId="55" priority="46" operator="containsText" text="17">
      <formula>NOT(ISERROR(SEARCH("17",AL225)))</formula>
    </cfRule>
  </conditionalFormatting>
  <conditionalFormatting sqref="AW225:BC231">
    <cfRule type="containsText" dxfId="54" priority="54" operator="containsText" text="17">
      <formula>NOT(ISERROR(SEARCH("17",AW225)))</formula>
    </cfRule>
    <cfRule type="containsText" dxfId="53" priority="55" operator="containsText" text="T">
      <formula>NOT(ISERROR(SEARCH("T",AW225)))</formula>
    </cfRule>
  </conditionalFormatting>
  <conditionalFormatting sqref="AX225:AX231">
    <cfRule type="containsText" dxfId="52" priority="51" operator="containsText" text="17">
      <formula>NOT(ISERROR(SEARCH("17",AX225)))</formula>
    </cfRule>
    <cfRule type="containsText" dxfId="51" priority="52" operator="containsText" text="T">
      <formula>NOT(ISERROR(SEARCH("T",AX225)))</formula>
    </cfRule>
  </conditionalFormatting>
  <conditionalFormatting sqref="BC225:BC231 BG225:BI231">
    <cfRule type="containsText" dxfId="50" priority="48" operator="containsText" text="T">
      <formula>NOT(ISERROR(SEARCH("T",BC225)))</formula>
    </cfRule>
  </conditionalFormatting>
  <conditionalFormatting sqref="BC225:BD231 BG225:BI231">
    <cfRule type="containsText" dxfId="49" priority="49" operator="containsText" text="17">
      <formula>NOT(ISERROR(SEARCH("17",BC225)))</formula>
    </cfRule>
  </conditionalFormatting>
  <conditionalFormatting sqref="BD225:BD231">
    <cfRule type="containsText" dxfId="48" priority="50" operator="containsText" text="T">
      <formula>NOT(ISERROR(SEARCH("T",BD225)))</formula>
    </cfRule>
  </conditionalFormatting>
  <conditionalFormatting sqref="AM232:AW234">
    <cfRule type="containsText" dxfId="47" priority="37" operator="containsText" text="T">
      <formula>NOT(ISERROR(SEARCH("T",AM232)))</formula>
    </cfRule>
  </conditionalFormatting>
  <conditionalFormatting sqref="AM232:AU234">
    <cfRule type="containsText" dxfId="46" priority="43" operator="containsText" text="17">
      <formula>NOT(ISERROR(SEARCH("17",AM232)))</formula>
    </cfRule>
  </conditionalFormatting>
  <conditionalFormatting sqref="AM232:AW234">
    <cfRule type="containsText" dxfId="45" priority="36" operator="containsText" text="17">
      <formula>NOT(ISERROR(SEARCH("17",AM232)))</formula>
    </cfRule>
  </conditionalFormatting>
  <conditionalFormatting sqref="AX232:BD234">
    <cfRule type="containsText" dxfId="44" priority="44" operator="containsText" text="17">
      <formula>NOT(ISERROR(SEARCH("17",AX232)))</formula>
    </cfRule>
    <cfRule type="containsText" dxfId="43" priority="45" operator="containsText" text="T">
      <formula>NOT(ISERROR(SEARCH("T",AX232)))</formula>
    </cfRule>
  </conditionalFormatting>
  <conditionalFormatting sqref="AY232:AY234">
    <cfRule type="containsText" dxfId="42" priority="41" operator="containsText" text="17">
      <formula>NOT(ISERROR(SEARCH("17",AY232)))</formula>
    </cfRule>
    <cfRule type="containsText" dxfId="41" priority="42" operator="containsText" text="T">
      <formula>NOT(ISERROR(SEARCH("T",AY232)))</formula>
    </cfRule>
  </conditionalFormatting>
  <conditionalFormatting sqref="BD232:BD234 BH232:BJ234">
    <cfRule type="containsText" dxfId="40" priority="38" operator="containsText" text="T">
      <formula>NOT(ISERROR(SEARCH("T",BD232)))</formula>
    </cfRule>
  </conditionalFormatting>
  <conditionalFormatting sqref="BD232:BE234 BH232:BJ234">
    <cfRule type="containsText" dxfId="39" priority="39" operator="containsText" text="17">
      <formula>NOT(ISERROR(SEARCH("17",BD232)))</formula>
    </cfRule>
  </conditionalFormatting>
  <conditionalFormatting sqref="BE232:BE234">
    <cfRule type="containsText" dxfId="38" priority="40" operator="containsText" text="T">
      <formula>NOT(ISERROR(SEARCH("T",BE232)))</formula>
    </cfRule>
  </conditionalFormatting>
  <conditionalFormatting sqref="AM113:AW116">
    <cfRule type="containsText" dxfId="37" priority="27" operator="containsText" text="T">
      <formula>NOT(ISERROR(SEARCH("T",AM113)))</formula>
    </cfRule>
  </conditionalFormatting>
  <conditionalFormatting sqref="AM113:AU116">
    <cfRule type="containsText" dxfId="36" priority="33" operator="containsText" text="17">
      <formula>NOT(ISERROR(SEARCH("17",AM113)))</formula>
    </cfRule>
  </conditionalFormatting>
  <conditionalFormatting sqref="AM113:AW116">
    <cfRule type="containsText" dxfId="35" priority="26" operator="containsText" text="17">
      <formula>NOT(ISERROR(SEARCH("17",AM113)))</formula>
    </cfRule>
  </conditionalFormatting>
  <conditionalFormatting sqref="AX113:BD116">
    <cfRule type="containsText" dxfId="34" priority="34" operator="containsText" text="17">
      <formula>NOT(ISERROR(SEARCH("17",AX113)))</formula>
    </cfRule>
    <cfRule type="containsText" dxfId="33" priority="35" operator="containsText" text="T">
      <formula>NOT(ISERROR(SEARCH("T",AX113)))</formula>
    </cfRule>
  </conditionalFormatting>
  <conditionalFormatting sqref="AY113:AY116">
    <cfRule type="containsText" dxfId="32" priority="31" operator="containsText" text="17">
      <formula>NOT(ISERROR(SEARCH("17",AY113)))</formula>
    </cfRule>
    <cfRule type="containsText" dxfId="31" priority="32" operator="containsText" text="T">
      <formula>NOT(ISERROR(SEARCH("T",AY113)))</formula>
    </cfRule>
  </conditionalFormatting>
  <conditionalFormatting sqref="BD113:BD116 BH113:BJ116">
    <cfRule type="containsText" dxfId="30" priority="28" operator="containsText" text="T">
      <formula>NOT(ISERROR(SEARCH("T",BD113)))</formula>
    </cfRule>
  </conditionalFormatting>
  <conditionalFormatting sqref="BD113:BE116 BH113:BJ116">
    <cfRule type="containsText" dxfId="29" priority="29" operator="containsText" text="17">
      <formula>NOT(ISERROR(SEARCH("17",BD113)))</formula>
    </cfRule>
  </conditionalFormatting>
  <conditionalFormatting sqref="BE113:BE116">
    <cfRule type="containsText" dxfId="28" priority="30" operator="containsText" text="T">
      <formula>NOT(ISERROR(SEARCH("T",BE113)))</formula>
    </cfRule>
  </conditionalFormatting>
  <conditionalFormatting sqref="AN117:AX119">
    <cfRule type="containsText" dxfId="27" priority="17" operator="containsText" text="T">
      <formula>NOT(ISERROR(SEARCH("T",AN117)))</formula>
    </cfRule>
  </conditionalFormatting>
  <conditionalFormatting sqref="AN117:AV119">
    <cfRule type="containsText" dxfId="26" priority="23" operator="containsText" text="17">
      <formula>NOT(ISERROR(SEARCH("17",AN117)))</formula>
    </cfRule>
  </conditionalFormatting>
  <conditionalFormatting sqref="AN117:AX119">
    <cfRule type="containsText" dxfId="25" priority="16" operator="containsText" text="17">
      <formula>NOT(ISERROR(SEARCH("17",AN117)))</formula>
    </cfRule>
  </conditionalFormatting>
  <conditionalFormatting sqref="AY117:BE119">
    <cfRule type="containsText" dxfId="24" priority="24" operator="containsText" text="17">
      <formula>NOT(ISERROR(SEARCH("17",AY117)))</formula>
    </cfRule>
    <cfRule type="containsText" dxfId="23" priority="25" operator="containsText" text="T">
      <formula>NOT(ISERROR(SEARCH("T",AY117)))</formula>
    </cfRule>
  </conditionalFormatting>
  <conditionalFormatting sqref="AZ117:AZ119">
    <cfRule type="containsText" dxfId="22" priority="21" operator="containsText" text="17">
      <formula>NOT(ISERROR(SEARCH("17",AZ117)))</formula>
    </cfRule>
    <cfRule type="containsText" dxfId="21" priority="22" operator="containsText" text="T">
      <formula>NOT(ISERROR(SEARCH("T",AZ117)))</formula>
    </cfRule>
  </conditionalFormatting>
  <conditionalFormatting sqref="BE117:BE119 BI117:BK119">
    <cfRule type="containsText" dxfId="20" priority="18" operator="containsText" text="T">
      <formula>NOT(ISERROR(SEARCH("T",BE117)))</formula>
    </cfRule>
  </conditionalFormatting>
  <conditionalFormatting sqref="BE117:BF119 BI117:BK119">
    <cfRule type="containsText" dxfId="19" priority="19" operator="containsText" text="17">
      <formula>NOT(ISERROR(SEARCH("17",BE117)))</formula>
    </cfRule>
  </conditionalFormatting>
  <conditionalFormatting sqref="BF117:BF119">
    <cfRule type="containsText" dxfId="18" priority="20" operator="containsText" text="T">
      <formula>NOT(ISERROR(SEARCH("T",BF117)))</formula>
    </cfRule>
  </conditionalFormatting>
  <conditionalFormatting sqref="AN79:AX82">
    <cfRule type="containsText" dxfId="17" priority="7" operator="containsText" text="T">
      <formula>NOT(ISERROR(SEARCH("T",AN79)))</formula>
    </cfRule>
  </conditionalFormatting>
  <conditionalFormatting sqref="AN79:AV82">
    <cfRule type="containsText" dxfId="16" priority="13" operator="containsText" text="17">
      <formula>NOT(ISERROR(SEARCH("17",AN79)))</formula>
    </cfRule>
  </conditionalFormatting>
  <conditionalFormatting sqref="AN79:AX82">
    <cfRule type="containsText" dxfId="15" priority="6" operator="containsText" text="17">
      <formula>NOT(ISERROR(SEARCH("17",AN79)))</formula>
    </cfRule>
  </conditionalFormatting>
  <conditionalFormatting sqref="AY79:BE82">
    <cfRule type="containsText" dxfId="14" priority="14" operator="containsText" text="17">
      <formula>NOT(ISERROR(SEARCH("17",AY79)))</formula>
    </cfRule>
    <cfRule type="containsText" dxfId="13" priority="15" operator="containsText" text="T">
      <formula>NOT(ISERROR(SEARCH("T",AY79)))</formula>
    </cfRule>
  </conditionalFormatting>
  <conditionalFormatting sqref="AZ79:AZ82">
    <cfRule type="containsText" dxfId="12" priority="11" operator="containsText" text="17">
      <formula>NOT(ISERROR(SEARCH("17",AZ79)))</formula>
    </cfRule>
    <cfRule type="containsText" dxfId="11" priority="12" operator="containsText" text="T">
      <formula>NOT(ISERROR(SEARCH("T",AZ79)))</formula>
    </cfRule>
  </conditionalFormatting>
  <conditionalFormatting sqref="BE79:BE82 BI79:BK82">
    <cfRule type="containsText" dxfId="10" priority="8" operator="containsText" text="T">
      <formula>NOT(ISERROR(SEARCH("T",BE79)))</formula>
    </cfRule>
  </conditionalFormatting>
  <conditionalFormatting sqref="BE79:BF82 BI79:BK82">
    <cfRule type="containsText" dxfId="9" priority="9" operator="containsText" text="17">
      <formula>NOT(ISERROR(SEARCH("17",BE79)))</formula>
    </cfRule>
  </conditionalFormatting>
  <conditionalFormatting sqref="BF79:BF82">
    <cfRule type="containsText" dxfId="8" priority="10" operator="containsText" text="T">
      <formula>NOT(ISERROR(SEARCH("T",BF79)))</formula>
    </cfRule>
  </conditionalFormatting>
  <conditionalFormatting sqref="M120:M126">
    <cfRule type="containsText" dxfId="7" priority="4" operator="containsText" text="T">
      <formula>NOT(ISERROR(SEARCH("T",M120)))</formula>
    </cfRule>
  </conditionalFormatting>
  <conditionalFormatting sqref="M120:AG126">
    <cfRule type="containsText" dxfId="6" priority="3" operator="containsText" text="17">
      <formula>NOT(ISERROR(SEARCH("17",M120)))</formula>
    </cfRule>
  </conditionalFormatting>
  <conditionalFormatting sqref="M120:AG126 AJ120:AJ126">
    <cfRule type="containsText" dxfId="5" priority="1" operator="containsText" text="T">
      <formula>NOT(ISERROR(SEARCH("T",M120)))</formula>
    </cfRule>
  </conditionalFormatting>
  <conditionalFormatting sqref="AJ120:AJ126">
    <cfRule type="containsText" dxfId="4" priority="2" operator="containsText" text="17">
      <formula>NOT(ISERROR(SEARCH("17",AJ120)))</formula>
    </cfRule>
  </conditionalFormatting>
  <conditionalFormatting sqref="AJ120:AJ126">
    <cfRule type="containsText" dxfId="3" priority="5" operator="containsText" text="T">
      <formula>NOT(ISERROR(SEARCH("T",AJ120)))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22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M11" sqref="M11"/>
    </sheetView>
  </sheetViews>
  <sheetFormatPr defaultRowHeight="15" x14ac:dyDescent="0.25"/>
  <cols>
    <col min="1" max="1" width="10.7109375" bestFit="1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103">
        <v>45962</v>
      </c>
      <c r="B2" s="25" t="s">
        <v>458</v>
      </c>
      <c r="C2" s="103">
        <f>A2+23</f>
        <v>45985</v>
      </c>
      <c r="D2" s="103">
        <f>A2+7</f>
        <v>45969</v>
      </c>
      <c r="E2" s="103">
        <f>A2+14</f>
        <v>45976</v>
      </c>
      <c r="F2" s="103">
        <f>A2+20</f>
        <v>45982</v>
      </c>
      <c r="G2" s="103">
        <f>A2+8</f>
        <v>45970</v>
      </c>
      <c r="H2" s="103">
        <f>A2+15</f>
        <v>45977</v>
      </c>
      <c r="I2" s="103">
        <v>45991</v>
      </c>
      <c r="J2" s="104">
        <f t="shared" ref="J2:J6" si="0">I2-A2</f>
        <v>29</v>
      </c>
      <c r="K2" s="25">
        <v>19.739999999999998</v>
      </c>
      <c r="L2" s="25">
        <v>10.58</v>
      </c>
      <c r="M2" s="25">
        <f t="shared" ref="M2:M6" si="1">K2-L2</f>
        <v>9.1599999999999984</v>
      </c>
      <c r="N2" s="25" t="s">
        <v>592</v>
      </c>
    </row>
    <row r="3" spans="1:14" x14ac:dyDescent="0.25">
      <c r="A3" s="103">
        <v>45962</v>
      </c>
      <c r="B3" s="25" t="s">
        <v>459</v>
      </c>
      <c r="C3" s="103">
        <f t="shared" ref="C3:C9" si="2">A3+23</f>
        <v>45985</v>
      </c>
      <c r="D3" s="103">
        <f t="shared" ref="D3:D9" si="3">A3+7</f>
        <v>45969</v>
      </c>
      <c r="E3" s="103">
        <f t="shared" ref="E3:E9" si="4">A3+14</f>
        <v>45976</v>
      </c>
      <c r="F3" s="103">
        <f t="shared" ref="F3:F9" si="5">A3+20</f>
        <v>45982</v>
      </c>
      <c r="G3" s="103">
        <f t="shared" ref="G3:G9" si="6">A3+8</f>
        <v>45970</v>
      </c>
      <c r="H3" s="103">
        <f t="shared" ref="H3:H9" si="7">A3+15</f>
        <v>45977</v>
      </c>
      <c r="I3" s="103">
        <v>45991</v>
      </c>
      <c r="J3" s="104">
        <f t="shared" si="0"/>
        <v>29</v>
      </c>
      <c r="K3" s="25">
        <v>19.829999999999998</v>
      </c>
      <c r="L3" s="25">
        <v>10.97</v>
      </c>
      <c r="M3" s="25">
        <f t="shared" si="1"/>
        <v>8.8599999999999977</v>
      </c>
      <c r="N3" s="25" t="s">
        <v>592</v>
      </c>
    </row>
    <row r="4" spans="1:14" x14ac:dyDescent="0.25">
      <c r="A4" s="103">
        <v>45962</v>
      </c>
      <c r="B4" s="25" t="s">
        <v>460</v>
      </c>
      <c r="C4" s="103">
        <f t="shared" si="2"/>
        <v>45985</v>
      </c>
      <c r="D4" s="103">
        <f t="shared" si="3"/>
        <v>45969</v>
      </c>
      <c r="E4" s="103">
        <f t="shared" si="4"/>
        <v>45976</v>
      </c>
      <c r="F4" s="103">
        <f t="shared" si="5"/>
        <v>45982</v>
      </c>
      <c r="G4" s="103">
        <f t="shared" si="6"/>
        <v>45970</v>
      </c>
      <c r="H4" s="103">
        <f t="shared" si="7"/>
        <v>45977</v>
      </c>
      <c r="I4" s="103">
        <v>45991</v>
      </c>
      <c r="J4" s="104">
        <f t="shared" si="0"/>
        <v>29</v>
      </c>
      <c r="K4" s="25">
        <v>18.91</v>
      </c>
      <c r="L4" s="25">
        <v>18.420000000000002</v>
      </c>
      <c r="M4" s="25">
        <f t="shared" si="1"/>
        <v>0.48999999999999844</v>
      </c>
      <c r="N4" s="25" t="s">
        <v>593</v>
      </c>
    </row>
    <row r="5" spans="1:14" x14ac:dyDescent="0.25">
      <c r="A5" s="103">
        <v>45962</v>
      </c>
      <c r="B5" s="25" t="s">
        <v>461</v>
      </c>
      <c r="C5" s="103">
        <f t="shared" si="2"/>
        <v>45985</v>
      </c>
      <c r="D5" s="103">
        <f t="shared" si="3"/>
        <v>45969</v>
      </c>
      <c r="E5" s="103">
        <f t="shared" si="4"/>
        <v>45976</v>
      </c>
      <c r="F5" s="103">
        <f t="shared" si="5"/>
        <v>45982</v>
      </c>
      <c r="G5" s="103">
        <f t="shared" si="6"/>
        <v>45970</v>
      </c>
      <c r="H5" s="103">
        <f t="shared" si="7"/>
        <v>45977</v>
      </c>
      <c r="I5" s="103">
        <v>45991</v>
      </c>
      <c r="J5" s="104">
        <f t="shared" si="0"/>
        <v>29</v>
      </c>
      <c r="K5" s="25">
        <v>17.75</v>
      </c>
      <c r="L5" s="25">
        <v>16.28</v>
      </c>
      <c r="M5" s="25">
        <f t="shared" si="1"/>
        <v>1.4699999999999989</v>
      </c>
      <c r="N5" s="25" t="s">
        <v>593</v>
      </c>
    </row>
    <row r="6" spans="1:14" x14ac:dyDescent="0.25">
      <c r="A6" s="103">
        <v>45962</v>
      </c>
      <c r="B6" s="25" t="s">
        <v>462</v>
      </c>
      <c r="C6" s="103">
        <f t="shared" si="2"/>
        <v>45985</v>
      </c>
      <c r="D6" s="103">
        <f t="shared" si="3"/>
        <v>45969</v>
      </c>
      <c r="E6" s="103">
        <f t="shared" si="4"/>
        <v>45976</v>
      </c>
      <c r="F6" s="103">
        <f t="shared" si="5"/>
        <v>45982</v>
      </c>
      <c r="G6" s="103">
        <f t="shared" si="6"/>
        <v>45970</v>
      </c>
      <c r="H6" s="103">
        <f t="shared" si="7"/>
        <v>45977</v>
      </c>
      <c r="I6" s="103">
        <v>45991</v>
      </c>
      <c r="J6" s="104">
        <f t="shared" si="0"/>
        <v>29</v>
      </c>
      <c r="K6" s="25">
        <v>16.420000000000002</v>
      </c>
      <c r="L6" s="25">
        <v>15.72</v>
      </c>
      <c r="M6" s="25">
        <f t="shared" si="1"/>
        <v>0.70000000000000107</v>
      </c>
      <c r="N6" s="25" t="s">
        <v>593</v>
      </c>
    </row>
    <row r="7" spans="1:14" x14ac:dyDescent="0.25">
      <c r="A7" s="103">
        <v>45962</v>
      </c>
      <c r="B7" s="25" t="s">
        <v>463</v>
      </c>
      <c r="C7" s="103">
        <f t="shared" si="2"/>
        <v>45985</v>
      </c>
      <c r="D7" s="103">
        <f t="shared" si="3"/>
        <v>45969</v>
      </c>
      <c r="E7" s="103">
        <f t="shared" si="4"/>
        <v>45976</v>
      </c>
      <c r="F7" s="103">
        <f t="shared" si="5"/>
        <v>45982</v>
      </c>
      <c r="G7" s="103">
        <f t="shared" si="6"/>
        <v>45970</v>
      </c>
      <c r="H7" s="103">
        <f t="shared" si="7"/>
        <v>45977</v>
      </c>
      <c r="I7" s="103">
        <v>45992</v>
      </c>
      <c r="J7" s="104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103">
        <v>45962</v>
      </c>
      <c r="B8" s="25" t="s">
        <v>464</v>
      </c>
      <c r="C8" s="103">
        <f t="shared" si="2"/>
        <v>45985</v>
      </c>
      <c r="D8" s="103">
        <f t="shared" si="3"/>
        <v>45969</v>
      </c>
      <c r="E8" s="103">
        <f t="shared" si="4"/>
        <v>45976</v>
      </c>
      <c r="F8" s="103">
        <f t="shared" si="5"/>
        <v>45982</v>
      </c>
      <c r="G8" s="103">
        <f t="shared" si="6"/>
        <v>45970</v>
      </c>
      <c r="H8" s="103">
        <f t="shared" si="7"/>
        <v>45977</v>
      </c>
      <c r="I8" s="103">
        <v>45991</v>
      </c>
      <c r="J8" s="104">
        <f t="shared" ref="J8" si="8"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103">
        <v>45963</v>
      </c>
      <c r="B9" s="25" t="s">
        <v>421</v>
      </c>
      <c r="C9" s="103">
        <f t="shared" si="2"/>
        <v>45986</v>
      </c>
      <c r="D9" s="103">
        <f t="shared" si="3"/>
        <v>45970</v>
      </c>
      <c r="E9" s="103">
        <f t="shared" si="4"/>
        <v>45977</v>
      </c>
      <c r="F9" s="103">
        <f t="shared" si="5"/>
        <v>45983</v>
      </c>
      <c r="G9" s="103">
        <f t="shared" si="6"/>
        <v>45971</v>
      </c>
      <c r="H9" s="103">
        <f t="shared" si="7"/>
        <v>45978</v>
      </c>
      <c r="I9" s="103">
        <v>45993</v>
      </c>
      <c r="J9" s="104">
        <f t="shared" ref="J9:J11" si="9">I9-A9</f>
        <v>30</v>
      </c>
      <c r="K9" s="25">
        <v>18.91</v>
      </c>
      <c r="L9" s="25">
        <v>17.62</v>
      </c>
      <c r="M9" s="25">
        <f>K9-L9</f>
        <v>1.2899999999999991</v>
      </c>
      <c r="N9" s="25" t="s">
        <v>593</v>
      </c>
    </row>
    <row r="10" spans="1:14" x14ac:dyDescent="0.25">
      <c r="A10" s="103">
        <v>45963</v>
      </c>
      <c r="B10" s="25" t="s">
        <v>422</v>
      </c>
      <c r="C10" s="103">
        <f t="shared" ref="C10:C15" si="10">A10+23</f>
        <v>45986</v>
      </c>
      <c r="D10" s="103">
        <f t="shared" ref="D10:D15" si="11">A10+7</f>
        <v>45970</v>
      </c>
      <c r="E10" s="103">
        <f t="shared" ref="E10:E15" si="12">A10+14</f>
        <v>45977</v>
      </c>
      <c r="F10" s="103">
        <f t="shared" ref="F10:F15" si="13">A10+20</f>
        <v>45983</v>
      </c>
      <c r="G10" s="103">
        <f t="shared" ref="G10:G15" si="14">A10+8</f>
        <v>45971</v>
      </c>
      <c r="H10" s="103">
        <f t="shared" ref="H10:H15" si="15">A10+15</f>
        <v>45978</v>
      </c>
      <c r="I10" s="103">
        <v>45993</v>
      </c>
      <c r="J10" s="104">
        <f t="shared" si="9"/>
        <v>30</v>
      </c>
      <c r="K10" s="25">
        <v>19.239999999999998</v>
      </c>
      <c r="L10" s="25">
        <v>9.73</v>
      </c>
      <c r="M10" s="25">
        <f t="shared" ref="M10:M11" si="16">K10-L10</f>
        <v>9.509999999999998</v>
      </c>
      <c r="N10" s="25" t="s">
        <v>592</v>
      </c>
    </row>
    <row r="11" spans="1:14" x14ac:dyDescent="0.25">
      <c r="A11" s="103">
        <v>45963</v>
      </c>
      <c r="B11" s="25" t="s">
        <v>423</v>
      </c>
      <c r="C11" s="103">
        <f t="shared" si="10"/>
        <v>45986</v>
      </c>
      <c r="D11" s="103">
        <f t="shared" si="11"/>
        <v>45970</v>
      </c>
      <c r="E11" s="103">
        <f t="shared" si="12"/>
        <v>45977</v>
      </c>
      <c r="F11" s="103">
        <f t="shared" si="13"/>
        <v>45983</v>
      </c>
      <c r="G11" s="103">
        <f t="shared" si="14"/>
        <v>45971</v>
      </c>
      <c r="H11" s="103">
        <f t="shared" si="15"/>
        <v>45978</v>
      </c>
      <c r="I11" s="103">
        <v>45993</v>
      </c>
      <c r="J11" s="104">
        <f t="shared" si="9"/>
        <v>30</v>
      </c>
      <c r="K11" s="25">
        <v>17.579999999999998</v>
      </c>
      <c r="L11" s="25">
        <v>8.0399999999999991</v>
      </c>
      <c r="M11" s="25">
        <f t="shared" si="16"/>
        <v>9.5399999999999991</v>
      </c>
      <c r="N11" s="25" t="s">
        <v>592</v>
      </c>
    </row>
    <row r="12" spans="1:14" x14ac:dyDescent="0.25">
      <c r="A12" s="103">
        <v>45963</v>
      </c>
      <c r="B12" s="25" t="s">
        <v>424</v>
      </c>
      <c r="C12" s="103">
        <f t="shared" si="10"/>
        <v>45986</v>
      </c>
      <c r="D12" s="103">
        <f t="shared" si="11"/>
        <v>45970</v>
      </c>
      <c r="E12" s="103">
        <f t="shared" si="12"/>
        <v>45977</v>
      </c>
      <c r="F12" s="103">
        <f t="shared" si="13"/>
        <v>45983</v>
      </c>
      <c r="G12" s="103">
        <f t="shared" si="14"/>
        <v>45971</v>
      </c>
      <c r="H12" s="103">
        <f t="shared" si="15"/>
        <v>45978</v>
      </c>
      <c r="I12" s="103">
        <v>45992</v>
      </c>
      <c r="J12" s="104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103">
        <v>45963</v>
      </c>
      <c r="B13" s="25" t="s">
        <v>425</v>
      </c>
      <c r="C13" s="103">
        <f t="shared" si="10"/>
        <v>45986</v>
      </c>
      <c r="D13" s="103">
        <f t="shared" si="11"/>
        <v>45970</v>
      </c>
      <c r="E13" s="103">
        <f t="shared" si="12"/>
        <v>45977</v>
      </c>
      <c r="F13" s="103">
        <f t="shared" si="13"/>
        <v>45983</v>
      </c>
      <c r="G13" s="103">
        <f t="shared" si="14"/>
        <v>45971</v>
      </c>
      <c r="H13" s="103">
        <f t="shared" si="15"/>
        <v>45978</v>
      </c>
      <c r="I13" s="103">
        <v>45992</v>
      </c>
      <c r="J13" s="104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103">
        <v>45963</v>
      </c>
      <c r="B14" s="25" t="s">
        <v>426</v>
      </c>
      <c r="C14" s="103">
        <f t="shared" si="10"/>
        <v>45986</v>
      </c>
      <c r="D14" s="103">
        <f t="shared" si="11"/>
        <v>45970</v>
      </c>
      <c r="E14" s="103">
        <f t="shared" si="12"/>
        <v>45977</v>
      </c>
      <c r="F14" s="103">
        <f t="shared" si="13"/>
        <v>45983</v>
      </c>
      <c r="G14" s="103">
        <f t="shared" si="14"/>
        <v>45971</v>
      </c>
      <c r="H14" s="103">
        <f t="shared" si="15"/>
        <v>45978</v>
      </c>
      <c r="I14" s="103">
        <v>45992</v>
      </c>
      <c r="J14" s="104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103">
        <v>45963</v>
      </c>
      <c r="B15" s="25" t="s">
        <v>427</v>
      </c>
      <c r="C15" s="103">
        <f t="shared" si="10"/>
        <v>45986</v>
      </c>
      <c r="D15" s="103">
        <f t="shared" si="11"/>
        <v>45970</v>
      </c>
      <c r="E15" s="103">
        <f t="shared" si="12"/>
        <v>45977</v>
      </c>
      <c r="F15" s="103">
        <f t="shared" si="13"/>
        <v>45983</v>
      </c>
      <c r="G15" s="103">
        <f t="shared" si="14"/>
        <v>45971</v>
      </c>
      <c r="H15" s="103">
        <f t="shared" si="15"/>
        <v>45978</v>
      </c>
      <c r="I15" s="103">
        <v>45992</v>
      </c>
      <c r="J15" s="104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103">
        <v>45964</v>
      </c>
      <c r="B16" s="25" t="s">
        <v>451</v>
      </c>
      <c r="C16" s="103">
        <f t="shared" ref="C16:C79" si="17">A16+23</f>
        <v>45987</v>
      </c>
      <c r="D16" s="103">
        <f t="shared" ref="D16:D79" si="18">A16+7</f>
        <v>45971</v>
      </c>
      <c r="E16" s="103">
        <f t="shared" ref="E16:E79" si="19">A16+14</f>
        <v>45978</v>
      </c>
      <c r="F16" s="103">
        <f t="shared" ref="F16:F79" si="20">A16+20</f>
        <v>45984</v>
      </c>
      <c r="G16" s="103">
        <f t="shared" ref="G16:G79" si="21">A16+8</f>
        <v>45972</v>
      </c>
      <c r="H16" s="103">
        <f t="shared" ref="H16:H79" si="22">A16+15</f>
        <v>45979</v>
      </c>
      <c r="I16" s="103"/>
      <c r="J16" s="104"/>
      <c r="K16" s="25"/>
      <c r="L16" s="25"/>
      <c r="M16" s="25"/>
      <c r="N16" s="25"/>
    </row>
    <row r="17" spans="1:14" x14ac:dyDescent="0.25">
      <c r="A17" s="103">
        <v>45964</v>
      </c>
      <c r="B17" s="25" t="s">
        <v>452</v>
      </c>
      <c r="C17" s="103">
        <f t="shared" si="17"/>
        <v>45987</v>
      </c>
      <c r="D17" s="103">
        <f t="shared" si="18"/>
        <v>45971</v>
      </c>
      <c r="E17" s="103">
        <f t="shared" si="19"/>
        <v>45978</v>
      </c>
      <c r="F17" s="103">
        <f t="shared" si="20"/>
        <v>45984</v>
      </c>
      <c r="G17" s="103">
        <f t="shared" si="21"/>
        <v>45972</v>
      </c>
      <c r="H17" s="103">
        <f t="shared" si="22"/>
        <v>45979</v>
      </c>
      <c r="I17" s="103"/>
      <c r="J17" s="104"/>
      <c r="K17" s="25"/>
      <c r="L17" s="25"/>
      <c r="M17" s="25"/>
      <c r="N17" s="25"/>
    </row>
    <row r="18" spans="1:14" x14ac:dyDescent="0.25">
      <c r="A18" s="103">
        <v>45964</v>
      </c>
      <c r="B18" s="25" t="s">
        <v>453</v>
      </c>
      <c r="C18" s="103">
        <f t="shared" si="17"/>
        <v>45987</v>
      </c>
      <c r="D18" s="103">
        <f t="shared" si="18"/>
        <v>45971</v>
      </c>
      <c r="E18" s="103">
        <f t="shared" si="19"/>
        <v>45978</v>
      </c>
      <c r="F18" s="103">
        <f t="shared" si="20"/>
        <v>45984</v>
      </c>
      <c r="G18" s="103">
        <f t="shared" si="21"/>
        <v>45972</v>
      </c>
      <c r="H18" s="103">
        <f t="shared" si="22"/>
        <v>45979</v>
      </c>
      <c r="I18" s="103"/>
      <c r="J18" s="104"/>
      <c r="K18" s="25"/>
      <c r="L18" s="25"/>
      <c r="M18" s="25"/>
      <c r="N18" s="25"/>
    </row>
    <row r="19" spans="1:14" x14ac:dyDescent="0.25">
      <c r="A19" s="103">
        <v>45964</v>
      </c>
      <c r="B19" s="25" t="s">
        <v>454</v>
      </c>
      <c r="C19" s="103">
        <f t="shared" si="17"/>
        <v>45987</v>
      </c>
      <c r="D19" s="103">
        <f t="shared" si="18"/>
        <v>45971</v>
      </c>
      <c r="E19" s="103">
        <f t="shared" si="19"/>
        <v>45978</v>
      </c>
      <c r="F19" s="103">
        <f t="shared" si="20"/>
        <v>45984</v>
      </c>
      <c r="G19" s="103">
        <f t="shared" si="21"/>
        <v>45972</v>
      </c>
      <c r="H19" s="103">
        <f t="shared" si="22"/>
        <v>45979</v>
      </c>
      <c r="I19" s="103"/>
      <c r="J19" s="104"/>
      <c r="K19" s="25"/>
      <c r="L19" s="25"/>
      <c r="M19" s="25"/>
      <c r="N19" s="25"/>
    </row>
    <row r="20" spans="1:14" x14ac:dyDescent="0.25">
      <c r="A20" s="103">
        <v>45964</v>
      </c>
      <c r="B20" s="25" t="s">
        <v>455</v>
      </c>
      <c r="C20" s="103">
        <f t="shared" si="17"/>
        <v>45987</v>
      </c>
      <c r="D20" s="103">
        <f t="shared" si="18"/>
        <v>45971</v>
      </c>
      <c r="E20" s="103">
        <f t="shared" si="19"/>
        <v>45978</v>
      </c>
      <c r="F20" s="103">
        <f t="shared" si="20"/>
        <v>45984</v>
      </c>
      <c r="G20" s="103">
        <f t="shared" si="21"/>
        <v>45972</v>
      </c>
      <c r="H20" s="103">
        <f t="shared" si="22"/>
        <v>45979</v>
      </c>
      <c r="I20" s="103"/>
      <c r="J20" s="104"/>
      <c r="K20" s="25"/>
      <c r="L20" s="25"/>
      <c r="M20" s="25"/>
      <c r="N20" s="25"/>
    </row>
    <row r="21" spans="1:14" x14ac:dyDescent="0.25">
      <c r="A21" s="103">
        <v>45964</v>
      </c>
      <c r="B21" s="25" t="s">
        <v>456</v>
      </c>
      <c r="C21" s="103">
        <f t="shared" si="17"/>
        <v>45987</v>
      </c>
      <c r="D21" s="103">
        <f t="shared" si="18"/>
        <v>45971</v>
      </c>
      <c r="E21" s="103">
        <f t="shared" si="19"/>
        <v>45978</v>
      </c>
      <c r="F21" s="103">
        <f t="shared" si="20"/>
        <v>45984</v>
      </c>
      <c r="G21" s="103">
        <f t="shared" si="21"/>
        <v>45972</v>
      </c>
      <c r="H21" s="103">
        <f t="shared" si="22"/>
        <v>45979</v>
      </c>
      <c r="I21" s="103"/>
      <c r="J21" s="104"/>
      <c r="K21" s="25"/>
      <c r="L21" s="25"/>
      <c r="M21" s="25"/>
      <c r="N21" s="25"/>
    </row>
    <row r="22" spans="1:14" x14ac:dyDescent="0.25">
      <c r="A22" s="103">
        <v>45964</v>
      </c>
      <c r="B22" s="25" t="s">
        <v>457</v>
      </c>
      <c r="C22" s="103">
        <f t="shared" si="17"/>
        <v>45987</v>
      </c>
      <c r="D22" s="103">
        <f t="shared" si="18"/>
        <v>45971</v>
      </c>
      <c r="E22" s="103">
        <f t="shared" si="19"/>
        <v>45978</v>
      </c>
      <c r="F22" s="103">
        <f t="shared" si="20"/>
        <v>45984</v>
      </c>
      <c r="G22" s="103">
        <f t="shared" si="21"/>
        <v>45972</v>
      </c>
      <c r="H22" s="103">
        <f t="shared" si="22"/>
        <v>45979</v>
      </c>
      <c r="I22" s="103"/>
      <c r="J22" s="104"/>
      <c r="K22" s="25"/>
      <c r="L22" s="25"/>
      <c r="M22" s="25"/>
      <c r="N22" s="25"/>
    </row>
    <row r="23" spans="1:14" x14ac:dyDescent="0.25">
      <c r="A23" s="103">
        <v>45965</v>
      </c>
      <c r="B23" s="25" t="s">
        <v>465</v>
      </c>
      <c r="C23" s="103">
        <f t="shared" si="17"/>
        <v>45988</v>
      </c>
      <c r="D23" s="103">
        <f t="shared" si="18"/>
        <v>45972</v>
      </c>
      <c r="E23" s="103">
        <f t="shared" si="19"/>
        <v>45979</v>
      </c>
      <c r="F23" s="103">
        <f t="shared" si="20"/>
        <v>45985</v>
      </c>
      <c r="G23" s="103">
        <f t="shared" si="21"/>
        <v>45973</v>
      </c>
      <c r="H23" s="103">
        <f t="shared" si="22"/>
        <v>45980</v>
      </c>
      <c r="I23" s="103"/>
      <c r="J23" s="104"/>
      <c r="K23" s="25"/>
      <c r="L23" s="25"/>
      <c r="M23" s="25"/>
      <c r="N23" s="25"/>
    </row>
    <row r="24" spans="1:14" x14ac:dyDescent="0.25">
      <c r="A24" s="103">
        <v>45965</v>
      </c>
      <c r="B24" s="25" t="s">
        <v>466</v>
      </c>
      <c r="C24" s="103">
        <f t="shared" si="17"/>
        <v>45988</v>
      </c>
      <c r="D24" s="103">
        <f t="shared" si="18"/>
        <v>45972</v>
      </c>
      <c r="E24" s="103">
        <f t="shared" si="19"/>
        <v>45979</v>
      </c>
      <c r="F24" s="103">
        <f t="shared" si="20"/>
        <v>45985</v>
      </c>
      <c r="G24" s="103">
        <f t="shared" si="21"/>
        <v>45973</v>
      </c>
      <c r="H24" s="103">
        <f t="shared" si="22"/>
        <v>45980</v>
      </c>
      <c r="I24" s="103"/>
      <c r="J24" s="104"/>
      <c r="K24" s="25"/>
      <c r="L24" s="25"/>
      <c r="M24" s="25"/>
      <c r="N24" s="25"/>
    </row>
    <row r="25" spans="1:14" x14ac:dyDescent="0.25">
      <c r="A25" s="103">
        <v>45965</v>
      </c>
      <c r="B25" s="25" t="s">
        <v>467</v>
      </c>
      <c r="C25" s="103">
        <f t="shared" si="17"/>
        <v>45988</v>
      </c>
      <c r="D25" s="103">
        <f t="shared" si="18"/>
        <v>45972</v>
      </c>
      <c r="E25" s="103">
        <f t="shared" si="19"/>
        <v>45979</v>
      </c>
      <c r="F25" s="103">
        <f t="shared" si="20"/>
        <v>45985</v>
      </c>
      <c r="G25" s="103">
        <f t="shared" si="21"/>
        <v>45973</v>
      </c>
      <c r="H25" s="103">
        <f t="shared" si="22"/>
        <v>45980</v>
      </c>
      <c r="I25" s="103"/>
      <c r="J25" s="104"/>
      <c r="K25" s="25"/>
      <c r="L25" s="25"/>
      <c r="M25" s="25"/>
      <c r="N25" s="25"/>
    </row>
    <row r="26" spans="1:14" x14ac:dyDescent="0.25">
      <c r="A26" s="103">
        <v>45965</v>
      </c>
      <c r="B26" s="25" t="s">
        <v>468</v>
      </c>
      <c r="C26" s="103">
        <f t="shared" si="17"/>
        <v>45988</v>
      </c>
      <c r="D26" s="103">
        <f t="shared" si="18"/>
        <v>45972</v>
      </c>
      <c r="E26" s="103">
        <f t="shared" si="19"/>
        <v>45979</v>
      </c>
      <c r="F26" s="103">
        <f t="shared" si="20"/>
        <v>45985</v>
      </c>
      <c r="G26" s="103">
        <f t="shared" si="21"/>
        <v>45973</v>
      </c>
      <c r="H26" s="103">
        <f t="shared" si="22"/>
        <v>45980</v>
      </c>
      <c r="I26" s="103"/>
      <c r="J26" s="104"/>
      <c r="K26" s="25"/>
      <c r="L26" s="25"/>
      <c r="M26" s="25"/>
      <c r="N26" s="25"/>
    </row>
    <row r="27" spans="1:14" x14ac:dyDescent="0.25">
      <c r="A27" s="103">
        <v>45965</v>
      </c>
      <c r="B27" s="25" t="s">
        <v>469</v>
      </c>
      <c r="C27" s="103">
        <f t="shared" si="17"/>
        <v>45988</v>
      </c>
      <c r="D27" s="103">
        <f t="shared" si="18"/>
        <v>45972</v>
      </c>
      <c r="E27" s="103">
        <f t="shared" si="19"/>
        <v>45979</v>
      </c>
      <c r="F27" s="103">
        <f t="shared" si="20"/>
        <v>45985</v>
      </c>
      <c r="G27" s="103">
        <f t="shared" si="21"/>
        <v>45973</v>
      </c>
      <c r="H27" s="103">
        <f t="shared" si="22"/>
        <v>45980</v>
      </c>
      <c r="I27" s="103"/>
      <c r="J27" s="104"/>
      <c r="K27" s="25"/>
      <c r="L27" s="25"/>
      <c r="M27" s="25"/>
      <c r="N27" s="25"/>
    </row>
    <row r="28" spans="1:14" x14ac:dyDescent="0.25">
      <c r="A28" s="103">
        <v>45965</v>
      </c>
      <c r="B28" s="25" t="s">
        <v>470</v>
      </c>
      <c r="C28" s="103">
        <f t="shared" si="17"/>
        <v>45988</v>
      </c>
      <c r="D28" s="103">
        <f t="shared" si="18"/>
        <v>45972</v>
      </c>
      <c r="E28" s="103">
        <f t="shared" si="19"/>
        <v>45979</v>
      </c>
      <c r="F28" s="103">
        <f t="shared" si="20"/>
        <v>45985</v>
      </c>
      <c r="G28" s="103">
        <f t="shared" si="21"/>
        <v>45973</v>
      </c>
      <c r="H28" s="103">
        <f t="shared" si="22"/>
        <v>45980</v>
      </c>
      <c r="I28" s="103"/>
      <c r="J28" s="104"/>
      <c r="K28" s="25"/>
      <c r="L28" s="25"/>
      <c r="M28" s="25"/>
      <c r="N28" s="25"/>
    </row>
    <row r="29" spans="1:14" x14ac:dyDescent="0.25">
      <c r="A29" s="103">
        <v>45965</v>
      </c>
      <c r="B29" s="25" t="s">
        <v>471</v>
      </c>
      <c r="C29" s="103">
        <f t="shared" si="17"/>
        <v>45988</v>
      </c>
      <c r="D29" s="103">
        <f t="shared" si="18"/>
        <v>45972</v>
      </c>
      <c r="E29" s="103">
        <f t="shared" si="19"/>
        <v>45979</v>
      </c>
      <c r="F29" s="103">
        <f t="shared" si="20"/>
        <v>45985</v>
      </c>
      <c r="G29" s="103">
        <f t="shared" si="21"/>
        <v>45973</v>
      </c>
      <c r="H29" s="103">
        <f t="shared" si="22"/>
        <v>45980</v>
      </c>
      <c r="I29" s="103"/>
      <c r="J29" s="104"/>
      <c r="K29" s="25"/>
      <c r="L29" s="25"/>
      <c r="M29" s="25"/>
      <c r="N29" s="25"/>
    </row>
    <row r="30" spans="1:14" x14ac:dyDescent="0.25">
      <c r="A30" s="103">
        <v>45966</v>
      </c>
      <c r="B30" s="25" t="s">
        <v>414</v>
      </c>
      <c r="C30" s="103">
        <f t="shared" si="17"/>
        <v>45989</v>
      </c>
      <c r="D30" s="103">
        <f t="shared" si="18"/>
        <v>45973</v>
      </c>
      <c r="E30" s="103">
        <f t="shared" si="19"/>
        <v>45980</v>
      </c>
      <c r="F30" s="103">
        <f t="shared" si="20"/>
        <v>45986</v>
      </c>
      <c r="G30" s="103">
        <f t="shared" si="21"/>
        <v>45974</v>
      </c>
      <c r="H30" s="103">
        <f t="shared" si="22"/>
        <v>45981</v>
      </c>
      <c r="I30" s="103"/>
      <c r="J30" s="104"/>
      <c r="K30" s="25"/>
      <c r="L30" s="25"/>
      <c r="M30" s="25"/>
      <c r="N30" s="25"/>
    </row>
    <row r="31" spans="1:14" x14ac:dyDescent="0.25">
      <c r="A31" s="103">
        <v>45966</v>
      </c>
      <c r="B31" s="25" t="s">
        <v>415</v>
      </c>
      <c r="C31" s="103">
        <f t="shared" si="17"/>
        <v>45989</v>
      </c>
      <c r="D31" s="103">
        <f t="shared" si="18"/>
        <v>45973</v>
      </c>
      <c r="E31" s="103">
        <f t="shared" si="19"/>
        <v>45980</v>
      </c>
      <c r="F31" s="103">
        <f t="shared" si="20"/>
        <v>45986</v>
      </c>
      <c r="G31" s="103">
        <f t="shared" si="21"/>
        <v>45974</v>
      </c>
      <c r="H31" s="103">
        <f t="shared" si="22"/>
        <v>45981</v>
      </c>
      <c r="I31" s="103"/>
      <c r="J31" s="104"/>
      <c r="K31" s="25"/>
      <c r="L31" s="25"/>
      <c r="M31" s="25"/>
      <c r="N31" s="25"/>
    </row>
    <row r="32" spans="1:14" x14ac:dyDescent="0.25">
      <c r="A32" s="103">
        <v>45966</v>
      </c>
      <c r="B32" s="25" t="s">
        <v>416</v>
      </c>
      <c r="C32" s="103">
        <f t="shared" si="17"/>
        <v>45989</v>
      </c>
      <c r="D32" s="103">
        <f t="shared" si="18"/>
        <v>45973</v>
      </c>
      <c r="E32" s="103">
        <f t="shared" si="19"/>
        <v>45980</v>
      </c>
      <c r="F32" s="103">
        <f t="shared" si="20"/>
        <v>45986</v>
      </c>
      <c r="G32" s="103">
        <f t="shared" si="21"/>
        <v>45974</v>
      </c>
      <c r="H32" s="103">
        <f t="shared" si="22"/>
        <v>45981</v>
      </c>
      <c r="I32" s="103"/>
      <c r="J32" s="104"/>
      <c r="K32" s="25"/>
      <c r="L32" s="25"/>
      <c r="M32" s="25"/>
      <c r="N32" s="25"/>
    </row>
    <row r="33" spans="1:14" x14ac:dyDescent="0.25">
      <c r="A33" s="103">
        <v>45966</v>
      </c>
      <c r="B33" s="25" t="s">
        <v>417</v>
      </c>
      <c r="C33" s="103">
        <f t="shared" si="17"/>
        <v>45989</v>
      </c>
      <c r="D33" s="103">
        <f t="shared" si="18"/>
        <v>45973</v>
      </c>
      <c r="E33" s="103">
        <f t="shared" si="19"/>
        <v>45980</v>
      </c>
      <c r="F33" s="103">
        <f t="shared" si="20"/>
        <v>45986</v>
      </c>
      <c r="G33" s="103">
        <f t="shared" si="21"/>
        <v>45974</v>
      </c>
      <c r="H33" s="103">
        <f t="shared" si="22"/>
        <v>45981</v>
      </c>
      <c r="I33" s="103"/>
      <c r="J33" s="104"/>
      <c r="K33" s="25"/>
      <c r="L33" s="25"/>
      <c r="M33" s="25"/>
      <c r="N33" s="25"/>
    </row>
    <row r="34" spans="1:14" x14ac:dyDescent="0.25">
      <c r="A34" s="103">
        <v>45966</v>
      </c>
      <c r="B34" s="25" t="s">
        <v>418</v>
      </c>
      <c r="C34" s="103">
        <f t="shared" si="17"/>
        <v>45989</v>
      </c>
      <c r="D34" s="103">
        <f t="shared" si="18"/>
        <v>45973</v>
      </c>
      <c r="E34" s="103">
        <f t="shared" si="19"/>
        <v>45980</v>
      </c>
      <c r="F34" s="103">
        <f t="shared" si="20"/>
        <v>45986</v>
      </c>
      <c r="G34" s="103">
        <f t="shared" si="21"/>
        <v>45974</v>
      </c>
      <c r="H34" s="103">
        <f t="shared" si="22"/>
        <v>45981</v>
      </c>
      <c r="I34" s="103"/>
      <c r="J34" s="104"/>
      <c r="K34" s="25"/>
      <c r="L34" s="25"/>
      <c r="M34" s="25"/>
      <c r="N34" s="25"/>
    </row>
    <row r="35" spans="1:14" x14ac:dyDescent="0.25">
      <c r="A35" s="103">
        <v>45966</v>
      </c>
      <c r="B35" s="25" t="s">
        <v>419</v>
      </c>
      <c r="C35" s="103">
        <f t="shared" si="17"/>
        <v>45989</v>
      </c>
      <c r="D35" s="103">
        <f t="shared" si="18"/>
        <v>45973</v>
      </c>
      <c r="E35" s="103">
        <f t="shared" si="19"/>
        <v>45980</v>
      </c>
      <c r="F35" s="103">
        <f t="shared" si="20"/>
        <v>45986</v>
      </c>
      <c r="G35" s="103">
        <f t="shared" si="21"/>
        <v>45974</v>
      </c>
      <c r="H35" s="103">
        <f t="shared" si="22"/>
        <v>45981</v>
      </c>
      <c r="I35" s="103"/>
      <c r="J35" s="104"/>
      <c r="K35" s="25"/>
      <c r="L35" s="25"/>
      <c r="M35" s="25"/>
      <c r="N35" s="25"/>
    </row>
    <row r="36" spans="1:14" x14ac:dyDescent="0.25">
      <c r="A36" s="103">
        <v>45966</v>
      </c>
      <c r="B36" s="25" t="s">
        <v>420</v>
      </c>
      <c r="C36" s="103">
        <f t="shared" si="17"/>
        <v>45989</v>
      </c>
      <c r="D36" s="103">
        <f t="shared" si="18"/>
        <v>45973</v>
      </c>
      <c r="E36" s="103">
        <f t="shared" si="19"/>
        <v>45980</v>
      </c>
      <c r="F36" s="103">
        <f t="shared" si="20"/>
        <v>45986</v>
      </c>
      <c r="G36" s="103">
        <f t="shared" si="21"/>
        <v>45974</v>
      </c>
      <c r="H36" s="103">
        <f t="shared" si="22"/>
        <v>45981</v>
      </c>
      <c r="I36" s="103"/>
      <c r="J36" s="104"/>
      <c r="K36" s="25"/>
      <c r="L36" s="25"/>
      <c r="M36" s="25"/>
      <c r="N36" s="25"/>
    </row>
    <row r="37" spans="1:14" x14ac:dyDescent="0.25">
      <c r="A37" s="103">
        <v>45967</v>
      </c>
      <c r="B37" s="25" t="s">
        <v>444</v>
      </c>
      <c r="C37" s="103">
        <f t="shared" si="17"/>
        <v>45990</v>
      </c>
      <c r="D37" s="103">
        <f t="shared" si="18"/>
        <v>45974</v>
      </c>
      <c r="E37" s="103">
        <f t="shared" si="19"/>
        <v>45981</v>
      </c>
      <c r="F37" s="103">
        <f t="shared" si="20"/>
        <v>45987</v>
      </c>
      <c r="G37" s="103">
        <f t="shared" si="21"/>
        <v>45975</v>
      </c>
      <c r="H37" s="103">
        <f t="shared" si="22"/>
        <v>45982</v>
      </c>
      <c r="I37" s="103"/>
      <c r="J37" s="104"/>
      <c r="K37" s="25"/>
      <c r="L37" s="25"/>
      <c r="M37" s="25"/>
      <c r="N37" s="25"/>
    </row>
    <row r="38" spans="1:14" x14ac:dyDescent="0.25">
      <c r="A38" s="103">
        <v>45967</v>
      </c>
      <c r="B38" s="25" t="s">
        <v>445</v>
      </c>
      <c r="C38" s="103">
        <f t="shared" si="17"/>
        <v>45990</v>
      </c>
      <c r="D38" s="103">
        <f t="shared" si="18"/>
        <v>45974</v>
      </c>
      <c r="E38" s="103">
        <f t="shared" si="19"/>
        <v>45981</v>
      </c>
      <c r="F38" s="103">
        <f t="shared" si="20"/>
        <v>45987</v>
      </c>
      <c r="G38" s="103">
        <f t="shared" si="21"/>
        <v>45975</v>
      </c>
      <c r="H38" s="103">
        <f t="shared" si="22"/>
        <v>45982</v>
      </c>
      <c r="I38" s="103"/>
      <c r="J38" s="104"/>
      <c r="K38" s="25"/>
      <c r="L38" s="25"/>
      <c r="M38" s="25"/>
      <c r="N38" s="25"/>
    </row>
    <row r="39" spans="1:14" x14ac:dyDescent="0.25">
      <c r="A39" s="103">
        <v>45967</v>
      </c>
      <c r="B39" s="25" t="s">
        <v>446</v>
      </c>
      <c r="C39" s="103">
        <f t="shared" si="17"/>
        <v>45990</v>
      </c>
      <c r="D39" s="103">
        <f t="shared" si="18"/>
        <v>45974</v>
      </c>
      <c r="E39" s="103">
        <f t="shared" si="19"/>
        <v>45981</v>
      </c>
      <c r="F39" s="103">
        <f t="shared" si="20"/>
        <v>45987</v>
      </c>
      <c r="G39" s="103">
        <f t="shared" si="21"/>
        <v>45975</v>
      </c>
      <c r="H39" s="103">
        <f t="shared" si="22"/>
        <v>45982</v>
      </c>
      <c r="I39" s="103"/>
      <c r="J39" s="104"/>
      <c r="K39" s="25"/>
      <c r="L39" s="25"/>
      <c r="M39" s="25"/>
      <c r="N39" s="25"/>
    </row>
    <row r="40" spans="1:14" x14ac:dyDescent="0.25">
      <c r="A40" s="103">
        <v>45967</v>
      </c>
      <c r="B40" s="25" t="s">
        <v>447</v>
      </c>
      <c r="C40" s="103">
        <f t="shared" si="17"/>
        <v>45990</v>
      </c>
      <c r="D40" s="103">
        <f t="shared" si="18"/>
        <v>45974</v>
      </c>
      <c r="E40" s="103">
        <f t="shared" si="19"/>
        <v>45981</v>
      </c>
      <c r="F40" s="103">
        <f t="shared" si="20"/>
        <v>45987</v>
      </c>
      <c r="G40" s="103">
        <f t="shared" si="21"/>
        <v>45975</v>
      </c>
      <c r="H40" s="103">
        <f t="shared" si="22"/>
        <v>45982</v>
      </c>
      <c r="I40" s="103"/>
      <c r="J40" s="104"/>
      <c r="K40" s="25"/>
      <c r="L40" s="25"/>
      <c r="M40" s="25"/>
      <c r="N40" s="25"/>
    </row>
    <row r="41" spans="1:14" x14ac:dyDescent="0.25">
      <c r="A41" s="103">
        <v>45967</v>
      </c>
      <c r="B41" s="25" t="s">
        <v>448</v>
      </c>
      <c r="C41" s="103">
        <f t="shared" si="17"/>
        <v>45990</v>
      </c>
      <c r="D41" s="103">
        <f t="shared" si="18"/>
        <v>45974</v>
      </c>
      <c r="E41" s="103">
        <f t="shared" si="19"/>
        <v>45981</v>
      </c>
      <c r="F41" s="103">
        <f t="shared" si="20"/>
        <v>45987</v>
      </c>
      <c r="G41" s="103">
        <f t="shared" si="21"/>
        <v>45975</v>
      </c>
      <c r="H41" s="103">
        <f t="shared" si="22"/>
        <v>45982</v>
      </c>
      <c r="I41" s="103"/>
      <c r="J41" s="104"/>
      <c r="K41" s="25"/>
      <c r="L41" s="25"/>
      <c r="M41" s="25"/>
      <c r="N41" s="25"/>
    </row>
    <row r="42" spans="1:14" x14ac:dyDescent="0.25">
      <c r="A42" s="103">
        <v>45967</v>
      </c>
      <c r="B42" s="25" t="s">
        <v>449</v>
      </c>
      <c r="C42" s="103">
        <f t="shared" si="17"/>
        <v>45990</v>
      </c>
      <c r="D42" s="103">
        <f t="shared" si="18"/>
        <v>45974</v>
      </c>
      <c r="E42" s="103">
        <f t="shared" si="19"/>
        <v>45981</v>
      </c>
      <c r="F42" s="103">
        <f t="shared" si="20"/>
        <v>45987</v>
      </c>
      <c r="G42" s="103">
        <f t="shared" si="21"/>
        <v>45975</v>
      </c>
      <c r="H42" s="103">
        <f t="shared" si="22"/>
        <v>45982</v>
      </c>
      <c r="I42" s="103"/>
      <c r="J42" s="104"/>
      <c r="K42" s="25"/>
      <c r="L42" s="25"/>
      <c r="M42" s="25"/>
      <c r="N42" s="25"/>
    </row>
    <row r="43" spans="1:14" x14ac:dyDescent="0.25">
      <c r="A43" s="103">
        <v>45967</v>
      </c>
      <c r="B43" s="25" t="s">
        <v>450</v>
      </c>
      <c r="C43" s="103">
        <f t="shared" si="17"/>
        <v>45990</v>
      </c>
      <c r="D43" s="103">
        <f t="shared" si="18"/>
        <v>45974</v>
      </c>
      <c r="E43" s="103">
        <f t="shared" si="19"/>
        <v>45981</v>
      </c>
      <c r="F43" s="103">
        <f t="shared" si="20"/>
        <v>45987</v>
      </c>
      <c r="G43" s="103">
        <f t="shared" si="21"/>
        <v>45975</v>
      </c>
      <c r="H43" s="103">
        <f t="shared" si="22"/>
        <v>45982</v>
      </c>
      <c r="I43" s="103"/>
      <c r="J43" s="104"/>
      <c r="K43" s="25"/>
      <c r="L43" s="25"/>
      <c r="M43" s="25"/>
      <c r="N43" s="25"/>
    </row>
    <row r="44" spans="1:14" x14ac:dyDescent="0.25">
      <c r="A44" s="103">
        <v>45968</v>
      </c>
      <c r="B44" s="25" t="s">
        <v>412</v>
      </c>
      <c r="C44" s="103">
        <f t="shared" si="17"/>
        <v>45991</v>
      </c>
      <c r="D44" s="103">
        <f t="shared" si="18"/>
        <v>45975</v>
      </c>
      <c r="E44" s="103">
        <f t="shared" si="19"/>
        <v>45982</v>
      </c>
      <c r="F44" s="103">
        <f t="shared" si="20"/>
        <v>45988</v>
      </c>
      <c r="G44" s="103">
        <f t="shared" si="21"/>
        <v>45976</v>
      </c>
      <c r="H44" s="103">
        <f t="shared" si="22"/>
        <v>45983</v>
      </c>
      <c r="I44" s="103"/>
      <c r="J44" s="104"/>
      <c r="K44" s="25"/>
      <c r="L44" s="25"/>
      <c r="M44" s="25"/>
      <c r="N44" s="25"/>
    </row>
    <row r="45" spans="1:14" x14ac:dyDescent="0.25">
      <c r="A45" s="103">
        <v>45968</v>
      </c>
      <c r="B45" s="25" t="s">
        <v>413</v>
      </c>
      <c r="C45" s="103">
        <f t="shared" si="17"/>
        <v>45991</v>
      </c>
      <c r="D45" s="103">
        <f t="shared" si="18"/>
        <v>45975</v>
      </c>
      <c r="E45" s="103">
        <f t="shared" si="19"/>
        <v>45982</v>
      </c>
      <c r="F45" s="103">
        <f t="shared" si="20"/>
        <v>45988</v>
      </c>
      <c r="G45" s="103">
        <f t="shared" si="21"/>
        <v>45976</v>
      </c>
      <c r="H45" s="103">
        <f t="shared" si="22"/>
        <v>45983</v>
      </c>
      <c r="I45" s="103"/>
      <c r="J45" s="104"/>
      <c r="K45" s="25"/>
      <c r="L45" s="25"/>
      <c r="M45" s="25"/>
      <c r="N45" s="25"/>
    </row>
    <row r="46" spans="1:14" x14ac:dyDescent="0.25">
      <c r="A46" s="103">
        <v>45968</v>
      </c>
      <c r="B46" s="25" t="s">
        <v>442</v>
      </c>
      <c r="C46" s="103">
        <f t="shared" si="17"/>
        <v>45991</v>
      </c>
      <c r="D46" s="103">
        <f t="shared" si="18"/>
        <v>45975</v>
      </c>
      <c r="E46" s="103">
        <f t="shared" si="19"/>
        <v>45982</v>
      </c>
      <c r="F46" s="103">
        <f t="shared" si="20"/>
        <v>45988</v>
      </c>
      <c r="G46" s="103">
        <f t="shared" si="21"/>
        <v>45976</v>
      </c>
      <c r="H46" s="103">
        <f t="shared" si="22"/>
        <v>45983</v>
      </c>
      <c r="I46" s="103"/>
      <c r="J46" s="104"/>
      <c r="K46" s="25"/>
      <c r="L46" s="25"/>
      <c r="M46" s="25"/>
      <c r="N46" s="25"/>
    </row>
    <row r="47" spans="1:14" x14ac:dyDescent="0.25">
      <c r="A47" s="103">
        <v>45968</v>
      </c>
      <c r="B47" s="25" t="s">
        <v>443</v>
      </c>
      <c r="C47" s="103">
        <f t="shared" si="17"/>
        <v>45991</v>
      </c>
      <c r="D47" s="103">
        <f t="shared" si="18"/>
        <v>45975</v>
      </c>
      <c r="E47" s="103">
        <f t="shared" si="19"/>
        <v>45982</v>
      </c>
      <c r="F47" s="103">
        <f t="shared" si="20"/>
        <v>45988</v>
      </c>
      <c r="G47" s="103">
        <f t="shared" si="21"/>
        <v>45976</v>
      </c>
      <c r="H47" s="103">
        <f t="shared" si="22"/>
        <v>45983</v>
      </c>
      <c r="I47" s="103"/>
      <c r="J47" s="104"/>
      <c r="K47" s="25"/>
      <c r="L47" s="25"/>
      <c r="M47" s="25"/>
      <c r="N47" s="25"/>
    </row>
    <row r="48" spans="1:14" x14ac:dyDescent="0.25">
      <c r="A48" s="103">
        <v>45968</v>
      </c>
      <c r="B48" s="25" t="s">
        <v>472</v>
      </c>
      <c r="C48" s="103">
        <f t="shared" si="17"/>
        <v>45991</v>
      </c>
      <c r="D48" s="103">
        <f t="shared" si="18"/>
        <v>45975</v>
      </c>
      <c r="E48" s="103">
        <f t="shared" si="19"/>
        <v>45982</v>
      </c>
      <c r="F48" s="103">
        <f t="shared" si="20"/>
        <v>45988</v>
      </c>
      <c r="G48" s="103">
        <f t="shared" si="21"/>
        <v>45976</v>
      </c>
      <c r="H48" s="103">
        <f t="shared" si="22"/>
        <v>45983</v>
      </c>
      <c r="I48" s="103"/>
      <c r="J48" s="104"/>
      <c r="K48" s="25"/>
      <c r="L48" s="25"/>
      <c r="M48" s="25"/>
      <c r="N48" s="25"/>
    </row>
    <row r="49" spans="1:14" x14ac:dyDescent="0.25">
      <c r="A49" s="103">
        <v>45968</v>
      </c>
      <c r="B49" s="25" t="s">
        <v>473</v>
      </c>
      <c r="C49" s="103">
        <f t="shared" si="17"/>
        <v>45991</v>
      </c>
      <c r="D49" s="103">
        <f t="shared" si="18"/>
        <v>45975</v>
      </c>
      <c r="E49" s="103">
        <f t="shared" si="19"/>
        <v>45982</v>
      </c>
      <c r="F49" s="103">
        <f t="shared" si="20"/>
        <v>45988</v>
      </c>
      <c r="G49" s="103">
        <f t="shared" si="21"/>
        <v>45976</v>
      </c>
      <c r="H49" s="103">
        <f t="shared" si="22"/>
        <v>45983</v>
      </c>
      <c r="I49" s="103"/>
      <c r="J49" s="104"/>
      <c r="K49" s="25"/>
      <c r="L49" s="25"/>
      <c r="M49" s="25"/>
      <c r="N49" s="25"/>
    </row>
    <row r="50" spans="1:14" x14ac:dyDescent="0.25">
      <c r="A50" s="103">
        <v>45968</v>
      </c>
      <c r="B50" s="25" t="s">
        <v>474</v>
      </c>
      <c r="C50" s="103">
        <f t="shared" si="17"/>
        <v>45991</v>
      </c>
      <c r="D50" s="103">
        <f t="shared" si="18"/>
        <v>45975</v>
      </c>
      <c r="E50" s="103">
        <f t="shared" si="19"/>
        <v>45982</v>
      </c>
      <c r="F50" s="103">
        <f t="shared" si="20"/>
        <v>45988</v>
      </c>
      <c r="G50" s="103">
        <f t="shared" si="21"/>
        <v>45976</v>
      </c>
      <c r="H50" s="103">
        <f t="shared" si="22"/>
        <v>45983</v>
      </c>
      <c r="I50" s="103"/>
      <c r="J50" s="104"/>
      <c r="K50" s="25"/>
      <c r="L50" s="25"/>
      <c r="M50" s="25"/>
      <c r="N50" s="25"/>
    </row>
    <row r="51" spans="1:14" x14ac:dyDescent="0.25">
      <c r="A51" s="103">
        <v>45969</v>
      </c>
      <c r="B51" s="25" t="s">
        <v>476</v>
      </c>
      <c r="C51" s="103">
        <f t="shared" si="17"/>
        <v>45992</v>
      </c>
      <c r="D51" s="103">
        <f t="shared" si="18"/>
        <v>45976</v>
      </c>
      <c r="E51" s="103">
        <f t="shared" si="19"/>
        <v>45983</v>
      </c>
      <c r="F51" s="103">
        <f t="shared" si="20"/>
        <v>45989</v>
      </c>
      <c r="G51" s="103">
        <f t="shared" si="21"/>
        <v>45977</v>
      </c>
      <c r="H51" s="103">
        <f t="shared" si="22"/>
        <v>45984</v>
      </c>
      <c r="I51" s="103"/>
      <c r="J51" s="104"/>
      <c r="K51" s="25"/>
      <c r="L51" s="25"/>
      <c r="M51" s="25"/>
      <c r="N51" s="25"/>
    </row>
    <row r="52" spans="1:14" x14ac:dyDescent="0.25">
      <c r="A52" s="103">
        <v>45969</v>
      </c>
      <c r="B52" s="25" t="s">
        <v>477</v>
      </c>
      <c r="C52" s="103">
        <f t="shared" si="17"/>
        <v>45992</v>
      </c>
      <c r="D52" s="103">
        <f t="shared" si="18"/>
        <v>45976</v>
      </c>
      <c r="E52" s="103">
        <f t="shared" si="19"/>
        <v>45983</v>
      </c>
      <c r="F52" s="103">
        <f t="shared" si="20"/>
        <v>45989</v>
      </c>
      <c r="G52" s="103">
        <f t="shared" si="21"/>
        <v>45977</v>
      </c>
      <c r="H52" s="103">
        <f t="shared" si="22"/>
        <v>45984</v>
      </c>
      <c r="I52" s="103"/>
      <c r="J52" s="104"/>
      <c r="K52" s="25"/>
      <c r="L52" s="25"/>
      <c r="M52" s="25"/>
      <c r="N52" s="25"/>
    </row>
    <row r="53" spans="1:14" x14ac:dyDescent="0.25">
      <c r="A53" s="103">
        <v>45969</v>
      </c>
      <c r="B53" s="25" t="s">
        <v>478</v>
      </c>
      <c r="C53" s="103">
        <f t="shared" si="17"/>
        <v>45992</v>
      </c>
      <c r="D53" s="103">
        <f t="shared" si="18"/>
        <v>45976</v>
      </c>
      <c r="E53" s="103">
        <f t="shared" si="19"/>
        <v>45983</v>
      </c>
      <c r="F53" s="103">
        <f t="shared" si="20"/>
        <v>45989</v>
      </c>
      <c r="G53" s="103">
        <f t="shared" si="21"/>
        <v>45977</v>
      </c>
      <c r="H53" s="103">
        <f t="shared" si="22"/>
        <v>45984</v>
      </c>
      <c r="I53" s="103"/>
      <c r="J53" s="104"/>
      <c r="K53" s="25"/>
      <c r="L53" s="25"/>
      <c r="M53" s="25"/>
      <c r="N53" s="25"/>
    </row>
    <row r="54" spans="1:14" x14ac:dyDescent="0.25">
      <c r="A54" s="103">
        <v>45969</v>
      </c>
      <c r="B54" s="25" t="s">
        <v>479</v>
      </c>
      <c r="C54" s="103">
        <f t="shared" si="17"/>
        <v>45992</v>
      </c>
      <c r="D54" s="103">
        <f t="shared" si="18"/>
        <v>45976</v>
      </c>
      <c r="E54" s="103">
        <f t="shared" si="19"/>
        <v>45983</v>
      </c>
      <c r="F54" s="103">
        <f t="shared" si="20"/>
        <v>45989</v>
      </c>
      <c r="G54" s="103">
        <f t="shared" si="21"/>
        <v>45977</v>
      </c>
      <c r="H54" s="103">
        <f t="shared" si="22"/>
        <v>45984</v>
      </c>
      <c r="I54" s="103"/>
      <c r="J54" s="104"/>
      <c r="K54" s="25"/>
      <c r="L54" s="25"/>
      <c r="M54" s="25"/>
      <c r="N54" s="25"/>
    </row>
    <row r="55" spans="1:14" x14ac:dyDescent="0.25">
      <c r="A55" s="103">
        <v>45969</v>
      </c>
      <c r="B55" s="25" t="s">
        <v>480</v>
      </c>
      <c r="C55" s="103">
        <f t="shared" si="17"/>
        <v>45992</v>
      </c>
      <c r="D55" s="103">
        <f t="shared" si="18"/>
        <v>45976</v>
      </c>
      <c r="E55" s="103">
        <f t="shared" si="19"/>
        <v>45983</v>
      </c>
      <c r="F55" s="103">
        <f t="shared" si="20"/>
        <v>45989</v>
      </c>
      <c r="G55" s="103">
        <f t="shared" si="21"/>
        <v>45977</v>
      </c>
      <c r="H55" s="103">
        <f t="shared" si="22"/>
        <v>45984</v>
      </c>
      <c r="I55" s="103"/>
      <c r="J55" s="104"/>
      <c r="K55" s="25"/>
      <c r="L55" s="25"/>
      <c r="M55" s="25"/>
      <c r="N55" s="25"/>
    </row>
    <row r="56" spans="1:14" x14ac:dyDescent="0.25">
      <c r="A56" s="103">
        <v>45969</v>
      </c>
      <c r="B56" s="25" t="s">
        <v>481</v>
      </c>
      <c r="C56" s="103">
        <f t="shared" si="17"/>
        <v>45992</v>
      </c>
      <c r="D56" s="103">
        <f t="shared" si="18"/>
        <v>45976</v>
      </c>
      <c r="E56" s="103">
        <f t="shared" si="19"/>
        <v>45983</v>
      </c>
      <c r="F56" s="103">
        <f t="shared" si="20"/>
        <v>45989</v>
      </c>
      <c r="G56" s="103">
        <f t="shared" si="21"/>
        <v>45977</v>
      </c>
      <c r="H56" s="103">
        <f t="shared" si="22"/>
        <v>45984</v>
      </c>
      <c r="I56" s="103"/>
      <c r="J56" s="104"/>
      <c r="K56" s="25"/>
      <c r="L56" s="25"/>
      <c r="M56" s="25"/>
      <c r="N56" s="25"/>
    </row>
    <row r="57" spans="1:14" x14ac:dyDescent="0.25">
      <c r="A57" s="103">
        <v>45969</v>
      </c>
      <c r="B57" s="25" t="s">
        <v>482</v>
      </c>
      <c r="C57" s="103">
        <f t="shared" si="17"/>
        <v>45992</v>
      </c>
      <c r="D57" s="103">
        <f t="shared" si="18"/>
        <v>45976</v>
      </c>
      <c r="E57" s="103">
        <f t="shared" si="19"/>
        <v>45983</v>
      </c>
      <c r="F57" s="103">
        <f t="shared" si="20"/>
        <v>45989</v>
      </c>
      <c r="G57" s="103">
        <f t="shared" si="21"/>
        <v>45977</v>
      </c>
      <c r="H57" s="103">
        <f t="shared" si="22"/>
        <v>45984</v>
      </c>
      <c r="I57" s="103"/>
      <c r="J57" s="104"/>
      <c r="K57" s="25"/>
      <c r="L57" s="25"/>
      <c r="M57" s="25"/>
      <c r="N57" s="25"/>
    </row>
    <row r="58" spans="1:14" x14ac:dyDescent="0.25">
      <c r="A58" s="103">
        <v>45970</v>
      </c>
      <c r="B58" s="25" t="s">
        <v>483</v>
      </c>
      <c r="C58" s="103">
        <f t="shared" si="17"/>
        <v>45993</v>
      </c>
      <c r="D58" s="103">
        <f t="shared" si="18"/>
        <v>45977</v>
      </c>
      <c r="E58" s="103">
        <f t="shared" si="19"/>
        <v>45984</v>
      </c>
      <c r="F58" s="103">
        <f t="shared" si="20"/>
        <v>45990</v>
      </c>
      <c r="G58" s="103">
        <f t="shared" si="21"/>
        <v>45978</v>
      </c>
      <c r="H58" s="103">
        <f t="shared" si="22"/>
        <v>45985</v>
      </c>
      <c r="I58" s="103"/>
      <c r="J58" s="104"/>
      <c r="K58" s="25"/>
      <c r="L58" s="25"/>
      <c r="M58" s="25"/>
      <c r="N58" s="25"/>
    </row>
    <row r="59" spans="1:14" x14ac:dyDescent="0.25">
      <c r="A59" s="103">
        <v>45970</v>
      </c>
      <c r="B59" s="25" t="s">
        <v>484</v>
      </c>
      <c r="C59" s="103">
        <f t="shared" si="17"/>
        <v>45993</v>
      </c>
      <c r="D59" s="103">
        <f t="shared" si="18"/>
        <v>45977</v>
      </c>
      <c r="E59" s="103">
        <f t="shared" si="19"/>
        <v>45984</v>
      </c>
      <c r="F59" s="103">
        <f t="shared" si="20"/>
        <v>45990</v>
      </c>
      <c r="G59" s="103">
        <f t="shared" si="21"/>
        <v>45978</v>
      </c>
      <c r="H59" s="103">
        <f t="shared" si="22"/>
        <v>45985</v>
      </c>
      <c r="I59" s="103"/>
      <c r="J59" s="104"/>
      <c r="K59" s="25"/>
      <c r="L59" s="25"/>
      <c r="M59" s="25"/>
      <c r="N59" s="25"/>
    </row>
    <row r="60" spans="1:14" x14ac:dyDescent="0.25">
      <c r="A60" s="103">
        <v>45970</v>
      </c>
      <c r="B60" s="25" t="s">
        <v>485</v>
      </c>
      <c r="C60" s="103">
        <f t="shared" si="17"/>
        <v>45993</v>
      </c>
      <c r="D60" s="103">
        <f t="shared" si="18"/>
        <v>45977</v>
      </c>
      <c r="E60" s="103">
        <f t="shared" si="19"/>
        <v>45984</v>
      </c>
      <c r="F60" s="103">
        <f t="shared" si="20"/>
        <v>45990</v>
      </c>
      <c r="G60" s="103">
        <f t="shared" si="21"/>
        <v>45978</v>
      </c>
      <c r="H60" s="103">
        <f t="shared" si="22"/>
        <v>45985</v>
      </c>
      <c r="I60" s="103"/>
      <c r="J60" s="104"/>
      <c r="K60" s="25"/>
      <c r="L60" s="25"/>
      <c r="M60" s="25"/>
      <c r="N60" s="25"/>
    </row>
    <row r="61" spans="1:14" x14ac:dyDescent="0.25">
      <c r="A61" s="103">
        <v>45970</v>
      </c>
      <c r="B61" s="25" t="s">
        <v>486</v>
      </c>
      <c r="C61" s="103">
        <f t="shared" si="17"/>
        <v>45993</v>
      </c>
      <c r="D61" s="103">
        <f t="shared" si="18"/>
        <v>45977</v>
      </c>
      <c r="E61" s="103">
        <f t="shared" si="19"/>
        <v>45984</v>
      </c>
      <c r="F61" s="103">
        <f t="shared" si="20"/>
        <v>45990</v>
      </c>
      <c r="G61" s="103">
        <f t="shared" si="21"/>
        <v>45978</v>
      </c>
      <c r="H61" s="103">
        <f t="shared" si="22"/>
        <v>45985</v>
      </c>
      <c r="I61" s="103"/>
      <c r="J61" s="104"/>
      <c r="K61" s="25"/>
      <c r="L61" s="25"/>
      <c r="M61" s="25"/>
      <c r="N61" s="25"/>
    </row>
    <row r="62" spans="1:14" x14ac:dyDescent="0.25">
      <c r="A62" s="103">
        <v>45970</v>
      </c>
      <c r="B62" s="25" t="s">
        <v>487</v>
      </c>
      <c r="C62" s="103">
        <f t="shared" si="17"/>
        <v>45993</v>
      </c>
      <c r="D62" s="103">
        <f t="shared" si="18"/>
        <v>45977</v>
      </c>
      <c r="E62" s="103">
        <f t="shared" si="19"/>
        <v>45984</v>
      </c>
      <c r="F62" s="103">
        <f t="shared" si="20"/>
        <v>45990</v>
      </c>
      <c r="G62" s="103">
        <f t="shared" si="21"/>
        <v>45978</v>
      </c>
      <c r="H62" s="103">
        <f t="shared" si="22"/>
        <v>45985</v>
      </c>
      <c r="I62" s="103"/>
      <c r="J62" s="104"/>
      <c r="K62" s="25"/>
      <c r="L62" s="25"/>
      <c r="M62" s="25"/>
      <c r="N62" s="25"/>
    </row>
    <row r="63" spans="1:14" x14ac:dyDescent="0.25">
      <c r="A63" s="103">
        <v>45970</v>
      </c>
      <c r="B63" s="25" t="s">
        <v>488</v>
      </c>
      <c r="C63" s="103">
        <f t="shared" si="17"/>
        <v>45993</v>
      </c>
      <c r="D63" s="103">
        <f t="shared" si="18"/>
        <v>45977</v>
      </c>
      <c r="E63" s="103">
        <f t="shared" si="19"/>
        <v>45984</v>
      </c>
      <c r="F63" s="103">
        <f t="shared" si="20"/>
        <v>45990</v>
      </c>
      <c r="G63" s="103">
        <f t="shared" si="21"/>
        <v>45978</v>
      </c>
      <c r="H63" s="103">
        <f t="shared" si="22"/>
        <v>45985</v>
      </c>
      <c r="I63" s="103"/>
      <c r="J63" s="104"/>
      <c r="K63" s="25"/>
      <c r="L63" s="25"/>
      <c r="M63" s="25"/>
      <c r="N63" s="25"/>
    </row>
    <row r="64" spans="1:14" x14ac:dyDescent="0.25">
      <c r="A64" s="103">
        <v>45970</v>
      </c>
      <c r="B64" s="25" t="s">
        <v>489</v>
      </c>
      <c r="C64" s="103">
        <f t="shared" si="17"/>
        <v>45993</v>
      </c>
      <c r="D64" s="103">
        <f t="shared" si="18"/>
        <v>45977</v>
      </c>
      <c r="E64" s="103">
        <f t="shared" si="19"/>
        <v>45984</v>
      </c>
      <c r="F64" s="103">
        <f t="shared" si="20"/>
        <v>45990</v>
      </c>
      <c r="G64" s="103">
        <f t="shared" si="21"/>
        <v>45978</v>
      </c>
      <c r="H64" s="103">
        <f t="shared" si="22"/>
        <v>45985</v>
      </c>
      <c r="I64" s="103"/>
      <c r="J64" s="104"/>
      <c r="K64" s="25"/>
      <c r="L64" s="25"/>
      <c r="M64" s="25"/>
      <c r="N64" s="25"/>
    </row>
    <row r="65" spans="1:14" x14ac:dyDescent="0.25">
      <c r="A65" s="103">
        <v>45971</v>
      </c>
      <c r="B65" s="25" t="s">
        <v>490</v>
      </c>
      <c r="C65" s="103">
        <f t="shared" si="17"/>
        <v>45994</v>
      </c>
      <c r="D65" s="103">
        <f t="shared" si="18"/>
        <v>45978</v>
      </c>
      <c r="E65" s="103">
        <f t="shared" si="19"/>
        <v>45985</v>
      </c>
      <c r="F65" s="103">
        <f t="shared" si="20"/>
        <v>45991</v>
      </c>
      <c r="G65" s="103">
        <f t="shared" si="21"/>
        <v>45979</v>
      </c>
      <c r="H65" s="103">
        <f t="shared" si="22"/>
        <v>45986</v>
      </c>
      <c r="I65" s="103"/>
      <c r="J65" s="104"/>
      <c r="K65" s="25"/>
      <c r="L65" s="25"/>
      <c r="M65" s="25"/>
      <c r="N65" s="25"/>
    </row>
    <row r="66" spans="1:14" x14ac:dyDescent="0.25">
      <c r="A66" s="103">
        <v>45971</v>
      </c>
      <c r="B66" s="25" t="s">
        <v>491</v>
      </c>
      <c r="C66" s="103">
        <f t="shared" si="17"/>
        <v>45994</v>
      </c>
      <c r="D66" s="103">
        <f t="shared" si="18"/>
        <v>45978</v>
      </c>
      <c r="E66" s="103">
        <f t="shared" si="19"/>
        <v>45985</v>
      </c>
      <c r="F66" s="103">
        <f t="shared" si="20"/>
        <v>45991</v>
      </c>
      <c r="G66" s="103">
        <f t="shared" si="21"/>
        <v>45979</v>
      </c>
      <c r="H66" s="103">
        <f t="shared" si="22"/>
        <v>45986</v>
      </c>
      <c r="I66" s="103"/>
      <c r="J66" s="104"/>
      <c r="K66" s="25"/>
      <c r="L66" s="25"/>
      <c r="M66" s="25"/>
      <c r="N66" s="25"/>
    </row>
    <row r="67" spans="1:14" x14ac:dyDescent="0.25">
      <c r="A67" s="103">
        <v>45971</v>
      </c>
      <c r="B67" s="25" t="s">
        <v>492</v>
      </c>
      <c r="C67" s="103">
        <f t="shared" si="17"/>
        <v>45994</v>
      </c>
      <c r="D67" s="103">
        <f t="shared" si="18"/>
        <v>45978</v>
      </c>
      <c r="E67" s="103">
        <f t="shared" si="19"/>
        <v>45985</v>
      </c>
      <c r="F67" s="103">
        <f t="shared" si="20"/>
        <v>45991</v>
      </c>
      <c r="G67" s="103">
        <f t="shared" si="21"/>
        <v>45979</v>
      </c>
      <c r="H67" s="103">
        <f t="shared" si="22"/>
        <v>45986</v>
      </c>
      <c r="I67" s="103"/>
      <c r="J67" s="104"/>
      <c r="K67" s="25"/>
      <c r="L67" s="25"/>
      <c r="M67" s="25"/>
      <c r="N67" s="25"/>
    </row>
    <row r="68" spans="1:14" x14ac:dyDescent="0.25">
      <c r="A68" s="103">
        <v>45971</v>
      </c>
      <c r="B68" s="25" t="s">
        <v>493</v>
      </c>
      <c r="C68" s="103">
        <f t="shared" si="17"/>
        <v>45994</v>
      </c>
      <c r="D68" s="103">
        <f t="shared" si="18"/>
        <v>45978</v>
      </c>
      <c r="E68" s="103">
        <f t="shared" si="19"/>
        <v>45985</v>
      </c>
      <c r="F68" s="103">
        <f t="shared" si="20"/>
        <v>45991</v>
      </c>
      <c r="G68" s="103">
        <f t="shared" si="21"/>
        <v>45979</v>
      </c>
      <c r="H68" s="103">
        <f t="shared" si="22"/>
        <v>45986</v>
      </c>
      <c r="I68" s="103"/>
      <c r="J68" s="104"/>
      <c r="K68" s="25"/>
      <c r="L68" s="25"/>
      <c r="M68" s="25"/>
      <c r="N68" s="25"/>
    </row>
    <row r="69" spans="1:14" x14ac:dyDescent="0.25">
      <c r="A69" s="103">
        <v>45971</v>
      </c>
      <c r="B69" s="25" t="s">
        <v>494</v>
      </c>
      <c r="C69" s="103">
        <f t="shared" si="17"/>
        <v>45994</v>
      </c>
      <c r="D69" s="103">
        <f t="shared" si="18"/>
        <v>45978</v>
      </c>
      <c r="E69" s="103">
        <f t="shared" si="19"/>
        <v>45985</v>
      </c>
      <c r="F69" s="103">
        <f t="shared" si="20"/>
        <v>45991</v>
      </c>
      <c r="G69" s="103">
        <f t="shared" si="21"/>
        <v>45979</v>
      </c>
      <c r="H69" s="103">
        <f t="shared" si="22"/>
        <v>45986</v>
      </c>
      <c r="I69" s="103"/>
      <c r="J69" s="104"/>
      <c r="K69" s="25"/>
      <c r="L69" s="25"/>
      <c r="M69" s="25"/>
      <c r="N69" s="25"/>
    </row>
    <row r="70" spans="1:14" x14ac:dyDescent="0.25">
      <c r="A70" s="103">
        <v>45971</v>
      </c>
      <c r="B70" s="25" t="s">
        <v>495</v>
      </c>
      <c r="C70" s="103">
        <f t="shared" si="17"/>
        <v>45994</v>
      </c>
      <c r="D70" s="103">
        <f t="shared" si="18"/>
        <v>45978</v>
      </c>
      <c r="E70" s="103">
        <f t="shared" si="19"/>
        <v>45985</v>
      </c>
      <c r="F70" s="103">
        <f t="shared" si="20"/>
        <v>45991</v>
      </c>
      <c r="G70" s="103">
        <f t="shared" si="21"/>
        <v>45979</v>
      </c>
      <c r="H70" s="103">
        <f t="shared" si="22"/>
        <v>45986</v>
      </c>
      <c r="I70" s="103"/>
      <c r="J70" s="104"/>
      <c r="K70" s="25"/>
      <c r="L70" s="25"/>
      <c r="M70" s="25"/>
      <c r="N70" s="25"/>
    </row>
    <row r="71" spans="1:14" x14ac:dyDescent="0.25">
      <c r="A71" s="103">
        <v>45971</v>
      </c>
      <c r="B71" s="25" t="s">
        <v>496</v>
      </c>
      <c r="C71" s="103">
        <f t="shared" si="17"/>
        <v>45994</v>
      </c>
      <c r="D71" s="103">
        <f t="shared" si="18"/>
        <v>45978</v>
      </c>
      <c r="E71" s="103">
        <f t="shared" si="19"/>
        <v>45985</v>
      </c>
      <c r="F71" s="103">
        <f t="shared" si="20"/>
        <v>45991</v>
      </c>
      <c r="G71" s="103">
        <f t="shared" si="21"/>
        <v>45979</v>
      </c>
      <c r="H71" s="103">
        <f t="shared" si="22"/>
        <v>45986</v>
      </c>
      <c r="I71" s="103"/>
      <c r="J71" s="104"/>
      <c r="K71" s="25"/>
      <c r="L71" s="25"/>
      <c r="M71" s="25"/>
      <c r="N71" s="25"/>
    </row>
    <row r="72" spans="1:14" x14ac:dyDescent="0.25">
      <c r="A72" s="103">
        <v>45972</v>
      </c>
      <c r="B72" s="25" t="s">
        <v>497</v>
      </c>
      <c r="C72" s="103">
        <f t="shared" si="17"/>
        <v>45995</v>
      </c>
      <c r="D72" s="103">
        <f t="shared" si="18"/>
        <v>45979</v>
      </c>
      <c r="E72" s="103">
        <f t="shared" si="19"/>
        <v>45986</v>
      </c>
      <c r="F72" s="103">
        <f t="shared" si="20"/>
        <v>45992</v>
      </c>
      <c r="G72" s="103">
        <f t="shared" si="21"/>
        <v>45980</v>
      </c>
      <c r="H72" s="103">
        <f t="shared" si="22"/>
        <v>45987</v>
      </c>
      <c r="I72" s="103"/>
      <c r="J72" s="104"/>
      <c r="K72" s="25"/>
      <c r="L72" s="25"/>
      <c r="M72" s="25"/>
      <c r="N72" s="25"/>
    </row>
    <row r="73" spans="1:14" x14ac:dyDescent="0.25">
      <c r="A73" s="103">
        <v>45972</v>
      </c>
      <c r="B73" s="25" t="s">
        <v>498</v>
      </c>
      <c r="C73" s="103">
        <f t="shared" si="17"/>
        <v>45995</v>
      </c>
      <c r="D73" s="103">
        <f t="shared" si="18"/>
        <v>45979</v>
      </c>
      <c r="E73" s="103">
        <f t="shared" si="19"/>
        <v>45986</v>
      </c>
      <c r="F73" s="103">
        <f t="shared" si="20"/>
        <v>45992</v>
      </c>
      <c r="G73" s="103">
        <f t="shared" si="21"/>
        <v>45980</v>
      </c>
      <c r="H73" s="103">
        <f t="shared" si="22"/>
        <v>45987</v>
      </c>
      <c r="I73" s="103"/>
      <c r="J73" s="104"/>
      <c r="K73" s="25"/>
      <c r="L73" s="25"/>
      <c r="M73" s="25"/>
      <c r="N73" s="25"/>
    </row>
    <row r="74" spans="1:14" x14ac:dyDescent="0.25">
      <c r="A74" s="103">
        <v>45972</v>
      </c>
      <c r="B74" s="25" t="s">
        <v>499</v>
      </c>
      <c r="C74" s="103">
        <f t="shared" si="17"/>
        <v>45995</v>
      </c>
      <c r="D74" s="103">
        <f t="shared" si="18"/>
        <v>45979</v>
      </c>
      <c r="E74" s="103">
        <f t="shared" si="19"/>
        <v>45986</v>
      </c>
      <c r="F74" s="103">
        <f t="shared" si="20"/>
        <v>45992</v>
      </c>
      <c r="G74" s="103">
        <f t="shared" si="21"/>
        <v>45980</v>
      </c>
      <c r="H74" s="103">
        <f t="shared" si="22"/>
        <v>45987</v>
      </c>
      <c r="I74" s="103"/>
      <c r="J74" s="104"/>
      <c r="K74" s="25"/>
      <c r="L74" s="25"/>
      <c r="M74" s="25"/>
      <c r="N74" s="25"/>
    </row>
    <row r="75" spans="1:14" x14ac:dyDescent="0.25">
      <c r="A75" s="103">
        <v>45972</v>
      </c>
      <c r="B75" s="25" t="s">
        <v>500</v>
      </c>
      <c r="C75" s="103">
        <f t="shared" si="17"/>
        <v>45995</v>
      </c>
      <c r="D75" s="103">
        <f t="shared" si="18"/>
        <v>45979</v>
      </c>
      <c r="E75" s="103">
        <f t="shared" si="19"/>
        <v>45986</v>
      </c>
      <c r="F75" s="103">
        <f t="shared" si="20"/>
        <v>45992</v>
      </c>
      <c r="G75" s="103">
        <f t="shared" si="21"/>
        <v>45980</v>
      </c>
      <c r="H75" s="103">
        <f t="shared" si="22"/>
        <v>45987</v>
      </c>
      <c r="I75" s="103"/>
      <c r="J75" s="104"/>
      <c r="K75" s="25"/>
      <c r="L75" s="25"/>
      <c r="M75" s="25"/>
      <c r="N75" s="25"/>
    </row>
    <row r="76" spans="1:14" x14ac:dyDescent="0.25">
      <c r="A76" s="103">
        <v>45972</v>
      </c>
      <c r="B76" s="25" t="s">
        <v>501</v>
      </c>
      <c r="C76" s="103">
        <f t="shared" si="17"/>
        <v>45995</v>
      </c>
      <c r="D76" s="103">
        <f t="shared" si="18"/>
        <v>45979</v>
      </c>
      <c r="E76" s="103">
        <f t="shared" si="19"/>
        <v>45986</v>
      </c>
      <c r="F76" s="103">
        <f t="shared" si="20"/>
        <v>45992</v>
      </c>
      <c r="G76" s="103">
        <f t="shared" si="21"/>
        <v>45980</v>
      </c>
      <c r="H76" s="103">
        <f t="shared" si="22"/>
        <v>45987</v>
      </c>
      <c r="I76" s="103"/>
      <c r="J76" s="104"/>
      <c r="K76" s="25"/>
      <c r="L76" s="25"/>
      <c r="M76" s="25"/>
      <c r="N76" s="25"/>
    </row>
    <row r="77" spans="1:14" x14ac:dyDescent="0.25">
      <c r="A77" s="103">
        <v>45972</v>
      </c>
      <c r="B77" s="25" t="s">
        <v>502</v>
      </c>
      <c r="C77" s="103">
        <f t="shared" si="17"/>
        <v>45995</v>
      </c>
      <c r="D77" s="103">
        <f t="shared" si="18"/>
        <v>45979</v>
      </c>
      <c r="E77" s="103">
        <f t="shared" si="19"/>
        <v>45986</v>
      </c>
      <c r="F77" s="103">
        <f t="shared" si="20"/>
        <v>45992</v>
      </c>
      <c r="G77" s="103">
        <f t="shared" si="21"/>
        <v>45980</v>
      </c>
      <c r="H77" s="103">
        <f t="shared" si="22"/>
        <v>45987</v>
      </c>
      <c r="I77" s="103"/>
      <c r="J77" s="104"/>
      <c r="K77" s="25"/>
      <c r="L77" s="25"/>
      <c r="M77" s="25"/>
      <c r="N77" s="25"/>
    </row>
    <row r="78" spans="1:14" x14ac:dyDescent="0.25">
      <c r="A78" s="103">
        <v>45972</v>
      </c>
      <c r="B78" s="25" t="s">
        <v>503</v>
      </c>
      <c r="C78" s="103">
        <f t="shared" si="17"/>
        <v>45995</v>
      </c>
      <c r="D78" s="103">
        <f t="shared" si="18"/>
        <v>45979</v>
      </c>
      <c r="E78" s="103">
        <f t="shared" si="19"/>
        <v>45986</v>
      </c>
      <c r="F78" s="103">
        <f t="shared" si="20"/>
        <v>45992</v>
      </c>
      <c r="G78" s="103">
        <f t="shared" si="21"/>
        <v>45980</v>
      </c>
      <c r="H78" s="103">
        <f t="shared" si="22"/>
        <v>45987</v>
      </c>
      <c r="I78" s="103"/>
      <c r="J78" s="104"/>
      <c r="K78" s="25"/>
      <c r="L78" s="25"/>
      <c r="M78" s="25"/>
      <c r="N78" s="25"/>
    </row>
    <row r="79" spans="1:14" x14ac:dyDescent="0.25">
      <c r="A79" s="103">
        <v>45973</v>
      </c>
      <c r="B79" s="25" t="s">
        <v>504</v>
      </c>
      <c r="C79" s="103">
        <f t="shared" si="17"/>
        <v>45996</v>
      </c>
      <c r="D79" s="103">
        <f t="shared" si="18"/>
        <v>45980</v>
      </c>
      <c r="E79" s="103">
        <f t="shared" si="19"/>
        <v>45987</v>
      </c>
      <c r="F79" s="103">
        <f t="shared" si="20"/>
        <v>45993</v>
      </c>
      <c r="G79" s="103">
        <f t="shared" si="21"/>
        <v>45981</v>
      </c>
      <c r="H79" s="103">
        <f t="shared" si="22"/>
        <v>45988</v>
      </c>
      <c r="I79" s="103"/>
      <c r="J79" s="104"/>
      <c r="K79" s="25"/>
      <c r="L79" s="25"/>
      <c r="M79" s="25"/>
      <c r="N79" s="25"/>
    </row>
    <row r="80" spans="1:14" x14ac:dyDescent="0.25">
      <c r="A80" s="103">
        <v>45973</v>
      </c>
      <c r="B80" s="25" t="s">
        <v>505</v>
      </c>
      <c r="C80" s="103">
        <f t="shared" ref="C80:C143" si="23">A80+23</f>
        <v>45996</v>
      </c>
      <c r="D80" s="103">
        <f t="shared" ref="D80:D143" si="24">A80+7</f>
        <v>45980</v>
      </c>
      <c r="E80" s="103">
        <f t="shared" ref="E80:E143" si="25">A80+14</f>
        <v>45987</v>
      </c>
      <c r="F80" s="103">
        <f t="shared" ref="F80:F143" si="26">A80+20</f>
        <v>45993</v>
      </c>
      <c r="G80" s="103">
        <f t="shared" ref="G80:G143" si="27">A80+8</f>
        <v>45981</v>
      </c>
      <c r="H80" s="103">
        <f t="shared" ref="H80:H143" si="28">A80+15</f>
        <v>45988</v>
      </c>
      <c r="I80" s="103"/>
      <c r="J80" s="104"/>
      <c r="K80" s="25"/>
      <c r="L80" s="25"/>
      <c r="M80" s="25"/>
      <c r="N80" s="25"/>
    </row>
    <row r="81" spans="1:14" x14ac:dyDescent="0.25">
      <c r="A81" s="103">
        <v>45973</v>
      </c>
      <c r="B81" s="25" t="s">
        <v>506</v>
      </c>
      <c r="C81" s="103">
        <f t="shared" si="23"/>
        <v>45996</v>
      </c>
      <c r="D81" s="103">
        <f t="shared" si="24"/>
        <v>45980</v>
      </c>
      <c r="E81" s="103">
        <f t="shared" si="25"/>
        <v>45987</v>
      </c>
      <c r="F81" s="103">
        <f t="shared" si="26"/>
        <v>45993</v>
      </c>
      <c r="G81" s="103">
        <f t="shared" si="27"/>
        <v>45981</v>
      </c>
      <c r="H81" s="103">
        <f t="shared" si="28"/>
        <v>45988</v>
      </c>
      <c r="I81" s="103"/>
      <c r="J81" s="104"/>
      <c r="K81" s="25"/>
      <c r="L81" s="25"/>
      <c r="M81" s="25"/>
      <c r="N81" s="25"/>
    </row>
    <row r="82" spans="1:14" x14ac:dyDescent="0.25">
      <c r="A82" s="103">
        <v>45973</v>
      </c>
      <c r="B82" s="25" t="s">
        <v>507</v>
      </c>
      <c r="C82" s="103">
        <f t="shared" si="23"/>
        <v>45996</v>
      </c>
      <c r="D82" s="103">
        <f t="shared" si="24"/>
        <v>45980</v>
      </c>
      <c r="E82" s="103">
        <f t="shared" si="25"/>
        <v>45987</v>
      </c>
      <c r="F82" s="103">
        <f t="shared" si="26"/>
        <v>45993</v>
      </c>
      <c r="G82" s="103">
        <f t="shared" si="27"/>
        <v>45981</v>
      </c>
      <c r="H82" s="103">
        <f t="shared" si="28"/>
        <v>45988</v>
      </c>
      <c r="I82" s="103"/>
      <c r="J82" s="104"/>
      <c r="K82" s="25"/>
      <c r="L82" s="25"/>
      <c r="M82" s="25"/>
      <c r="N82" s="25"/>
    </row>
    <row r="83" spans="1:14" x14ac:dyDescent="0.25">
      <c r="A83" s="103">
        <v>45973</v>
      </c>
      <c r="B83" s="25" t="s">
        <v>508</v>
      </c>
      <c r="C83" s="103">
        <f t="shared" si="23"/>
        <v>45996</v>
      </c>
      <c r="D83" s="103">
        <f t="shared" si="24"/>
        <v>45980</v>
      </c>
      <c r="E83" s="103">
        <f t="shared" si="25"/>
        <v>45987</v>
      </c>
      <c r="F83" s="103">
        <f t="shared" si="26"/>
        <v>45993</v>
      </c>
      <c r="G83" s="103">
        <f t="shared" si="27"/>
        <v>45981</v>
      </c>
      <c r="H83" s="103">
        <f t="shared" si="28"/>
        <v>45988</v>
      </c>
      <c r="I83" s="103"/>
      <c r="J83" s="104"/>
      <c r="K83" s="25"/>
      <c r="L83" s="25"/>
      <c r="M83" s="25"/>
      <c r="N83" s="25"/>
    </row>
    <row r="84" spans="1:14" x14ac:dyDescent="0.25">
      <c r="A84" s="103">
        <v>45973</v>
      </c>
      <c r="B84" s="25" t="s">
        <v>509</v>
      </c>
      <c r="C84" s="103">
        <f t="shared" si="23"/>
        <v>45996</v>
      </c>
      <c r="D84" s="103">
        <f t="shared" si="24"/>
        <v>45980</v>
      </c>
      <c r="E84" s="103">
        <f t="shared" si="25"/>
        <v>45987</v>
      </c>
      <c r="F84" s="103">
        <f t="shared" si="26"/>
        <v>45993</v>
      </c>
      <c r="G84" s="103">
        <f t="shared" si="27"/>
        <v>45981</v>
      </c>
      <c r="H84" s="103">
        <f t="shared" si="28"/>
        <v>45988</v>
      </c>
      <c r="I84" s="103"/>
      <c r="J84" s="104"/>
      <c r="K84" s="25"/>
      <c r="L84" s="25"/>
      <c r="M84" s="25"/>
      <c r="N84" s="25"/>
    </row>
    <row r="85" spans="1:14" x14ac:dyDescent="0.25">
      <c r="A85" s="103">
        <v>45973</v>
      </c>
      <c r="B85" s="25" t="s">
        <v>510</v>
      </c>
      <c r="C85" s="103">
        <f t="shared" si="23"/>
        <v>45996</v>
      </c>
      <c r="D85" s="103">
        <f t="shared" si="24"/>
        <v>45980</v>
      </c>
      <c r="E85" s="103">
        <f t="shared" si="25"/>
        <v>45987</v>
      </c>
      <c r="F85" s="103">
        <f t="shared" si="26"/>
        <v>45993</v>
      </c>
      <c r="G85" s="103">
        <f t="shared" si="27"/>
        <v>45981</v>
      </c>
      <c r="H85" s="103">
        <f t="shared" si="28"/>
        <v>45988</v>
      </c>
      <c r="I85" s="103"/>
      <c r="J85" s="104"/>
      <c r="K85" s="25"/>
      <c r="L85" s="25"/>
      <c r="M85" s="25"/>
      <c r="N85" s="25"/>
    </row>
    <row r="86" spans="1:14" x14ac:dyDescent="0.25">
      <c r="A86" s="103">
        <v>45974</v>
      </c>
      <c r="B86" s="25" t="s">
        <v>552</v>
      </c>
      <c r="C86" s="103">
        <f t="shared" si="23"/>
        <v>45997</v>
      </c>
      <c r="D86" s="103">
        <f t="shared" si="24"/>
        <v>45981</v>
      </c>
      <c r="E86" s="103">
        <f t="shared" si="25"/>
        <v>45988</v>
      </c>
      <c r="F86" s="103">
        <f t="shared" si="26"/>
        <v>45994</v>
      </c>
      <c r="G86" s="103">
        <f t="shared" si="27"/>
        <v>45982</v>
      </c>
      <c r="H86" s="103">
        <f t="shared" si="28"/>
        <v>45989</v>
      </c>
      <c r="I86" s="103"/>
      <c r="J86" s="104"/>
      <c r="K86" s="25"/>
      <c r="L86" s="25"/>
      <c r="M86" s="25"/>
      <c r="N86" s="25"/>
    </row>
    <row r="87" spans="1:14" x14ac:dyDescent="0.25">
      <c r="A87" s="103">
        <v>45974</v>
      </c>
      <c r="B87" s="25" t="s">
        <v>553</v>
      </c>
      <c r="C87" s="103">
        <f t="shared" si="23"/>
        <v>45997</v>
      </c>
      <c r="D87" s="103">
        <f t="shared" si="24"/>
        <v>45981</v>
      </c>
      <c r="E87" s="103">
        <f t="shared" si="25"/>
        <v>45988</v>
      </c>
      <c r="F87" s="103">
        <f t="shared" si="26"/>
        <v>45994</v>
      </c>
      <c r="G87" s="103">
        <f t="shared" si="27"/>
        <v>45982</v>
      </c>
      <c r="H87" s="103">
        <f t="shared" si="28"/>
        <v>45989</v>
      </c>
      <c r="I87" s="103"/>
      <c r="J87" s="104"/>
      <c r="K87" s="25"/>
      <c r="L87" s="25"/>
      <c r="M87" s="25"/>
      <c r="N87" s="25"/>
    </row>
    <row r="88" spans="1:14" x14ac:dyDescent="0.25">
      <c r="A88" s="103">
        <v>45974</v>
      </c>
      <c r="B88" s="25" t="s">
        <v>554</v>
      </c>
      <c r="C88" s="103">
        <f t="shared" si="23"/>
        <v>45997</v>
      </c>
      <c r="D88" s="103">
        <f t="shared" si="24"/>
        <v>45981</v>
      </c>
      <c r="E88" s="103">
        <f t="shared" si="25"/>
        <v>45988</v>
      </c>
      <c r="F88" s="103">
        <f t="shared" si="26"/>
        <v>45994</v>
      </c>
      <c r="G88" s="103">
        <f t="shared" si="27"/>
        <v>45982</v>
      </c>
      <c r="H88" s="103">
        <f t="shared" si="28"/>
        <v>45989</v>
      </c>
      <c r="I88" s="103"/>
      <c r="J88" s="104"/>
      <c r="K88" s="25"/>
      <c r="L88" s="25"/>
      <c r="M88" s="25"/>
      <c r="N88" s="25"/>
    </row>
    <row r="89" spans="1:14" x14ac:dyDescent="0.25">
      <c r="A89" s="103">
        <v>45974</v>
      </c>
      <c r="B89" s="25" t="s">
        <v>555</v>
      </c>
      <c r="C89" s="103">
        <f t="shared" si="23"/>
        <v>45997</v>
      </c>
      <c r="D89" s="103">
        <f t="shared" si="24"/>
        <v>45981</v>
      </c>
      <c r="E89" s="103">
        <f t="shared" si="25"/>
        <v>45988</v>
      </c>
      <c r="F89" s="103">
        <f t="shared" si="26"/>
        <v>45994</v>
      </c>
      <c r="G89" s="103">
        <f t="shared" si="27"/>
        <v>45982</v>
      </c>
      <c r="H89" s="103">
        <f t="shared" si="28"/>
        <v>45989</v>
      </c>
      <c r="I89" s="103"/>
      <c r="J89" s="104"/>
      <c r="K89" s="25"/>
      <c r="L89" s="25"/>
      <c r="M89" s="25"/>
      <c r="N89" s="25"/>
    </row>
    <row r="90" spans="1:14" x14ac:dyDescent="0.25">
      <c r="A90" s="103">
        <v>45974</v>
      </c>
      <c r="B90" s="25" t="s">
        <v>556</v>
      </c>
      <c r="C90" s="103">
        <f t="shared" si="23"/>
        <v>45997</v>
      </c>
      <c r="D90" s="103">
        <f t="shared" si="24"/>
        <v>45981</v>
      </c>
      <c r="E90" s="103">
        <f t="shared" si="25"/>
        <v>45988</v>
      </c>
      <c r="F90" s="103">
        <f t="shared" si="26"/>
        <v>45994</v>
      </c>
      <c r="G90" s="103">
        <f t="shared" si="27"/>
        <v>45982</v>
      </c>
      <c r="H90" s="103">
        <f t="shared" si="28"/>
        <v>45989</v>
      </c>
      <c r="I90" s="103"/>
      <c r="J90" s="104"/>
      <c r="K90" s="25"/>
      <c r="L90" s="25"/>
      <c r="M90" s="25"/>
      <c r="N90" s="25"/>
    </row>
    <row r="91" spans="1:14" x14ac:dyDescent="0.25">
      <c r="A91" s="103">
        <v>45974</v>
      </c>
      <c r="B91" s="25" t="s">
        <v>557</v>
      </c>
      <c r="C91" s="103">
        <f t="shared" si="23"/>
        <v>45997</v>
      </c>
      <c r="D91" s="103">
        <f t="shared" si="24"/>
        <v>45981</v>
      </c>
      <c r="E91" s="103">
        <f t="shared" si="25"/>
        <v>45988</v>
      </c>
      <c r="F91" s="103">
        <f t="shared" si="26"/>
        <v>45994</v>
      </c>
      <c r="G91" s="103">
        <f t="shared" si="27"/>
        <v>45982</v>
      </c>
      <c r="H91" s="103">
        <f t="shared" si="28"/>
        <v>45989</v>
      </c>
      <c r="I91" s="103"/>
      <c r="J91" s="104"/>
      <c r="K91" s="25"/>
      <c r="L91" s="25"/>
      <c r="M91" s="25"/>
      <c r="N91" s="25"/>
    </row>
    <row r="92" spans="1:14" x14ac:dyDescent="0.25">
      <c r="A92" s="103">
        <v>45974</v>
      </c>
      <c r="B92" s="25" t="s">
        <v>558</v>
      </c>
      <c r="C92" s="103">
        <f t="shared" si="23"/>
        <v>45997</v>
      </c>
      <c r="D92" s="103">
        <f t="shared" si="24"/>
        <v>45981</v>
      </c>
      <c r="E92" s="103">
        <f t="shared" si="25"/>
        <v>45988</v>
      </c>
      <c r="F92" s="103">
        <f t="shared" si="26"/>
        <v>45994</v>
      </c>
      <c r="G92" s="103">
        <f t="shared" si="27"/>
        <v>45982</v>
      </c>
      <c r="H92" s="103">
        <f t="shared" si="28"/>
        <v>45989</v>
      </c>
      <c r="I92" s="103"/>
      <c r="J92" s="104"/>
      <c r="K92" s="25"/>
      <c r="L92" s="25"/>
      <c r="M92" s="25"/>
      <c r="N92" s="25"/>
    </row>
    <row r="93" spans="1:14" x14ac:dyDescent="0.25">
      <c r="A93" s="103">
        <v>45975</v>
      </c>
      <c r="B93" s="25" t="s">
        <v>545</v>
      </c>
      <c r="C93" s="103">
        <f t="shared" si="23"/>
        <v>45998</v>
      </c>
      <c r="D93" s="103">
        <f t="shared" si="24"/>
        <v>45982</v>
      </c>
      <c r="E93" s="103">
        <f t="shared" si="25"/>
        <v>45989</v>
      </c>
      <c r="F93" s="103">
        <f t="shared" si="26"/>
        <v>45995</v>
      </c>
      <c r="G93" s="103">
        <f t="shared" si="27"/>
        <v>45983</v>
      </c>
      <c r="H93" s="103">
        <f t="shared" si="28"/>
        <v>45990</v>
      </c>
      <c r="I93" s="103"/>
      <c r="J93" s="104"/>
      <c r="K93" s="25"/>
      <c r="L93" s="25"/>
      <c r="M93" s="25"/>
      <c r="N93" s="25"/>
    </row>
    <row r="94" spans="1:14" x14ac:dyDescent="0.25">
      <c r="A94" s="103">
        <v>45975</v>
      </c>
      <c r="B94" s="25" t="s">
        <v>546</v>
      </c>
      <c r="C94" s="103">
        <f t="shared" si="23"/>
        <v>45998</v>
      </c>
      <c r="D94" s="103">
        <f t="shared" si="24"/>
        <v>45982</v>
      </c>
      <c r="E94" s="103">
        <f t="shared" si="25"/>
        <v>45989</v>
      </c>
      <c r="F94" s="103">
        <f t="shared" si="26"/>
        <v>45995</v>
      </c>
      <c r="G94" s="103">
        <f t="shared" si="27"/>
        <v>45983</v>
      </c>
      <c r="H94" s="103">
        <f t="shared" si="28"/>
        <v>45990</v>
      </c>
      <c r="I94" s="103"/>
      <c r="J94" s="104"/>
      <c r="K94" s="25"/>
      <c r="L94" s="25"/>
      <c r="M94" s="25"/>
      <c r="N94" s="25"/>
    </row>
    <row r="95" spans="1:14" x14ac:dyDescent="0.25">
      <c r="A95" s="103">
        <v>45975</v>
      </c>
      <c r="B95" s="25" t="s">
        <v>547</v>
      </c>
      <c r="C95" s="103">
        <f t="shared" si="23"/>
        <v>45998</v>
      </c>
      <c r="D95" s="103">
        <f t="shared" si="24"/>
        <v>45982</v>
      </c>
      <c r="E95" s="103">
        <f t="shared" si="25"/>
        <v>45989</v>
      </c>
      <c r="F95" s="103">
        <f t="shared" si="26"/>
        <v>45995</v>
      </c>
      <c r="G95" s="103">
        <f t="shared" si="27"/>
        <v>45983</v>
      </c>
      <c r="H95" s="103">
        <f t="shared" si="28"/>
        <v>45990</v>
      </c>
      <c r="I95" s="103"/>
      <c r="J95" s="104"/>
      <c r="K95" s="25"/>
      <c r="L95" s="25"/>
      <c r="M95" s="25"/>
      <c r="N95" s="25"/>
    </row>
    <row r="96" spans="1:14" x14ac:dyDescent="0.25">
      <c r="A96" s="103">
        <v>45975</v>
      </c>
      <c r="B96" s="25" t="s">
        <v>548</v>
      </c>
      <c r="C96" s="103">
        <f t="shared" si="23"/>
        <v>45998</v>
      </c>
      <c r="D96" s="103">
        <f t="shared" si="24"/>
        <v>45982</v>
      </c>
      <c r="E96" s="103">
        <f t="shared" si="25"/>
        <v>45989</v>
      </c>
      <c r="F96" s="103">
        <f t="shared" si="26"/>
        <v>45995</v>
      </c>
      <c r="G96" s="103">
        <f t="shared" si="27"/>
        <v>45983</v>
      </c>
      <c r="H96" s="103">
        <f t="shared" si="28"/>
        <v>45990</v>
      </c>
      <c r="I96" s="103"/>
      <c r="J96" s="104"/>
      <c r="K96" s="25"/>
      <c r="L96" s="25"/>
      <c r="M96" s="25"/>
      <c r="N96" s="25"/>
    </row>
    <row r="97" spans="1:14" x14ac:dyDescent="0.25">
      <c r="A97" s="103">
        <v>45975</v>
      </c>
      <c r="B97" s="25" t="s">
        <v>549</v>
      </c>
      <c r="C97" s="103">
        <f t="shared" si="23"/>
        <v>45998</v>
      </c>
      <c r="D97" s="103">
        <f t="shared" si="24"/>
        <v>45982</v>
      </c>
      <c r="E97" s="103">
        <f t="shared" si="25"/>
        <v>45989</v>
      </c>
      <c r="F97" s="103">
        <f t="shared" si="26"/>
        <v>45995</v>
      </c>
      <c r="G97" s="103">
        <f t="shared" si="27"/>
        <v>45983</v>
      </c>
      <c r="H97" s="103">
        <f t="shared" si="28"/>
        <v>45990</v>
      </c>
      <c r="I97" s="103"/>
      <c r="J97" s="104"/>
      <c r="K97" s="25"/>
      <c r="L97" s="25"/>
      <c r="M97" s="25"/>
      <c r="N97" s="25"/>
    </row>
    <row r="98" spans="1:14" x14ac:dyDescent="0.25">
      <c r="A98" s="103">
        <v>45975</v>
      </c>
      <c r="B98" s="25" t="s">
        <v>550</v>
      </c>
      <c r="C98" s="103">
        <f t="shared" si="23"/>
        <v>45998</v>
      </c>
      <c r="D98" s="103">
        <f t="shared" si="24"/>
        <v>45982</v>
      </c>
      <c r="E98" s="103">
        <f t="shared" si="25"/>
        <v>45989</v>
      </c>
      <c r="F98" s="103">
        <f t="shared" si="26"/>
        <v>45995</v>
      </c>
      <c r="G98" s="103">
        <f t="shared" si="27"/>
        <v>45983</v>
      </c>
      <c r="H98" s="103">
        <f t="shared" si="28"/>
        <v>45990</v>
      </c>
      <c r="I98" s="103"/>
      <c r="J98" s="104"/>
      <c r="K98" s="25"/>
      <c r="L98" s="25"/>
      <c r="M98" s="25"/>
      <c r="N98" s="25"/>
    </row>
    <row r="99" spans="1:14" x14ac:dyDescent="0.25">
      <c r="A99" s="103">
        <v>45975</v>
      </c>
      <c r="B99" s="25" t="s">
        <v>551</v>
      </c>
      <c r="C99" s="103">
        <f t="shared" si="23"/>
        <v>45998</v>
      </c>
      <c r="D99" s="103">
        <f t="shared" si="24"/>
        <v>45982</v>
      </c>
      <c r="E99" s="103">
        <f t="shared" si="25"/>
        <v>45989</v>
      </c>
      <c r="F99" s="103">
        <f t="shared" si="26"/>
        <v>45995</v>
      </c>
      <c r="G99" s="103">
        <f t="shared" si="27"/>
        <v>45983</v>
      </c>
      <c r="H99" s="103">
        <f t="shared" si="28"/>
        <v>45990</v>
      </c>
      <c r="I99" s="103"/>
      <c r="J99" s="104"/>
      <c r="K99" s="25"/>
      <c r="L99" s="25"/>
      <c r="M99" s="25"/>
      <c r="N99" s="25"/>
    </row>
    <row r="100" spans="1:14" x14ac:dyDescent="0.25">
      <c r="A100" s="103">
        <v>45976</v>
      </c>
      <c r="B100" s="25" t="s">
        <v>537</v>
      </c>
      <c r="C100" s="103">
        <f t="shared" si="23"/>
        <v>45999</v>
      </c>
      <c r="D100" s="103">
        <f t="shared" si="24"/>
        <v>45983</v>
      </c>
      <c r="E100" s="103">
        <f t="shared" si="25"/>
        <v>45990</v>
      </c>
      <c r="F100" s="103">
        <f t="shared" si="26"/>
        <v>45996</v>
      </c>
      <c r="G100" s="103">
        <f t="shared" si="27"/>
        <v>45984</v>
      </c>
      <c r="H100" s="103">
        <f t="shared" si="28"/>
        <v>45991</v>
      </c>
      <c r="I100" s="103"/>
      <c r="J100" s="104"/>
      <c r="K100" s="25"/>
      <c r="L100" s="25"/>
      <c r="M100" s="25"/>
      <c r="N100" s="25"/>
    </row>
    <row r="101" spans="1:14" x14ac:dyDescent="0.25">
      <c r="A101" s="103">
        <v>45976</v>
      </c>
      <c r="B101" s="25" t="s">
        <v>538</v>
      </c>
      <c r="C101" s="103">
        <f t="shared" si="23"/>
        <v>45999</v>
      </c>
      <c r="D101" s="103">
        <f t="shared" si="24"/>
        <v>45983</v>
      </c>
      <c r="E101" s="103">
        <f t="shared" si="25"/>
        <v>45990</v>
      </c>
      <c r="F101" s="103">
        <f t="shared" si="26"/>
        <v>45996</v>
      </c>
      <c r="G101" s="103">
        <f t="shared" si="27"/>
        <v>45984</v>
      </c>
      <c r="H101" s="103">
        <f t="shared" si="28"/>
        <v>45991</v>
      </c>
      <c r="I101" s="103"/>
      <c r="J101" s="104"/>
      <c r="K101" s="25"/>
      <c r="L101" s="25"/>
      <c r="M101" s="25"/>
      <c r="N101" s="25"/>
    </row>
    <row r="102" spans="1:14" x14ac:dyDescent="0.25">
      <c r="A102" s="103">
        <v>45976</v>
      </c>
      <c r="B102" s="25" t="s">
        <v>539</v>
      </c>
      <c r="C102" s="103">
        <f t="shared" si="23"/>
        <v>45999</v>
      </c>
      <c r="D102" s="103">
        <f t="shared" si="24"/>
        <v>45983</v>
      </c>
      <c r="E102" s="103">
        <f t="shared" si="25"/>
        <v>45990</v>
      </c>
      <c r="F102" s="103">
        <f t="shared" si="26"/>
        <v>45996</v>
      </c>
      <c r="G102" s="103">
        <f t="shared" si="27"/>
        <v>45984</v>
      </c>
      <c r="H102" s="103">
        <f t="shared" si="28"/>
        <v>45991</v>
      </c>
      <c r="I102" s="103"/>
      <c r="J102" s="104"/>
      <c r="K102" s="25"/>
      <c r="L102" s="25"/>
      <c r="M102" s="25"/>
      <c r="N102" s="25"/>
    </row>
    <row r="103" spans="1:14" x14ac:dyDescent="0.25">
      <c r="A103" s="103">
        <v>45976</v>
      </c>
      <c r="B103" s="25" t="s">
        <v>540</v>
      </c>
      <c r="C103" s="103">
        <f t="shared" si="23"/>
        <v>45999</v>
      </c>
      <c r="D103" s="103">
        <f t="shared" si="24"/>
        <v>45983</v>
      </c>
      <c r="E103" s="103">
        <f t="shared" si="25"/>
        <v>45990</v>
      </c>
      <c r="F103" s="103">
        <f t="shared" si="26"/>
        <v>45996</v>
      </c>
      <c r="G103" s="103">
        <f t="shared" si="27"/>
        <v>45984</v>
      </c>
      <c r="H103" s="103">
        <f t="shared" si="28"/>
        <v>45991</v>
      </c>
      <c r="I103" s="103"/>
      <c r="J103" s="104"/>
      <c r="K103" s="25"/>
      <c r="L103" s="25"/>
      <c r="M103" s="25"/>
      <c r="N103" s="25"/>
    </row>
    <row r="104" spans="1:14" x14ac:dyDescent="0.25">
      <c r="A104" s="103">
        <v>45976</v>
      </c>
      <c r="B104" s="25" t="s">
        <v>541</v>
      </c>
      <c r="C104" s="103">
        <f t="shared" si="23"/>
        <v>45999</v>
      </c>
      <c r="D104" s="103">
        <f t="shared" si="24"/>
        <v>45983</v>
      </c>
      <c r="E104" s="103">
        <f t="shared" si="25"/>
        <v>45990</v>
      </c>
      <c r="F104" s="103">
        <f t="shared" si="26"/>
        <v>45996</v>
      </c>
      <c r="G104" s="103">
        <f t="shared" si="27"/>
        <v>45984</v>
      </c>
      <c r="H104" s="103">
        <f t="shared" si="28"/>
        <v>45991</v>
      </c>
      <c r="I104" s="103"/>
      <c r="J104" s="104"/>
      <c r="K104" s="25"/>
      <c r="L104" s="25"/>
      <c r="M104" s="25"/>
      <c r="N104" s="25"/>
    </row>
    <row r="105" spans="1:14" x14ac:dyDescent="0.25">
      <c r="A105" s="103">
        <v>45976</v>
      </c>
      <c r="B105" s="25" t="s">
        <v>542</v>
      </c>
      <c r="C105" s="103">
        <f t="shared" si="23"/>
        <v>45999</v>
      </c>
      <c r="D105" s="103">
        <f t="shared" si="24"/>
        <v>45983</v>
      </c>
      <c r="E105" s="103">
        <f t="shared" si="25"/>
        <v>45990</v>
      </c>
      <c r="F105" s="103">
        <f t="shared" si="26"/>
        <v>45996</v>
      </c>
      <c r="G105" s="103">
        <f t="shared" si="27"/>
        <v>45984</v>
      </c>
      <c r="H105" s="103">
        <f t="shared" si="28"/>
        <v>45991</v>
      </c>
      <c r="I105" s="103"/>
      <c r="J105" s="104"/>
      <c r="K105" s="25"/>
      <c r="L105" s="25"/>
      <c r="M105" s="25"/>
      <c r="N105" s="25"/>
    </row>
    <row r="106" spans="1:14" x14ac:dyDescent="0.25">
      <c r="A106" s="103">
        <v>45976</v>
      </c>
      <c r="B106" s="25" t="s">
        <v>543</v>
      </c>
      <c r="C106" s="103">
        <f t="shared" si="23"/>
        <v>45999</v>
      </c>
      <c r="D106" s="103">
        <f t="shared" si="24"/>
        <v>45983</v>
      </c>
      <c r="E106" s="103">
        <f t="shared" si="25"/>
        <v>45990</v>
      </c>
      <c r="F106" s="103">
        <f t="shared" si="26"/>
        <v>45996</v>
      </c>
      <c r="G106" s="103">
        <f t="shared" si="27"/>
        <v>45984</v>
      </c>
      <c r="H106" s="103">
        <f t="shared" si="28"/>
        <v>45991</v>
      </c>
      <c r="I106" s="103"/>
      <c r="J106" s="104"/>
      <c r="K106" s="25"/>
      <c r="L106" s="25"/>
      <c r="M106" s="25"/>
      <c r="N106" s="25"/>
    </row>
    <row r="107" spans="1:14" x14ac:dyDescent="0.25">
      <c r="A107" s="103">
        <v>45976</v>
      </c>
      <c r="B107" s="25" t="s">
        <v>544</v>
      </c>
      <c r="C107" s="103">
        <f t="shared" si="23"/>
        <v>45999</v>
      </c>
      <c r="D107" s="103">
        <f t="shared" si="24"/>
        <v>45983</v>
      </c>
      <c r="E107" s="103">
        <f t="shared" si="25"/>
        <v>45990</v>
      </c>
      <c r="F107" s="103">
        <f t="shared" si="26"/>
        <v>45996</v>
      </c>
      <c r="G107" s="103">
        <f t="shared" si="27"/>
        <v>45984</v>
      </c>
      <c r="H107" s="103">
        <f t="shared" si="28"/>
        <v>45991</v>
      </c>
      <c r="I107" s="103"/>
      <c r="J107" s="104"/>
      <c r="K107" s="25"/>
      <c r="L107" s="25"/>
      <c r="M107" s="25"/>
      <c r="N107" s="25"/>
    </row>
    <row r="108" spans="1:14" x14ac:dyDescent="0.25">
      <c r="A108" s="103">
        <v>45977</v>
      </c>
      <c r="B108" s="25" t="s">
        <v>513</v>
      </c>
      <c r="C108" s="103">
        <f t="shared" si="23"/>
        <v>46000</v>
      </c>
      <c r="D108" s="103">
        <f t="shared" si="24"/>
        <v>45984</v>
      </c>
      <c r="E108" s="103">
        <f t="shared" si="25"/>
        <v>45991</v>
      </c>
      <c r="F108" s="103">
        <f t="shared" si="26"/>
        <v>45997</v>
      </c>
      <c r="G108" s="103">
        <f t="shared" si="27"/>
        <v>45985</v>
      </c>
      <c r="H108" s="103">
        <f t="shared" si="28"/>
        <v>45992</v>
      </c>
      <c r="I108" s="103"/>
      <c r="J108" s="104"/>
      <c r="K108" s="25"/>
      <c r="L108" s="25"/>
      <c r="M108" s="25"/>
      <c r="N108" s="25"/>
    </row>
    <row r="109" spans="1:14" x14ac:dyDescent="0.25">
      <c r="A109" s="103">
        <v>45977</v>
      </c>
      <c r="B109" s="25" t="s">
        <v>514</v>
      </c>
      <c r="C109" s="103">
        <f t="shared" si="23"/>
        <v>46000</v>
      </c>
      <c r="D109" s="103">
        <f t="shared" si="24"/>
        <v>45984</v>
      </c>
      <c r="E109" s="103">
        <f t="shared" si="25"/>
        <v>45991</v>
      </c>
      <c r="F109" s="103">
        <f t="shared" si="26"/>
        <v>45997</v>
      </c>
      <c r="G109" s="103">
        <f t="shared" si="27"/>
        <v>45985</v>
      </c>
      <c r="H109" s="103">
        <f t="shared" si="28"/>
        <v>45992</v>
      </c>
      <c r="I109" s="103"/>
      <c r="J109" s="104"/>
      <c r="K109" s="25"/>
      <c r="L109" s="25"/>
      <c r="M109" s="25"/>
      <c r="N109" s="25"/>
    </row>
    <row r="110" spans="1:14" x14ac:dyDescent="0.25">
      <c r="A110" s="103">
        <v>45977</v>
      </c>
      <c r="B110" s="25" t="s">
        <v>515</v>
      </c>
      <c r="C110" s="103">
        <f t="shared" si="23"/>
        <v>46000</v>
      </c>
      <c r="D110" s="103">
        <f t="shared" si="24"/>
        <v>45984</v>
      </c>
      <c r="E110" s="103">
        <f t="shared" si="25"/>
        <v>45991</v>
      </c>
      <c r="F110" s="103">
        <f t="shared" si="26"/>
        <v>45997</v>
      </c>
      <c r="G110" s="103">
        <f t="shared" si="27"/>
        <v>45985</v>
      </c>
      <c r="H110" s="103">
        <f t="shared" si="28"/>
        <v>45992</v>
      </c>
      <c r="I110" s="103"/>
      <c r="J110" s="104"/>
      <c r="K110" s="25"/>
      <c r="L110" s="25"/>
      <c r="M110" s="25"/>
      <c r="N110" s="25"/>
    </row>
    <row r="111" spans="1:14" x14ac:dyDescent="0.25">
      <c r="A111" s="103">
        <v>45977</v>
      </c>
      <c r="B111" s="25" t="s">
        <v>516</v>
      </c>
      <c r="C111" s="103">
        <f t="shared" si="23"/>
        <v>46000</v>
      </c>
      <c r="D111" s="103">
        <f t="shared" si="24"/>
        <v>45984</v>
      </c>
      <c r="E111" s="103">
        <f t="shared" si="25"/>
        <v>45991</v>
      </c>
      <c r="F111" s="103">
        <f t="shared" si="26"/>
        <v>45997</v>
      </c>
      <c r="G111" s="103">
        <f t="shared" si="27"/>
        <v>45985</v>
      </c>
      <c r="H111" s="103">
        <f t="shared" si="28"/>
        <v>45992</v>
      </c>
      <c r="I111" s="103"/>
      <c r="J111" s="104"/>
      <c r="K111" s="25"/>
      <c r="L111" s="25"/>
      <c r="M111" s="25"/>
      <c r="N111" s="25"/>
    </row>
    <row r="112" spans="1:14" x14ac:dyDescent="0.25">
      <c r="A112" s="103">
        <v>45977</v>
      </c>
      <c r="B112" s="25" t="s">
        <v>517</v>
      </c>
      <c r="C112" s="103">
        <f t="shared" si="23"/>
        <v>46000</v>
      </c>
      <c r="D112" s="103">
        <f t="shared" si="24"/>
        <v>45984</v>
      </c>
      <c r="E112" s="103">
        <f t="shared" si="25"/>
        <v>45991</v>
      </c>
      <c r="F112" s="103">
        <f t="shared" si="26"/>
        <v>45997</v>
      </c>
      <c r="G112" s="103">
        <f t="shared" si="27"/>
        <v>45985</v>
      </c>
      <c r="H112" s="103">
        <f t="shared" si="28"/>
        <v>45992</v>
      </c>
      <c r="I112" s="103"/>
      <c r="J112" s="104"/>
      <c r="K112" s="25"/>
      <c r="L112" s="25"/>
      <c r="M112" s="25"/>
      <c r="N112" s="25"/>
    </row>
    <row r="113" spans="1:14" x14ac:dyDescent="0.25">
      <c r="A113" s="103">
        <v>45977</v>
      </c>
      <c r="B113" s="25" t="s">
        <v>518</v>
      </c>
      <c r="C113" s="103">
        <f t="shared" si="23"/>
        <v>46000</v>
      </c>
      <c r="D113" s="103">
        <f t="shared" si="24"/>
        <v>45984</v>
      </c>
      <c r="E113" s="103">
        <f t="shared" si="25"/>
        <v>45991</v>
      </c>
      <c r="F113" s="103">
        <f t="shared" si="26"/>
        <v>45997</v>
      </c>
      <c r="G113" s="103">
        <f t="shared" si="27"/>
        <v>45985</v>
      </c>
      <c r="H113" s="103">
        <f t="shared" si="28"/>
        <v>45992</v>
      </c>
      <c r="I113" s="103"/>
      <c r="J113" s="104"/>
      <c r="K113" s="25"/>
      <c r="L113" s="25"/>
      <c r="M113" s="25"/>
      <c r="N113" s="25"/>
    </row>
    <row r="114" spans="1:14" x14ac:dyDescent="0.25">
      <c r="A114" s="103">
        <v>45977</v>
      </c>
      <c r="B114" s="25" t="s">
        <v>519</v>
      </c>
      <c r="C114" s="103">
        <f t="shared" si="23"/>
        <v>46000</v>
      </c>
      <c r="D114" s="103">
        <f t="shared" si="24"/>
        <v>45984</v>
      </c>
      <c r="E114" s="103">
        <f t="shared" si="25"/>
        <v>45991</v>
      </c>
      <c r="F114" s="103">
        <f t="shared" si="26"/>
        <v>45997</v>
      </c>
      <c r="G114" s="103">
        <f t="shared" si="27"/>
        <v>45985</v>
      </c>
      <c r="H114" s="103">
        <f t="shared" si="28"/>
        <v>45992</v>
      </c>
      <c r="I114" s="103"/>
      <c r="J114" s="104"/>
      <c r="K114" s="25"/>
      <c r="L114" s="25"/>
      <c r="M114" s="25"/>
      <c r="N114" s="25"/>
    </row>
    <row r="115" spans="1:14" x14ac:dyDescent="0.25">
      <c r="A115" s="103">
        <v>45978</v>
      </c>
      <c r="B115" s="25" t="s">
        <v>520</v>
      </c>
      <c r="C115" s="103">
        <f t="shared" si="23"/>
        <v>46001</v>
      </c>
      <c r="D115" s="103">
        <f t="shared" si="24"/>
        <v>45985</v>
      </c>
      <c r="E115" s="103">
        <f t="shared" si="25"/>
        <v>45992</v>
      </c>
      <c r="F115" s="103">
        <f t="shared" si="26"/>
        <v>45998</v>
      </c>
      <c r="G115" s="103">
        <f t="shared" si="27"/>
        <v>45986</v>
      </c>
      <c r="H115" s="103">
        <f t="shared" si="28"/>
        <v>45993</v>
      </c>
      <c r="I115" s="103"/>
      <c r="J115" s="104"/>
      <c r="K115" s="25"/>
      <c r="L115" s="25"/>
      <c r="M115" s="25"/>
      <c r="N115" s="25"/>
    </row>
    <row r="116" spans="1:14" x14ac:dyDescent="0.25">
      <c r="A116" s="103">
        <v>45978</v>
      </c>
      <c r="B116" s="25" t="s">
        <v>521</v>
      </c>
      <c r="C116" s="103">
        <f t="shared" si="23"/>
        <v>46001</v>
      </c>
      <c r="D116" s="103">
        <f t="shared" si="24"/>
        <v>45985</v>
      </c>
      <c r="E116" s="103">
        <f t="shared" si="25"/>
        <v>45992</v>
      </c>
      <c r="F116" s="103">
        <f t="shared" si="26"/>
        <v>45998</v>
      </c>
      <c r="G116" s="103">
        <f t="shared" si="27"/>
        <v>45986</v>
      </c>
      <c r="H116" s="103">
        <f t="shared" si="28"/>
        <v>45993</v>
      </c>
      <c r="I116" s="103"/>
      <c r="J116" s="104"/>
      <c r="K116" s="25"/>
      <c r="L116" s="25"/>
      <c r="M116" s="25"/>
      <c r="N116" s="25"/>
    </row>
    <row r="117" spans="1:14" x14ac:dyDescent="0.25">
      <c r="A117" s="103">
        <v>45978</v>
      </c>
      <c r="B117" s="25" t="s">
        <v>522</v>
      </c>
      <c r="C117" s="103">
        <f t="shared" si="23"/>
        <v>46001</v>
      </c>
      <c r="D117" s="103">
        <f t="shared" si="24"/>
        <v>45985</v>
      </c>
      <c r="E117" s="103">
        <f t="shared" si="25"/>
        <v>45992</v>
      </c>
      <c r="F117" s="103">
        <f t="shared" si="26"/>
        <v>45998</v>
      </c>
      <c r="G117" s="103">
        <f t="shared" si="27"/>
        <v>45986</v>
      </c>
      <c r="H117" s="103">
        <f t="shared" si="28"/>
        <v>45993</v>
      </c>
      <c r="I117" s="103"/>
      <c r="J117" s="104"/>
      <c r="K117" s="25"/>
      <c r="L117" s="25"/>
      <c r="M117" s="25"/>
      <c r="N117" s="25"/>
    </row>
    <row r="118" spans="1:14" x14ac:dyDescent="0.25">
      <c r="A118" s="103">
        <v>45978</v>
      </c>
      <c r="B118" s="25" t="s">
        <v>523</v>
      </c>
      <c r="C118" s="103">
        <f t="shared" si="23"/>
        <v>46001</v>
      </c>
      <c r="D118" s="103">
        <f t="shared" si="24"/>
        <v>45985</v>
      </c>
      <c r="E118" s="103">
        <f t="shared" si="25"/>
        <v>45992</v>
      </c>
      <c r="F118" s="103">
        <f t="shared" si="26"/>
        <v>45998</v>
      </c>
      <c r="G118" s="103">
        <f t="shared" si="27"/>
        <v>45986</v>
      </c>
      <c r="H118" s="103">
        <f t="shared" si="28"/>
        <v>45993</v>
      </c>
      <c r="I118" s="103"/>
      <c r="J118" s="104"/>
      <c r="K118" s="25"/>
      <c r="L118" s="25"/>
      <c r="M118" s="25"/>
      <c r="N118" s="25"/>
    </row>
    <row r="119" spans="1:14" x14ac:dyDescent="0.25">
      <c r="A119" s="103">
        <v>45978</v>
      </c>
      <c r="B119" s="25" t="s">
        <v>524</v>
      </c>
      <c r="C119" s="103">
        <f t="shared" si="23"/>
        <v>46001</v>
      </c>
      <c r="D119" s="103">
        <f t="shared" si="24"/>
        <v>45985</v>
      </c>
      <c r="E119" s="103">
        <f t="shared" si="25"/>
        <v>45992</v>
      </c>
      <c r="F119" s="103">
        <f t="shared" si="26"/>
        <v>45998</v>
      </c>
      <c r="G119" s="103">
        <f t="shared" si="27"/>
        <v>45986</v>
      </c>
      <c r="H119" s="103">
        <f t="shared" si="28"/>
        <v>45993</v>
      </c>
      <c r="I119" s="103"/>
      <c r="J119" s="104"/>
      <c r="K119" s="25"/>
      <c r="L119" s="25"/>
      <c r="M119" s="25"/>
      <c r="N119" s="25"/>
    </row>
    <row r="120" spans="1:14" x14ac:dyDescent="0.25">
      <c r="A120" s="103">
        <v>45978</v>
      </c>
      <c r="B120" s="25" t="s">
        <v>525</v>
      </c>
      <c r="C120" s="103">
        <f t="shared" si="23"/>
        <v>46001</v>
      </c>
      <c r="D120" s="103">
        <f t="shared" si="24"/>
        <v>45985</v>
      </c>
      <c r="E120" s="103">
        <f t="shared" si="25"/>
        <v>45992</v>
      </c>
      <c r="F120" s="103">
        <f t="shared" si="26"/>
        <v>45998</v>
      </c>
      <c r="G120" s="103">
        <f t="shared" si="27"/>
        <v>45986</v>
      </c>
      <c r="H120" s="103">
        <f t="shared" si="28"/>
        <v>45993</v>
      </c>
      <c r="I120" s="103"/>
      <c r="J120" s="104"/>
      <c r="K120" s="25"/>
      <c r="L120" s="25"/>
      <c r="M120" s="25"/>
      <c r="N120" s="25"/>
    </row>
    <row r="121" spans="1:14" x14ac:dyDescent="0.25">
      <c r="A121" s="103">
        <v>45978</v>
      </c>
      <c r="B121" s="25" t="s">
        <v>526</v>
      </c>
      <c r="C121" s="103">
        <f t="shared" si="23"/>
        <v>46001</v>
      </c>
      <c r="D121" s="103">
        <f t="shared" si="24"/>
        <v>45985</v>
      </c>
      <c r="E121" s="103">
        <f t="shared" si="25"/>
        <v>45992</v>
      </c>
      <c r="F121" s="103">
        <f t="shared" si="26"/>
        <v>45998</v>
      </c>
      <c r="G121" s="103">
        <f t="shared" si="27"/>
        <v>45986</v>
      </c>
      <c r="H121" s="103">
        <f t="shared" si="28"/>
        <v>45993</v>
      </c>
      <c r="I121" s="103"/>
      <c r="J121" s="104"/>
      <c r="K121" s="25"/>
      <c r="L121" s="25"/>
      <c r="M121" s="25"/>
      <c r="N121" s="25"/>
    </row>
    <row r="122" spans="1:14" x14ac:dyDescent="0.25">
      <c r="A122" s="103">
        <v>45979</v>
      </c>
      <c r="B122" s="25" t="s">
        <v>527</v>
      </c>
      <c r="C122" s="103">
        <f t="shared" si="23"/>
        <v>46002</v>
      </c>
      <c r="D122" s="103">
        <f t="shared" si="24"/>
        <v>45986</v>
      </c>
      <c r="E122" s="103">
        <f t="shared" si="25"/>
        <v>45993</v>
      </c>
      <c r="F122" s="103">
        <f t="shared" si="26"/>
        <v>45999</v>
      </c>
      <c r="G122" s="103">
        <f t="shared" si="27"/>
        <v>45987</v>
      </c>
      <c r="H122" s="103">
        <f t="shared" si="28"/>
        <v>45994</v>
      </c>
      <c r="I122" s="103"/>
      <c r="J122" s="104"/>
      <c r="K122" s="25"/>
      <c r="L122" s="25"/>
      <c r="M122" s="25"/>
      <c r="N122" s="25"/>
    </row>
    <row r="123" spans="1:14" x14ac:dyDescent="0.25">
      <c r="A123" s="103">
        <v>45979</v>
      </c>
      <c r="B123" s="25" t="s">
        <v>528</v>
      </c>
      <c r="C123" s="103">
        <f t="shared" si="23"/>
        <v>46002</v>
      </c>
      <c r="D123" s="103">
        <f t="shared" si="24"/>
        <v>45986</v>
      </c>
      <c r="E123" s="103">
        <f t="shared" si="25"/>
        <v>45993</v>
      </c>
      <c r="F123" s="103">
        <f t="shared" si="26"/>
        <v>45999</v>
      </c>
      <c r="G123" s="103">
        <f t="shared" si="27"/>
        <v>45987</v>
      </c>
      <c r="H123" s="103">
        <f t="shared" si="28"/>
        <v>45994</v>
      </c>
      <c r="I123" s="103"/>
      <c r="J123" s="104"/>
      <c r="K123" s="25"/>
      <c r="L123" s="25"/>
      <c r="M123" s="25"/>
      <c r="N123" s="25"/>
    </row>
    <row r="124" spans="1:14" x14ac:dyDescent="0.25">
      <c r="A124" s="103">
        <v>45979</v>
      </c>
      <c r="B124" s="25" t="s">
        <v>529</v>
      </c>
      <c r="C124" s="103">
        <f t="shared" si="23"/>
        <v>46002</v>
      </c>
      <c r="D124" s="103">
        <f t="shared" si="24"/>
        <v>45986</v>
      </c>
      <c r="E124" s="103">
        <f t="shared" si="25"/>
        <v>45993</v>
      </c>
      <c r="F124" s="103">
        <f t="shared" si="26"/>
        <v>45999</v>
      </c>
      <c r="G124" s="103">
        <f t="shared" si="27"/>
        <v>45987</v>
      </c>
      <c r="H124" s="103">
        <f t="shared" si="28"/>
        <v>45994</v>
      </c>
      <c r="I124" s="103"/>
      <c r="J124" s="104"/>
      <c r="K124" s="25"/>
      <c r="L124" s="25"/>
      <c r="M124" s="25"/>
      <c r="N124" s="25"/>
    </row>
    <row r="125" spans="1:14" x14ac:dyDescent="0.25">
      <c r="A125" s="103">
        <v>45979</v>
      </c>
      <c r="B125" s="25" t="s">
        <v>530</v>
      </c>
      <c r="C125" s="103">
        <f t="shared" si="23"/>
        <v>46002</v>
      </c>
      <c r="D125" s="103">
        <f t="shared" si="24"/>
        <v>45986</v>
      </c>
      <c r="E125" s="103">
        <f t="shared" si="25"/>
        <v>45993</v>
      </c>
      <c r="F125" s="103">
        <f t="shared" si="26"/>
        <v>45999</v>
      </c>
      <c r="G125" s="103">
        <f t="shared" si="27"/>
        <v>45987</v>
      </c>
      <c r="H125" s="103">
        <f t="shared" si="28"/>
        <v>45994</v>
      </c>
      <c r="I125" s="103"/>
      <c r="J125" s="104"/>
      <c r="K125" s="25"/>
      <c r="L125" s="25"/>
      <c r="M125" s="25"/>
      <c r="N125" s="25"/>
    </row>
    <row r="126" spans="1:14" x14ac:dyDescent="0.25">
      <c r="A126" s="103">
        <v>45979</v>
      </c>
      <c r="B126" s="25" t="s">
        <v>531</v>
      </c>
      <c r="C126" s="103">
        <f t="shared" si="23"/>
        <v>46002</v>
      </c>
      <c r="D126" s="103">
        <f t="shared" si="24"/>
        <v>45986</v>
      </c>
      <c r="E126" s="103">
        <f t="shared" si="25"/>
        <v>45993</v>
      </c>
      <c r="F126" s="103">
        <f t="shared" si="26"/>
        <v>45999</v>
      </c>
      <c r="G126" s="103">
        <f t="shared" si="27"/>
        <v>45987</v>
      </c>
      <c r="H126" s="103">
        <f t="shared" si="28"/>
        <v>45994</v>
      </c>
      <c r="I126" s="103"/>
      <c r="J126" s="104"/>
      <c r="K126" s="25"/>
      <c r="L126" s="25"/>
      <c r="M126" s="25"/>
      <c r="N126" s="25"/>
    </row>
    <row r="127" spans="1:14" x14ac:dyDescent="0.25">
      <c r="A127" s="103">
        <v>45979</v>
      </c>
      <c r="B127" s="25" t="s">
        <v>532</v>
      </c>
      <c r="C127" s="103">
        <f t="shared" si="23"/>
        <v>46002</v>
      </c>
      <c r="D127" s="103">
        <f t="shared" si="24"/>
        <v>45986</v>
      </c>
      <c r="E127" s="103">
        <f t="shared" si="25"/>
        <v>45993</v>
      </c>
      <c r="F127" s="103">
        <f t="shared" si="26"/>
        <v>45999</v>
      </c>
      <c r="G127" s="103">
        <f t="shared" si="27"/>
        <v>45987</v>
      </c>
      <c r="H127" s="103">
        <f t="shared" si="28"/>
        <v>45994</v>
      </c>
      <c r="I127" s="103"/>
      <c r="J127" s="104"/>
      <c r="K127" s="25"/>
      <c r="L127" s="25"/>
      <c r="M127" s="25"/>
      <c r="N127" s="25"/>
    </row>
    <row r="128" spans="1:14" x14ac:dyDescent="0.25">
      <c r="A128" s="103">
        <v>45979</v>
      </c>
      <c r="B128" s="25" t="s">
        <v>533</v>
      </c>
      <c r="C128" s="103">
        <f t="shared" si="23"/>
        <v>46002</v>
      </c>
      <c r="D128" s="103">
        <f t="shared" si="24"/>
        <v>45986</v>
      </c>
      <c r="E128" s="103">
        <f t="shared" si="25"/>
        <v>45993</v>
      </c>
      <c r="F128" s="103">
        <f t="shared" si="26"/>
        <v>45999</v>
      </c>
      <c r="G128" s="103">
        <f t="shared" si="27"/>
        <v>45987</v>
      </c>
      <c r="H128" s="103">
        <f t="shared" si="28"/>
        <v>45994</v>
      </c>
      <c r="I128" s="103"/>
      <c r="J128" s="104"/>
      <c r="K128" s="25"/>
      <c r="L128" s="25"/>
      <c r="M128" s="25"/>
      <c r="N128" s="25"/>
    </row>
    <row r="129" spans="1:14" x14ac:dyDescent="0.25">
      <c r="A129" s="103">
        <v>45979</v>
      </c>
      <c r="B129" s="25" t="s">
        <v>534</v>
      </c>
      <c r="C129" s="103">
        <f t="shared" si="23"/>
        <v>46002</v>
      </c>
      <c r="D129" s="103">
        <f t="shared" si="24"/>
        <v>45986</v>
      </c>
      <c r="E129" s="103">
        <f t="shared" si="25"/>
        <v>45993</v>
      </c>
      <c r="F129" s="103">
        <f t="shared" si="26"/>
        <v>45999</v>
      </c>
      <c r="G129" s="103">
        <f t="shared" si="27"/>
        <v>45987</v>
      </c>
      <c r="H129" s="103">
        <f t="shared" si="28"/>
        <v>45994</v>
      </c>
      <c r="I129" s="103"/>
      <c r="J129" s="104"/>
      <c r="K129" s="25"/>
      <c r="L129" s="25"/>
      <c r="M129" s="25"/>
      <c r="N129" s="25"/>
    </row>
    <row r="130" spans="1:14" x14ac:dyDescent="0.25">
      <c r="A130" s="103">
        <v>45979</v>
      </c>
      <c r="B130" s="25" t="s">
        <v>535</v>
      </c>
      <c r="C130" s="103">
        <f t="shared" si="23"/>
        <v>46002</v>
      </c>
      <c r="D130" s="103">
        <f t="shared" si="24"/>
        <v>45986</v>
      </c>
      <c r="E130" s="103">
        <f t="shared" si="25"/>
        <v>45993</v>
      </c>
      <c r="F130" s="103">
        <f t="shared" si="26"/>
        <v>45999</v>
      </c>
      <c r="G130" s="103">
        <f t="shared" si="27"/>
        <v>45987</v>
      </c>
      <c r="H130" s="103">
        <f t="shared" si="28"/>
        <v>45994</v>
      </c>
      <c r="I130" s="103"/>
      <c r="J130" s="104"/>
      <c r="K130" s="25"/>
      <c r="L130" s="25"/>
      <c r="M130" s="25"/>
      <c r="N130" s="25"/>
    </row>
    <row r="131" spans="1:14" x14ac:dyDescent="0.25">
      <c r="A131" s="103">
        <v>45980</v>
      </c>
      <c r="B131" s="25" t="s">
        <v>435</v>
      </c>
      <c r="C131" s="103">
        <f t="shared" si="23"/>
        <v>46003</v>
      </c>
      <c r="D131" s="103">
        <f t="shared" si="24"/>
        <v>45987</v>
      </c>
      <c r="E131" s="103">
        <f t="shared" si="25"/>
        <v>45994</v>
      </c>
      <c r="F131" s="103">
        <f t="shared" si="26"/>
        <v>46000</v>
      </c>
      <c r="G131" s="103">
        <f t="shared" si="27"/>
        <v>45988</v>
      </c>
      <c r="H131" s="103">
        <f t="shared" si="28"/>
        <v>45995</v>
      </c>
      <c r="I131" s="103"/>
      <c r="J131" s="104"/>
      <c r="K131" s="25"/>
      <c r="L131" s="25"/>
      <c r="M131" s="25"/>
      <c r="N131" s="25"/>
    </row>
    <row r="132" spans="1:14" x14ac:dyDescent="0.25">
      <c r="A132" s="103">
        <v>45980</v>
      </c>
      <c r="B132" s="25" t="s">
        <v>436</v>
      </c>
      <c r="C132" s="103">
        <f t="shared" si="23"/>
        <v>46003</v>
      </c>
      <c r="D132" s="103">
        <f t="shared" si="24"/>
        <v>45987</v>
      </c>
      <c r="E132" s="103">
        <f t="shared" si="25"/>
        <v>45994</v>
      </c>
      <c r="F132" s="103">
        <f t="shared" si="26"/>
        <v>46000</v>
      </c>
      <c r="G132" s="103">
        <f t="shared" si="27"/>
        <v>45988</v>
      </c>
      <c r="H132" s="103">
        <f t="shared" si="28"/>
        <v>45995</v>
      </c>
      <c r="I132" s="103"/>
      <c r="J132" s="104"/>
      <c r="K132" s="25"/>
      <c r="L132" s="25"/>
      <c r="M132" s="25"/>
      <c r="N132" s="25"/>
    </row>
    <row r="133" spans="1:14" x14ac:dyDescent="0.25">
      <c r="A133" s="103">
        <v>45980</v>
      </c>
      <c r="B133" s="25" t="s">
        <v>437</v>
      </c>
      <c r="C133" s="103">
        <f t="shared" si="23"/>
        <v>46003</v>
      </c>
      <c r="D133" s="103">
        <f t="shared" si="24"/>
        <v>45987</v>
      </c>
      <c r="E133" s="103">
        <f t="shared" si="25"/>
        <v>45994</v>
      </c>
      <c r="F133" s="103">
        <f t="shared" si="26"/>
        <v>46000</v>
      </c>
      <c r="G133" s="103">
        <f t="shared" si="27"/>
        <v>45988</v>
      </c>
      <c r="H133" s="103">
        <f t="shared" si="28"/>
        <v>45995</v>
      </c>
      <c r="I133" s="103"/>
      <c r="J133" s="104"/>
      <c r="K133" s="25"/>
      <c r="L133" s="25"/>
      <c r="M133" s="25"/>
      <c r="N133" s="25"/>
    </row>
    <row r="134" spans="1:14" x14ac:dyDescent="0.25">
      <c r="A134" s="103">
        <v>45980</v>
      </c>
      <c r="B134" s="25" t="s">
        <v>438</v>
      </c>
      <c r="C134" s="103">
        <f t="shared" si="23"/>
        <v>46003</v>
      </c>
      <c r="D134" s="103">
        <f t="shared" si="24"/>
        <v>45987</v>
      </c>
      <c r="E134" s="103">
        <f t="shared" si="25"/>
        <v>45994</v>
      </c>
      <c r="F134" s="103">
        <f t="shared" si="26"/>
        <v>46000</v>
      </c>
      <c r="G134" s="103">
        <f t="shared" si="27"/>
        <v>45988</v>
      </c>
      <c r="H134" s="103">
        <f t="shared" si="28"/>
        <v>45995</v>
      </c>
      <c r="I134" s="103"/>
      <c r="J134" s="104"/>
      <c r="K134" s="25"/>
      <c r="L134" s="25"/>
      <c r="M134" s="25"/>
      <c r="N134" s="25"/>
    </row>
    <row r="135" spans="1:14" x14ac:dyDescent="0.25">
      <c r="A135" s="103">
        <v>45980</v>
      </c>
      <c r="B135" s="25" t="s">
        <v>439</v>
      </c>
      <c r="C135" s="103">
        <f t="shared" si="23"/>
        <v>46003</v>
      </c>
      <c r="D135" s="103">
        <f t="shared" si="24"/>
        <v>45987</v>
      </c>
      <c r="E135" s="103">
        <f t="shared" si="25"/>
        <v>45994</v>
      </c>
      <c r="F135" s="103">
        <f t="shared" si="26"/>
        <v>46000</v>
      </c>
      <c r="G135" s="103">
        <f t="shared" si="27"/>
        <v>45988</v>
      </c>
      <c r="H135" s="103">
        <f t="shared" si="28"/>
        <v>45995</v>
      </c>
      <c r="I135" s="103"/>
      <c r="J135" s="104"/>
      <c r="K135" s="25"/>
      <c r="L135" s="25"/>
      <c r="M135" s="25"/>
      <c r="N135" s="25"/>
    </row>
    <row r="136" spans="1:14" x14ac:dyDescent="0.25">
      <c r="A136" s="103">
        <v>45980</v>
      </c>
      <c r="B136" s="25" t="s">
        <v>440</v>
      </c>
      <c r="C136" s="103">
        <f t="shared" si="23"/>
        <v>46003</v>
      </c>
      <c r="D136" s="103">
        <f t="shared" si="24"/>
        <v>45987</v>
      </c>
      <c r="E136" s="103">
        <f t="shared" si="25"/>
        <v>45994</v>
      </c>
      <c r="F136" s="103">
        <f t="shared" si="26"/>
        <v>46000</v>
      </c>
      <c r="G136" s="103">
        <f t="shared" si="27"/>
        <v>45988</v>
      </c>
      <c r="H136" s="103">
        <f t="shared" si="28"/>
        <v>45995</v>
      </c>
      <c r="I136" s="103"/>
      <c r="J136" s="104"/>
      <c r="K136" s="25"/>
      <c r="L136" s="25"/>
      <c r="M136" s="25"/>
      <c r="N136" s="25"/>
    </row>
    <row r="137" spans="1:14" x14ac:dyDescent="0.25">
      <c r="A137" s="103">
        <v>45980</v>
      </c>
      <c r="B137" s="25" t="s">
        <v>441</v>
      </c>
      <c r="C137" s="103">
        <f t="shared" si="23"/>
        <v>46003</v>
      </c>
      <c r="D137" s="103">
        <f t="shared" si="24"/>
        <v>45987</v>
      </c>
      <c r="E137" s="103">
        <f t="shared" si="25"/>
        <v>45994</v>
      </c>
      <c r="F137" s="103">
        <f t="shared" si="26"/>
        <v>46000</v>
      </c>
      <c r="G137" s="103">
        <f t="shared" si="27"/>
        <v>45988</v>
      </c>
      <c r="H137" s="103">
        <f t="shared" si="28"/>
        <v>45995</v>
      </c>
      <c r="I137" s="103"/>
      <c r="J137" s="104"/>
      <c r="K137" s="25"/>
      <c r="L137" s="25"/>
      <c r="M137" s="25"/>
      <c r="N137" s="25"/>
    </row>
    <row r="138" spans="1:14" x14ac:dyDescent="0.25">
      <c r="A138" s="103">
        <v>45981</v>
      </c>
      <c r="B138" s="25" t="s">
        <v>359</v>
      </c>
      <c r="C138" s="103">
        <f t="shared" si="23"/>
        <v>46004</v>
      </c>
      <c r="D138" s="103">
        <f t="shared" si="24"/>
        <v>45988</v>
      </c>
      <c r="E138" s="103">
        <f t="shared" si="25"/>
        <v>45995</v>
      </c>
      <c r="F138" s="103">
        <f t="shared" si="26"/>
        <v>46001</v>
      </c>
      <c r="G138" s="103">
        <f t="shared" si="27"/>
        <v>45989</v>
      </c>
      <c r="H138" s="103">
        <f t="shared" si="28"/>
        <v>45996</v>
      </c>
      <c r="I138" s="103"/>
      <c r="J138" s="104"/>
      <c r="K138" s="25"/>
      <c r="L138" s="25"/>
      <c r="M138" s="25"/>
      <c r="N138" s="25"/>
    </row>
    <row r="139" spans="1:14" x14ac:dyDescent="0.25">
      <c r="A139" s="103">
        <v>45981</v>
      </c>
      <c r="B139" s="25" t="s">
        <v>360</v>
      </c>
      <c r="C139" s="103">
        <f t="shared" si="23"/>
        <v>46004</v>
      </c>
      <c r="D139" s="103">
        <f t="shared" si="24"/>
        <v>45988</v>
      </c>
      <c r="E139" s="103">
        <f t="shared" si="25"/>
        <v>45995</v>
      </c>
      <c r="F139" s="103">
        <f t="shared" si="26"/>
        <v>46001</v>
      </c>
      <c r="G139" s="103">
        <f t="shared" si="27"/>
        <v>45989</v>
      </c>
      <c r="H139" s="103">
        <f t="shared" si="28"/>
        <v>45996</v>
      </c>
      <c r="I139" s="103"/>
      <c r="J139" s="104"/>
      <c r="K139" s="25"/>
      <c r="L139" s="25"/>
      <c r="M139" s="25"/>
      <c r="N139" s="25"/>
    </row>
    <row r="140" spans="1:14" x14ac:dyDescent="0.25">
      <c r="A140" s="103">
        <v>45981</v>
      </c>
      <c r="B140" s="25" t="s">
        <v>361</v>
      </c>
      <c r="C140" s="103">
        <f t="shared" si="23"/>
        <v>46004</v>
      </c>
      <c r="D140" s="103">
        <f t="shared" si="24"/>
        <v>45988</v>
      </c>
      <c r="E140" s="103">
        <f t="shared" si="25"/>
        <v>45995</v>
      </c>
      <c r="F140" s="103">
        <f t="shared" si="26"/>
        <v>46001</v>
      </c>
      <c r="G140" s="103">
        <f t="shared" si="27"/>
        <v>45989</v>
      </c>
      <c r="H140" s="103">
        <f t="shared" si="28"/>
        <v>45996</v>
      </c>
      <c r="I140" s="103"/>
      <c r="J140" s="104"/>
      <c r="K140" s="25"/>
      <c r="L140" s="25"/>
      <c r="M140" s="25"/>
      <c r="N140" s="25"/>
    </row>
    <row r="141" spans="1:14" x14ac:dyDescent="0.25">
      <c r="A141" s="103">
        <v>45981</v>
      </c>
      <c r="B141" s="25" t="s">
        <v>362</v>
      </c>
      <c r="C141" s="103">
        <f t="shared" si="23"/>
        <v>46004</v>
      </c>
      <c r="D141" s="103">
        <f t="shared" si="24"/>
        <v>45988</v>
      </c>
      <c r="E141" s="103">
        <f t="shared" si="25"/>
        <v>45995</v>
      </c>
      <c r="F141" s="103">
        <f t="shared" si="26"/>
        <v>46001</v>
      </c>
      <c r="G141" s="103">
        <f t="shared" si="27"/>
        <v>45989</v>
      </c>
      <c r="H141" s="103">
        <f t="shared" si="28"/>
        <v>45996</v>
      </c>
      <c r="I141" s="103"/>
      <c r="J141" s="104"/>
      <c r="K141" s="25"/>
      <c r="L141" s="25"/>
      <c r="M141" s="25"/>
      <c r="N141" s="25"/>
    </row>
    <row r="142" spans="1:14" x14ac:dyDescent="0.25">
      <c r="A142" s="103">
        <v>45981</v>
      </c>
      <c r="B142" s="25" t="s">
        <v>363</v>
      </c>
      <c r="C142" s="103">
        <f t="shared" si="23"/>
        <v>46004</v>
      </c>
      <c r="D142" s="103">
        <f t="shared" si="24"/>
        <v>45988</v>
      </c>
      <c r="E142" s="103">
        <f t="shared" si="25"/>
        <v>45995</v>
      </c>
      <c r="F142" s="103">
        <f t="shared" si="26"/>
        <v>46001</v>
      </c>
      <c r="G142" s="103">
        <f t="shared" si="27"/>
        <v>45989</v>
      </c>
      <c r="H142" s="103">
        <f t="shared" si="28"/>
        <v>45996</v>
      </c>
      <c r="I142" s="103"/>
      <c r="J142" s="104"/>
      <c r="K142" s="25"/>
      <c r="L142" s="25"/>
      <c r="M142" s="25"/>
      <c r="N142" s="25"/>
    </row>
    <row r="143" spans="1:14" x14ac:dyDescent="0.25">
      <c r="A143" s="103">
        <v>45981</v>
      </c>
      <c r="B143" s="25" t="s">
        <v>364</v>
      </c>
      <c r="C143" s="103">
        <f t="shared" si="23"/>
        <v>46004</v>
      </c>
      <c r="D143" s="103">
        <f t="shared" si="24"/>
        <v>45988</v>
      </c>
      <c r="E143" s="103">
        <f t="shared" si="25"/>
        <v>45995</v>
      </c>
      <c r="F143" s="103">
        <f t="shared" si="26"/>
        <v>46001</v>
      </c>
      <c r="G143" s="103">
        <f t="shared" si="27"/>
        <v>45989</v>
      </c>
      <c r="H143" s="103">
        <f t="shared" si="28"/>
        <v>45996</v>
      </c>
      <c r="I143" s="103"/>
      <c r="J143" s="104"/>
      <c r="K143" s="25"/>
      <c r="L143" s="25"/>
      <c r="M143" s="25"/>
      <c r="N143" s="25"/>
    </row>
    <row r="144" spans="1:14" x14ac:dyDescent="0.25">
      <c r="A144" s="103">
        <v>45981</v>
      </c>
      <c r="B144" s="25" t="s">
        <v>365</v>
      </c>
      <c r="C144" s="103">
        <f t="shared" ref="C144:C207" si="29">A144+23</f>
        <v>46004</v>
      </c>
      <c r="D144" s="103">
        <f t="shared" ref="D144:D207" si="30">A144+7</f>
        <v>45988</v>
      </c>
      <c r="E144" s="103">
        <f t="shared" ref="E144:E207" si="31">A144+14</f>
        <v>45995</v>
      </c>
      <c r="F144" s="103">
        <f t="shared" ref="F144:F207" si="32">A144+20</f>
        <v>46001</v>
      </c>
      <c r="G144" s="103">
        <f t="shared" ref="G144:G207" si="33">A144+8</f>
        <v>45989</v>
      </c>
      <c r="H144" s="103">
        <f t="shared" ref="H144:H207" si="34">A144+15</f>
        <v>45996</v>
      </c>
      <c r="I144" s="103"/>
      <c r="J144" s="104"/>
      <c r="K144" s="25"/>
      <c r="L144" s="25"/>
      <c r="M144" s="25"/>
      <c r="N144" s="25"/>
    </row>
    <row r="145" spans="1:14" x14ac:dyDescent="0.25">
      <c r="A145" s="103">
        <v>45982</v>
      </c>
      <c r="B145" s="25" t="s">
        <v>379</v>
      </c>
      <c r="C145" s="103">
        <f t="shared" si="29"/>
        <v>46005</v>
      </c>
      <c r="D145" s="103">
        <f t="shared" si="30"/>
        <v>45989</v>
      </c>
      <c r="E145" s="103">
        <f t="shared" si="31"/>
        <v>45996</v>
      </c>
      <c r="F145" s="103">
        <f t="shared" si="32"/>
        <v>46002</v>
      </c>
      <c r="G145" s="103">
        <f t="shared" si="33"/>
        <v>45990</v>
      </c>
      <c r="H145" s="103">
        <f t="shared" si="34"/>
        <v>45997</v>
      </c>
      <c r="I145" s="103"/>
      <c r="J145" s="104"/>
      <c r="K145" s="25"/>
      <c r="L145" s="25"/>
      <c r="M145" s="25"/>
      <c r="N145" s="25"/>
    </row>
    <row r="146" spans="1:14" x14ac:dyDescent="0.25">
      <c r="A146" s="103">
        <v>45982</v>
      </c>
      <c r="B146" s="25" t="s">
        <v>380</v>
      </c>
      <c r="C146" s="103">
        <f t="shared" si="29"/>
        <v>46005</v>
      </c>
      <c r="D146" s="103">
        <f t="shared" si="30"/>
        <v>45989</v>
      </c>
      <c r="E146" s="103">
        <f t="shared" si="31"/>
        <v>45996</v>
      </c>
      <c r="F146" s="103">
        <f t="shared" si="32"/>
        <v>46002</v>
      </c>
      <c r="G146" s="103">
        <f t="shared" si="33"/>
        <v>45990</v>
      </c>
      <c r="H146" s="103">
        <f t="shared" si="34"/>
        <v>45997</v>
      </c>
      <c r="I146" s="103"/>
      <c r="J146" s="104"/>
      <c r="K146" s="25"/>
      <c r="L146" s="25"/>
      <c r="M146" s="25"/>
      <c r="N146" s="25"/>
    </row>
    <row r="147" spans="1:14" x14ac:dyDescent="0.25">
      <c r="A147" s="103">
        <v>45982</v>
      </c>
      <c r="B147" s="25" t="s">
        <v>381</v>
      </c>
      <c r="C147" s="103">
        <f t="shared" si="29"/>
        <v>46005</v>
      </c>
      <c r="D147" s="103">
        <f t="shared" si="30"/>
        <v>45989</v>
      </c>
      <c r="E147" s="103">
        <f t="shared" si="31"/>
        <v>45996</v>
      </c>
      <c r="F147" s="103">
        <f t="shared" si="32"/>
        <v>46002</v>
      </c>
      <c r="G147" s="103">
        <f t="shared" si="33"/>
        <v>45990</v>
      </c>
      <c r="H147" s="103">
        <f t="shared" si="34"/>
        <v>45997</v>
      </c>
      <c r="I147" s="103"/>
      <c r="J147" s="104"/>
      <c r="K147" s="25"/>
      <c r="L147" s="25"/>
      <c r="M147" s="25"/>
      <c r="N147" s="25"/>
    </row>
    <row r="148" spans="1:14" x14ac:dyDescent="0.25">
      <c r="A148" s="103">
        <v>45982</v>
      </c>
      <c r="B148" s="25" t="s">
        <v>382</v>
      </c>
      <c r="C148" s="103">
        <f t="shared" si="29"/>
        <v>46005</v>
      </c>
      <c r="D148" s="103">
        <f t="shared" si="30"/>
        <v>45989</v>
      </c>
      <c r="E148" s="103">
        <f t="shared" si="31"/>
        <v>45996</v>
      </c>
      <c r="F148" s="103">
        <f t="shared" si="32"/>
        <v>46002</v>
      </c>
      <c r="G148" s="103">
        <f t="shared" si="33"/>
        <v>45990</v>
      </c>
      <c r="H148" s="103">
        <f t="shared" si="34"/>
        <v>45997</v>
      </c>
      <c r="I148" s="103"/>
      <c r="J148" s="104"/>
      <c r="K148" s="25"/>
      <c r="L148" s="25"/>
      <c r="M148" s="25"/>
      <c r="N148" s="25"/>
    </row>
    <row r="149" spans="1:14" x14ac:dyDescent="0.25">
      <c r="A149" s="103">
        <v>45982</v>
      </c>
      <c r="B149" s="25" t="s">
        <v>383</v>
      </c>
      <c r="C149" s="103">
        <f t="shared" si="29"/>
        <v>46005</v>
      </c>
      <c r="D149" s="103">
        <f t="shared" si="30"/>
        <v>45989</v>
      </c>
      <c r="E149" s="103">
        <f t="shared" si="31"/>
        <v>45996</v>
      </c>
      <c r="F149" s="103">
        <f t="shared" si="32"/>
        <v>46002</v>
      </c>
      <c r="G149" s="103">
        <f t="shared" si="33"/>
        <v>45990</v>
      </c>
      <c r="H149" s="103">
        <f t="shared" si="34"/>
        <v>45997</v>
      </c>
      <c r="I149" s="103"/>
      <c r="J149" s="104"/>
      <c r="K149" s="25"/>
      <c r="L149" s="25"/>
      <c r="M149" s="25"/>
      <c r="N149" s="25"/>
    </row>
    <row r="150" spans="1:14" x14ac:dyDescent="0.25">
      <c r="A150" s="103">
        <v>45982</v>
      </c>
      <c r="B150" s="25" t="s">
        <v>384</v>
      </c>
      <c r="C150" s="103">
        <f t="shared" si="29"/>
        <v>46005</v>
      </c>
      <c r="D150" s="103">
        <f t="shared" si="30"/>
        <v>45989</v>
      </c>
      <c r="E150" s="103">
        <f t="shared" si="31"/>
        <v>45996</v>
      </c>
      <c r="F150" s="103">
        <f t="shared" si="32"/>
        <v>46002</v>
      </c>
      <c r="G150" s="103">
        <f t="shared" si="33"/>
        <v>45990</v>
      </c>
      <c r="H150" s="103">
        <f t="shared" si="34"/>
        <v>45997</v>
      </c>
      <c r="I150" s="103"/>
      <c r="J150" s="104"/>
      <c r="K150" s="25"/>
      <c r="L150" s="25"/>
      <c r="M150" s="25"/>
      <c r="N150" s="25"/>
    </row>
    <row r="151" spans="1:14" x14ac:dyDescent="0.25">
      <c r="A151" s="103">
        <v>45982</v>
      </c>
      <c r="B151" s="25" t="s">
        <v>385</v>
      </c>
      <c r="C151" s="103">
        <f t="shared" si="29"/>
        <v>46005</v>
      </c>
      <c r="D151" s="103">
        <f t="shared" si="30"/>
        <v>45989</v>
      </c>
      <c r="E151" s="103">
        <f t="shared" si="31"/>
        <v>45996</v>
      </c>
      <c r="F151" s="103">
        <f t="shared" si="32"/>
        <v>46002</v>
      </c>
      <c r="G151" s="103">
        <f t="shared" si="33"/>
        <v>45990</v>
      </c>
      <c r="H151" s="103">
        <f t="shared" si="34"/>
        <v>45997</v>
      </c>
      <c r="I151" s="103"/>
      <c r="J151" s="104"/>
      <c r="K151" s="25"/>
      <c r="L151" s="25"/>
      <c r="M151" s="25"/>
      <c r="N151" s="25"/>
    </row>
    <row r="152" spans="1:14" x14ac:dyDescent="0.25">
      <c r="A152" s="103">
        <v>45983</v>
      </c>
      <c r="B152" s="25" t="s">
        <v>366</v>
      </c>
      <c r="C152" s="103">
        <f t="shared" si="29"/>
        <v>46006</v>
      </c>
      <c r="D152" s="103">
        <f t="shared" si="30"/>
        <v>45990</v>
      </c>
      <c r="E152" s="103">
        <f t="shared" si="31"/>
        <v>45997</v>
      </c>
      <c r="F152" s="103">
        <f t="shared" si="32"/>
        <v>46003</v>
      </c>
      <c r="G152" s="103">
        <f t="shared" si="33"/>
        <v>45991</v>
      </c>
      <c r="H152" s="103">
        <f t="shared" si="34"/>
        <v>45998</v>
      </c>
      <c r="I152" s="103"/>
      <c r="J152" s="104"/>
      <c r="K152" s="25"/>
      <c r="L152" s="25"/>
      <c r="M152" s="25"/>
      <c r="N152" s="25"/>
    </row>
    <row r="153" spans="1:14" x14ac:dyDescent="0.25">
      <c r="A153" s="103">
        <v>45983</v>
      </c>
      <c r="B153" s="25" t="s">
        <v>367</v>
      </c>
      <c r="C153" s="103">
        <f t="shared" si="29"/>
        <v>46006</v>
      </c>
      <c r="D153" s="103">
        <f t="shared" si="30"/>
        <v>45990</v>
      </c>
      <c r="E153" s="103">
        <f t="shared" si="31"/>
        <v>45997</v>
      </c>
      <c r="F153" s="103">
        <f t="shared" si="32"/>
        <v>46003</v>
      </c>
      <c r="G153" s="103">
        <f t="shared" si="33"/>
        <v>45991</v>
      </c>
      <c r="H153" s="103">
        <f t="shared" si="34"/>
        <v>45998</v>
      </c>
      <c r="I153" s="103"/>
      <c r="J153" s="104"/>
      <c r="K153" s="25"/>
      <c r="L153" s="25"/>
      <c r="M153" s="25"/>
      <c r="N153" s="25"/>
    </row>
    <row r="154" spans="1:14" x14ac:dyDescent="0.25">
      <c r="A154" s="103">
        <v>45983</v>
      </c>
      <c r="B154" s="25" t="s">
        <v>368</v>
      </c>
      <c r="C154" s="103">
        <f t="shared" si="29"/>
        <v>46006</v>
      </c>
      <c r="D154" s="103">
        <f t="shared" si="30"/>
        <v>45990</v>
      </c>
      <c r="E154" s="103">
        <f t="shared" si="31"/>
        <v>45997</v>
      </c>
      <c r="F154" s="103">
        <f t="shared" si="32"/>
        <v>46003</v>
      </c>
      <c r="G154" s="103">
        <f t="shared" si="33"/>
        <v>45991</v>
      </c>
      <c r="H154" s="103">
        <f t="shared" si="34"/>
        <v>45998</v>
      </c>
      <c r="I154" s="103"/>
      <c r="J154" s="104"/>
      <c r="K154" s="25"/>
      <c r="L154" s="25"/>
      <c r="M154" s="25"/>
      <c r="N154" s="25"/>
    </row>
    <row r="155" spans="1:14" x14ac:dyDescent="0.25">
      <c r="A155" s="103">
        <v>45983</v>
      </c>
      <c r="B155" s="25" t="s">
        <v>369</v>
      </c>
      <c r="C155" s="103">
        <f t="shared" si="29"/>
        <v>46006</v>
      </c>
      <c r="D155" s="103">
        <f t="shared" si="30"/>
        <v>45990</v>
      </c>
      <c r="E155" s="103">
        <f t="shared" si="31"/>
        <v>45997</v>
      </c>
      <c r="F155" s="103">
        <f t="shared" si="32"/>
        <v>46003</v>
      </c>
      <c r="G155" s="103">
        <f t="shared" si="33"/>
        <v>45991</v>
      </c>
      <c r="H155" s="103">
        <f t="shared" si="34"/>
        <v>45998</v>
      </c>
      <c r="I155" s="103"/>
      <c r="J155" s="104"/>
      <c r="K155" s="25"/>
      <c r="L155" s="25"/>
      <c r="M155" s="25"/>
      <c r="N155" s="25"/>
    </row>
    <row r="156" spans="1:14" x14ac:dyDescent="0.25">
      <c r="A156" s="103">
        <v>45983</v>
      </c>
      <c r="B156" s="25" t="s">
        <v>370</v>
      </c>
      <c r="C156" s="103">
        <f t="shared" si="29"/>
        <v>46006</v>
      </c>
      <c r="D156" s="103">
        <f t="shared" si="30"/>
        <v>45990</v>
      </c>
      <c r="E156" s="103">
        <f t="shared" si="31"/>
        <v>45997</v>
      </c>
      <c r="F156" s="103">
        <f t="shared" si="32"/>
        <v>46003</v>
      </c>
      <c r="G156" s="103">
        <f t="shared" si="33"/>
        <v>45991</v>
      </c>
      <c r="H156" s="103">
        <f t="shared" si="34"/>
        <v>45998</v>
      </c>
      <c r="I156" s="103"/>
      <c r="J156" s="104"/>
      <c r="K156" s="25"/>
      <c r="L156" s="25"/>
      <c r="M156" s="25"/>
      <c r="N156" s="25"/>
    </row>
    <row r="157" spans="1:14" x14ac:dyDescent="0.25">
      <c r="A157" s="103">
        <v>45983</v>
      </c>
      <c r="B157" s="25" t="s">
        <v>371</v>
      </c>
      <c r="C157" s="103">
        <f t="shared" si="29"/>
        <v>46006</v>
      </c>
      <c r="D157" s="103">
        <f t="shared" si="30"/>
        <v>45990</v>
      </c>
      <c r="E157" s="103">
        <f t="shared" si="31"/>
        <v>45997</v>
      </c>
      <c r="F157" s="103">
        <f t="shared" si="32"/>
        <v>46003</v>
      </c>
      <c r="G157" s="103">
        <f t="shared" si="33"/>
        <v>45991</v>
      </c>
      <c r="H157" s="103">
        <f t="shared" si="34"/>
        <v>45998</v>
      </c>
      <c r="I157" s="103"/>
      <c r="J157" s="104"/>
      <c r="K157" s="25"/>
      <c r="L157" s="25"/>
      <c r="M157" s="25"/>
      <c r="N157" s="25"/>
    </row>
    <row r="158" spans="1:14" x14ac:dyDescent="0.25">
      <c r="A158" s="103">
        <v>45983</v>
      </c>
      <c r="B158" s="25" t="s">
        <v>372</v>
      </c>
      <c r="C158" s="103">
        <f t="shared" si="29"/>
        <v>46006</v>
      </c>
      <c r="D158" s="103">
        <f t="shared" si="30"/>
        <v>45990</v>
      </c>
      <c r="E158" s="103">
        <f t="shared" si="31"/>
        <v>45997</v>
      </c>
      <c r="F158" s="103">
        <f t="shared" si="32"/>
        <v>46003</v>
      </c>
      <c r="G158" s="103">
        <f t="shared" si="33"/>
        <v>45991</v>
      </c>
      <c r="H158" s="103">
        <f t="shared" si="34"/>
        <v>45998</v>
      </c>
      <c r="I158" s="103"/>
      <c r="J158" s="104"/>
      <c r="K158" s="25"/>
      <c r="L158" s="25"/>
      <c r="M158" s="25"/>
      <c r="N158" s="25"/>
    </row>
    <row r="159" spans="1:14" x14ac:dyDescent="0.25">
      <c r="A159" s="103">
        <v>45984</v>
      </c>
      <c r="B159" s="25" t="s">
        <v>386</v>
      </c>
      <c r="C159" s="103">
        <f t="shared" si="29"/>
        <v>46007</v>
      </c>
      <c r="D159" s="103">
        <f t="shared" si="30"/>
        <v>45991</v>
      </c>
      <c r="E159" s="103">
        <f t="shared" si="31"/>
        <v>45998</v>
      </c>
      <c r="F159" s="103">
        <f t="shared" si="32"/>
        <v>46004</v>
      </c>
      <c r="G159" s="103">
        <f t="shared" si="33"/>
        <v>45992</v>
      </c>
      <c r="H159" s="103">
        <f t="shared" si="34"/>
        <v>45999</v>
      </c>
      <c r="I159" s="103"/>
      <c r="J159" s="104"/>
      <c r="K159" s="25"/>
      <c r="L159" s="25"/>
      <c r="M159" s="25"/>
      <c r="N159" s="25"/>
    </row>
    <row r="160" spans="1:14" x14ac:dyDescent="0.25">
      <c r="A160" s="103">
        <v>45984</v>
      </c>
      <c r="B160" s="25" t="s">
        <v>387</v>
      </c>
      <c r="C160" s="103">
        <f t="shared" si="29"/>
        <v>46007</v>
      </c>
      <c r="D160" s="103">
        <f t="shared" si="30"/>
        <v>45991</v>
      </c>
      <c r="E160" s="103">
        <f t="shared" si="31"/>
        <v>45998</v>
      </c>
      <c r="F160" s="103">
        <f t="shared" si="32"/>
        <v>46004</v>
      </c>
      <c r="G160" s="103">
        <f t="shared" si="33"/>
        <v>45992</v>
      </c>
      <c r="H160" s="103">
        <f t="shared" si="34"/>
        <v>45999</v>
      </c>
      <c r="I160" s="103"/>
      <c r="J160" s="104"/>
      <c r="K160" s="25"/>
      <c r="L160" s="25"/>
      <c r="M160" s="25"/>
      <c r="N160" s="25"/>
    </row>
    <row r="161" spans="1:14" x14ac:dyDescent="0.25">
      <c r="A161" s="103">
        <v>45984</v>
      </c>
      <c r="B161" s="25" t="s">
        <v>388</v>
      </c>
      <c r="C161" s="103">
        <f t="shared" si="29"/>
        <v>46007</v>
      </c>
      <c r="D161" s="103">
        <f t="shared" si="30"/>
        <v>45991</v>
      </c>
      <c r="E161" s="103">
        <f t="shared" si="31"/>
        <v>45998</v>
      </c>
      <c r="F161" s="103">
        <f t="shared" si="32"/>
        <v>46004</v>
      </c>
      <c r="G161" s="103">
        <f t="shared" si="33"/>
        <v>45992</v>
      </c>
      <c r="H161" s="103">
        <f t="shared" si="34"/>
        <v>45999</v>
      </c>
      <c r="I161" s="103"/>
      <c r="J161" s="104"/>
      <c r="K161" s="25"/>
      <c r="L161" s="25"/>
      <c r="M161" s="25"/>
      <c r="N161" s="25"/>
    </row>
    <row r="162" spans="1:14" x14ac:dyDescent="0.25">
      <c r="A162" s="103">
        <v>45984</v>
      </c>
      <c r="B162" s="25" t="s">
        <v>389</v>
      </c>
      <c r="C162" s="103">
        <f t="shared" si="29"/>
        <v>46007</v>
      </c>
      <c r="D162" s="103">
        <f t="shared" si="30"/>
        <v>45991</v>
      </c>
      <c r="E162" s="103">
        <f t="shared" si="31"/>
        <v>45998</v>
      </c>
      <c r="F162" s="103">
        <f t="shared" si="32"/>
        <v>46004</v>
      </c>
      <c r="G162" s="103">
        <f t="shared" si="33"/>
        <v>45992</v>
      </c>
      <c r="H162" s="103">
        <f t="shared" si="34"/>
        <v>45999</v>
      </c>
      <c r="I162" s="103"/>
      <c r="J162" s="104"/>
      <c r="K162" s="25"/>
      <c r="L162" s="25"/>
      <c r="M162" s="25"/>
      <c r="N162" s="25"/>
    </row>
    <row r="163" spans="1:14" x14ac:dyDescent="0.25">
      <c r="A163" s="103">
        <v>45984</v>
      </c>
      <c r="B163" s="25" t="s">
        <v>390</v>
      </c>
      <c r="C163" s="103">
        <f t="shared" si="29"/>
        <v>46007</v>
      </c>
      <c r="D163" s="103">
        <f t="shared" si="30"/>
        <v>45991</v>
      </c>
      <c r="E163" s="103">
        <f t="shared" si="31"/>
        <v>45998</v>
      </c>
      <c r="F163" s="103">
        <f t="shared" si="32"/>
        <v>46004</v>
      </c>
      <c r="G163" s="103">
        <f t="shared" si="33"/>
        <v>45992</v>
      </c>
      <c r="H163" s="103">
        <f t="shared" si="34"/>
        <v>45999</v>
      </c>
      <c r="I163" s="103"/>
      <c r="J163" s="104"/>
      <c r="K163" s="25"/>
      <c r="L163" s="25"/>
      <c r="M163" s="25"/>
      <c r="N163" s="25"/>
    </row>
    <row r="164" spans="1:14" x14ac:dyDescent="0.25">
      <c r="A164" s="103">
        <v>45984</v>
      </c>
      <c r="B164" s="25" t="s">
        <v>391</v>
      </c>
      <c r="C164" s="103">
        <f t="shared" si="29"/>
        <v>46007</v>
      </c>
      <c r="D164" s="103">
        <f t="shared" si="30"/>
        <v>45991</v>
      </c>
      <c r="E164" s="103">
        <f t="shared" si="31"/>
        <v>45998</v>
      </c>
      <c r="F164" s="103">
        <f t="shared" si="32"/>
        <v>46004</v>
      </c>
      <c r="G164" s="103">
        <f t="shared" si="33"/>
        <v>45992</v>
      </c>
      <c r="H164" s="103">
        <f t="shared" si="34"/>
        <v>45999</v>
      </c>
      <c r="I164" s="103"/>
      <c r="J164" s="104"/>
      <c r="K164" s="25"/>
      <c r="L164" s="25"/>
      <c r="M164" s="25"/>
      <c r="N164" s="25"/>
    </row>
    <row r="165" spans="1:14" x14ac:dyDescent="0.25">
      <c r="A165" s="103">
        <v>45984</v>
      </c>
      <c r="B165" s="25" t="s">
        <v>392</v>
      </c>
      <c r="C165" s="103">
        <f t="shared" si="29"/>
        <v>46007</v>
      </c>
      <c r="D165" s="103">
        <f t="shared" si="30"/>
        <v>45991</v>
      </c>
      <c r="E165" s="103">
        <f t="shared" si="31"/>
        <v>45998</v>
      </c>
      <c r="F165" s="103">
        <f t="shared" si="32"/>
        <v>46004</v>
      </c>
      <c r="G165" s="103">
        <f t="shared" si="33"/>
        <v>45992</v>
      </c>
      <c r="H165" s="103">
        <f t="shared" si="34"/>
        <v>45999</v>
      </c>
      <c r="I165" s="103"/>
      <c r="J165" s="104"/>
      <c r="K165" s="25"/>
      <c r="L165" s="25"/>
      <c r="M165" s="25"/>
      <c r="N165" s="25"/>
    </row>
    <row r="166" spans="1:14" x14ac:dyDescent="0.25">
      <c r="A166" s="103">
        <v>45985</v>
      </c>
      <c r="B166" s="25" t="s">
        <v>373</v>
      </c>
      <c r="C166" s="103">
        <f t="shared" si="29"/>
        <v>46008</v>
      </c>
      <c r="D166" s="103">
        <f t="shared" si="30"/>
        <v>45992</v>
      </c>
      <c r="E166" s="103">
        <f t="shared" si="31"/>
        <v>45999</v>
      </c>
      <c r="F166" s="103">
        <f t="shared" si="32"/>
        <v>46005</v>
      </c>
      <c r="G166" s="103">
        <f t="shared" si="33"/>
        <v>45993</v>
      </c>
      <c r="H166" s="103">
        <f t="shared" si="34"/>
        <v>46000</v>
      </c>
      <c r="I166" s="103"/>
      <c r="J166" s="104"/>
      <c r="K166" s="25"/>
      <c r="L166" s="25"/>
      <c r="M166" s="25"/>
      <c r="N166" s="25"/>
    </row>
    <row r="167" spans="1:14" x14ac:dyDescent="0.25">
      <c r="A167" s="103">
        <v>45985</v>
      </c>
      <c r="B167" s="25" t="s">
        <v>374</v>
      </c>
      <c r="C167" s="103">
        <f t="shared" si="29"/>
        <v>46008</v>
      </c>
      <c r="D167" s="103">
        <f t="shared" si="30"/>
        <v>45992</v>
      </c>
      <c r="E167" s="103">
        <f t="shared" si="31"/>
        <v>45999</v>
      </c>
      <c r="F167" s="103">
        <f t="shared" si="32"/>
        <v>46005</v>
      </c>
      <c r="G167" s="103">
        <f t="shared" si="33"/>
        <v>45993</v>
      </c>
      <c r="H167" s="103">
        <f t="shared" si="34"/>
        <v>46000</v>
      </c>
      <c r="I167" s="103"/>
      <c r="J167" s="104"/>
      <c r="K167" s="25"/>
      <c r="L167" s="25"/>
      <c r="M167" s="25"/>
      <c r="N167" s="25"/>
    </row>
    <row r="168" spans="1:14" x14ac:dyDescent="0.25">
      <c r="A168" s="103">
        <v>45985</v>
      </c>
      <c r="B168" s="25" t="s">
        <v>375</v>
      </c>
      <c r="C168" s="103">
        <f t="shared" si="29"/>
        <v>46008</v>
      </c>
      <c r="D168" s="103">
        <f t="shared" si="30"/>
        <v>45992</v>
      </c>
      <c r="E168" s="103">
        <f t="shared" si="31"/>
        <v>45999</v>
      </c>
      <c r="F168" s="103">
        <f t="shared" si="32"/>
        <v>46005</v>
      </c>
      <c r="G168" s="103">
        <f t="shared" si="33"/>
        <v>45993</v>
      </c>
      <c r="H168" s="103">
        <f t="shared" si="34"/>
        <v>46000</v>
      </c>
      <c r="I168" s="103"/>
      <c r="J168" s="104"/>
      <c r="K168" s="25"/>
      <c r="L168" s="25"/>
      <c r="M168" s="25"/>
      <c r="N168" s="25"/>
    </row>
    <row r="169" spans="1:14" x14ac:dyDescent="0.25">
      <c r="A169" s="103">
        <v>45985</v>
      </c>
      <c r="B169" s="25" t="s">
        <v>376</v>
      </c>
      <c r="C169" s="103">
        <f t="shared" si="29"/>
        <v>46008</v>
      </c>
      <c r="D169" s="103">
        <f t="shared" si="30"/>
        <v>45992</v>
      </c>
      <c r="E169" s="103">
        <f t="shared" si="31"/>
        <v>45999</v>
      </c>
      <c r="F169" s="103">
        <f t="shared" si="32"/>
        <v>46005</v>
      </c>
      <c r="G169" s="103">
        <f t="shared" si="33"/>
        <v>45993</v>
      </c>
      <c r="H169" s="103">
        <f t="shared" si="34"/>
        <v>46000</v>
      </c>
      <c r="I169" s="103"/>
      <c r="J169" s="104"/>
      <c r="K169" s="25"/>
      <c r="L169" s="25"/>
      <c r="M169" s="25"/>
      <c r="N169" s="25"/>
    </row>
    <row r="170" spans="1:14" x14ac:dyDescent="0.25">
      <c r="A170" s="103">
        <v>45985</v>
      </c>
      <c r="B170" s="25" t="s">
        <v>377</v>
      </c>
      <c r="C170" s="103">
        <f t="shared" si="29"/>
        <v>46008</v>
      </c>
      <c r="D170" s="103">
        <f t="shared" si="30"/>
        <v>45992</v>
      </c>
      <c r="E170" s="103">
        <f t="shared" si="31"/>
        <v>45999</v>
      </c>
      <c r="F170" s="103">
        <f t="shared" si="32"/>
        <v>46005</v>
      </c>
      <c r="G170" s="103">
        <f t="shared" si="33"/>
        <v>45993</v>
      </c>
      <c r="H170" s="103">
        <f t="shared" si="34"/>
        <v>46000</v>
      </c>
      <c r="I170" s="103"/>
      <c r="J170" s="104"/>
      <c r="K170" s="25"/>
      <c r="L170" s="25"/>
      <c r="M170" s="25"/>
      <c r="N170" s="25"/>
    </row>
    <row r="171" spans="1:14" x14ac:dyDescent="0.25">
      <c r="A171" s="103">
        <v>45985</v>
      </c>
      <c r="B171" s="25" t="s">
        <v>393</v>
      </c>
      <c r="C171" s="103">
        <f t="shared" si="29"/>
        <v>46008</v>
      </c>
      <c r="D171" s="103">
        <f t="shared" si="30"/>
        <v>45992</v>
      </c>
      <c r="E171" s="103">
        <f t="shared" si="31"/>
        <v>45999</v>
      </c>
      <c r="F171" s="103">
        <f t="shared" si="32"/>
        <v>46005</v>
      </c>
      <c r="G171" s="103">
        <f t="shared" si="33"/>
        <v>45993</v>
      </c>
      <c r="H171" s="103">
        <f t="shared" si="34"/>
        <v>46000</v>
      </c>
      <c r="I171" s="103"/>
      <c r="J171" s="104"/>
      <c r="K171" s="25"/>
      <c r="L171" s="25"/>
      <c r="M171" s="25"/>
      <c r="N171" s="25"/>
    </row>
    <row r="172" spans="1:14" x14ac:dyDescent="0.25">
      <c r="A172" s="103">
        <v>45985</v>
      </c>
      <c r="B172" s="25" t="s">
        <v>394</v>
      </c>
      <c r="C172" s="103">
        <f t="shared" si="29"/>
        <v>46008</v>
      </c>
      <c r="D172" s="103">
        <f t="shared" si="30"/>
        <v>45992</v>
      </c>
      <c r="E172" s="103">
        <f t="shared" si="31"/>
        <v>45999</v>
      </c>
      <c r="F172" s="103">
        <f t="shared" si="32"/>
        <v>46005</v>
      </c>
      <c r="G172" s="103">
        <f t="shared" si="33"/>
        <v>45993</v>
      </c>
      <c r="H172" s="103">
        <f t="shared" si="34"/>
        <v>46000</v>
      </c>
      <c r="I172" s="103"/>
      <c r="J172" s="104"/>
      <c r="K172" s="25"/>
      <c r="L172" s="25"/>
      <c r="M172" s="25"/>
      <c r="N172" s="25"/>
    </row>
    <row r="173" spans="1:14" x14ac:dyDescent="0.25">
      <c r="A173" s="103">
        <v>45986</v>
      </c>
      <c r="B173" s="25" t="s">
        <v>395</v>
      </c>
      <c r="C173" s="103">
        <f t="shared" si="29"/>
        <v>46009</v>
      </c>
      <c r="D173" s="103">
        <f t="shared" si="30"/>
        <v>45993</v>
      </c>
      <c r="E173" s="103">
        <f t="shared" si="31"/>
        <v>46000</v>
      </c>
      <c r="F173" s="103">
        <f t="shared" si="32"/>
        <v>46006</v>
      </c>
      <c r="G173" s="103">
        <f t="shared" si="33"/>
        <v>45994</v>
      </c>
      <c r="H173" s="103">
        <f t="shared" si="34"/>
        <v>46001</v>
      </c>
      <c r="I173" s="103"/>
      <c r="J173" s="104"/>
      <c r="K173" s="25"/>
      <c r="L173" s="25"/>
      <c r="M173" s="25"/>
      <c r="N173" s="25"/>
    </row>
    <row r="174" spans="1:14" x14ac:dyDescent="0.25">
      <c r="A174" s="103">
        <v>45986</v>
      </c>
      <c r="B174" s="25" t="s">
        <v>396</v>
      </c>
      <c r="C174" s="103">
        <f t="shared" si="29"/>
        <v>46009</v>
      </c>
      <c r="D174" s="103">
        <f t="shared" si="30"/>
        <v>45993</v>
      </c>
      <c r="E174" s="103">
        <f t="shared" si="31"/>
        <v>46000</v>
      </c>
      <c r="F174" s="103">
        <f t="shared" si="32"/>
        <v>46006</v>
      </c>
      <c r="G174" s="103">
        <f t="shared" si="33"/>
        <v>45994</v>
      </c>
      <c r="H174" s="103">
        <f t="shared" si="34"/>
        <v>46001</v>
      </c>
      <c r="I174" s="103"/>
      <c r="J174" s="104"/>
      <c r="K174" s="25"/>
      <c r="L174" s="25"/>
      <c r="M174" s="25"/>
      <c r="N174" s="25"/>
    </row>
    <row r="175" spans="1:14" x14ac:dyDescent="0.25">
      <c r="A175" s="103">
        <v>45986</v>
      </c>
      <c r="B175" s="25" t="s">
        <v>397</v>
      </c>
      <c r="C175" s="103">
        <f t="shared" si="29"/>
        <v>46009</v>
      </c>
      <c r="D175" s="103">
        <f t="shared" si="30"/>
        <v>45993</v>
      </c>
      <c r="E175" s="103">
        <f t="shared" si="31"/>
        <v>46000</v>
      </c>
      <c r="F175" s="103">
        <f t="shared" si="32"/>
        <v>46006</v>
      </c>
      <c r="G175" s="103">
        <f t="shared" si="33"/>
        <v>45994</v>
      </c>
      <c r="H175" s="103">
        <f t="shared" si="34"/>
        <v>46001</v>
      </c>
      <c r="I175" s="103"/>
      <c r="J175" s="104"/>
      <c r="K175" s="25"/>
      <c r="L175" s="25"/>
      <c r="M175" s="25"/>
      <c r="N175" s="25"/>
    </row>
    <row r="176" spans="1:14" x14ac:dyDescent="0.25">
      <c r="A176" s="103">
        <v>45986</v>
      </c>
      <c r="B176" s="25" t="s">
        <v>408</v>
      </c>
      <c r="C176" s="103">
        <f t="shared" si="29"/>
        <v>46009</v>
      </c>
      <c r="D176" s="103">
        <f t="shared" si="30"/>
        <v>45993</v>
      </c>
      <c r="E176" s="103">
        <f t="shared" si="31"/>
        <v>46000</v>
      </c>
      <c r="F176" s="103">
        <f t="shared" si="32"/>
        <v>46006</v>
      </c>
      <c r="G176" s="103">
        <f t="shared" si="33"/>
        <v>45994</v>
      </c>
      <c r="H176" s="103">
        <f t="shared" si="34"/>
        <v>46001</v>
      </c>
      <c r="I176" s="103"/>
      <c r="J176" s="104"/>
      <c r="K176" s="25"/>
      <c r="L176" s="25"/>
      <c r="M176" s="25"/>
      <c r="N176" s="25"/>
    </row>
    <row r="177" spans="1:14" x14ac:dyDescent="0.25">
      <c r="A177" s="103">
        <v>45986</v>
      </c>
      <c r="B177" s="25" t="s">
        <v>409</v>
      </c>
      <c r="C177" s="103">
        <f t="shared" si="29"/>
        <v>46009</v>
      </c>
      <c r="D177" s="103">
        <f t="shared" si="30"/>
        <v>45993</v>
      </c>
      <c r="E177" s="103">
        <f t="shared" si="31"/>
        <v>46000</v>
      </c>
      <c r="F177" s="103">
        <f t="shared" si="32"/>
        <v>46006</v>
      </c>
      <c r="G177" s="103">
        <f t="shared" si="33"/>
        <v>45994</v>
      </c>
      <c r="H177" s="103">
        <f t="shared" si="34"/>
        <v>46001</v>
      </c>
      <c r="I177" s="103"/>
      <c r="J177" s="104"/>
      <c r="K177" s="25"/>
      <c r="L177" s="25"/>
      <c r="M177" s="25"/>
      <c r="N177" s="25"/>
    </row>
    <row r="178" spans="1:14" x14ac:dyDescent="0.25">
      <c r="A178" s="103">
        <v>45986</v>
      </c>
      <c r="B178" s="25" t="s">
        <v>410</v>
      </c>
      <c r="C178" s="103">
        <f t="shared" si="29"/>
        <v>46009</v>
      </c>
      <c r="D178" s="103">
        <f t="shared" si="30"/>
        <v>45993</v>
      </c>
      <c r="E178" s="103">
        <f t="shared" si="31"/>
        <v>46000</v>
      </c>
      <c r="F178" s="103">
        <f t="shared" si="32"/>
        <v>46006</v>
      </c>
      <c r="G178" s="103">
        <f t="shared" si="33"/>
        <v>45994</v>
      </c>
      <c r="H178" s="103">
        <f t="shared" si="34"/>
        <v>46001</v>
      </c>
      <c r="I178" s="103"/>
      <c r="J178" s="104"/>
      <c r="K178" s="25"/>
      <c r="L178" s="25"/>
      <c r="M178" s="25"/>
      <c r="N178" s="25"/>
    </row>
    <row r="179" spans="1:14" x14ac:dyDescent="0.25">
      <c r="A179" s="103">
        <v>45986</v>
      </c>
      <c r="B179" s="25" t="s">
        <v>411</v>
      </c>
      <c r="C179" s="103">
        <f t="shared" si="29"/>
        <v>46009</v>
      </c>
      <c r="D179" s="103">
        <f t="shared" si="30"/>
        <v>45993</v>
      </c>
      <c r="E179" s="103">
        <f t="shared" si="31"/>
        <v>46000</v>
      </c>
      <c r="F179" s="103">
        <f t="shared" si="32"/>
        <v>46006</v>
      </c>
      <c r="G179" s="103">
        <f t="shared" si="33"/>
        <v>45994</v>
      </c>
      <c r="H179" s="103">
        <f t="shared" si="34"/>
        <v>46001</v>
      </c>
      <c r="I179" s="103"/>
      <c r="J179" s="104"/>
      <c r="K179" s="25"/>
      <c r="L179" s="25"/>
      <c r="M179" s="25"/>
      <c r="N179" s="25"/>
    </row>
    <row r="180" spans="1:14" x14ac:dyDescent="0.25">
      <c r="A180" s="103">
        <v>45987</v>
      </c>
      <c r="B180" s="25" t="s">
        <v>404</v>
      </c>
      <c r="C180" s="103">
        <f t="shared" si="29"/>
        <v>46010</v>
      </c>
      <c r="D180" s="103">
        <f t="shared" si="30"/>
        <v>45994</v>
      </c>
      <c r="E180" s="103">
        <f t="shared" si="31"/>
        <v>46001</v>
      </c>
      <c r="F180" s="103">
        <f t="shared" si="32"/>
        <v>46007</v>
      </c>
      <c r="G180" s="103">
        <f t="shared" si="33"/>
        <v>45995</v>
      </c>
      <c r="H180" s="103">
        <f t="shared" si="34"/>
        <v>46002</v>
      </c>
      <c r="I180" s="103"/>
      <c r="J180" s="104"/>
      <c r="K180" s="25"/>
      <c r="L180" s="25"/>
      <c r="M180" s="25"/>
      <c r="N180" s="25"/>
    </row>
    <row r="181" spans="1:14" x14ac:dyDescent="0.25">
      <c r="A181" s="103">
        <v>45987</v>
      </c>
      <c r="B181" s="25" t="s">
        <v>405</v>
      </c>
      <c r="C181" s="103">
        <f t="shared" si="29"/>
        <v>46010</v>
      </c>
      <c r="D181" s="103">
        <f t="shared" si="30"/>
        <v>45994</v>
      </c>
      <c r="E181" s="103">
        <f t="shared" si="31"/>
        <v>46001</v>
      </c>
      <c r="F181" s="103">
        <f t="shared" si="32"/>
        <v>46007</v>
      </c>
      <c r="G181" s="103">
        <f t="shared" si="33"/>
        <v>45995</v>
      </c>
      <c r="H181" s="103">
        <f t="shared" si="34"/>
        <v>46002</v>
      </c>
      <c r="I181" s="103"/>
      <c r="J181" s="104"/>
      <c r="K181" s="25"/>
      <c r="L181" s="25"/>
      <c r="M181" s="25"/>
      <c r="N181" s="25"/>
    </row>
    <row r="182" spans="1:14" x14ac:dyDescent="0.25">
      <c r="A182" s="103">
        <v>45987</v>
      </c>
      <c r="B182" s="25" t="s">
        <v>406</v>
      </c>
      <c r="C182" s="103">
        <f t="shared" si="29"/>
        <v>46010</v>
      </c>
      <c r="D182" s="103">
        <f t="shared" si="30"/>
        <v>45994</v>
      </c>
      <c r="E182" s="103">
        <f t="shared" si="31"/>
        <v>46001</v>
      </c>
      <c r="F182" s="103">
        <f t="shared" si="32"/>
        <v>46007</v>
      </c>
      <c r="G182" s="103">
        <f t="shared" si="33"/>
        <v>45995</v>
      </c>
      <c r="H182" s="103">
        <f t="shared" si="34"/>
        <v>46002</v>
      </c>
      <c r="I182" s="103"/>
      <c r="J182" s="104"/>
      <c r="K182" s="25"/>
      <c r="L182" s="25"/>
      <c r="M182" s="25"/>
      <c r="N182" s="25"/>
    </row>
    <row r="183" spans="1:14" x14ac:dyDescent="0.25">
      <c r="A183" s="103">
        <v>45987</v>
      </c>
      <c r="B183" s="25" t="s">
        <v>407</v>
      </c>
      <c r="C183" s="103">
        <f t="shared" si="29"/>
        <v>46010</v>
      </c>
      <c r="D183" s="103">
        <f t="shared" si="30"/>
        <v>45994</v>
      </c>
      <c r="E183" s="103">
        <f t="shared" si="31"/>
        <v>46001</v>
      </c>
      <c r="F183" s="103">
        <f t="shared" si="32"/>
        <v>46007</v>
      </c>
      <c r="G183" s="103">
        <f t="shared" si="33"/>
        <v>45995</v>
      </c>
      <c r="H183" s="103">
        <f t="shared" si="34"/>
        <v>46002</v>
      </c>
      <c r="I183" s="103"/>
      <c r="J183" s="104"/>
      <c r="K183" s="25"/>
      <c r="L183" s="25"/>
      <c r="M183" s="25"/>
      <c r="N183" s="25"/>
    </row>
    <row r="184" spans="1:14" x14ac:dyDescent="0.25">
      <c r="A184" s="103">
        <v>45987</v>
      </c>
      <c r="B184" s="25" t="s">
        <v>431</v>
      </c>
      <c r="C184" s="103">
        <f t="shared" si="29"/>
        <v>46010</v>
      </c>
      <c r="D184" s="103">
        <f t="shared" si="30"/>
        <v>45994</v>
      </c>
      <c r="E184" s="103">
        <f t="shared" si="31"/>
        <v>46001</v>
      </c>
      <c r="F184" s="103">
        <f t="shared" si="32"/>
        <v>46007</v>
      </c>
      <c r="G184" s="103">
        <f t="shared" si="33"/>
        <v>45995</v>
      </c>
      <c r="H184" s="103">
        <f t="shared" si="34"/>
        <v>46002</v>
      </c>
      <c r="I184" s="103"/>
      <c r="J184" s="104"/>
      <c r="K184" s="25"/>
      <c r="L184" s="25"/>
      <c r="M184" s="25"/>
      <c r="N184" s="25"/>
    </row>
    <row r="185" spans="1:14" x14ac:dyDescent="0.25">
      <c r="A185" s="103">
        <v>45987</v>
      </c>
      <c r="B185" s="25" t="s">
        <v>432</v>
      </c>
      <c r="C185" s="103">
        <f t="shared" si="29"/>
        <v>46010</v>
      </c>
      <c r="D185" s="103">
        <f t="shared" si="30"/>
        <v>45994</v>
      </c>
      <c r="E185" s="103">
        <f t="shared" si="31"/>
        <v>46001</v>
      </c>
      <c r="F185" s="103">
        <f t="shared" si="32"/>
        <v>46007</v>
      </c>
      <c r="G185" s="103">
        <f t="shared" si="33"/>
        <v>45995</v>
      </c>
      <c r="H185" s="103">
        <f t="shared" si="34"/>
        <v>46002</v>
      </c>
      <c r="I185" s="103"/>
      <c r="J185" s="104"/>
      <c r="K185" s="25"/>
      <c r="L185" s="25"/>
      <c r="M185" s="25"/>
      <c r="N185" s="25"/>
    </row>
    <row r="186" spans="1:14" x14ac:dyDescent="0.25">
      <c r="A186" s="103">
        <v>45987</v>
      </c>
      <c r="B186" s="25" t="s">
        <v>433</v>
      </c>
      <c r="C186" s="103">
        <f t="shared" si="29"/>
        <v>46010</v>
      </c>
      <c r="D186" s="103">
        <f t="shared" si="30"/>
        <v>45994</v>
      </c>
      <c r="E186" s="103">
        <f t="shared" si="31"/>
        <v>46001</v>
      </c>
      <c r="F186" s="103">
        <f t="shared" si="32"/>
        <v>46007</v>
      </c>
      <c r="G186" s="103">
        <f t="shared" si="33"/>
        <v>45995</v>
      </c>
      <c r="H186" s="103">
        <f t="shared" si="34"/>
        <v>46002</v>
      </c>
      <c r="I186" s="103"/>
      <c r="J186" s="104"/>
      <c r="K186" s="25"/>
      <c r="L186" s="25"/>
      <c r="M186" s="25"/>
      <c r="N186" s="25"/>
    </row>
    <row r="187" spans="1:14" x14ac:dyDescent="0.25">
      <c r="A187" s="103">
        <v>45987</v>
      </c>
      <c r="B187" s="25" t="s">
        <v>434</v>
      </c>
      <c r="C187" s="103">
        <f t="shared" si="29"/>
        <v>46010</v>
      </c>
      <c r="D187" s="103">
        <f t="shared" si="30"/>
        <v>45994</v>
      </c>
      <c r="E187" s="103">
        <f t="shared" si="31"/>
        <v>46001</v>
      </c>
      <c r="F187" s="103">
        <f t="shared" si="32"/>
        <v>46007</v>
      </c>
      <c r="G187" s="103">
        <f t="shared" si="33"/>
        <v>45995</v>
      </c>
      <c r="H187" s="103">
        <f t="shared" si="34"/>
        <v>46002</v>
      </c>
      <c r="I187" s="103"/>
      <c r="J187" s="104"/>
      <c r="K187" s="25"/>
      <c r="L187" s="25"/>
      <c r="M187" s="25"/>
      <c r="N187" s="25"/>
    </row>
    <row r="188" spans="1:14" x14ac:dyDescent="0.25">
      <c r="A188" s="103">
        <v>45988</v>
      </c>
      <c r="B188" s="25" t="s">
        <v>428</v>
      </c>
      <c r="C188" s="103">
        <f t="shared" si="29"/>
        <v>46011</v>
      </c>
      <c r="D188" s="103">
        <f t="shared" si="30"/>
        <v>45995</v>
      </c>
      <c r="E188" s="103">
        <f t="shared" si="31"/>
        <v>46002</v>
      </c>
      <c r="F188" s="103">
        <f t="shared" si="32"/>
        <v>46008</v>
      </c>
      <c r="G188" s="103">
        <f t="shared" si="33"/>
        <v>45996</v>
      </c>
      <c r="H188" s="103">
        <f t="shared" si="34"/>
        <v>46003</v>
      </c>
      <c r="I188" s="103"/>
      <c r="J188" s="104"/>
      <c r="K188" s="25"/>
      <c r="L188" s="25"/>
      <c r="M188" s="25"/>
      <c r="N188" s="25"/>
    </row>
    <row r="189" spans="1:14" x14ac:dyDescent="0.25">
      <c r="A189" s="103">
        <v>45988</v>
      </c>
      <c r="B189" s="25" t="s">
        <v>429</v>
      </c>
      <c r="C189" s="103">
        <f t="shared" si="29"/>
        <v>46011</v>
      </c>
      <c r="D189" s="103">
        <f t="shared" si="30"/>
        <v>45995</v>
      </c>
      <c r="E189" s="103">
        <f t="shared" si="31"/>
        <v>46002</v>
      </c>
      <c r="F189" s="103">
        <f t="shared" si="32"/>
        <v>46008</v>
      </c>
      <c r="G189" s="103">
        <f t="shared" si="33"/>
        <v>45996</v>
      </c>
      <c r="H189" s="103">
        <f t="shared" si="34"/>
        <v>46003</v>
      </c>
      <c r="I189" s="103"/>
      <c r="J189" s="104"/>
      <c r="K189" s="25"/>
      <c r="L189" s="25"/>
      <c r="M189" s="25"/>
      <c r="N189" s="25"/>
    </row>
    <row r="190" spans="1:14" x14ac:dyDescent="0.25">
      <c r="A190" s="103">
        <v>45988</v>
      </c>
      <c r="B190" s="25" t="s">
        <v>430</v>
      </c>
      <c r="C190" s="103">
        <f t="shared" si="29"/>
        <v>46011</v>
      </c>
      <c r="D190" s="103">
        <f t="shared" si="30"/>
        <v>45995</v>
      </c>
      <c r="E190" s="103">
        <f t="shared" si="31"/>
        <v>46002</v>
      </c>
      <c r="F190" s="103">
        <f t="shared" si="32"/>
        <v>46008</v>
      </c>
      <c r="G190" s="103">
        <f t="shared" si="33"/>
        <v>45996</v>
      </c>
      <c r="H190" s="103">
        <f t="shared" si="34"/>
        <v>46003</v>
      </c>
      <c r="I190" s="103"/>
      <c r="J190" s="104"/>
      <c r="K190" s="25"/>
      <c r="L190" s="25"/>
      <c r="M190" s="25"/>
      <c r="N190" s="25"/>
    </row>
    <row r="191" spans="1:14" x14ac:dyDescent="0.25">
      <c r="A191" s="103">
        <v>45988</v>
      </c>
      <c r="B191" s="25" t="s">
        <v>559</v>
      </c>
      <c r="C191" s="103">
        <f t="shared" si="29"/>
        <v>46011</v>
      </c>
      <c r="D191" s="103">
        <f t="shared" si="30"/>
        <v>45995</v>
      </c>
      <c r="E191" s="103">
        <f t="shared" si="31"/>
        <v>46002</v>
      </c>
      <c r="F191" s="103">
        <f t="shared" si="32"/>
        <v>46008</v>
      </c>
      <c r="G191" s="103">
        <f t="shared" si="33"/>
        <v>45996</v>
      </c>
      <c r="H191" s="103">
        <f t="shared" si="34"/>
        <v>46003</v>
      </c>
      <c r="I191" s="103"/>
      <c r="J191" s="104"/>
      <c r="K191" s="25"/>
      <c r="L191" s="25"/>
      <c r="M191" s="25"/>
      <c r="N191" s="25"/>
    </row>
    <row r="192" spans="1:14" x14ac:dyDescent="0.25">
      <c r="A192" s="103">
        <v>45988</v>
      </c>
      <c r="B192" s="25" t="s">
        <v>560</v>
      </c>
      <c r="C192" s="103">
        <f t="shared" si="29"/>
        <v>46011</v>
      </c>
      <c r="D192" s="103">
        <f t="shared" si="30"/>
        <v>45995</v>
      </c>
      <c r="E192" s="103">
        <f t="shared" si="31"/>
        <v>46002</v>
      </c>
      <c r="F192" s="103">
        <f t="shared" si="32"/>
        <v>46008</v>
      </c>
      <c r="G192" s="103">
        <f t="shared" si="33"/>
        <v>45996</v>
      </c>
      <c r="H192" s="103">
        <f t="shared" si="34"/>
        <v>46003</v>
      </c>
      <c r="I192" s="103"/>
      <c r="J192" s="104"/>
      <c r="K192" s="25"/>
      <c r="L192" s="25"/>
      <c r="M192" s="25"/>
      <c r="N192" s="25"/>
    </row>
    <row r="193" spans="1:14" x14ac:dyDescent="0.25">
      <c r="A193" s="103">
        <v>45988</v>
      </c>
      <c r="B193" s="25" t="s">
        <v>561</v>
      </c>
      <c r="C193" s="103">
        <f t="shared" si="29"/>
        <v>46011</v>
      </c>
      <c r="D193" s="103">
        <f t="shared" si="30"/>
        <v>45995</v>
      </c>
      <c r="E193" s="103">
        <f t="shared" si="31"/>
        <v>46002</v>
      </c>
      <c r="F193" s="103">
        <f t="shared" si="32"/>
        <v>46008</v>
      </c>
      <c r="G193" s="103">
        <f t="shared" si="33"/>
        <v>45996</v>
      </c>
      <c r="H193" s="103">
        <f t="shared" si="34"/>
        <v>46003</v>
      </c>
      <c r="I193" s="103"/>
      <c r="J193" s="104"/>
      <c r="K193" s="25"/>
      <c r="L193" s="25"/>
      <c r="M193" s="25"/>
      <c r="N193" s="25"/>
    </row>
    <row r="194" spans="1:14" x14ac:dyDescent="0.25">
      <c r="A194" s="103">
        <v>45988</v>
      </c>
      <c r="B194" s="25" t="s">
        <v>562</v>
      </c>
      <c r="C194" s="103">
        <f t="shared" si="29"/>
        <v>46011</v>
      </c>
      <c r="D194" s="103">
        <f t="shared" si="30"/>
        <v>45995</v>
      </c>
      <c r="E194" s="103">
        <f t="shared" si="31"/>
        <v>46002</v>
      </c>
      <c r="F194" s="103">
        <f t="shared" si="32"/>
        <v>46008</v>
      </c>
      <c r="G194" s="103">
        <f t="shared" si="33"/>
        <v>45996</v>
      </c>
      <c r="H194" s="103">
        <f t="shared" si="34"/>
        <v>46003</v>
      </c>
      <c r="I194" s="103"/>
      <c r="J194" s="104"/>
      <c r="K194" s="25"/>
      <c r="L194" s="25"/>
      <c r="M194" s="25"/>
      <c r="N194" s="25"/>
    </row>
    <row r="195" spans="1:14" x14ac:dyDescent="0.25">
      <c r="A195" s="103">
        <v>45989</v>
      </c>
      <c r="B195" s="25" t="s">
        <v>563</v>
      </c>
      <c r="C195" s="103">
        <f t="shared" si="29"/>
        <v>46012</v>
      </c>
      <c r="D195" s="103">
        <f t="shared" si="30"/>
        <v>45996</v>
      </c>
      <c r="E195" s="103">
        <f t="shared" si="31"/>
        <v>46003</v>
      </c>
      <c r="F195" s="103">
        <f t="shared" si="32"/>
        <v>46009</v>
      </c>
      <c r="G195" s="103">
        <f t="shared" si="33"/>
        <v>45997</v>
      </c>
      <c r="H195" s="103">
        <f t="shared" si="34"/>
        <v>46004</v>
      </c>
      <c r="I195" s="103"/>
      <c r="J195" s="104"/>
      <c r="K195" s="25"/>
      <c r="L195" s="25"/>
      <c r="M195" s="25"/>
      <c r="N195" s="25"/>
    </row>
    <row r="196" spans="1:14" x14ac:dyDescent="0.25">
      <c r="A196" s="103">
        <v>45989</v>
      </c>
      <c r="B196" s="25" t="s">
        <v>564</v>
      </c>
      <c r="C196" s="103">
        <f t="shared" si="29"/>
        <v>46012</v>
      </c>
      <c r="D196" s="103">
        <f t="shared" si="30"/>
        <v>45996</v>
      </c>
      <c r="E196" s="103">
        <f t="shared" si="31"/>
        <v>46003</v>
      </c>
      <c r="F196" s="103">
        <f t="shared" si="32"/>
        <v>46009</v>
      </c>
      <c r="G196" s="103">
        <f t="shared" si="33"/>
        <v>45997</v>
      </c>
      <c r="H196" s="103">
        <f t="shared" si="34"/>
        <v>46004</v>
      </c>
      <c r="I196" s="103"/>
      <c r="J196" s="104"/>
      <c r="K196" s="25"/>
      <c r="L196" s="25"/>
      <c r="M196" s="25"/>
      <c r="N196" s="25"/>
    </row>
    <row r="197" spans="1:14" x14ac:dyDescent="0.25">
      <c r="A197" s="103">
        <v>45989</v>
      </c>
      <c r="B197" s="25" t="s">
        <v>565</v>
      </c>
      <c r="C197" s="103">
        <f t="shared" si="29"/>
        <v>46012</v>
      </c>
      <c r="D197" s="103">
        <f t="shared" si="30"/>
        <v>45996</v>
      </c>
      <c r="E197" s="103">
        <f t="shared" si="31"/>
        <v>46003</v>
      </c>
      <c r="F197" s="103">
        <f t="shared" si="32"/>
        <v>46009</v>
      </c>
      <c r="G197" s="103">
        <f t="shared" si="33"/>
        <v>45997</v>
      </c>
      <c r="H197" s="103">
        <f t="shared" si="34"/>
        <v>46004</v>
      </c>
      <c r="I197" s="103"/>
      <c r="J197" s="104"/>
      <c r="K197" s="25"/>
      <c r="L197" s="25"/>
      <c r="M197" s="25"/>
      <c r="N197" s="25"/>
    </row>
    <row r="198" spans="1:14" x14ac:dyDescent="0.25">
      <c r="A198" s="103">
        <v>45989</v>
      </c>
      <c r="B198" s="25" t="s">
        <v>566</v>
      </c>
      <c r="C198" s="103">
        <f t="shared" si="29"/>
        <v>46012</v>
      </c>
      <c r="D198" s="103">
        <f t="shared" si="30"/>
        <v>45996</v>
      </c>
      <c r="E198" s="103">
        <f t="shared" si="31"/>
        <v>46003</v>
      </c>
      <c r="F198" s="103">
        <f t="shared" si="32"/>
        <v>46009</v>
      </c>
      <c r="G198" s="103">
        <f t="shared" si="33"/>
        <v>45997</v>
      </c>
      <c r="H198" s="103">
        <f t="shared" si="34"/>
        <v>46004</v>
      </c>
      <c r="I198" s="103"/>
      <c r="J198" s="104"/>
      <c r="K198" s="25"/>
      <c r="L198" s="25"/>
      <c r="M198" s="25"/>
      <c r="N198" s="25"/>
    </row>
    <row r="199" spans="1:14" x14ac:dyDescent="0.25">
      <c r="A199" s="103">
        <v>45989</v>
      </c>
      <c r="B199" s="25" t="s">
        <v>567</v>
      </c>
      <c r="C199" s="103">
        <f t="shared" si="29"/>
        <v>46012</v>
      </c>
      <c r="D199" s="103">
        <f t="shared" si="30"/>
        <v>45996</v>
      </c>
      <c r="E199" s="103">
        <f t="shared" si="31"/>
        <v>46003</v>
      </c>
      <c r="F199" s="103">
        <f t="shared" si="32"/>
        <v>46009</v>
      </c>
      <c r="G199" s="103">
        <f t="shared" si="33"/>
        <v>45997</v>
      </c>
      <c r="H199" s="103">
        <f t="shared" si="34"/>
        <v>46004</v>
      </c>
      <c r="I199" s="103"/>
      <c r="J199" s="104"/>
      <c r="K199" s="25"/>
      <c r="L199" s="25"/>
      <c r="M199" s="25"/>
      <c r="N199" s="25"/>
    </row>
    <row r="200" spans="1:14" x14ac:dyDescent="0.25">
      <c r="A200" s="103">
        <v>45989</v>
      </c>
      <c r="B200" s="25" t="s">
        <v>568</v>
      </c>
      <c r="C200" s="103">
        <f t="shared" si="29"/>
        <v>46012</v>
      </c>
      <c r="D200" s="103">
        <f t="shared" si="30"/>
        <v>45996</v>
      </c>
      <c r="E200" s="103">
        <f t="shared" si="31"/>
        <v>46003</v>
      </c>
      <c r="F200" s="103">
        <f t="shared" si="32"/>
        <v>46009</v>
      </c>
      <c r="G200" s="103">
        <f t="shared" si="33"/>
        <v>45997</v>
      </c>
      <c r="H200" s="103">
        <f t="shared" si="34"/>
        <v>46004</v>
      </c>
      <c r="I200" s="103"/>
      <c r="J200" s="104"/>
      <c r="K200" s="25"/>
      <c r="L200" s="25"/>
      <c r="M200" s="25"/>
      <c r="N200" s="25"/>
    </row>
    <row r="201" spans="1:14" x14ac:dyDescent="0.25">
      <c r="A201" s="103">
        <v>45989</v>
      </c>
      <c r="B201" s="25" t="s">
        <v>569</v>
      </c>
      <c r="C201" s="103">
        <f t="shared" si="29"/>
        <v>46012</v>
      </c>
      <c r="D201" s="103">
        <f t="shared" si="30"/>
        <v>45996</v>
      </c>
      <c r="E201" s="103">
        <f t="shared" si="31"/>
        <v>46003</v>
      </c>
      <c r="F201" s="103">
        <f t="shared" si="32"/>
        <v>46009</v>
      </c>
      <c r="G201" s="103">
        <f t="shared" si="33"/>
        <v>45997</v>
      </c>
      <c r="H201" s="103">
        <f t="shared" si="34"/>
        <v>46004</v>
      </c>
      <c r="I201" s="103"/>
      <c r="J201" s="104"/>
      <c r="K201" s="25"/>
      <c r="L201" s="25"/>
      <c r="M201" s="25"/>
      <c r="N201" s="25"/>
    </row>
    <row r="202" spans="1:14" x14ac:dyDescent="0.25">
      <c r="A202" s="103">
        <v>45990</v>
      </c>
      <c r="B202" s="25" t="s">
        <v>570</v>
      </c>
      <c r="C202" s="103">
        <f t="shared" si="29"/>
        <v>46013</v>
      </c>
      <c r="D202" s="103">
        <f t="shared" si="30"/>
        <v>45997</v>
      </c>
      <c r="E202" s="103">
        <f t="shared" si="31"/>
        <v>46004</v>
      </c>
      <c r="F202" s="103">
        <f t="shared" si="32"/>
        <v>46010</v>
      </c>
      <c r="G202" s="103">
        <f t="shared" si="33"/>
        <v>45998</v>
      </c>
      <c r="H202" s="103">
        <f t="shared" si="34"/>
        <v>46005</v>
      </c>
      <c r="I202" s="103"/>
      <c r="J202" s="104"/>
      <c r="K202" s="25"/>
      <c r="L202" s="25"/>
      <c r="M202" s="25"/>
      <c r="N202" s="25"/>
    </row>
    <row r="203" spans="1:14" x14ac:dyDescent="0.25">
      <c r="A203" s="103">
        <v>45990</v>
      </c>
      <c r="B203" s="25" t="s">
        <v>571</v>
      </c>
      <c r="C203" s="103">
        <f t="shared" si="29"/>
        <v>46013</v>
      </c>
      <c r="D203" s="103">
        <f t="shared" si="30"/>
        <v>45997</v>
      </c>
      <c r="E203" s="103">
        <f t="shared" si="31"/>
        <v>46004</v>
      </c>
      <c r="F203" s="103">
        <f t="shared" si="32"/>
        <v>46010</v>
      </c>
      <c r="G203" s="103">
        <f t="shared" si="33"/>
        <v>45998</v>
      </c>
      <c r="H203" s="103">
        <f t="shared" si="34"/>
        <v>46005</v>
      </c>
      <c r="I203" s="103"/>
      <c r="J203" s="104"/>
      <c r="K203" s="25"/>
      <c r="L203" s="25"/>
      <c r="M203" s="25"/>
      <c r="N203" s="25"/>
    </row>
    <row r="204" spans="1:14" x14ac:dyDescent="0.25">
      <c r="A204" s="103">
        <v>45990</v>
      </c>
      <c r="B204" s="25" t="s">
        <v>572</v>
      </c>
      <c r="C204" s="103">
        <f t="shared" si="29"/>
        <v>46013</v>
      </c>
      <c r="D204" s="103">
        <f t="shared" si="30"/>
        <v>45997</v>
      </c>
      <c r="E204" s="103">
        <f t="shared" si="31"/>
        <v>46004</v>
      </c>
      <c r="F204" s="103">
        <f t="shared" si="32"/>
        <v>46010</v>
      </c>
      <c r="G204" s="103">
        <f t="shared" si="33"/>
        <v>45998</v>
      </c>
      <c r="H204" s="103">
        <f t="shared" si="34"/>
        <v>46005</v>
      </c>
      <c r="I204" s="103"/>
      <c r="J204" s="104"/>
      <c r="K204" s="25"/>
      <c r="L204" s="25"/>
      <c r="M204" s="25"/>
      <c r="N204" s="25"/>
    </row>
    <row r="205" spans="1:14" x14ac:dyDescent="0.25">
      <c r="A205" s="103">
        <v>45990</v>
      </c>
      <c r="B205" s="25" t="s">
        <v>573</v>
      </c>
      <c r="C205" s="103">
        <f t="shared" si="29"/>
        <v>46013</v>
      </c>
      <c r="D205" s="103">
        <f t="shared" si="30"/>
        <v>45997</v>
      </c>
      <c r="E205" s="103">
        <f t="shared" si="31"/>
        <v>46004</v>
      </c>
      <c r="F205" s="103">
        <f t="shared" si="32"/>
        <v>46010</v>
      </c>
      <c r="G205" s="103">
        <f t="shared" si="33"/>
        <v>45998</v>
      </c>
      <c r="H205" s="103">
        <f t="shared" si="34"/>
        <v>46005</v>
      </c>
      <c r="I205" s="103"/>
      <c r="J205" s="104"/>
      <c r="K205" s="25"/>
      <c r="L205" s="25"/>
      <c r="M205" s="25"/>
      <c r="N205" s="25"/>
    </row>
    <row r="206" spans="1:14" x14ac:dyDescent="0.25">
      <c r="A206" s="103">
        <v>45990</v>
      </c>
      <c r="B206" s="25" t="s">
        <v>574</v>
      </c>
      <c r="C206" s="103">
        <f t="shared" si="29"/>
        <v>46013</v>
      </c>
      <c r="D206" s="103">
        <f t="shared" si="30"/>
        <v>45997</v>
      </c>
      <c r="E206" s="103">
        <f t="shared" si="31"/>
        <v>46004</v>
      </c>
      <c r="F206" s="103">
        <f t="shared" si="32"/>
        <v>46010</v>
      </c>
      <c r="G206" s="103">
        <f t="shared" si="33"/>
        <v>45998</v>
      </c>
      <c r="H206" s="103">
        <f t="shared" si="34"/>
        <v>46005</v>
      </c>
      <c r="I206" s="103"/>
      <c r="J206" s="104"/>
      <c r="K206" s="25"/>
      <c r="L206" s="25"/>
      <c r="M206" s="25"/>
      <c r="N206" s="25"/>
    </row>
    <row r="207" spans="1:14" x14ac:dyDescent="0.25">
      <c r="A207" s="103">
        <v>45990</v>
      </c>
      <c r="B207" s="25" t="s">
        <v>575</v>
      </c>
      <c r="C207" s="103">
        <f t="shared" si="29"/>
        <v>46013</v>
      </c>
      <c r="D207" s="103">
        <f t="shared" si="30"/>
        <v>45997</v>
      </c>
      <c r="E207" s="103">
        <f t="shared" si="31"/>
        <v>46004</v>
      </c>
      <c r="F207" s="103">
        <f t="shared" si="32"/>
        <v>46010</v>
      </c>
      <c r="G207" s="103">
        <f t="shared" si="33"/>
        <v>45998</v>
      </c>
      <c r="H207" s="103">
        <f t="shared" si="34"/>
        <v>46005</v>
      </c>
      <c r="I207" s="103"/>
      <c r="J207" s="104"/>
      <c r="K207" s="25"/>
      <c r="L207" s="25"/>
      <c r="M207" s="25"/>
      <c r="N207" s="25"/>
    </row>
    <row r="208" spans="1:14" x14ac:dyDescent="0.25">
      <c r="A208" s="103">
        <v>45990</v>
      </c>
      <c r="B208" s="25" t="s">
        <v>576</v>
      </c>
      <c r="C208" s="103">
        <f t="shared" ref="C208:C222" si="35">A208+23</f>
        <v>46013</v>
      </c>
      <c r="D208" s="103">
        <f t="shared" ref="D208:D222" si="36">A208+7</f>
        <v>45997</v>
      </c>
      <c r="E208" s="103">
        <f t="shared" ref="E208:E222" si="37">A208+14</f>
        <v>46004</v>
      </c>
      <c r="F208" s="103">
        <f t="shared" ref="F208:F222" si="38">A208+20</f>
        <v>46010</v>
      </c>
      <c r="G208" s="103">
        <f t="shared" ref="G208:G222" si="39">A208+8</f>
        <v>45998</v>
      </c>
      <c r="H208" s="103">
        <f t="shared" ref="H208:H222" si="40">A208+15</f>
        <v>46005</v>
      </c>
      <c r="I208" s="103"/>
      <c r="J208" s="104"/>
      <c r="K208" s="25"/>
      <c r="L208" s="25"/>
      <c r="M208" s="25"/>
      <c r="N208" s="25"/>
    </row>
    <row r="209" spans="1:14" x14ac:dyDescent="0.25">
      <c r="A209" s="103">
        <v>45991</v>
      </c>
      <c r="B209" s="25" t="s">
        <v>458</v>
      </c>
      <c r="C209" s="103">
        <f t="shared" si="35"/>
        <v>46014</v>
      </c>
      <c r="D209" s="103">
        <f t="shared" si="36"/>
        <v>45998</v>
      </c>
      <c r="E209" s="103">
        <f t="shared" si="37"/>
        <v>46005</v>
      </c>
      <c r="F209" s="103">
        <f t="shared" si="38"/>
        <v>46011</v>
      </c>
      <c r="G209" s="103">
        <f t="shared" si="39"/>
        <v>45999</v>
      </c>
      <c r="H209" s="103">
        <f t="shared" si="40"/>
        <v>46006</v>
      </c>
      <c r="I209" s="103"/>
      <c r="J209" s="104"/>
      <c r="K209" s="25"/>
      <c r="L209" s="25"/>
      <c r="M209" s="25"/>
      <c r="N209" s="25"/>
    </row>
    <row r="210" spans="1:14" x14ac:dyDescent="0.25">
      <c r="A210" s="103">
        <v>45991</v>
      </c>
      <c r="B210" s="25" t="s">
        <v>459</v>
      </c>
      <c r="C210" s="103">
        <f t="shared" si="35"/>
        <v>46014</v>
      </c>
      <c r="D210" s="103">
        <f t="shared" si="36"/>
        <v>45998</v>
      </c>
      <c r="E210" s="103">
        <f t="shared" si="37"/>
        <v>46005</v>
      </c>
      <c r="F210" s="103">
        <f t="shared" si="38"/>
        <v>46011</v>
      </c>
      <c r="G210" s="103">
        <f t="shared" si="39"/>
        <v>45999</v>
      </c>
      <c r="H210" s="103">
        <f t="shared" si="40"/>
        <v>46006</v>
      </c>
      <c r="I210" s="103"/>
      <c r="J210" s="104"/>
      <c r="K210" s="25"/>
      <c r="L210" s="25"/>
      <c r="M210" s="25"/>
      <c r="N210" s="25"/>
    </row>
    <row r="211" spans="1:14" x14ac:dyDescent="0.25">
      <c r="A211" s="103">
        <v>45991</v>
      </c>
      <c r="B211" s="25" t="s">
        <v>460</v>
      </c>
      <c r="C211" s="103">
        <f t="shared" si="35"/>
        <v>46014</v>
      </c>
      <c r="D211" s="103">
        <f t="shared" si="36"/>
        <v>45998</v>
      </c>
      <c r="E211" s="103">
        <f t="shared" si="37"/>
        <v>46005</v>
      </c>
      <c r="F211" s="103">
        <f t="shared" si="38"/>
        <v>46011</v>
      </c>
      <c r="G211" s="103">
        <f t="shared" si="39"/>
        <v>45999</v>
      </c>
      <c r="H211" s="103">
        <f t="shared" si="40"/>
        <v>46006</v>
      </c>
      <c r="I211" s="103"/>
      <c r="J211" s="104"/>
      <c r="K211" s="25"/>
      <c r="L211" s="25"/>
      <c r="M211" s="25"/>
      <c r="N211" s="25"/>
    </row>
    <row r="212" spans="1:14" x14ac:dyDescent="0.25">
      <c r="A212" s="103">
        <v>45991</v>
      </c>
      <c r="B212" s="25" t="s">
        <v>461</v>
      </c>
      <c r="C212" s="103">
        <f t="shared" ref="C212:C215" si="41">A212+23</f>
        <v>46014</v>
      </c>
      <c r="D212" s="103">
        <f t="shared" ref="D212:D215" si="42">A212+7</f>
        <v>45998</v>
      </c>
      <c r="E212" s="103">
        <f t="shared" ref="E212:E215" si="43">A212+14</f>
        <v>46005</v>
      </c>
      <c r="F212" s="103">
        <f t="shared" ref="F212:F215" si="44">A212+20</f>
        <v>46011</v>
      </c>
      <c r="G212" s="103">
        <f t="shared" ref="G212:G215" si="45">A212+8</f>
        <v>45999</v>
      </c>
      <c r="H212" s="103">
        <f t="shared" ref="H212:H215" si="46">A212+15</f>
        <v>46006</v>
      </c>
      <c r="I212" s="103"/>
      <c r="J212" s="104"/>
      <c r="K212" s="25"/>
      <c r="L212" s="25"/>
      <c r="M212" s="25"/>
      <c r="N212" s="25"/>
    </row>
    <row r="213" spans="1:14" x14ac:dyDescent="0.25">
      <c r="A213" s="103">
        <v>45991</v>
      </c>
      <c r="B213" s="25" t="s">
        <v>577</v>
      </c>
      <c r="C213" s="103">
        <f t="shared" si="41"/>
        <v>46014</v>
      </c>
      <c r="D213" s="103">
        <f t="shared" si="42"/>
        <v>45998</v>
      </c>
      <c r="E213" s="103">
        <f t="shared" si="43"/>
        <v>46005</v>
      </c>
      <c r="F213" s="103">
        <f t="shared" si="44"/>
        <v>46011</v>
      </c>
      <c r="G213" s="103">
        <f t="shared" si="45"/>
        <v>45999</v>
      </c>
      <c r="H213" s="103">
        <f t="shared" si="46"/>
        <v>46006</v>
      </c>
      <c r="I213" s="103"/>
      <c r="J213" s="104"/>
      <c r="K213" s="25"/>
      <c r="L213" s="25"/>
      <c r="M213" s="25"/>
      <c r="N213" s="25"/>
    </row>
    <row r="214" spans="1:14" x14ac:dyDescent="0.25">
      <c r="A214" s="103">
        <v>45991</v>
      </c>
      <c r="B214" s="25" t="s">
        <v>578</v>
      </c>
      <c r="C214" s="103">
        <f t="shared" si="41"/>
        <v>46014</v>
      </c>
      <c r="D214" s="103">
        <f t="shared" si="42"/>
        <v>45998</v>
      </c>
      <c r="E214" s="103">
        <f t="shared" si="43"/>
        <v>46005</v>
      </c>
      <c r="F214" s="103">
        <f t="shared" si="44"/>
        <v>46011</v>
      </c>
      <c r="G214" s="103">
        <f t="shared" si="45"/>
        <v>45999</v>
      </c>
      <c r="H214" s="103">
        <f t="shared" si="46"/>
        <v>46006</v>
      </c>
      <c r="I214" s="103"/>
      <c r="J214" s="104"/>
      <c r="K214" s="25"/>
      <c r="L214" s="25"/>
      <c r="M214" s="25"/>
      <c r="N214" s="25"/>
    </row>
    <row r="215" spans="1:14" x14ac:dyDescent="0.25">
      <c r="A215" s="103">
        <v>45991</v>
      </c>
      <c r="B215" s="25" t="s">
        <v>579</v>
      </c>
      <c r="C215" s="103">
        <f t="shared" si="41"/>
        <v>46014</v>
      </c>
      <c r="D215" s="103">
        <f t="shared" si="42"/>
        <v>45998</v>
      </c>
      <c r="E215" s="103">
        <f t="shared" si="43"/>
        <v>46005</v>
      </c>
      <c r="F215" s="103">
        <f t="shared" si="44"/>
        <v>46011</v>
      </c>
      <c r="G215" s="103">
        <f t="shared" si="45"/>
        <v>45999</v>
      </c>
      <c r="H215" s="103">
        <f t="shared" si="46"/>
        <v>46006</v>
      </c>
      <c r="I215" s="103"/>
      <c r="J215" s="104"/>
      <c r="K215" s="25"/>
      <c r="L215" s="25"/>
      <c r="M215" s="25"/>
      <c r="N215" s="25"/>
    </row>
    <row r="216" spans="1:14" x14ac:dyDescent="0.25">
      <c r="A216" s="103">
        <v>45992</v>
      </c>
      <c r="B216" s="25" t="s">
        <v>462</v>
      </c>
      <c r="C216" s="103">
        <f t="shared" ref="C216:C222" si="47">A216+23</f>
        <v>46015</v>
      </c>
      <c r="D216" s="103">
        <f t="shared" ref="D216:D222" si="48">A216+7</f>
        <v>45999</v>
      </c>
      <c r="E216" s="103">
        <f t="shared" ref="E216:E222" si="49">A216+14</f>
        <v>46006</v>
      </c>
      <c r="F216" s="103">
        <f t="shared" ref="F216:F222" si="50">A216+20</f>
        <v>46012</v>
      </c>
      <c r="G216" s="103">
        <f t="shared" ref="G216:G222" si="51">A216+8</f>
        <v>46000</v>
      </c>
      <c r="H216" s="103">
        <f t="shared" ref="H216:H222" si="52">A216+15</f>
        <v>46007</v>
      </c>
      <c r="I216" s="103"/>
      <c r="J216" s="104"/>
      <c r="K216" s="25"/>
      <c r="L216" s="25"/>
      <c r="M216" s="25"/>
      <c r="N216" s="25"/>
    </row>
    <row r="217" spans="1:14" x14ac:dyDescent="0.25">
      <c r="A217" s="103">
        <v>45992</v>
      </c>
      <c r="B217" s="25" t="s">
        <v>463</v>
      </c>
      <c r="C217" s="103">
        <f t="shared" si="47"/>
        <v>46015</v>
      </c>
      <c r="D217" s="103">
        <f t="shared" si="48"/>
        <v>45999</v>
      </c>
      <c r="E217" s="103">
        <f t="shared" si="49"/>
        <v>46006</v>
      </c>
      <c r="F217" s="103">
        <f t="shared" si="50"/>
        <v>46012</v>
      </c>
      <c r="G217" s="103">
        <f t="shared" si="51"/>
        <v>46000</v>
      </c>
      <c r="H217" s="103">
        <f t="shared" si="52"/>
        <v>46007</v>
      </c>
      <c r="I217" s="103"/>
      <c r="J217" s="104"/>
      <c r="K217" s="25"/>
      <c r="L217" s="25"/>
      <c r="M217" s="25"/>
      <c r="N217" s="25"/>
    </row>
    <row r="218" spans="1:14" x14ac:dyDescent="0.25">
      <c r="A218" s="103">
        <v>45992</v>
      </c>
      <c r="B218" s="25" t="s">
        <v>464</v>
      </c>
      <c r="C218" s="103">
        <f t="shared" si="47"/>
        <v>46015</v>
      </c>
      <c r="D218" s="103">
        <f t="shared" si="48"/>
        <v>45999</v>
      </c>
      <c r="E218" s="103">
        <f t="shared" si="49"/>
        <v>46006</v>
      </c>
      <c r="F218" s="103">
        <f t="shared" si="50"/>
        <v>46012</v>
      </c>
      <c r="G218" s="103">
        <f t="shared" si="51"/>
        <v>46000</v>
      </c>
      <c r="H218" s="103">
        <f t="shared" si="52"/>
        <v>46007</v>
      </c>
      <c r="I218" s="103"/>
      <c r="J218" s="104"/>
      <c r="K218" s="25"/>
      <c r="L218" s="25"/>
      <c r="M218" s="25"/>
      <c r="N218" s="25"/>
    </row>
    <row r="219" spans="1:14" x14ac:dyDescent="0.25">
      <c r="A219" s="103">
        <v>45992</v>
      </c>
      <c r="B219" s="25" t="s">
        <v>424</v>
      </c>
      <c r="C219" s="103">
        <f t="shared" si="47"/>
        <v>46015</v>
      </c>
      <c r="D219" s="103">
        <f t="shared" si="48"/>
        <v>45999</v>
      </c>
      <c r="E219" s="103">
        <f t="shared" si="49"/>
        <v>46006</v>
      </c>
      <c r="F219" s="103">
        <f t="shared" si="50"/>
        <v>46012</v>
      </c>
      <c r="G219" s="103">
        <f t="shared" si="51"/>
        <v>46000</v>
      </c>
      <c r="H219" s="103">
        <f t="shared" si="52"/>
        <v>46007</v>
      </c>
      <c r="I219" s="103"/>
      <c r="J219" s="104"/>
      <c r="K219" s="25"/>
      <c r="L219" s="25"/>
      <c r="M219" s="25"/>
      <c r="N219" s="25"/>
    </row>
    <row r="220" spans="1:14" x14ac:dyDescent="0.25">
      <c r="A220" s="103">
        <v>45992</v>
      </c>
      <c r="B220" s="25" t="s">
        <v>425</v>
      </c>
      <c r="C220" s="103">
        <f t="shared" si="47"/>
        <v>46015</v>
      </c>
      <c r="D220" s="103">
        <f t="shared" si="48"/>
        <v>45999</v>
      </c>
      <c r="E220" s="103">
        <f t="shared" si="49"/>
        <v>46006</v>
      </c>
      <c r="F220" s="103">
        <f t="shared" si="50"/>
        <v>46012</v>
      </c>
      <c r="G220" s="103">
        <f t="shared" si="51"/>
        <v>46000</v>
      </c>
      <c r="H220" s="103">
        <f t="shared" si="52"/>
        <v>46007</v>
      </c>
      <c r="I220" s="103"/>
      <c r="J220" s="104"/>
      <c r="K220" s="25"/>
      <c r="L220" s="25"/>
      <c r="M220" s="25"/>
      <c r="N220" s="25"/>
    </row>
    <row r="221" spans="1:14" x14ac:dyDescent="0.25">
      <c r="A221" s="103">
        <v>45992</v>
      </c>
      <c r="B221" s="25" t="s">
        <v>426</v>
      </c>
      <c r="C221" s="103">
        <f t="shared" si="47"/>
        <v>46015</v>
      </c>
      <c r="D221" s="103">
        <f t="shared" si="48"/>
        <v>45999</v>
      </c>
      <c r="E221" s="103">
        <f t="shared" si="49"/>
        <v>46006</v>
      </c>
      <c r="F221" s="103">
        <f t="shared" si="50"/>
        <v>46012</v>
      </c>
      <c r="G221" s="103">
        <f t="shared" si="51"/>
        <v>46000</v>
      </c>
      <c r="H221" s="103">
        <f t="shared" si="52"/>
        <v>46007</v>
      </c>
      <c r="I221" s="103"/>
      <c r="J221" s="104"/>
      <c r="K221" s="25"/>
      <c r="L221" s="25"/>
      <c r="M221" s="25"/>
      <c r="N221" s="25"/>
    </row>
    <row r="222" spans="1:14" x14ac:dyDescent="0.25">
      <c r="A222" s="103">
        <v>45992</v>
      </c>
      <c r="B222" s="25" t="s">
        <v>427</v>
      </c>
      <c r="C222" s="103">
        <f t="shared" si="47"/>
        <v>46015</v>
      </c>
      <c r="D222" s="103">
        <f t="shared" si="48"/>
        <v>45999</v>
      </c>
      <c r="E222" s="103">
        <f t="shared" si="49"/>
        <v>46006</v>
      </c>
      <c r="F222" s="103">
        <f t="shared" si="50"/>
        <v>46012</v>
      </c>
      <c r="G222" s="103">
        <f t="shared" si="51"/>
        <v>46000</v>
      </c>
      <c r="H222" s="103">
        <f t="shared" si="52"/>
        <v>46007</v>
      </c>
      <c r="I222" s="103"/>
      <c r="J222" s="104"/>
      <c r="K222" s="25"/>
      <c r="L222" s="25"/>
      <c r="M222" s="25"/>
      <c r="N222" s="25"/>
    </row>
  </sheetData>
  <conditionalFormatting sqref="A1:I1048576">
    <cfRule type="expression" dxfId="2" priority="1">
      <formula>$J1&gt;0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Plan Maps. AUG</vt:lpstr>
      <vt:lpstr>Tanam Kangkung- 7 Bedeng</vt:lpstr>
      <vt:lpstr>dash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2025-12-03T03:44:14Z</dcterms:modified>
</cp:coreProperties>
</file>